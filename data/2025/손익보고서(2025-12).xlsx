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512\00_보고서\"/>
    </mc:Choice>
  </mc:AlternateContent>
  <xr:revisionPtr revIDLastSave="0" documentId="13_ncr:1_{9814ED69-945D-4EBE-90CF-BAAE78080E79}" xr6:coauthVersionLast="36" xr6:coauthVersionMax="36" xr10:uidLastSave="{00000000-0000-0000-0000-000000000000}"/>
  <bookViews>
    <workbookView xWindow="480" yWindow="75" windowWidth="27975" windowHeight="12495" firstSheet="3" activeTab="5" xr2:uid="{00000000-000D-0000-FFFF-FFFF00000000}"/>
  </bookViews>
  <sheets>
    <sheet name="파워BI용" sheetId="35" r:id="rId1"/>
    <sheet name="표지" sheetId="24" r:id="rId2"/>
    <sheet name="손익총괄" sheetId="1" r:id="rId3"/>
    <sheet name="레미콘 영업이익" sheetId="37" r:id="rId4"/>
    <sheet name="사업장별(당월)" sheetId="2" r:id="rId5"/>
    <sheet name="사업장별(누계)" sheetId="31" r:id="rId6"/>
    <sheet name="사업장별(당월)_건자재제외" sheetId="32" r:id="rId7"/>
    <sheet name="사업장별(누계)_건자재제외" sheetId="33" r:id="rId8"/>
    <sheet name="영업이익" sheetId="25" r:id="rId9"/>
    <sheet name="공헌이익" sheetId="26" r:id="rId10"/>
    <sheet name="재료비단가" sheetId="27" r:id="rId11"/>
    <sheet name="원단위" sheetId="28" r:id="rId12"/>
    <sheet name="건자재" sheetId="3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10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10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2">건자재!$D$6:$O$34</definedName>
    <definedName name="_xlnm.Print_Area" localSheetId="9">공헌이익!$D$4:$V$29</definedName>
    <definedName name="_xlnm.Print_Area" localSheetId="3">'레미콘 영업이익'!$H$3:$AC$28</definedName>
    <definedName name="_xlnm.Print_Area" localSheetId="5">'사업장별(누계)'!$H$3:$AG$43</definedName>
    <definedName name="_xlnm.Print_Area" localSheetId="7">'사업장별(누계)_건자재제외'!$H$3:$AG$42</definedName>
    <definedName name="_xlnm.Print_Area" localSheetId="4">'사업장별(당월)'!$H$3:$AG$43</definedName>
    <definedName name="_xlnm.Print_Area" localSheetId="6">'사업장별(당월)_건자재제외'!$H$3:$AG$42</definedName>
    <definedName name="_xlnm.Print_Area" localSheetId="2">손익총괄!$C$3:$X$36</definedName>
    <definedName name="_xlnm.Print_Area" localSheetId="8">영업이익!$D$4:$W$29</definedName>
    <definedName name="_xlnm.Print_Area" localSheetId="11">원단위!$D$4:$V$29</definedName>
    <definedName name="_xlnm.Print_Area" localSheetId="10">재료비단가!$D$4:$V$29</definedName>
    <definedName name="_xlnm.Print_Area" localSheetId="0">파워BI용!$A$1:$X$14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localSheetId="11" hidden="1">{"Header",#N/A,TRUE,"Summary";"ProjectInfo",#N/A,TRUE,"Total Value"}</definedName>
    <definedName name="w" localSheetId="10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10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K27" i="31" l="1"/>
  <c r="AL27" i="31" s="1"/>
  <c r="AJ27" i="31"/>
  <c r="AK26" i="31"/>
  <c r="AL26" i="31" s="1"/>
  <c r="AM26" i="31" s="1"/>
  <c r="AJ26" i="31"/>
  <c r="AI26" i="31"/>
  <c r="AK25" i="31"/>
  <c r="AL25" i="31" s="1"/>
  <c r="AM25" i="31" s="1"/>
  <c r="AJ25" i="31"/>
  <c r="AI25" i="31"/>
  <c r="AK24" i="31"/>
  <c r="AL24" i="31" s="1"/>
  <c r="AM24" i="31" s="1"/>
  <c r="AJ24" i="31"/>
  <c r="AI24" i="31"/>
  <c r="AK23" i="31"/>
  <c r="AL23" i="31" s="1"/>
  <c r="AM23" i="31" s="1"/>
  <c r="AJ23" i="31"/>
  <c r="AI23" i="31"/>
  <c r="AK22" i="31"/>
  <c r="AL22" i="31" s="1"/>
  <c r="AM22" i="31" s="1"/>
  <c r="AJ22" i="31"/>
  <c r="AI22" i="31"/>
  <c r="AK21" i="31"/>
  <c r="AL21" i="31" s="1"/>
  <c r="AM21" i="31" s="1"/>
  <c r="AJ21" i="31"/>
  <c r="AI21" i="31"/>
  <c r="AK20" i="31"/>
  <c r="AL20" i="31" s="1"/>
  <c r="AM20" i="31" s="1"/>
  <c r="AJ20" i="31"/>
  <c r="AI20" i="31"/>
  <c r="AK19" i="31"/>
  <c r="AL19" i="31" s="1"/>
  <c r="AM19" i="31" s="1"/>
  <c r="AJ19" i="31"/>
  <c r="AI19" i="31"/>
  <c r="AK18" i="31"/>
  <c r="AL18" i="31" s="1"/>
  <c r="AM18" i="31" s="1"/>
  <c r="AJ18" i="31"/>
  <c r="AI18" i="31"/>
  <c r="AK17" i="31"/>
  <c r="AL17" i="31" s="1"/>
  <c r="AM17" i="31" s="1"/>
  <c r="AJ17" i="31"/>
  <c r="AI17" i="31"/>
  <c r="AK16" i="31"/>
  <c r="AL16" i="31" s="1"/>
  <c r="AM16" i="31" s="1"/>
  <c r="AJ16" i="31"/>
  <c r="AI16" i="31"/>
  <c r="AK15" i="31"/>
  <c r="AL15" i="31" s="1"/>
  <c r="AM15" i="31" s="1"/>
  <c r="AJ15" i="31"/>
  <c r="AI15" i="31"/>
  <c r="AK14" i="31"/>
  <c r="AL14" i="31" s="1"/>
  <c r="AM14" i="31" s="1"/>
  <c r="AJ14" i="31"/>
  <c r="AI14" i="31"/>
  <c r="AK13" i="31"/>
  <c r="AL13" i="31" s="1"/>
  <c r="AM13" i="31" s="1"/>
  <c r="AJ13" i="31"/>
  <c r="AI13" i="31"/>
  <c r="AK12" i="31"/>
  <c r="AL12" i="31" s="1"/>
  <c r="AM12" i="31" s="1"/>
  <c r="AJ12" i="31"/>
  <c r="AI12" i="31"/>
  <c r="AK11" i="31"/>
  <c r="AL11" i="31" s="1"/>
  <c r="AM11" i="31" s="1"/>
  <c r="AJ11" i="31"/>
  <c r="AI11" i="31"/>
  <c r="AK10" i="31"/>
  <c r="AL10" i="31" s="1"/>
  <c r="AM10" i="31" s="1"/>
  <c r="AJ10" i="31"/>
  <c r="AI10" i="31"/>
  <c r="AK9" i="31"/>
  <c r="AL9" i="31" s="1"/>
  <c r="AM9" i="31" s="1"/>
  <c r="AJ9" i="31"/>
  <c r="AI9" i="31"/>
  <c r="AK8" i="31"/>
  <c r="AL8" i="31" s="1"/>
  <c r="AM8" i="31" s="1"/>
  <c r="AJ8" i="31"/>
  <c r="AI8" i="31"/>
  <c r="AK7" i="31"/>
  <c r="AL7" i="31" s="1"/>
  <c r="AM7" i="31" s="1"/>
  <c r="AM27" i="31" s="1"/>
  <c r="AJ7" i="31"/>
  <c r="AI7" i="31"/>
  <c r="BB39" i="34" l="1"/>
  <c r="BB38" i="34"/>
  <c r="BB37" i="34"/>
  <c r="AB24" i="37"/>
  <c r="W24" i="37"/>
  <c r="R24" i="37"/>
  <c r="M24" i="37"/>
  <c r="AB23" i="37"/>
  <c r="W23" i="37"/>
  <c r="R23" i="37"/>
  <c r="M23" i="37"/>
  <c r="AB22" i="37"/>
  <c r="W22" i="37"/>
  <c r="R22" i="37"/>
  <c r="M22" i="37"/>
  <c r="AB21" i="37"/>
  <c r="W21" i="37"/>
  <c r="R21" i="37"/>
  <c r="M21" i="37"/>
  <c r="AB20" i="37"/>
  <c r="W20" i="37"/>
  <c r="R20" i="37"/>
  <c r="M20" i="37"/>
  <c r="AB19" i="37"/>
  <c r="W19" i="37"/>
  <c r="R19" i="37"/>
  <c r="M19" i="37"/>
  <c r="AB18" i="37"/>
  <c r="W18" i="37"/>
  <c r="R18" i="37"/>
  <c r="M18" i="37"/>
  <c r="AB17" i="37"/>
  <c r="W17" i="37"/>
  <c r="R17" i="37"/>
  <c r="M17" i="37"/>
  <c r="AB16" i="37"/>
  <c r="W16" i="37"/>
  <c r="R16" i="37"/>
  <c r="M16" i="37"/>
  <c r="AB15" i="37"/>
  <c r="W15" i="37"/>
  <c r="R15" i="37"/>
  <c r="M15" i="37"/>
  <c r="AB14" i="37"/>
  <c r="W14" i="37"/>
  <c r="R14" i="37"/>
  <c r="M14" i="37"/>
  <c r="AB13" i="37"/>
  <c r="W13" i="37"/>
  <c r="R13" i="37"/>
  <c r="M13" i="37"/>
  <c r="AB12" i="37"/>
  <c r="W12" i="37"/>
  <c r="R12" i="37"/>
  <c r="M12" i="37"/>
  <c r="AB11" i="37"/>
  <c r="W11" i="37"/>
  <c r="R11" i="37"/>
  <c r="M11" i="37"/>
  <c r="AB10" i="37"/>
  <c r="W10" i="37"/>
  <c r="R10" i="37"/>
  <c r="M10" i="37"/>
  <c r="AB9" i="37"/>
  <c r="W9" i="37"/>
  <c r="R9" i="37"/>
  <c r="M9" i="37"/>
  <c r="AB8" i="37"/>
  <c r="W8" i="37"/>
  <c r="R8" i="37"/>
  <c r="M8" i="37"/>
  <c r="AD27" i="2"/>
  <c r="AA27" i="2"/>
  <c r="AD26" i="2"/>
  <c r="AA26" i="2"/>
  <c r="AD25" i="2"/>
  <c r="AA25" i="2"/>
  <c r="AD24" i="2"/>
  <c r="AA24" i="2"/>
  <c r="AD23" i="2"/>
  <c r="AA23" i="2"/>
  <c r="AD22" i="2"/>
  <c r="AA22" i="2"/>
  <c r="AD21" i="2"/>
  <c r="AA21" i="2"/>
  <c r="AD20" i="2"/>
  <c r="AA20" i="2"/>
  <c r="AD19" i="2"/>
  <c r="AA19" i="2"/>
  <c r="AD18" i="2"/>
  <c r="AA18" i="2"/>
  <c r="AD17" i="2"/>
  <c r="AA17" i="2"/>
  <c r="AD16" i="2"/>
  <c r="AA16" i="2"/>
  <c r="AD15" i="2"/>
  <c r="AA15" i="2"/>
  <c r="AD14" i="2"/>
  <c r="AA14" i="2"/>
  <c r="AD13" i="2"/>
  <c r="AA13" i="2"/>
  <c r="AD12" i="2"/>
  <c r="AA12" i="2"/>
  <c r="AD11" i="2"/>
  <c r="AA11" i="2"/>
  <c r="AD10" i="2"/>
  <c r="AA10" i="2"/>
  <c r="AD9" i="2"/>
  <c r="AA9" i="2"/>
  <c r="AD8" i="2"/>
  <c r="AA8" i="2"/>
  <c r="AD7" i="2"/>
  <c r="AA7" i="2"/>
  <c r="AD27" i="31"/>
  <c r="AA27" i="31"/>
  <c r="AD26" i="31"/>
  <c r="AA26" i="31"/>
  <c r="AD25" i="31"/>
  <c r="AA25" i="31"/>
  <c r="AD24" i="31"/>
  <c r="AA24" i="31"/>
  <c r="AD23" i="31"/>
  <c r="AA23" i="31"/>
  <c r="AD22" i="31"/>
  <c r="AA22" i="31"/>
  <c r="AD21" i="31"/>
  <c r="AA21" i="31"/>
  <c r="AD20" i="31"/>
  <c r="AA20" i="31"/>
  <c r="AD19" i="31"/>
  <c r="AA19" i="31"/>
  <c r="AD18" i="31"/>
  <c r="AA18" i="31"/>
  <c r="AD17" i="31"/>
  <c r="AA17" i="31"/>
  <c r="AD16" i="31"/>
  <c r="AA16" i="31"/>
  <c r="AD15" i="31"/>
  <c r="AA15" i="31"/>
  <c r="AD14" i="31"/>
  <c r="AA14" i="31"/>
  <c r="AD13" i="31"/>
  <c r="AA13" i="31"/>
  <c r="AD12" i="31"/>
  <c r="AA12" i="31"/>
  <c r="AD11" i="31"/>
  <c r="AA11" i="31"/>
  <c r="AD10" i="31"/>
  <c r="AA10" i="31"/>
  <c r="AD9" i="31"/>
  <c r="AA9" i="31"/>
  <c r="AD8" i="31"/>
  <c r="AA8" i="31"/>
  <c r="AD7" i="31"/>
  <c r="AA7" i="31"/>
  <c r="AD27" i="32"/>
  <c r="AA27" i="32"/>
  <c r="AD26" i="32"/>
  <c r="AA26" i="32"/>
  <c r="AD25" i="32"/>
  <c r="AA25" i="32"/>
  <c r="AD24" i="32"/>
  <c r="AA24" i="32"/>
  <c r="AD23" i="32"/>
  <c r="AA23" i="32"/>
  <c r="AD22" i="32"/>
  <c r="AA22" i="32"/>
  <c r="AD21" i="32"/>
  <c r="AA21" i="32"/>
  <c r="AD20" i="32"/>
  <c r="AA20" i="32"/>
  <c r="AD19" i="32"/>
  <c r="AA19" i="32"/>
  <c r="AD18" i="32"/>
  <c r="AA18" i="32"/>
  <c r="AD17" i="32"/>
  <c r="AA17" i="32"/>
  <c r="AD16" i="32"/>
  <c r="AA16" i="32"/>
  <c r="AD15" i="32"/>
  <c r="AA15" i="32"/>
  <c r="AD14" i="32"/>
  <c r="AA14" i="32"/>
  <c r="AD13" i="32"/>
  <c r="AA13" i="32"/>
  <c r="AD12" i="32"/>
  <c r="AA12" i="32"/>
  <c r="AD11" i="32"/>
  <c r="AA11" i="32"/>
  <c r="AD10" i="32"/>
  <c r="AA10" i="32"/>
  <c r="AD9" i="32"/>
  <c r="AA9" i="32"/>
  <c r="AD8" i="32"/>
  <c r="AA8" i="32"/>
  <c r="AD7" i="32"/>
  <c r="AA7" i="32"/>
  <c r="AD27" i="33"/>
  <c r="AA27" i="33"/>
  <c r="AD26" i="33"/>
  <c r="AA26" i="33"/>
  <c r="AD25" i="33"/>
  <c r="AA25" i="33"/>
  <c r="AD24" i="33"/>
  <c r="AA24" i="33"/>
  <c r="AD23" i="33"/>
  <c r="AA23" i="33"/>
  <c r="AD22" i="33"/>
  <c r="AA22" i="33"/>
  <c r="AD21" i="33"/>
  <c r="AA21" i="33"/>
  <c r="AD20" i="33"/>
  <c r="AA20" i="33"/>
  <c r="AD19" i="33"/>
  <c r="AA19" i="33"/>
  <c r="AD18" i="33"/>
  <c r="AA18" i="33"/>
  <c r="AD17" i="33"/>
  <c r="AA17" i="33"/>
  <c r="AD16" i="33"/>
  <c r="AA16" i="33"/>
  <c r="AD15" i="33"/>
  <c r="AA15" i="33"/>
  <c r="AD14" i="33"/>
  <c r="AA14" i="33"/>
  <c r="AD13" i="33"/>
  <c r="AA13" i="33"/>
  <c r="AD12" i="33"/>
  <c r="AA12" i="33"/>
  <c r="AD11" i="33"/>
  <c r="AA11" i="33"/>
  <c r="AD10" i="33"/>
  <c r="AA10" i="33"/>
  <c r="AD9" i="33"/>
  <c r="AA9" i="33"/>
  <c r="AD8" i="33"/>
  <c r="AA8" i="33"/>
  <c r="AD7" i="33"/>
  <c r="AA7" i="33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5" i="32"/>
  <c r="T45" i="32"/>
  <c r="R45" i="32"/>
  <c r="O45" i="32"/>
  <c r="M45" i="32"/>
  <c r="J45" i="32"/>
  <c r="W39" i="32"/>
  <c r="T39" i="32"/>
  <c r="R39" i="32"/>
  <c r="O39" i="32"/>
  <c r="W37" i="32"/>
  <c r="T37" i="32"/>
  <c r="R37" i="32"/>
  <c r="W36" i="32"/>
  <c r="W35" i="32"/>
  <c r="W34" i="32"/>
  <c r="T34" i="32"/>
  <c r="W33" i="32"/>
  <c r="T33" i="32"/>
  <c r="R33" i="32"/>
  <c r="O33" i="32"/>
  <c r="W32" i="32"/>
  <c r="T32" i="32"/>
  <c r="R32" i="32"/>
  <c r="O32" i="32"/>
  <c r="W30" i="32"/>
  <c r="T30" i="32"/>
  <c r="R30" i="32"/>
  <c r="O30" i="32"/>
  <c r="M30" i="32"/>
  <c r="J30" i="32"/>
  <c r="W29" i="32"/>
  <c r="T29" i="32"/>
  <c r="R29" i="32"/>
  <c r="O29" i="32"/>
  <c r="M29" i="32"/>
  <c r="J29" i="32"/>
  <c r="W28" i="32"/>
  <c r="T28" i="32"/>
  <c r="R28" i="32"/>
  <c r="O28" i="32"/>
  <c r="M28" i="32"/>
  <c r="J28" i="32"/>
  <c r="W23" i="32"/>
  <c r="T23" i="32"/>
  <c r="R23" i="32"/>
  <c r="O23" i="32"/>
  <c r="M23" i="32"/>
  <c r="J23" i="32"/>
  <c r="W22" i="32"/>
  <c r="T22" i="32"/>
  <c r="R22" i="32"/>
  <c r="O22" i="32"/>
  <c r="M22" i="32"/>
  <c r="J22" i="32"/>
  <c r="W21" i="32"/>
  <c r="T21" i="32"/>
  <c r="R21" i="32"/>
  <c r="O21" i="32"/>
  <c r="M21" i="32"/>
  <c r="J21" i="32"/>
  <c r="W20" i="32"/>
  <c r="T20" i="32"/>
  <c r="R20" i="32"/>
  <c r="O20" i="32"/>
  <c r="M20" i="32"/>
  <c r="J20" i="32"/>
  <c r="W19" i="32"/>
  <c r="T19" i="32"/>
  <c r="R19" i="32"/>
  <c r="O19" i="32"/>
  <c r="M19" i="32"/>
  <c r="J19" i="32"/>
  <c r="W18" i="32"/>
  <c r="T18" i="32"/>
  <c r="R18" i="32"/>
  <c r="O18" i="32"/>
  <c r="M18" i="32"/>
  <c r="J18" i="32"/>
  <c r="W17" i="32"/>
  <c r="T17" i="32"/>
  <c r="R17" i="32"/>
  <c r="O17" i="32"/>
  <c r="M17" i="32"/>
  <c r="J17" i="32"/>
  <c r="W16" i="32"/>
  <c r="T16" i="32"/>
  <c r="R16" i="32"/>
  <c r="O16" i="32"/>
  <c r="M16" i="32"/>
  <c r="J16" i="32"/>
  <c r="W15" i="32"/>
  <c r="T15" i="32"/>
  <c r="R15" i="32"/>
  <c r="O15" i="32"/>
  <c r="M15" i="32"/>
  <c r="J15" i="32"/>
  <c r="W14" i="32"/>
  <c r="T14" i="32"/>
  <c r="R14" i="32"/>
  <c r="O14" i="32"/>
  <c r="M14" i="32"/>
  <c r="J14" i="32"/>
  <c r="W13" i="32"/>
  <c r="T13" i="32"/>
  <c r="R13" i="32"/>
  <c r="O13" i="32"/>
  <c r="M13" i="32"/>
  <c r="J13" i="32"/>
  <c r="W12" i="32"/>
  <c r="T12" i="32"/>
  <c r="R12" i="32"/>
  <c r="O12" i="32"/>
  <c r="M12" i="32"/>
  <c r="J12" i="32"/>
  <c r="W11" i="32"/>
  <c r="T11" i="32"/>
  <c r="R11" i="32"/>
  <c r="O11" i="32"/>
  <c r="M11" i="32"/>
  <c r="J11" i="32"/>
  <c r="W10" i="32"/>
  <c r="T10" i="32"/>
  <c r="R10" i="32"/>
  <c r="O10" i="32"/>
  <c r="M10" i="32"/>
  <c r="J10" i="32"/>
  <c r="W9" i="32"/>
  <c r="T9" i="32"/>
  <c r="R9" i="32"/>
  <c r="O9" i="32"/>
  <c r="M9" i="32"/>
  <c r="J9" i="32"/>
  <c r="W8" i="32"/>
  <c r="T8" i="32"/>
  <c r="R8" i="32"/>
  <c r="O8" i="32"/>
  <c r="M8" i="32"/>
  <c r="J8" i="32"/>
  <c r="W7" i="32"/>
  <c r="T7" i="32"/>
  <c r="R7" i="32"/>
  <c r="O7" i="32"/>
  <c r="M7" i="32"/>
  <c r="J7" i="32"/>
  <c r="W45" i="33"/>
  <c r="T45" i="33"/>
  <c r="R45" i="33"/>
  <c r="O45" i="33"/>
  <c r="M45" i="33"/>
  <c r="J45" i="33"/>
  <c r="W39" i="33"/>
  <c r="T39" i="33"/>
  <c r="R39" i="33"/>
  <c r="O39" i="33"/>
  <c r="W37" i="33"/>
  <c r="T37" i="33"/>
  <c r="R37" i="33"/>
  <c r="W36" i="33"/>
  <c r="W35" i="33"/>
  <c r="W34" i="33"/>
  <c r="T34" i="33"/>
  <c r="W33" i="33"/>
  <c r="T33" i="33"/>
  <c r="R33" i="33"/>
  <c r="O33" i="33"/>
  <c r="W32" i="33"/>
  <c r="T32" i="33"/>
  <c r="R32" i="33"/>
  <c r="O32" i="33"/>
  <c r="W30" i="33"/>
  <c r="T30" i="33"/>
  <c r="R30" i="33"/>
  <c r="O30" i="33"/>
  <c r="M30" i="33"/>
  <c r="J30" i="33"/>
  <c r="W29" i="33"/>
  <c r="T29" i="33"/>
  <c r="R29" i="33"/>
  <c r="O29" i="33"/>
  <c r="M29" i="33"/>
  <c r="J29" i="33"/>
  <c r="W28" i="33"/>
  <c r="T28" i="33"/>
  <c r="R28" i="33"/>
  <c r="O28" i="33"/>
  <c r="M28" i="33"/>
  <c r="J28" i="33"/>
  <c r="W23" i="33"/>
  <c r="T23" i="33"/>
  <c r="R23" i="33"/>
  <c r="O23" i="33"/>
  <c r="M23" i="33"/>
  <c r="J23" i="33"/>
  <c r="W22" i="33"/>
  <c r="T22" i="33"/>
  <c r="R22" i="33"/>
  <c r="O22" i="33"/>
  <c r="M22" i="33"/>
  <c r="J22" i="33"/>
  <c r="W21" i="33"/>
  <c r="T21" i="33"/>
  <c r="R21" i="33"/>
  <c r="O21" i="33"/>
  <c r="M21" i="33"/>
  <c r="J21" i="33"/>
  <c r="W20" i="33"/>
  <c r="T20" i="33"/>
  <c r="R20" i="33"/>
  <c r="O20" i="33"/>
  <c r="M20" i="33"/>
  <c r="J20" i="33"/>
  <c r="W19" i="33"/>
  <c r="T19" i="33"/>
  <c r="R19" i="33"/>
  <c r="O19" i="33"/>
  <c r="M19" i="33"/>
  <c r="J19" i="33"/>
  <c r="W18" i="33"/>
  <c r="T18" i="33"/>
  <c r="R18" i="33"/>
  <c r="O18" i="33"/>
  <c r="M18" i="33"/>
  <c r="J18" i="33"/>
  <c r="W17" i="33"/>
  <c r="T17" i="33"/>
  <c r="R17" i="33"/>
  <c r="O17" i="33"/>
  <c r="M17" i="33"/>
  <c r="J17" i="33"/>
  <c r="W16" i="33"/>
  <c r="T16" i="33"/>
  <c r="R16" i="33"/>
  <c r="O16" i="33"/>
  <c r="M16" i="33"/>
  <c r="J16" i="33"/>
  <c r="W15" i="33"/>
  <c r="T15" i="33"/>
  <c r="R15" i="33"/>
  <c r="O15" i="33"/>
  <c r="M15" i="33"/>
  <c r="J15" i="33"/>
  <c r="W14" i="33"/>
  <c r="T14" i="33"/>
  <c r="R14" i="33"/>
  <c r="O14" i="33"/>
  <c r="M14" i="33"/>
  <c r="J14" i="33"/>
  <c r="W13" i="33"/>
  <c r="T13" i="33"/>
  <c r="R13" i="33"/>
  <c r="O13" i="33"/>
  <c r="M13" i="33"/>
  <c r="J13" i="33"/>
  <c r="W12" i="33"/>
  <c r="T12" i="33"/>
  <c r="R12" i="33"/>
  <c r="O12" i="33"/>
  <c r="M12" i="33"/>
  <c r="J12" i="33"/>
  <c r="W11" i="33"/>
  <c r="T11" i="33"/>
  <c r="R11" i="33"/>
  <c r="O11" i="33"/>
  <c r="M11" i="33"/>
  <c r="J11" i="33"/>
  <c r="W10" i="33"/>
  <c r="T10" i="33"/>
  <c r="R10" i="33"/>
  <c r="O10" i="33"/>
  <c r="M10" i="33"/>
  <c r="J10" i="33"/>
  <c r="W9" i="33"/>
  <c r="T9" i="33"/>
  <c r="R9" i="33"/>
  <c r="O9" i="33"/>
  <c r="M9" i="33"/>
  <c r="J9" i="33"/>
  <c r="W8" i="33"/>
  <c r="T8" i="33"/>
  <c r="R8" i="33"/>
  <c r="O8" i="33"/>
  <c r="M8" i="33"/>
  <c r="J8" i="33"/>
  <c r="W7" i="33"/>
  <c r="T7" i="33"/>
  <c r="R7" i="33"/>
  <c r="O7" i="33"/>
  <c r="M7" i="33"/>
  <c r="J7" i="33"/>
  <c r="M38" i="1" l="1"/>
  <c r="J38" i="1"/>
  <c r="H38" i="1"/>
  <c r="E38" i="1"/>
  <c r="M27" i="1"/>
  <c r="J27" i="1"/>
  <c r="H27" i="1"/>
  <c r="E27" i="1"/>
  <c r="M26" i="1"/>
  <c r="J26" i="1"/>
  <c r="H26" i="1"/>
  <c r="E26" i="1"/>
  <c r="M25" i="1"/>
  <c r="J25" i="1"/>
  <c r="H25" i="1"/>
  <c r="E25" i="1"/>
  <c r="V23" i="1"/>
  <c r="M17" i="1"/>
  <c r="J17" i="1"/>
  <c r="H17" i="1"/>
  <c r="E17" i="1"/>
  <c r="M16" i="1"/>
  <c r="J16" i="1"/>
  <c r="H16" i="1"/>
  <c r="E16" i="1"/>
  <c r="M15" i="1"/>
  <c r="J15" i="1"/>
  <c r="H15" i="1"/>
  <c r="E15" i="1"/>
  <c r="E18" i="1" s="1"/>
  <c r="M12" i="1"/>
  <c r="J12" i="1"/>
  <c r="H12" i="1"/>
  <c r="E12" i="1"/>
  <c r="M11" i="1"/>
  <c r="J11" i="1"/>
  <c r="H11" i="1"/>
  <c r="E11" i="1"/>
  <c r="M10" i="1"/>
  <c r="J10" i="1"/>
  <c r="H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V28" i="1"/>
  <c r="V27" i="1"/>
  <c r="T28" i="1"/>
  <c r="S28" i="1"/>
  <c r="T27" i="1"/>
  <c r="S27" i="1"/>
  <c r="V20" i="1"/>
  <c r="V19" i="1"/>
  <c r="V18" i="1"/>
  <c r="V17" i="1"/>
  <c r="V16" i="1"/>
  <c r="V15" i="1"/>
  <c r="V14" i="1"/>
  <c r="V13" i="1"/>
  <c r="V11" i="1"/>
  <c r="V10" i="1"/>
  <c r="V9" i="1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I36" i="34"/>
  <c r="F36" i="34"/>
  <c r="I25" i="34"/>
  <c r="N25" i="34" s="1"/>
  <c r="F25" i="34"/>
  <c r="K25" i="34" s="1"/>
  <c r="I24" i="34"/>
  <c r="N24" i="34" s="1"/>
  <c r="F24" i="34"/>
  <c r="K24" i="34" s="1"/>
  <c r="I16" i="34"/>
  <c r="N16" i="34" s="1"/>
  <c r="F16" i="34"/>
  <c r="K16" i="34" s="1"/>
  <c r="I15" i="34"/>
  <c r="N15" i="34" s="1"/>
  <c r="F15" i="34"/>
  <c r="K15" i="34" s="1"/>
  <c r="I13" i="34"/>
  <c r="N13" i="34" s="1"/>
  <c r="F13" i="34"/>
  <c r="K13" i="34" s="1"/>
  <c r="I12" i="34"/>
  <c r="N12" i="34" s="1"/>
  <c r="F12" i="34"/>
  <c r="K12" i="34" s="1"/>
  <c r="I10" i="34"/>
  <c r="N10" i="34" s="1"/>
  <c r="F10" i="34"/>
  <c r="K10" i="34" s="1"/>
  <c r="J13" i="1" l="1"/>
  <c r="H18" i="1"/>
  <c r="J18" i="1"/>
  <c r="M18" i="1"/>
  <c r="M13" i="1"/>
  <c r="M28" i="1"/>
  <c r="E28" i="1"/>
  <c r="H28" i="1"/>
  <c r="J28" i="1"/>
  <c r="E13" i="1"/>
  <c r="H13" i="1"/>
  <c r="BA37" i="34"/>
  <c r="AZ37" i="34" l="1"/>
  <c r="AY37" i="34" l="1"/>
  <c r="M27" i="37" l="1"/>
  <c r="R25" i="37" l="1"/>
  <c r="R26" i="37"/>
  <c r="R27" i="37"/>
  <c r="M25" i="37"/>
  <c r="M26" i="37"/>
  <c r="R28" i="37" l="1"/>
  <c r="M28" i="37"/>
  <c r="T50" i="33" l="1"/>
  <c r="T50" i="32"/>
  <c r="AX37" i="34" l="1"/>
  <c r="AW37" i="34" l="1"/>
  <c r="AV37" i="34" l="1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F11" i="34"/>
  <c r="I20" i="34"/>
  <c r="I21" i="34" s="1"/>
  <c r="I22" i="34" l="1"/>
  <c r="I27" i="34" s="1"/>
  <c r="F22" i="34"/>
  <c r="I23" i="34" l="1"/>
  <c r="F27" i="34"/>
  <c r="F23" i="34"/>
  <c r="I37" i="34"/>
  <c r="I28" i="34"/>
  <c r="I38" i="34"/>
  <c r="F38" i="34" l="1"/>
  <c r="F28" i="34"/>
  <c r="F37" i="34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R25" i="33" l="1"/>
  <c r="W24" i="33"/>
  <c r="W25" i="33"/>
  <c r="R24" i="33"/>
  <c r="M24" i="33"/>
  <c r="R40" i="33"/>
  <c r="M26" i="33"/>
  <c r="R26" i="33"/>
  <c r="W40" i="33"/>
  <c r="M31" i="33"/>
  <c r="G4" i="35" s="1"/>
  <c r="W26" i="33"/>
  <c r="R31" i="33"/>
  <c r="N40" i="33"/>
  <c r="L40" i="33"/>
  <c r="M25" i="33"/>
  <c r="W31" i="33"/>
  <c r="G11" i="35" l="1"/>
  <c r="R27" i="33"/>
  <c r="G5" i="35" s="1"/>
  <c r="W27" i="33"/>
  <c r="M27" i="33"/>
  <c r="G3" i="35" s="1"/>
  <c r="G9" i="35" l="1"/>
  <c r="G10" i="35"/>
  <c r="M46" i="33"/>
  <c r="W42" i="33"/>
  <c r="R42" i="33"/>
  <c r="G8" i="35" s="1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G13" i="35" l="1"/>
  <c r="G14" i="35"/>
  <c r="G12" i="35"/>
  <c r="R46" i="33"/>
  <c r="W46" i="33"/>
  <c r="AG26" i="32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W24" i="32"/>
  <c r="L40" i="32"/>
  <c r="M31" i="32"/>
  <c r="AG23" i="32"/>
  <c r="W25" i="32"/>
  <c r="R24" i="32"/>
  <c r="M27" i="32" l="1"/>
  <c r="R27" i="32"/>
  <c r="W27" i="32"/>
  <c r="M46" i="32" l="1"/>
  <c r="W42" i="32"/>
  <c r="R42" i="32"/>
  <c r="R46" i="32" l="1"/>
  <c r="W46" i="32"/>
  <c r="M21" i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6" i="35" s="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7" i="35" l="1"/>
  <c r="W25" i="3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K41" i="2"/>
  <c r="J41" i="2"/>
  <c r="N40" i="2"/>
  <c r="L40" i="2"/>
  <c r="G40" i="2"/>
  <c r="Q38" i="2"/>
  <c r="M38" i="2"/>
  <c r="M41" i="2" s="1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N38" i="2" l="1"/>
  <c r="N41" i="2"/>
  <c r="L41" i="2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7" i="1" l="1"/>
  <c r="W28" i="1"/>
  <c r="T29" i="1" l="1"/>
  <c r="W29" i="1" s="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O32" i="2" l="1"/>
  <c r="O31" i="32"/>
  <c r="J32" i="31" l="1"/>
  <c r="J31" i="33"/>
  <c r="D4" i="35" s="1"/>
  <c r="O32" i="31" l="1"/>
  <c r="O31" i="33"/>
  <c r="D6" i="35" s="1"/>
  <c r="J57" i="31"/>
  <c r="E22" i="1" l="1"/>
  <c r="J22" i="1" l="1"/>
  <c r="E33" i="1" l="1"/>
  <c r="J33" i="1"/>
  <c r="T32" i="2" l="1"/>
  <c r="T31" i="32"/>
  <c r="T49" i="32" l="1"/>
  <c r="T32" i="31"/>
  <c r="T31" i="33"/>
  <c r="T51" i="2"/>
  <c r="D11" i="35" l="1"/>
  <c r="T49" i="33"/>
  <c r="T51" i="31"/>
  <c r="J58" i="31"/>
  <c r="J26" i="2" l="1"/>
  <c r="J26" i="32"/>
  <c r="O26" i="2"/>
  <c r="O26" i="32"/>
  <c r="J27" i="32" l="1"/>
  <c r="J27" i="2"/>
  <c r="O27" i="32"/>
  <c r="O27" i="2"/>
  <c r="J26" i="33" l="1"/>
  <c r="O26" i="33"/>
  <c r="J26" i="31"/>
  <c r="J47" i="2"/>
  <c r="O43" i="2"/>
  <c r="O47" i="2" s="1"/>
  <c r="O42" i="32"/>
  <c r="O26" i="31"/>
  <c r="E14" i="1"/>
  <c r="J46" i="32"/>
  <c r="O46" i="32" l="1"/>
  <c r="O49" i="2"/>
  <c r="O27" i="31"/>
  <c r="J27" i="33"/>
  <c r="D3" i="35" s="1"/>
  <c r="O27" i="33"/>
  <c r="D5" i="35" s="1"/>
  <c r="J27" i="31"/>
  <c r="O50" i="2" l="1"/>
  <c r="J14" i="1"/>
  <c r="O43" i="31"/>
  <c r="O47" i="31" s="1"/>
  <c r="J46" i="33"/>
  <c r="J47" i="31"/>
  <c r="O42" i="33"/>
  <c r="D8" i="35" s="1"/>
  <c r="D7" i="35" l="1"/>
  <c r="O49" i="31"/>
  <c r="O46" i="33"/>
  <c r="O50" i="31" l="1"/>
  <c r="T24" i="2" l="1"/>
  <c r="T24" i="32"/>
  <c r="T24" i="33" l="1"/>
  <c r="T24" i="31"/>
  <c r="T25" i="2" l="1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E31" i="1"/>
  <c r="J31" i="1" l="1"/>
  <c r="J23" i="1"/>
  <c r="J19" i="1"/>
  <c r="T26" i="31"/>
  <c r="T26" i="33"/>
  <c r="T27" i="33" l="1"/>
  <c r="T27" i="31"/>
  <c r="J24" i="1"/>
  <c r="D9" i="35" l="1"/>
  <c r="D10" i="35"/>
  <c r="T48" i="33"/>
  <c r="S34" i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S36" i="1" l="1"/>
  <c r="T43" i="2"/>
  <c r="T53" i="31"/>
  <c r="T55" i="31" s="1"/>
  <c r="T62" i="31"/>
  <c r="T69" i="31"/>
  <c r="T40" i="33"/>
  <c r="T63" i="2"/>
  <c r="E36" i="1"/>
  <c r="E40" i="1"/>
  <c r="E39" i="1"/>
  <c r="T41" i="31"/>
  <c r="J35" i="1"/>
  <c r="S35" i="1" l="1"/>
  <c r="J40" i="1"/>
  <c r="J36" i="1"/>
  <c r="J39" i="1"/>
  <c r="T42" i="33"/>
  <c r="T54" i="31"/>
  <c r="T68" i="2"/>
  <c r="T69" i="2" s="1"/>
  <c r="T44" i="2"/>
  <c r="T47" i="2"/>
  <c r="T63" i="31"/>
  <c r="T43" i="31"/>
  <c r="D13" i="35" l="1"/>
  <c r="T51" i="33"/>
  <c r="T52" i="33" s="1"/>
  <c r="T43" i="33"/>
  <c r="T46" i="33"/>
  <c r="T71" i="31"/>
  <c r="T44" i="31"/>
  <c r="T47" i="31"/>
  <c r="D14" i="35" l="1"/>
  <c r="D12" i="35"/>
  <c r="T72" i="31"/>
  <c r="T25" i="32" l="1"/>
  <c r="T27" i="32" s="1"/>
  <c r="T48" i="32" l="1"/>
  <c r="T42" i="32"/>
  <c r="T46" i="32" l="1"/>
  <c r="T43" i="32"/>
  <c r="T51" i="32"/>
  <c r="T52" i="32" s="1"/>
  <c r="AG10" i="33" l="1"/>
  <c r="AG10" i="31"/>
  <c r="AG18" i="33" l="1"/>
  <c r="AG18" i="31"/>
  <c r="AG17" i="31" l="1"/>
  <c r="AG17" i="33"/>
  <c r="AG23" i="33" l="1"/>
  <c r="AG23" i="31"/>
  <c r="AG25" i="33" l="1"/>
  <c r="AG25" i="31"/>
  <c r="AG26" i="33"/>
  <c r="AG26" i="31"/>
  <c r="AG19" i="33" l="1"/>
  <c r="AG19" i="31"/>
  <c r="AG20" i="31"/>
  <c r="AG20" i="33"/>
  <c r="AG12" i="31"/>
  <c r="AG12" i="33"/>
  <c r="AB27" i="37"/>
  <c r="W27" i="37"/>
  <c r="AG22" i="31"/>
  <c r="AG22" i="33"/>
  <c r="AG11" i="31"/>
  <c r="AG11" i="33"/>
  <c r="W25" i="37"/>
  <c r="AG16" i="33" l="1"/>
  <c r="AG16" i="31"/>
  <c r="AG21" i="31"/>
  <c r="AG21" i="33"/>
  <c r="AG8" i="31"/>
  <c r="AG8" i="33"/>
  <c r="AG14" i="31"/>
  <c r="AG14" i="33"/>
  <c r="AG9" i="33"/>
  <c r="AG9" i="31"/>
  <c r="AB26" i="37"/>
  <c r="W26" i="37"/>
  <c r="W28" i="37" s="1"/>
  <c r="AG15" i="33"/>
  <c r="AG15" i="31"/>
  <c r="AB25" i="37" l="1"/>
  <c r="AB28" i="37" s="1"/>
  <c r="AG13" i="33"/>
  <c r="AG13" i="31"/>
  <c r="AG7" i="31" l="1"/>
  <c r="AG7" i="33"/>
  <c r="AG27" i="31" l="1"/>
  <c r="AG27" i="33"/>
  <c r="AG24" i="31"/>
  <c r="AG24" i="33"/>
  <c r="N11" i="34" l="1"/>
  <c r="N14" i="34"/>
  <c r="K17" i="34"/>
  <c r="N20" i="34"/>
  <c r="N21" i="34" s="1"/>
  <c r="N26" i="34"/>
  <c r="K26" i="34"/>
  <c r="K20" i="34"/>
  <c r="K21" i="34" s="1"/>
  <c r="K11" i="34"/>
  <c r="K18" i="34"/>
  <c r="K19" i="34" s="1"/>
  <c r="K14" i="34"/>
  <c r="N17" i="34"/>
  <c r="N18" i="34"/>
  <c r="N19" i="34" s="1"/>
  <c r="K22" i="34" l="1"/>
  <c r="K27" i="34" s="1"/>
  <c r="K28" i="34" s="1"/>
  <c r="N22" i="34"/>
  <c r="K23" i="34" l="1"/>
  <c r="N23" i="34"/>
  <c r="N27" i="34"/>
  <c r="N28" i="34" s="1"/>
  <c r="G24" i="34" l="1"/>
  <c r="G15" i="34"/>
  <c r="G12" i="34"/>
  <c r="G10" i="34" l="1"/>
  <c r="L12" i="34"/>
  <c r="J12" i="34"/>
  <c r="H12" i="34"/>
  <c r="G11" i="34"/>
  <c r="G18" i="34"/>
  <c r="L15" i="34"/>
  <c r="J15" i="34"/>
  <c r="H15" i="34"/>
  <c r="L24" i="34"/>
  <c r="H24" i="34"/>
  <c r="J24" i="34"/>
  <c r="T23" i="1"/>
  <c r="W23" i="1" s="1"/>
  <c r="O15" i="34" l="1"/>
  <c r="M15" i="34"/>
  <c r="L10" i="34"/>
  <c r="L11" i="34" s="1"/>
  <c r="J10" i="34"/>
  <c r="H10" i="34"/>
  <c r="M12" i="34"/>
  <c r="O12" i="34"/>
  <c r="L18" i="34"/>
  <c r="J18" i="34"/>
  <c r="G19" i="34"/>
  <c r="H18" i="34"/>
  <c r="J11" i="34"/>
  <c r="H11" i="34"/>
  <c r="G36" i="34"/>
  <c r="G25" i="34"/>
  <c r="O24" i="34"/>
  <c r="M24" i="34"/>
  <c r="J19" i="34" l="1"/>
  <c r="H19" i="34"/>
  <c r="M11" i="34"/>
  <c r="O11" i="34"/>
  <c r="O18" i="34"/>
  <c r="L19" i="34"/>
  <c r="M18" i="34"/>
  <c r="O10" i="34"/>
  <c r="M10" i="34"/>
  <c r="L25" i="34"/>
  <c r="H25" i="34"/>
  <c r="J25" i="34"/>
  <c r="G26" i="34"/>
  <c r="BA38" i="34"/>
  <c r="M19" i="34" l="1"/>
  <c r="O19" i="34"/>
  <c r="H26" i="34"/>
  <c r="J26" i="34"/>
  <c r="M25" i="34"/>
  <c r="O25" i="34"/>
  <c r="L26" i="34"/>
  <c r="BA39" i="34"/>
  <c r="O26" i="34" l="1"/>
  <c r="M26" i="34"/>
  <c r="AZ38" i="34"/>
  <c r="AZ39" i="34" l="1"/>
  <c r="AY39" i="34" l="1"/>
  <c r="AY38" i="34"/>
  <c r="AX38" i="34" l="1"/>
  <c r="AW38" i="34" l="1"/>
  <c r="AW39" i="34"/>
  <c r="AV38" i="34" l="1"/>
  <c r="AV39" i="34" l="1"/>
  <c r="AU38" i="34" l="1"/>
  <c r="AU39" i="34" l="1"/>
  <c r="AT39" i="34" l="1"/>
  <c r="AT38" i="34" l="1"/>
  <c r="AS39" i="34" l="1"/>
  <c r="AS38" i="34" l="1"/>
  <c r="G16" i="34" l="1"/>
  <c r="L16" i="34" l="1"/>
  <c r="G17" i="34"/>
  <c r="J16" i="34"/>
  <c r="H16" i="34"/>
  <c r="S23" i="1"/>
  <c r="U23" i="1" s="1"/>
  <c r="G13" i="34"/>
  <c r="S24" i="1"/>
  <c r="H17" i="34" l="1"/>
  <c r="J17" i="34"/>
  <c r="L13" i="34"/>
  <c r="G20" i="34"/>
  <c r="G14" i="34"/>
  <c r="H13" i="34"/>
  <c r="J13" i="34"/>
  <c r="L17" i="34"/>
  <c r="M16" i="34"/>
  <c r="O16" i="34"/>
  <c r="T24" i="1" l="1"/>
  <c r="V24" i="1"/>
  <c r="L14" i="34"/>
  <c r="M13" i="34"/>
  <c r="L20" i="34"/>
  <c r="O13" i="34"/>
  <c r="M17" i="34"/>
  <c r="O17" i="34"/>
  <c r="J14" i="34"/>
  <c r="H14" i="34"/>
  <c r="G21" i="34"/>
  <c r="J20" i="34"/>
  <c r="H20" i="34"/>
  <c r="G22" i="34"/>
  <c r="W24" i="1" l="1"/>
  <c r="U24" i="1"/>
  <c r="G23" i="34"/>
  <c r="G27" i="34"/>
  <c r="H22" i="34"/>
  <c r="J22" i="34"/>
  <c r="M20" i="34"/>
  <c r="L22" i="34"/>
  <c r="L21" i="34"/>
  <c r="O20" i="34"/>
  <c r="J21" i="34"/>
  <c r="H21" i="34"/>
  <c r="O14" i="34"/>
  <c r="M14" i="34"/>
  <c r="M21" i="34" l="1"/>
  <c r="O21" i="34"/>
  <c r="L27" i="34"/>
  <c r="L23" i="34"/>
  <c r="O22" i="34"/>
  <c r="M22" i="34"/>
  <c r="G37" i="34"/>
  <c r="J27" i="34"/>
  <c r="G38" i="34"/>
  <c r="G28" i="34"/>
  <c r="H27" i="34"/>
  <c r="J23" i="34"/>
  <c r="H23" i="34"/>
  <c r="AR38" i="34"/>
  <c r="J28" i="34" l="1"/>
  <c r="H28" i="34"/>
  <c r="L28" i="34"/>
  <c r="M27" i="34"/>
  <c r="O27" i="34"/>
  <c r="M23" i="34"/>
  <c r="O23" i="34"/>
  <c r="AR39" i="34"/>
  <c r="O28" i="34" l="1"/>
  <c r="M28" i="34"/>
  <c r="AQ39" i="34" l="1"/>
  <c r="AQ38" i="34" l="1"/>
  <c r="AX39" i="34" l="1"/>
  <c r="U38" i="32" l="1"/>
  <c r="U39" i="2"/>
  <c r="V39" i="2" l="1"/>
  <c r="X39" i="2"/>
  <c r="V38" i="32"/>
  <c r="X38" i="32"/>
  <c r="P20" i="2" l="1"/>
  <c r="P20" i="32"/>
  <c r="P23" i="32"/>
  <c r="P23" i="2"/>
  <c r="P21" i="32"/>
  <c r="P21" i="2"/>
  <c r="K9" i="2"/>
  <c r="K9" i="32"/>
  <c r="K8" i="32"/>
  <c r="K8" i="2"/>
  <c r="K10" i="2"/>
  <c r="K10" i="32"/>
  <c r="K12" i="2"/>
  <c r="K12" i="32"/>
  <c r="K16" i="2"/>
  <c r="K16" i="32"/>
  <c r="K14" i="32"/>
  <c r="K14" i="2"/>
  <c r="K19" i="32"/>
  <c r="K19" i="2"/>
  <c r="K23" i="32"/>
  <c r="K23" i="2"/>
  <c r="K21" i="32"/>
  <c r="K21" i="2"/>
  <c r="K20" i="2"/>
  <c r="K20" i="32"/>
  <c r="K17" i="2"/>
  <c r="K17" i="32"/>
  <c r="K31" i="2"/>
  <c r="K30" i="32"/>
  <c r="K13" i="2"/>
  <c r="K13" i="32"/>
  <c r="K18" i="32"/>
  <c r="K18" i="2"/>
  <c r="K15" i="32"/>
  <c r="K15" i="2"/>
  <c r="K29" i="32"/>
  <c r="K30" i="2"/>
  <c r="F16" i="1"/>
  <c r="P16" i="2" l="1"/>
  <c r="P16" i="32"/>
  <c r="P14" i="2"/>
  <c r="P14" i="32"/>
  <c r="P12" i="2"/>
  <c r="P12" i="32"/>
  <c r="P11" i="32"/>
  <c r="P11" i="2"/>
  <c r="P10" i="32"/>
  <c r="P10" i="2"/>
  <c r="I16" i="1"/>
  <c r="G16" i="1"/>
  <c r="P9" i="2"/>
  <c r="P9" i="32"/>
  <c r="S21" i="32"/>
  <c r="Q21" i="32"/>
  <c r="P28" i="2"/>
  <c r="F11" i="1"/>
  <c r="P19" i="2"/>
  <c r="P19" i="32"/>
  <c r="P13" i="32"/>
  <c r="P13" i="2"/>
  <c r="S23" i="32"/>
  <c r="Q23" i="32"/>
  <c r="P15" i="2"/>
  <c r="P15" i="32"/>
  <c r="P29" i="2"/>
  <c r="P28" i="32"/>
  <c r="Q21" i="2"/>
  <c r="S21" i="2"/>
  <c r="P18" i="2"/>
  <c r="P18" i="32"/>
  <c r="P30" i="2"/>
  <c r="P29" i="32"/>
  <c r="P31" i="2"/>
  <c r="P30" i="32"/>
  <c r="Q23" i="2"/>
  <c r="S23" i="2"/>
  <c r="P8" i="2"/>
  <c r="P8" i="32"/>
  <c r="P17" i="2"/>
  <c r="P17" i="32"/>
  <c r="S20" i="32"/>
  <c r="Q20" i="32"/>
  <c r="P22" i="2"/>
  <c r="P22" i="32"/>
  <c r="P7" i="2"/>
  <c r="P7" i="32"/>
  <c r="S20" i="2"/>
  <c r="Q20" i="2"/>
  <c r="N19" i="32"/>
  <c r="F19" i="32"/>
  <c r="L19" i="32"/>
  <c r="N30" i="2"/>
  <c r="L30" i="2"/>
  <c r="L14" i="2"/>
  <c r="N14" i="2"/>
  <c r="K22" i="32"/>
  <c r="K22" i="2"/>
  <c r="L15" i="2"/>
  <c r="N15" i="2"/>
  <c r="L16" i="32"/>
  <c r="F16" i="32"/>
  <c r="N16" i="32"/>
  <c r="L15" i="32"/>
  <c r="N15" i="32"/>
  <c r="F15" i="32"/>
  <c r="L16" i="2"/>
  <c r="N16" i="2"/>
  <c r="F21" i="32"/>
  <c r="L21" i="32"/>
  <c r="N21" i="32"/>
  <c r="F14" i="32"/>
  <c r="L14" i="32"/>
  <c r="N14" i="32"/>
  <c r="L18" i="2"/>
  <c r="N18" i="2"/>
  <c r="N12" i="32"/>
  <c r="F12" i="32"/>
  <c r="L12" i="32"/>
  <c r="K29" i="2"/>
  <c r="K28" i="32"/>
  <c r="F23" i="32"/>
  <c r="L23" i="32"/>
  <c r="N23" i="32"/>
  <c r="K7" i="32"/>
  <c r="K7" i="2"/>
  <c r="L18" i="32"/>
  <c r="N18" i="32"/>
  <c r="F18" i="32"/>
  <c r="L12" i="2"/>
  <c r="N12" i="2"/>
  <c r="K11" i="2"/>
  <c r="K11" i="32"/>
  <c r="L13" i="32"/>
  <c r="F13" i="32"/>
  <c r="N13" i="32"/>
  <c r="N10" i="32"/>
  <c r="F10" i="32"/>
  <c r="L10" i="32"/>
  <c r="N13" i="2"/>
  <c r="L13" i="2"/>
  <c r="N10" i="2"/>
  <c r="L10" i="2"/>
  <c r="F20" i="32"/>
  <c r="N20" i="32"/>
  <c r="L20" i="32"/>
  <c r="L30" i="32"/>
  <c r="F30" i="32"/>
  <c r="N30" i="32"/>
  <c r="L8" i="2"/>
  <c r="N8" i="2"/>
  <c r="N21" i="2"/>
  <c r="L21" i="2"/>
  <c r="N19" i="2"/>
  <c r="L19" i="2"/>
  <c r="L31" i="2"/>
  <c r="N31" i="2"/>
  <c r="N8" i="32"/>
  <c r="L8" i="32"/>
  <c r="F8" i="32"/>
  <c r="L23" i="2"/>
  <c r="N23" i="2"/>
  <c r="N29" i="32"/>
  <c r="F29" i="32"/>
  <c r="L29" i="32"/>
  <c r="F17" i="32"/>
  <c r="N17" i="32"/>
  <c r="L17" i="32"/>
  <c r="N9" i="32"/>
  <c r="L9" i="32"/>
  <c r="F9" i="32"/>
  <c r="N20" i="2"/>
  <c r="L20" i="2"/>
  <c r="L17" i="2"/>
  <c r="N17" i="2"/>
  <c r="N9" i="2"/>
  <c r="L9" i="2"/>
  <c r="F10" i="1"/>
  <c r="F7" i="1"/>
  <c r="F9" i="1"/>
  <c r="F12" i="1"/>
  <c r="S30" i="2" l="1"/>
  <c r="Q30" i="2"/>
  <c r="S9" i="2"/>
  <c r="Q9" i="2"/>
  <c r="Q18" i="32"/>
  <c r="S18" i="32"/>
  <c r="S19" i="2"/>
  <c r="P26" i="2"/>
  <c r="Q19" i="2"/>
  <c r="P34" i="2"/>
  <c r="P33" i="32"/>
  <c r="S18" i="2"/>
  <c r="Q18" i="2"/>
  <c r="F15" i="1"/>
  <c r="F20" i="1" s="1"/>
  <c r="Q10" i="2"/>
  <c r="S10" i="2"/>
  <c r="P32" i="32"/>
  <c r="P33" i="2"/>
  <c r="I10" i="1"/>
  <c r="G10" i="1"/>
  <c r="S10" i="32"/>
  <c r="Q10" i="32"/>
  <c r="Q14" i="32"/>
  <c r="S14" i="32"/>
  <c r="S19" i="32"/>
  <c r="P26" i="32"/>
  <c r="Q19" i="32"/>
  <c r="G11" i="1"/>
  <c r="F21" i="1"/>
  <c r="I11" i="1"/>
  <c r="S9" i="32"/>
  <c r="Q9" i="32"/>
  <c r="G12" i="1"/>
  <c r="I12" i="1"/>
  <c r="Q28" i="32"/>
  <c r="S28" i="32"/>
  <c r="P31" i="32"/>
  <c r="P25" i="32"/>
  <c r="Q11" i="32"/>
  <c r="S11" i="32"/>
  <c r="Q12" i="32"/>
  <c r="S12" i="32"/>
  <c r="S15" i="2"/>
  <c r="Q15" i="2"/>
  <c r="F17" i="1"/>
  <c r="F22" i="1" s="1"/>
  <c r="Q14" i="2"/>
  <c r="S14" i="2"/>
  <c r="S8" i="32"/>
  <c r="Q8" i="32"/>
  <c r="S8" i="2"/>
  <c r="Q8" i="2"/>
  <c r="S28" i="2"/>
  <c r="Q28" i="2"/>
  <c r="S31" i="2"/>
  <c r="Q31" i="2"/>
  <c r="P25" i="2"/>
  <c r="Q11" i="2"/>
  <c r="S11" i="2"/>
  <c r="P24" i="2"/>
  <c r="Q7" i="2"/>
  <c r="S7" i="2"/>
  <c r="Q15" i="32"/>
  <c r="S15" i="32"/>
  <c r="S22" i="2"/>
  <c r="Q22" i="2"/>
  <c r="S17" i="32"/>
  <c r="Q17" i="32"/>
  <c r="Q13" i="2"/>
  <c r="S13" i="2"/>
  <c r="Q16" i="32"/>
  <c r="S16" i="32"/>
  <c r="S30" i="32"/>
  <c r="Q30" i="32"/>
  <c r="S29" i="32"/>
  <c r="Q29" i="32"/>
  <c r="P24" i="32"/>
  <c r="S7" i="32"/>
  <c r="Q7" i="32"/>
  <c r="S29" i="2"/>
  <c r="Q29" i="2"/>
  <c r="P32" i="2"/>
  <c r="S22" i="32"/>
  <c r="Q22" i="32"/>
  <c r="S12" i="2"/>
  <c r="Q12" i="2"/>
  <c r="Q17" i="2"/>
  <c r="S17" i="2"/>
  <c r="Q13" i="32"/>
  <c r="S13" i="32"/>
  <c r="Q16" i="2"/>
  <c r="S16" i="2"/>
  <c r="G9" i="1"/>
  <c r="I9" i="1"/>
  <c r="N28" i="32"/>
  <c r="L28" i="32"/>
  <c r="K31" i="32"/>
  <c r="F28" i="32"/>
  <c r="N22" i="2"/>
  <c r="L22" i="2"/>
  <c r="K26" i="32"/>
  <c r="L22" i="32"/>
  <c r="F22" i="32"/>
  <c r="N22" i="32"/>
  <c r="K26" i="2"/>
  <c r="K32" i="2"/>
  <c r="N29" i="2"/>
  <c r="L29" i="2"/>
  <c r="G7" i="1"/>
  <c r="I7" i="1"/>
  <c r="N11" i="32"/>
  <c r="F11" i="32"/>
  <c r="L11" i="32"/>
  <c r="K25" i="32"/>
  <c r="F7" i="32"/>
  <c r="K24" i="32"/>
  <c r="N7" i="32"/>
  <c r="L7" i="32"/>
  <c r="N11" i="2"/>
  <c r="L11" i="2"/>
  <c r="K25" i="2"/>
  <c r="L7" i="2"/>
  <c r="N7" i="2"/>
  <c r="K24" i="2"/>
  <c r="U14" i="32" l="1"/>
  <c r="U14" i="2"/>
  <c r="U16" i="32"/>
  <c r="U16" i="2"/>
  <c r="S25" i="2"/>
  <c r="Q25" i="2"/>
  <c r="S33" i="32"/>
  <c r="Q33" i="32"/>
  <c r="U13" i="32"/>
  <c r="U13" i="2"/>
  <c r="U11" i="2"/>
  <c r="U11" i="32"/>
  <c r="U9" i="2"/>
  <c r="U9" i="32"/>
  <c r="F25" i="1"/>
  <c r="Q24" i="32"/>
  <c r="S24" i="32"/>
  <c r="P27" i="32"/>
  <c r="Q33" i="2"/>
  <c r="S33" i="2"/>
  <c r="F26" i="1"/>
  <c r="U15" i="2"/>
  <c r="U15" i="32"/>
  <c r="U7" i="32"/>
  <c r="U7" i="2"/>
  <c r="U23" i="2"/>
  <c r="U23" i="32"/>
  <c r="Q32" i="2"/>
  <c r="S32" i="2"/>
  <c r="U21" i="2"/>
  <c r="U21" i="32"/>
  <c r="I15" i="1"/>
  <c r="G15" i="1"/>
  <c r="U20" i="32"/>
  <c r="U20" i="2"/>
  <c r="S34" i="2"/>
  <c r="Q34" i="2"/>
  <c r="U17" i="2"/>
  <c r="U17" i="32"/>
  <c r="Q26" i="2"/>
  <c r="S26" i="2"/>
  <c r="U30" i="32"/>
  <c r="U31" i="2"/>
  <c r="U19" i="2"/>
  <c r="U19" i="32"/>
  <c r="S32" i="32"/>
  <c r="Q32" i="32"/>
  <c r="I21" i="1"/>
  <c r="G21" i="1"/>
  <c r="F32" i="1"/>
  <c r="P27" i="2"/>
  <c r="Q24" i="2"/>
  <c r="S24" i="2"/>
  <c r="G20" i="1"/>
  <c r="I20" i="1"/>
  <c r="G22" i="1"/>
  <c r="I22" i="1"/>
  <c r="U10" i="2"/>
  <c r="U10" i="32"/>
  <c r="I17" i="1"/>
  <c r="G17" i="1"/>
  <c r="U8" i="2"/>
  <c r="U8" i="32"/>
  <c r="S26" i="32"/>
  <c r="Q26" i="32"/>
  <c r="S25" i="32"/>
  <c r="Q25" i="32"/>
  <c r="U12" i="2"/>
  <c r="U12" i="32"/>
  <c r="U22" i="32"/>
  <c r="U22" i="2"/>
  <c r="U18" i="32"/>
  <c r="U18" i="2"/>
  <c r="S31" i="32"/>
  <c r="Q31" i="32"/>
  <c r="L25" i="2"/>
  <c r="F25" i="2"/>
  <c r="N25" i="2"/>
  <c r="N26" i="32"/>
  <c r="F26" i="32"/>
  <c r="L26" i="32"/>
  <c r="N24" i="2"/>
  <c r="K27" i="2"/>
  <c r="F24" i="2"/>
  <c r="L24" i="2"/>
  <c r="G46" i="32"/>
  <c r="L31" i="32"/>
  <c r="G31" i="32"/>
  <c r="N31" i="32"/>
  <c r="F46" i="32"/>
  <c r="F26" i="2"/>
  <c r="N26" i="2"/>
  <c r="L26" i="2"/>
  <c r="L24" i="32"/>
  <c r="N24" i="32"/>
  <c r="F24" i="32"/>
  <c r="K27" i="32"/>
  <c r="F47" i="2"/>
  <c r="L32" i="2"/>
  <c r="G47" i="2"/>
  <c r="N32" i="2"/>
  <c r="N25" i="32"/>
  <c r="L25" i="32"/>
  <c r="F25" i="32"/>
  <c r="K45" i="32"/>
  <c r="K46" i="2"/>
  <c r="K47" i="2" l="1"/>
  <c r="K46" i="32"/>
  <c r="I25" i="1"/>
  <c r="G25" i="1"/>
  <c r="X21" i="2"/>
  <c r="V21" i="2"/>
  <c r="V23" i="2"/>
  <c r="X23" i="2"/>
  <c r="V19" i="32"/>
  <c r="X19" i="32"/>
  <c r="U26" i="32"/>
  <c r="V19" i="2"/>
  <c r="X19" i="2"/>
  <c r="U26" i="2"/>
  <c r="X31" i="2"/>
  <c r="V31" i="2"/>
  <c r="X30" i="32"/>
  <c r="V30" i="32"/>
  <c r="G26" i="1"/>
  <c r="I26" i="1"/>
  <c r="U28" i="2"/>
  <c r="V21" i="32"/>
  <c r="X21" i="32"/>
  <c r="V8" i="32"/>
  <c r="X8" i="32"/>
  <c r="V13" i="32"/>
  <c r="X13" i="32"/>
  <c r="X15" i="32"/>
  <c r="V15" i="32"/>
  <c r="V10" i="2"/>
  <c r="X10" i="2"/>
  <c r="V17" i="32"/>
  <c r="X17" i="32"/>
  <c r="V16" i="2"/>
  <c r="X16" i="2"/>
  <c r="X22" i="2"/>
  <c r="V22" i="2"/>
  <c r="X20" i="32"/>
  <c r="V20" i="32"/>
  <c r="Q27" i="2"/>
  <c r="S27" i="2"/>
  <c r="V9" i="32"/>
  <c r="X9" i="32"/>
  <c r="V11" i="32"/>
  <c r="U25" i="32"/>
  <c r="X11" i="32"/>
  <c r="P39" i="32"/>
  <c r="F13" i="1"/>
  <c r="P40" i="2"/>
  <c r="P46" i="2"/>
  <c r="P45" i="32"/>
  <c r="V13" i="2"/>
  <c r="X13" i="2"/>
  <c r="V10" i="32"/>
  <c r="X10" i="32"/>
  <c r="X15" i="2"/>
  <c r="V15" i="2"/>
  <c r="X17" i="2"/>
  <c r="V17" i="2"/>
  <c r="V16" i="32"/>
  <c r="X16" i="32"/>
  <c r="X20" i="2"/>
  <c r="V20" i="2"/>
  <c r="X12" i="2"/>
  <c r="V12" i="2"/>
  <c r="G32" i="1"/>
  <c r="I32" i="1"/>
  <c r="V9" i="2"/>
  <c r="X9" i="2"/>
  <c r="V11" i="2"/>
  <c r="X11" i="2"/>
  <c r="U25" i="2"/>
  <c r="X23" i="32"/>
  <c r="V23" i="32"/>
  <c r="X8" i="2"/>
  <c r="V8" i="2"/>
  <c r="U24" i="2"/>
  <c r="V7" i="2"/>
  <c r="X7" i="2"/>
  <c r="X7" i="32"/>
  <c r="V7" i="32"/>
  <c r="U24" i="32"/>
  <c r="U33" i="2"/>
  <c r="U32" i="32"/>
  <c r="X18" i="2"/>
  <c r="V18" i="2"/>
  <c r="F30" i="1"/>
  <c r="X14" i="2"/>
  <c r="V14" i="2"/>
  <c r="V22" i="32"/>
  <c r="X22" i="32"/>
  <c r="X12" i="32"/>
  <c r="V12" i="32"/>
  <c r="X18" i="32"/>
  <c r="V18" i="32"/>
  <c r="S27" i="32"/>
  <c r="Q27" i="32"/>
  <c r="V14" i="32"/>
  <c r="X14" i="32"/>
  <c r="F27" i="2"/>
  <c r="L27" i="2"/>
  <c r="N27" i="2"/>
  <c r="F23" i="2"/>
  <c r="G27" i="2"/>
  <c r="N27" i="32"/>
  <c r="F27" i="32"/>
  <c r="G27" i="32"/>
  <c r="L27" i="32"/>
  <c r="X25" i="2" l="1"/>
  <c r="V25" i="2"/>
  <c r="V24" i="2"/>
  <c r="X24" i="2"/>
  <c r="U27" i="2"/>
  <c r="V26" i="2"/>
  <c r="X26" i="2"/>
  <c r="V26" i="32"/>
  <c r="X26" i="32"/>
  <c r="F31" i="1"/>
  <c r="G30" i="1"/>
  <c r="I30" i="1"/>
  <c r="X25" i="32"/>
  <c r="V25" i="32"/>
  <c r="X24" i="32"/>
  <c r="V24" i="32"/>
  <c r="U27" i="32"/>
  <c r="Q40" i="2"/>
  <c r="S40" i="2"/>
  <c r="P41" i="2"/>
  <c r="I13" i="1"/>
  <c r="G13" i="1"/>
  <c r="F14" i="1"/>
  <c r="S39" i="32"/>
  <c r="Q39" i="32"/>
  <c r="P40" i="32"/>
  <c r="X32" i="32"/>
  <c r="V32" i="32"/>
  <c r="X33" i="2"/>
  <c r="V33" i="2"/>
  <c r="T32" i="1"/>
  <c r="X28" i="2"/>
  <c r="V28" i="2"/>
  <c r="U33" i="32"/>
  <c r="U50" i="32" s="1"/>
  <c r="V50" i="32" s="1"/>
  <c r="U34" i="2"/>
  <c r="U52" i="2" s="1"/>
  <c r="U58" i="2" l="1"/>
  <c r="V58" i="2" s="1"/>
  <c r="X27" i="32"/>
  <c r="V27" i="32"/>
  <c r="I31" i="1"/>
  <c r="G31" i="1"/>
  <c r="I14" i="1"/>
  <c r="G14" i="1"/>
  <c r="V34" i="2"/>
  <c r="X34" i="2"/>
  <c r="T33" i="1"/>
  <c r="V33" i="32"/>
  <c r="X33" i="32"/>
  <c r="S41" i="2"/>
  <c r="Q41" i="2"/>
  <c r="P43" i="2"/>
  <c r="V52" i="2"/>
  <c r="Q40" i="32"/>
  <c r="S40" i="32"/>
  <c r="P42" i="32"/>
  <c r="X27" i="2"/>
  <c r="V27" i="2"/>
  <c r="U32" i="1"/>
  <c r="W32" i="1"/>
  <c r="U33" i="1" l="1"/>
  <c r="W33" i="1"/>
  <c r="P43" i="32"/>
  <c r="Q42" i="32"/>
  <c r="R43" i="32"/>
  <c r="S42" i="32"/>
  <c r="G42" i="32"/>
  <c r="P46" i="32"/>
  <c r="G43" i="2"/>
  <c r="P49" i="2"/>
  <c r="Q43" i="2"/>
  <c r="R44" i="2"/>
  <c r="S43" i="2"/>
  <c r="P44" i="2"/>
  <c r="P47" i="2"/>
  <c r="P50" i="2" l="1"/>
  <c r="Q49" i="2"/>
  <c r="Q50" i="2" l="1"/>
  <c r="Q51" i="2"/>
  <c r="U38" i="33" l="1"/>
  <c r="U39" i="31"/>
  <c r="X39" i="31" l="1"/>
  <c r="V39" i="31"/>
  <c r="X38" i="33"/>
  <c r="V38" i="33"/>
  <c r="P20" i="31" l="1"/>
  <c r="P20" i="33"/>
  <c r="P18" i="31"/>
  <c r="P18" i="33"/>
  <c r="P23" i="31"/>
  <c r="P23" i="33"/>
  <c r="P21" i="33"/>
  <c r="P21" i="31"/>
  <c r="P31" i="31" l="1"/>
  <c r="P30" i="33"/>
  <c r="Q23" i="33"/>
  <c r="S23" i="33"/>
  <c r="Q18" i="33"/>
  <c r="S18" i="33"/>
  <c r="P19" i="33"/>
  <c r="P19" i="31"/>
  <c r="Q21" i="33"/>
  <c r="S21" i="33"/>
  <c r="Q21" i="31"/>
  <c r="S21" i="31"/>
  <c r="Q20" i="33"/>
  <c r="S20" i="33"/>
  <c r="S23" i="31"/>
  <c r="Q23" i="31"/>
  <c r="P22" i="31"/>
  <c r="P22" i="33"/>
  <c r="S18" i="31"/>
  <c r="Q18" i="31"/>
  <c r="Q20" i="31"/>
  <c r="S20" i="31"/>
  <c r="K30" i="33"/>
  <c r="K31" i="31"/>
  <c r="K29" i="33"/>
  <c r="K30" i="31"/>
  <c r="K9" i="33"/>
  <c r="K9" i="31"/>
  <c r="K8" i="31"/>
  <c r="K8" i="33"/>
  <c r="K7" i="31"/>
  <c r="K7" i="33"/>
  <c r="S22" i="31" l="1"/>
  <c r="Q22" i="31"/>
  <c r="P26" i="33"/>
  <c r="S19" i="33"/>
  <c r="Q19" i="33"/>
  <c r="Q22" i="33"/>
  <c r="S22" i="33"/>
  <c r="Q30" i="33"/>
  <c r="S30" i="33"/>
  <c r="S19" i="31"/>
  <c r="Q19" i="31"/>
  <c r="P26" i="31"/>
  <c r="Q31" i="31"/>
  <c r="S31" i="31"/>
  <c r="K13" i="31"/>
  <c r="K13" i="33"/>
  <c r="K10" i="33"/>
  <c r="K10" i="31"/>
  <c r="K24" i="31" s="1"/>
  <c r="K21" i="33"/>
  <c r="K21" i="31"/>
  <c r="L7" i="31"/>
  <c r="N7" i="31"/>
  <c r="K18" i="31"/>
  <c r="K18" i="33"/>
  <c r="K16" i="33"/>
  <c r="K16" i="31"/>
  <c r="K15" i="31"/>
  <c r="K15" i="33"/>
  <c r="K17" i="33"/>
  <c r="K17" i="31"/>
  <c r="K23" i="31"/>
  <c r="K23" i="33"/>
  <c r="L8" i="33"/>
  <c r="AI8" i="33"/>
  <c r="N8" i="33"/>
  <c r="L7" i="33"/>
  <c r="AI7" i="33"/>
  <c r="N7" i="33"/>
  <c r="K20" i="31"/>
  <c r="K20" i="33"/>
  <c r="L8" i="31"/>
  <c r="N8" i="31"/>
  <c r="K11" i="33"/>
  <c r="K11" i="31"/>
  <c r="N9" i="31"/>
  <c r="L9" i="31"/>
  <c r="AI9" i="33"/>
  <c r="L9" i="33"/>
  <c r="N9" i="33"/>
  <c r="K29" i="31"/>
  <c r="K28" i="33"/>
  <c r="N30" i="31"/>
  <c r="F30" i="31"/>
  <c r="L30" i="31"/>
  <c r="K22" i="33"/>
  <c r="K22" i="31"/>
  <c r="N29" i="33"/>
  <c r="L29" i="33"/>
  <c r="K14" i="33"/>
  <c r="K14" i="31"/>
  <c r="K19" i="33"/>
  <c r="K19" i="31"/>
  <c r="F31" i="31"/>
  <c r="L31" i="31"/>
  <c r="N31" i="31"/>
  <c r="K12" i="31"/>
  <c r="K12" i="33"/>
  <c r="L30" i="33"/>
  <c r="N30" i="33"/>
  <c r="K9" i="1"/>
  <c r="K7" i="1"/>
  <c r="Q26" i="31" l="1"/>
  <c r="S26" i="31"/>
  <c r="Q26" i="33"/>
  <c r="S26" i="33"/>
  <c r="U18" i="31"/>
  <c r="U18" i="33"/>
  <c r="U19" i="33"/>
  <c r="U19" i="31"/>
  <c r="K25" i="31"/>
  <c r="N11" i="31"/>
  <c r="L11" i="31"/>
  <c r="AI18" i="33"/>
  <c r="L18" i="33"/>
  <c r="N18" i="33"/>
  <c r="N23" i="31"/>
  <c r="L23" i="31"/>
  <c r="N9" i="1"/>
  <c r="L9" i="1"/>
  <c r="N11" i="33"/>
  <c r="L11" i="33"/>
  <c r="AI11" i="33"/>
  <c r="K25" i="33"/>
  <c r="L18" i="31"/>
  <c r="N18" i="31"/>
  <c r="N19" i="31"/>
  <c r="K26" i="31"/>
  <c r="L19" i="31"/>
  <c r="F24" i="31"/>
  <c r="N24" i="31"/>
  <c r="L24" i="31"/>
  <c r="L16" i="31"/>
  <c r="N16" i="31"/>
  <c r="N19" i="33"/>
  <c r="L19" i="33"/>
  <c r="AI19" i="33"/>
  <c r="K26" i="33"/>
  <c r="N17" i="31"/>
  <c r="L17" i="31"/>
  <c r="N14" i="31"/>
  <c r="L14" i="31"/>
  <c r="L20" i="33"/>
  <c r="AI20" i="33"/>
  <c r="N20" i="33"/>
  <c r="N12" i="31"/>
  <c r="L12" i="31"/>
  <c r="L20" i="31"/>
  <c r="N20" i="31"/>
  <c r="L21" i="31"/>
  <c r="N21" i="31"/>
  <c r="K31" i="33"/>
  <c r="N28" i="33"/>
  <c r="L28" i="33"/>
  <c r="N7" i="1"/>
  <c r="L7" i="1"/>
  <c r="L21" i="33"/>
  <c r="AI21" i="33"/>
  <c r="N21" i="33"/>
  <c r="K32" i="31"/>
  <c r="F29" i="31"/>
  <c r="L29" i="31"/>
  <c r="N29" i="31"/>
  <c r="L12" i="33"/>
  <c r="AI12" i="33"/>
  <c r="N12" i="33"/>
  <c r="N10" i="31"/>
  <c r="L10" i="31"/>
  <c r="AI23" i="33"/>
  <c r="N23" i="33"/>
  <c r="L23" i="33"/>
  <c r="AI17" i="33"/>
  <c r="N17" i="33"/>
  <c r="L17" i="33"/>
  <c r="L15" i="31"/>
  <c r="N15" i="31"/>
  <c r="N22" i="31"/>
  <c r="L22" i="31"/>
  <c r="K24" i="33"/>
  <c r="AI10" i="33"/>
  <c r="N10" i="33"/>
  <c r="L10" i="33"/>
  <c r="N14" i="33"/>
  <c r="AI14" i="33"/>
  <c r="L14" i="33"/>
  <c r="L22" i="33"/>
  <c r="N22" i="33"/>
  <c r="AI22" i="33"/>
  <c r="L13" i="33"/>
  <c r="AI13" i="33"/>
  <c r="N13" i="33"/>
  <c r="N15" i="33"/>
  <c r="AI15" i="33"/>
  <c r="L15" i="33"/>
  <c r="AI16" i="33"/>
  <c r="L16" i="33"/>
  <c r="N16" i="33"/>
  <c r="N13" i="31"/>
  <c r="L13" i="31"/>
  <c r="X18" i="31" l="1"/>
  <c r="V18" i="31"/>
  <c r="V19" i="33"/>
  <c r="X19" i="33"/>
  <c r="X19" i="31"/>
  <c r="V19" i="31"/>
  <c r="X18" i="33"/>
  <c r="V18" i="33"/>
  <c r="F26" i="31"/>
  <c r="N26" i="31"/>
  <c r="L26" i="31"/>
  <c r="F32" i="31"/>
  <c r="K57" i="31"/>
  <c r="L57" i="31" s="1"/>
  <c r="L32" i="31"/>
  <c r="M45" i="31"/>
  <c r="K45" i="31"/>
  <c r="N32" i="31"/>
  <c r="N24" i="33"/>
  <c r="K27" i="33"/>
  <c r="AI24" i="33"/>
  <c r="F24" i="33"/>
  <c r="L24" i="33"/>
  <c r="L26" i="33"/>
  <c r="AI26" i="33"/>
  <c r="N26" i="33"/>
  <c r="F26" i="33"/>
  <c r="L25" i="33"/>
  <c r="N25" i="33"/>
  <c r="AI25" i="33"/>
  <c r="F25" i="33"/>
  <c r="K46" i="31"/>
  <c r="K45" i="33"/>
  <c r="K44" i="33"/>
  <c r="E4" i="35"/>
  <c r="M44" i="33"/>
  <c r="L31" i="33"/>
  <c r="N31" i="33"/>
  <c r="K27" i="31"/>
  <c r="F25" i="31"/>
  <c r="N25" i="31"/>
  <c r="L25" i="31"/>
  <c r="U22" i="31" l="1"/>
  <c r="U22" i="33"/>
  <c r="U23" i="31"/>
  <c r="U23" i="33"/>
  <c r="U20" i="31"/>
  <c r="U20" i="33"/>
  <c r="U21" i="33"/>
  <c r="U21" i="31"/>
  <c r="N27" i="31"/>
  <c r="G27" i="31"/>
  <c r="F27" i="31"/>
  <c r="F23" i="31"/>
  <c r="L27" i="31"/>
  <c r="H4" i="35"/>
  <c r="F4" i="35"/>
  <c r="AI27" i="33"/>
  <c r="L27" i="33"/>
  <c r="G27" i="33"/>
  <c r="F27" i="33"/>
  <c r="N27" i="33"/>
  <c r="E3" i="35"/>
  <c r="K46" i="33"/>
  <c r="K47" i="31"/>
  <c r="X21" i="31" l="1"/>
  <c r="V21" i="31"/>
  <c r="X23" i="33"/>
  <c r="V23" i="33"/>
  <c r="X21" i="33"/>
  <c r="V21" i="33"/>
  <c r="X23" i="31"/>
  <c r="V23" i="31"/>
  <c r="X20" i="33"/>
  <c r="V20" i="33"/>
  <c r="U26" i="33"/>
  <c r="X22" i="33"/>
  <c r="V22" i="33"/>
  <c r="V20" i="31"/>
  <c r="X20" i="31"/>
  <c r="U26" i="31"/>
  <c r="X22" i="31"/>
  <c r="V22" i="31"/>
  <c r="F3" i="35"/>
  <c r="H3" i="35"/>
  <c r="AK26" i="33" l="1"/>
  <c r="X26" i="33"/>
  <c r="V26" i="33"/>
  <c r="V26" i="31"/>
  <c r="X26" i="31"/>
  <c r="P10" i="31" l="1"/>
  <c r="P10" i="33"/>
  <c r="Q10" i="33" l="1"/>
  <c r="S10" i="33"/>
  <c r="S10" i="31"/>
  <c r="Q10" i="31"/>
  <c r="P8" i="31" l="1"/>
  <c r="P8" i="33"/>
  <c r="P7" i="33"/>
  <c r="P7" i="31"/>
  <c r="K11" i="1"/>
  <c r="P28" i="31"/>
  <c r="P13" i="31"/>
  <c r="P13" i="33"/>
  <c r="P9" i="33"/>
  <c r="P9" i="31"/>
  <c r="P17" i="33"/>
  <c r="P17" i="31"/>
  <c r="P11" i="31"/>
  <c r="P11" i="33"/>
  <c r="P16" i="33"/>
  <c r="P16" i="31"/>
  <c r="P12" i="33"/>
  <c r="P12" i="31"/>
  <c r="P29" i="33"/>
  <c r="P30" i="31"/>
  <c r="P29" i="31" l="1"/>
  <c r="P28" i="33"/>
  <c r="S12" i="31"/>
  <c r="Q12" i="31"/>
  <c r="Q16" i="31"/>
  <c r="S16" i="31"/>
  <c r="S11" i="33"/>
  <c r="Q11" i="33"/>
  <c r="S11" i="31"/>
  <c r="Q11" i="31"/>
  <c r="P14" i="31"/>
  <c r="P14" i="33"/>
  <c r="S17" i="31"/>
  <c r="Q17" i="31"/>
  <c r="Q17" i="33"/>
  <c r="S17" i="33"/>
  <c r="Q9" i="33"/>
  <c r="S9" i="33"/>
  <c r="S13" i="31"/>
  <c r="Q13" i="31"/>
  <c r="N11" i="1"/>
  <c r="L11" i="1"/>
  <c r="Q7" i="33"/>
  <c r="P24" i="33"/>
  <c r="S7" i="33"/>
  <c r="Q30" i="31"/>
  <c r="S30" i="31"/>
  <c r="S16" i="33"/>
  <c r="Q16" i="33"/>
  <c r="Q13" i="33"/>
  <c r="S13" i="33"/>
  <c r="P15" i="33"/>
  <c r="P15" i="31"/>
  <c r="Q7" i="31"/>
  <c r="S7" i="31"/>
  <c r="P24" i="31"/>
  <c r="S8" i="33"/>
  <c r="Q8" i="33"/>
  <c r="Q29" i="33"/>
  <c r="S29" i="33"/>
  <c r="S12" i="33"/>
  <c r="Q12" i="33"/>
  <c r="S9" i="31"/>
  <c r="Q9" i="31"/>
  <c r="AJ28" i="31"/>
  <c r="Q28" i="31"/>
  <c r="AK28" i="31"/>
  <c r="S28" i="31"/>
  <c r="Q8" i="31"/>
  <c r="S8" i="31"/>
  <c r="K12" i="1"/>
  <c r="K10" i="1"/>
  <c r="P25" i="31" l="1"/>
  <c r="Q25" i="31"/>
  <c r="S25" i="31"/>
  <c r="P27" i="31"/>
  <c r="Q24" i="31"/>
  <c r="S24" i="31"/>
  <c r="S15" i="33"/>
  <c r="Q15" i="33"/>
  <c r="Q14" i="33"/>
  <c r="S14" i="33"/>
  <c r="S14" i="31"/>
  <c r="Q14" i="31"/>
  <c r="L10" i="1"/>
  <c r="N10" i="1"/>
  <c r="P25" i="33"/>
  <c r="S28" i="33"/>
  <c r="P31" i="33"/>
  <c r="Q28" i="33"/>
  <c r="L12" i="1"/>
  <c r="N12" i="1"/>
  <c r="Q15" i="31"/>
  <c r="S15" i="31"/>
  <c r="Q24" i="33"/>
  <c r="S24" i="33"/>
  <c r="S29" i="31"/>
  <c r="Q29" i="31"/>
  <c r="P32" i="31"/>
  <c r="E6" i="35" l="1"/>
  <c r="S31" i="33"/>
  <c r="Q31" i="33"/>
  <c r="Q25" i="33"/>
  <c r="S25" i="33"/>
  <c r="P27" i="33"/>
  <c r="Q27" i="31"/>
  <c r="S27" i="31"/>
  <c r="S32" i="31"/>
  <c r="AJ32" i="31"/>
  <c r="AK32" i="31"/>
  <c r="Q32" i="31"/>
  <c r="Q27" i="33" l="1"/>
  <c r="S27" i="33"/>
  <c r="E5" i="35"/>
  <c r="P33" i="31"/>
  <c r="P32" i="33"/>
  <c r="F6" i="35"/>
  <c r="H6" i="35"/>
  <c r="P33" i="33" l="1"/>
  <c r="P34" i="31"/>
  <c r="Q32" i="33"/>
  <c r="S32" i="33"/>
  <c r="H5" i="35"/>
  <c r="F5" i="35"/>
  <c r="S33" i="31"/>
  <c r="Q33" i="31"/>
  <c r="P46" i="31" l="1"/>
  <c r="P45" i="33"/>
  <c r="P39" i="33"/>
  <c r="P40" i="31"/>
  <c r="K13" i="1"/>
  <c r="Q34" i="31"/>
  <c r="S34" i="31"/>
  <c r="Q33" i="33"/>
  <c r="S33" i="33"/>
  <c r="L13" i="1" l="1"/>
  <c r="N13" i="1"/>
  <c r="K14" i="1"/>
  <c r="S40" i="31"/>
  <c r="Q40" i="31"/>
  <c r="P41" i="31"/>
  <c r="Q39" i="33"/>
  <c r="S39" i="33"/>
  <c r="P40" i="33"/>
  <c r="N14" i="1" l="1"/>
  <c r="L14" i="1"/>
  <c r="Q40" i="33"/>
  <c r="S40" i="33"/>
  <c r="P42" i="33"/>
  <c r="AK41" i="31"/>
  <c r="Q41" i="31"/>
  <c r="S41" i="31"/>
  <c r="AJ41" i="31"/>
  <c r="P43" i="31"/>
  <c r="AK43" i="31" l="1"/>
  <c r="S43" i="31"/>
  <c r="R44" i="31"/>
  <c r="G43" i="31"/>
  <c r="P49" i="31"/>
  <c r="P44" i="31"/>
  <c r="AJ43" i="31"/>
  <c r="Q43" i="31"/>
  <c r="P47" i="31"/>
  <c r="E8" i="35"/>
  <c r="P43" i="33"/>
  <c r="R43" i="33"/>
  <c r="Q42" i="33"/>
  <c r="G42" i="33"/>
  <c r="S42" i="33"/>
  <c r="P46" i="33"/>
  <c r="F8" i="35" l="1"/>
  <c r="H8" i="35"/>
  <c r="E7" i="35"/>
  <c r="Q49" i="31"/>
  <c r="P50" i="31"/>
  <c r="Q50" i="31" l="1"/>
  <c r="Q51" i="31"/>
  <c r="F7" i="35"/>
  <c r="H7" i="35"/>
  <c r="K16" i="1" l="1"/>
  <c r="N16" i="1" l="1"/>
  <c r="L16" i="1"/>
  <c r="K21" i="1"/>
  <c r="N21" i="1" l="1"/>
  <c r="L21" i="1"/>
  <c r="K17" i="1" l="1"/>
  <c r="K15" i="1"/>
  <c r="L15" i="1" l="1"/>
  <c r="N15" i="1"/>
  <c r="K20" i="1"/>
  <c r="N17" i="1"/>
  <c r="L17" i="1"/>
  <c r="K22" i="1"/>
  <c r="U33" i="33" l="1"/>
  <c r="U34" i="31"/>
  <c r="N22" i="1"/>
  <c r="L22" i="1"/>
  <c r="L20" i="1"/>
  <c r="N20" i="1"/>
  <c r="X34" i="31" l="1"/>
  <c r="V34" i="31"/>
  <c r="V33" i="33"/>
  <c r="X33" i="33"/>
  <c r="U10" i="31" l="1"/>
  <c r="U10" i="33"/>
  <c r="X10" i="33" l="1"/>
  <c r="V10" i="33"/>
  <c r="X10" i="31"/>
  <c r="V10" i="31"/>
  <c r="U8" i="33" l="1"/>
  <c r="U8" i="31"/>
  <c r="U7" i="33"/>
  <c r="U7" i="31"/>
  <c r="V7" i="31" l="1"/>
  <c r="X7" i="31"/>
  <c r="X7" i="33"/>
  <c r="V7" i="33"/>
  <c r="X8" i="31"/>
  <c r="V8" i="31"/>
  <c r="U9" i="33"/>
  <c r="U9" i="31"/>
  <c r="V8" i="33"/>
  <c r="X8" i="33"/>
  <c r="U24" i="33" l="1"/>
  <c r="X9" i="33"/>
  <c r="V9" i="33"/>
  <c r="U24" i="31"/>
  <c r="V9" i="31"/>
  <c r="X9" i="31"/>
  <c r="X24" i="31" l="1"/>
  <c r="V24" i="31"/>
  <c r="AK24" i="33"/>
  <c r="V24" i="33"/>
  <c r="X24" i="33"/>
  <c r="U17" i="33" l="1"/>
  <c r="U17" i="31"/>
  <c r="X17" i="31" l="1"/>
  <c r="V17" i="31"/>
  <c r="X17" i="33"/>
  <c r="V17" i="33"/>
  <c r="U16" i="31" l="1"/>
  <c r="U16" i="33"/>
  <c r="V16" i="33" l="1"/>
  <c r="X16" i="33"/>
  <c r="V16" i="31"/>
  <c r="X16" i="31"/>
  <c r="U12" i="33" l="1"/>
  <c r="U12" i="31"/>
  <c r="U11" i="31"/>
  <c r="U11" i="33"/>
  <c r="U15" i="33" l="1"/>
  <c r="U15" i="31"/>
  <c r="V11" i="31"/>
  <c r="X11" i="31"/>
  <c r="V11" i="33"/>
  <c r="X11" i="33"/>
  <c r="V12" i="31"/>
  <c r="X12" i="31"/>
  <c r="X12" i="33"/>
  <c r="V12" i="33"/>
  <c r="U14" i="33" l="1"/>
  <c r="U14" i="31"/>
  <c r="V15" i="31"/>
  <c r="X15" i="31"/>
  <c r="V15" i="33"/>
  <c r="X15" i="33"/>
  <c r="K25" i="1"/>
  <c r="L25" i="1" l="1"/>
  <c r="N25" i="1"/>
  <c r="K30" i="1"/>
  <c r="X14" i="31"/>
  <c r="V14" i="31"/>
  <c r="U13" i="31"/>
  <c r="U13" i="33"/>
  <c r="X14" i="33"/>
  <c r="V14" i="33"/>
  <c r="V13" i="31" l="1"/>
  <c r="X13" i="31"/>
  <c r="U25" i="31"/>
  <c r="K31" i="1"/>
  <c r="L30" i="1"/>
  <c r="N30" i="1"/>
  <c r="V13" i="33"/>
  <c r="X13" i="33"/>
  <c r="U25" i="33"/>
  <c r="N31" i="1" l="1"/>
  <c r="L31" i="1"/>
  <c r="V25" i="31"/>
  <c r="X25" i="31"/>
  <c r="U27" i="31"/>
  <c r="V25" i="33"/>
  <c r="AK25" i="33"/>
  <c r="X25" i="33"/>
  <c r="U27" i="33"/>
  <c r="V27" i="33" l="1"/>
  <c r="AK27" i="33"/>
  <c r="X27" i="33"/>
  <c r="X27" i="31"/>
  <c r="V27" i="31"/>
  <c r="U32" i="33" l="1"/>
  <c r="U33" i="31"/>
  <c r="U58" i="31" l="1"/>
  <c r="U52" i="31"/>
  <c r="X33" i="31"/>
  <c r="V33" i="31"/>
  <c r="V32" i="33"/>
  <c r="X32" i="33"/>
  <c r="U50" i="33"/>
  <c r="V50" i="33" s="1"/>
  <c r="V52" i="31" l="1"/>
  <c r="V58" i="31"/>
  <c r="U30" i="33" l="1"/>
  <c r="U31" i="31"/>
  <c r="K26" i="1"/>
  <c r="X30" i="33" l="1"/>
  <c r="V30" i="33"/>
  <c r="N26" i="1"/>
  <c r="L26" i="1"/>
  <c r="K32" i="1"/>
  <c r="V31" i="31"/>
  <c r="X31" i="31"/>
  <c r="U28" i="31"/>
  <c r="X28" i="31" l="1"/>
  <c r="V28" i="31"/>
  <c r="N32" i="1"/>
  <c r="L32" i="1"/>
  <c r="U36" i="32" l="1"/>
  <c r="U37" i="2"/>
  <c r="U37" i="31" l="1"/>
  <c r="U36" i="33"/>
  <c r="X37" i="2"/>
  <c r="U60" i="2"/>
  <c r="V60" i="2" s="1"/>
  <c r="V37" i="2"/>
  <c r="X36" i="32"/>
  <c r="V36" i="32"/>
  <c r="X36" i="33" l="1"/>
  <c r="V36" i="33"/>
  <c r="U60" i="31"/>
  <c r="V60" i="31" s="1"/>
  <c r="X37" i="31"/>
  <c r="V37" i="31"/>
  <c r="U35" i="32" l="1"/>
  <c r="U36" i="2"/>
  <c r="X36" i="2" l="1"/>
  <c r="V36" i="2"/>
  <c r="U59" i="2"/>
  <c r="U35" i="33"/>
  <c r="U36" i="31"/>
  <c r="X35" i="32"/>
  <c r="V35" i="32"/>
  <c r="V36" i="31" l="1"/>
  <c r="X36" i="31"/>
  <c r="U59" i="31"/>
  <c r="V35" i="33"/>
  <c r="X35" i="33"/>
  <c r="V59" i="2"/>
  <c r="V59" i="31" l="1"/>
  <c r="K28" i="2" l="1"/>
  <c r="F8" i="1"/>
  <c r="G8" i="1" l="1"/>
  <c r="I8" i="1"/>
  <c r="N28" i="2"/>
  <c r="G46" i="2"/>
  <c r="L28" i="2"/>
  <c r="F46" i="2"/>
  <c r="K8" i="1" l="1"/>
  <c r="K28" i="31"/>
  <c r="L28" i="31" l="1"/>
  <c r="K44" i="31"/>
  <c r="M44" i="31"/>
  <c r="N28" i="31"/>
  <c r="N8" i="1"/>
  <c r="L8" i="1"/>
  <c r="U37" i="32" l="1"/>
  <c r="U38" i="2"/>
  <c r="U37" i="33" l="1"/>
  <c r="U38" i="31"/>
  <c r="X38" i="2"/>
  <c r="U61" i="2"/>
  <c r="V38" i="2"/>
  <c r="X37" i="32"/>
  <c r="V37" i="32"/>
  <c r="V38" i="31" l="1"/>
  <c r="U61" i="31"/>
  <c r="X38" i="31"/>
  <c r="V61" i="2"/>
  <c r="X37" i="33"/>
  <c r="V37" i="33"/>
  <c r="V61" i="31" l="1"/>
  <c r="F27" i="1" l="1"/>
  <c r="U30" i="31" l="1"/>
  <c r="U29" i="33"/>
  <c r="U30" i="2"/>
  <c r="U29" i="32"/>
  <c r="U28" i="32"/>
  <c r="U29" i="2"/>
  <c r="G27" i="1"/>
  <c r="I27" i="1"/>
  <c r="F33" i="1"/>
  <c r="K27" i="1"/>
  <c r="U32" i="2" l="1"/>
  <c r="X29" i="2"/>
  <c r="V29" i="2"/>
  <c r="U31" i="32"/>
  <c r="X28" i="32"/>
  <c r="V28" i="32"/>
  <c r="L27" i="1"/>
  <c r="N27" i="1"/>
  <c r="K33" i="1"/>
  <c r="U29" i="31"/>
  <c r="U28" i="33"/>
  <c r="V29" i="32"/>
  <c r="X29" i="32"/>
  <c r="I33" i="1"/>
  <c r="G33" i="1"/>
  <c r="V30" i="2"/>
  <c r="X30" i="2"/>
  <c r="X29" i="33"/>
  <c r="V29" i="33"/>
  <c r="X30" i="31"/>
  <c r="V30" i="31"/>
  <c r="U31" i="33" l="1"/>
  <c r="X28" i="33"/>
  <c r="V28" i="33"/>
  <c r="U35" i="31"/>
  <c r="U34" i="33"/>
  <c r="U35" i="2"/>
  <c r="U34" i="32"/>
  <c r="U32" i="31"/>
  <c r="V29" i="31"/>
  <c r="X29" i="31"/>
  <c r="V31" i="32"/>
  <c r="U49" i="32"/>
  <c r="V49" i="32" s="1"/>
  <c r="X31" i="32"/>
  <c r="U51" i="2"/>
  <c r="V51" i="2" s="1"/>
  <c r="V32" i="2"/>
  <c r="X32" i="2"/>
  <c r="N33" i="1"/>
  <c r="L33" i="1"/>
  <c r="F28" i="1"/>
  <c r="G28" i="1" l="1"/>
  <c r="I28" i="1"/>
  <c r="F29" i="1"/>
  <c r="V34" i="33"/>
  <c r="X34" i="33"/>
  <c r="E9" i="35"/>
  <c r="U48" i="33"/>
  <c r="V35" i="31"/>
  <c r="X35" i="31"/>
  <c r="U50" i="31"/>
  <c r="X32" i="31"/>
  <c r="U51" i="31"/>
  <c r="V51" i="31" s="1"/>
  <c r="V32" i="31"/>
  <c r="K58" i="31"/>
  <c r="L58" i="31" s="1"/>
  <c r="V35" i="2"/>
  <c r="T34" i="1"/>
  <c r="X35" i="2"/>
  <c r="U50" i="2"/>
  <c r="E11" i="35"/>
  <c r="V31" i="33"/>
  <c r="X31" i="33"/>
  <c r="U49" i="33"/>
  <c r="V49" i="33" s="1"/>
  <c r="V34" i="32"/>
  <c r="X34" i="32"/>
  <c r="U48" i="32"/>
  <c r="K28" i="1"/>
  <c r="V48" i="32" l="1"/>
  <c r="H11" i="35"/>
  <c r="F11" i="35"/>
  <c r="I29" i="1"/>
  <c r="G29" i="1"/>
  <c r="U34" i="1"/>
  <c r="W34" i="1"/>
  <c r="W50" i="31"/>
  <c r="V50" i="31"/>
  <c r="V48" i="33"/>
  <c r="H9" i="35"/>
  <c r="E10" i="35"/>
  <c r="F9" i="35"/>
  <c r="V50" i="2"/>
  <c r="W50" i="2"/>
  <c r="L28" i="1"/>
  <c r="N28" i="1"/>
  <c r="K29" i="1"/>
  <c r="F10" i="35" l="1"/>
  <c r="H10" i="35"/>
  <c r="N29" i="1"/>
  <c r="L29" i="1"/>
  <c r="F18" i="1" l="1"/>
  <c r="F19" i="1" l="1"/>
  <c r="G18" i="1"/>
  <c r="I18" i="1"/>
  <c r="F23" i="1"/>
  <c r="K18" i="1" l="1"/>
  <c r="U45" i="32"/>
  <c r="U46" i="2"/>
  <c r="F38" i="1"/>
  <c r="U39" i="32"/>
  <c r="U40" i="2"/>
  <c r="I23" i="1"/>
  <c r="G23" i="1"/>
  <c r="F34" i="1"/>
  <c r="F24" i="1"/>
  <c r="I19" i="1"/>
  <c r="G19" i="1"/>
  <c r="U62" i="2" l="1"/>
  <c r="V40" i="2"/>
  <c r="X40" i="2"/>
  <c r="U66" i="2"/>
  <c r="V66" i="2" s="1"/>
  <c r="U41" i="2"/>
  <c r="U53" i="2"/>
  <c r="V39" i="32"/>
  <c r="X39" i="32"/>
  <c r="U40" i="32"/>
  <c r="G24" i="1"/>
  <c r="I24" i="1"/>
  <c r="G34" i="1"/>
  <c r="I34" i="1"/>
  <c r="F35" i="1"/>
  <c r="L18" i="1"/>
  <c r="N18" i="1"/>
  <c r="K23" i="1"/>
  <c r="K19" i="1"/>
  <c r="U40" i="31"/>
  <c r="K38" i="1"/>
  <c r="U45" i="33"/>
  <c r="U46" i="31"/>
  <c r="U39" i="33"/>
  <c r="N23" i="1" l="1"/>
  <c r="L23" i="1"/>
  <c r="K34" i="1"/>
  <c r="K24" i="1"/>
  <c r="V40" i="32"/>
  <c r="X40" i="32"/>
  <c r="U42" i="32"/>
  <c r="U53" i="31"/>
  <c r="X41" i="2"/>
  <c r="T36" i="1"/>
  <c r="V41" i="2"/>
  <c r="U43" i="2"/>
  <c r="L19" i="1"/>
  <c r="N19" i="1"/>
  <c r="F36" i="1"/>
  <c r="I35" i="1"/>
  <c r="G35" i="1"/>
  <c r="F40" i="1"/>
  <c r="V39" i="33"/>
  <c r="X39" i="33"/>
  <c r="U40" i="33"/>
  <c r="V53" i="2"/>
  <c r="V54" i="2" s="1"/>
  <c r="U54" i="2"/>
  <c r="U55" i="2"/>
  <c r="V55" i="2" s="1"/>
  <c r="U62" i="31"/>
  <c r="X40" i="31"/>
  <c r="V40" i="31"/>
  <c r="U69" i="31"/>
  <c r="V69" i="31" s="1"/>
  <c r="U41" i="31"/>
  <c r="F39" i="1"/>
  <c r="V62" i="2"/>
  <c r="V63" i="2" s="1"/>
  <c r="U63" i="2"/>
  <c r="I36" i="1" l="1"/>
  <c r="G36" i="1"/>
  <c r="N24" i="1"/>
  <c r="L24" i="1"/>
  <c r="X41" i="31"/>
  <c r="V41" i="31"/>
  <c r="U43" i="31"/>
  <c r="V62" i="31"/>
  <c r="V63" i="31" s="1"/>
  <c r="U63" i="31"/>
  <c r="N34" i="1"/>
  <c r="L34" i="1"/>
  <c r="K35" i="1"/>
  <c r="X43" i="2"/>
  <c r="U68" i="2"/>
  <c r="U69" i="2" s="1"/>
  <c r="V69" i="2" s="1"/>
  <c r="G44" i="2"/>
  <c r="U44" i="2"/>
  <c r="V43" i="2"/>
  <c r="U47" i="2"/>
  <c r="V42" i="32"/>
  <c r="U51" i="32"/>
  <c r="U43" i="32"/>
  <c r="G43" i="32"/>
  <c r="X42" i="32"/>
  <c r="U46" i="32"/>
  <c r="V40" i="33"/>
  <c r="X40" i="33"/>
  <c r="U42" i="33"/>
  <c r="W36" i="1"/>
  <c r="T35" i="1"/>
  <c r="U36" i="1"/>
  <c r="V53" i="31"/>
  <c r="V54" i="31" s="1"/>
  <c r="U54" i="31"/>
  <c r="U55" i="31"/>
  <c r="V55" i="31" s="1"/>
  <c r="V51" i="32" l="1"/>
  <c r="U52" i="32"/>
  <c r="V52" i="32" s="1"/>
  <c r="W35" i="1"/>
  <c r="U35" i="1"/>
  <c r="E13" i="35"/>
  <c r="U51" i="33"/>
  <c r="G43" i="33"/>
  <c r="V42" i="33"/>
  <c r="V43" i="33" s="1"/>
  <c r="U43" i="33"/>
  <c r="X42" i="33"/>
  <c r="X43" i="33" s="1"/>
  <c r="U46" i="33"/>
  <c r="K36" i="1"/>
  <c r="K40" i="1"/>
  <c r="N35" i="1"/>
  <c r="L35" i="1"/>
  <c r="K39" i="1"/>
  <c r="U71" i="31"/>
  <c r="V43" i="31"/>
  <c r="V44" i="31" s="1"/>
  <c r="X43" i="31"/>
  <c r="X44" i="31" s="1"/>
  <c r="G44" i="31"/>
  <c r="U44" i="31"/>
  <c r="U47" i="31"/>
  <c r="N36" i="1" l="1"/>
  <c r="L36" i="1"/>
  <c r="V71" i="31"/>
  <c r="U75" i="31"/>
  <c r="U76" i="31" s="1"/>
  <c r="U72" i="31"/>
  <c r="V72" i="31" s="1"/>
  <c r="V51" i="33"/>
  <c r="U52" i="33"/>
  <c r="V52" i="33" s="1"/>
  <c r="F13" i="35"/>
  <c r="E12" i="35"/>
  <c r="E14" i="35"/>
  <c r="H13" i="35"/>
  <c r="F12" i="35" l="1"/>
  <c r="H12" i="35"/>
  <c r="H14" i="35"/>
  <c r="F14" i="35"/>
  <c r="Q28" i="27" l="1"/>
  <c r="N28" i="27"/>
  <c r="K28" i="27"/>
  <c r="H28" i="27"/>
  <c r="E28" i="27"/>
  <c r="Q25" i="27"/>
  <c r="H25" i="27"/>
  <c r="T26" i="27"/>
  <c r="K26" i="27"/>
  <c r="H26" i="27"/>
  <c r="N27" i="27"/>
  <c r="H27" i="27"/>
  <c r="Q24" i="27"/>
  <c r="N24" i="27"/>
  <c r="K24" i="27"/>
  <c r="E24" i="27"/>
  <c r="N24" i="28"/>
  <c r="N23" i="27"/>
  <c r="H23" i="27"/>
  <c r="H22" i="27"/>
  <c r="N21" i="27"/>
  <c r="H21" i="27"/>
  <c r="N21" i="26"/>
  <c r="T19" i="27"/>
  <c r="N19" i="27"/>
  <c r="H15" i="27"/>
  <c r="Q14" i="27"/>
  <c r="N14" i="27"/>
  <c r="K14" i="27"/>
  <c r="H14" i="27"/>
  <c r="E14" i="27"/>
  <c r="E13" i="27"/>
  <c r="T12" i="27"/>
  <c r="H12" i="27"/>
  <c r="T21" i="27" l="1"/>
  <c r="N22" i="27"/>
  <c r="K17" i="27"/>
  <c r="K20" i="27"/>
  <c r="K15" i="27"/>
  <c r="E12" i="27"/>
  <c r="Q13" i="27"/>
  <c r="T14" i="27"/>
  <c r="K19" i="27"/>
  <c r="T23" i="27"/>
  <c r="Q12" i="27"/>
  <c r="T22" i="27"/>
  <c r="E25" i="27"/>
  <c r="H10" i="27"/>
  <c r="E21" i="27"/>
  <c r="E11" i="27"/>
  <c r="Q11" i="27"/>
  <c r="N12" i="27"/>
  <c r="E18" i="27"/>
  <c r="E17" i="27"/>
  <c r="H18" i="27"/>
  <c r="K22" i="27"/>
  <c r="Q18" i="27"/>
  <c r="Q21" i="27"/>
  <c r="T27" i="27"/>
  <c r="Q19" i="27"/>
  <c r="T17" i="27"/>
  <c r="K27" i="27"/>
  <c r="T18" i="28"/>
  <c r="E18" i="28"/>
  <c r="Q18" i="28"/>
  <c r="N18" i="28"/>
  <c r="Q19" i="28"/>
  <c r="N19" i="28"/>
  <c r="T19" i="28"/>
  <c r="H16" i="27"/>
  <c r="T28" i="27"/>
  <c r="K25" i="27"/>
  <c r="T25" i="27"/>
  <c r="E23" i="27"/>
  <c r="H20" i="27"/>
  <c r="Q16" i="27"/>
  <c r="H17" i="27"/>
  <c r="Q20" i="27"/>
  <c r="E13" i="28"/>
  <c r="K16" i="27"/>
  <c r="K13" i="26"/>
  <c r="T18" i="27"/>
  <c r="H13" i="27"/>
  <c r="N20" i="27"/>
  <c r="K21" i="27"/>
  <c r="K23" i="27"/>
  <c r="H24" i="27"/>
  <c r="Q27" i="27"/>
  <c r="N26" i="27"/>
  <c r="K9" i="27"/>
  <c r="E16" i="27"/>
  <c r="N18" i="27"/>
  <c r="E15" i="27"/>
  <c r="K12" i="27"/>
  <c r="N17" i="27"/>
  <c r="E20" i="27"/>
  <c r="N13" i="27"/>
  <c r="T24" i="27"/>
  <c r="Q15" i="27"/>
  <c r="H22" i="25"/>
  <c r="Q13" i="28"/>
  <c r="T13" i="28"/>
  <c r="N13" i="26"/>
  <c r="K13" i="27"/>
  <c r="N13" i="28"/>
  <c r="H19" i="27"/>
  <c r="T13" i="27"/>
  <c r="H16" i="25"/>
  <c r="N15" i="27"/>
  <c r="Q17" i="27"/>
  <c r="Q21" i="28"/>
  <c r="E21" i="28"/>
  <c r="N21" i="28"/>
  <c r="K18" i="27"/>
  <c r="T21" i="28"/>
  <c r="T15" i="27"/>
  <c r="N18" i="26"/>
  <c r="K18" i="26"/>
  <c r="N16" i="27"/>
  <c r="N19" i="26"/>
  <c r="K19" i="26"/>
  <c r="E19" i="28"/>
  <c r="T16" i="27"/>
  <c r="K21" i="26"/>
  <c r="H23" i="25"/>
  <c r="Q22" i="27"/>
  <c r="E19" i="27"/>
  <c r="N25" i="27"/>
  <c r="E27" i="27"/>
  <c r="H25" i="25"/>
  <c r="T20" i="27"/>
  <c r="E22" i="27"/>
  <c r="N27" i="28"/>
  <c r="E27" i="28"/>
  <c r="T27" i="28"/>
  <c r="N27" i="26"/>
  <c r="Q27" i="28"/>
  <c r="K27" i="26"/>
  <c r="Q23" i="27"/>
  <c r="E24" i="28"/>
  <c r="Q24" i="28"/>
  <c r="T24" i="28"/>
  <c r="N24" i="26"/>
  <c r="E26" i="27"/>
  <c r="K24" i="26"/>
  <c r="Q26" i="27"/>
  <c r="E23" i="26" l="1"/>
  <c r="Y18" i="2"/>
  <c r="L23" i="25"/>
  <c r="Y18" i="32"/>
  <c r="L25" i="25"/>
  <c r="Y20" i="32"/>
  <c r="Y20" i="2"/>
  <c r="E25" i="26"/>
  <c r="K18" i="28"/>
  <c r="Y11" i="32"/>
  <c r="L16" i="25"/>
  <c r="E16" i="26"/>
  <c r="Y11" i="2"/>
  <c r="E22" i="26"/>
  <c r="Y17" i="2"/>
  <c r="L22" i="25"/>
  <c r="Y17" i="32"/>
  <c r="T11" i="28"/>
  <c r="H27" i="25"/>
  <c r="H13" i="25"/>
  <c r="H18" i="25"/>
  <c r="H8" i="27"/>
  <c r="E23" i="28"/>
  <c r="E8" i="28"/>
  <c r="Q11" i="28"/>
  <c r="Q8" i="28"/>
  <c r="K11" i="27"/>
  <c r="Q23" i="28"/>
  <c r="N23" i="26"/>
  <c r="N23" i="28"/>
  <c r="T23" i="28"/>
  <c r="K23" i="26"/>
  <c r="E10" i="28"/>
  <c r="N10" i="28"/>
  <c r="T8" i="28"/>
  <c r="T10" i="28"/>
  <c r="K10" i="27"/>
  <c r="K8" i="26"/>
  <c r="H11" i="27"/>
  <c r="E11" i="28"/>
  <c r="N11" i="26"/>
  <c r="N10" i="27"/>
  <c r="T17" i="25"/>
  <c r="N11" i="28"/>
  <c r="Q8" i="27"/>
  <c r="K8" i="27"/>
  <c r="K10" i="26"/>
  <c r="Q10" i="28"/>
  <c r="N10" i="26"/>
  <c r="K11" i="26"/>
  <c r="N9" i="27"/>
  <c r="T10" i="27"/>
  <c r="H19" i="25"/>
  <c r="H13" i="28"/>
  <c r="N11" i="27"/>
  <c r="Q9" i="27"/>
  <c r="H9" i="27"/>
  <c r="Q10" i="27"/>
  <c r="T25" i="28"/>
  <c r="N25" i="28"/>
  <c r="N25" i="26"/>
  <c r="Q25" i="28"/>
  <c r="E25" i="28"/>
  <c r="K25" i="26"/>
  <c r="N8" i="28"/>
  <c r="N8" i="27"/>
  <c r="T21" i="25"/>
  <c r="T28" i="25"/>
  <c r="T15" i="25"/>
  <c r="T25" i="25"/>
  <c r="T14" i="25"/>
  <c r="K16" i="26"/>
  <c r="N16" i="28"/>
  <c r="N16" i="26"/>
  <c r="Q16" i="28"/>
  <c r="T16" i="28"/>
  <c r="E16" i="28"/>
  <c r="H24" i="25"/>
  <c r="H21" i="25"/>
  <c r="T13" i="25"/>
  <c r="T24" i="25"/>
  <c r="T16" i="25"/>
  <c r="H24" i="28"/>
  <c r="N8" i="26"/>
  <c r="N20" i="28"/>
  <c r="N20" i="26"/>
  <c r="Q20" i="28"/>
  <c r="K20" i="26"/>
  <c r="T20" i="28"/>
  <c r="E20" i="28"/>
  <c r="N9" i="26"/>
  <c r="Q9" i="28"/>
  <c r="K9" i="26"/>
  <c r="E9" i="28"/>
  <c r="T9" i="28"/>
  <c r="N9" i="28"/>
  <c r="H15" i="25"/>
  <c r="H27" i="28"/>
  <c r="H21" i="28"/>
  <c r="H20" i="25"/>
  <c r="K12" i="26"/>
  <c r="T12" i="28"/>
  <c r="N12" i="26"/>
  <c r="Q12" i="28"/>
  <c r="N12" i="28"/>
  <c r="E12" i="28"/>
  <c r="N15" i="26"/>
  <c r="N15" i="28"/>
  <c r="T15" i="28"/>
  <c r="E15" i="28"/>
  <c r="K15" i="26"/>
  <c r="Q15" i="28"/>
  <c r="H28" i="25"/>
  <c r="H18" i="28"/>
  <c r="H17" i="25"/>
  <c r="T9" i="27"/>
  <c r="E28" i="28"/>
  <c r="Q28" i="28"/>
  <c r="N28" i="28"/>
  <c r="N28" i="26"/>
  <c r="K28" i="26"/>
  <c r="T28" i="28"/>
  <c r="H14" i="25"/>
  <c r="Q17" i="28"/>
  <c r="T17" i="28"/>
  <c r="K17" i="26"/>
  <c r="N17" i="28"/>
  <c r="N17" i="26"/>
  <c r="E17" i="28"/>
  <c r="N26" i="26"/>
  <c r="K26" i="26"/>
  <c r="E26" i="28"/>
  <c r="Q26" i="28"/>
  <c r="N26" i="28"/>
  <c r="T26" i="28"/>
  <c r="N14" i="28"/>
  <c r="T14" i="28"/>
  <c r="N14" i="26"/>
  <c r="Q14" i="28"/>
  <c r="K14" i="26"/>
  <c r="E14" i="28"/>
  <c r="N22" i="26"/>
  <c r="K22" i="26"/>
  <c r="E22" i="28"/>
  <c r="Q22" i="28"/>
  <c r="N22" i="28"/>
  <c r="T22" i="28"/>
  <c r="H26" i="25"/>
  <c r="E10" i="27"/>
  <c r="E9" i="27"/>
  <c r="H12" i="25"/>
  <c r="H19" i="28"/>
  <c r="T18" i="25"/>
  <c r="T22" i="25"/>
  <c r="T12" i="25"/>
  <c r="E8" i="27"/>
  <c r="T11" i="27"/>
  <c r="T23" i="25"/>
  <c r="T8" i="27"/>
  <c r="T26" i="25"/>
  <c r="T19" i="25"/>
  <c r="K21" i="28" l="1"/>
  <c r="K17" i="28"/>
  <c r="E17" i="26"/>
  <c r="Y12" i="2"/>
  <c r="Y12" i="32"/>
  <c r="L17" i="25"/>
  <c r="K24" i="28"/>
  <c r="E12" i="26"/>
  <c r="Y7" i="2"/>
  <c r="L12" i="25"/>
  <c r="Y7" i="32"/>
  <c r="L18" i="25"/>
  <c r="Y13" i="2"/>
  <c r="Y13" i="32"/>
  <c r="E18" i="26"/>
  <c r="K13" i="28"/>
  <c r="Y19" i="2"/>
  <c r="Y19" i="32"/>
  <c r="L24" i="25"/>
  <c r="E24" i="26"/>
  <c r="T24" i="26" s="1"/>
  <c r="E27" i="26"/>
  <c r="Y22" i="2"/>
  <c r="L27" i="25"/>
  <c r="Y22" i="32"/>
  <c r="K28" i="28"/>
  <c r="E28" i="26"/>
  <c r="L28" i="25"/>
  <c r="Y23" i="32"/>
  <c r="Y23" i="2"/>
  <c r="K19" i="28"/>
  <c r="K11" i="28"/>
  <c r="K10" i="28"/>
  <c r="Y16" i="32"/>
  <c r="Y16" i="2"/>
  <c r="L21" i="25"/>
  <c r="E21" i="26"/>
  <c r="L20" i="25"/>
  <c r="E20" i="26"/>
  <c r="Y15" i="32"/>
  <c r="Y15" i="2"/>
  <c r="L15" i="25"/>
  <c r="Y10" i="2"/>
  <c r="Y10" i="32"/>
  <c r="E15" i="26"/>
  <c r="K27" i="28"/>
  <c r="Y21" i="32"/>
  <c r="E26" i="26"/>
  <c r="L26" i="25"/>
  <c r="Y21" i="2"/>
  <c r="Y14" i="32"/>
  <c r="Y14" i="2"/>
  <c r="E19" i="26"/>
  <c r="L19" i="25"/>
  <c r="K14" i="28"/>
  <c r="K20" i="28"/>
  <c r="H8" i="25"/>
  <c r="H24" i="26"/>
  <c r="Q24" i="26" s="1"/>
  <c r="H23" i="28"/>
  <c r="T20" i="25"/>
  <c r="H10" i="28"/>
  <c r="H19" i="26"/>
  <c r="Q19" i="26" s="1"/>
  <c r="H18" i="26"/>
  <c r="Q18" i="26" s="1"/>
  <c r="H11" i="28"/>
  <c r="H12" i="28"/>
  <c r="H13" i="26"/>
  <c r="Q13" i="26" s="1"/>
  <c r="H25" i="28"/>
  <c r="H21" i="26"/>
  <c r="Q21" i="26" s="1"/>
  <c r="H27" i="26"/>
  <c r="Q27" i="26" s="1"/>
  <c r="H9" i="28"/>
  <c r="T10" i="25"/>
  <c r="T9" i="25"/>
  <c r="T8" i="25"/>
  <c r="T27" i="25"/>
  <c r="H16" i="28"/>
  <c r="H17" i="28"/>
  <c r="S14" i="1"/>
  <c r="H22" i="28"/>
  <c r="H20" i="28"/>
  <c r="T11" i="25"/>
  <c r="H26" i="28"/>
  <c r="H28" i="28"/>
  <c r="H8" i="28"/>
  <c r="S15" i="1"/>
  <c r="S13" i="1"/>
  <c r="H14" i="28"/>
  <c r="H15" i="28"/>
  <c r="S16" i="1"/>
  <c r="T27" i="26" l="1"/>
  <c r="T19" i="26"/>
  <c r="H11" i="25"/>
  <c r="S11" i="1"/>
  <c r="K12" i="28"/>
  <c r="T21" i="26"/>
  <c r="J15" i="37"/>
  <c r="E19" i="25"/>
  <c r="K8" i="28"/>
  <c r="T18" i="26"/>
  <c r="K9" i="28"/>
  <c r="K15" i="28"/>
  <c r="K23" i="28"/>
  <c r="J19" i="37"/>
  <c r="E23" i="25"/>
  <c r="H9" i="25"/>
  <c r="S9" i="1"/>
  <c r="J18" i="37"/>
  <c r="E22" i="25"/>
  <c r="K26" i="28"/>
  <c r="K22" i="28"/>
  <c r="K16" i="28"/>
  <c r="J14" i="37"/>
  <c r="E18" i="25"/>
  <c r="H10" i="25"/>
  <c r="S10" i="1"/>
  <c r="Y8" i="32"/>
  <c r="L13" i="25"/>
  <c r="Y8" i="2"/>
  <c r="E13" i="26"/>
  <c r="J11" i="37"/>
  <c r="E15" i="25"/>
  <c r="Y9" i="2"/>
  <c r="Y9" i="32"/>
  <c r="E14" i="26"/>
  <c r="L14" i="25"/>
  <c r="J13" i="37"/>
  <c r="E17" i="25"/>
  <c r="K25" i="28"/>
  <c r="P24" i="25"/>
  <c r="P27" i="25"/>
  <c r="H23" i="26"/>
  <c r="Q23" i="26" s="1"/>
  <c r="T23" i="26" s="1"/>
  <c r="H11" i="26"/>
  <c r="Q11" i="26" s="1"/>
  <c r="P21" i="25"/>
  <c r="H10" i="26"/>
  <c r="Q10" i="26" s="1"/>
  <c r="H8" i="26"/>
  <c r="Q8" i="26" s="1"/>
  <c r="P13" i="25"/>
  <c r="H20" i="26"/>
  <c r="Q20" i="26" s="1"/>
  <c r="T20" i="26" s="1"/>
  <c r="P18" i="25"/>
  <c r="H15" i="26"/>
  <c r="Q15" i="26" s="1"/>
  <c r="T15" i="26" s="1"/>
  <c r="H25" i="26"/>
  <c r="Q25" i="26" s="1"/>
  <c r="T25" i="26" s="1"/>
  <c r="H26" i="26"/>
  <c r="Q26" i="26" s="1"/>
  <c r="T26" i="26" s="1"/>
  <c r="H22" i="26"/>
  <c r="Q22" i="26" s="1"/>
  <c r="T22" i="26" s="1"/>
  <c r="H14" i="26"/>
  <c r="Q14" i="26" s="1"/>
  <c r="H17" i="26"/>
  <c r="Q17" i="26" s="1"/>
  <c r="T17" i="26" s="1"/>
  <c r="H16" i="26"/>
  <c r="Q16" i="26" s="1"/>
  <c r="T16" i="26" s="1"/>
  <c r="H12" i="26"/>
  <c r="Q12" i="26" s="1"/>
  <c r="T12" i="26" s="1"/>
  <c r="H9" i="26"/>
  <c r="Q9" i="26" s="1"/>
  <c r="O18" i="37"/>
  <c r="O13" i="37"/>
  <c r="O14" i="37"/>
  <c r="O11" i="37"/>
  <c r="H28" i="26"/>
  <c r="Q28" i="26" s="1"/>
  <c r="T28" i="26" s="1"/>
  <c r="O15" i="37"/>
  <c r="O19" i="37"/>
  <c r="E16" i="25" l="1"/>
  <c r="J12" i="37"/>
  <c r="T14" i="26"/>
  <c r="AB22" i="32"/>
  <c r="AE22" i="32" s="1"/>
  <c r="AB22" i="2"/>
  <c r="AE22" i="2" s="1"/>
  <c r="AB19" i="32"/>
  <c r="AE19" i="32" s="1"/>
  <c r="AB19" i="2"/>
  <c r="AE19" i="2" s="1"/>
  <c r="J23" i="37"/>
  <c r="E27" i="25"/>
  <c r="E12" i="25"/>
  <c r="J8" i="37"/>
  <c r="T13" i="26"/>
  <c r="E28" i="25"/>
  <c r="J24" i="37"/>
  <c r="Y27" i="2"/>
  <c r="E8" i="26"/>
  <c r="T8" i="26" s="1"/>
  <c r="Y27" i="32"/>
  <c r="L8" i="25"/>
  <c r="E21" i="25"/>
  <c r="J17" i="37"/>
  <c r="AB13" i="2"/>
  <c r="AE13" i="2" s="1"/>
  <c r="AB13" i="32"/>
  <c r="AE13" i="32" s="1"/>
  <c r="E24" i="25"/>
  <c r="J20" i="37"/>
  <c r="Y24" i="32"/>
  <c r="L9" i="25"/>
  <c r="Y24" i="2"/>
  <c r="E9" i="26"/>
  <c r="T9" i="26" s="1"/>
  <c r="AB14" i="32"/>
  <c r="AE14" i="32" s="1"/>
  <c r="AB14" i="2"/>
  <c r="AE14" i="2" s="1"/>
  <c r="AB16" i="2"/>
  <c r="AE16" i="2" s="1"/>
  <c r="AB16" i="32"/>
  <c r="AE16" i="32" s="1"/>
  <c r="S12" i="1"/>
  <c r="J9" i="37"/>
  <c r="E13" i="25"/>
  <c r="AB8" i="2"/>
  <c r="AE8" i="2" s="1"/>
  <c r="AB8" i="32"/>
  <c r="AE8" i="32" s="1"/>
  <c r="E14" i="25"/>
  <c r="J10" i="37"/>
  <c r="L10" i="25"/>
  <c r="Y25" i="2"/>
  <c r="Y25" i="32"/>
  <c r="E10" i="26"/>
  <c r="T10" i="26" s="1"/>
  <c r="J21" i="37"/>
  <c r="E25" i="25"/>
  <c r="L11" i="25"/>
  <c r="Y26" i="2"/>
  <c r="E11" i="26"/>
  <c r="T11" i="26" s="1"/>
  <c r="Y26" i="32"/>
  <c r="E26" i="25"/>
  <c r="J22" i="37"/>
  <c r="P14" i="25"/>
  <c r="P25" i="25"/>
  <c r="O17" i="37"/>
  <c r="O8" i="37"/>
  <c r="O10" i="37"/>
  <c r="O9" i="37"/>
  <c r="O21" i="37"/>
  <c r="O20" i="37"/>
  <c r="O12" i="37"/>
  <c r="O24" i="37"/>
  <c r="P11" i="25"/>
  <c r="E8" i="25"/>
  <c r="P23" i="25"/>
  <c r="P10" i="25"/>
  <c r="P20" i="25"/>
  <c r="P19" i="25"/>
  <c r="P15" i="25"/>
  <c r="E9" i="25"/>
  <c r="O22" i="37"/>
  <c r="E11" i="25"/>
  <c r="E10" i="25"/>
  <c r="P28" i="25"/>
  <c r="P12" i="25"/>
  <c r="P16" i="25"/>
  <c r="P17" i="25"/>
  <c r="O23" i="37"/>
  <c r="P9" i="25"/>
  <c r="J27" i="37" l="1"/>
  <c r="O25" i="37"/>
  <c r="AB18" i="2"/>
  <c r="AE18" i="2" s="1"/>
  <c r="AB18" i="32"/>
  <c r="AE18" i="32" s="1"/>
  <c r="AB21" i="2"/>
  <c r="AE21" i="2" s="1"/>
  <c r="AB21" i="32"/>
  <c r="AE21" i="32" s="1"/>
  <c r="AB23" i="32"/>
  <c r="AE23" i="32" s="1"/>
  <c r="AB23" i="2"/>
  <c r="AE23" i="2" s="1"/>
  <c r="AB20" i="2"/>
  <c r="AE20" i="2" s="1"/>
  <c r="AB20" i="32"/>
  <c r="AE20" i="32" s="1"/>
  <c r="J25" i="37"/>
  <c r="AB27" i="32"/>
  <c r="AE27" i="32" s="1"/>
  <c r="AB27" i="2"/>
  <c r="AE27" i="2" s="1"/>
  <c r="AB26" i="2"/>
  <c r="AE26" i="2" s="1"/>
  <c r="AB26" i="32"/>
  <c r="AE26" i="32" s="1"/>
  <c r="J16" i="37"/>
  <c r="J26" i="37" s="1"/>
  <c r="E20" i="25"/>
  <c r="AB17" i="32"/>
  <c r="AE17" i="32" s="1"/>
  <c r="AB17" i="2"/>
  <c r="AE17" i="2" s="1"/>
  <c r="AB24" i="32"/>
  <c r="AE24" i="32" s="1"/>
  <c r="AB24" i="2"/>
  <c r="AE24" i="2" s="1"/>
  <c r="AB10" i="2"/>
  <c r="AE10" i="2" s="1"/>
  <c r="AB10" i="32"/>
  <c r="AE10" i="32" s="1"/>
  <c r="AB25" i="2"/>
  <c r="AE25" i="2" s="1"/>
  <c r="AB25" i="32"/>
  <c r="AE25" i="32" s="1"/>
  <c r="AB9" i="2"/>
  <c r="AE9" i="2" s="1"/>
  <c r="AB9" i="32"/>
  <c r="AE9" i="32" s="1"/>
  <c r="AB12" i="32"/>
  <c r="AE12" i="32" s="1"/>
  <c r="AB12" i="2"/>
  <c r="AE12" i="2" s="1"/>
  <c r="AB11" i="2"/>
  <c r="AE11" i="2" s="1"/>
  <c r="AB11" i="32"/>
  <c r="AE11" i="32" s="1"/>
  <c r="AB7" i="32"/>
  <c r="AE7" i="32" s="1"/>
  <c r="AB7" i="2"/>
  <c r="AE7" i="2" s="1"/>
  <c r="O27" i="37"/>
  <c r="AB15" i="2"/>
  <c r="AE15" i="2" s="1"/>
  <c r="AB15" i="32"/>
  <c r="AE15" i="32" s="1"/>
  <c r="S19" i="1"/>
  <c r="S18" i="1"/>
  <c r="P8" i="25"/>
  <c r="P22" i="25"/>
  <c r="S17" i="1"/>
  <c r="O16" i="37"/>
  <c r="O26" i="37" s="1"/>
  <c r="S20" i="1"/>
  <c r="P26" i="25"/>
  <c r="J28" i="37" l="1"/>
  <c r="O28" i="37"/>
  <c r="Z7" i="2" l="1"/>
  <c r="Z7" i="32"/>
  <c r="F12" i="26"/>
  <c r="M12" i="25"/>
  <c r="N12" i="25" s="1"/>
  <c r="G12" i="26" l="1"/>
  <c r="U18" i="25" l="1"/>
  <c r="V18" i="25" s="1"/>
  <c r="U16" i="25"/>
  <c r="V16" i="25" s="1"/>
  <c r="U22" i="25"/>
  <c r="V22" i="25" s="1"/>
  <c r="U12" i="25"/>
  <c r="V12" i="25" s="1"/>
  <c r="U21" i="25"/>
  <c r="V21" i="25" s="1"/>
  <c r="W15" i="25"/>
  <c r="U27" i="25"/>
  <c r="V27" i="25" s="1"/>
  <c r="U19" i="25"/>
  <c r="V19" i="25" s="1"/>
  <c r="U13" i="25"/>
  <c r="V13" i="25" s="1"/>
  <c r="U14" i="25"/>
  <c r="V14" i="25" s="1"/>
  <c r="U15" i="25"/>
  <c r="V15" i="25" s="1"/>
  <c r="U17" i="25"/>
  <c r="V17" i="25" s="1"/>
  <c r="U23" i="25"/>
  <c r="V23" i="25" s="1"/>
  <c r="U20" i="25"/>
  <c r="V20" i="25" s="1"/>
  <c r="U26" i="25"/>
  <c r="V26" i="25" s="1"/>
  <c r="U24" i="25"/>
  <c r="V24" i="25" s="1"/>
  <c r="U25" i="25"/>
  <c r="V25" i="25" s="1"/>
  <c r="U28" i="25"/>
  <c r="V28" i="25" s="1"/>
  <c r="I14" i="25" l="1"/>
  <c r="J14" i="25" s="1"/>
  <c r="I17" i="25"/>
  <c r="J17" i="25" s="1"/>
  <c r="I25" i="25"/>
  <c r="J25" i="25" s="1"/>
  <c r="I18" i="25"/>
  <c r="J18" i="25" s="1"/>
  <c r="I28" i="25"/>
  <c r="J28" i="25" s="1"/>
  <c r="I24" i="25"/>
  <c r="J24" i="25" s="1"/>
  <c r="I23" i="25"/>
  <c r="J23" i="25" s="1"/>
  <c r="I15" i="25"/>
  <c r="J15" i="25" s="1"/>
  <c r="I27" i="25"/>
  <c r="J27" i="25" s="1"/>
  <c r="I20" i="25"/>
  <c r="J20" i="25" s="1"/>
  <c r="I19" i="25"/>
  <c r="J19" i="25" s="1"/>
  <c r="I22" i="25"/>
  <c r="J22" i="25" s="1"/>
  <c r="I13" i="25"/>
  <c r="J13" i="25" s="1"/>
  <c r="I21" i="25"/>
  <c r="J21" i="25" s="1"/>
  <c r="I26" i="25"/>
  <c r="J26" i="25" s="1"/>
  <c r="I16" i="25"/>
  <c r="J16" i="25" s="1"/>
  <c r="I12" i="25"/>
  <c r="J12" i="25" s="1"/>
  <c r="Z11" i="2"/>
  <c r="Z11" i="32"/>
  <c r="M16" i="25"/>
  <c r="N16" i="25" s="1"/>
  <c r="F16" i="26"/>
  <c r="Z8" i="32"/>
  <c r="Z8" i="2"/>
  <c r="M13" i="25"/>
  <c r="N13" i="25" s="1"/>
  <c r="F13" i="26"/>
  <c r="M14" i="25"/>
  <c r="N14" i="25" s="1"/>
  <c r="Z9" i="32"/>
  <c r="F14" i="26"/>
  <c r="Z9" i="2"/>
  <c r="T16" i="1"/>
  <c r="S15" i="25"/>
  <c r="S25" i="25"/>
  <c r="S27" i="25"/>
  <c r="S26" i="25"/>
  <c r="S23" i="25"/>
  <c r="O20" i="26"/>
  <c r="P20" i="26" s="1"/>
  <c r="W12" i="25"/>
  <c r="O21" i="26"/>
  <c r="P21" i="26" s="1"/>
  <c r="L26" i="26"/>
  <c r="M26" i="26" s="1"/>
  <c r="O26" i="26"/>
  <c r="P26" i="26" s="1"/>
  <c r="W18" i="25"/>
  <c r="U8" i="25"/>
  <c r="V8" i="25" s="1"/>
  <c r="W25" i="25"/>
  <c r="O15" i="26"/>
  <c r="P15" i="26" s="1"/>
  <c r="S28" i="25"/>
  <c r="U11" i="25"/>
  <c r="V11" i="25" s="1"/>
  <c r="W27" i="25"/>
  <c r="W23" i="25"/>
  <c r="S18" i="25"/>
  <c r="W13" i="25"/>
  <c r="S19" i="25"/>
  <c r="S22" i="25"/>
  <c r="S16" i="25"/>
  <c r="W19" i="25"/>
  <c r="S13" i="25"/>
  <c r="W28" i="25"/>
  <c r="W16" i="25"/>
  <c r="W17" i="25"/>
  <c r="W20" i="25"/>
  <c r="S14" i="25"/>
  <c r="T15" i="1"/>
  <c r="O19" i="26"/>
  <c r="P19" i="26" s="1"/>
  <c r="L15" i="26"/>
  <c r="M15" i="26" s="1"/>
  <c r="L20" i="26"/>
  <c r="M20" i="26" s="1"/>
  <c r="L19" i="26"/>
  <c r="M19" i="26" s="1"/>
  <c r="S24" i="25"/>
  <c r="S21" i="25"/>
  <c r="W14" i="25"/>
  <c r="S20" i="25"/>
  <c r="S17" i="25"/>
  <c r="W24" i="25"/>
  <c r="W21" i="25"/>
  <c r="S12" i="25"/>
  <c r="U10" i="25"/>
  <c r="V10" i="25" s="1"/>
  <c r="O16" i="25"/>
  <c r="W22" i="25"/>
  <c r="T13" i="1"/>
  <c r="L21" i="26"/>
  <c r="M21" i="26" s="1"/>
  <c r="L23" i="26"/>
  <c r="M23" i="26" s="1"/>
  <c r="L27" i="26"/>
  <c r="M27" i="26" s="1"/>
  <c r="O23" i="26"/>
  <c r="P23" i="26" s="1"/>
  <c r="L22" i="26"/>
  <c r="M22" i="26" s="1"/>
  <c r="O22" i="26"/>
  <c r="P22" i="26" s="1"/>
  <c r="O27" i="26"/>
  <c r="P27" i="26" s="1"/>
  <c r="I8" i="25"/>
  <c r="J8" i="25" s="1"/>
  <c r="O28" i="26"/>
  <c r="P28" i="26" s="1"/>
  <c r="L28" i="26"/>
  <c r="M28" i="26" s="1"/>
  <c r="O16" i="26"/>
  <c r="P16" i="26" s="1"/>
  <c r="L16" i="26"/>
  <c r="M16" i="26" s="1"/>
  <c r="O13" i="26"/>
  <c r="P13" i="26" s="1"/>
  <c r="L13" i="26"/>
  <c r="M13" i="26" s="1"/>
  <c r="U9" i="25"/>
  <c r="V9" i="25" s="1"/>
  <c r="L14" i="26"/>
  <c r="M14" i="26" s="1"/>
  <c r="O14" i="26"/>
  <c r="P14" i="26" s="1"/>
  <c r="O12" i="26"/>
  <c r="P12" i="26" s="1"/>
  <c r="L12" i="26"/>
  <c r="M12" i="26" s="1"/>
  <c r="O25" i="26"/>
  <c r="P25" i="26" s="1"/>
  <c r="L25" i="26"/>
  <c r="M25" i="26" s="1"/>
  <c r="O24" i="26"/>
  <c r="P24" i="26" s="1"/>
  <c r="L24" i="26"/>
  <c r="M24" i="26" s="1"/>
  <c r="W26" i="25"/>
  <c r="O23" i="25"/>
  <c r="O18" i="26"/>
  <c r="P18" i="26" s="1"/>
  <c r="L18" i="26"/>
  <c r="M18" i="26" s="1"/>
  <c r="T14" i="1"/>
  <c r="O25" i="25"/>
  <c r="O17" i="26"/>
  <c r="P17" i="26" s="1"/>
  <c r="L17" i="26"/>
  <c r="M17" i="26" s="1"/>
  <c r="O22" i="25"/>
  <c r="Z23" i="32" l="1"/>
  <c r="F28" i="26"/>
  <c r="M28" i="25"/>
  <c r="N28" i="25" s="1"/>
  <c r="Z23" i="2"/>
  <c r="Z15" i="32"/>
  <c r="Z15" i="2"/>
  <c r="M20" i="25"/>
  <c r="N20" i="25" s="1"/>
  <c r="F20" i="26"/>
  <c r="F23" i="26"/>
  <c r="M23" i="25"/>
  <c r="N23" i="25" s="1"/>
  <c r="Z18" i="2"/>
  <c r="Z18" i="32"/>
  <c r="Z21" i="2"/>
  <c r="M26" i="25"/>
  <c r="N26" i="25" s="1"/>
  <c r="F26" i="26"/>
  <c r="Z21" i="32"/>
  <c r="I9" i="25"/>
  <c r="J9" i="25" s="1"/>
  <c r="T9" i="1"/>
  <c r="M25" i="25"/>
  <c r="N25" i="25" s="1"/>
  <c r="Z20" i="32"/>
  <c r="Z20" i="2"/>
  <c r="F25" i="26"/>
  <c r="M15" i="25"/>
  <c r="N15" i="25" s="1"/>
  <c r="Z10" i="2"/>
  <c r="F15" i="26"/>
  <c r="Z10" i="32"/>
  <c r="M27" i="25"/>
  <c r="N27" i="25" s="1"/>
  <c r="F27" i="26"/>
  <c r="Z22" i="32"/>
  <c r="Z22" i="2"/>
  <c r="G14" i="26"/>
  <c r="Z17" i="32"/>
  <c r="M22" i="25"/>
  <c r="N22" i="25" s="1"/>
  <c r="Z17" i="2"/>
  <c r="F22" i="26"/>
  <c r="Z12" i="2"/>
  <c r="M17" i="25"/>
  <c r="N17" i="25" s="1"/>
  <c r="Z12" i="32"/>
  <c r="F17" i="26"/>
  <c r="G13" i="26"/>
  <c r="F18" i="26"/>
  <c r="M18" i="25"/>
  <c r="N18" i="25" s="1"/>
  <c r="Z13" i="2"/>
  <c r="Z13" i="32"/>
  <c r="I10" i="25"/>
  <c r="J10" i="25" s="1"/>
  <c r="T10" i="1"/>
  <c r="W15" i="1"/>
  <c r="U15" i="1"/>
  <c r="I11" i="25"/>
  <c r="J11" i="25" s="1"/>
  <c r="T11" i="1"/>
  <c r="G16" i="26"/>
  <c r="W14" i="1"/>
  <c r="U14" i="1"/>
  <c r="Z16" i="2"/>
  <c r="F21" i="26"/>
  <c r="M21" i="25"/>
  <c r="N21" i="25" s="1"/>
  <c r="Z16" i="32"/>
  <c r="W16" i="1"/>
  <c r="U16" i="1"/>
  <c r="F19" i="26"/>
  <c r="Z14" i="32"/>
  <c r="Z14" i="2"/>
  <c r="M19" i="25"/>
  <c r="N19" i="25" s="1"/>
  <c r="W13" i="1"/>
  <c r="U13" i="1"/>
  <c r="Z19" i="32"/>
  <c r="M24" i="25"/>
  <c r="N24" i="25" s="1"/>
  <c r="F24" i="26"/>
  <c r="Z19" i="2"/>
  <c r="K16" i="25"/>
  <c r="S8" i="25"/>
  <c r="K22" i="25"/>
  <c r="W10" i="25"/>
  <c r="O15" i="25"/>
  <c r="O27" i="25"/>
  <c r="O20" i="25"/>
  <c r="O24" i="25"/>
  <c r="W9" i="25"/>
  <c r="K25" i="25"/>
  <c r="O26" i="25"/>
  <c r="O12" i="25"/>
  <c r="W11" i="25"/>
  <c r="W8" i="25"/>
  <c r="O21" i="25"/>
  <c r="O18" i="25"/>
  <c r="O28" i="25"/>
  <c r="O19" i="25"/>
  <c r="K23" i="25"/>
  <c r="O13" i="25"/>
  <c r="O11" i="26"/>
  <c r="P11" i="26" s="1"/>
  <c r="L11" i="26"/>
  <c r="M11" i="26" s="1"/>
  <c r="S10" i="25"/>
  <c r="S9" i="25"/>
  <c r="O14" i="25"/>
  <c r="S11" i="25"/>
  <c r="O17" i="25"/>
  <c r="O10" i="26"/>
  <c r="P10" i="26" s="1"/>
  <c r="L10" i="26"/>
  <c r="M10" i="26" s="1"/>
  <c r="O9" i="26"/>
  <c r="P9" i="26" s="1"/>
  <c r="L9" i="26"/>
  <c r="M9" i="26" s="1"/>
  <c r="O8" i="26"/>
  <c r="P8" i="26" s="1"/>
  <c r="L8" i="26"/>
  <c r="M8" i="26" s="1"/>
  <c r="G22" i="26" l="1"/>
  <c r="Z27" i="2"/>
  <c r="Z27" i="32"/>
  <c r="M8" i="25"/>
  <c r="N8" i="25" s="1"/>
  <c r="F8" i="26"/>
  <c r="G26" i="26"/>
  <c r="T12" i="1"/>
  <c r="W9" i="1"/>
  <c r="U9" i="1"/>
  <c r="W11" i="1"/>
  <c r="U11" i="1"/>
  <c r="M9" i="25"/>
  <c r="N9" i="25" s="1"/>
  <c r="Z24" i="2"/>
  <c r="Z24" i="32"/>
  <c r="F9" i="26"/>
  <c r="G24" i="26"/>
  <c r="G23" i="26"/>
  <c r="Z25" i="2"/>
  <c r="Z25" i="32"/>
  <c r="M10" i="25"/>
  <c r="N10" i="25" s="1"/>
  <c r="F10" i="26"/>
  <c r="M11" i="25"/>
  <c r="N11" i="25" s="1"/>
  <c r="Z26" i="2"/>
  <c r="F11" i="26"/>
  <c r="Z26" i="32"/>
  <c r="W10" i="1"/>
  <c r="U10" i="1"/>
  <c r="G27" i="26"/>
  <c r="G20" i="26"/>
  <c r="G15" i="26"/>
  <c r="G19" i="26"/>
  <c r="G18" i="26"/>
  <c r="G17" i="26"/>
  <c r="G21" i="26"/>
  <c r="G25" i="26"/>
  <c r="G28" i="26"/>
  <c r="K14" i="25"/>
  <c r="K27" i="25"/>
  <c r="K18" i="25"/>
  <c r="K19" i="25"/>
  <c r="K15" i="25"/>
  <c r="K13" i="25"/>
  <c r="K21" i="25"/>
  <c r="K12" i="25"/>
  <c r="K17" i="25"/>
  <c r="K28" i="25"/>
  <c r="K20" i="25"/>
  <c r="K24" i="25"/>
  <c r="K26" i="25"/>
  <c r="G9" i="26" l="1"/>
  <c r="F16" i="25"/>
  <c r="G16" i="25" s="1"/>
  <c r="Y16" i="25" s="1"/>
  <c r="Z16" i="25" s="1"/>
  <c r="K12" i="37"/>
  <c r="W12" i="1"/>
  <c r="U12" i="1"/>
  <c r="G11" i="26"/>
  <c r="G8" i="26"/>
  <c r="G10" i="26"/>
  <c r="O10" i="25"/>
  <c r="O11" i="25"/>
  <c r="O9" i="25"/>
  <c r="O8" i="25"/>
  <c r="K8" i="25"/>
  <c r="K11" i="25"/>
  <c r="K10" i="25"/>
  <c r="K9" i="25"/>
  <c r="K20" i="37" l="1"/>
  <c r="F24" i="25"/>
  <c r="G24" i="25" s="1"/>
  <c r="Y24" i="25" s="1"/>
  <c r="Z24" i="25" s="1"/>
  <c r="K11" i="37"/>
  <c r="F15" i="25"/>
  <c r="G15" i="25" s="1"/>
  <c r="Y15" i="25" s="1"/>
  <c r="Z15" i="25" s="1"/>
  <c r="K10" i="37"/>
  <c r="F14" i="25"/>
  <c r="G14" i="25" s="1"/>
  <c r="Y14" i="25" s="1"/>
  <c r="Z14" i="25" s="1"/>
  <c r="F18" i="25"/>
  <c r="G18" i="25" s="1"/>
  <c r="Y18" i="25" s="1"/>
  <c r="Z18" i="25" s="1"/>
  <c r="K14" i="37"/>
  <c r="K21" i="37"/>
  <c r="F25" i="25"/>
  <c r="G25" i="25" s="1"/>
  <c r="Y25" i="25" s="1"/>
  <c r="Z25" i="25" s="1"/>
  <c r="F20" i="25"/>
  <c r="G20" i="25" s="1"/>
  <c r="Y20" i="25" s="1"/>
  <c r="Z20" i="25" s="1"/>
  <c r="K16" i="37"/>
  <c r="K18" i="37"/>
  <c r="F22" i="25"/>
  <c r="G22" i="25" s="1"/>
  <c r="Y22" i="25" s="1"/>
  <c r="Z22" i="25" s="1"/>
  <c r="N12" i="37"/>
  <c r="L12" i="37"/>
  <c r="K9" i="37"/>
  <c r="F13" i="25"/>
  <c r="G13" i="25" s="1"/>
  <c r="Y13" i="25" s="1"/>
  <c r="Z13" i="25" s="1"/>
  <c r="F26" i="25"/>
  <c r="G26" i="25" s="1"/>
  <c r="Y26" i="25" s="1"/>
  <c r="Z26" i="25" s="1"/>
  <c r="K22" i="37"/>
  <c r="K19" i="37"/>
  <c r="F23" i="25"/>
  <c r="G23" i="25" s="1"/>
  <c r="Y23" i="25" s="1"/>
  <c r="Z23" i="25" s="1"/>
  <c r="F28" i="25"/>
  <c r="G28" i="25" s="1"/>
  <c r="Y28" i="25" s="1"/>
  <c r="Z28" i="25" s="1"/>
  <c r="K24" i="37"/>
  <c r="K23" i="37"/>
  <c r="F27" i="25"/>
  <c r="G27" i="25" s="1"/>
  <c r="Y27" i="25" s="1"/>
  <c r="Z27" i="25" s="1"/>
  <c r="K15" i="37"/>
  <c r="F19" i="25"/>
  <c r="G19" i="25" s="1"/>
  <c r="Y19" i="25" s="1"/>
  <c r="Z19" i="25" s="1"/>
  <c r="F21" i="25"/>
  <c r="G21" i="25" s="1"/>
  <c r="Y21" i="25" s="1"/>
  <c r="Z21" i="25" s="1"/>
  <c r="K17" i="37"/>
  <c r="K13" i="37"/>
  <c r="F17" i="25"/>
  <c r="G17" i="25" s="1"/>
  <c r="Y17" i="25" s="1"/>
  <c r="Z17" i="25" s="1"/>
  <c r="F12" i="25"/>
  <c r="G12" i="25" s="1"/>
  <c r="Y12" i="25" s="1"/>
  <c r="Z12" i="25" s="1"/>
  <c r="K8" i="37"/>
  <c r="F11" i="25"/>
  <c r="G11" i="25" s="1"/>
  <c r="Y11" i="25" s="1"/>
  <c r="Z11" i="25" s="1"/>
  <c r="F9" i="25"/>
  <c r="G9" i="25" s="1"/>
  <c r="Y9" i="25" s="1"/>
  <c r="Z9" i="25" s="1"/>
  <c r="F8" i="25"/>
  <c r="G8" i="25" s="1"/>
  <c r="Y8" i="25" s="1"/>
  <c r="Z8" i="25" s="1"/>
  <c r="F10" i="25"/>
  <c r="G10" i="25" s="1"/>
  <c r="Y10" i="25" s="1"/>
  <c r="Z10" i="25" s="1"/>
  <c r="K26" i="37" l="1"/>
  <c r="L9" i="37"/>
  <c r="N9" i="37"/>
  <c r="N8" i="37"/>
  <c r="L8" i="37"/>
  <c r="K25" i="37"/>
  <c r="N18" i="37"/>
  <c r="L18" i="37"/>
  <c r="L13" i="37"/>
  <c r="N13" i="37"/>
  <c r="N16" i="37"/>
  <c r="L16" i="37"/>
  <c r="L17" i="37"/>
  <c r="N17" i="37"/>
  <c r="L26" i="37"/>
  <c r="N26" i="37"/>
  <c r="N21" i="37"/>
  <c r="L21" i="37"/>
  <c r="N15" i="37"/>
  <c r="L15" i="37"/>
  <c r="N14" i="37"/>
  <c r="L14" i="37"/>
  <c r="N23" i="37"/>
  <c r="L23" i="37"/>
  <c r="L24" i="37"/>
  <c r="N24" i="37"/>
  <c r="L10" i="37"/>
  <c r="N10" i="37"/>
  <c r="N11" i="37"/>
  <c r="L11" i="37"/>
  <c r="N19" i="37"/>
  <c r="L19" i="37"/>
  <c r="L22" i="37"/>
  <c r="N22" i="37"/>
  <c r="L20" i="37"/>
  <c r="K27" i="37"/>
  <c r="N20" i="37"/>
  <c r="N27" i="37" l="1"/>
  <c r="L27" i="37"/>
  <c r="L25" i="37"/>
  <c r="K28" i="37"/>
  <c r="N25" i="37"/>
  <c r="L28" i="37" l="1"/>
  <c r="N28" i="37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O10" i="27" l="1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L10" i="27"/>
  <c r="M10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24" i="28"/>
  <c r="J24" i="28" s="1"/>
  <c r="I18" i="28"/>
  <c r="J18" i="28" s="1"/>
  <c r="O10" i="28"/>
  <c r="P10" i="28" s="1"/>
  <c r="F8" i="28" l="1"/>
  <c r="G8" i="28" s="1"/>
  <c r="F8" i="27"/>
  <c r="G8" i="27" s="1"/>
  <c r="L8" i="27"/>
  <c r="M8" i="27" s="1"/>
  <c r="O8" i="27"/>
  <c r="P8" i="27" s="1"/>
  <c r="I8" i="27"/>
  <c r="J8" i="27" s="1"/>
  <c r="L22" i="28"/>
  <c r="M22" i="28" s="1"/>
  <c r="L28" i="28"/>
  <c r="M28" i="28" s="1"/>
  <c r="L14" i="28"/>
  <c r="M14" i="28" s="1"/>
  <c r="L13" i="28"/>
  <c r="M13" i="28" s="1"/>
  <c r="L21" i="28"/>
  <c r="M21" i="28" s="1"/>
  <c r="L17" i="28"/>
  <c r="M17" i="28" s="1"/>
  <c r="L15" i="28"/>
  <c r="M15" i="28" s="1"/>
  <c r="L12" i="28"/>
  <c r="M12" i="28" s="1"/>
  <c r="L18" i="28"/>
  <c r="M18" i="28" s="1"/>
  <c r="L24" i="28"/>
  <c r="M24" i="28" s="1"/>
  <c r="L27" i="28"/>
  <c r="M27" i="28" s="1"/>
  <c r="L19" i="28"/>
  <c r="M19" i="28" s="1"/>
  <c r="L25" i="28"/>
  <c r="M25" i="28" s="1"/>
  <c r="L23" i="28"/>
  <c r="M23" i="28" s="1"/>
  <c r="L26" i="28"/>
  <c r="M26" i="28" s="1"/>
  <c r="L16" i="28"/>
  <c r="M16" i="28" s="1"/>
  <c r="L20" i="28"/>
  <c r="M20" i="28" s="1"/>
  <c r="I27" i="26"/>
  <c r="I8" i="28"/>
  <c r="J8" i="28" s="1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R25" i="26" l="1"/>
  <c r="J25" i="26"/>
  <c r="R28" i="26"/>
  <c r="J28" i="26"/>
  <c r="R23" i="26"/>
  <c r="J23" i="26"/>
  <c r="R12" i="26"/>
  <c r="J12" i="26"/>
  <c r="L9" i="28"/>
  <c r="M9" i="28" s="1"/>
  <c r="J22" i="26"/>
  <c r="R22" i="26"/>
  <c r="J15" i="26"/>
  <c r="R15" i="26"/>
  <c r="L10" i="28"/>
  <c r="M10" i="28" s="1"/>
  <c r="L8" i="28"/>
  <c r="M8" i="28" s="1"/>
  <c r="J13" i="26"/>
  <c r="R13" i="26"/>
  <c r="R27" i="26"/>
  <c r="J27" i="26"/>
  <c r="R26" i="26"/>
  <c r="J26" i="26"/>
  <c r="J24" i="26"/>
  <c r="R24" i="26"/>
  <c r="L11" i="28"/>
  <c r="M11" i="28" s="1"/>
  <c r="J14" i="26"/>
  <c r="R14" i="26"/>
  <c r="I9" i="26"/>
  <c r="I11" i="26"/>
  <c r="S15" i="26" l="1"/>
  <c r="U15" i="26"/>
  <c r="V15" i="26" s="1"/>
  <c r="S22" i="26"/>
  <c r="U22" i="26"/>
  <c r="V22" i="26" s="1"/>
  <c r="S13" i="26"/>
  <c r="U13" i="26"/>
  <c r="V13" i="26" s="1"/>
  <c r="S12" i="26"/>
  <c r="U12" i="26"/>
  <c r="V12" i="26" s="1"/>
  <c r="S27" i="26"/>
  <c r="U27" i="26"/>
  <c r="V27" i="26" s="1"/>
  <c r="S14" i="26"/>
  <c r="U14" i="26"/>
  <c r="V14" i="26" s="1"/>
  <c r="R11" i="26"/>
  <c r="J11" i="26"/>
  <c r="S23" i="26"/>
  <c r="U23" i="26"/>
  <c r="V23" i="26" s="1"/>
  <c r="J9" i="26"/>
  <c r="R9" i="26"/>
  <c r="S24" i="26"/>
  <c r="U24" i="26"/>
  <c r="V24" i="26" s="1"/>
  <c r="S28" i="26"/>
  <c r="U28" i="26"/>
  <c r="V28" i="26" s="1"/>
  <c r="S26" i="26"/>
  <c r="U26" i="26"/>
  <c r="V26" i="26" s="1"/>
  <c r="S25" i="26"/>
  <c r="U25" i="26"/>
  <c r="V25" i="26" s="1"/>
  <c r="AC9" i="2" l="1"/>
  <c r="AF9" i="2" s="1"/>
  <c r="AC9" i="32"/>
  <c r="AF9" i="32" s="1"/>
  <c r="S11" i="26"/>
  <c r="U11" i="26"/>
  <c r="V11" i="26" s="1"/>
  <c r="AC23" i="2"/>
  <c r="AF23" i="2" s="1"/>
  <c r="AC23" i="32"/>
  <c r="AF23" i="32" s="1"/>
  <c r="S9" i="26"/>
  <c r="U9" i="26"/>
  <c r="V9" i="26" s="1"/>
  <c r="AC21" i="2"/>
  <c r="AF21" i="2" s="1"/>
  <c r="AC21" i="32"/>
  <c r="AF21" i="32" s="1"/>
  <c r="AC18" i="32"/>
  <c r="AF18" i="32" s="1"/>
  <c r="AC18" i="2"/>
  <c r="AF18" i="2" s="1"/>
  <c r="AC8" i="32"/>
  <c r="AF8" i="32" s="1"/>
  <c r="AC8" i="2"/>
  <c r="AF8" i="2" s="1"/>
  <c r="AC19" i="32"/>
  <c r="AF19" i="32" s="1"/>
  <c r="AC19" i="2"/>
  <c r="AF19" i="2" s="1"/>
  <c r="AC10" i="32"/>
  <c r="AF10" i="32" s="1"/>
  <c r="AC10" i="2"/>
  <c r="AF10" i="2" s="1"/>
  <c r="AC20" i="2"/>
  <c r="AF20" i="2" s="1"/>
  <c r="AC20" i="32"/>
  <c r="AF20" i="32" s="1"/>
  <c r="AC22" i="32"/>
  <c r="AF22" i="32" s="1"/>
  <c r="AC22" i="2"/>
  <c r="AF22" i="2" s="1"/>
  <c r="AC17" i="32"/>
  <c r="AF17" i="32" s="1"/>
  <c r="AC17" i="2"/>
  <c r="AF17" i="2" s="1"/>
  <c r="AC7" i="2"/>
  <c r="AF7" i="2" s="1"/>
  <c r="AC7" i="32"/>
  <c r="AF7" i="32" s="1"/>
  <c r="AC26" i="2" l="1"/>
  <c r="AF26" i="2" s="1"/>
  <c r="AC26" i="32"/>
  <c r="AF26" i="32" s="1"/>
  <c r="AC24" i="32"/>
  <c r="AF24" i="32" s="1"/>
  <c r="AC24" i="2"/>
  <c r="AF24" i="2" s="1"/>
  <c r="T19" i="1"/>
  <c r="T17" i="1"/>
  <c r="W17" i="1" l="1"/>
  <c r="U17" i="1"/>
  <c r="W19" i="1"/>
  <c r="U19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/>
  <c r="S8" i="27" s="1"/>
  <c r="U20" i="27" l="1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J21" i="26"/>
  <c r="R21" i="26"/>
  <c r="I19" i="26"/>
  <c r="I18" i="26"/>
  <c r="S21" i="26" l="1"/>
  <c r="U21" i="26"/>
  <c r="V21" i="26" s="1"/>
  <c r="J18" i="26"/>
  <c r="R18" i="26"/>
  <c r="J19" i="26"/>
  <c r="R19" i="26"/>
  <c r="S20" i="26"/>
  <c r="U20" i="26"/>
  <c r="V20" i="26" s="1"/>
  <c r="I17" i="26"/>
  <c r="AC15" i="2" l="1"/>
  <c r="AF15" i="2" s="1"/>
  <c r="AC15" i="32"/>
  <c r="AF15" i="32" s="1"/>
  <c r="J17" i="26"/>
  <c r="R17" i="26"/>
  <c r="S19" i="26"/>
  <c r="U19" i="26"/>
  <c r="V19" i="26" s="1"/>
  <c r="AC16" i="2"/>
  <c r="AF16" i="2" s="1"/>
  <c r="AC16" i="32"/>
  <c r="AF16" i="32" s="1"/>
  <c r="S18" i="26"/>
  <c r="U18" i="26"/>
  <c r="V18" i="26" s="1"/>
  <c r="AC13" i="32" l="1"/>
  <c r="AF13" i="32" s="1"/>
  <c r="AC13" i="2"/>
  <c r="AF13" i="2" s="1"/>
  <c r="AC14" i="32"/>
  <c r="AF14" i="32" s="1"/>
  <c r="AC14" i="2"/>
  <c r="AF14" i="2" s="1"/>
  <c r="S17" i="26"/>
  <c r="U17" i="26"/>
  <c r="V17" i="26" s="1"/>
  <c r="AC12" i="2" l="1"/>
  <c r="AF12" i="2" s="1"/>
  <c r="AC12" i="32"/>
  <c r="AF12" i="32" s="1"/>
  <c r="U16" i="27"/>
  <c r="V16" i="27" s="1"/>
  <c r="U8" i="27" l="1"/>
  <c r="V8" i="27" s="1"/>
  <c r="U10" i="27"/>
  <c r="V10" i="27" s="1"/>
  <c r="I16" i="26" l="1"/>
  <c r="R16" i="26" l="1"/>
  <c r="J16" i="26"/>
  <c r="I10" i="26"/>
  <c r="I8" i="26"/>
  <c r="R8" i="26" l="1"/>
  <c r="J8" i="26"/>
  <c r="R10" i="26"/>
  <c r="J10" i="26"/>
  <c r="S16" i="26"/>
  <c r="U16" i="26"/>
  <c r="V16" i="26" s="1"/>
  <c r="AC11" i="32" l="1"/>
  <c r="AF11" i="32" s="1"/>
  <c r="AC11" i="2"/>
  <c r="AF11" i="2" s="1"/>
  <c r="S10" i="26"/>
  <c r="U10" i="26"/>
  <c r="V10" i="26" s="1"/>
  <c r="S8" i="26"/>
  <c r="U8" i="26"/>
  <c r="V8" i="26" s="1"/>
  <c r="AC25" i="2" l="1"/>
  <c r="AF25" i="2" s="1"/>
  <c r="AC25" i="32"/>
  <c r="AF25" i="32" s="1"/>
  <c r="AC27" i="32"/>
  <c r="AF27" i="32" s="1"/>
  <c r="AC27" i="2"/>
  <c r="AF27" i="2" s="1"/>
  <c r="T20" i="1"/>
  <c r="T18" i="1"/>
  <c r="W18" i="1" l="1"/>
  <c r="U18" i="1"/>
  <c r="AJ27" i="2"/>
  <c r="AI27" i="2"/>
  <c r="U20" i="1"/>
  <c r="W20" i="1"/>
  <c r="AJ27" i="32"/>
  <c r="AI27" i="32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P9" i="37" l="1"/>
  <c r="P13" i="37"/>
  <c r="P18" i="37"/>
  <c r="P24" i="37"/>
  <c r="P23" i="37"/>
  <c r="P21" i="37"/>
  <c r="P11" i="37"/>
  <c r="P10" i="37"/>
  <c r="P14" i="37"/>
  <c r="P17" i="37"/>
  <c r="P12" i="37"/>
  <c r="P16" i="37"/>
  <c r="P20" i="37"/>
  <c r="P19" i="37"/>
  <c r="P8" i="37"/>
  <c r="P15" i="37"/>
  <c r="P22" i="37"/>
  <c r="Q10" i="37" l="1"/>
  <c r="S10" i="37"/>
  <c r="Q22" i="37"/>
  <c r="S22" i="37"/>
  <c r="S16" i="37"/>
  <c r="Q16" i="37"/>
  <c r="S21" i="37"/>
  <c r="Q21" i="37"/>
  <c r="S9" i="37"/>
  <c r="Q9" i="37"/>
  <c r="Q20" i="37"/>
  <c r="S20" i="37"/>
  <c r="P27" i="37"/>
  <c r="S17" i="37"/>
  <c r="Q17" i="37"/>
  <c r="S12" i="37"/>
  <c r="Q12" i="37"/>
  <c r="P26" i="37"/>
  <c r="Q23" i="37"/>
  <c r="S23" i="37"/>
  <c r="Q13" i="37"/>
  <c r="S13" i="37"/>
  <c r="S18" i="37"/>
  <c r="Q18" i="37"/>
  <c r="S24" i="37"/>
  <c r="Q24" i="37"/>
  <c r="S15" i="37"/>
  <c r="Q15" i="37"/>
  <c r="S11" i="37"/>
  <c r="Q11" i="37"/>
  <c r="P25" i="37"/>
  <c r="Q8" i="37"/>
  <c r="S8" i="37"/>
  <c r="S19" i="37"/>
  <c r="Q19" i="37"/>
  <c r="Q14" i="37"/>
  <c r="S14" i="37"/>
  <c r="S26" i="37" l="1"/>
  <c r="Q26" i="37"/>
  <c r="Q25" i="37"/>
  <c r="S25" i="37"/>
  <c r="P28" i="37"/>
  <c r="S27" i="37"/>
  <c r="Q27" i="37"/>
  <c r="S28" i="37" l="1"/>
  <c r="Q28" i="37"/>
  <c r="T22" i="37" l="1"/>
  <c r="T16" i="37"/>
  <c r="T10" i="37"/>
  <c r="T8" i="37"/>
  <c r="T21" i="37"/>
  <c r="T12" i="37"/>
  <c r="T15" i="37" l="1"/>
  <c r="T14" i="37"/>
  <c r="T18" i="37"/>
  <c r="T17" i="37"/>
  <c r="T13" i="37"/>
  <c r="Y16" i="37"/>
  <c r="T24" i="37"/>
  <c r="T11" i="37"/>
  <c r="Y8" i="37"/>
  <c r="T20" i="37"/>
  <c r="Y15" i="37"/>
  <c r="Y21" i="37"/>
  <c r="T9" i="37"/>
  <c r="T25" i="37" s="1"/>
  <c r="Y12" i="37"/>
  <c r="Y18" i="37"/>
  <c r="Y22" i="37"/>
  <c r="T19" i="37"/>
  <c r="T23" i="37"/>
  <c r="Y10" i="37"/>
  <c r="T27" i="37" l="1"/>
  <c r="T26" i="37"/>
  <c r="AB17" i="31"/>
  <c r="AB17" i="33"/>
  <c r="AB13" i="31"/>
  <c r="AB13" i="33"/>
  <c r="AB20" i="31"/>
  <c r="AB20" i="33"/>
  <c r="AB14" i="31"/>
  <c r="AB14" i="33"/>
  <c r="T28" i="37"/>
  <c r="AB18" i="31"/>
  <c r="AB18" i="33"/>
  <c r="AB16" i="33"/>
  <c r="AB16" i="31"/>
  <c r="AB22" i="31"/>
  <c r="AB22" i="33"/>
  <c r="Y14" i="37"/>
  <c r="AB8" i="31"/>
  <c r="AB8" i="33"/>
  <c r="AB15" i="33"/>
  <c r="AB15" i="31"/>
  <c r="AB21" i="33"/>
  <c r="AB21" i="31"/>
  <c r="AB23" i="31"/>
  <c r="AB23" i="33"/>
  <c r="AB10" i="33"/>
  <c r="AB10" i="31"/>
  <c r="Y19" i="37"/>
  <c r="Y9" i="37"/>
  <c r="Y11" i="37"/>
  <c r="Y24" i="37"/>
  <c r="Y23" i="37"/>
  <c r="Y20" i="37"/>
  <c r="Y13" i="37"/>
  <c r="Y17" i="37"/>
  <c r="Y27" i="37" l="1"/>
  <c r="Y25" i="37"/>
  <c r="Y26" i="37"/>
  <c r="AB11" i="33"/>
  <c r="AB11" i="31"/>
  <c r="AB27" i="31"/>
  <c r="AB27" i="33"/>
  <c r="AB26" i="33"/>
  <c r="AB26" i="31"/>
  <c r="AB9" i="31"/>
  <c r="AB9" i="33"/>
  <c r="AB25" i="33"/>
  <c r="AB25" i="31"/>
  <c r="AB12" i="33"/>
  <c r="AB12" i="31"/>
  <c r="AB7" i="31"/>
  <c r="AB7" i="33"/>
  <c r="AB24" i="31"/>
  <c r="AB24" i="33"/>
  <c r="Y28" i="37" l="1"/>
  <c r="AB19" i="31"/>
  <c r="AB19" i="33"/>
  <c r="Y20" i="31" l="1"/>
  <c r="AE20" i="31" s="1"/>
  <c r="Y20" i="33"/>
  <c r="AE20" i="33" s="1"/>
  <c r="Y18" i="31"/>
  <c r="AE18" i="31" s="1"/>
  <c r="Y18" i="33"/>
  <c r="AE18" i="33" s="1"/>
  <c r="Y11" i="33"/>
  <c r="AE11" i="33" s="1"/>
  <c r="Y11" i="31"/>
  <c r="AE11" i="31" s="1"/>
  <c r="Y17" i="33"/>
  <c r="AE17" i="33" s="1"/>
  <c r="Y17" i="31"/>
  <c r="AE17" i="31" s="1"/>
  <c r="Y8" i="31" l="1"/>
  <c r="AE8" i="31" s="1"/>
  <c r="Y8" i="33"/>
  <c r="AE8" i="33" s="1"/>
  <c r="Y16" i="33"/>
  <c r="AE16" i="33" s="1"/>
  <c r="Y16" i="31"/>
  <c r="AE16" i="31" s="1"/>
  <c r="Y19" i="33"/>
  <c r="AE19" i="33" s="1"/>
  <c r="Y19" i="31"/>
  <c r="AE19" i="31" s="1"/>
  <c r="Y14" i="31"/>
  <c r="AE14" i="31" s="1"/>
  <c r="Y14" i="33"/>
  <c r="AE14" i="33" s="1"/>
  <c r="Y7" i="33"/>
  <c r="AE7" i="33" s="1"/>
  <c r="Y7" i="31"/>
  <c r="AE7" i="31" s="1"/>
  <c r="Y9" i="31"/>
  <c r="AE9" i="31" s="1"/>
  <c r="Y9" i="33"/>
  <c r="AE9" i="33" s="1"/>
  <c r="Y15" i="33"/>
  <c r="AE15" i="33" s="1"/>
  <c r="Y15" i="31"/>
  <c r="AE15" i="31" s="1"/>
  <c r="Y22" i="33"/>
  <c r="AE22" i="33" s="1"/>
  <c r="Y22" i="31"/>
  <c r="AE22" i="31" s="1"/>
  <c r="Y23" i="31"/>
  <c r="AE23" i="31" s="1"/>
  <c r="Y23" i="33"/>
  <c r="AE23" i="33" s="1"/>
  <c r="Y12" i="33"/>
  <c r="AE12" i="33" s="1"/>
  <c r="Y12" i="31"/>
  <c r="AE12" i="31" s="1"/>
  <c r="Y13" i="31"/>
  <c r="AE13" i="31" s="1"/>
  <c r="Y13" i="33"/>
  <c r="AE13" i="33" s="1"/>
  <c r="Y21" i="33"/>
  <c r="AE21" i="33" s="1"/>
  <c r="Y21" i="31"/>
  <c r="AE21" i="31" s="1"/>
  <c r="Y10" i="33"/>
  <c r="AE10" i="33" s="1"/>
  <c r="Y10" i="31"/>
  <c r="AE10" i="31" s="1"/>
  <c r="Y24" i="33" l="1"/>
  <c r="AE24" i="33" s="1"/>
  <c r="Y24" i="31"/>
  <c r="AE24" i="31" s="1"/>
  <c r="Y25" i="33"/>
  <c r="AE25" i="33" s="1"/>
  <c r="Y25" i="31"/>
  <c r="AE25" i="31" s="1"/>
  <c r="Y27" i="33"/>
  <c r="AE27" i="33" s="1"/>
  <c r="Y27" i="31"/>
  <c r="AE27" i="31" s="1"/>
  <c r="Y26" i="33"/>
  <c r="AE26" i="33" s="1"/>
  <c r="Y26" i="31"/>
  <c r="AE26" i="31" s="1"/>
  <c r="Z18" i="31" l="1"/>
  <c r="Z18" i="33"/>
  <c r="Z22" i="31"/>
  <c r="Z22" i="33"/>
  <c r="Z17" i="33"/>
  <c r="Z17" i="31"/>
  <c r="Z7" i="31"/>
  <c r="Z7" i="33"/>
  <c r="Z15" i="33"/>
  <c r="Z15" i="31"/>
  <c r="Z21" i="31"/>
  <c r="Z21" i="33"/>
  <c r="Z23" i="31"/>
  <c r="Z23" i="33"/>
  <c r="Z9" i="33"/>
  <c r="Z9" i="31"/>
  <c r="Z16" i="33"/>
  <c r="Z16" i="31"/>
  <c r="Z12" i="33"/>
  <c r="Z12" i="31"/>
  <c r="Z8" i="33"/>
  <c r="Z8" i="31"/>
  <c r="Z14" i="33"/>
  <c r="Z14" i="31"/>
  <c r="Z13" i="33"/>
  <c r="Z13" i="31"/>
  <c r="Z19" i="31"/>
  <c r="Z19" i="33"/>
  <c r="Z10" i="33"/>
  <c r="Z10" i="31"/>
  <c r="Z26" i="33" l="1"/>
  <c r="Z26" i="31"/>
  <c r="Z25" i="31"/>
  <c r="Z25" i="33"/>
  <c r="Z11" i="31"/>
  <c r="Z11" i="33"/>
  <c r="Z20" i="31"/>
  <c r="Z20" i="33"/>
  <c r="Z24" i="31"/>
  <c r="Z24" i="33"/>
  <c r="Z27" i="31"/>
  <c r="Z27" i="33"/>
  <c r="U16" i="37" l="1"/>
  <c r="U21" i="37"/>
  <c r="U10" i="37"/>
  <c r="U19" i="37"/>
  <c r="U8" i="37"/>
  <c r="U23" i="37"/>
  <c r="U24" i="37"/>
  <c r="U20" i="37"/>
  <c r="U13" i="37"/>
  <c r="U15" i="37"/>
  <c r="U14" i="37"/>
  <c r="U17" i="37"/>
  <c r="U12" i="37"/>
  <c r="U9" i="37"/>
  <c r="U11" i="37"/>
  <c r="U22" i="37"/>
  <c r="U18" i="37"/>
  <c r="V15" i="37" l="1"/>
  <c r="X15" i="37"/>
  <c r="X9" i="37"/>
  <c r="V9" i="37"/>
  <c r="X16" i="37"/>
  <c r="V16" i="37"/>
  <c r="X24" i="37"/>
  <c r="V24" i="37"/>
  <c r="X23" i="37"/>
  <c r="V23" i="37"/>
  <c r="X21" i="37"/>
  <c r="V21" i="37"/>
  <c r="V14" i="37"/>
  <c r="X14" i="37"/>
  <c r="X20" i="37"/>
  <c r="U27" i="37"/>
  <c r="V20" i="37"/>
  <c r="V13" i="37"/>
  <c r="X13" i="37"/>
  <c r="U26" i="37"/>
  <c r="X12" i="37"/>
  <c r="V12" i="37"/>
  <c r="V18" i="37"/>
  <c r="X18" i="37"/>
  <c r="X10" i="37"/>
  <c r="V10" i="37"/>
  <c r="X17" i="37"/>
  <c r="V17" i="37"/>
  <c r="V19" i="37"/>
  <c r="X19" i="37"/>
  <c r="V11" i="37"/>
  <c r="X11" i="37"/>
  <c r="U25" i="37"/>
  <c r="V8" i="37"/>
  <c r="X8" i="37"/>
  <c r="X22" i="37"/>
  <c r="V22" i="37"/>
  <c r="AC23" i="33" l="1"/>
  <c r="AF23" i="33" s="1"/>
  <c r="AC23" i="31"/>
  <c r="AF23" i="31" s="1"/>
  <c r="AC16" i="33"/>
  <c r="AF16" i="33" s="1"/>
  <c r="AC16" i="31"/>
  <c r="AF16" i="31" s="1"/>
  <c r="U28" i="37"/>
  <c r="V25" i="37"/>
  <c r="X25" i="37"/>
  <c r="AC13" i="31"/>
  <c r="AF13" i="31" s="1"/>
  <c r="AC13" i="33"/>
  <c r="AF13" i="33" s="1"/>
  <c r="AC18" i="31"/>
  <c r="AF18" i="31" s="1"/>
  <c r="AC18" i="33"/>
  <c r="AF18" i="33" s="1"/>
  <c r="V27" i="37"/>
  <c r="X27" i="37"/>
  <c r="AC12" i="33"/>
  <c r="AF12" i="33" s="1"/>
  <c r="AC12" i="31"/>
  <c r="AF12" i="31" s="1"/>
  <c r="AC8" i="33"/>
  <c r="AF8" i="33" s="1"/>
  <c r="AC8" i="31"/>
  <c r="AF8" i="31" s="1"/>
  <c r="AC10" i="31"/>
  <c r="AF10" i="31" s="1"/>
  <c r="AC10" i="33"/>
  <c r="AF10" i="33" s="1"/>
  <c r="AC11" i="31"/>
  <c r="AF11" i="31" s="1"/>
  <c r="AC11" i="33"/>
  <c r="AF11" i="33" s="1"/>
  <c r="AC22" i="33"/>
  <c r="AF22" i="33" s="1"/>
  <c r="AC22" i="31"/>
  <c r="AF22" i="31" s="1"/>
  <c r="X26" i="37"/>
  <c r="V26" i="37"/>
  <c r="AC19" i="33"/>
  <c r="AF19" i="33" s="1"/>
  <c r="AC19" i="31"/>
  <c r="AF19" i="31" s="1"/>
  <c r="AC7" i="31"/>
  <c r="AF7" i="31" s="1"/>
  <c r="AC7" i="33"/>
  <c r="AF7" i="33" s="1"/>
  <c r="AC20" i="31"/>
  <c r="AF20" i="31" s="1"/>
  <c r="AC20" i="33"/>
  <c r="AF20" i="33" s="1"/>
  <c r="AC14" i="33"/>
  <c r="AF14" i="33" s="1"/>
  <c r="AC14" i="31"/>
  <c r="AF14" i="31" s="1"/>
  <c r="AC17" i="31"/>
  <c r="AF17" i="31" s="1"/>
  <c r="AC17" i="33"/>
  <c r="AF17" i="33" s="1"/>
  <c r="AC15" i="33"/>
  <c r="AF15" i="33" s="1"/>
  <c r="AC15" i="31"/>
  <c r="AF15" i="31" s="1"/>
  <c r="AC9" i="33"/>
  <c r="AF9" i="33" s="1"/>
  <c r="AC9" i="31"/>
  <c r="AF9" i="31" s="1"/>
  <c r="AC21" i="31"/>
  <c r="AF21" i="31" s="1"/>
  <c r="AC21" i="33"/>
  <c r="AF21" i="33" s="1"/>
  <c r="AC27" i="33" l="1"/>
  <c r="AF27" i="33" s="1"/>
  <c r="AC27" i="31"/>
  <c r="AF27" i="31" s="1"/>
  <c r="AC25" i="33"/>
  <c r="AF25" i="33" s="1"/>
  <c r="AC25" i="31"/>
  <c r="AF25" i="31" s="1"/>
  <c r="V28" i="37"/>
  <c r="X28" i="37"/>
  <c r="AC26" i="33"/>
  <c r="AF26" i="33" s="1"/>
  <c r="AC26" i="31"/>
  <c r="AF26" i="31" s="1"/>
  <c r="AC24" i="31" l="1"/>
  <c r="AF24" i="31" s="1"/>
  <c r="AC24" i="33"/>
  <c r="AF24" i="33" s="1"/>
  <c r="Z20" i="37" l="1"/>
  <c r="Z14" i="37"/>
  <c r="Z24" i="37"/>
  <c r="Z8" i="37"/>
  <c r="Z10" i="37"/>
  <c r="Z21" i="37"/>
  <c r="Z19" i="37"/>
  <c r="Z17" i="37"/>
  <c r="Z9" i="37"/>
  <c r="Z11" i="37"/>
  <c r="Z12" i="37"/>
  <c r="Z16" i="37"/>
  <c r="Z22" i="37"/>
  <c r="AA19" i="37" l="1"/>
  <c r="AC19" i="37"/>
  <c r="AA14" i="37"/>
  <c r="AC14" i="37"/>
  <c r="AC10" i="37"/>
  <c r="AA10" i="37"/>
  <c r="AA9" i="37"/>
  <c r="AC9" i="37"/>
  <c r="AC12" i="37"/>
  <c r="AA12" i="37"/>
  <c r="AC11" i="37"/>
  <c r="AA11" i="37"/>
  <c r="AA16" i="37"/>
  <c r="AC16" i="37"/>
  <c r="AC17" i="37"/>
  <c r="AA17" i="37"/>
  <c r="AA8" i="37"/>
  <c r="AC8" i="37"/>
  <c r="Z25" i="37"/>
  <c r="AC22" i="37"/>
  <c r="AA22" i="37"/>
  <c r="Z23" i="37"/>
  <c r="Z27" i="37" s="1"/>
  <c r="AC24" i="37"/>
  <c r="AA24" i="37"/>
  <c r="AC20" i="37"/>
  <c r="AA20" i="37"/>
  <c r="AC21" i="37"/>
  <c r="AA21" i="37"/>
  <c r="Z13" i="37"/>
  <c r="Z18" i="37"/>
  <c r="AA27" i="37" l="1"/>
  <c r="AC27" i="37"/>
  <c r="AC23" i="37"/>
  <c r="AA23" i="37"/>
  <c r="AC18" i="37"/>
  <c r="AA18" i="37"/>
  <c r="Z15" i="37"/>
  <c r="AA13" i="37"/>
  <c r="AC13" i="37"/>
  <c r="AA25" i="37"/>
  <c r="AC25" i="37"/>
  <c r="AA15" i="37" l="1"/>
  <c r="AC15" i="37"/>
  <c r="Z26" i="37"/>
  <c r="AC26" i="37" l="1"/>
  <c r="AA26" i="37"/>
  <c r="Z28" i="37"/>
  <c r="AC28" i="37" l="1"/>
  <c r="AA28" i="37"/>
</calcChain>
</file>

<file path=xl/sharedStrings.xml><?xml version="1.0" encoding="utf-8"?>
<sst xmlns="http://schemas.openxmlformats.org/spreadsheetml/2006/main" count="945" uniqueCount="229">
  <si>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</si>
  <si>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</si>
  <si>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</si>
  <si>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</si>
  <si>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</si>
  <si>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</si>
  <si>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</si>
  <si>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</si>
  <si>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</si>
  <si>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</si>
  <si>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</si>
  <si>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</si>
  <si>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</si>
  <si>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</si>
  <si>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</si>
  <si>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</si>
  <si>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</si>
  <si>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</si>
  <si>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</si>
  <si>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</si>
  <si>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</si>
  <si>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</si>
  <si>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</si>
  <si>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</si>
  <si>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</si>
  <si>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</si>
  <si>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</si>
  <si>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</si>
  <si>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</si>
  <si>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</si>
  <si>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</si>
  <si>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</si>
  <si>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</si>
  <si>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</si>
  <si>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</si>
  <si>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</si>
  <si>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</si>
  <si>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</si>
  <si>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</si>
  <si>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</si>
  <si>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</si>
  <si>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</si>
  <si>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</si>
  <si>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</si>
  <si>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</si>
  <si>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</si>
  <si>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</si>
  <si>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</si>
  <si>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</si>
  <si>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</si>
  <si>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</si>
  <si>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</si>
  <si>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</si>
  <si>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</si>
  <si>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</si>
  <si>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</si>
  <si>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</si>
  <si>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</si>
  <si>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</si>
  <si>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</si>
  <si>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</si>
  <si>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</si>
  <si>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</si>
  <si>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</si>
  <si>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</si>
  <si>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</si>
  <si>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</si>
  <si>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</si>
  <si>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</si>
  <si>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</si>
  <si>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</si>
  <si>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</si>
  <si>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</si>
  <si>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</si>
  <si>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</si>
  <si>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</si>
  <si>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</si>
  <si>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</si>
  <si>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</si>
  <si>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</si>
  <si>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</si>
  <si>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</si>
  <si>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</si>
  <si>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</si>
  <si>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</si>
  <si>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</si>
  <si>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</si>
  <si>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</si>
  <si>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</si>
  <si>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</si>
  <si>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</si>
  <si>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</si>
  <si>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</si>
  <si>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</si>
  <si>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</si>
  <si>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</si>
  <si>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</si>
  <si>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</si>
  <si>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</si>
  <si>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</si>
  <si>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</si>
  <si>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</si>
  <si>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</si>
  <si>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</si>
  <si>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</si>
  <si>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</si>
  <si>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</si>
  <si>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</si>
  <si>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</si>
  <si>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</si>
  <si>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</si>
  <si>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</si>
  <si>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</si>
  <si>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</si>
  <si>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</si>
  <si>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</si>
  <si>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</si>
  <si>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</si>
  <si>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</si>
  <si>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</si>
  <si>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</si>
  <si>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</si>
  <si>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</si>
  <si>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</si>
  <si>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</si>
  <si>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</si>
  <si>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</si>
  <si>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</si>
  <si>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</si>
  <si>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</si>
  <si>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</si>
  <si>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</si>
  <si>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</si>
  <si>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</si>
  <si>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</si>
  <si>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</si>
  <si>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</si>
  <si>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</si>
  <si>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</si>
  <si>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</si>
  <si>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</si>
  <si>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</si>
  <si>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</si>
  <si>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</si>
  <si>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</si>
  <si>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</si>
  <si>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</si>
  <si>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</si>
  <si>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</si>
  <si>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</si>
  <si>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</si>
  <si>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</si>
  <si>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</si>
  <si>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</si>
  <si>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</si>
  <si>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</si>
  <si>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</si>
  <si>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</si>
  <si>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</si>
  <si>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</si>
  <si>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</si>
  <si>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</si>
  <si>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</si>
  <si>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</si>
  <si>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</si>
  <si>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</si>
  <si>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</si>
  <si>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</si>
  <si>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</si>
  <si>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</si>
  <si>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</si>
  <si>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</si>
  <si>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</si>
  <si>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</si>
  <si>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</si>
  <si>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</si>
  <si>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</si>
  <si>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</si>
  <si>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</si>
  <si>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</si>
  <si>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</si>
  <si>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</si>
  <si>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</si>
  <si>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</si>
  <si>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</si>
  <si>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</si>
  <si>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</si>
  <si>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</si>
  <si>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</si>
  <si>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</si>
  <si>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</si>
  <si>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</si>
  <si>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</si>
  <si>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</si>
  <si>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</si>
  <si>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</si>
  <si>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</si>
  <si>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</si>
  <si>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</si>
  <si>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</si>
  <si>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 xml:space="preserve">     인천, 김포3,300원/회 ↑, 군산 25년 2.5천원. 26년 3.5천원</t>
    <phoneticPr fontId="1" type="noConversion"/>
  </si>
  <si>
    <t xml:space="preserve"> - 운반비 협상</t>
    <phoneticPr fontId="1" type="noConversion"/>
  </si>
  <si>
    <t>캡쳐도구 사용 → PNG 저장 → 파워BI 삽입 → 이미지</t>
    <phoneticPr fontId="1" type="noConversion"/>
  </si>
  <si>
    <t>(%)</t>
    <phoneticPr fontId="1" type="noConversion"/>
  </si>
  <si>
    <t>철강재 단가</t>
    <phoneticPr fontId="1" type="noConversion"/>
  </si>
  <si>
    <t>영업이익(공통비 배부후)</t>
    <phoneticPr fontId="1" type="noConversion"/>
  </si>
  <si>
    <t>9월</t>
    <phoneticPr fontId="1" type="noConversion"/>
  </si>
  <si>
    <t xml:space="preserve"> - 1군 판가 소급분(마이너스 계산서) : 16.1억(625원/㎥)</t>
    <phoneticPr fontId="1" type="noConversion"/>
  </si>
  <si>
    <t>2025년 12월 마감 손익</t>
    <phoneticPr fontId="1" type="noConversion"/>
  </si>
  <si>
    <t>□ 건재사업본부 손익실적(2025-12)</t>
  </si>
  <si>
    <t>12월</t>
  </si>
  <si>
    <t>12월 누계</t>
  </si>
  <si>
    <t>12월 주요지표</t>
  </si>
  <si>
    <t>□ 레미콘 영업이익(12월)</t>
  </si>
  <si>
    <t>12월누계</t>
  </si>
  <si>
    <t>2024년 12월누계 마감 손익</t>
  </si>
  <si>
    <t xml:space="preserve">  - OPC 소급분 : 삼표 2.5억(총 9.9억 中 1회차) → 8~12월누계 총 4회 소급예정</t>
  </si>
  <si>
    <t>□ 사업장별 손익실적(2025-12)</t>
  </si>
  <si>
    <t>□ 레미콘 원재료 원단위(2025-12)</t>
  </si>
  <si>
    <t>□ 레미콘 원재료단가(2025-12)</t>
  </si>
  <si>
    <t>□ 레미콘 단위당 공헌이익(2025-12)</t>
  </si>
  <si>
    <t>□ 레미콘 영업이익 차이분석(2025-12)</t>
  </si>
  <si>
    <t>□ 사업장별 손익실적(2025-12누계)_건자재 제외</t>
  </si>
  <si>
    <t>□ 사업장별 손익실적(2025-12)_건자재 제외</t>
  </si>
  <si>
    <t>□ 사업장별 손익실적(2025-12누계)</t>
  </si>
  <si>
    <t>□ 건자재 손익실적(2025-12)</t>
  </si>
  <si>
    <t>판매비중</t>
    <phoneticPr fontId="1" type="noConversion"/>
  </si>
  <si>
    <t>공장명</t>
    <phoneticPr fontId="1" type="noConversion"/>
  </si>
  <si>
    <t>추정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</si>
</sst>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KoPubWorld돋움체 Medium"/>
      <family val="3"/>
      <charset val="129"/>
    </font>
    <font>
      <sz val="16"/>
      <color theme="0"/>
      <name val="KoPubWorld돋움체 Bold"/>
      <family val="3"/>
      <charset val="129"/>
    </font>
    <font>
      <sz val="16"/>
      <color theme="1"/>
      <name val="KoPubWorld돋움체 Medium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72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0" fontId="23" fillId="15" borderId="48" xfId="0" applyFont="1" applyFill="1" applyBorder="1" applyAlignment="1">
      <alignment horizontal="center" vertical="center"/>
    </xf>
    <xf numFmtId="0" fontId="23" fillId="15" borderId="65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178" fontId="24" fillId="0" borderId="1" xfId="0" applyNumberFormat="1" applyFont="1" applyBorder="1">
      <alignment vertical="center"/>
    </xf>
    <xf numFmtId="178" fontId="24" fillId="0" borderId="3" xfId="0" applyNumberFormat="1" applyFont="1" applyBorder="1">
      <alignment vertical="center"/>
    </xf>
    <xf numFmtId="178" fontId="24" fillId="0" borderId="68" xfId="0" applyNumberFormat="1" applyFont="1" applyBorder="1">
      <alignment vertical="center"/>
    </xf>
    <xf numFmtId="0" fontId="24" fillId="0" borderId="70" xfId="0" applyFont="1" applyBorder="1" applyAlignment="1">
      <alignment horizontal="center" vertical="center"/>
    </xf>
    <xf numFmtId="178" fontId="24" fillId="0" borderId="6" xfId="0" applyNumberFormat="1" applyFont="1" applyBorder="1">
      <alignment vertical="center"/>
    </xf>
    <xf numFmtId="178" fontId="24" fillId="0" borderId="8" xfId="0" applyNumberFormat="1" applyFont="1" applyBorder="1">
      <alignment vertical="center"/>
    </xf>
    <xf numFmtId="178" fontId="24" fillId="0" borderId="70" xfId="0" applyNumberFormat="1" applyFont="1" applyBorder="1">
      <alignment vertical="center"/>
    </xf>
    <xf numFmtId="0" fontId="24" fillId="0" borderId="69" xfId="0" applyFont="1" applyBorder="1" applyAlignment="1">
      <alignment horizontal="center" vertical="center"/>
    </xf>
    <xf numFmtId="178" fontId="24" fillId="0" borderId="4" xfId="0" applyNumberFormat="1" applyFont="1" applyBorder="1">
      <alignment vertical="center"/>
    </xf>
    <xf numFmtId="178" fontId="24" fillId="0" borderId="5" xfId="0" applyNumberFormat="1" applyFont="1" applyBorder="1">
      <alignment vertical="center"/>
    </xf>
    <xf numFmtId="178" fontId="24" fillId="0" borderId="69" xfId="0" applyNumberFormat="1" applyFont="1" applyBorder="1">
      <alignment vertical="center"/>
    </xf>
    <xf numFmtId="0" fontId="24" fillId="0" borderId="55" xfId="0" applyFont="1" applyBorder="1" applyAlignment="1">
      <alignment horizontal="center" vertical="center"/>
    </xf>
    <xf numFmtId="178" fontId="24" fillId="0" borderId="48" xfId="0" applyNumberFormat="1" applyFont="1" applyBorder="1">
      <alignment vertical="center"/>
    </xf>
    <xf numFmtId="178" fontId="24" fillId="0" borderId="55" xfId="0" applyNumberFormat="1" applyFont="1" applyBorder="1">
      <alignment vertical="center"/>
    </xf>
    <xf numFmtId="178" fontId="24" fillId="0" borderId="65" xfId="0" applyNumberFormat="1" applyFont="1" applyBorder="1">
      <alignment vertical="center"/>
    </xf>
    <xf numFmtId="9" fontId="24" fillId="0" borderId="3" xfId="0" applyNumberFormat="1" applyFont="1" applyBorder="1">
      <alignment vertical="center"/>
    </xf>
    <xf numFmtId="9" fontId="24" fillId="0" borderId="8" xfId="0" applyNumberFormat="1" applyFont="1" applyBorder="1">
      <alignment vertical="center"/>
    </xf>
    <xf numFmtId="9" fontId="24" fillId="0" borderId="1" xfId="0" applyNumberFormat="1" applyFont="1" applyBorder="1">
      <alignment vertical="center"/>
    </xf>
    <xf numFmtId="9" fontId="24" fillId="0" borderId="6" xfId="0" applyNumberFormat="1" applyFont="1" applyBorder="1">
      <alignment vertical="center"/>
    </xf>
    <xf numFmtId="177" fontId="24" fillId="0" borderId="4" xfId="0" applyNumberFormat="1" applyFont="1" applyBorder="1">
      <alignment vertical="center"/>
    </xf>
    <xf numFmtId="177" fontId="24" fillId="0" borderId="5" xfId="0" applyNumberFormat="1" applyFont="1" applyBorder="1">
      <alignment vertical="center"/>
    </xf>
    <xf numFmtId="177" fontId="24" fillId="0" borderId="69" xfId="0" applyNumberFormat="1" applyFont="1" applyBorder="1">
      <alignment vertical="center"/>
    </xf>
    <xf numFmtId="3" fontId="0" fillId="0" borderId="7" xfId="0" applyNumberFormat="1" applyBorder="1">
      <alignment vertical="center"/>
    </xf>
    <xf numFmtId="3" fontId="24" fillId="0" borderId="8" xfId="0" applyNumberFormat="1" applyFont="1" applyBorder="1" applyAlignment="1">
      <alignment horizontal="center" vertical="center"/>
    </xf>
    <xf numFmtId="177" fontId="24" fillId="0" borderId="6" xfId="0" applyNumberFormat="1" applyFont="1" applyBorder="1">
      <alignment vertical="center"/>
    </xf>
    <xf numFmtId="177" fontId="24" fillId="0" borderId="8" xfId="0" applyNumberFormat="1" applyFont="1" applyBorder="1">
      <alignment vertical="center"/>
    </xf>
    <xf numFmtId="177" fontId="24" fillId="0" borderId="70" xfId="0" applyNumberFormat="1" applyFont="1" applyBorder="1">
      <alignment vertical="center"/>
    </xf>
    <xf numFmtId="179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6" fillId="10" borderId="48" xfId="0" applyFont="1" applyFill="1" applyBorder="1" applyAlignment="1">
      <alignment horizontal="centerContinuous" vertical="center"/>
    </xf>
    <xf numFmtId="0" fontId="16" fillId="10" borderId="67" xfId="0" applyFont="1" applyFill="1" applyBorder="1" applyAlignment="1">
      <alignment horizontal="centerContinuous" vertical="center"/>
    </xf>
    <xf numFmtId="0" fontId="16" fillId="10" borderId="55" xfId="0" applyFont="1" applyFill="1" applyBorder="1" applyAlignment="1">
      <alignment horizontal="centerContinuous" vertical="center"/>
    </xf>
    <xf numFmtId="9" fontId="6" fillId="0" borderId="0" xfId="1" applyNumberFormat="1" applyFont="1">
      <alignment vertical="center"/>
    </xf>
    <xf numFmtId="0" fontId="24" fillId="0" borderId="3" xfId="0" applyFont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Continuous" vertical="center"/>
    </xf>
    <xf numFmtId="0" fontId="14" fillId="6" borderId="96" xfId="0" applyFont="1" applyFill="1" applyBorder="1" applyAlignment="1">
      <alignment horizontal="centerContinuous" vertical="center"/>
    </xf>
    <xf numFmtId="0" fontId="14" fillId="6" borderId="97" xfId="0" applyFont="1" applyFill="1" applyBorder="1" applyAlignment="1">
      <alignment horizontal="centerContinuous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Continuous" vertical="center"/>
    </xf>
    <xf numFmtId="14" fontId="6" fillId="0" borderId="0" xfId="1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3" fontId="2" fillId="4" borderId="0" xfId="0" applyNumberFormat="1" applyFont="1" applyFill="1">
      <alignment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15" borderId="67" xfId="0" applyFont="1" applyFill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건자재!$AM$37:$BB$37</c:f>
              <c:strCache>
                <c:ptCount val="14"/>
                <c:pt idx="0">
                  <c:v>11월</c:v>
                </c:pt>
                <c:pt idx="1">
                  <c:v>12월</c:v>
                </c:pt>
                <c:pt idx="2">
                  <c:v>1월</c:v>
                </c:pt>
                <c:pt idx="3">
                  <c:v>2월</c:v>
                </c:pt>
                <c:pt idx="4">
                  <c:v>3월</c:v>
                </c:pt>
                <c:pt idx="5">
                  <c:v>4월</c:v>
                </c:pt>
                <c:pt idx="6">
                  <c:v>5월</c:v>
                </c:pt>
                <c:pt idx="7">
                  <c:v>6월</c:v>
                </c:pt>
                <c:pt idx="8">
                  <c:v>7월</c:v>
                </c:pt>
                <c:pt idx="9">
                  <c:v>8월</c:v>
                </c:pt>
                <c:pt idx="10">
                  <c:v>9월</c:v>
                </c:pt>
                <c:pt idx="11">
                  <c:v>10월</c:v>
                </c:pt>
                <c:pt idx="12">
                  <c:v>11월</c:v>
                </c:pt>
                <c:pt idx="13">
                  <c:v>12월</c:v>
                </c:pt>
              </c:strCache>
            </c:strRef>
          </c:cat>
          <c:val>
            <c:numRef>
              <c:f>건자재!$AM$38:$BB$38</c:f>
              <c:numCache>
                <c:formatCode>#,##0_);[Red]\(#,##0\)</c:formatCode>
                <c:ptCount val="14"/>
                <c:pt idx="0">
                  <c:v>798803.69146262086</c:v>
                </c:pt>
                <c:pt idx="1">
                  <c:v>752238.01942182856</c:v>
                </c:pt>
                <c:pt idx="2">
                  <c:v>756420.01123690419</c:v>
                </c:pt>
                <c:pt idx="3">
                  <c:v>744684.72993482568</c:v>
                </c:pt>
                <c:pt idx="4">
                  <c:v>736140.83983969816</c:v>
                </c:pt>
                <c:pt idx="5">
                  <c:v>800210.93236806407</c:v>
                </c:pt>
                <c:pt idx="6">
                  <c:v>798001.52569848381</c:v>
                </c:pt>
                <c:pt idx="7">
                  <c:v>779915.72567572771</c:v>
                </c:pt>
                <c:pt idx="8">
                  <c:v>794077.93162643479</c:v>
                </c:pt>
                <c:pt idx="9">
                  <c:v>765881.71758050087</c:v>
                </c:pt>
                <c:pt idx="10">
                  <c:v>791593.63411319733</c:v>
                </c:pt>
                <c:pt idx="11">
                  <c:v>809127.48025390261</c:v>
                </c:pt>
                <c:pt idx="12">
                  <c:v>746100.56259680667</c:v>
                </c:pt>
                <c:pt idx="13">
                  <c:v>717670.73803167441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1_&#47112;&#48120;&#53080;/&#47112;&#48120;&#53080;&#50896;&#44032;&#49552;&#51061;(2025-12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1_&#47112;&#48120;&#53080;/&#47112;&#48120;&#53080;&#50896;&#44032;&#49552;&#51061;(2025-12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1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1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1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412(&#52572;&#51333;)/03_&#44264;&#51116;/&#44264;&#51116;&#50896;&#44032;&#49552;&#51061;(2024-12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1_&#47112;&#48120;&#53080;/&#47112;&#48120;&#53080;&#50896;&#44032;&#49552;&#51061;(2025-12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1_&#47112;&#48120;&#53080;/&#47112;&#48120;&#53080;&#50896;&#44032;&#49552;&#51061;(2025-12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7">
          <cell r="Z7">
            <v>273000</v>
          </cell>
        </row>
      </sheetData>
      <sheetData sheetId="5">
        <row r="7">
          <cell r="Z7">
            <v>295500</v>
          </cell>
        </row>
      </sheetData>
      <sheetData sheetId="6">
        <row r="7">
          <cell r="Z7">
            <v>290500</v>
          </cell>
        </row>
      </sheetData>
      <sheetData sheetId="7">
        <row r="7">
          <cell r="Z7">
            <v>290000</v>
          </cell>
        </row>
      </sheetData>
      <sheetData sheetId="8">
        <row r="7">
          <cell r="Z7">
            <v>284000</v>
          </cell>
        </row>
      </sheetData>
      <sheetData sheetId="9">
        <row r="7">
          <cell r="Z7">
            <v>271500</v>
          </cell>
        </row>
      </sheetData>
      <sheetData sheetId="10">
        <row r="7">
          <cell r="Z7">
            <v>300000</v>
          </cell>
        </row>
      </sheetData>
      <sheetData sheetId="11">
        <row r="7">
          <cell r="Z7">
            <v>276000</v>
          </cell>
        </row>
      </sheetData>
      <sheetData sheetId="12">
        <row r="7">
          <cell r="Z7">
            <v>310500</v>
          </cell>
        </row>
      </sheetData>
      <sheetData sheetId="13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41000</v>
          </cell>
          <cell r="G7">
            <v>32000</v>
          </cell>
          <cell r="H7">
            <v>21000</v>
          </cell>
          <cell r="I7">
            <v>15000</v>
          </cell>
          <cell r="J7">
            <v>22000</v>
          </cell>
          <cell r="K7">
            <v>23000</v>
          </cell>
          <cell r="L7">
            <v>16000</v>
          </cell>
          <cell r="M7">
            <v>21000</v>
          </cell>
          <cell r="N7">
            <v>13000</v>
          </cell>
          <cell r="O7">
            <v>19000</v>
          </cell>
          <cell r="P7">
            <v>12000</v>
          </cell>
          <cell r="Q7">
            <v>12500</v>
          </cell>
          <cell r="R7">
            <v>25000</v>
          </cell>
          <cell r="S7">
            <v>11000</v>
          </cell>
          <cell r="T7">
            <v>7500</v>
          </cell>
          <cell r="U7">
            <v>4000</v>
          </cell>
          <cell r="V7">
            <v>10000</v>
          </cell>
          <cell r="W7">
            <v>0</v>
          </cell>
          <cell r="X7">
            <v>0</v>
          </cell>
          <cell r="Y7">
            <v>0</v>
          </cell>
          <cell r="Z7">
            <v>305000</v>
          </cell>
          <cell r="AA7">
            <v>13100</v>
          </cell>
          <cell r="AB7">
            <v>48511.301075268813</v>
          </cell>
          <cell r="AC7">
            <v>39909.631599999993</v>
          </cell>
          <cell r="AD7">
            <v>26126.821815109648</v>
          </cell>
          <cell r="AE7">
            <v>114547.75449037846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47649726.030797102</v>
          </cell>
          <cell r="F8">
            <v>4252290.7699999996</v>
          </cell>
          <cell r="G8">
            <v>3312350.7451580795</v>
          </cell>
          <cell r="H8">
            <v>1999483.739000001</v>
          </cell>
          <cell r="I8">
            <v>1430397</v>
          </cell>
          <cell r="J8">
            <v>2369397.6696199998</v>
          </cell>
          <cell r="K8">
            <v>2283889.0239999993</v>
          </cell>
          <cell r="L8">
            <v>1540796.7</v>
          </cell>
          <cell r="M8">
            <v>2141997.0734000001</v>
          </cell>
          <cell r="N8">
            <v>1222601.25</v>
          </cell>
          <cell r="O8">
            <v>1934914.1027580001</v>
          </cell>
          <cell r="P8">
            <v>1167365.6645454546</v>
          </cell>
          <cell r="Q8">
            <v>1297902.5</v>
          </cell>
          <cell r="R8">
            <v>2575000</v>
          </cell>
          <cell r="S8">
            <v>1112074.2000000002</v>
          </cell>
          <cell r="T8">
            <v>833251.60000000009</v>
          </cell>
          <cell r="U8">
            <v>448000</v>
          </cell>
          <cell r="V8">
            <v>1229489</v>
          </cell>
          <cell r="W8">
            <v>0</v>
          </cell>
          <cell r="X8">
            <v>0</v>
          </cell>
          <cell r="Y8">
            <v>0</v>
          </cell>
          <cell r="Z8">
            <v>31151201.038481534</v>
          </cell>
          <cell r="AA8">
            <v>14246035.635199999</v>
          </cell>
          <cell r="AB8">
            <v>717821.61720430106</v>
          </cell>
          <cell r="AC8">
            <v>683248.2577999999</v>
          </cell>
          <cell r="AD8">
            <v>708891.31544459902</v>
          </cell>
          <cell r="AE8">
            <v>2109961.1904488998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103714.40902439023</v>
          </cell>
          <cell r="G9">
            <v>103510.96078618999</v>
          </cell>
          <cell r="H9">
            <v>95213.511380952419</v>
          </cell>
          <cell r="I9">
            <v>95359.8</v>
          </cell>
          <cell r="J9">
            <v>107699.89407363636</v>
          </cell>
          <cell r="K9">
            <v>99299.522782608663</v>
          </cell>
          <cell r="L9">
            <v>96299.793749999997</v>
          </cell>
          <cell r="M9">
            <v>101999.86063809524</v>
          </cell>
          <cell r="N9">
            <v>94046.25</v>
          </cell>
          <cell r="O9">
            <v>101837.58435568422</v>
          </cell>
          <cell r="P9">
            <v>97280.472045454546</v>
          </cell>
          <cell r="Q9">
            <v>103832.2</v>
          </cell>
          <cell r="R9">
            <v>103000</v>
          </cell>
          <cell r="S9">
            <v>101097.65454545456</v>
          </cell>
          <cell r="T9">
            <v>111100.21333333335</v>
          </cell>
          <cell r="U9">
            <v>112000</v>
          </cell>
          <cell r="V9">
            <v>122948.9</v>
          </cell>
          <cell r="W9">
            <v>0</v>
          </cell>
          <cell r="X9">
            <v>0</v>
          </cell>
          <cell r="Y9">
            <v>0</v>
          </cell>
          <cell r="Z9">
            <v>102135.08537207061</v>
          </cell>
          <cell r="AA9">
            <v>1087483.6362748093</v>
          </cell>
          <cell r="AB9">
            <v>14796.997839545647</v>
          </cell>
          <cell r="AC9">
            <v>17119.883857810404</v>
          </cell>
          <cell r="AD9">
            <v>27132.703719617111</v>
          </cell>
          <cell r="AE9">
            <v>18419.926255526276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42244894.261872478</v>
          </cell>
          <cell r="F10">
            <v>3590679.5350290523</v>
          </cell>
          <cell r="G10">
            <v>2881989.849215704</v>
          </cell>
          <cell r="H10">
            <v>1841507.2433091095</v>
          </cell>
          <cell r="I10">
            <v>1255784.7020874072</v>
          </cell>
          <cell r="J10">
            <v>2044668.894265004</v>
          </cell>
          <cell r="K10">
            <v>1968440.3621288561</v>
          </cell>
          <cell r="L10">
            <v>1341032.0183764764</v>
          </cell>
          <cell r="M10">
            <v>1862723.3415641347</v>
          </cell>
          <cell r="N10">
            <v>1068418.0759627591</v>
          </cell>
          <cell r="O10">
            <v>1558021.987003773</v>
          </cell>
          <cell r="P10">
            <v>1012720.7255555885</v>
          </cell>
          <cell r="Q10">
            <v>1129585.0008746488</v>
          </cell>
          <cell r="R10">
            <v>2171496.5701648314</v>
          </cell>
          <cell r="S10">
            <v>903440.30034186912</v>
          </cell>
          <cell r="T10">
            <v>611659.12137540185</v>
          </cell>
          <cell r="U10">
            <v>369510.48112685286</v>
          </cell>
          <cell r="V10">
            <v>975671.5797089932</v>
          </cell>
          <cell r="W10">
            <v>0</v>
          </cell>
          <cell r="X10">
            <v>0</v>
          </cell>
          <cell r="Y10">
            <v>0</v>
          </cell>
          <cell r="Z10">
            <v>26587349.78809046</v>
          </cell>
          <cell r="AA10">
            <v>13862078.619959515</v>
          </cell>
          <cell r="AB10">
            <v>619970.49500000011</v>
          </cell>
          <cell r="AC10">
            <v>551768.72658240004</v>
          </cell>
          <cell r="AD10">
            <v>582360.31224010454</v>
          </cell>
          <cell r="AE10">
            <v>1754099.5338225048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87577.549634854935</v>
          </cell>
          <cell r="G11">
            <v>90062.182787990751</v>
          </cell>
          <cell r="H11">
            <v>87690.8211099576</v>
          </cell>
          <cell r="I11">
            <v>83718.980139160485</v>
          </cell>
          <cell r="J11">
            <v>92939.495193863826</v>
          </cell>
          <cell r="K11">
            <v>85584.363570819827</v>
          </cell>
          <cell r="L11">
            <v>83814.501148529773</v>
          </cell>
          <cell r="M11">
            <v>88701.111503054039</v>
          </cell>
          <cell r="N11">
            <v>82186.005843289167</v>
          </cell>
          <cell r="O11">
            <v>82001.157210724894</v>
          </cell>
          <cell r="P11">
            <v>84393.393796299031</v>
          </cell>
          <cell r="Q11">
            <v>90366.800069971898</v>
          </cell>
          <cell r="R11">
            <v>86859.862806593257</v>
          </cell>
          <cell r="S11">
            <v>82130.936394715376</v>
          </cell>
          <cell r="T11">
            <v>81554.549516720246</v>
          </cell>
          <cell r="U11">
            <v>92377.620281713214</v>
          </cell>
          <cell r="V11">
            <v>97567.157970899323</v>
          </cell>
          <cell r="W11">
            <v>0</v>
          </cell>
          <cell r="X11">
            <v>0</v>
          </cell>
          <cell r="Y11">
            <v>0</v>
          </cell>
          <cell r="Z11">
            <v>87171.638649476925</v>
          </cell>
          <cell r="AA11">
            <v>1058173.9404549249</v>
          </cell>
          <cell r="AB11">
            <v>12779.918931427355</v>
          </cell>
          <cell r="AC11">
            <v>13825.452765702807</v>
          </cell>
          <cell r="AD11">
            <v>22289.749452163149</v>
          </cell>
          <cell r="AE11">
            <v>15313.259885595067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5404831.7689246237</v>
          </cell>
          <cell r="F12">
            <v>661611.23497094726</v>
          </cell>
          <cell r="G12">
            <v>430360.89594237553</v>
          </cell>
          <cell r="H12">
            <v>157976.49569089152</v>
          </cell>
          <cell r="I12">
            <v>174612.29791259277</v>
          </cell>
          <cell r="J12">
            <v>324728.77535499586</v>
          </cell>
          <cell r="K12">
            <v>315448.66187114315</v>
          </cell>
          <cell r="L12">
            <v>199764.68162352359</v>
          </cell>
          <cell r="M12">
            <v>279273.73183586542</v>
          </cell>
          <cell r="N12">
            <v>154183.17403724091</v>
          </cell>
          <cell r="O12">
            <v>376892.11575422715</v>
          </cell>
          <cell r="P12">
            <v>154644.93898986606</v>
          </cell>
          <cell r="Q12">
            <v>168317.4991253512</v>
          </cell>
          <cell r="R12">
            <v>403503.42983516864</v>
          </cell>
          <cell r="S12">
            <v>208633.89965813106</v>
          </cell>
          <cell r="T12">
            <v>221592.47862459824</v>
          </cell>
          <cell r="U12">
            <v>78489.518873147143</v>
          </cell>
          <cell r="V12">
            <v>253817.4202910068</v>
          </cell>
          <cell r="W12">
            <v>0</v>
          </cell>
          <cell r="X12">
            <v>0</v>
          </cell>
          <cell r="Y12">
            <v>0</v>
          </cell>
          <cell r="Z12">
            <v>4563851.2503910735</v>
          </cell>
          <cell r="AA12">
            <v>383957.01524048485</v>
          </cell>
          <cell r="AB12">
            <v>97851.122204300947</v>
          </cell>
          <cell r="AC12">
            <v>131479.53121759987</v>
          </cell>
          <cell r="AD12">
            <v>126531.00320449448</v>
          </cell>
          <cell r="AE12">
            <v>355861.65662639495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68373</v>
          </cell>
          <cell r="AJ12">
            <v>5370.5</v>
          </cell>
          <cell r="AK12">
            <v>0</v>
          </cell>
          <cell r="AL12">
            <v>139229.16666666669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785195.20000000007</v>
          </cell>
          <cell r="F13">
            <v>66239.859999999986</v>
          </cell>
          <cell r="G13">
            <v>59535.31</v>
          </cell>
          <cell r="H13">
            <v>48977.32</v>
          </cell>
          <cell r="I13">
            <v>33928.26</v>
          </cell>
          <cell r="J13">
            <v>44930.44</v>
          </cell>
          <cell r="K13">
            <v>47253.14</v>
          </cell>
          <cell r="L13">
            <v>37133.67</v>
          </cell>
          <cell r="M13">
            <v>45809.33</v>
          </cell>
          <cell r="N13">
            <v>27028.299999999996</v>
          </cell>
          <cell r="O13">
            <v>35724.47</v>
          </cell>
          <cell r="P13">
            <v>36284.270000000004</v>
          </cell>
          <cell r="Q13">
            <v>35535.71</v>
          </cell>
          <cell r="R13">
            <v>44388.639999999999</v>
          </cell>
          <cell r="S13">
            <v>28785.809999999998</v>
          </cell>
          <cell r="T13">
            <v>10937.019999999999</v>
          </cell>
          <cell r="U13">
            <v>11440.220000000001</v>
          </cell>
          <cell r="V13">
            <v>15019.560000000001</v>
          </cell>
          <cell r="W13">
            <v>0</v>
          </cell>
          <cell r="X13">
            <v>0</v>
          </cell>
          <cell r="Y13">
            <v>0</v>
          </cell>
          <cell r="Z13">
            <v>628951.33000000007</v>
          </cell>
          <cell r="AA13">
            <v>118641.56000000001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197202.08999999997</v>
          </cell>
          <cell r="F15">
            <v>16603.39</v>
          </cell>
          <cell r="G15">
            <v>16206.55</v>
          </cell>
          <cell r="H15">
            <v>11812.07</v>
          </cell>
          <cell r="I15">
            <v>7656.35</v>
          </cell>
          <cell r="J15">
            <v>11781.619999999999</v>
          </cell>
          <cell r="K15">
            <v>10890.65</v>
          </cell>
          <cell r="L15">
            <v>8979.58</v>
          </cell>
          <cell r="M15">
            <v>10557.8</v>
          </cell>
          <cell r="N15">
            <v>6714.74</v>
          </cell>
          <cell r="O15">
            <v>8420</v>
          </cell>
          <cell r="P15">
            <v>8875.4599999999991</v>
          </cell>
          <cell r="Q15">
            <v>8489.61</v>
          </cell>
          <cell r="R15">
            <v>11106.630000000001</v>
          </cell>
          <cell r="S15">
            <v>6575.6</v>
          </cell>
          <cell r="T15">
            <v>3369.65</v>
          </cell>
          <cell r="U15">
            <v>4092.7200000000003</v>
          </cell>
          <cell r="V15">
            <v>4212.53</v>
          </cell>
          <cell r="W15">
            <v>0</v>
          </cell>
          <cell r="X15">
            <v>0</v>
          </cell>
          <cell r="Y15">
            <v>0</v>
          </cell>
          <cell r="Z15">
            <v>156344.94999999998</v>
          </cell>
          <cell r="AA15">
            <v>29551.27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4619636.5689246235</v>
          </cell>
          <cell r="F17">
            <v>595371.37497094728</v>
          </cell>
          <cell r="G17">
            <v>370825.58594237553</v>
          </cell>
          <cell r="H17">
            <v>108999.17569089151</v>
          </cell>
          <cell r="I17">
            <v>140684.03791259276</v>
          </cell>
          <cell r="J17">
            <v>279798.33535499586</v>
          </cell>
          <cell r="K17">
            <v>268195.52187114314</v>
          </cell>
          <cell r="L17">
            <v>162631.01162352361</v>
          </cell>
          <cell r="M17">
            <v>233464.4018358654</v>
          </cell>
          <cell r="N17">
            <v>127154.87403724092</v>
          </cell>
          <cell r="O17">
            <v>341167.64575422718</v>
          </cell>
          <cell r="P17">
            <v>118360.66898986606</v>
          </cell>
          <cell r="Q17">
            <v>132781.78912535121</v>
          </cell>
          <cell r="R17">
            <v>359114.78983516863</v>
          </cell>
          <cell r="S17">
            <v>179848.08965813107</v>
          </cell>
          <cell r="T17">
            <v>210655.45862459825</v>
          </cell>
          <cell r="U17">
            <v>67049.298873147141</v>
          </cell>
          <cell r="V17">
            <v>238797.8602910068</v>
          </cell>
          <cell r="W17">
            <v>0</v>
          </cell>
          <cell r="X17">
            <v>0</v>
          </cell>
          <cell r="Y17">
            <v>0</v>
          </cell>
          <cell r="Z17">
            <v>3934899.9203910735</v>
          </cell>
          <cell r="AA17">
            <v>265315.45524048485</v>
          </cell>
          <cell r="AB17">
            <v>97851.122204300947</v>
          </cell>
          <cell r="AC17">
            <v>131479.53121759987</v>
          </cell>
          <cell r="AD17">
            <v>126531.00320449448</v>
          </cell>
          <cell r="AE17">
            <v>355861.65662639495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68373</v>
          </cell>
          <cell r="AJ17">
            <v>5370.5</v>
          </cell>
          <cell r="AK17">
            <v>0</v>
          </cell>
          <cell r="AL17">
            <v>139229.16666666669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</row>
        <row r="18">
          <cell r="D18" t="str">
            <v>감가상각비</v>
          </cell>
          <cell r="E18">
            <v>475725.25701790105</v>
          </cell>
          <cell r="F18">
            <v>29994.295888888886</v>
          </cell>
          <cell r="G18">
            <v>35794.468461688899</v>
          </cell>
          <cell r="H18">
            <v>19204.586333333333</v>
          </cell>
          <cell r="I18">
            <v>18531.579444444447</v>
          </cell>
          <cell r="J18">
            <v>47984.568999999996</v>
          </cell>
          <cell r="K18">
            <v>1731.8457777777787</v>
          </cell>
          <cell r="L18">
            <v>13106.185444444443</v>
          </cell>
          <cell r="M18">
            <v>25164.07433333333</v>
          </cell>
          <cell r="N18">
            <v>11516.253444444443</v>
          </cell>
          <cell r="O18">
            <v>31871.415222222218</v>
          </cell>
          <cell r="P18">
            <v>16056.936325359782</v>
          </cell>
          <cell r="Q18">
            <v>15024.533833060506</v>
          </cell>
          <cell r="R18">
            <v>25607.370444444445</v>
          </cell>
          <cell r="S18">
            <v>21587.247777777779</v>
          </cell>
          <cell r="T18">
            <v>11709.676333333335</v>
          </cell>
          <cell r="U18">
            <v>6057.137777777777</v>
          </cell>
          <cell r="V18">
            <v>12413.786620014094</v>
          </cell>
          <cell r="W18">
            <v>0</v>
          </cell>
          <cell r="X18">
            <v>0</v>
          </cell>
          <cell r="Y18">
            <v>0</v>
          </cell>
          <cell r="Z18">
            <v>343355.96246234549</v>
          </cell>
          <cell r="AA18">
            <v>5475.768</v>
          </cell>
          <cell r="AB18">
            <v>23534.010555555556</v>
          </cell>
          <cell r="AC18">
            <v>58123.188333333339</v>
          </cell>
          <cell r="AD18">
            <v>34313.575666666657</v>
          </cell>
          <cell r="AE18">
            <v>115970.77455555556</v>
          </cell>
          <cell r="AF18">
            <v>3075.8240000000001</v>
          </cell>
          <cell r="AG18">
            <v>5302.2790000000005</v>
          </cell>
          <cell r="AH18">
            <v>5634.36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11222.019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-14097.802</v>
          </cell>
          <cell r="AR18">
            <v>855.83600000000001</v>
          </cell>
          <cell r="AS18">
            <v>0</v>
          </cell>
          <cell r="AT18">
            <v>7761.0880000000006</v>
          </cell>
          <cell r="AU18">
            <v>-299.26699999999983</v>
          </cell>
        </row>
        <row r="19">
          <cell r="D19" t="str">
            <v xml:space="preserve"> - 제        조</v>
          </cell>
          <cell r="E19">
            <v>448954.12901790102</v>
          </cell>
          <cell r="F19">
            <v>27666.673888888887</v>
          </cell>
          <cell r="G19">
            <v>33849.333461688897</v>
          </cell>
          <cell r="H19">
            <v>17902.125333333333</v>
          </cell>
          <cell r="I19">
            <v>17339.591444444446</v>
          </cell>
          <cell r="J19">
            <v>46108.502999999997</v>
          </cell>
          <cell r="K19">
            <v>167.44377777777868</v>
          </cell>
          <cell r="L19">
            <v>11912.586444444443</v>
          </cell>
          <cell r="M19">
            <v>23600.76933333333</v>
          </cell>
          <cell r="N19">
            <v>10766.217444444443</v>
          </cell>
          <cell r="O19">
            <v>30652.649222222219</v>
          </cell>
          <cell r="P19">
            <v>14851.548325359781</v>
          </cell>
          <cell r="Q19">
            <v>13922.378833060506</v>
          </cell>
          <cell r="R19">
            <v>24019.169444444444</v>
          </cell>
          <cell r="S19">
            <v>20460.383777777777</v>
          </cell>
          <cell r="T19">
            <v>11266.807333333334</v>
          </cell>
          <cell r="U19">
            <v>5686.7377777777774</v>
          </cell>
          <cell r="V19">
            <v>11588.416620014093</v>
          </cell>
          <cell r="W19">
            <v>0</v>
          </cell>
          <cell r="X19">
            <v>0</v>
          </cell>
          <cell r="Y19">
            <v>0</v>
          </cell>
          <cell r="Z19">
            <v>321761.33546234551</v>
          </cell>
          <cell r="AA19">
            <v>0</v>
          </cell>
          <cell r="AB19">
            <v>23534.010555555556</v>
          </cell>
          <cell r="AC19">
            <v>58123.188333333339</v>
          </cell>
          <cell r="AD19">
            <v>34313.575666666657</v>
          </cell>
          <cell r="AE19">
            <v>115970.77455555556</v>
          </cell>
          <cell r="AF19">
            <v>3075.8240000000001</v>
          </cell>
          <cell r="AG19">
            <v>5302.2790000000005</v>
          </cell>
          <cell r="AH19">
            <v>5634.36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11222.019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26771.128000000004</v>
          </cell>
          <cell r="F20">
            <v>2327.6220000000003</v>
          </cell>
          <cell r="G20">
            <v>1945.135</v>
          </cell>
          <cell r="H20">
            <v>1302.461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21594.627000000004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-14097.802</v>
          </cell>
          <cell r="AR20">
            <v>855.83600000000001</v>
          </cell>
          <cell r="AS20">
            <v>0</v>
          </cell>
          <cell r="AT20">
            <v>7761.0880000000006</v>
          </cell>
          <cell r="AU20">
            <v>-299.26699999999983</v>
          </cell>
        </row>
        <row r="21">
          <cell r="D21" t="str">
            <v>영업이익 I</v>
          </cell>
          <cell r="E21">
            <v>4143911.3119067224</v>
          </cell>
          <cell r="F21">
            <v>565377.07908205839</v>
          </cell>
          <cell r="G21">
            <v>335031.11748068663</v>
          </cell>
          <cell r="H21">
            <v>89794.589357558172</v>
          </cell>
          <cell r="I21">
            <v>122152.45846814831</v>
          </cell>
          <cell r="J21">
            <v>231813.76635499587</v>
          </cell>
          <cell r="K21">
            <v>266463.67609336536</v>
          </cell>
          <cell r="L21">
            <v>149524.82617907916</v>
          </cell>
          <cell r="M21">
            <v>208300.32750253208</v>
          </cell>
          <cell r="N21">
            <v>115638.62059279648</v>
          </cell>
          <cell r="O21">
            <v>309296.23053200496</v>
          </cell>
          <cell r="P21">
            <v>102303.73266450627</v>
          </cell>
          <cell r="Q21">
            <v>117757.25529229071</v>
          </cell>
          <cell r="R21">
            <v>333507.41939072416</v>
          </cell>
          <cell r="S21">
            <v>158260.84188035328</v>
          </cell>
          <cell r="T21">
            <v>198945.78229126491</v>
          </cell>
          <cell r="U21">
            <v>60992.161095369367</v>
          </cell>
          <cell r="V21">
            <v>226384.07367099272</v>
          </cell>
          <cell r="W21">
            <v>0</v>
          </cell>
          <cell r="X21">
            <v>0</v>
          </cell>
          <cell r="Y21">
            <v>0</v>
          </cell>
          <cell r="Z21">
            <v>3591543.9579287278</v>
          </cell>
          <cell r="AA21">
            <v>259839.68724048484</v>
          </cell>
          <cell r="AB21">
            <v>74317.111648745398</v>
          </cell>
          <cell r="AC21">
            <v>73356.342884266531</v>
          </cell>
          <cell r="AD21">
            <v>92217.427537827825</v>
          </cell>
          <cell r="AE21">
            <v>239890.88207083941</v>
          </cell>
          <cell r="AF21">
            <v>9314.1759999999995</v>
          </cell>
          <cell r="AG21">
            <v>19069.720999999998</v>
          </cell>
          <cell r="AH21">
            <v>23089.306666666667</v>
          </cell>
          <cell r="AI21">
            <v>72476.335999999996</v>
          </cell>
          <cell r="AJ21">
            <v>4057.6080000000002</v>
          </cell>
          <cell r="AK21">
            <v>0</v>
          </cell>
          <cell r="AL21">
            <v>128007.14766666669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6122.8019999999997</v>
          </cell>
          <cell r="AR21">
            <v>-855.83600000000001</v>
          </cell>
          <cell r="AS21">
            <v>-68335.63</v>
          </cell>
          <cell r="AT21">
            <v>-5991.0880000000006</v>
          </cell>
          <cell r="AU21">
            <v>-75370.363000000012</v>
          </cell>
        </row>
        <row r="22">
          <cell r="D22" t="str">
            <v>공    통    비</v>
          </cell>
          <cell r="E22">
            <v>1379523.4670418585</v>
          </cell>
          <cell r="F22">
            <v>182176.49524940533</v>
          </cell>
          <cell r="G22">
            <v>141907.61695951829</v>
          </cell>
          <cell r="H22">
            <v>85661.813733212068</v>
          </cell>
          <cell r="I22">
            <v>61281.019189396502</v>
          </cell>
          <cell r="J22">
            <v>103193.07788096953</v>
          </cell>
          <cell r="K22">
            <v>99468.96671124085</v>
          </cell>
          <cell r="L22">
            <v>67105.474062250141</v>
          </cell>
          <cell r="M22">
            <v>93289.224367146846</v>
          </cell>
          <cell r="N22">
            <v>53247.282052427559</v>
          </cell>
          <cell r="O22">
            <v>84270.253262684811</v>
          </cell>
          <cell r="P22">
            <v>50841.636877413097</v>
          </cell>
          <cell r="Q22">
            <v>56526.836116068807</v>
          </cell>
          <cell r="R22">
            <v>105423.41683153503</v>
          </cell>
          <cell r="S22">
            <v>45529.57745017315</v>
          </cell>
          <cell r="T22">
            <v>34114.264369842131</v>
          </cell>
          <cell r="U22">
            <v>18341.627472049586</v>
          </cell>
          <cell r="V22">
            <v>50336.672363800841</v>
          </cell>
          <cell r="W22">
            <v>0</v>
          </cell>
          <cell r="X22">
            <v>0</v>
          </cell>
          <cell r="Y22">
            <v>0</v>
          </cell>
          <cell r="Z22">
            <v>1332715.2549491345</v>
          </cell>
          <cell r="AA22">
            <v>0</v>
          </cell>
          <cell r="AB22">
            <v>15924.438162624447</v>
          </cell>
          <cell r="AC22">
            <v>15157.449107527089</v>
          </cell>
          <cell r="AD22">
            <v>15726.324822572335</v>
          </cell>
          <cell r="AE22">
            <v>46808.212092723872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257241.18333333332</v>
          </cell>
          <cell r="F23">
            <v>28979.493616851036</v>
          </cell>
          <cell r="G23">
            <v>22573.773165582545</v>
          </cell>
          <cell r="H23">
            <v>13626.543758518183</v>
          </cell>
          <cell r="I23">
            <v>9748.19996400737</v>
          </cell>
          <cell r="J23">
            <v>17830.94290614385</v>
          </cell>
          <cell r="K23">
            <v>17187.446123150708</v>
          </cell>
          <cell r="L23">
            <v>11595.292060906373</v>
          </cell>
          <cell r="M23">
            <v>16119.635808980973</v>
          </cell>
          <cell r="N23">
            <v>9200.7067303423028</v>
          </cell>
          <cell r="O23">
            <v>14561.229352480843</v>
          </cell>
          <cell r="P23">
            <v>8785.0303821903326</v>
          </cell>
          <cell r="Q23">
            <v>9767.3875820739613</v>
          </cell>
          <cell r="R23">
            <v>12654.060138688897</v>
          </cell>
          <cell r="S23">
            <v>5464.9529341686784</v>
          </cell>
          <cell r="T23">
            <v>4094.7634396344647</v>
          </cell>
          <cell r="U23">
            <v>2201.5607542262624</v>
          </cell>
          <cell r="V23">
            <v>6041.9525226627084</v>
          </cell>
          <cell r="W23">
            <v>0</v>
          </cell>
          <cell r="X23">
            <v>0</v>
          </cell>
          <cell r="Y23">
            <v>0</v>
          </cell>
          <cell r="Z23">
            <v>210432.97124060945</v>
          </cell>
          <cell r="AA23">
            <v>0</v>
          </cell>
          <cell r="AB23">
            <v>15924.438162624447</v>
          </cell>
          <cell r="AC23">
            <v>15157.449107527089</v>
          </cell>
          <cell r="AD23">
            <v>15726.324822572335</v>
          </cell>
          <cell r="AE23">
            <v>46808.212092723872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369525.34500000003</v>
          </cell>
          <cell r="F24">
            <v>50442.010626925097</v>
          </cell>
          <cell r="G24">
            <v>39292.146404035091</v>
          </cell>
          <cell r="H24">
            <v>23718.505028526539</v>
          </cell>
          <cell r="I24">
            <v>16967.819130280637</v>
          </cell>
          <cell r="J24">
            <v>28106.540426063948</v>
          </cell>
          <cell r="K24">
            <v>27092.209975877438</v>
          </cell>
          <cell r="L24">
            <v>18277.415096741166</v>
          </cell>
          <cell r="M24">
            <v>25409.04302724465</v>
          </cell>
          <cell r="N24">
            <v>14502.88058382045</v>
          </cell>
          <cell r="O24">
            <v>22952.559693726278</v>
          </cell>
          <cell r="P24">
            <v>13847.658695388156</v>
          </cell>
          <cell r="Q24">
            <v>15396.127696533948</v>
          </cell>
          <cell r="R24">
            <v>30545.459939074706</v>
          </cell>
          <cell r="S24">
            <v>13191.773951603325</v>
          </cell>
          <cell r="T24">
            <v>9884.2925696970506</v>
          </cell>
          <cell r="U24">
            <v>5314.3169136720262</v>
          </cell>
          <cell r="V24">
            <v>14584.585240789524</v>
          </cell>
          <cell r="W24">
            <v>0</v>
          </cell>
          <cell r="X24">
            <v>0</v>
          </cell>
          <cell r="Y24">
            <v>0</v>
          </cell>
          <cell r="Z24">
            <v>369525.34500000003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752756.93870852503</v>
          </cell>
          <cell r="F25">
            <v>102754.99100562918</v>
          </cell>
          <cell r="G25">
            <v>80041.697389900641</v>
          </cell>
          <cell r="H25">
            <v>48316.764946167343</v>
          </cell>
          <cell r="I25">
            <v>34565.000095108495</v>
          </cell>
          <cell r="J25">
            <v>57255.594548761735</v>
          </cell>
          <cell r="K25">
            <v>55189.310612212706</v>
          </cell>
          <cell r="L25">
            <v>37232.766904602606</v>
          </cell>
          <cell r="M25">
            <v>51760.545530921227</v>
          </cell>
          <cell r="N25">
            <v>29543.694738264807</v>
          </cell>
          <cell r="O25">
            <v>46756.464216477689</v>
          </cell>
          <cell r="P25">
            <v>28208.947799834608</v>
          </cell>
          <cell r="Q25">
            <v>31363.320837460898</v>
          </cell>
          <cell r="R25">
            <v>62223.89675377142</v>
          </cell>
          <cell r="S25">
            <v>26872.850564401149</v>
          </cell>
          <cell r="T25">
            <v>20135.20836051062</v>
          </cell>
          <cell r="U25">
            <v>10825.749804151299</v>
          </cell>
          <cell r="V25">
            <v>29710.134600348611</v>
          </cell>
          <cell r="W25">
            <v>0</v>
          </cell>
          <cell r="X25">
            <v>0</v>
          </cell>
          <cell r="Y25">
            <v>0</v>
          </cell>
          <cell r="Z25">
            <v>752756.93870852503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2764387.8448648639</v>
          </cell>
          <cell r="F26">
            <v>383200.58383265306</v>
          </cell>
          <cell r="G26">
            <v>193123.50052116835</v>
          </cell>
          <cell r="H26">
            <v>4132.7756243461045</v>
          </cell>
          <cell r="I26">
            <v>60871.439278751808</v>
          </cell>
          <cell r="J26">
            <v>128620.68847402633</v>
          </cell>
          <cell r="K26">
            <v>166994.70938212451</v>
          </cell>
          <cell r="L26">
            <v>82419.352116829017</v>
          </cell>
          <cell r="M26">
            <v>115011.10313538523</v>
          </cell>
          <cell r="N26">
            <v>62391.338540368917</v>
          </cell>
          <cell r="O26">
            <v>225025.97726932017</v>
          </cell>
          <cell r="P26">
            <v>51462.095787093174</v>
          </cell>
          <cell r="Q26">
            <v>61230.419176221898</v>
          </cell>
          <cell r="R26">
            <v>228084.00255918913</v>
          </cell>
          <cell r="S26">
            <v>112731.26443018013</v>
          </cell>
          <cell r="T26">
            <v>164831.51792142278</v>
          </cell>
          <cell r="U26">
            <v>42650.533623319781</v>
          </cell>
          <cell r="V26">
            <v>176047.40130719187</v>
          </cell>
          <cell r="W26">
            <v>0</v>
          </cell>
          <cell r="X26">
            <v>0</v>
          </cell>
          <cell r="Y26">
            <v>0</v>
          </cell>
          <cell r="Z26">
            <v>2258828.7029795935</v>
          </cell>
          <cell r="AA26">
            <v>259839.68724048484</v>
          </cell>
          <cell r="AB26">
            <v>58392.673486120955</v>
          </cell>
          <cell r="AC26">
            <v>58198.893776739438</v>
          </cell>
          <cell r="AD26">
            <v>76491.102715255489</v>
          </cell>
          <cell r="AE26">
            <v>193082.66997811553</v>
          </cell>
          <cell r="AF26">
            <v>9314.1759999999995</v>
          </cell>
          <cell r="AG26">
            <v>19069.720999999998</v>
          </cell>
          <cell r="AH26">
            <v>23089.306666666667</v>
          </cell>
          <cell r="AI26">
            <v>72476.335999999996</v>
          </cell>
          <cell r="AJ26">
            <v>4057.6080000000002</v>
          </cell>
          <cell r="AK26">
            <v>0</v>
          </cell>
          <cell r="AL26">
            <v>128007.14766666669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6122.8019999999997</v>
          </cell>
          <cell r="AR26">
            <v>-855.83600000000001</v>
          </cell>
          <cell r="AS26">
            <v>-68335.63</v>
          </cell>
          <cell r="AT26">
            <v>-5991.0880000000006</v>
          </cell>
          <cell r="AU26">
            <v>-75370.363000000012</v>
          </cell>
        </row>
        <row r="27">
          <cell r="E27">
            <v>2764387.8448648602</v>
          </cell>
          <cell r="F27">
            <v>383200.58383265306</v>
          </cell>
          <cell r="G27">
            <v>193123.50052116835</v>
          </cell>
          <cell r="H27">
            <v>4132.775624346119</v>
          </cell>
          <cell r="I27">
            <v>60871.439278751823</v>
          </cell>
          <cell r="J27">
            <v>128620.6884740263</v>
          </cell>
          <cell r="K27">
            <v>166994.70938212451</v>
          </cell>
          <cell r="L27">
            <v>82419.352116828988</v>
          </cell>
          <cell r="M27">
            <v>115011.10313538526</v>
          </cell>
          <cell r="N27">
            <v>62391.338540368917</v>
          </cell>
          <cell r="O27">
            <v>225025.97726932017</v>
          </cell>
          <cell r="P27">
            <v>51462.095787093174</v>
          </cell>
          <cell r="Q27">
            <v>61230.419176221883</v>
          </cell>
          <cell r="R27">
            <v>228084.00255918919</v>
          </cell>
          <cell r="S27">
            <v>112731.26443018013</v>
          </cell>
          <cell r="T27">
            <v>164831.51792142278</v>
          </cell>
          <cell r="U27">
            <v>42650.533623319774</v>
          </cell>
          <cell r="V27">
            <v>176047.40130719187</v>
          </cell>
          <cell r="W27">
            <v>0</v>
          </cell>
          <cell r="X27">
            <v>0</v>
          </cell>
          <cell r="Y27">
            <v>0</v>
          </cell>
          <cell r="Z27">
            <v>2258828.7029795926</v>
          </cell>
          <cell r="AA27">
            <v>259839.68724048484</v>
          </cell>
          <cell r="AB27">
            <v>58392.673486120955</v>
          </cell>
          <cell r="AC27">
            <v>58198.893776739438</v>
          </cell>
          <cell r="AD27">
            <v>76491.102715255489</v>
          </cell>
          <cell r="AE27">
            <v>193082.66997811588</v>
          </cell>
          <cell r="AF27">
            <v>9314.1759999999995</v>
          </cell>
          <cell r="AG27">
            <v>19069.720999999998</v>
          </cell>
          <cell r="AH27">
            <v>23089.306666666667</v>
          </cell>
          <cell r="AI27">
            <v>72476.335999999996</v>
          </cell>
          <cell r="AJ27">
            <v>4057.6080000000002</v>
          </cell>
          <cell r="AK27">
            <v>0</v>
          </cell>
          <cell r="AL27">
            <v>128007.14766666666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6122.8019999999997</v>
          </cell>
          <cell r="AR27">
            <v>-855.83600000000001</v>
          </cell>
          <cell r="AS27">
            <v>-68335.63</v>
          </cell>
          <cell r="AT27">
            <v>-5991.0880000000006</v>
          </cell>
          <cell r="AU27">
            <v>-75370.363000000012</v>
          </cell>
        </row>
        <row r="28">
          <cell r="E28">
            <v>3.7252902984619141E-9</v>
          </cell>
          <cell r="F28">
            <v>0</v>
          </cell>
          <cell r="G28">
            <v>0</v>
          </cell>
          <cell r="H28">
            <v>-1.4551915228366852E-11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432647.75449037843</v>
          </cell>
          <cell r="F30">
            <v>41000</v>
          </cell>
          <cell r="G30">
            <v>32000</v>
          </cell>
          <cell r="H30">
            <v>21000</v>
          </cell>
          <cell r="I30">
            <v>15000</v>
          </cell>
          <cell r="J30">
            <v>22000</v>
          </cell>
          <cell r="K30">
            <v>23000</v>
          </cell>
          <cell r="L30">
            <v>16000</v>
          </cell>
          <cell r="M30">
            <v>21000</v>
          </cell>
          <cell r="N30">
            <v>13000</v>
          </cell>
          <cell r="O30">
            <v>19000</v>
          </cell>
          <cell r="P30">
            <v>12000</v>
          </cell>
          <cell r="Q30">
            <v>12500</v>
          </cell>
          <cell r="R30">
            <v>25000</v>
          </cell>
          <cell r="S30">
            <v>11000</v>
          </cell>
          <cell r="T30">
            <v>7500</v>
          </cell>
          <cell r="U30">
            <v>4000</v>
          </cell>
          <cell r="V30">
            <v>10000</v>
          </cell>
          <cell r="W30">
            <v>0</v>
          </cell>
          <cell r="X30">
            <v>0</v>
          </cell>
          <cell r="Y30">
            <v>0</v>
          </cell>
          <cell r="Z30">
            <v>305000</v>
          </cell>
          <cell r="AA30">
            <v>13100</v>
          </cell>
          <cell r="AB30">
            <v>48511.301075268813</v>
          </cell>
          <cell r="AC30">
            <v>39909.631599999993</v>
          </cell>
          <cell r="AD30">
            <v>26126.821815109648</v>
          </cell>
          <cell r="AE30">
            <v>114547.75449037846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47649726.030797102</v>
          </cell>
          <cell r="F31">
            <v>4252290.7699999996</v>
          </cell>
          <cell r="G31">
            <v>3312350.7451580795</v>
          </cell>
          <cell r="H31">
            <v>1999483.739000001</v>
          </cell>
          <cell r="I31">
            <v>1430397</v>
          </cell>
          <cell r="J31">
            <v>2369397.6696199998</v>
          </cell>
          <cell r="K31">
            <v>2283889.0239999993</v>
          </cell>
          <cell r="L31">
            <v>1540796.7</v>
          </cell>
          <cell r="M31">
            <v>2141997.0734000001</v>
          </cell>
          <cell r="N31">
            <v>1222601.25</v>
          </cell>
          <cell r="O31">
            <v>1934914.1027580001</v>
          </cell>
          <cell r="P31">
            <v>1167365.6645454546</v>
          </cell>
          <cell r="Q31">
            <v>1297902.5</v>
          </cell>
          <cell r="R31">
            <v>2575000</v>
          </cell>
          <cell r="S31">
            <v>1112074.2000000002</v>
          </cell>
          <cell r="T31">
            <v>833251.60000000009</v>
          </cell>
          <cell r="U31">
            <v>448000</v>
          </cell>
          <cell r="V31">
            <v>1229489</v>
          </cell>
          <cell r="W31">
            <v>0</v>
          </cell>
          <cell r="X31">
            <v>0</v>
          </cell>
          <cell r="Y31">
            <v>0</v>
          </cell>
          <cell r="Z31">
            <v>31151201.038481534</v>
          </cell>
          <cell r="AA31">
            <v>14246035.635199999</v>
          </cell>
          <cell r="AB31">
            <v>717821.61720430106</v>
          </cell>
          <cell r="AC31">
            <v>683248.2577999999</v>
          </cell>
          <cell r="AD31">
            <v>708891.31544459902</v>
          </cell>
          <cell r="AE31">
            <v>2109961.1904488998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42693848.390890382</v>
          </cell>
          <cell r="F32">
            <v>3618346.208917941</v>
          </cell>
          <cell r="G32">
            <v>2915839.1826773928</v>
          </cell>
          <cell r="H32">
            <v>1859409.3686424429</v>
          </cell>
          <cell r="I32">
            <v>1273124.2935318516</v>
          </cell>
          <cell r="J32">
            <v>2090777.397265004</v>
          </cell>
          <cell r="K32">
            <v>1968607.8059066338</v>
          </cell>
          <cell r="L32">
            <v>1352944.6048209209</v>
          </cell>
          <cell r="M32">
            <v>1886324.1108974679</v>
          </cell>
          <cell r="N32">
            <v>1079184.2934072036</v>
          </cell>
          <cell r="O32">
            <v>1588674.6362259951</v>
          </cell>
          <cell r="P32">
            <v>1027572.2738809483</v>
          </cell>
          <cell r="Q32">
            <v>1143507.3797077094</v>
          </cell>
          <cell r="R32">
            <v>2195515.7396092759</v>
          </cell>
          <cell r="S32">
            <v>923900.6841196469</v>
          </cell>
          <cell r="T32">
            <v>622925.92870873515</v>
          </cell>
          <cell r="U32">
            <v>375197.21890463063</v>
          </cell>
          <cell r="V32">
            <v>987259.99632900732</v>
          </cell>
          <cell r="W32">
            <v>0</v>
          </cell>
          <cell r="X32">
            <v>0</v>
          </cell>
          <cell r="Y32">
            <v>0</v>
          </cell>
          <cell r="Z32">
            <v>26909111.123552807</v>
          </cell>
          <cell r="AA32">
            <v>13862078.619959515</v>
          </cell>
          <cell r="AB32">
            <v>643504.50555555569</v>
          </cell>
          <cell r="AC32">
            <v>609891.91491573339</v>
          </cell>
          <cell r="AD32">
            <v>616673.88790677115</v>
          </cell>
          <cell r="AE32">
            <v>1870070.3083780603</v>
          </cell>
          <cell r="AF32">
            <v>3185.8240000000001</v>
          </cell>
          <cell r="AG32">
            <v>5930.2790000000005</v>
          </cell>
          <cell r="AH32">
            <v>6077.36</v>
          </cell>
          <cell r="AI32">
            <v>-3906.3359999999993</v>
          </cell>
          <cell r="AJ32">
            <v>1463.8920000000001</v>
          </cell>
          <cell r="AK32">
            <v>0</v>
          </cell>
          <cell r="AL32">
            <v>12751.019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4955877.6399067175</v>
          </cell>
          <cell r="F33">
            <v>633944.56108205859</v>
          </cell>
          <cell r="G33">
            <v>396511.5624806867</v>
          </cell>
          <cell r="H33">
            <v>140074.37035755813</v>
          </cell>
          <cell r="I33">
            <v>157272.70646814839</v>
          </cell>
          <cell r="J33">
            <v>278620.27235499583</v>
          </cell>
          <cell r="K33">
            <v>315281.21809336543</v>
          </cell>
          <cell r="L33">
            <v>187852.0951790791</v>
          </cell>
          <cell r="M33">
            <v>255672.96250253217</v>
          </cell>
          <cell r="N33">
            <v>143416.95659279637</v>
          </cell>
          <cell r="O33">
            <v>346239.466532005</v>
          </cell>
          <cell r="P33">
            <v>139793.39066450624</v>
          </cell>
          <cell r="Q33">
            <v>154395.12029229058</v>
          </cell>
          <cell r="R33">
            <v>379484.26039072406</v>
          </cell>
          <cell r="S33">
            <v>188173.51588035328</v>
          </cell>
          <cell r="T33">
            <v>210325.67129126494</v>
          </cell>
          <cell r="U33">
            <v>72802.78109536937</v>
          </cell>
          <cell r="V33">
            <v>242229.00367099268</v>
          </cell>
          <cell r="W33">
            <v>0</v>
          </cell>
          <cell r="X33">
            <v>0</v>
          </cell>
          <cell r="Y33">
            <v>0</v>
          </cell>
          <cell r="Z33">
            <v>4242089.9149287269</v>
          </cell>
          <cell r="AA33">
            <v>383957.01524048485</v>
          </cell>
          <cell r="AB33">
            <v>74317.111648745369</v>
          </cell>
          <cell r="AC33">
            <v>73356.342884266516</v>
          </cell>
          <cell r="AD33">
            <v>92217.427537827869</v>
          </cell>
          <cell r="AE33">
            <v>239890.88207083941</v>
          </cell>
          <cell r="AF33">
            <v>9314.1759999999995</v>
          </cell>
          <cell r="AG33">
            <v>19069.720999999998</v>
          </cell>
          <cell r="AH33">
            <v>23089.306666666667</v>
          </cell>
          <cell r="AI33">
            <v>72476.335999999996</v>
          </cell>
          <cell r="AJ33">
            <v>4057.6080000000002</v>
          </cell>
          <cell r="AK33">
            <v>0</v>
          </cell>
          <cell r="AL33">
            <v>128007.14766666669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2191489.7950418587</v>
          </cell>
          <cell r="F34">
            <v>250743.97724940532</v>
          </cell>
          <cell r="G34">
            <v>203388.06195951829</v>
          </cell>
          <cell r="H34">
            <v>135941.59473321208</v>
          </cell>
          <cell r="I34">
            <v>96401.267189396502</v>
          </cell>
          <cell r="J34">
            <v>149999.58388096953</v>
          </cell>
          <cell r="K34">
            <v>148286.50871124084</v>
          </cell>
          <cell r="L34">
            <v>105432.74306225014</v>
          </cell>
          <cell r="M34">
            <v>140661.85936714686</v>
          </cell>
          <cell r="N34">
            <v>81025.618052427541</v>
          </cell>
          <cell r="O34">
            <v>121213.48926268482</v>
          </cell>
          <cell r="P34">
            <v>88331.294877413107</v>
          </cell>
          <cell r="Q34">
            <v>93164.701116068813</v>
          </cell>
          <cell r="R34">
            <v>151400.25783153501</v>
          </cell>
          <cell r="S34">
            <v>75442.251450173149</v>
          </cell>
          <cell r="T34">
            <v>45494.153369842126</v>
          </cell>
          <cell r="U34">
            <v>30152.247472049588</v>
          </cell>
          <cell r="V34">
            <v>66181.602363800834</v>
          </cell>
          <cell r="W34">
            <v>0</v>
          </cell>
          <cell r="X34">
            <v>0</v>
          </cell>
          <cell r="Y34">
            <v>0</v>
          </cell>
          <cell r="Z34">
            <v>1983261.2119491347</v>
          </cell>
          <cell r="AA34">
            <v>124117.32800000001</v>
          </cell>
          <cell r="AB34">
            <v>15924.438162624447</v>
          </cell>
          <cell r="AC34">
            <v>15157.449107527089</v>
          </cell>
          <cell r="AD34">
            <v>15726.324822572335</v>
          </cell>
          <cell r="AE34">
            <v>46808.212092723872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-6122.8019999999997</v>
          </cell>
          <cell r="AR34">
            <v>855.83600000000001</v>
          </cell>
          <cell r="AS34">
            <v>28498.31</v>
          </cell>
          <cell r="AT34">
            <v>7761.0880000000006</v>
          </cell>
          <cell r="AU34">
            <v>37303.042999999998</v>
          </cell>
        </row>
        <row r="35">
          <cell r="D35" t="str">
            <v>영업이익</v>
          </cell>
          <cell r="E35">
            <v>2764387.8448648592</v>
          </cell>
          <cell r="F35">
            <v>383200.58383265324</v>
          </cell>
          <cell r="G35">
            <v>193123.5005211684</v>
          </cell>
          <cell r="H35">
            <v>4132.7756243460462</v>
          </cell>
          <cell r="I35">
            <v>60871.439278751888</v>
          </cell>
          <cell r="J35">
            <v>128620.6884740263</v>
          </cell>
          <cell r="K35">
            <v>166994.70938212459</v>
          </cell>
          <cell r="L35">
            <v>82419.352116828959</v>
          </cell>
          <cell r="M35">
            <v>115011.10313538532</v>
          </cell>
          <cell r="N35">
            <v>62391.33854036883</v>
          </cell>
          <cell r="O35">
            <v>225025.97726932017</v>
          </cell>
          <cell r="P35">
            <v>51462.095787093131</v>
          </cell>
          <cell r="Q35">
            <v>61230.419176221767</v>
          </cell>
          <cell r="R35">
            <v>228084.00255918904</v>
          </cell>
          <cell r="S35">
            <v>112731.26443018013</v>
          </cell>
          <cell r="T35">
            <v>164831.51792142281</v>
          </cell>
          <cell r="U35">
            <v>42650.533623319781</v>
          </cell>
          <cell r="V35">
            <v>176047.40130719185</v>
          </cell>
          <cell r="W35">
            <v>0</v>
          </cell>
          <cell r="X35">
            <v>0</v>
          </cell>
          <cell r="Y35">
            <v>0</v>
          </cell>
          <cell r="Z35">
            <v>2258828.7029795921</v>
          </cell>
          <cell r="AA35">
            <v>259839.68724048484</v>
          </cell>
          <cell r="AB35">
            <v>58392.673486120926</v>
          </cell>
          <cell r="AC35">
            <v>58198.893776739424</v>
          </cell>
          <cell r="AD35">
            <v>76491.102715255533</v>
          </cell>
          <cell r="AE35">
            <v>193082.66997811553</v>
          </cell>
          <cell r="AF35">
            <v>9314.1759999999995</v>
          </cell>
          <cell r="AG35">
            <v>19069.720999999998</v>
          </cell>
          <cell r="AH35">
            <v>23089.306666666667</v>
          </cell>
          <cell r="AI35">
            <v>72476.335999999996</v>
          </cell>
          <cell r="AJ35">
            <v>4057.6080000000002</v>
          </cell>
          <cell r="AK35">
            <v>0</v>
          </cell>
          <cell r="AL35">
            <v>128007.14766666669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6122.8019999999997</v>
          </cell>
          <cell r="AR35">
            <v>-855.83600000000001</v>
          </cell>
          <cell r="AS35">
            <v>-68335.63</v>
          </cell>
          <cell r="AT35">
            <v>-5991.0880000000006</v>
          </cell>
          <cell r="AU35">
            <v>-75370.362999999998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460000</v>
          </cell>
          <cell r="G7">
            <v>340000</v>
          </cell>
          <cell r="H7">
            <v>250000</v>
          </cell>
          <cell r="I7">
            <v>170000</v>
          </cell>
          <cell r="J7">
            <v>240000</v>
          </cell>
          <cell r="K7">
            <v>240000</v>
          </cell>
          <cell r="L7">
            <v>170000</v>
          </cell>
          <cell r="M7">
            <v>230000</v>
          </cell>
          <cell r="N7">
            <v>140000</v>
          </cell>
          <cell r="O7">
            <v>160000</v>
          </cell>
          <cell r="P7">
            <v>145000</v>
          </cell>
          <cell r="Q7">
            <v>145000</v>
          </cell>
          <cell r="R7">
            <v>270000</v>
          </cell>
          <cell r="S7">
            <v>130000</v>
          </cell>
          <cell r="T7">
            <v>85000</v>
          </cell>
          <cell r="U7">
            <v>55000</v>
          </cell>
          <cell r="V7">
            <v>100000</v>
          </cell>
          <cell r="W7">
            <v>0</v>
          </cell>
          <cell r="X7">
            <v>0</v>
          </cell>
          <cell r="Y7">
            <v>0</v>
          </cell>
          <cell r="Z7">
            <v>3330000</v>
          </cell>
          <cell r="AA7">
            <v>137600</v>
          </cell>
          <cell r="AB7">
            <v>580000.47297634406</v>
          </cell>
          <cell r="AC7">
            <v>359999.54523333325</v>
          </cell>
          <cell r="AD7">
            <v>259999.77397789297</v>
          </cell>
          <cell r="AE7">
            <v>1199999.7921875704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510655075.81807882</v>
          </cell>
          <cell r="F8">
            <v>46000121.885999992</v>
          </cell>
          <cell r="G8">
            <v>34017326.207224585</v>
          </cell>
          <cell r="H8">
            <v>24100000</v>
          </cell>
          <cell r="I8">
            <v>16150912.720000003</v>
          </cell>
          <cell r="J8">
            <v>25847992.420299999</v>
          </cell>
          <cell r="K8">
            <v>23831984.961580019</v>
          </cell>
          <cell r="L8">
            <v>16370975.949999997</v>
          </cell>
          <cell r="M8">
            <v>23459983.463600002</v>
          </cell>
          <cell r="N8">
            <v>13220551</v>
          </cell>
          <cell r="O8">
            <v>16111953.861842001</v>
          </cell>
          <cell r="P8">
            <v>14079525.787902461</v>
          </cell>
          <cell r="Q8">
            <v>14891506</v>
          </cell>
          <cell r="R8">
            <v>27810000</v>
          </cell>
          <cell r="S8">
            <v>12869999.906599998</v>
          </cell>
          <cell r="T8">
            <v>9434966.1830000002</v>
          </cell>
          <cell r="U8">
            <v>6160000</v>
          </cell>
          <cell r="V8">
            <v>12286285.5</v>
          </cell>
          <cell r="W8">
            <v>0</v>
          </cell>
          <cell r="X8">
            <v>0</v>
          </cell>
          <cell r="Y8">
            <v>0</v>
          </cell>
          <cell r="Z8">
            <v>336644085.8480491</v>
          </cell>
          <cell r="AA8">
            <v>150142431.99999997</v>
          </cell>
          <cell r="AB8">
            <v>8484998.436488172</v>
          </cell>
          <cell r="AC8">
            <v>6141648.3437166661</v>
          </cell>
          <cell r="AD8">
            <v>7457353.189824936</v>
          </cell>
          <cell r="AE8">
            <v>22083999.970029775</v>
          </cell>
          <cell r="AF8">
            <v>150000</v>
          </cell>
          <cell r="AG8">
            <v>375000</v>
          </cell>
          <cell r="AH8">
            <v>347520</v>
          </cell>
          <cell r="AI8">
            <v>824540</v>
          </cell>
          <cell r="AJ8">
            <v>66258</v>
          </cell>
          <cell r="AK8">
            <v>0</v>
          </cell>
          <cell r="AL8">
            <v>1763318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21240</v>
          </cell>
          <cell r="AU8">
            <v>21240</v>
          </cell>
          <cell r="AX8">
            <v>151905749.99999997</v>
          </cell>
        </row>
        <row r="9">
          <cell r="D9" t="str">
            <v xml:space="preserve"> - 단  위  당</v>
          </cell>
          <cell r="F9">
            <v>100000.26496956521</v>
          </cell>
          <cell r="G9">
            <v>100050.95943301349</v>
          </cell>
          <cell r="H9">
            <v>96400</v>
          </cell>
          <cell r="I9">
            <v>95005.368941176479</v>
          </cell>
          <cell r="J9">
            <v>107699.96841791667</v>
          </cell>
          <cell r="K9">
            <v>99299.937339916753</v>
          </cell>
          <cell r="L9">
            <v>96299.858529411751</v>
          </cell>
          <cell r="M9">
            <v>101999.92810260871</v>
          </cell>
          <cell r="N9">
            <v>94432.507142857154</v>
          </cell>
          <cell r="O9">
            <v>100699.7116365125</v>
          </cell>
          <cell r="P9">
            <v>97100.177847603176</v>
          </cell>
          <cell r="Q9">
            <v>102700.04137931035</v>
          </cell>
          <cell r="R9">
            <v>103000</v>
          </cell>
          <cell r="S9">
            <v>98999.999281538447</v>
          </cell>
          <cell r="T9">
            <v>110999.60215294118</v>
          </cell>
          <cell r="U9">
            <v>112000</v>
          </cell>
          <cell r="V9">
            <v>122862.855</v>
          </cell>
          <cell r="W9">
            <v>0</v>
          </cell>
          <cell r="X9">
            <v>0</v>
          </cell>
          <cell r="Y9">
            <v>0</v>
          </cell>
          <cell r="Z9">
            <v>101094.32007448922</v>
          </cell>
          <cell r="AA9">
            <v>1091151.3953488369</v>
          </cell>
          <cell r="AB9">
            <v>14629.295719271322</v>
          </cell>
          <cell r="AC9">
            <v>17060.155839185754</v>
          </cell>
          <cell r="AD9">
            <v>28682.152587021148</v>
          </cell>
          <cell r="AE9">
            <v>18403.336495393203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455939234.77761251</v>
          </cell>
          <cell r="F10">
            <v>40159712.308243364</v>
          </cell>
          <cell r="G10">
            <v>30653889.886662647</v>
          </cell>
          <cell r="H10">
            <v>22006238.151033401</v>
          </cell>
          <cell r="I10">
            <v>14400636.669546669</v>
          </cell>
          <cell r="J10">
            <v>22478000.320136528</v>
          </cell>
          <cell r="K10">
            <v>20668910.131883256</v>
          </cell>
          <cell r="L10">
            <v>14297019.082382727</v>
          </cell>
          <cell r="M10">
            <v>20579102.643496241</v>
          </cell>
          <cell r="N10">
            <v>11596625.315800041</v>
          </cell>
          <cell r="O10">
            <v>13606076.349567287</v>
          </cell>
          <cell r="P10">
            <v>12124330.821497209</v>
          </cell>
          <cell r="Q10">
            <v>13091753.797107581</v>
          </cell>
          <cell r="R10">
            <v>23282521.102728374</v>
          </cell>
          <cell r="S10">
            <v>10737179.386985049</v>
          </cell>
          <cell r="T10">
            <v>6911702.880587887</v>
          </cell>
          <cell r="U10">
            <v>4933325.6537804371</v>
          </cell>
          <cell r="V10">
            <v>9947196.7722289748</v>
          </cell>
          <cell r="W10">
            <v>0</v>
          </cell>
          <cell r="X10">
            <v>0</v>
          </cell>
          <cell r="Y10">
            <v>0</v>
          </cell>
          <cell r="Z10">
            <v>291474221.27366769</v>
          </cell>
          <cell r="AA10">
            <v>146089803.54657599</v>
          </cell>
          <cell r="AB10">
            <v>6638335.809009999</v>
          </cell>
          <cell r="AC10">
            <v>5263008.247868266</v>
          </cell>
          <cell r="AD10">
            <v>6004240.5104905134</v>
          </cell>
          <cell r="AE10">
            <v>17905584.567368779</v>
          </cell>
          <cell r="AF10">
            <v>1553.4</v>
          </cell>
          <cell r="AG10">
            <v>42090.229999999996</v>
          </cell>
          <cell r="AH10">
            <v>23570.559999999998</v>
          </cell>
          <cell r="AI10">
            <v>2286</v>
          </cell>
          <cell r="AJ10">
            <v>1752</v>
          </cell>
          <cell r="AK10">
            <v>0</v>
          </cell>
          <cell r="AL10">
            <v>71252.19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398373.2</v>
          </cell>
          <cell r="AT10">
            <v>0</v>
          </cell>
          <cell r="AU10">
            <v>398373.2</v>
          </cell>
          <cell r="AX10">
            <v>146161055.73657599</v>
          </cell>
        </row>
        <row r="11">
          <cell r="D11" t="str">
            <v xml:space="preserve"> - 단  위  당</v>
          </cell>
          <cell r="F11">
            <v>87303.722409224705</v>
          </cell>
          <cell r="G11">
            <v>90158.499666654854</v>
          </cell>
          <cell r="H11">
            <v>88024.952604133607</v>
          </cell>
          <cell r="I11">
            <v>84709.627467921571</v>
          </cell>
          <cell r="J11">
            <v>93658.33466723554</v>
          </cell>
          <cell r="K11">
            <v>86120.458882846899</v>
          </cell>
          <cell r="L11">
            <v>84100.112249310157</v>
          </cell>
          <cell r="M11">
            <v>89474.359319548879</v>
          </cell>
          <cell r="N11">
            <v>82833.037970000296</v>
          </cell>
          <cell r="O11">
            <v>85037.977184795542</v>
          </cell>
          <cell r="P11">
            <v>83616.074631015232</v>
          </cell>
          <cell r="Q11">
            <v>90287.957221431599</v>
          </cell>
          <cell r="R11">
            <v>86231.559639734725</v>
          </cell>
          <cell r="S11">
            <v>82593.687592192684</v>
          </cell>
          <cell r="T11">
            <v>81314.151536328078</v>
          </cell>
          <cell r="U11">
            <v>89696.830068735231</v>
          </cell>
          <cell r="V11">
            <v>99471.967722289744</v>
          </cell>
          <cell r="W11">
            <v>0</v>
          </cell>
          <cell r="X11">
            <v>0</v>
          </cell>
          <cell r="Y11">
            <v>0</v>
          </cell>
          <cell r="Z11">
            <v>87529.796178278586</v>
          </cell>
          <cell r="AA11">
            <v>1061699.1536815118</v>
          </cell>
          <cell r="AB11">
            <v>11445.397233806654</v>
          </cell>
          <cell r="AC11">
            <v>14619.485823119732</v>
          </cell>
          <cell r="AD11">
            <v>23093.252807985275</v>
          </cell>
          <cell r="AE11">
            <v>14921.323056837649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54715841.040466309</v>
          </cell>
          <cell r="F12">
            <v>5840409.5777566284</v>
          </cell>
          <cell r="G12">
            <v>3363436.320561938</v>
          </cell>
          <cell r="H12">
            <v>2093761.8489665985</v>
          </cell>
          <cell r="I12">
            <v>1750276.0504533332</v>
          </cell>
          <cell r="J12">
            <v>3369992.100163471</v>
          </cell>
          <cell r="K12">
            <v>3163074.8296967633</v>
          </cell>
          <cell r="L12">
            <v>2073956.86761727</v>
          </cell>
          <cell r="M12">
            <v>2880880.8201037608</v>
          </cell>
          <cell r="N12">
            <v>1623925.684199959</v>
          </cell>
          <cell r="O12">
            <v>2505877.5122747142</v>
          </cell>
          <cell r="P12">
            <v>1955194.966405252</v>
          </cell>
          <cell r="Q12">
            <v>1799752.202892419</v>
          </cell>
          <cell r="R12">
            <v>4527478.8972716257</v>
          </cell>
          <cell r="S12">
            <v>2132820.5196149498</v>
          </cell>
          <cell r="T12">
            <v>2523263.3024121132</v>
          </cell>
          <cell r="U12">
            <v>1226674.3462195629</v>
          </cell>
          <cell r="V12">
            <v>2339088.7277710252</v>
          </cell>
          <cell r="W12">
            <v>0</v>
          </cell>
          <cell r="X12">
            <v>0</v>
          </cell>
          <cell r="Y12">
            <v>0</v>
          </cell>
          <cell r="Z12">
            <v>45169864.574381411</v>
          </cell>
          <cell r="AA12">
            <v>4052628.4534239769</v>
          </cell>
          <cell r="AB12">
            <v>1846662.627478173</v>
          </cell>
          <cell r="AC12">
            <v>878640.09584840015</v>
          </cell>
          <cell r="AD12">
            <v>1453112.6793344226</v>
          </cell>
          <cell r="AE12">
            <v>4178415.4026609957</v>
          </cell>
          <cell r="AF12">
            <v>148446.6</v>
          </cell>
          <cell r="AG12">
            <v>332909.77</v>
          </cell>
          <cell r="AH12">
            <v>323949.44</v>
          </cell>
          <cell r="AI12">
            <v>822254</v>
          </cell>
          <cell r="AJ12">
            <v>64506</v>
          </cell>
          <cell r="AK12">
            <v>0</v>
          </cell>
          <cell r="AL12">
            <v>1692065.81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-398373.2</v>
          </cell>
          <cell r="AT12">
            <v>21240</v>
          </cell>
          <cell r="AU12">
            <v>-377133.2</v>
          </cell>
          <cell r="AX12">
            <v>5744694.2634239774</v>
          </cell>
        </row>
        <row r="13">
          <cell r="D13" t="str">
            <v>판 관 비</v>
          </cell>
          <cell r="E13">
            <v>9704072.5100000016</v>
          </cell>
          <cell r="F13">
            <v>816538.43999999983</v>
          </cell>
          <cell r="G13">
            <v>739702.88</v>
          </cell>
          <cell r="H13">
            <v>599463.8600000001</v>
          </cell>
          <cell r="I13">
            <v>422317.9</v>
          </cell>
          <cell r="J13">
            <v>550562.81999999995</v>
          </cell>
          <cell r="K13">
            <v>582177.60999999987</v>
          </cell>
          <cell r="L13">
            <v>452548.63000000006</v>
          </cell>
          <cell r="M13">
            <v>586466.31000000017</v>
          </cell>
          <cell r="N13">
            <v>332940.07999999996</v>
          </cell>
          <cell r="O13">
            <v>436087.56000000006</v>
          </cell>
          <cell r="P13">
            <v>459694.08999999997</v>
          </cell>
          <cell r="Q13">
            <v>433354.83999999997</v>
          </cell>
          <cell r="R13">
            <v>543224.64000000013</v>
          </cell>
          <cell r="S13">
            <v>363373.06</v>
          </cell>
          <cell r="T13">
            <v>138953.31999999998</v>
          </cell>
          <cell r="U13">
            <v>145025.68</v>
          </cell>
          <cell r="V13">
            <v>186531.61</v>
          </cell>
          <cell r="W13">
            <v>0</v>
          </cell>
          <cell r="X13">
            <v>0</v>
          </cell>
          <cell r="Y13">
            <v>0</v>
          </cell>
          <cell r="Z13">
            <v>7788963.3300000001</v>
          </cell>
          <cell r="AA13">
            <v>1463954.6400000001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46977.47</v>
          </cell>
          <cell r="AN13">
            <v>9508.66</v>
          </cell>
          <cell r="AO13">
            <v>3147.12</v>
          </cell>
          <cell r="AP13">
            <v>10982.19</v>
          </cell>
          <cell r="AQ13">
            <v>95556</v>
          </cell>
          <cell r="AR13">
            <v>0</v>
          </cell>
          <cell r="AS13">
            <v>284983.10000000003</v>
          </cell>
          <cell r="AT13">
            <v>0</v>
          </cell>
          <cell r="AU13">
            <v>451154.54000000004</v>
          </cell>
          <cell r="AX13">
            <v>1463954.6400000001</v>
          </cell>
        </row>
        <row r="14">
          <cell r="D14" t="str">
            <v xml:space="preserve"> - 노   무   비</v>
          </cell>
          <cell r="E14">
            <v>6982686.9800000004</v>
          </cell>
          <cell r="F14">
            <v>594607.89999999979</v>
          </cell>
          <cell r="G14">
            <v>518913.30000000005</v>
          </cell>
          <cell r="H14">
            <v>445983</v>
          </cell>
          <cell r="I14">
            <v>314248.76</v>
          </cell>
          <cell r="J14">
            <v>397132.34</v>
          </cell>
          <cell r="K14">
            <v>434271.39999999991</v>
          </cell>
          <cell r="L14">
            <v>335421.66000000003</v>
          </cell>
          <cell r="M14">
            <v>421604.04000000015</v>
          </cell>
          <cell r="N14">
            <v>243762.71999999997</v>
          </cell>
          <cell r="O14">
            <v>325952.66000000009</v>
          </cell>
          <cell r="P14">
            <v>327646.34000000003</v>
          </cell>
          <cell r="Q14">
            <v>322835.3</v>
          </cell>
          <cell r="R14">
            <v>397298.94000000006</v>
          </cell>
          <cell r="S14">
            <v>265839.71999999997</v>
          </cell>
          <cell r="T14">
            <v>90442.679999999964</v>
          </cell>
          <cell r="U14">
            <v>88170</v>
          </cell>
          <cell r="V14">
            <v>129684.36</v>
          </cell>
          <cell r="W14">
            <v>0</v>
          </cell>
          <cell r="X14">
            <v>0</v>
          </cell>
          <cell r="Y14">
            <v>0</v>
          </cell>
          <cell r="Z14">
            <v>5653815.1200000001</v>
          </cell>
          <cell r="AA14">
            <v>1065907.4600000002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262964.40000000002</v>
          </cell>
          <cell r="AT14">
            <v>0</v>
          </cell>
          <cell r="AU14">
            <v>262964.40000000002</v>
          </cell>
          <cell r="AX14">
            <v>1065907.4600000002</v>
          </cell>
        </row>
        <row r="15">
          <cell r="D15" t="str">
            <v xml:space="preserve"> - 경        비</v>
          </cell>
          <cell r="E15">
            <v>2721385.5300000003</v>
          </cell>
          <cell r="F15">
            <v>221930.54000000004</v>
          </cell>
          <cell r="G15">
            <v>220789.57999999996</v>
          </cell>
          <cell r="H15">
            <v>153480.86000000004</v>
          </cell>
          <cell r="I15">
            <v>108069.14000000001</v>
          </cell>
          <cell r="J15">
            <v>153430.47999999995</v>
          </cell>
          <cell r="K15">
            <v>147906.20999999996</v>
          </cell>
          <cell r="L15">
            <v>117126.97000000002</v>
          </cell>
          <cell r="M15">
            <v>164862.26999999999</v>
          </cell>
          <cell r="N15">
            <v>89177.36</v>
          </cell>
          <cell r="O15">
            <v>110134.9</v>
          </cell>
          <cell r="P15">
            <v>132047.74999999994</v>
          </cell>
          <cell r="Q15">
            <v>110519.54000000001</v>
          </cell>
          <cell r="R15">
            <v>145925.70000000004</v>
          </cell>
          <cell r="S15">
            <v>97533.340000000011</v>
          </cell>
          <cell r="T15">
            <v>48510.640000000007</v>
          </cell>
          <cell r="U15">
            <v>56855.680000000008</v>
          </cell>
          <cell r="V15">
            <v>56847.249999999993</v>
          </cell>
          <cell r="W15">
            <v>0</v>
          </cell>
          <cell r="X15">
            <v>0</v>
          </cell>
          <cell r="Y15">
            <v>0</v>
          </cell>
          <cell r="Z15">
            <v>2135148.21</v>
          </cell>
          <cell r="AA15">
            <v>398047.18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46977.47</v>
          </cell>
          <cell r="AN15">
            <v>9508.66</v>
          </cell>
          <cell r="AO15">
            <v>3147.12</v>
          </cell>
          <cell r="AP15">
            <v>10982.19</v>
          </cell>
          <cell r="AQ15">
            <v>95556</v>
          </cell>
          <cell r="AR15">
            <v>0</v>
          </cell>
          <cell r="AS15">
            <v>22018.699999999993</v>
          </cell>
          <cell r="AT15">
            <v>0</v>
          </cell>
          <cell r="AU15">
            <v>188190.13999999998</v>
          </cell>
          <cell r="AX15">
            <v>398047.18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X16">
            <v>0</v>
          </cell>
        </row>
        <row r="17">
          <cell r="D17" t="str">
            <v>EBITDA</v>
          </cell>
          <cell r="E17">
            <v>45011768.530466303</v>
          </cell>
          <cell r="F17">
            <v>5023871.1377566289</v>
          </cell>
          <cell r="G17">
            <v>2623733.4405619381</v>
          </cell>
          <cell r="H17">
            <v>1494297.9889665984</v>
          </cell>
          <cell r="I17">
            <v>1327958.1504533333</v>
          </cell>
          <cell r="J17">
            <v>2819429.2801634711</v>
          </cell>
          <cell r="K17">
            <v>2580897.2196967634</v>
          </cell>
          <cell r="L17">
            <v>1621408.2376172699</v>
          </cell>
          <cell r="M17">
            <v>2294414.5101037608</v>
          </cell>
          <cell r="N17">
            <v>1290985.604199959</v>
          </cell>
          <cell r="O17">
            <v>2069789.9522747141</v>
          </cell>
          <cell r="P17">
            <v>1495500.8764052521</v>
          </cell>
          <cell r="Q17">
            <v>1366397.3628924191</v>
          </cell>
          <cell r="R17">
            <v>3984254.2572716256</v>
          </cell>
          <cell r="S17">
            <v>1769447.4596149498</v>
          </cell>
          <cell r="T17">
            <v>2384309.9824121133</v>
          </cell>
          <cell r="U17">
            <v>1081648.666219563</v>
          </cell>
          <cell r="V17">
            <v>2152557.1177710253</v>
          </cell>
          <cell r="W17">
            <v>0</v>
          </cell>
          <cell r="X17">
            <v>0</v>
          </cell>
          <cell r="Y17">
            <v>0</v>
          </cell>
          <cell r="Z17">
            <v>37380901.244381413</v>
          </cell>
          <cell r="AA17">
            <v>2588673.8134239768</v>
          </cell>
          <cell r="AB17">
            <v>1846662.627478173</v>
          </cell>
          <cell r="AC17">
            <v>878640.09584840015</v>
          </cell>
          <cell r="AD17">
            <v>1453112.6793344226</v>
          </cell>
          <cell r="AE17">
            <v>4178415.4026609957</v>
          </cell>
          <cell r="AF17">
            <v>148446.6</v>
          </cell>
          <cell r="AG17">
            <v>332909.77</v>
          </cell>
          <cell r="AH17">
            <v>323949.44</v>
          </cell>
          <cell r="AI17">
            <v>822254</v>
          </cell>
          <cell r="AJ17">
            <v>64506</v>
          </cell>
          <cell r="AK17">
            <v>0</v>
          </cell>
          <cell r="AL17">
            <v>1692065.81</v>
          </cell>
          <cell r="AM17">
            <v>-46977.47</v>
          </cell>
          <cell r="AN17">
            <v>-9508.66</v>
          </cell>
          <cell r="AO17">
            <v>-3147.12</v>
          </cell>
          <cell r="AP17">
            <v>-10982.19</v>
          </cell>
          <cell r="AQ17">
            <v>-95556</v>
          </cell>
          <cell r="AR17">
            <v>0</v>
          </cell>
          <cell r="AS17">
            <v>-683356.3</v>
          </cell>
          <cell r="AT17">
            <v>21240</v>
          </cell>
          <cell r="AU17">
            <v>-828287.74</v>
          </cell>
          <cell r="AX17">
            <v>4280739.6234239768</v>
          </cell>
        </row>
        <row r="18">
          <cell r="D18" t="str">
            <v>감가상각비</v>
          </cell>
          <cell r="E18">
            <v>6496478.3642148133</v>
          </cell>
          <cell r="F18">
            <v>357034.21644444444</v>
          </cell>
          <cell r="G18">
            <v>427173.76042915561</v>
          </cell>
          <cell r="H18">
            <v>248218.26133333333</v>
          </cell>
          <cell r="I18">
            <v>221962.28666666665</v>
          </cell>
          <cell r="J18">
            <v>574933.35733333346</v>
          </cell>
          <cell r="K18">
            <v>237820.4337777778</v>
          </cell>
          <cell r="L18">
            <v>163104.55511111108</v>
          </cell>
          <cell r="M18">
            <v>307605.49955555546</v>
          </cell>
          <cell r="N18">
            <v>140233.60533333331</v>
          </cell>
          <cell r="O18">
            <v>381329.20488888881</v>
          </cell>
          <cell r="P18">
            <v>192525.96657098408</v>
          </cell>
          <cell r="Q18">
            <v>183878.40955228166</v>
          </cell>
          <cell r="R18">
            <v>396733.83822222217</v>
          </cell>
          <cell r="S18">
            <v>258290.02888888886</v>
          </cell>
          <cell r="T18">
            <v>137486.94933333335</v>
          </cell>
          <cell r="U18">
            <v>72268.986666666679</v>
          </cell>
          <cell r="V18">
            <v>148713.93855128027</v>
          </cell>
          <cell r="W18">
            <v>0</v>
          </cell>
          <cell r="X18">
            <v>0</v>
          </cell>
          <cell r="Y18">
            <v>0</v>
          </cell>
          <cell r="Z18">
            <v>4449313.2986592567</v>
          </cell>
          <cell r="AA18">
            <v>65709.215999999986</v>
          </cell>
          <cell r="AB18">
            <v>270708.82111111109</v>
          </cell>
          <cell r="AC18">
            <v>694978.26</v>
          </cell>
          <cell r="AD18">
            <v>419905.60044444446</v>
          </cell>
          <cell r="AE18">
            <v>1385592.6815555557</v>
          </cell>
          <cell r="AF18">
            <v>38666.303999999996</v>
          </cell>
          <cell r="AG18">
            <v>66561.563999999998</v>
          </cell>
          <cell r="AH18">
            <v>88476.215999999986</v>
          </cell>
          <cell r="AI18">
            <v>51503.520000000004</v>
          </cell>
          <cell r="AJ18">
            <v>15754.704</v>
          </cell>
          <cell r="AK18">
            <v>0</v>
          </cell>
          <cell r="AL18">
            <v>260962.30799999999</v>
          </cell>
          <cell r="AM18">
            <v>44246.640000000007</v>
          </cell>
          <cell r="AN18">
            <v>10794.167999999998</v>
          </cell>
          <cell r="AO18">
            <v>4244.0640000000003</v>
          </cell>
          <cell r="AP18">
            <v>2894.4599999999996</v>
          </cell>
          <cell r="AQ18">
            <v>89671.872000000032</v>
          </cell>
          <cell r="AR18">
            <v>10270.031999999999</v>
          </cell>
          <cell r="AS18">
            <v>0</v>
          </cell>
          <cell r="AT18">
            <v>172779.62400000001</v>
          </cell>
          <cell r="AU18">
            <v>334900.86000000004</v>
          </cell>
          <cell r="AX18">
            <v>326671.52399999998</v>
          </cell>
        </row>
        <row r="19">
          <cell r="D19" t="str">
            <v xml:space="preserve"> - 제        조</v>
          </cell>
          <cell r="E19">
            <v>5832982.4762148131</v>
          </cell>
          <cell r="F19">
            <v>329102.75244444446</v>
          </cell>
          <cell r="G19">
            <v>403832.14042915561</v>
          </cell>
          <cell r="H19">
            <v>228838.44133333332</v>
          </cell>
          <cell r="I19">
            <v>207658.43066666665</v>
          </cell>
          <cell r="J19">
            <v>552420.56533333345</v>
          </cell>
          <cell r="K19">
            <v>219047.6097777778</v>
          </cell>
          <cell r="L19">
            <v>148781.36711111109</v>
          </cell>
          <cell r="M19">
            <v>288845.83955555549</v>
          </cell>
          <cell r="N19">
            <v>131233.17333333331</v>
          </cell>
          <cell r="O19">
            <v>366704.01288888883</v>
          </cell>
          <cell r="P19">
            <v>178061.31057098406</v>
          </cell>
          <cell r="Q19">
            <v>170652.54955228165</v>
          </cell>
          <cell r="R19">
            <v>377675.42622222216</v>
          </cell>
          <cell r="S19">
            <v>244767.66088888887</v>
          </cell>
          <cell r="T19">
            <v>132172.52133333334</v>
          </cell>
          <cell r="U19">
            <v>67824.186666666676</v>
          </cell>
          <cell r="V19">
            <v>138809.49855128027</v>
          </cell>
          <cell r="W19">
            <v>0</v>
          </cell>
          <cell r="X19">
            <v>0</v>
          </cell>
          <cell r="Y19">
            <v>0</v>
          </cell>
          <cell r="Z19">
            <v>4186427.4866592567</v>
          </cell>
          <cell r="AA19">
            <v>0</v>
          </cell>
          <cell r="AB19">
            <v>270708.82111111109</v>
          </cell>
          <cell r="AC19">
            <v>694978.26</v>
          </cell>
          <cell r="AD19">
            <v>419905.60044444446</v>
          </cell>
          <cell r="AE19">
            <v>1385592.6815555557</v>
          </cell>
          <cell r="AF19">
            <v>38666.303999999996</v>
          </cell>
          <cell r="AG19">
            <v>66561.563999999998</v>
          </cell>
          <cell r="AH19">
            <v>88476.215999999986</v>
          </cell>
          <cell r="AI19">
            <v>51503.520000000004</v>
          </cell>
          <cell r="AJ19">
            <v>15754.704</v>
          </cell>
          <cell r="AK19">
            <v>0</v>
          </cell>
          <cell r="AL19">
            <v>260962.30799999999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X19">
            <v>260962.30799999999</v>
          </cell>
        </row>
        <row r="20">
          <cell r="D20" t="str">
            <v xml:space="preserve"> - 판        매</v>
          </cell>
          <cell r="E20">
            <v>663495.88800000004</v>
          </cell>
          <cell r="F20">
            <v>27931.463999999996</v>
          </cell>
          <cell r="G20">
            <v>23341.619999999995</v>
          </cell>
          <cell r="H20">
            <v>19379.819999999996</v>
          </cell>
          <cell r="I20">
            <v>14303.855999999998</v>
          </cell>
          <cell r="J20">
            <v>22512.791999999998</v>
          </cell>
          <cell r="K20">
            <v>18772.824000000001</v>
          </cell>
          <cell r="L20">
            <v>14323.188000000002</v>
          </cell>
          <cell r="M20">
            <v>18759.66</v>
          </cell>
          <cell r="N20">
            <v>9000.4319999999989</v>
          </cell>
          <cell r="O20">
            <v>14625.191999999997</v>
          </cell>
          <cell r="P20">
            <v>14464.656000000004</v>
          </cell>
          <cell r="Q20">
            <v>13225.860000000002</v>
          </cell>
          <cell r="R20">
            <v>19058.412000000004</v>
          </cell>
          <cell r="S20">
            <v>13522.367999999997</v>
          </cell>
          <cell r="T20">
            <v>5314.4279999999999</v>
          </cell>
          <cell r="U20">
            <v>4444.8</v>
          </cell>
          <cell r="V20">
            <v>9904.4400000000023</v>
          </cell>
          <cell r="W20">
            <v>0</v>
          </cell>
          <cell r="X20">
            <v>0</v>
          </cell>
          <cell r="Y20">
            <v>0</v>
          </cell>
          <cell r="Z20">
            <v>262885.81200000003</v>
          </cell>
          <cell r="AA20">
            <v>65709.215999999986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44246.640000000007</v>
          </cell>
          <cell r="AN20">
            <v>10794.167999999998</v>
          </cell>
          <cell r="AO20">
            <v>4244.0640000000003</v>
          </cell>
          <cell r="AP20">
            <v>2894.4599999999996</v>
          </cell>
          <cell r="AQ20">
            <v>89671.872000000032</v>
          </cell>
          <cell r="AR20">
            <v>10270.031999999999</v>
          </cell>
          <cell r="AS20">
            <v>0</v>
          </cell>
          <cell r="AT20">
            <v>172779.62400000001</v>
          </cell>
          <cell r="AU20">
            <v>334900.86000000004</v>
          </cell>
          <cell r="AX20">
            <v>65709.215999999986</v>
          </cell>
        </row>
        <row r="21">
          <cell r="D21" t="str">
            <v>영업이익 I</v>
          </cell>
          <cell r="E21">
            <v>38515290.166251488</v>
          </cell>
          <cell r="F21">
            <v>4666836.9213121841</v>
          </cell>
          <cell r="G21">
            <v>2196559.6801327826</v>
          </cell>
          <cell r="H21">
            <v>1246079.7276332651</v>
          </cell>
          <cell r="I21">
            <v>1105995.8637866667</v>
          </cell>
          <cell r="J21">
            <v>2244495.9228301374</v>
          </cell>
          <cell r="K21">
            <v>2343076.7859189855</v>
          </cell>
          <cell r="L21">
            <v>1458303.6825061587</v>
          </cell>
          <cell r="M21">
            <v>1986809.0105482053</v>
          </cell>
          <cell r="N21">
            <v>1150751.9988666256</v>
          </cell>
          <cell r="O21">
            <v>1688460.7473858253</v>
          </cell>
          <cell r="P21">
            <v>1302974.909834268</v>
          </cell>
          <cell r="Q21">
            <v>1182518.9533401374</v>
          </cell>
          <cell r="R21">
            <v>3587520.4190494036</v>
          </cell>
          <cell r="S21">
            <v>1511157.4307260609</v>
          </cell>
          <cell r="T21">
            <v>2246823.0330787799</v>
          </cell>
          <cell r="U21">
            <v>1009379.6795528963</v>
          </cell>
          <cell r="V21">
            <v>2003843.1792197451</v>
          </cell>
          <cell r="W21">
            <v>0</v>
          </cell>
          <cell r="X21">
            <v>0</v>
          </cell>
          <cell r="Y21">
            <v>0</v>
          </cell>
          <cell r="Z21">
            <v>32931587.945722155</v>
          </cell>
          <cell r="AA21">
            <v>2522964.5974239768</v>
          </cell>
          <cell r="AB21">
            <v>1575953.806367062</v>
          </cell>
          <cell r="AC21">
            <v>183661.83584840014</v>
          </cell>
          <cell r="AD21">
            <v>1033207.0788899781</v>
          </cell>
          <cell r="AE21">
            <v>2792822.7211054401</v>
          </cell>
          <cell r="AF21">
            <v>109780.296</v>
          </cell>
          <cell r="AG21">
            <v>266348.20600000001</v>
          </cell>
          <cell r="AH21">
            <v>235473.22400000002</v>
          </cell>
          <cell r="AI21">
            <v>770750.48</v>
          </cell>
          <cell r="AJ21">
            <v>48751.296000000002</v>
          </cell>
          <cell r="AK21">
            <v>0</v>
          </cell>
          <cell r="AL21">
            <v>1431103.5020000001</v>
          </cell>
          <cell r="AM21">
            <v>-91224.110000000015</v>
          </cell>
          <cell r="AN21">
            <v>-20302.827999999998</v>
          </cell>
          <cell r="AO21">
            <v>-7391.1840000000002</v>
          </cell>
          <cell r="AP21">
            <v>-13876.65</v>
          </cell>
          <cell r="AQ21">
            <v>-185227.87200000003</v>
          </cell>
          <cell r="AR21">
            <v>-10270.031999999999</v>
          </cell>
          <cell r="AS21">
            <v>-683356.3</v>
          </cell>
          <cell r="AT21">
            <v>-151539.62400000001</v>
          </cell>
          <cell r="AU21">
            <v>-1163188.6000000001</v>
          </cell>
          <cell r="AX21">
            <v>3954068.0994239766</v>
          </cell>
        </row>
        <row r="22">
          <cell r="D22" t="str">
            <v>공    통    비</v>
          </cell>
          <cell r="E22">
            <v>18512206.931672297</v>
          </cell>
          <cell r="F22">
            <v>2457767.9499734407</v>
          </cell>
          <cell r="G22">
            <v>1800446.5104976441</v>
          </cell>
          <cell r="H22">
            <v>1280959.7499211859</v>
          </cell>
          <cell r="I22">
            <v>851811.73266189266</v>
          </cell>
          <cell r="J22">
            <v>1411584.4735944143</v>
          </cell>
          <cell r="K22">
            <v>1292507.9790189224</v>
          </cell>
          <cell r="L22">
            <v>895631.95724796387</v>
          </cell>
          <cell r="M22">
            <v>1287090.0859952907</v>
          </cell>
          <cell r="N22">
            <v>722227.79207596532</v>
          </cell>
          <cell r="O22">
            <v>856745.8854707639</v>
          </cell>
          <cell r="P22">
            <v>773002.05463817029</v>
          </cell>
          <cell r="Q22">
            <v>807463.7213528984</v>
          </cell>
          <cell r="R22">
            <v>1414838.1848924288</v>
          </cell>
          <cell r="S22">
            <v>656409.49985742825</v>
          </cell>
          <cell r="T22">
            <v>479329.6988782268</v>
          </cell>
          <cell r="U22">
            <v>314031.72610876989</v>
          </cell>
          <cell r="V22">
            <v>634792.74086089781</v>
          </cell>
          <cell r="W22">
            <v>0</v>
          </cell>
          <cell r="X22">
            <v>0</v>
          </cell>
          <cell r="Y22">
            <v>0</v>
          </cell>
          <cell r="Z22">
            <v>17936641.743046306</v>
          </cell>
          <cell r="AA22">
            <v>0</v>
          </cell>
          <cell r="AB22">
            <v>227738.32648646121</v>
          </cell>
          <cell r="AC22">
            <v>153696.67677978644</v>
          </cell>
          <cell r="AD22">
            <v>194130.18535973999</v>
          </cell>
          <cell r="AE22">
            <v>575565.18862598762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X22">
            <v>0</v>
          </cell>
        </row>
        <row r="23">
          <cell r="D23" t="str">
            <v xml:space="preserve"> - 영업공통비</v>
          </cell>
          <cell r="E23">
            <v>3361254.0100000007</v>
          </cell>
          <cell r="F23">
            <v>376916.4263472046</v>
          </cell>
          <cell r="G23">
            <v>280235.16707404132</v>
          </cell>
          <cell r="H23">
            <v>196614.32339294459</v>
          </cell>
          <cell r="I23">
            <v>130174.42364409385</v>
          </cell>
          <cell r="J23">
            <v>241656.3540976579</v>
          </cell>
          <cell r="K23">
            <v>221118.26504351571</v>
          </cell>
          <cell r="L23">
            <v>152460.46332748258</v>
          </cell>
          <cell r="M23">
            <v>220030.47544412201</v>
          </cell>
          <cell r="N23">
            <v>123238.44616161889</v>
          </cell>
          <cell r="O23">
            <v>145736.14544634565</v>
          </cell>
          <cell r="P23">
            <v>131642.41659872717</v>
          </cell>
          <cell r="Q23">
            <v>137422.37549298594</v>
          </cell>
          <cell r="R23">
            <v>173118.26074695014</v>
          </cell>
          <cell r="S23">
            <v>80442.954722963957</v>
          </cell>
          <cell r="T23">
            <v>59270.973594129347</v>
          </cell>
          <cell r="U23">
            <v>37727.735070044422</v>
          </cell>
          <cell r="V23">
            <v>77883.615169184544</v>
          </cell>
          <cell r="W23">
            <v>0</v>
          </cell>
          <cell r="X23">
            <v>0</v>
          </cell>
          <cell r="Y23">
            <v>0</v>
          </cell>
          <cell r="Z23">
            <v>2785688.8213740131</v>
          </cell>
          <cell r="AA23">
            <v>0</v>
          </cell>
          <cell r="AB23">
            <v>227738.32648646121</v>
          </cell>
          <cell r="AC23">
            <v>153696.67677978644</v>
          </cell>
          <cell r="AD23">
            <v>194130.18535973999</v>
          </cell>
          <cell r="AE23">
            <v>575565.18862598762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X23">
            <v>0</v>
          </cell>
        </row>
        <row r="24">
          <cell r="D24" t="str">
            <v xml:space="preserve"> - 부문공통비</v>
          </cell>
          <cell r="E24">
            <v>6283888.7423333349</v>
          </cell>
          <cell r="F24">
            <v>866569.78873965284</v>
          </cell>
          <cell r="G24">
            <v>618955.80495168094</v>
          </cell>
          <cell r="H24">
            <v>452550.30126440799</v>
          </cell>
          <cell r="I24">
            <v>301100.01698803715</v>
          </cell>
          <cell r="J24">
            <v>484427.19867129851</v>
          </cell>
          <cell r="K24">
            <v>442323.39936597436</v>
          </cell>
          <cell r="L24">
            <v>309307.19775332155</v>
          </cell>
          <cell r="M24">
            <v>441645.10951646825</v>
          </cell>
          <cell r="N24">
            <v>248590.24120804504</v>
          </cell>
          <cell r="O24">
            <v>294145.13319902465</v>
          </cell>
          <cell r="P24">
            <v>268068.49210809253</v>
          </cell>
          <cell r="Q24">
            <v>279839.3570409675</v>
          </cell>
          <cell r="R24">
            <v>515221.22269923205</v>
          </cell>
          <cell r="S24">
            <v>239908.54577706044</v>
          </cell>
          <cell r="T24">
            <v>171239.63206848659</v>
          </cell>
          <cell r="U24">
            <v>117389.35288697813</v>
          </cell>
          <cell r="V24">
            <v>232607.94809460471</v>
          </cell>
          <cell r="W24">
            <v>0</v>
          </cell>
          <cell r="X24">
            <v>0</v>
          </cell>
          <cell r="Y24">
            <v>0</v>
          </cell>
          <cell r="Z24">
            <v>6283888.7423333349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X24">
            <v>0</v>
          </cell>
        </row>
        <row r="25">
          <cell r="D25" t="str">
            <v xml:space="preserve"> - 본사공통비</v>
          </cell>
          <cell r="E25">
            <v>8867064.17933896</v>
          </cell>
          <cell r="F25">
            <v>1214281.7348865834</v>
          </cell>
          <cell r="G25">
            <v>901255.53847192181</v>
          </cell>
          <cell r="H25">
            <v>631795.12526383344</v>
          </cell>
          <cell r="I25">
            <v>420537.29202976171</v>
          </cell>
          <cell r="J25">
            <v>685500.9208254579</v>
          </cell>
          <cell r="K25">
            <v>629066.31460943236</v>
          </cell>
          <cell r="L25">
            <v>433864.2961671598</v>
          </cell>
          <cell r="M25">
            <v>625414.50103470043</v>
          </cell>
          <cell r="N25">
            <v>350399.10470630135</v>
          </cell>
          <cell r="O25">
            <v>416864.60682539362</v>
          </cell>
          <cell r="P25">
            <v>373291.14593135059</v>
          </cell>
          <cell r="Q25">
            <v>390201.98881894496</v>
          </cell>
          <cell r="R25">
            <v>726498.70144624659</v>
          </cell>
          <cell r="S25">
            <v>336057.99935740384</v>
          </cell>
          <cell r="T25">
            <v>248819.09321561089</v>
          </cell>
          <cell r="U25">
            <v>158914.63815174732</v>
          </cell>
          <cell r="V25">
            <v>324301.17759710859</v>
          </cell>
          <cell r="W25">
            <v>0</v>
          </cell>
          <cell r="X25">
            <v>0</v>
          </cell>
          <cell r="Y25">
            <v>0</v>
          </cell>
          <cell r="Z25">
            <v>8867064.17933896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X25">
            <v>0</v>
          </cell>
        </row>
        <row r="26">
          <cell r="D26" t="str">
            <v>영업이익 II</v>
          </cell>
          <cell r="E26">
            <v>20003083.234579191</v>
          </cell>
          <cell r="F26">
            <v>2209068.9713387433</v>
          </cell>
          <cell r="G26">
            <v>396113.16963513847</v>
          </cell>
          <cell r="H26">
            <v>-34880.022287920816</v>
          </cell>
          <cell r="I26">
            <v>254184.13112477399</v>
          </cell>
          <cell r="J26">
            <v>832911.44923572312</v>
          </cell>
          <cell r="K26">
            <v>1050568.8069000631</v>
          </cell>
          <cell r="L26">
            <v>562671.72525819484</v>
          </cell>
          <cell r="M26">
            <v>699718.92455291469</v>
          </cell>
          <cell r="N26">
            <v>428524.20679066028</v>
          </cell>
          <cell r="O26">
            <v>831714.86191506137</v>
          </cell>
          <cell r="P26">
            <v>529972.85519609775</v>
          </cell>
          <cell r="Q26">
            <v>375055.23198723898</v>
          </cell>
          <cell r="R26">
            <v>2172682.2341569746</v>
          </cell>
          <cell r="S26">
            <v>854747.93086863263</v>
          </cell>
          <cell r="T26">
            <v>1767493.3342005531</v>
          </cell>
          <cell r="U26">
            <v>695347.95344412641</v>
          </cell>
          <cell r="V26">
            <v>1369050.4383588473</v>
          </cell>
          <cell r="W26">
            <v>0</v>
          </cell>
          <cell r="X26">
            <v>0</v>
          </cell>
          <cell r="Y26">
            <v>0</v>
          </cell>
          <cell r="Z26">
            <v>14994946.202675849</v>
          </cell>
          <cell r="AA26">
            <v>2522964.5974239768</v>
          </cell>
          <cell r="AB26">
            <v>1348215.4798806007</v>
          </cell>
          <cell r="AC26">
            <v>29965.159068613691</v>
          </cell>
          <cell r="AD26">
            <v>839076.89353023819</v>
          </cell>
          <cell r="AE26">
            <v>2217257.5324794524</v>
          </cell>
          <cell r="AF26">
            <v>109780.296</v>
          </cell>
          <cell r="AG26">
            <v>266348.20600000001</v>
          </cell>
          <cell r="AH26">
            <v>235473.22400000002</v>
          </cell>
          <cell r="AI26">
            <v>770750.48</v>
          </cell>
          <cell r="AJ26">
            <v>48751.296000000002</v>
          </cell>
          <cell r="AK26">
            <v>0</v>
          </cell>
          <cell r="AL26">
            <v>1431103.5020000001</v>
          </cell>
          <cell r="AM26">
            <v>-91224.110000000015</v>
          </cell>
          <cell r="AN26">
            <v>-20302.827999999998</v>
          </cell>
          <cell r="AO26">
            <v>-7391.1840000000002</v>
          </cell>
          <cell r="AP26">
            <v>-13876.65</v>
          </cell>
          <cell r="AQ26">
            <v>-185227.87200000003</v>
          </cell>
          <cell r="AR26">
            <v>-10270.031999999999</v>
          </cell>
          <cell r="AS26">
            <v>-683356.3</v>
          </cell>
          <cell r="AT26">
            <v>-151539.62400000001</v>
          </cell>
          <cell r="AU26">
            <v>-1163188.6000000001</v>
          </cell>
          <cell r="AX26">
            <v>3954068.0994239766</v>
          </cell>
        </row>
        <row r="27">
          <cell r="D27">
            <v>17480118.637155212</v>
          </cell>
          <cell r="E27">
            <v>20003083.234579232</v>
          </cell>
          <cell r="F27">
            <v>2209068.9713387508</v>
          </cell>
          <cell r="G27">
            <v>396113.16963514499</v>
          </cell>
          <cell r="H27">
            <v>-34880.022287920146</v>
          </cell>
          <cell r="I27">
            <v>254184.13112477024</v>
          </cell>
          <cell r="J27">
            <v>832911.44923572452</v>
          </cell>
          <cell r="K27">
            <v>1050568.8069000628</v>
          </cell>
          <cell r="L27">
            <v>562671.72525819624</v>
          </cell>
          <cell r="M27">
            <v>699718.92455291294</v>
          </cell>
          <cell r="N27">
            <v>428524.20679066074</v>
          </cell>
          <cell r="O27">
            <v>831714.86191506067</v>
          </cell>
          <cell r="P27">
            <v>529972.85519610043</v>
          </cell>
          <cell r="Q27">
            <v>375055.23198723572</v>
          </cell>
          <cell r="R27">
            <v>2172682.2341569765</v>
          </cell>
          <cell r="S27">
            <v>854747.93086863309</v>
          </cell>
          <cell r="T27">
            <v>1767493.3342005529</v>
          </cell>
          <cell r="U27">
            <v>695347.95344412641</v>
          </cell>
          <cell r="V27">
            <v>1369050.4383588473</v>
          </cell>
          <cell r="W27">
            <v>0</v>
          </cell>
          <cell r="X27">
            <v>0</v>
          </cell>
          <cell r="Y27">
            <v>0</v>
          </cell>
          <cell r="Z27">
            <v>14994946.202675838</v>
          </cell>
          <cell r="AA27">
            <v>2522964.5974239949</v>
          </cell>
          <cell r="AB27">
            <v>1348215.4798806</v>
          </cell>
          <cell r="AC27">
            <v>29965.159068613502</v>
          </cell>
          <cell r="AD27">
            <v>839076.89353023865</v>
          </cell>
          <cell r="AE27">
            <v>2217257.532479452</v>
          </cell>
          <cell r="AF27">
            <v>109780.29599999997</v>
          </cell>
          <cell r="AG27">
            <v>266348.20599999995</v>
          </cell>
          <cell r="AH27">
            <v>235473.22400000007</v>
          </cell>
          <cell r="AI27">
            <v>770750.48</v>
          </cell>
          <cell r="AJ27">
            <v>48751.296000000002</v>
          </cell>
          <cell r="AK27">
            <v>0</v>
          </cell>
          <cell r="AL27">
            <v>1431103.5020000001</v>
          </cell>
          <cell r="AM27">
            <v>-91224.110000000015</v>
          </cell>
          <cell r="AN27">
            <v>-20302.827999999994</v>
          </cell>
          <cell r="AO27">
            <v>-7391.1840000000029</v>
          </cell>
          <cell r="AP27">
            <v>-13876.65</v>
          </cell>
          <cell r="AQ27">
            <v>-185227.87200000006</v>
          </cell>
          <cell r="AR27">
            <v>-10270.031999999999</v>
          </cell>
          <cell r="AS27">
            <v>-683356.3</v>
          </cell>
          <cell r="AT27">
            <v>-151539.62400000001</v>
          </cell>
          <cell r="AU27">
            <v>-1163188.6000000001</v>
          </cell>
        </row>
        <row r="28">
          <cell r="E28">
            <v>-4.0978193283081055E-8</v>
          </cell>
          <cell r="F28">
            <v>-7.4505805969238281E-9</v>
          </cell>
          <cell r="G28">
            <v>-6.5192580223083496E-9</v>
          </cell>
          <cell r="H28">
            <v>-6.6938810050487518E-10</v>
          </cell>
          <cell r="I28">
            <v>3.7543941289186478E-9</v>
          </cell>
          <cell r="J28">
            <v>-1.3969838619232178E-9</v>
          </cell>
          <cell r="K28">
            <v>0</v>
          </cell>
          <cell r="L28">
            <v>-1.3969838619232178E-9</v>
          </cell>
          <cell r="M28">
            <v>1.7462298274040222E-9</v>
          </cell>
          <cell r="N28">
            <v>-4.6566128730773926E-10</v>
          </cell>
          <cell r="O28">
            <v>0</v>
          </cell>
          <cell r="P28">
            <v>-2.6775524020195007E-9</v>
          </cell>
          <cell r="Q28">
            <v>3.2596290111541748E-9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-1.8160790205001831E-8</v>
          </cell>
          <cell r="AB28">
            <v>0</v>
          </cell>
          <cell r="AC28">
            <v>1.8917489796876907E-10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4667599.7921875706</v>
          </cell>
          <cell r="F30">
            <v>460000</v>
          </cell>
          <cell r="G30">
            <v>340000</v>
          </cell>
          <cell r="H30">
            <v>250000</v>
          </cell>
          <cell r="I30">
            <v>170000</v>
          </cell>
          <cell r="J30">
            <v>240000</v>
          </cell>
          <cell r="K30">
            <v>240000</v>
          </cell>
          <cell r="L30">
            <v>170000</v>
          </cell>
          <cell r="M30">
            <v>230000</v>
          </cell>
          <cell r="N30">
            <v>140000</v>
          </cell>
          <cell r="O30">
            <v>160000</v>
          </cell>
          <cell r="P30">
            <v>145000</v>
          </cell>
          <cell r="Q30">
            <v>145000</v>
          </cell>
          <cell r="R30">
            <v>270000</v>
          </cell>
          <cell r="S30">
            <v>130000</v>
          </cell>
          <cell r="T30">
            <v>85000</v>
          </cell>
          <cell r="U30">
            <v>55000</v>
          </cell>
          <cell r="V30">
            <v>100000</v>
          </cell>
          <cell r="W30">
            <v>0</v>
          </cell>
          <cell r="X30">
            <v>0</v>
          </cell>
          <cell r="Y30">
            <v>0</v>
          </cell>
          <cell r="Z30">
            <v>3330000</v>
          </cell>
          <cell r="AA30">
            <v>137600</v>
          </cell>
          <cell r="AB30">
            <v>580000.47297634406</v>
          </cell>
          <cell r="AC30">
            <v>359999.54523333325</v>
          </cell>
          <cell r="AD30">
            <v>259999.77397789297</v>
          </cell>
          <cell r="AE30">
            <v>1199999.7921875704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510655075.81807882</v>
          </cell>
          <cell r="F31">
            <v>46000121.885999992</v>
          </cell>
          <cell r="G31">
            <v>34017326.207224585</v>
          </cell>
          <cell r="H31">
            <v>24100000</v>
          </cell>
          <cell r="I31">
            <v>16150912.720000003</v>
          </cell>
          <cell r="J31">
            <v>25847992.420299999</v>
          </cell>
          <cell r="K31">
            <v>23831984.961580019</v>
          </cell>
          <cell r="L31">
            <v>16370975.949999997</v>
          </cell>
          <cell r="M31">
            <v>23459983.463600002</v>
          </cell>
          <cell r="N31">
            <v>13220551</v>
          </cell>
          <cell r="O31">
            <v>16111953.861842001</v>
          </cell>
          <cell r="P31">
            <v>14079525.787902461</v>
          </cell>
          <cell r="Q31">
            <v>14891506</v>
          </cell>
          <cell r="R31">
            <v>27810000</v>
          </cell>
          <cell r="S31">
            <v>12869999.906599998</v>
          </cell>
          <cell r="T31">
            <v>9434966.1830000002</v>
          </cell>
          <cell r="U31">
            <v>6160000</v>
          </cell>
          <cell r="V31">
            <v>12286285.5</v>
          </cell>
          <cell r="W31">
            <v>0</v>
          </cell>
          <cell r="X31">
            <v>0</v>
          </cell>
          <cell r="Y31">
            <v>0</v>
          </cell>
          <cell r="Z31">
            <v>336644085.8480491</v>
          </cell>
          <cell r="AA31">
            <v>150142431.99999997</v>
          </cell>
          <cell r="AB31">
            <v>8484998.436488172</v>
          </cell>
          <cell r="AC31">
            <v>6141648.3437166661</v>
          </cell>
          <cell r="AD31">
            <v>7457353.189824936</v>
          </cell>
          <cell r="AE31">
            <v>22083999.970029775</v>
          </cell>
          <cell r="AF31">
            <v>150000</v>
          </cell>
          <cell r="AG31">
            <v>375000</v>
          </cell>
          <cell r="AH31">
            <v>347520</v>
          </cell>
          <cell r="AI31">
            <v>824540</v>
          </cell>
          <cell r="AJ31">
            <v>66258</v>
          </cell>
          <cell r="AK31">
            <v>0</v>
          </cell>
          <cell r="AL31">
            <v>1763318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21240</v>
          </cell>
          <cell r="AU31">
            <v>21240</v>
          </cell>
        </row>
        <row r="32">
          <cell r="D32" t="str">
            <v>매출원가</v>
          </cell>
          <cell r="E32">
            <v>461772217.25382721</v>
          </cell>
          <cell r="F32">
            <v>40488815.06068781</v>
          </cell>
          <cell r="G32">
            <v>31057722.027091801</v>
          </cell>
          <cell r="H32">
            <v>22235076.592366736</v>
          </cell>
          <cell r="I32">
            <v>14608295.100213336</v>
          </cell>
          <cell r="J32">
            <v>23030420.885469861</v>
          </cell>
          <cell r="K32">
            <v>20887957.741661035</v>
          </cell>
          <cell r="L32">
            <v>14445800.449493838</v>
          </cell>
          <cell r="M32">
            <v>20867948.483051796</v>
          </cell>
          <cell r="N32">
            <v>11727858.489133375</v>
          </cell>
          <cell r="O32">
            <v>13972780.362456176</v>
          </cell>
          <cell r="P32">
            <v>12302392.132068193</v>
          </cell>
          <cell r="Q32">
            <v>13262406.346659863</v>
          </cell>
          <cell r="R32">
            <v>23660196.528950598</v>
          </cell>
          <cell r="S32">
            <v>10981947.047873937</v>
          </cell>
          <cell r="T32">
            <v>7043875.4019212201</v>
          </cell>
          <cell r="U32">
            <v>5001149.8404471036</v>
          </cell>
          <cell r="V32">
            <v>10086006.270780256</v>
          </cell>
          <cell r="W32">
            <v>0</v>
          </cell>
          <cell r="X32">
            <v>0</v>
          </cell>
          <cell r="Y32">
            <v>0</v>
          </cell>
          <cell r="Z32">
            <v>295660648.76032692</v>
          </cell>
          <cell r="AA32">
            <v>146089803.54657599</v>
          </cell>
          <cell r="AB32">
            <v>6909044.63012111</v>
          </cell>
          <cell r="AC32">
            <v>5957986.5078682657</v>
          </cell>
          <cell r="AD32">
            <v>6424146.1109349579</v>
          </cell>
          <cell r="AE32">
            <v>19291177.248924334</v>
          </cell>
          <cell r="AF32">
            <v>40219.703999999998</v>
          </cell>
          <cell r="AG32">
            <v>108651.79399999999</v>
          </cell>
          <cell r="AH32">
            <v>112046.77599999998</v>
          </cell>
          <cell r="AI32">
            <v>53789.520000000004</v>
          </cell>
          <cell r="AJ32">
            <v>17506.703999999998</v>
          </cell>
          <cell r="AK32">
            <v>0</v>
          </cell>
          <cell r="AL32">
            <v>332214.49800000002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398373.2</v>
          </cell>
          <cell r="AT32">
            <v>0</v>
          </cell>
          <cell r="AU32">
            <v>398373.2</v>
          </cell>
        </row>
        <row r="33">
          <cell r="D33" t="str">
            <v>매출이익</v>
          </cell>
          <cell r="E33">
            <v>48882858.564251594</v>
          </cell>
          <cell r="F33">
            <v>5511306.8253121823</v>
          </cell>
          <cell r="G33">
            <v>2959604.1801327839</v>
          </cell>
          <cell r="H33">
            <v>1864923.4076332636</v>
          </cell>
          <cell r="I33">
            <v>1542617.6197866667</v>
          </cell>
          <cell r="J33">
            <v>2817571.5348301381</v>
          </cell>
          <cell r="K33">
            <v>2944027.2199189849</v>
          </cell>
          <cell r="L33">
            <v>1925175.5005061589</v>
          </cell>
          <cell r="M33">
            <v>2592034.9805482067</v>
          </cell>
          <cell r="N33">
            <v>1492692.5108666252</v>
          </cell>
          <cell r="O33">
            <v>2139173.4993858244</v>
          </cell>
          <cell r="P33">
            <v>1777133.6558342688</v>
          </cell>
          <cell r="Q33">
            <v>1629099.6533401366</v>
          </cell>
          <cell r="R33">
            <v>4149803.4710494019</v>
          </cell>
          <cell r="S33">
            <v>1888052.8587260619</v>
          </cell>
          <cell r="T33">
            <v>2391090.7810787801</v>
          </cell>
          <cell r="U33">
            <v>1158850.1595528964</v>
          </cell>
          <cell r="V33">
            <v>2200279.229219744</v>
          </cell>
          <cell r="W33">
            <v>0</v>
          </cell>
          <cell r="X33">
            <v>0</v>
          </cell>
          <cell r="Y33">
            <v>0</v>
          </cell>
          <cell r="Z33">
            <v>40983437.087722182</v>
          </cell>
          <cell r="AA33">
            <v>4052628.4534239769</v>
          </cell>
          <cell r="AB33">
            <v>1575953.806367062</v>
          </cell>
          <cell r="AC33">
            <v>183661.83584840037</v>
          </cell>
          <cell r="AD33">
            <v>1033207.0788899781</v>
          </cell>
          <cell r="AE33">
            <v>2792822.7211054415</v>
          </cell>
          <cell r="AF33">
            <v>109780.296</v>
          </cell>
          <cell r="AG33">
            <v>266348.20600000001</v>
          </cell>
          <cell r="AH33">
            <v>235473.22400000002</v>
          </cell>
          <cell r="AI33">
            <v>770750.48</v>
          </cell>
          <cell r="AJ33">
            <v>48751.296000000002</v>
          </cell>
          <cell r="AK33">
            <v>0</v>
          </cell>
          <cell r="AL33">
            <v>1431103.5019999999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-398373.2</v>
          </cell>
          <cell r="AT33">
            <v>21240</v>
          </cell>
          <cell r="AU33">
            <v>-377133.2</v>
          </cell>
        </row>
        <row r="34">
          <cell r="D34" t="str">
            <v>판관비</v>
          </cell>
          <cell r="E34">
            <v>28879775.329672288</v>
          </cell>
          <cell r="F34">
            <v>3302237.8539734408</v>
          </cell>
          <cell r="G34">
            <v>2563491.0104976441</v>
          </cell>
          <cell r="H34">
            <v>1899803.4299211861</v>
          </cell>
          <cell r="I34">
            <v>1288433.4886618925</v>
          </cell>
          <cell r="J34">
            <v>1984660.0855944143</v>
          </cell>
          <cell r="K34">
            <v>1893458.4130189223</v>
          </cell>
          <cell r="L34">
            <v>1362503.7752479641</v>
          </cell>
          <cell r="M34">
            <v>1892316.0559952909</v>
          </cell>
          <cell r="N34">
            <v>1064168.3040759652</v>
          </cell>
          <cell r="O34">
            <v>1307458.6374707639</v>
          </cell>
          <cell r="P34">
            <v>1247160.8006381702</v>
          </cell>
          <cell r="Q34">
            <v>1254044.4213528985</v>
          </cell>
          <cell r="R34">
            <v>1977121.2368924289</v>
          </cell>
          <cell r="S34">
            <v>1033304.9278574283</v>
          </cell>
          <cell r="T34">
            <v>623597.44687822671</v>
          </cell>
          <cell r="U34">
            <v>463502.20610876987</v>
          </cell>
          <cell r="V34">
            <v>831228.79086089786</v>
          </cell>
          <cell r="W34">
            <v>0</v>
          </cell>
          <cell r="X34">
            <v>0</v>
          </cell>
          <cell r="Y34">
            <v>0</v>
          </cell>
          <cell r="Z34">
            <v>25988490.885046303</v>
          </cell>
          <cell r="AA34">
            <v>1529663.8560000001</v>
          </cell>
          <cell r="AB34">
            <v>227738.32648646121</v>
          </cell>
          <cell r="AC34">
            <v>153696.67677978644</v>
          </cell>
          <cell r="AD34">
            <v>194130.18535973999</v>
          </cell>
          <cell r="AE34">
            <v>575565.18862598762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91224.110000000015</v>
          </cell>
          <cell r="AN34">
            <v>20302.827999999998</v>
          </cell>
          <cell r="AO34">
            <v>7391.1840000000002</v>
          </cell>
          <cell r="AP34">
            <v>13876.65</v>
          </cell>
          <cell r="AQ34">
            <v>185227.87200000003</v>
          </cell>
          <cell r="AR34">
            <v>10270.031999999999</v>
          </cell>
          <cell r="AS34">
            <v>284983.10000000003</v>
          </cell>
          <cell r="AT34">
            <v>172779.62400000001</v>
          </cell>
          <cell r="AU34">
            <v>786055.40000000014</v>
          </cell>
        </row>
        <row r="35">
          <cell r="D35" t="str">
            <v>영업이익</v>
          </cell>
          <cell r="E35">
            <v>20003083.23457931</v>
          </cell>
          <cell r="F35">
            <v>2209068.9713387415</v>
          </cell>
          <cell r="G35">
            <v>396113.16963513987</v>
          </cell>
          <cell r="H35">
            <v>-34880.022287922446</v>
          </cell>
          <cell r="I35">
            <v>254184.13112477423</v>
          </cell>
          <cell r="J35">
            <v>832911.44923572382</v>
          </cell>
          <cell r="K35">
            <v>1050568.8069000626</v>
          </cell>
          <cell r="L35">
            <v>562671.72525819484</v>
          </cell>
          <cell r="M35">
            <v>699718.92455291585</v>
          </cell>
          <cell r="N35">
            <v>428524.20679066004</v>
          </cell>
          <cell r="O35">
            <v>831714.86191506055</v>
          </cell>
          <cell r="P35">
            <v>529972.85519609856</v>
          </cell>
          <cell r="Q35">
            <v>375055.23198723816</v>
          </cell>
          <cell r="R35">
            <v>2172682.2341569727</v>
          </cell>
          <cell r="S35">
            <v>854747.93086863356</v>
          </cell>
          <cell r="T35">
            <v>1767493.3342005534</v>
          </cell>
          <cell r="U35">
            <v>695347.95344412653</v>
          </cell>
          <cell r="V35">
            <v>1369050.4383588461</v>
          </cell>
          <cell r="W35">
            <v>0</v>
          </cell>
          <cell r="X35">
            <v>0</v>
          </cell>
          <cell r="Y35">
            <v>0</v>
          </cell>
          <cell r="Z35">
            <v>14994946.202675879</v>
          </cell>
          <cell r="AA35">
            <v>2522964.5974239768</v>
          </cell>
          <cell r="AB35">
            <v>1348215.4798806007</v>
          </cell>
          <cell r="AC35">
            <v>29965.159068613924</v>
          </cell>
          <cell r="AD35">
            <v>839076.89353023819</v>
          </cell>
          <cell r="AE35">
            <v>2217257.5324794538</v>
          </cell>
          <cell r="AF35">
            <v>109780.296</v>
          </cell>
          <cell r="AG35">
            <v>266348.20600000001</v>
          </cell>
          <cell r="AH35">
            <v>235473.22400000002</v>
          </cell>
          <cell r="AI35">
            <v>770750.48</v>
          </cell>
          <cell r="AJ35">
            <v>48751.296000000002</v>
          </cell>
          <cell r="AK35">
            <v>0</v>
          </cell>
          <cell r="AL35">
            <v>1431103.5019999999</v>
          </cell>
          <cell r="AM35">
            <v>-91224.110000000015</v>
          </cell>
          <cell r="AN35">
            <v>-20302.827999999998</v>
          </cell>
          <cell r="AO35">
            <v>-7391.1840000000002</v>
          </cell>
          <cell r="AP35">
            <v>-13876.65</v>
          </cell>
          <cell r="AQ35">
            <v>-185227.87200000003</v>
          </cell>
          <cell r="AR35">
            <v>-10270.031999999999</v>
          </cell>
          <cell r="AS35">
            <v>-683356.3</v>
          </cell>
          <cell r="AT35">
            <v>-151539.62400000001</v>
          </cell>
          <cell r="AU35">
            <v>-1163188.6000000001</v>
          </cell>
        </row>
        <row r="37">
          <cell r="E37" t="e">
            <v>#REF!</v>
          </cell>
        </row>
        <row r="40">
          <cell r="D40" t="str">
            <v>판관비</v>
          </cell>
          <cell r="F40">
            <v>844469.90399999986</v>
          </cell>
          <cell r="G40">
            <v>763044.5</v>
          </cell>
          <cell r="H40">
            <v>618843.68000000005</v>
          </cell>
          <cell r="I40">
            <v>436621.75599999999</v>
          </cell>
          <cell r="J40">
            <v>573075.61199999996</v>
          </cell>
          <cell r="K40">
            <v>600950.43399999989</v>
          </cell>
          <cell r="L40">
            <v>466871.81800000009</v>
          </cell>
          <cell r="M40">
            <v>605225.9700000002</v>
          </cell>
          <cell r="N40">
            <v>341940.51199999993</v>
          </cell>
          <cell r="O40">
            <v>450712.75200000004</v>
          </cell>
          <cell r="P40">
            <v>474158.74599999998</v>
          </cell>
          <cell r="Q40">
            <v>446580.69999999995</v>
          </cell>
          <cell r="R40">
            <v>562283.05200000014</v>
          </cell>
          <cell r="S40">
            <v>376895.42800000001</v>
          </cell>
          <cell r="T40">
            <v>144267.74799999996</v>
          </cell>
          <cell r="U40">
            <v>149470.47999999998</v>
          </cell>
          <cell r="V40">
            <v>196436.05</v>
          </cell>
          <cell r="Z40">
            <v>8051849.142</v>
          </cell>
          <cell r="AA40">
            <v>1529663.8560000001</v>
          </cell>
          <cell r="AE40">
            <v>575565.18862598762</v>
          </cell>
          <cell r="AL40">
            <v>0</v>
          </cell>
          <cell r="AM40">
            <v>91224.110000000015</v>
          </cell>
          <cell r="AN40">
            <v>20302.827999999998</v>
          </cell>
          <cell r="AO40">
            <v>7391.1840000000002</v>
          </cell>
          <cell r="AP40">
            <v>13876.65</v>
          </cell>
          <cell r="AQ40">
            <v>185227.87200000003</v>
          </cell>
          <cell r="AR40">
            <v>10270.031999999999</v>
          </cell>
          <cell r="AS40">
            <v>284983.10000000003</v>
          </cell>
          <cell r="AU40">
            <v>786055.40000000014</v>
          </cell>
        </row>
        <row r="41">
          <cell r="F41">
            <v>844469.90399999998</v>
          </cell>
          <cell r="G41">
            <v>763044.49999999988</v>
          </cell>
          <cell r="H41">
            <v>618843.67999999993</v>
          </cell>
          <cell r="I41">
            <v>436621.75600000011</v>
          </cell>
          <cell r="J41">
            <v>573075.61200000008</v>
          </cell>
          <cell r="K41">
            <v>600950.43400000001</v>
          </cell>
          <cell r="L41">
            <v>466871.81800000009</v>
          </cell>
          <cell r="M41">
            <v>605225.97000000009</v>
          </cell>
          <cell r="N41">
            <v>341940.51199999999</v>
          </cell>
          <cell r="O41">
            <v>450712.75200000009</v>
          </cell>
          <cell r="P41">
            <v>474158.74599999998</v>
          </cell>
          <cell r="Q41">
            <v>446580.70000000007</v>
          </cell>
          <cell r="R41">
            <v>562283.05199999991</v>
          </cell>
          <cell r="S41">
            <v>376895.42800000007</v>
          </cell>
          <cell r="T41">
            <v>144267.74799999996</v>
          </cell>
          <cell r="U41">
            <v>149470.47999999998</v>
          </cell>
          <cell r="V41">
            <v>196436.05000000005</v>
          </cell>
          <cell r="Z41">
            <v>8051849.1420000009</v>
          </cell>
          <cell r="AA41">
            <v>1529663.8560000001</v>
          </cell>
          <cell r="AM41">
            <v>91224.110000000015</v>
          </cell>
          <cell r="AN41">
            <v>20302.827999999998</v>
          </cell>
          <cell r="AO41">
            <v>7391.1840000000002</v>
          </cell>
          <cell r="AP41">
            <v>13876.65</v>
          </cell>
          <cell r="AQ41">
            <v>185227.87200000003</v>
          </cell>
          <cell r="AR41">
            <v>10270.031999999999</v>
          </cell>
          <cell r="AS41">
            <v>284983.10000000003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31317</v>
          </cell>
          <cell r="H7">
            <v>31475</v>
          </cell>
          <cell r="I7">
            <v>13662</v>
          </cell>
          <cell r="J7">
            <v>11823.06</v>
          </cell>
          <cell r="K7">
            <v>22261</v>
          </cell>
          <cell r="L7">
            <v>19064</v>
          </cell>
          <cell r="M7">
            <v>5707</v>
          </cell>
          <cell r="N7">
            <v>17197</v>
          </cell>
          <cell r="O7">
            <v>6497</v>
          </cell>
          <cell r="P7">
            <v>11710</v>
          </cell>
          <cell r="Q7">
            <v>4070</v>
          </cell>
          <cell r="R7">
            <v>13221</v>
          </cell>
          <cell r="S7">
            <v>18784</v>
          </cell>
          <cell r="T7">
            <v>3067.5</v>
          </cell>
          <cell r="U7">
            <v>3546</v>
          </cell>
          <cell r="V7">
            <v>10639</v>
          </cell>
          <cell r="W7">
            <v>4519.5</v>
          </cell>
          <cell r="Z7">
            <v>228560.06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228560.06</v>
          </cell>
          <cell r="AJ7">
            <v>20068</v>
          </cell>
          <cell r="AK7">
            <v>30440</v>
          </cell>
          <cell r="AL7">
            <v>17420</v>
          </cell>
          <cell r="AN7">
            <v>67928</v>
          </cell>
          <cell r="AO7">
            <v>7354.4539999999997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31603966.078999992</v>
          </cell>
          <cell r="G8">
            <v>3194008.219</v>
          </cell>
          <cell r="H8">
            <v>3110867.8020000001</v>
          </cell>
          <cell r="I8">
            <v>1345027</v>
          </cell>
          <cell r="J8">
            <v>1164795.0079999999</v>
          </cell>
          <cell r="K8">
            <v>2428655.6</v>
          </cell>
          <cell r="L8">
            <v>1993411.5</v>
          </cell>
          <cell r="M8">
            <v>506187.3</v>
          </cell>
          <cell r="N8">
            <v>1701139.1</v>
          </cell>
          <cell r="O8">
            <v>599632.21799999999</v>
          </cell>
          <cell r="P8">
            <v>1098085.8</v>
          </cell>
          <cell r="Q8">
            <v>346879.33399999997</v>
          </cell>
          <cell r="R8">
            <v>1382736.24</v>
          </cell>
          <cell r="S8">
            <v>1949886.3230000001</v>
          </cell>
          <cell r="T8">
            <v>366230.7</v>
          </cell>
          <cell r="U8">
            <v>395583.255</v>
          </cell>
          <cell r="V8">
            <v>1084562.3160000001</v>
          </cell>
          <cell r="W8">
            <v>579661.32799999998</v>
          </cell>
          <cell r="Z8">
            <v>23247349.042999994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23290689.042999994</v>
          </cell>
          <cell r="AJ8">
            <v>576831.853</v>
          </cell>
          <cell r="AK8">
            <v>416928</v>
          </cell>
          <cell r="AL8">
            <v>343035.6</v>
          </cell>
          <cell r="AN8">
            <v>1336795.453</v>
          </cell>
          <cell r="AO8">
            <v>6900929.4749999996</v>
          </cell>
          <cell r="AP8">
            <v>0</v>
          </cell>
          <cell r="AS8">
            <v>6900929.4749999996</v>
          </cell>
          <cell r="AT8">
            <v>5788.1</v>
          </cell>
          <cell r="AU8">
            <v>5940</v>
          </cell>
          <cell r="AV8">
            <v>62182.707999999999</v>
          </cell>
          <cell r="BA8">
            <v>73910.808000000005</v>
          </cell>
          <cell r="BB8">
            <v>0</v>
          </cell>
          <cell r="BC8">
            <v>1641.3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1641.3</v>
          </cell>
        </row>
        <row r="9">
          <cell r="G9">
            <v>101989.59731136443</v>
          </cell>
          <cell r="H9">
            <v>98836.149388403501</v>
          </cell>
          <cell r="I9">
            <v>98450.226906748634</v>
          </cell>
          <cell r="J9">
            <v>98518.912024467441</v>
          </cell>
          <cell r="K9">
            <v>109099.12402857015</v>
          </cell>
          <cell r="L9">
            <v>104564.17855644146</v>
          </cell>
          <cell r="M9">
            <v>88695.864727527587</v>
          </cell>
          <cell r="N9">
            <v>98920.68965517242</v>
          </cell>
          <cell r="O9">
            <v>92293.707557334157</v>
          </cell>
          <cell r="P9">
            <v>93773.339026473113</v>
          </cell>
          <cell r="Q9">
            <v>85228.337592137599</v>
          </cell>
          <cell r="R9">
            <v>104586.35806671206</v>
          </cell>
          <cell r="S9">
            <v>103805.70288543441</v>
          </cell>
          <cell r="T9">
            <v>119390.61124694376</v>
          </cell>
          <cell r="U9">
            <v>111557.60152284264</v>
          </cell>
          <cell r="V9">
            <v>101942.12952345145</v>
          </cell>
          <cell r="W9">
            <v>128257.8444518199</v>
          </cell>
          <cell r="Z9">
            <v>101712.21097421831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101901.83290553911</v>
          </cell>
          <cell r="AJ9">
            <v>28743.863514052224</v>
          </cell>
          <cell r="AK9">
            <v>13696.71484888305</v>
          </cell>
          <cell r="AL9">
            <v>19692.055109070032</v>
          </cell>
          <cell r="AO9">
            <v>938333.35214279674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29726053.372380003</v>
          </cell>
          <cell r="G10">
            <v>2888153.2538600001</v>
          </cell>
          <cell r="H10">
            <v>3054634.5234300001</v>
          </cell>
          <cell r="I10">
            <v>1373430.6302899998</v>
          </cell>
          <cell r="J10">
            <v>1141748.3683499999</v>
          </cell>
          <cell r="K10">
            <v>2095815.8937900001</v>
          </cell>
          <cell r="L10">
            <v>1756683.64494</v>
          </cell>
          <cell r="M10">
            <v>583031.28864999989</v>
          </cell>
          <cell r="N10">
            <v>1624557.34185</v>
          </cell>
          <cell r="O10">
            <v>660570.58464000002</v>
          </cell>
          <cell r="P10">
            <v>981257.20386999997</v>
          </cell>
          <cell r="Q10">
            <v>425895.00885000004</v>
          </cell>
          <cell r="R10">
            <v>1274427.2976300002</v>
          </cell>
          <cell r="S10">
            <v>1799976.0709599999</v>
          </cell>
          <cell r="T10">
            <v>346153.26691000006</v>
          </cell>
          <cell r="U10">
            <v>336201.61679</v>
          </cell>
          <cell r="V10">
            <v>1005691.37978</v>
          </cell>
          <cell r="W10">
            <v>507385.79709000001</v>
          </cell>
          <cell r="Z10">
            <v>21855613.17168</v>
          </cell>
          <cell r="AA10">
            <v>0</v>
          </cell>
          <cell r="AB10">
            <v>0</v>
          </cell>
          <cell r="AC10">
            <v>119.852</v>
          </cell>
          <cell r="AD10">
            <v>516.95100000000002</v>
          </cell>
          <cell r="AH10">
            <v>636.803</v>
          </cell>
          <cell r="AI10">
            <v>21856249.974679999</v>
          </cell>
          <cell r="AJ10">
            <v>508701.70074999996</v>
          </cell>
          <cell r="AK10">
            <v>525833.99662000011</v>
          </cell>
          <cell r="AL10">
            <v>414727.29833000002</v>
          </cell>
          <cell r="AN10">
            <v>1449262.9957000001</v>
          </cell>
          <cell r="AO10">
            <v>6794757.2630000003</v>
          </cell>
          <cell r="AP10">
            <v>0</v>
          </cell>
          <cell r="AS10">
            <v>6794757.2630000003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-361911.33</v>
          </cell>
          <cell r="BE10">
            <v>0</v>
          </cell>
          <cell r="BF10">
            <v>0</v>
          </cell>
          <cell r="BG10">
            <v>0</v>
          </cell>
          <cell r="BH10">
            <v>-12718.005999999999</v>
          </cell>
          <cell r="BJ10">
            <v>-374629.33600000001</v>
          </cell>
        </row>
        <row r="11">
          <cell r="G11">
            <v>92223.177630679827</v>
          </cell>
          <cell r="H11">
            <v>97049.548004130265</v>
          </cell>
          <cell r="I11">
            <v>100529.25122895621</v>
          </cell>
          <cell r="J11">
            <v>96569.616355664271</v>
          </cell>
          <cell r="K11">
            <v>94147.427958761968</v>
          </cell>
          <cell r="L11">
            <v>92146.645244439787</v>
          </cell>
          <cell r="M11">
            <v>102160.73044506744</v>
          </cell>
          <cell r="N11">
            <v>94467.485134035</v>
          </cell>
          <cell r="O11">
            <v>101673.16986917039</v>
          </cell>
          <cell r="P11">
            <v>83796.516128949617</v>
          </cell>
          <cell r="Q11">
            <v>104642.50831695333</v>
          </cell>
          <cell r="R11">
            <v>96394.168189244403</v>
          </cell>
          <cell r="S11">
            <v>95824.961188245317</v>
          </cell>
          <cell r="T11">
            <v>112845.40078565609</v>
          </cell>
          <cell r="U11">
            <v>94811.510657078397</v>
          </cell>
          <cell r="V11">
            <v>94528.750801767077</v>
          </cell>
          <cell r="W11">
            <v>112265.91372718221</v>
          </cell>
          <cell r="Z11">
            <v>95623.063678229693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95625.849829930914</v>
          </cell>
          <cell r="AJ11">
            <v>25348.898781642416</v>
          </cell>
          <cell r="AK11">
            <v>17274.441413272016</v>
          </cell>
          <cell r="AL11">
            <v>23807.53721756602</v>
          </cell>
          <cell r="AO11">
            <v>923896.90152389288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1877912.7066199891</v>
          </cell>
          <cell r="G12">
            <v>305854.96513999999</v>
          </cell>
          <cell r="H12">
            <v>56233.278570000082</v>
          </cell>
          <cell r="I12">
            <v>-28403.630289999768</v>
          </cell>
          <cell r="J12">
            <v>23046.639650000026</v>
          </cell>
          <cell r="K12">
            <v>332839.70620999997</v>
          </cell>
          <cell r="L12">
            <v>236727.85505999997</v>
          </cell>
          <cell r="M12">
            <v>-76843.988649999897</v>
          </cell>
          <cell r="N12">
            <v>76581.758150000125</v>
          </cell>
          <cell r="O12">
            <v>-60938.366640000022</v>
          </cell>
          <cell r="P12">
            <v>116828.59613000008</v>
          </cell>
          <cell r="Q12">
            <v>-79015.674850000069</v>
          </cell>
          <cell r="R12">
            <v>108308.94236999983</v>
          </cell>
          <cell r="S12">
            <v>149910.25204000017</v>
          </cell>
          <cell r="T12">
            <v>20077.433089999948</v>
          </cell>
          <cell r="U12">
            <v>59381.638210000005</v>
          </cell>
          <cell r="V12">
            <v>78870.936220000149</v>
          </cell>
          <cell r="W12">
            <v>72275.530909999972</v>
          </cell>
          <cell r="Z12">
            <v>1391735.8713200006</v>
          </cell>
          <cell r="AA12">
            <v>0</v>
          </cell>
          <cell r="AB12">
            <v>0</v>
          </cell>
          <cell r="AC12">
            <v>12380.147999999999</v>
          </cell>
          <cell r="AD12">
            <v>30323.048999999999</v>
          </cell>
          <cell r="AH12">
            <v>42703.197</v>
          </cell>
          <cell r="AI12">
            <v>1434439.068319995</v>
          </cell>
          <cell r="AJ12">
            <v>68130.152250000043</v>
          </cell>
          <cell r="AK12">
            <v>-108905.99662000011</v>
          </cell>
          <cell r="AL12">
            <v>-71691.698330000043</v>
          </cell>
          <cell r="AN12">
            <v>-112467.54270000011</v>
          </cell>
          <cell r="AO12">
            <v>106172.21199999936</v>
          </cell>
          <cell r="AP12">
            <v>0</v>
          </cell>
          <cell r="AS12">
            <v>106172.21199999936</v>
          </cell>
          <cell r="AT12">
            <v>5614.8370000000004</v>
          </cell>
          <cell r="AU12">
            <v>5700.7880000000005</v>
          </cell>
          <cell r="AV12">
            <v>62182.707999999999</v>
          </cell>
          <cell r="BA12">
            <v>73498.332999999999</v>
          </cell>
          <cell r="BB12">
            <v>0</v>
          </cell>
          <cell r="BC12">
            <v>1641.3</v>
          </cell>
          <cell r="BD12">
            <v>361911.33</v>
          </cell>
          <cell r="BE12">
            <v>0</v>
          </cell>
          <cell r="BF12">
            <v>0</v>
          </cell>
          <cell r="BG12">
            <v>0</v>
          </cell>
          <cell r="BH12">
            <v>12718.005999999999</v>
          </cell>
          <cell r="BJ12">
            <v>376270.636</v>
          </cell>
        </row>
        <row r="13">
          <cell r="F13">
            <v>885549.98600000015</v>
          </cell>
          <cell r="G13">
            <v>85785.945000000007</v>
          </cell>
          <cell r="H13">
            <v>77333.587</v>
          </cell>
          <cell r="I13">
            <v>49309.664000000004</v>
          </cell>
          <cell r="J13">
            <v>43946.512999999999</v>
          </cell>
          <cell r="K13">
            <v>62068.819000000003</v>
          </cell>
          <cell r="L13">
            <v>57187.436999999998</v>
          </cell>
          <cell r="M13">
            <v>31071.307000000001</v>
          </cell>
          <cell r="N13">
            <v>50367.186000000009</v>
          </cell>
          <cell r="O13">
            <v>32426.078000000001</v>
          </cell>
          <cell r="P13">
            <v>28522.261999999999</v>
          </cell>
          <cell r="Q13">
            <v>33257.133000000002</v>
          </cell>
          <cell r="R13">
            <v>26890.102000000003</v>
          </cell>
          <cell r="S13">
            <v>55930.024000000005</v>
          </cell>
          <cell r="T13">
            <v>12321.418</v>
          </cell>
          <cell r="U13">
            <v>12561.725</v>
          </cell>
          <cell r="V13">
            <v>32504.842000000004</v>
          </cell>
          <cell r="W13">
            <v>16964.261999999999</v>
          </cell>
          <cell r="Z13">
            <v>708448.30400000012</v>
          </cell>
          <cell r="AA13">
            <v>1760.1660000000002</v>
          </cell>
          <cell r="AB13">
            <v>179.32300000000001</v>
          </cell>
          <cell r="AC13">
            <v>0</v>
          </cell>
          <cell r="AD13">
            <v>0</v>
          </cell>
          <cell r="AH13">
            <v>1939.4890000000003</v>
          </cell>
          <cell r="AI13">
            <v>710387.79300000006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165424.451</v>
          </cell>
          <cell r="AP13">
            <v>0</v>
          </cell>
          <cell r="AS13">
            <v>165424.451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9737.7420000000002</v>
          </cell>
          <cell r="BG13">
            <v>0</v>
          </cell>
          <cell r="BH13">
            <v>0</v>
          </cell>
          <cell r="BJ13">
            <v>9737.7420000000002</v>
          </cell>
        </row>
        <row r="14">
          <cell r="F14">
            <v>583860.07900000014</v>
          </cell>
          <cell r="G14">
            <v>50378.82</v>
          </cell>
          <cell r="H14">
            <v>50099.954000000005</v>
          </cell>
          <cell r="I14">
            <v>38651.279000000002</v>
          </cell>
          <cell r="J14">
            <v>29470.987000000001</v>
          </cell>
          <cell r="K14">
            <v>43168.453000000001</v>
          </cell>
          <cell r="L14">
            <v>40664.659</v>
          </cell>
          <cell r="M14">
            <v>23643.59</v>
          </cell>
          <cell r="N14">
            <v>37091.047000000006</v>
          </cell>
          <cell r="O14">
            <v>20947.920000000002</v>
          </cell>
          <cell r="P14">
            <v>21630.535</v>
          </cell>
          <cell r="Q14">
            <v>22198.12</v>
          </cell>
          <cell r="R14">
            <v>21136.971000000001</v>
          </cell>
          <cell r="S14">
            <v>34659.692999999999</v>
          </cell>
          <cell r="T14">
            <v>8045.5479999999998</v>
          </cell>
          <cell r="U14">
            <v>9293.8680000000004</v>
          </cell>
          <cell r="V14">
            <v>23584.416000000001</v>
          </cell>
          <cell r="W14">
            <v>11242.955</v>
          </cell>
          <cell r="Z14">
            <v>485908.81500000012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485908.81500000012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97951.26400000001</v>
          </cell>
          <cell r="AP14">
            <v>0</v>
          </cell>
          <cell r="AS14">
            <v>97951.26400000001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H14">
            <v>0</v>
          </cell>
          <cell r="BJ14">
            <v>0</v>
          </cell>
        </row>
        <row r="15">
          <cell r="F15">
            <v>301689.90700000001</v>
          </cell>
          <cell r="G15">
            <v>35407.125</v>
          </cell>
          <cell r="H15">
            <v>27233.633000000002</v>
          </cell>
          <cell r="I15">
            <v>10658.385</v>
          </cell>
          <cell r="J15">
            <v>14475.526</v>
          </cell>
          <cell r="K15">
            <v>18900.365999999998</v>
          </cell>
          <cell r="L15">
            <v>16522.777999999998</v>
          </cell>
          <cell r="M15">
            <v>7427.7170000000006</v>
          </cell>
          <cell r="N15">
            <v>13276.139000000001</v>
          </cell>
          <cell r="O15">
            <v>11478.157999999999</v>
          </cell>
          <cell r="P15">
            <v>6891.7269999999999</v>
          </cell>
          <cell r="Q15">
            <v>11059.013000000003</v>
          </cell>
          <cell r="R15">
            <v>5753.1310000000003</v>
          </cell>
          <cell r="S15">
            <v>21270.331000000002</v>
          </cell>
          <cell r="T15">
            <v>4275.87</v>
          </cell>
          <cell r="U15">
            <v>3267.857</v>
          </cell>
          <cell r="V15">
            <v>8920.4260000000013</v>
          </cell>
          <cell r="W15">
            <v>5721.3069999999998</v>
          </cell>
          <cell r="Z15">
            <v>222539.489</v>
          </cell>
          <cell r="AA15">
            <v>1760.1660000000002</v>
          </cell>
          <cell r="AB15">
            <v>179.32300000000001</v>
          </cell>
          <cell r="AC15">
            <v>0</v>
          </cell>
          <cell r="AD15">
            <v>0</v>
          </cell>
          <cell r="AH15">
            <v>1939.4890000000003</v>
          </cell>
          <cell r="AI15">
            <v>224478.978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67473.186999999991</v>
          </cell>
          <cell r="AP15">
            <v>0</v>
          </cell>
          <cell r="AS15">
            <v>67473.186999999991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9737.7420000000002</v>
          </cell>
          <cell r="BG15">
            <v>0</v>
          </cell>
          <cell r="BH15">
            <v>0</v>
          </cell>
          <cell r="BJ15">
            <v>9737.7420000000002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992362.72061998898</v>
          </cell>
          <cell r="G17">
            <v>220069.02013999998</v>
          </cell>
          <cell r="H17">
            <v>-21100.308429999917</v>
          </cell>
          <cell r="I17">
            <v>-77713.294289999772</v>
          </cell>
          <cell r="J17">
            <v>-20899.873349999973</v>
          </cell>
          <cell r="K17">
            <v>270770.88720999996</v>
          </cell>
          <cell r="L17">
            <v>179540.41805999997</v>
          </cell>
          <cell r="M17">
            <v>-107915.2956499999</v>
          </cell>
          <cell r="N17">
            <v>26214.572150000116</v>
          </cell>
          <cell r="O17">
            <v>-93364.444640000031</v>
          </cell>
          <cell r="P17">
            <v>88306.334130000076</v>
          </cell>
          <cell r="Q17">
            <v>-112272.80785000007</v>
          </cell>
          <cell r="R17">
            <v>81418.840369999831</v>
          </cell>
          <cell r="S17">
            <v>93980.228040000162</v>
          </cell>
          <cell r="T17">
            <v>7756.015089999948</v>
          </cell>
          <cell r="U17">
            <v>46819.913210000006</v>
          </cell>
          <cell r="V17">
            <v>46366.094220000145</v>
          </cell>
          <cell r="W17">
            <v>55311.26890999997</v>
          </cell>
          <cell r="Z17">
            <v>683287.5673200005</v>
          </cell>
          <cell r="AA17">
            <v>-1760.1660000000002</v>
          </cell>
          <cell r="AB17">
            <v>-179.32300000000001</v>
          </cell>
          <cell r="AC17">
            <v>12380.147999999999</v>
          </cell>
          <cell r="AD17">
            <v>30323.048999999999</v>
          </cell>
          <cell r="AH17">
            <v>40763.707999999999</v>
          </cell>
          <cell r="AI17">
            <v>724051.27531999489</v>
          </cell>
          <cell r="AJ17">
            <v>68130.152250000043</v>
          </cell>
          <cell r="AK17">
            <v>-108905.99662000011</v>
          </cell>
          <cell r="AL17">
            <v>-71691.698330000043</v>
          </cell>
          <cell r="AN17">
            <v>-112467.54270000011</v>
          </cell>
          <cell r="AO17">
            <v>-59252.239000000642</v>
          </cell>
          <cell r="AP17">
            <v>0</v>
          </cell>
          <cell r="AS17">
            <v>-59252.239000000642</v>
          </cell>
          <cell r="AT17">
            <v>5614.8370000000004</v>
          </cell>
          <cell r="AU17">
            <v>5700.7880000000005</v>
          </cell>
          <cell r="AV17">
            <v>62182.707999999999</v>
          </cell>
          <cell r="BA17">
            <v>73498.332999999999</v>
          </cell>
          <cell r="BB17">
            <v>0</v>
          </cell>
          <cell r="BC17">
            <v>1641.3</v>
          </cell>
          <cell r="BD17">
            <v>361911.33</v>
          </cell>
          <cell r="BE17">
            <v>0</v>
          </cell>
          <cell r="BF17">
            <v>-9737.7420000000002</v>
          </cell>
          <cell r="BG17">
            <v>0</v>
          </cell>
          <cell r="BH17">
            <v>12718.005999999999</v>
          </cell>
          <cell r="BJ17">
            <v>366532.89399999997</v>
          </cell>
        </row>
        <row r="18">
          <cell r="F18">
            <v>657084.54361999989</v>
          </cell>
          <cell r="G18">
            <v>31226.46514</v>
          </cell>
          <cell r="H18">
            <v>39429.896569999997</v>
          </cell>
          <cell r="I18">
            <v>18697.801710000003</v>
          </cell>
          <cell r="J18">
            <v>18631.622649999998</v>
          </cell>
          <cell r="K18">
            <v>111152.02320999998</v>
          </cell>
          <cell r="L18">
            <v>59671.90206</v>
          </cell>
          <cell r="M18">
            <v>15133.354350000001</v>
          </cell>
          <cell r="N18">
            <v>25782.98115</v>
          </cell>
          <cell r="O18">
            <v>11581.254359999999</v>
          </cell>
          <cell r="P18">
            <v>35270.835130000007</v>
          </cell>
          <cell r="Q18">
            <v>15659.09115</v>
          </cell>
          <cell r="R18">
            <v>14907.69137</v>
          </cell>
          <cell r="S18">
            <v>25173.722040000001</v>
          </cell>
          <cell r="T18">
            <v>6426.7580900000003</v>
          </cell>
          <cell r="U18">
            <v>10525.841210000002</v>
          </cell>
          <cell r="V18">
            <v>21726.84822</v>
          </cell>
          <cell r="W18">
            <v>12790.306909999999</v>
          </cell>
          <cell r="Z18">
            <v>473788.39532000001</v>
          </cell>
          <cell r="AA18">
            <v>5364.77</v>
          </cell>
          <cell r="AB18">
            <v>0</v>
          </cell>
          <cell r="AC18">
            <v>3007.2440000000001</v>
          </cell>
          <cell r="AD18">
            <v>5614.2730000000001</v>
          </cell>
          <cell r="AH18">
            <v>13986.287</v>
          </cell>
          <cell r="AI18">
            <v>487774.68231999991</v>
          </cell>
          <cell r="AJ18">
            <v>36603.057249999998</v>
          </cell>
          <cell r="AK18">
            <v>74428.397370000006</v>
          </cell>
          <cell r="AL18">
            <v>52786.37068</v>
          </cell>
          <cell r="AN18">
            <v>163817.8253</v>
          </cell>
          <cell r="AO18">
            <v>4757.2489999999998</v>
          </cell>
          <cell r="AP18">
            <v>0</v>
          </cell>
          <cell r="AS18">
            <v>4757.2489999999998</v>
          </cell>
          <cell r="AT18">
            <v>1312.9010000000001</v>
          </cell>
          <cell r="AU18">
            <v>1827.6699999999998</v>
          </cell>
          <cell r="AV18">
            <v>0</v>
          </cell>
          <cell r="BA18">
            <v>3140.5709999999999</v>
          </cell>
          <cell r="BB18">
            <v>0</v>
          </cell>
          <cell r="BC18">
            <v>8169.0020000000004</v>
          </cell>
          <cell r="BD18">
            <v>0</v>
          </cell>
          <cell r="BE18">
            <v>0</v>
          </cell>
          <cell r="BF18">
            <v>-10574.786</v>
          </cell>
          <cell r="BG18">
            <v>0</v>
          </cell>
          <cell r="BH18">
            <v>0</v>
          </cell>
          <cell r="BJ18">
            <v>-2405.7839999999997</v>
          </cell>
        </row>
        <row r="19">
          <cell r="F19">
            <v>628444.50161999988</v>
          </cell>
          <cell r="G19">
            <v>28931.601139999999</v>
          </cell>
          <cell r="H19">
            <v>37505.431570000001</v>
          </cell>
          <cell r="I19">
            <v>16952.474710000002</v>
          </cell>
          <cell r="J19">
            <v>17439.631649999999</v>
          </cell>
          <cell r="K19">
            <v>109286.29020999999</v>
          </cell>
          <cell r="L19">
            <v>58117.836060000001</v>
          </cell>
          <cell r="M19">
            <v>13939.75135</v>
          </cell>
          <cell r="N19">
            <v>23849.279149999998</v>
          </cell>
          <cell r="O19">
            <v>11201.618359999999</v>
          </cell>
          <cell r="P19">
            <v>34432.806130000004</v>
          </cell>
          <cell r="Q19">
            <v>14845.82315</v>
          </cell>
          <cell r="R19">
            <v>13722.37437</v>
          </cell>
          <cell r="S19">
            <v>23609.72004</v>
          </cell>
          <cell r="T19">
            <v>6056.3590899999999</v>
          </cell>
          <cell r="U19">
            <v>10082.972210000002</v>
          </cell>
          <cell r="V19">
            <v>20913.58022</v>
          </cell>
          <cell r="W19">
            <v>11977.038909999999</v>
          </cell>
          <cell r="Z19">
            <v>452864.58831999992</v>
          </cell>
          <cell r="AA19">
            <v>0</v>
          </cell>
          <cell r="AB19">
            <v>0</v>
          </cell>
          <cell r="AC19">
            <v>3007.2440000000001</v>
          </cell>
          <cell r="AD19">
            <v>5614.2730000000001</v>
          </cell>
          <cell r="AH19">
            <v>8621.5169999999998</v>
          </cell>
          <cell r="AI19">
            <v>461486.10531999992</v>
          </cell>
          <cell r="AJ19">
            <v>36603.057249999998</v>
          </cell>
          <cell r="AK19">
            <v>74428.397370000006</v>
          </cell>
          <cell r="AL19">
            <v>52786.37068</v>
          </cell>
          <cell r="AN19">
            <v>163817.8253</v>
          </cell>
          <cell r="AO19">
            <v>0</v>
          </cell>
          <cell r="AP19">
            <v>0</v>
          </cell>
          <cell r="AS19">
            <v>0</v>
          </cell>
          <cell r="AT19">
            <v>1312.9010000000001</v>
          </cell>
          <cell r="AU19">
            <v>1827.6699999999998</v>
          </cell>
          <cell r="AV19">
            <v>0</v>
          </cell>
          <cell r="BA19">
            <v>3140.5709999999999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28640.042000000001</v>
          </cell>
          <cell r="G20">
            <v>2294.864</v>
          </cell>
          <cell r="H20">
            <v>1924.4649999999999</v>
          </cell>
          <cell r="I20">
            <v>1745.327</v>
          </cell>
          <cell r="J20">
            <v>1191.991</v>
          </cell>
          <cell r="K20">
            <v>1865.7329999999999</v>
          </cell>
          <cell r="L20">
            <v>1554.066</v>
          </cell>
          <cell r="M20">
            <v>1193.6030000000001</v>
          </cell>
          <cell r="N20">
            <v>1933.702</v>
          </cell>
          <cell r="O20">
            <v>379.63600000000002</v>
          </cell>
          <cell r="P20">
            <v>838.029</v>
          </cell>
          <cell r="Q20">
            <v>813.26800000000003</v>
          </cell>
          <cell r="R20">
            <v>1185.317</v>
          </cell>
          <cell r="S20">
            <v>1564.002</v>
          </cell>
          <cell r="T20">
            <v>370.399</v>
          </cell>
          <cell r="U20">
            <v>442.86900000000003</v>
          </cell>
          <cell r="V20">
            <v>813.26800000000003</v>
          </cell>
          <cell r="W20">
            <v>813.26800000000003</v>
          </cell>
          <cell r="Z20">
            <v>20923.807000000001</v>
          </cell>
          <cell r="AA20">
            <v>5364.77</v>
          </cell>
          <cell r="AB20">
            <v>0</v>
          </cell>
          <cell r="AC20">
            <v>0</v>
          </cell>
          <cell r="AD20">
            <v>0</v>
          </cell>
          <cell r="AH20">
            <v>5364.77</v>
          </cell>
          <cell r="AI20">
            <v>26288.577000000001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4757.2489999999998</v>
          </cell>
          <cell r="AP20">
            <v>0</v>
          </cell>
          <cell r="AS20">
            <v>4757.2489999999998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8169.0020000000004</v>
          </cell>
          <cell r="BD20">
            <v>0</v>
          </cell>
          <cell r="BE20">
            <v>0</v>
          </cell>
          <cell r="BF20">
            <v>-10574.786</v>
          </cell>
          <cell r="BG20">
            <v>0</v>
          </cell>
          <cell r="BH20">
            <v>0</v>
          </cell>
          <cell r="BJ20">
            <v>-2405.7839999999997</v>
          </cell>
        </row>
        <row r="21">
          <cell r="F21">
            <v>335278.17699998908</v>
          </cell>
          <cell r="G21">
            <v>188842.55499999999</v>
          </cell>
          <cell r="H21">
            <v>-60530.204999999914</v>
          </cell>
          <cell r="I21">
            <v>-96411.095999999772</v>
          </cell>
          <cell r="J21">
            <v>-39531.49599999997</v>
          </cell>
          <cell r="K21">
            <v>159618.86399999997</v>
          </cell>
          <cell r="L21">
            <v>119868.51599999997</v>
          </cell>
          <cell r="M21">
            <v>-123048.64999999991</v>
          </cell>
          <cell r="N21">
            <v>431.59100000011676</v>
          </cell>
          <cell r="O21">
            <v>-104945.69900000002</v>
          </cell>
          <cell r="P21">
            <v>53035.499000000069</v>
          </cell>
          <cell r="Q21">
            <v>-127931.89900000006</v>
          </cell>
          <cell r="R21">
            <v>66511.14899999983</v>
          </cell>
          <cell r="S21">
            <v>68806.506000000169</v>
          </cell>
          <cell r="T21">
            <v>1329.2569999999478</v>
          </cell>
          <cell r="U21">
            <v>36294.072</v>
          </cell>
          <cell r="V21">
            <v>24639.246000000145</v>
          </cell>
          <cell r="W21">
            <v>42520.96199999997</v>
          </cell>
          <cell r="Z21">
            <v>209499.17200000049</v>
          </cell>
          <cell r="AA21">
            <v>-7124.9360000000006</v>
          </cell>
          <cell r="AB21">
            <v>-179.32300000000001</v>
          </cell>
          <cell r="AC21">
            <v>9372.9039999999986</v>
          </cell>
          <cell r="AD21">
            <v>24708.775999999998</v>
          </cell>
          <cell r="AH21">
            <v>26777.420999999998</v>
          </cell>
          <cell r="AI21">
            <v>236276.59299999499</v>
          </cell>
          <cell r="AJ21">
            <v>31527.095000000045</v>
          </cell>
          <cell r="AK21">
            <v>-183334.39399000013</v>
          </cell>
          <cell r="AL21">
            <v>-124478.06901000004</v>
          </cell>
          <cell r="AN21">
            <v>-276285.36800000013</v>
          </cell>
          <cell r="AO21">
            <v>-64009.488000000638</v>
          </cell>
          <cell r="AP21">
            <v>0</v>
          </cell>
          <cell r="AS21">
            <v>-64009.488000000638</v>
          </cell>
          <cell r="AT21">
            <v>4301.9360000000006</v>
          </cell>
          <cell r="AU21">
            <v>3873.1180000000004</v>
          </cell>
          <cell r="AV21">
            <v>62182.707999999999</v>
          </cell>
          <cell r="BA21">
            <v>70357.762000000002</v>
          </cell>
          <cell r="BB21">
            <v>0</v>
          </cell>
          <cell r="BC21">
            <v>-6527.7020000000002</v>
          </cell>
          <cell r="BD21">
            <v>361911.33</v>
          </cell>
          <cell r="BE21">
            <v>0</v>
          </cell>
          <cell r="BF21">
            <v>837.04399999999987</v>
          </cell>
          <cell r="BG21">
            <v>0</v>
          </cell>
          <cell r="BH21">
            <v>12718.005999999999</v>
          </cell>
          <cell r="BJ21">
            <v>368938.67799999996</v>
          </cell>
        </row>
        <row r="22">
          <cell r="F22">
            <v>2340141.1459966423</v>
          </cell>
          <cell r="G22">
            <v>248239.45273179191</v>
          </cell>
          <cell r="H22">
            <v>241777.75000566844</v>
          </cell>
          <cell r="I22">
            <v>104535.97595751329</v>
          </cell>
          <cell r="J22">
            <v>90528.281552503773</v>
          </cell>
          <cell r="K22">
            <v>198093.7669256794</v>
          </cell>
          <cell r="L22">
            <v>162592.9971577563</v>
          </cell>
          <cell r="M22">
            <v>41287.265690095774</v>
          </cell>
          <cell r="N22">
            <v>138753.74194000996</v>
          </cell>
          <cell r="O22">
            <v>48909.118622508759</v>
          </cell>
          <cell r="P22">
            <v>89565.582098012674</v>
          </cell>
          <cell r="Q22">
            <v>28293.28042260537</v>
          </cell>
          <cell r="R22">
            <v>112783.15066419888</v>
          </cell>
          <cell r="S22">
            <v>151545.85728094087</v>
          </cell>
          <cell r="T22">
            <v>28463.580024864383</v>
          </cell>
          <cell r="U22">
            <v>30744.871020340004</v>
          </cell>
          <cell r="V22">
            <v>84292.568245693925</v>
          </cell>
          <cell r="W22">
            <v>45051.484206122426</v>
          </cell>
          <cell r="Z22">
            <v>1845458.7245463063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1845458.7245463063</v>
          </cell>
          <cell r="AJ22">
            <v>22998.867966191447</v>
          </cell>
          <cell r="AK22">
            <v>16623.340014144931</v>
          </cell>
          <cell r="AL22">
            <v>13677.17547</v>
          </cell>
          <cell r="AN22">
            <v>53299.383450336376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441383.038</v>
          </cell>
          <cell r="BF22">
            <v>0</v>
          </cell>
          <cell r="BG22">
            <v>0</v>
          </cell>
          <cell r="BH22">
            <v>0</v>
          </cell>
          <cell r="BJ22">
            <v>441383.038</v>
          </cell>
        </row>
        <row r="23">
          <cell r="F23">
            <v>206944.65099664201</v>
          </cell>
          <cell r="G23">
            <v>15797.204083234679</v>
          </cell>
          <cell r="H23">
            <v>15386.000966379381</v>
          </cell>
          <cell r="I23">
            <v>6652.3517034383967</v>
          </cell>
          <cell r="J23">
            <v>5760.9446171900936</v>
          </cell>
          <cell r="K23">
            <v>21349.647890927827</v>
          </cell>
          <cell r="L23">
            <v>17523.535912924945</v>
          </cell>
          <cell r="M23">
            <v>4449.754268105964</v>
          </cell>
          <cell r="N23">
            <v>14954.249090933214</v>
          </cell>
          <cell r="O23">
            <v>5271.2030138633381</v>
          </cell>
          <cell r="P23">
            <v>9652.9722798192524</v>
          </cell>
          <cell r="Q23">
            <v>3049.3214606218962</v>
          </cell>
          <cell r="R23">
            <v>12155.256533707568</v>
          </cell>
          <cell r="S23">
            <v>9643.9176331183571</v>
          </cell>
          <cell r="T23">
            <v>1811.3356988346231</v>
          </cell>
          <cell r="U23">
            <v>1956.5101222882186</v>
          </cell>
          <cell r="V23">
            <v>5364.1227799350454</v>
          </cell>
          <cell r="W23">
            <v>2866.9394909828302</v>
          </cell>
          <cell r="Z23">
            <v>153645.26754630564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153645.26754630564</v>
          </cell>
          <cell r="AJ23">
            <v>22998.867966191447</v>
          </cell>
          <cell r="AK23">
            <v>16623.340014144931</v>
          </cell>
          <cell r="AL23">
            <v>13677.17547</v>
          </cell>
          <cell r="AN23">
            <v>53299.383450336376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791972.87100000016</v>
          </cell>
          <cell r="G24">
            <v>108811.0241954966</v>
          </cell>
          <cell r="H24">
            <v>105978.66018591271</v>
          </cell>
          <cell r="I24">
            <v>45821.349040365822</v>
          </cell>
          <cell r="J24">
            <v>39681.343662278668</v>
          </cell>
          <cell r="K24">
            <v>82737.57771884065</v>
          </cell>
          <cell r="L24">
            <v>67910.01528042127</v>
          </cell>
          <cell r="M24">
            <v>17244.401006894557</v>
          </cell>
          <cell r="N24">
            <v>57953.103147605048</v>
          </cell>
          <cell r="O24">
            <v>20427.81085943013</v>
          </cell>
          <cell r="P24">
            <v>37408.745488432083</v>
          </cell>
          <cell r="Q24">
            <v>11817.219310916164</v>
          </cell>
          <cell r="R24">
            <v>47105.998529251119</v>
          </cell>
          <cell r="S24">
            <v>66427.232907011159</v>
          </cell>
          <cell r="T24">
            <v>12476.466817392888</v>
          </cell>
          <cell r="U24">
            <v>13476.427166056175</v>
          </cell>
          <cell r="V24">
            <v>36948.037799585836</v>
          </cell>
          <cell r="W24">
            <v>19747.457884109372</v>
          </cell>
          <cell r="Z24">
            <v>791972.87100000016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791972.87100000016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1341223.6240000003</v>
          </cell>
          <cell r="G25">
            <v>123631.22445306063</v>
          </cell>
          <cell r="H25">
            <v>120413.08885337635</v>
          </cell>
          <cell r="I25">
            <v>52062.275213709079</v>
          </cell>
          <cell r="J25">
            <v>45085.993273035012</v>
          </cell>
          <cell r="K25">
            <v>94006.541315910945</v>
          </cell>
          <cell r="L25">
            <v>77159.445964410101</v>
          </cell>
          <cell r="M25">
            <v>19593.110415095252</v>
          </cell>
          <cell r="N25">
            <v>65846.389701471693</v>
          </cell>
          <cell r="O25">
            <v>23210.104749215294</v>
          </cell>
          <cell r="P25">
            <v>42503.864329761345</v>
          </cell>
          <cell r="Q25">
            <v>13426.73965106731</v>
          </cell>
          <cell r="R25">
            <v>53521.89560124019</v>
          </cell>
          <cell r="S25">
            <v>75474.706740811336</v>
          </cell>
          <cell r="T25">
            <v>14175.777508636871</v>
          </cell>
          <cell r="U25">
            <v>15311.933731995608</v>
          </cell>
          <cell r="V25">
            <v>41980.407666173036</v>
          </cell>
          <cell r="W25">
            <v>22437.086831030225</v>
          </cell>
          <cell r="Z25">
            <v>899840.58600000036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899840.58600000036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441383.038</v>
          </cell>
          <cell r="BF25">
            <v>0</v>
          </cell>
          <cell r="BG25">
            <v>0</v>
          </cell>
          <cell r="BH25">
            <v>0</v>
          </cell>
          <cell r="BJ25">
            <v>441383.038</v>
          </cell>
        </row>
        <row r="26">
          <cell r="F26">
            <v>-2004862.9689966533</v>
          </cell>
          <cell r="G26">
            <v>-59396.89773179192</v>
          </cell>
          <cell r="H26">
            <v>-302307.95500566834</v>
          </cell>
          <cell r="I26">
            <v>-200947.07195751305</v>
          </cell>
          <cell r="J26">
            <v>-130059.77755250374</v>
          </cell>
          <cell r="K26">
            <v>-38474.902925679431</v>
          </cell>
          <cell r="L26">
            <v>-42724.481157756323</v>
          </cell>
          <cell r="M26">
            <v>-164335.91569009569</v>
          </cell>
          <cell r="N26">
            <v>-138322.15094000986</v>
          </cell>
          <cell r="O26">
            <v>-153854.8176225088</v>
          </cell>
          <cell r="P26">
            <v>-36530.083098012605</v>
          </cell>
          <cell r="Q26">
            <v>-156225.17942260543</v>
          </cell>
          <cell r="R26">
            <v>-46272.001664199051</v>
          </cell>
          <cell r="S26">
            <v>-82739.351280940697</v>
          </cell>
          <cell r="T26">
            <v>-27134.323024864436</v>
          </cell>
          <cell r="U26">
            <v>5549.2009796599959</v>
          </cell>
          <cell r="V26">
            <v>-59653.32224569378</v>
          </cell>
          <cell r="W26">
            <v>-2530.5222061224558</v>
          </cell>
          <cell r="Z26">
            <v>-1635959.5525463058</v>
          </cell>
          <cell r="AA26">
            <v>-7124.9360000000006</v>
          </cell>
          <cell r="AB26">
            <v>-179.32300000000001</v>
          </cell>
          <cell r="AC26">
            <v>9372.9039999999986</v>
          </cell>
          <cell r="AD26">
            <v>24708.775999999998</v>
          </cell>
          <cell r="AH26">
            <v>26777.420999999998</v>
          </cell>
          <cell r="AI26">
            <v>-1609182.1315463113</v>
          </cell>
          <cell r="AJ26">
            <v>8528.2270338085982</v>
          </cell>
          <cell r="AK26">
            <v>-199957.73400414505</v>
          </cell>
          <cell r="AL26">
            <v>-138155.24448000002</v>
          </cell>
          <cell r="AN26">
            <v>-329584.75145033654</v>
          </cell>
          <cell r="AO26">
            <v>-64009.488000000638</v>
          </cell>
          <cell r="AP26">
            <v>0</v>
          </cell>
          <cell r="AS26">
            <v>-64009.488000000638</v>
          </cell>
          <cell r="AT26">
            <v>4301.9360000000006</v>
          </cell>
          <cell r="AU26">
            <v>3873.1180000000004</v>
          </cell>
          <cell r="AV26">
            <v>62182.707999999999</v>
          </cell>
          <cell r="BA26">
            <v>70357.762000000002</v>
          </cell>
          <cell r="BB26">
            <v>0</v>
          </cell>
          <cell r="BC26">
            <v>-6527.7020000000002</v>
          </cell>
          <cell r="BD26">
            <v>361911.33</v>
          </cell>
          <cell r="BE26">
            <v>-441383.038</v>
          </cell>
          <cell r="BF26">
            <v>837.04399999999987</v>
          </cell>
          <cell r="BG26">
            <v>0</v>
          </cell>
          <cell r="BH26">
            <v>12718.005999999999</v>
          </cell>
          <cell r="BJ26">
            <v>-72444.360000000044</v>
          </cell>
        </row>
        <row r="27">
          <cell r="F27">
            <v>-2004862.9689966426</v>
          </cell>
          <cell r="G27">
            <v>-59396.897731791934</v>
          </cell>
          <cell r="H27">
            <v>-302307.95500566839</v>
          </cell>
          <cell r="I27">
            <v>-200947.07195751308</v>
          </cell>
          <cell r="J27">
            <v>-130059.77755250373</v>
          </cell>
          <cell r="K27">
            <v>-38474.902925679395</v>
          </cell>
          <cell r="L27">
            <v>-42724.481157756316</v>
          </cell>
          <cell r="M27">
            <v>-164335.91569009569</v>
          </cell>
          <cell r="N27">
            <v>-138322.15094000983</v>
          </cell>
          <cell r="O27">
            <v>-153854.81762250877</v>
          </cell>
          <cell r="P27">
            <v>-36530.083098012612</v>
          </cell>
          <cell r="Q27">
            <v>-156225.17942260546</v>
          </cell>
          <cell r="R27">
            <v>-46272.001664199044</v>
          </cell>
          <cell r="S27">
            <v>-82739.351280940682</v>
          </cell>
          <cell r="T27">
            <v>-27134.323024864436</v>
          </cell>
          <cell r="U27">
            <v>5549.2009796599914</v>
          </cell>
          <cell r="V27">
            <v>-59653.322245693766</v>
          </cell>
          <cell r="W27">
            <v>-2530.5222061224595</v>
          </cell>
          <cell r="Z27">
            <v>-1635959.5525463058</v>
          </cell>
          <cell r="AA27">
            <v>-7124.9360000000006</v>
          </cell>
          <cell r="AB27">
            <v>-179.32300000000001</v>
          </cell>
          <cell r="AC27">
            <v>9372.9039999999986</v>
          </cell>
          <cell r="AD27">
            <v>24708.775999999998</v>
          </cell>
          <cell r="AH27">
            <v>26777.420999999995</v>
          </cell>
          <cell r="AI27">
            <v>-1609182.1315463057</v>
          </cell>
          <cell r="AJ27">
            <v>8528.2270338085946</v>
          </cell>
          <cell r="AK27">
            <v>-199957.73400414502</v>
          </cell>
          <cell r="AL27">
            <v>-138155.24448000005</v>
          </cell>
          <cell r="AN27">
            <v>-329584.75145033648</v>
          </cell>
          <cell r="AO27">
            <v>-64009.488000000638</v>
          </cell>
          <cell r="AP27">
            <v>0</v>
          </cell>
          <cell r="AS27">
            <v>-64009.488000000638</v>
          </cell>
          <cell r="AT27">
            <v>4301.9360000000006</v>
          </cell>
          <cell r="AU27">
            <v>3873.1180000000004</v>
          </cell>
          <cell r="AV27">
            <v>62182.707999999999</v>
          </cell>
          <cell r="BA27">
            <v>70357.762000000002</v>
          </cell>
          <cell r="BB27">
            <v>0</v>
          </cell>
          <cell r="BC27">
            <v>-6527.7020000000002</v>
          </cell>
          <cell r="BD27">
            <v>361911.33</v>
          </cell>
          <cell r="BE27">
            <v>-441383.038</v>
          </cell>
          <cell r="BF27">
            <v>837.04399999999987</v>
          </cell>
          <cell r="BG27">
            <v>0</v>
          </cell>
          <cell r="BH27">
            <v>12718.005999999999</v>
          </cell>
          <cell r="BJ27">
            <v>-72444.359999999986</v>
          </cell>
        </row>
        <row r="28">
          <cell r="F28">
            <v>-1.0710209608078003E-8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3.637978807091713E-12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-5.5879354476928711E-9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AJ29" t="e">
            <v>#REF!</v>
          </cell>
          <cell r="AK29" t="e">
            <v>#REF!</v>
          </cell>
          <cell r="AL29" t="e">
            <v>#REF!</v>
          </cell>
        </row>
        <row r="31">
          <cell r="G31">
            <v>31317</v>
          </cell>
          <cell r="H31">
            <v>31475</v>
          </cell>
          <cell r="I31">
            <v>13662</v>
          </cell>
          <cell r="J31">
            <v>11823.06</v>
          </cell>
          <cell r="K31">
            <v>22261</v>
          </cell>
          <cell r="L31">
            <v>19064</v>
          </cell>
          <cell r="M31">
            <v>5707</v>
          </cell>
          <cell r="N31">
            <v>17197</v>
          </cell>
          <cell r="O31">
            <v>6497</v>
          </cell>
          <cell r="P31">
            <v>11710</v>
          </cell>
          <cell r="Q31">
            <v>4070</v>
          </cell>
          <cell r="R31">
            <v>13221</v>
          </cell>
          <cell r="S31">
            <v>18784</v>
          </cell>
          <cell r="T31">
            <v>3067.5</v>
          </cell>
          <cell r="U31">
            <v>3546</v>
          </cell>
          <cell r="V31">
            <v>10639</v>
          </cell>
          <cell r="W31">
            <v>4519.5</v>
          </cell>
          <cell r="X31">
            <v>0</v>
          </cell>
          <cell r="Y31">
            <v>0</v>
          </cell>
          <cell r="Z31">
            <v>228560.06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228560.06</v>
          </cell>
          <cell r="AJ31">
            <v>20068</v>
          </cell>
          <cell r="AK31">
            <v>30440</v>
          </cell>
          <cell r="AL31">
            <v>17420</v>
          </cell>
          <cell r="AN31">
            <v>67928</v>
          </cell>
          <cell r="AO31">
            <v>7354.4539999999997</v>
          </cell>
          <cell r="AP31">
            <v>0</v>
          </cell>
          <cell r="AS31">
            <v>7354.4539999999997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31603966.078999992</v>
          </cell>
          <cell r="G32">
            <v>3194008.219</v>
          </cell>
          <cell r="H32">
            <v>3110867.8020000001</v>
          </cell>
          <cell r="I32">
            <v>1345027</v>
          </cell>
          <cell r="J32">
            <v>1164795.0079999999</v>
          </cell>
          <cell r="K32">
            <v>2428655.6</v>
          </cell>
          <cell r="L32">
            <v>1993411.5</v>
          </cell>
          <cell r="M32">
            <v>506187.3</v>
          </cell>
          <cell r="N32">
            <v>1701139.1</v>
          </cell>
          <cell r="O32">
            <v>599632.21799999999</v>
          </cell>
          <cell r="P32">
            <v>1098085.8</v>
          </cell>
          <cell r="Q32">
            <v>346879.33399999997</v>
          </cell>
          <cell r="R32">
            <v>1382736.24</v>
          </cell>
          <cell r="S32">
            <v>1949886.3230000001</v>
          </cell>
          <cell r="T32">
            <v>366230.7</v>
          </cell>
          <cell r="U32">
            <v>395583.255</v>
          </cell>
          <cell r="V32">
            <v>1084562.3160000001</v>
          </cell>
          <cell r="W32">
            <v>579661.32799999998</v>
          </cell>
          <cell r="X32">
            <v>0</v>
          </cell>
          <cell r="Y32">
            <v>0</v>
          </cell>
          <cell r="Z32">
            <v>23247349.042999994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23290689.042999994</v>
          </cell>
          <cell r="AJ32">
            <v>576831.853</v>
          </cell>
          <cell r="AK32">
            <v>416928</v>
          </cell>
          <cell r="AL32">
            <v>343035.6</v>
          </cell>
          <cell r="AN32">
            <v>1336795.453</v>
          </cell>
          <cell r="AO32">
            <v>6900929.4749999996</v>
          </cell>
          <cell r="AP32">
            <v>0</v>
          </cell>
          <cell r="AS32">
            <v>6900929.4749999996</v>
          </cell>
          <cell r="AT32">
            <v>5788.1</v>
          </cell>
          <cell r="AU32">
            <v>5940</v>
          </cell>
          <cell r="AV32">
            <v>62182.707999999999</v>
          </cell>
          <cell r="BA32">
            <v>73910.808000000005</v>
          </cell>
          <cell r="BB32">
            <v>0</v>
          </cell>
          <cell r="BC32">
            <v>1641.3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1641.3</v>
          </cell>
        </row>
        <row r="33">
          <cell r="F33">
            <v>30354497.873999998</v>
          </cell>
          <cell r="G33">
            <v>2917084.855</v>
          </cell>
          <cell r="H33">
            <v>3092139.9550000001</v>
          </cell>
          <cell r="I33">
            <v>1390383.1049999997</v>
          </cell>
          <cell r="J33">
            <v>1159188</v>
          </cell>
          <cell r="K33">
            <v>2205102.1839999999</v>
          </cell>
          <cell r="L33">
            <v>1814801.4810000001</v>
          </cell>
          <cell r="M33">
            <v>596971.03999999992</v>
          </cell>
          <cell r="N33">
            <v>1648406.621</v>
          </cell>
          <cell r="O33">
            <v>671772.20299999998</v>
          </cell>
          <cell r="P33">
            <v>1015690.01</v>
          </cell>
          <cell r="Q33">
            <v>440740.83200000005</v>
          </cell>
          <cell r="R33">
            <v>1288149.6720000003</v>
          </cell>
          <cell r="S33">
            <v>1823585.791</v>
          </cell>
          <cell r="T33">
            <v>352209.62600000005</v>
          </cell>
          <cell r="U33">
            <v>346284.58899999998</v>
          </cell>
          <cell r="V33">
            <v>1026604.96</v>
          </cell>
          <cell r="W33">
            <v>519362.83600000001</v>
          </cell>
          <cell r="X33">
            <v>0</v>
          </cell>
          <cell r="Y33">
            <v>0</v>
          </cell>
          <cell r="Z33">
            <v>22308477.759999998</v>
          </cell>
          <cell r="AA33">
            <v>0</v>
          </cell>
          <cell r="AB33">
            <v>0</v>
          </cell>
          <cell r="AC33">
            <v>3127.096</v>
          </cell>
          <cell r="AD33">
            <v>6131.2240000000002</v>
          </cell>
          <cell r="AH33">
            <v>9258.32</v>
          </cell>
          <cell r="AI33">
            <v>22317736.079999998</v>
          </cell>
          <cell r="AJ33">
            <v>545304.75799999991</v>
          </cell>
          <cell r="AK33">
            <v>600262.39399000013</v>
          </cell>
          <cell r="AL33">
            <v>467513.66901000001</v>
          </cell>
          <cell r="AN33">
            <v>1613080.8210000002</v>
          </cell>
          <cell r="AO33">
            <v>6794757.2630000003</v>
          </cell>
          <cell r="AP33">
            <v>0</v>
          </cell>
          <cell r="AS33">
            <v>6794757.2630000003</v>
          </cell>
          <cell r="AT33">
            <v>1486.164</v>
          </cell>
          <cell r="AU33">
            <v>2066.8819999999996</v>
          </cell>
          <cell r="AV33">
            <v>0</v>
          </cell>
          <cell r="BA33">
            <v>3553.0459999999994</v>
          </cell>
          <cell r="BB33">
            <v>0</v>
          </cell>
          <cell r="BC33">
            <v>0</v>
          </cell>
          <cell r="BD33">
            <v>-361911.33</v>
          </cell>
          <cell r="BE33">
            <v>0</v>
          </cell>
          <cell r="BF33">
            <v>0</v>
          </cell>
          <cell r="BG33">
            <v>0</v>
          </cell>
          <cell r="BH33">
            <v>-12718.005999999999</v>
          </cell>
          <cell r="BJ33">
            <v>-374629.33600000001</v>
          </cell>
        </row>
        <row r="34">
          <cell r="F34">
            <v>1249468.2049999945</v>
          </cell>
          <cell r="G34">
            <v>276923.36400000006</v>
          </cell>
          <cell r="H34">
            <v>18727.847000000067</v>
          </cell>
          <cell r="I34">
            <v>-45356.104999999749</v>
          </cell>
          <cell r="J34">
            <v>5607.0079999999143</v>
          </cell>
          <cell r="K34">
            <v>223553.4160000002</v>
          </cell>
          <cell r="L34">
            <v>178610.01899999985</v>
          </cell>
          <cell r="M34">
            <v>-90783.739999999932</v>
          </cell>
          <cell r="N34">
            <v>52732.47900000005</v>
          </cell>
          <cell r="O34">
            <v>-72139.984999999986</v>
          </cell>
          <cell r="P34">
            <v>82395.790000000037</v>
          </cell>
          <cell r="Q34">
            <v>-93861.49800000008</v>
          </cell>
          <cell r="R34">
            <v>94586.567999999737</v>
          </cell>
          <cell r="S34">
            <v>126300.53200000012</v>
          </cell>
          <cell r="T34">
            <v>14021.073999999964</v>
          </cell>
          <cell r="U34">
            <v>49298.666000000027</v>
          </cell>
          <cell r="V34">
            <v>57957.356000000145</v>
          </cell>
          <cell r="W34">
            <v>60298.491999999969</v>
          </cell>
          <cell r="X34">
            <v>0</v>
          </cell>
          <cell r="Y34">
            <v>0</v>
          </cell>
          <cell r="Z34">
            <v>938871.2829999961</v>
          </cell>
          <cell r="AA34">
            <v>0</v>
          </cell>
          <cell r="AB34">
            <v>0</v>
          </cell>
          <cell r="AC34">
            <v>9372.9040000000005</v>
          </cell>
          <cell r="AD34">
            <v>24708.775999999998</v>
          </cell>
          <cell r="AH34">
            <v>34081.68</v>
          </cell>
          <cell r="AI34">
            <v>972952.9629999958</v>
          </cell>
          <cell r="AJ34">
            <v>31527.095000000088</v>
          </cell>
          <cell r="AK34">
            <v>-183334.39399000013</v>
          </cell>
          <cell r="AL34">
            <v>-124478.06901000004</v>
          </cell>
          <cell r="AN34">
            <v>-276285.36800000025</v>
          </cell>
          <cell r="AO34">
            <v>106172.21199999936</v>
          </cell>
          <cell r="AP34">
            <v>0</v>
          </cell>
          <cell r="AS34">
            <v>106172.21199999936</v>
          </cell>
          <cell r="AT34">
            <v>4301.9360000000006</v>
          </cell>
          <cell r="AU34">
            <v>3873.1180000000004</v>
          </cell>
          <cell r="AV34">
            <v>62182.707999999999</v>
          </cell>
          <cell r="BA34">
            <v>70357.762000000002</v>
          </cell>
          <cell r="BB34">
            <v>0</v>
          </cell>
          <cell r="BC34">
            <v>1641.3</v>
          </cell>
          <cell r="BD34">
            <v>361911.33</v>
          </cell>
          <cell r="BE34">
            <v>0</v>
          </cell>
          <cell r="BF34">
            <v>0</v>
          </cell>
          <cell r="BG34">
            <v>0</v>
          </cell>
          <cell r="BH34">
            <v>12718.005999999999</v>
          </cell>
          <cell r="BJ34">
            <v>376270.636</v>
          </cell>
        </row>
        <row r="35">
          <cell r="F35">
            <v>3254331.1739966427</v>
          </cell>
          <cell r="G35">
            <v>336320.26173179195</v>
          </cell>
          <cell r="H35">
            <v>321035.80200566846</v>
          </cell>
          <cell r="I35">
            <v>155590.9669575133</v>
          </cell>
          <cell r="J35">
            <v>135666.78555250377</v>
          </cell>
          <cell r="K35">
            <v>262028.31892567943</v>
          </cell>
          <cell r="L35">
            <v>221334.50015775629</v>
          </cell>
          <cell r="M35">
            <v>73552.175690095784</v>
          </cell>
          <cell r="N35">
            <v>191054.62994000997</v>
          </cell>
          <cell r="O35">
            <v>81714.832622508751</v>
          </cell>
          <cell r="P35">
            <v>118925.87309801267</v>
          </cell>
          <cell r="Q35">
            <v>62363.681422605368</v>
          </cell>
          <cell r="R35">
            <v>140858.56966419891</v>
          </cell>
          <cell r="S35">
            <v>209039.88328094088</v>
          </cell>
          <cell r="T35">
            <v>41155.397024864382</v>
          </cell>
          <cell r="U35">
            <v>43749.465020340002</v>
          </cell>
          <cell r="V35">
            <v>117610.67824569393</v>
          </cell>
          <cell r="W35">
            <v>62829.014206122418</v>
          </cell>
          <cell r="X35">
            <v>0</v>
          </cell>
          <cell r="Y35">
            <v>0</v>
          </cell>
          <cell r="Z35">
            <v>2574830.8355463063</v>
          </cell>
          <cell r="AA35">
            <v>7124.9360000000006</v>
          </cell>
          <cell r="AB35">
            <v>179.32300000000001</v>
          </cell>
          <cell r="AC35">
            <v>0</v>
          </cell>
          <cell r="AD35">
            <v>0</v>
          </cell>
          <cell r="AH35">
            <v>7304.2590000000009</v>
          </cell>
          <cell r="AI35">
            <v>2582135.0945463064</v>
          </cell>
          <cell r="AJ35">
            <v>22998.867966191447</v>
          </cell>
          <cell r="AK35">
            <v>16623.340014144931</v>
          </cell>
          <cell r="AL35">
            <v>13677.17547</v>
          </cell>
          <cell r="AN35">
            <v>53299.383450336376</v>
          </cell>
          <cell r="AO35">
            <v>170181.7</v>
          </cell>
          <cell r="AP35">
            <v>0</v>
          </cell>
          <cell r="AS35">
            <v>170181.7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8169.0020000000004</v>
          </cell>
          <cell r="BD35">
            <v>0</v>
          </cell>
          <cell r="BE35">
            <v>441383.038</v>
          </cell>
          <cell r="BF35">
            <v>-837.04399999999987</v>
          </cell>
          <cell r="BG35">
            <v>0</v>
          </cell>
          <cell r="BH35">
            <v>0</v>
          </cell>
          <cell r="BJ35">
            <v>448714.99599999998</v>
          </cell>
        </row>
        <row r="36">
          <cell r="F36">
            <v>-2004862.9689966482</v>
          </cell>
          <cell r="G36">
            <v>-59396.897731791891</v>
          </cell>
          <cell r="H36">
            <v>-302307.95500566839</v>
          </cell>
          <cell r="I36">
            <v>-200947.07195751305</v>
          </cell>
          <cell r="J36">
            <v>-130059.77755250386</v>
          </cell>
          <cell r="K36">
            <v>-38474.902925679227</v>
          </cell>
          <cell r="L36">
            <v>-42724.48115775644</v>
          </cell>
          <cell r="M36">
            <v>-164335.91569009572</v>
          </cell>
          <cell r="N36">
            <v>-138322.15094000992</v>
          </cell>
          <cell r="O36">
            <v>-153854.81762250874</v>
          </cell>
          <cell r="P36">
            <v>-36530.083098012634</v>
          </cell>
          <cell r="Q36">
            <v>-156225.17942260543</v>
          </cell>
          <cell r="R36">
            <v>-46272.001664199168</v>
          </cell>
          <cell r="S36">
            <v>-82739.351280940755</v>
          </cell>
          <cell r="T36">
            <v>-27134.323024864418</v>
          </cell>
          <cell r="U36">
            <v>5549.200979660025</v>
          </cell>
          <cell r="V36">
            <v>-59653.32224569378</v>
          </cell>
          <cell r="W36">
            <v>-2530.5222061224486</v>
          </cell>
          <cell r="X36">
            <v>0</v>
          </cell>
          <cell r="Y36">
            <v>0</v>
          </cell>
          <cell r="Z36">
            <v>-1635959.5525463102</v>
          </cell>
          <cell r="AA36">
            <v>-7124.9360000000006</v>
          </cell>
          <cell r="AB36">
            <v>-179.32300000000001</v>
          </cell>
          <cell r="AC36">
            <v>9372.9040000000005</v>
          </cell>
          <cell r="AD36">
            <v>24708.775999999998</v>
          </cell>
          <cell r="AH36">
            <v>26777.420999999998</v>
          </cell>
          <cell r="AI36">
            <v>-1609182.1315463106</v>
          </cell>
          <cell r="AJ36">
            <v>8528.2270338086419</v>
          </cell>
          <cell r="AK36">
            <v>-199957.73400414505</v>
          </cell>
          <cell r="AL36">
            <v>-138155.24448000002</v>
          </cell>
          <cell r="AN36">
            <v>-329584.75145033665</v>
          </cell>
          <cell r="AO36">
            <v>-64009.488000000652</v>
          </cell>
          <cell r="AP36">
            <v>0</v>
          </cell>
          <cell r="AS36">
            <v>-64009.488000000652</v>
          </cell>
          <cell r="AT36">
            <v>4301.9360000000006</v>
          </cell>
          <cell r="AU36">
            <v>3873.1180000000004</v>
          </cell>
          <cell r="AV36">
            <v>62182.707999999999</v>
          </cell>
          <cell r="BA36">
            <v>70357.762000000002</v>
          </cell>
          <cell r="BB36">
            <v>0</v>
          </cell>
          <cell r="BC36">
            <v>-6527.7020000000002</v>
          </cell>
          <cell r="BD36">
            <v>361911.33</v>
          </cell>
          <cell r="BE36">
            <v>-441383.038</v>
          </cell>
          <cell r="BF36">
            <v>837.04399999999987</v>
          </cell>
          <cell r="BG36">
            <v>0</v>
          </cell>
          <cell r="BH36">
            <v>12718.005999999999</v>
          </cell>
          <cell r="BJ36">
            <v>-72444.359999999986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-14271</v>
          </cell>
          <cell r="AK38">
            <v>-18600</v>
          </cell>
          <cell r="AL38">
            <v>-15612</v>
          </cell>
          <cell r="AN38">
            <v>-48483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-1030216.353</v>
          </cell>
          <cell r="Z39">
            <v>0</v>
          </cell>
          <cell r="AH39">
            <v>0</v>
          </cell>
          <cell r="AI39">
            <v>0</v>
          </cell>
          <cell r="AJ39">
            <v>-416734.353</v>
          </cell>
          <cell r="AK39">
            <v>-295216</v>
          </cell>
          <cell r="AL39">
            <v>-318266</v>
          </cell>
          <cell r="AN39">
            <v>-1030216.353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-1030216.353</v>
          </cell>
          <cell r="K40">
            <v>97634.342999999993</v>
          </cell>
          <cell r="L40">
            <v>61026.883000000002</v>
          </cell>
          <cell r="M40">
            <v>1251.087</v>
          </cell>
          <cell r="N40">
            <v>2980.194</v>
          </cell>
          <cell r="O40">
            <v>0</v>
          </cell>
          <cell r="P40">
            <v>17543.514999999999</v>
          </cell>
          <cell r="Z40">
            <v>180436.022</v>
          </cell>
          <cell r="AH40">
            <v>0</v>
          </cell>
          <cell r="AI40">
            <v>180436.022</v>
          </cell>
          <cell r="AJ40">
            <v>-399164.076</v>
          </cell>
          <cell r="AK40">
            <v>-393238.38</v>
          </cell>
          <cell r="AL40">
            <v>-418249.91899999999</v>
          </cell>
          <cell r="AN40">
            <v>-1210652.375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-97634.342999999993</v>
          </cell>
          <cell r="L41">
            <v>-61026.883000000002</v>
          </cell>
          <cell r="M41">
            <v>-1251.087</v>
          </cell>
          <cell r="N41">
            <v>-2980.194</v>
          </cell>
          <cell r="O41">
            <v>0</v>
          </cell>
          <cell r="P41">
            <v>-17543.514999999999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-180436.022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-180436.022</v>
          </cell>
          <cell r="AJ41">
            <v>-17570.277000000002</v>
          </cell>
          <cell r="AK41">
            <v>98022.38</v>
          </cell>
          <cell r="AL41">
            <v>99983.918999999994</v>
          </cell>
          <cell r="AN41">
            <v>180436.022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-97634.342999999993</v>
          </cell>
          <cell r="L43">
            <v>-61026.883000000002</v>
          </cell>
          <cell r="M43">
            <v>-1251.087</v>
          </cell>
          <cell r="N43">
            <v>-2980.194</v>
          </cell>
          <cell r="O43">
            <v>0</v>
          </cell>
          <cell r="P43">
            <v>-17543.514999999999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-180436.022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-180436.022</v>
          </cell>
          <cell r="AJ43">
            <v>-17570.277000000002</v>
          </cell>
          <cell r="AK43">
            <v>98022.38</v>
          </cell>
          <cell r="AL43">
            <v>99983.918999999994</v>
          </cell>
          <cell r="AN43">
            <v>180436.022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31317</v>
          </cell>
          <cell r="H45">
            <v>31475</v>
          </cell>
          <cell r="I45">
            <v>13662</v>
          </cell>
          <cell r="J45">
            <v>11823.06</v>
          </cell>
          <cell r="K45">
            <v>22261</v>
          </cell>
          <cell r="L45">
            <v>19064</v>
          </cell>
          <cell r="M45">
            <v>5707</v>
          </cell>
          <cell r="N45">
            <v>17197</v>
          </cell>
          <cell r="O45">
            <v>6497</v>
          </cell>
          <cell r="P45">
            <v>11710</v>
          </cell>
          <cell r="Q45">
            <v>4070</v>
          </cell>
          <cell r="R45">
            <v>13221</v>
          </cell>
          <cell r="S45">
            <v>18784</v>
          </cell>
          <cell r="T45">
            <v>3067.5</v>
          </cell>
          <cell r="U45">
            <v>3546</v>
          </cell>
          <cell r="V45">
            <v>10639</v>
          </cell>
          <cell r="W45">
            <v>4519.5</v>
          </cell>
          <cell r="X45">
            <v>0</v>
          </cell>
          <cell r="Y45">
            <v>0</v>
          </cell>
          <cell r="Z45">
            <v>228560.06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228560.06</v>
          </cell>
          <cell r="AJ45">
            <v>5797</v>
          </cell>
          <cell r="AK45">
            <v>11840</v>
          </cell>
          <cell r="AL45">
            <v>1808</v>
          </cell>
          <cell r="AN45">
            <v>19445</v>
          </cell>
          <cell r="AO45">
            <v>7354.4539999999997</v>
          </cell>
          <cell r="AP45">
            <v>0</v>
          </cell>
          <cell r="AS45">
            <v>7354.4539999999997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30573749.725999992</v>
          </cell>
          <cell r="G46">
            <v>3194008.219</v>
          </cell>
          <cell r="H46">
            <v>3110867.8020000001</v>
          </cell>
          <cell r="I46">
            <v>1345027</v>
          </cell>
          <cell r="J46">
            <v>1164795.0079999999</v>
          </cell>
          <cell r="K46">
            <v>2428655.6</v>
          </cell>
          <cell r="L46">
            <v>1993411.5</v>
          </cell>
          <cell r="M46">
            <v>506187.3</v>
          </cell>
          <cell r="N46">
            <v>1701139.1</v>
          </cell>
          <cell r="O46">
            <v>599632.21799999999</v>
          </cell>
          <cell r="P46">
            <v>1098085.8</v>
          </cell>
          <cell r="Q46">
            <v>346879.33399999997</v>
          </cell>
          <cell r="R46">
            <v>1382736.24</v>
          </cell>
          <cell r="S46">
            <v>1949886.3230000001</v>
          </cell>
          <cell r="T46">
            <v>366230.7</v>
          </cell>
          <cell r="U46">
            <v>395583.255</v>
          </cell>
          <cell r="V46">
            <v>1084562.3160000001</v>
          </cell>
          <cell r="W46">
            <v>579661.32799999998</v>
          </cell>
          <cell r="X46">
            <v>0</v>
          </cell>
          <cell r="Y46">
            <v>0</v>
          </cell>
          <cell r="Z46">
            <v>23247349.042999994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23290689.042999994</v>
          </cell>
          <cell r="AJ46">
            <v>160097.5</v>
          </cell>
          <cell r="AK46">
            <v>121712</v>
          </cell>
          <cell r="AL46">
            <v>24769.599999999977</v>
          </cell>
          <cell r="AN46">
            <v>306579.09999999998</v>
          </cell>
          <cell r="AO46">
            <v>6900929.4749999996</v>
          </cell>
          <cell r="AP46">
            <v>0</v>
          </cell>
          <cell r="AS46">
            <v>6900929.4749999996</v>
          </cell>
          <cell r="AT46">
            <v>5788.1</v>
          </cell>
          <cell r="AU46">
            <v>5940</v>
          </cell>
          <cell r="AV46">
            <v>62182.707999999999</v>
          </cell>
          <cell r="BA46">
            <v>73910.808000000005</v>
          </cell>
          <cell r="BB46">
            <v>0</v>
          </cell>
          <cell r="BC46">
            <v>1641.3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1641.3</v>
          </cell>
        </row>
        <row r="47">
          <cell r="F47">
            <v>29324281.520999998</v>
          </cell>
          <cell r="G47">
            <v>2917084.855</v>
          </cell>
          <cell r="H47">
            <v>3092139.9550000001</v>
          </cell>
          <cell r="I47">
            <v>1390383.1049999997</v>
          </cell>
          <cell r="J47">
            <v>1159188</v>
          </cell>
          <cell r="K47">
            <v>2302736.5269999998</v>
          </cell>
          <cell r="L47">
            <v>1875828.3640000001</v>
          </cell>
          <cell r="M47">
            <v>598222.12699999998</v>
          </cell>
          <cell r="N47">
            <v>1651386.8149999999</v>
          </cell>
          <cell r="O47">
            <v>671772.20299999998</v>
          </cell>
          <cell r="P47">
            <v>1033233.525</v>
          </cell>
          <cell r="Q47">
            <v>440740.83200000005</v>
          </cell>
          <cell r="R47">
            <v>1288149.6720000003</v>
          </cell>
          <cell r="S47">
            <v>1823585.791</v>
          </cell>
          <cell r="T47">
            <v>352209.62600000005</v>
          </cell>
          <cell r="U47">
            <v>346284.58899999998</v>
          </cell>
          <cell r="V47">
            <v>1026604.96</v>
          </cell>
          <cell r="W47">
            <v>519362.83600000001</v>
          </cell>
          <cell r="X47">
            <v>0</v>
          </cell>
          <cell r="Y47">
            <v>0</v>
          </cell>
          <cell r="Z47">
            <v>22488913.781999998</v>
          </cell>
          <cell r="AA47">
            <v>0</v>
          </cell>
          <cell r="AB47">
            <v>0</v>
          </cell>
          <cell r="AC47">
            <v>3127.096</v>
          </cell>
          <cell r="AD47">
            <v>6131.2240000000002</v>
          </cell>
          <cell r="AH47">
            <v>9258.32</v>
          </cell>
          <cell r="AI47">
            <v>22498172.101999998</v>
          </cell>
          <cell r="AJ47">
            <v>146140.68199999991</v>
          </cell>
          <cell r="AK47">
            <v>207024.01399000012</v>
          </cell>
          <cell r="AL47">
            <v>49263.750010000018</v>
          </cell>
          <cell r="AN47">
            <v>402428.44600000005</v>
          </cell>
          <cell r="AO47">
            <v>6794757.2630000003</v>
          </cell>
          <cell r="AP47">
            <v>0</v>
          </cell>
          <cell r="AS47">
            <v>6794757.2630000003</v>
          </cell>
          <cell r="AT47">
            <v>1486.164</v>
          </cell>
          <cell r="AU47">
            <v>2066.8819999999996</v>
          </cell>
          <cell r="AV47">
            <v>0</v>
          </cell>
          <cell r="BA47">
            <v>3553.0459999999994</v>
          </cell>
          <cell r="BB47">
            <v>0</v>
          </cell>
          <cell r="BC47">
            <v>0</v>
          </cell>
          <cell r="BD47">
            <v>-361911.33</v>
          </cell>
          <cell r="BE47">
            <v>0</v>
          </cell>
          <cell r="BF47">
            <v>0</v>
          </cell>
          <cell r="BG47">
            <v>0</v>
          </cell>
          <cell r="BH47">
            <v>-12718.005999999999</v>
          </cell>
          <cell r="BJ47">
            <v>-374629.33600000001</v>
          </cell>
        </row>
        <row r="48">
          <cell r="F48">
            <v>1249468.2049999945</v>
          </cell>
          <cell r="G48">
            <v>276923.36400000006</v>
          </cell>
          <cell r="H48">
            <v>18727.847000000067</v>
          </cell>
          <cell r="I48">
            <v>-45356.104999999749</v>
          </cell>
          <cell r="J48">
            <v>5607.0079999999143</v>
          </cell>
          <cell r="K48">
            <v>125919.07300000032</v>
          </cell>
          <cell r="L48">
            <v>117583.13599999994</v>
          </cell>
          <cell r="M48">
            <v>-92034.82699999999</v>
          </cell>
          <cell r="N48">
            <v>49752.285000000149</v>
          </cell>
          <cell r="O48">
            <v>-72139.984999999986</v>
          </cell>
          <cell r="P48">
            <v>64852.275000000023</v>
          </cell>
          <cell r="Q48">
            <v>-93861.49800000008</v>
          </cell>
          <cell r="R48">
            <v>94586.567999999737</v>
          </cell>
          <cell r="S48">
            <v>126300.53200000012</v>
          </cell>
          <cell r="T48">
            <v>14021.073999999964</v>
          </cell>
          <cell r="U48">
            <v>49298.666000000027</v>
          </cell>
          <cell r="V48">
            <v>57957.356000000145</v>
          </cell>
          <cell r="W48">
            <v>60298.491999999969</v>
          </cell>
          <cell r="X48">
            <v>0</v>
          </cell>
          <cell r="Y48">
            <v>0</v>
          </cell>
          <cell r="Z48">
            <v>758435.26099999622</v>
          </cell>
          <cell r="AA48">
            <v>0</v>
          </cell>
          <cell r="AB48">
            <v>0</v>
          </cell>
          <cell r="AC48">
            <v>9372.9040000000005</v>
          </cell>
          <cell r="AD48">
            <v>24708.775999999998</v>
          </cell>
          <cell r="AH48">
            <v>34081.68</v>
          </cell>
          <cell r="AI48">
            <v>792516.94099999592</v>
          </cell>
          <cell r="AJ48">
            <v>13956.818000000087</v>
          </cell>
          <cell r="AK48">
            <v>-85312.013990000123</v>
          </cell>
          <cell r="AL48">
            <v>-24494.150010000041</v>
          </cell>
          <cell r="AN48">
            <v>-95849.346000000078</v>
          </cell>
          <cell r="AO48">
            <v>106172.21199999936</v>
          </cell>
          <cell r="AP48">
            <v>0</v>
          </cell>
          <cell r="AS48">
            <v>106172.21199999936</v>
          </cell>
          <cell r="AT48">
            <v>4301.9360000000006</v>
          </cell>
          <cell r="AU48">
            <v>3873.1180000000004</v>
          </cell>
          <cell r="AV48">
            <v>62182.707999999999</v>
          </cell>
          <cell r="BA48">
            <v>70357.762000000002</v>
          </cell>
          <cell r="BB48">
            <v>0</v>
          </cell>
          <cell r="BC48">
            <v>1641.3</v>
          </cell>
          <cell r="BD48">
            <v>361911.33</v>
          </cell>
          <cell r="BE48">
            <v>0</v>
          </cell>
          <cell r="BF48">
            <v>0</v>
          </cell>
          <cell r="BG48">
            <v>0</v>
          </cell>
          <cell r="BH48">
            <v>12718.005999999999</v>
          </cell>
          <cell r="BJ48">
            <v>376270.636</v>
          </cell>
        </row>
        <row r="49">
          <cell r="F49">
            <v>3254331.1739966427</v>
          </cell>
          <cell r="G49">
            <v>336320.26173179195</v>
          </cell>
          <cell r="H49">
            <v>321035.80200566846</v>
          </cell>
          <cell r="I49">
            <v>155590.9669575133</v>
          </cell>
          <cell r="J49">
            <v>135666.78555250377</v>
          </cell>
          <cell r="K49">
            <v>262028.31892567943</v>
          </cell>
          <cell r="L49">
            <v>221334.50015775629</v>
          </cell>
          <cell r="M49">
            <v>73552.175690095784</v>
          </cell>
          <cell r="N49">
            <v>191054.62994000997</v>
          </cell>
          <cell r="O49">
            <v>81714.832622508751</v>
          </cell>
          <cell r="P49">
            <v>118925.87309801267</v>
          </cell>
          <cell r="Q49">
            <v>62363.681422605368</v>
          </cell>
          <cell r="R49">
            <v>140858.56966419891</v>
          </cell>
          <cell r="S49">
            <v>209039.88328094088</v>
          </cell>
          <cell r="T49">
            <v>41155.397024864382</v>
          </cell>
          <cell r="U49">
            <v>43749.465020340002</v>
          </cell>
          <cell r="V49">
            <v>117610.67824569393</v>
          </cell>
          <cell r="W49">
            <v>62829.014206122418</v>
          </cell>
          <cell r="X49">
            <v>0</v>
          </cell>
          <cell r="Y49">
            <v>0</v>
          </cell>
          <cell r="Z49">
            <v>2574830.8355463063</v>
          </cell>
          <cell r="AA49">
            <v>7124.9360000000006</v>
          </cell>
          <cell r="AB49">
            <v>179.32300000000001</v>
          </cell>
          <cell r="AC49">
            <v>0</v>
          </cell>
          <cell r="AD49">
            <v>0</v>
          </cell>
          <cell r="AH49">
            <v>7304.2590000000009</v>
          </cell>
          <cell r="AI49">
            <v>2582135.0945463064</v>
          </cell>
          <cell r="AJ49">
            <v>22998.867966191447</v>
          </cell>
          <cell r="AK49">
            <v>16623.340014144931</v>
          </cell>
          <cell r="AL49">
            <v>13677.17547</v>
          </cell>
          <cell r="AN49">
            <v>53299.383450336376</v>
          </cell>
          <cell r="AO49">
            <v>170181.7</v>
          </cell>
          <cell r="AP49">
            <v>0</v>
          </cell>
          <cell r="AS49">
            <v>170181.7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8169.0020000000004</v>
          </cell>
          <cell r="BD49">
            <v>0</v>
          </cell>
          <cell r="BE49">
            <v>441383.038</v>
          </cell>
          <cell r="BF49">
            <v>-837.04399999999987</v>
          </cell>
          <cell r="BG49">
            <v>0</v>
          </cell>
          <cell r="BH49">
            <v>0</v>
          </cell>
          <cell r="BJ49">
            <v>448714.99599999998</v>
          </cell>
        </row>
        <row r="50">
          <cell r="F50">
            <v>-2004862.9689966482</v>
          </cell>
          <cell r="G50">
            <v>-59396.897731791891</v>
          </cell>
          <cell r="H50">
            <v>-302307.95500566839</v>
          </cell>
          <cell r="I50">
            <v>-200947.07195751305</v>
          </cell>
          <cell r="J50">
            <v>-130059.77755250386</v>
          </cell>
          <cell r="K50">
            <v>-136109.2459256791</v>
          </cell>
          <cell r="L50">
            <v>-103751.36415775635</v>
          </cell>
          <cell r="M50">
            <v>-165587.00269009577</v>
          </cell>
          <cell r="N50">
            <v>-141302.34494000982</v>
          </cell>
          <cell r="O50">
            <v>-153854.81762250874</v>
          </cell>
          <cell r="P50">
            <v>-54073.598098012648</v>
          </cell>
          <cell r="Q50">
            <v>-156225.17942260543</v>
          </cell>
          <cell r="R50">
            <v>-46272.001664199168</v>
          </cell>
          <cell r="S50">
            <v>-82739.351280940755</v>
          </cell>
          <cell r="T50">
            <v>-27134.323024864418</v>
          </cell>
          <cell r="U50">
            <v>5549.200979660025</v>
          </cell>
          <cell r="V50">
            <v>-59653.32224569378</v>
          </cell>
          <cell r="W50">
            <v>-2530.5222061224486</v>
          </cell>
          <cell r="X50">
            <v>0</v>
          </cell>
          <cell r="Y50">
            <v>0</v>
          </cell>
          <cell r="Z50">
            <v>-1816395.5745463101</v>
          </cell>
          <cell r="AA50">
            <v>-7124.9360000000006</v>
          </cell>
          <cell r="AB50">
            <v>-179.32300000000001</v>
          </cell>
          <cell r="AC50">
            <v>9372.9040000000005</v>
          </cell>
          <cell r="AD50">
            <v>24708.775999999998</v>
          </cell>
          <cell r="AH50">
            <v>26777.420999999998</v>
          </cell>
          <cell r="AI50">
            <v>-1789618.1535463105</v>
          </cell>
          <cell r="AJ50">
            <v>-9042.04996619136</v>
          </cell>
          <cell r="AK50">
            <v>-101935.35400414505</v>
          </cell>
          <cell r="AL50">
            <v>-38171.325480000043</v>
          </cell>
          <cell r="AN50">
            <v>-149148.72945033645</v>
          </cell>
          <cell r="AO50">
            <v>-64009.488000000652</v>
          </cell>
          <cell r="AP50">
            <v>0</v>
          </cell>
          <cell r="AS50">
            <v>-64009.488000000652</v>
          </cell>
          <cell r="AT50">
            <v>4301.9360000000006</v>
          </cell>
          <cell r="AU50">
            <v>3873.1180000000004</v>
          </cell>
          <cell r="AV50">
            <v>62182.707999999999</v>
          </cell>
          <cell r="BA50">
            <v>70357.762000000002</v>
          </cell>
          <cell r="BB50">
            <v>0</v>
          </cell>
          <cell r="BC50">
            <v>-6527.7020000000002</v>
          </cell>
          <cell r="BD50">
            <v>361911.33</v>
          </cell>
          <cell r="BE50">
            <v>-441383.038</v>
          </cell>
          <cell r="BF50">
            <v>837.04399999999987</v>
          </cell>
          <cell r="BG50">
            <v>0</v>
          </cell>
          <cell r="BH50">
            <v>12718.005999999999</v>
          </cell>
          <cell r="BJ50">
            <v>-72444.359999999986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384412</v>
          </cell>
          <cell r="H7">
            <v>335327.5</v>
          </cell>
          <cell r="I7">
            <v>156926</v>
          </cell>
          <cell r="J7">
            <v>125048.88</v>
          </cell>
          <cell r="K7">
            <v>240083</v>
          </cell>
          <cell r="L7">
            <v>212594</v>
          </cell>
          <cell r="M7">
            <v>97066</v>
          </cell>
          <cell r="N7">
            <v>250340.5</v>
          </cell>
          <cell r="O7">
            <v>84262</v>
          </cell>
          <cell r="P7">
            <v>116184</v>
          </cell>
          <cell r="Q7">
            <v>109214.5</v>
          </cell>
          <cell r="R7">
            <v>135653.5</v>
          </cell>
          <cell r="S7">
            <v>251622</v>
          </cell>
          <cell r="T7">
            <v>34659.5</v>
          </cell>
          <cell r="U7">
            <v>55757</v>
          </cell>
          <cell r="V7">
            <v>154488.5</v>
          </cell>
          <cell r="W7">
            <v>62708.5</v>
          </cell>
          <cell r="Z7">
            <v>2806347.38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2806347.38</v>
          </cell>
          <cell r="AJ7">
            <v>278348</v>
          </cell>
          <cell r="AK7">
            <v>294548</v>
          </cell>
          <cell r="AL7">
            <v>214038</v>
          </cell>
          <cell r="AN7">
            <v>786934</v>
          </cell>
          <cell r="AO7">
            <v>108225.34600000001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393890279.02899998</v>
          </cell>
          <cell r="G8">
            <v>37265994.529999994</v>
          </cell>
          <cell r="H8">
            <v>32602900.344000004</v>
          </cell>
          <cell r="I8">
            <v>14557317.443</v>
          </cell>
          <cell r="J8">
            <v>11979622.609000001</v>
          </cell>
          <cell r="K8">
            <v>25935449.797000002</v>
          </cell>
          <cell r="L8">
            <v>21078774.517999999</v>
          </cell>
          <cell r="M8">
            <v>8780168.9000000004</v>
          </cell>
          <cell r="N8">
            <v>24889744.350000001</v>
          </cell>
          <cell r="O8">
            <v>7774078.0650000004</v>
          </cell>
          <cell r="P8">
            <v>11067551.180000002</v>
          </cell>
          <cell r="Q8">
            <v>9623638.4550000001</v>
          </cell>
          <cell r="R8">
            <v>14168404.607999999</v>
          </cell>
          <cell r="S8">
            <v>24500755.844999999</v>
          </cell>
          <cell r="T8">
            <v>3846776.3990000002</v>
          </cell>
          <cell r="U8">
            <v>6145588.2359999986</v>
          </cell>
          <cell r="V8">
            <v>15115211.289999999</v>
          </cell>
          <cell r="W8">
            <v>7773938.2280000011</v>
          </cell>
          <cell r="Z8">
            <v>277105914.79699999</v>
          </cell>
          <cell r="AA8">
            <v>125000</v>
          </cell>
          <cell r="AB8">
            <v>0</v>
          </cell>
          <cell r="AC8">
            <v>150000</v>
          </cell>
          <cell r="AD8">
            <v>362580</v>
          </cell>
          <cell r="AH8">
            <v>637580</v>
          </cell>
          <cell r="AI8">
            <v>277743494.79699999</v>
          </cell>
          <cell r="AJ8">
            <v>7928579.9530000007</v>
          </cell>
          <cell r="AK8">
            <v>4004486</v>
          </cell>
          <cell r="AL8">
            <v>4127217</v>
          </cell>
          <cell r="AN8">
            <v>16060282.953000002</v>
          </cell>
          <cell r="AO8">
            <v>99181146.127999976</v>
          </cell>
          <cell r="AP8">
            <v>0</v>
          </cell>
          <cell r="AS8">
            <v>99181146.127999976</v>
          </cell>
          <cell r="AT8">
            <v>68354.799999999988</v>
          </cell>
          <cell r="AU8">
            <v>70560</v>
          </cell>
          <cell r="AV8">
            <v>746275.30100000009</v>
          </cell>
          <cell r="BA8">
            <v>885190.10100000002</v>
          </cell>
          <cell r="BB8">
            <v>0</v>
          </cell>
          <cell r="BC8">
            <v>20165.049999999996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20165.049999999996</v>
          </cell>
        </row>
        <row r="9">
          <cell r="G9">
            <v>96942.849156634009</v>
          </cell>
          <cell r="H9">
            <v>97227.040263622883</v>
          </cell>
          <cell r="I9">
            <v>92765.491014873245</v>
          </cell>
          <cell r="J9">
            <v>95799.519427922918</v>
          </cell>
          <cell r="K9">
            <v>108027.01481154434</v>
          </cell>
          <cell r="L9">
            <v>99150.373566516457</v>
          </cell>
          <cell r="M9">
            <v>90455.658005892896</v>
          </cell>
          <cell r="N9">
            <v>99423.562507864292</v>
          </cell>
          <cell r="O9">
            <v>92260.782618499448</v>
          </cell>
          <cell r="P9">
            <v>95258.823762308079</v>
          </cell>
          <cell r="Q9">
            <v>88116.856781837589</v>
          </cell>
          <cell r="R9">
            <v>104445.55140855194</v>
          </cell>
          <cell r="S9">
            <v>97371.278524930254</v>
          </cell>
          <cell r="T9">
            <v>110987.64837923225</v>
          </cell>
          <cell r="U9">
            <v>110220.9271660957</v>
          </cell>
          <cell r="V9">
            <v>97840.365399366288</v>
          </cell>
          <cell r="W9">
            <v>123969.44956425366</v>
          </cell>
          <cell r="Z9">
            <v>98742.55652448842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98969.748640669</v>
          </cell>
          <cell r="AJ9">
            <v>28484.415023639474</v>
          </cell>
          <cell r="AK9">
            <v>13595.359669731248</v>
          </cell>
          <cell r="AL9">
            <v>19282.636728057634</v>
          </cell>
          <cell r="AO9">
            <v>916431.77678544889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362772126.92344004</v>
          </cell>
          <cell r="G10">
            <v>33493789.396010004</v>
          </cell>
          <cell r="H10">
            <v>31205786.207109999</v>
          </cell>
          <cell r="I10">
            <v>14208916.08114</v>
          </cell>
          <cell r="J10">
            <v>11359844.038449999</v>
          </cell>
          <cell r="K10">
            <v>21712066.313259996</v>
          </cell>
          <cell r="L10">
            <v>18354045.165270001</v>
          </cell>
          <cell r="M10">
            <v>8686207.6411100011</v>
          </cell>
          <cell r="N10">
            <v>22219604.88741</v>
          </cell>
          <cell r="O10">
            <v>7481239.7234999994</v>
          </cell>
          <cell r="P10">
            <v>9938937.6781900004</v>
          </cell>
          <cell r="Q10">
            <v>9237055.2419000007</v>
          </cell>
          <cell r="R10">
            <v>12568817.314920001</v>
          </cell>
          <cell r="S10">
            <v>22423433.909059998</v>
          </cell>
          <cell r="T10">
            <v>3399035.8379300004</v>
          </cell>
          <cell r="U10">
            <v>4788490.9534800006</v>
          </cell>
          <cell r="V10">
            <v>13040041.10798</v>
          </cell>
          <cell r="W10">
            <v>6721598.4362200014</v>
          </cell>
          <cell r="Z10">
            <v>250838909.93294001</v>
          </cell>
          <cell r="AA10">
            <v>5838.259</v>
          </cell>
          <cell r="AB10">
            <v>0</v>
          </cell>
          <cell r="AC10">
            <v>28388.967999999993</v>
          </cell>
          <cell r="AD10">
            <v>75653.631000000008</v>
          </cell>
          <cell r="AH10">
            <v>109880.85800000001</v>
          </cell>
          <cell r="AI10">
            <v>250948790.79094002</v>
          </cell>
          <cell r="AJ10">
            <v>7079094.8353400007</v>
          </cell>
          <cell r="AK10">
            <v>3521441.9747299999</v>
          </cell>
          <cell r="AL10">
            <v>4759920.6074299989</v>
          </cell>
          <cell r="AN10">
            <v>15360457.4175</v>
          </cell>
          <cell r="AO10">
            <v>97467847.164999992</v>
          </cell>
          <cell r="AP10">
            <v>0</v>
          </cell>
          <cell r="AS10">
            <v>97467847.164999992</v>
          </cell>
          <cell r="AT10">
            <v>1886.7889999999998</v>
          </cell>
          <cell r="AU10">
            <v>2548.3130000000001</v>
          </cell>
          <cell r="AV10">
            <v>0</v>
          </cell>
          <cell r="BA10">
            <v>4435.1019999999999</v>
          </cell>
          <cell r="BB10">
            <v>0</v>
          </cell>
          <cell r="BC10">
            <v>0</v>
          </cell>
          <cell r="BD10">
            <v>-1257455.1000000001</v>
          </cell>
          <cell r="BE10">
            <v>0</v>
          </cell>
          <cell r="BF10">
            <v>112.94</v>
          </cell>
          <cell r="BG10">
            <v>302804.88</v>
          </cell>
          <cell r="BH10">
            <v>-54866.271999999997</v>
          </cell>
          <cell r="BJ10">
            <v>-1009403.5520000001</v>
          </cell>
        </row>
        <row r="11">
          <cell r="G11">
            <v>87129.926734883411</v>
          </cell>
          <cell r="H11">
            <v>93060.62344159068</v>
          </cell>
          <cell r="I11">
            <v>90545.327613907197</v>
          </cell>
          <cell r="J11">
            <v>90843.228971343036</v>
          </cell>
          <cell r="K11">
            <v>90435.667303640817</v>
          </cell>
          <cell r="L11">
            <v>86333.787243619299</v>
          </cell>
          <cell r="M11">
            <v>89487.643882615972</v>
          </cell>
          <cell r="N11">
            <v>88757.531791340196</v>
          </cell>
          <cell r="O11">
            <v>88785.451609266325</v>
          </cell>
          <cell r="P11">
            <v>85544.805465382495</v>
          </cell>
          <cell r="Q11">
            <v>84577.187478768843</v>
          </cell>
          <cell r="R11">
            <v>92653.837276000995</v>
          </cell>
          <cell r="S11">
            <v>89115.553922391511</v>
          </cell>
          <cell r="T11">
            <v>98069.384668849816</v>
          </cell>
          <cell r="U11">
            <v>85881.43109349499</v>
          </cell>
          <cell r="V11">
            <v>84407.843353906603</v>
          </cell>
          <cell r="W11">
            <v>107187.99582544634</v>
          </cell>
          <cell r="Z11">
            <v>89382.701414869036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89421.855818483891</v>
          </cell>
          <cell r="AJ11">
            <v>25432.533502450173</v>
          </cell>
          <cell r="AK11">
            <v>11955.409558815541</v>
          </cell>
          <cell r="AL11">
            <v>22238.670738046512</v>
          </cell>
          <cell r="AO11">
            <v>900600.92914833454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31118152.105559945</v>
          </cell>
          <cell r="G12">
            <v>3772205.1339899898</v>
          </cell>
          <cell r="H12">
            <v>1397114.1368900053</v>
          </cell>
          <cell r="I12">
            <v>348401.3618599996</v>
          </cell>
          <cell r="J12">
            <v>619778.57055000216</v>
          </cell>
          <cell r="K12">
            <v>4223383.4837400056</v>
          </cell>
          <cell r="L12">
            <v>2724729.3527299985</v>
          </cell>
          <cell r="M12">
            <v>93961.258889999241</v>
          </cell>
          <cell r="N12">
            <v>2670139.4625900015</v>
          </cell>
          <cell r="O12">
            <v>292838.34150000103</v>
          </cell>
          <cell r="P12">
            <v>1128613.5018100012</v>
          </cell>
          <cell r="Q12">
            <v>386583.21309999935</v>
          </cell>
          <cell r="R12">
            <v>1599587.2930799983</v>
          </cell>
          <cell r="S12">
            <v>2077321.9359400012</v>
          </cell>
          <cell r="T12">
            <v>447740.56106999982</v>
          </cell>
          <cell r="U12">
            <v>1357097.282519998</v>
          </cell>
          <cell r="V12">
            <v>2075170.1820199993</v>
          </cell>
          <cell r="W12">
            <v>1052339.7917799996</v>
          </cell>
          <cell r="Z12">
            <v>26267004.864060003</v>
          </cell>
          <cell r="AA12">
            <v>119161.74099999999</v>
          </cell>
          <cell r="AB12">
            <v>0</v>
          </cell>
          <cell r="AC12">
            <v>121611.03200000001</v>
          </cell>
          <cell r="AD12">
            <v>286926.36900000001</v>
          </cell>
          <cell r="AH12">
            <v>527699.14199999999</v>
          </cell>
          <cell r="AI12">
            <v>26794704.006059974</v>
          </cell>
          <cell r="AJ12">
            <v>849485.11765999999</v>
          </cell>
          <cell r="AK12">
            <v>483044.0252700001</v>
          </cell>
          <cell r="AL12">
            <v>-632703.60742999893</v>
          </cell>
          <cell r="AN12">
            <v>699825.53550000116</v>
          </cell>
          <cell r="AO12">
            <v>1713298.9629999846</v>
          </cell>
          <cell r="AP12">
            <v>0</v>
          </cell>
          <cell r="AS12">
            <v>1713298.9629999846</v>
          </cell>
          <cell r="AT12">
            <v>66468.010999999984</v>
          </cell>
          <cell r="AU12">
            <v>68011.687000000005</v>
          </cell>
          <cell r="AV12">
            <v>746275.30100000009</v>
          </cell>
          <cell r="BA12">
            <v>880754.99900000007</v>
          </cell>
          <cell r="BB12">
            <v>0</v>
          </cell>
          <cell r="BC12">
            <v>20165.049999999996</v>
          </cell>
          <cell r="BD12">
            <v>1257455.1000000001</v>
          </cell>
          <cell r="BE12">
            <v>0</v>
          </cell>
          <cell r="BF12">
            <v>-112.94</v>
          </cell>
          <cell r="BG12">
            <v>-302804.88</v>
          </cell>
          <cell r="BH12">
            <v>54866.271999999997</v>
          </cell>
          <cell r="BJ12">
            <v>1029568.6020000002</v>
          </cell>
        </row>
        <row r="13">
          <cell r="F13">
            <v>10340934.259000003</v>
          </cell>
          <cell r="G13">
            <v>850336.13799999992</v>
          </cell>
          <cell r="H13">
            <v>854941.723</v>
          </cell>
          <cell r="I13">
            <v>651813.45599999989</v>
          </cell>
          <cell r="J13">
            <v>467045.38800000004</v>
          </cell>
          <cell r="K13">
            <v>686648.32400000002</v>
          </cell>
          <cell r="L13">
            <v>670618.17599999998</v>
          </cell>
          <cell r="M13">
            <v>420160.72100000002</v>
          </cell>
          <cell r="N13">
            <v>571554.45499999996</v>
          </cell>
          <cell r="O13">
            <v>368227.41200000001</v>
          </cell>
          <cell r="P13">
            <v>357000.13500000001</v>
          </cell>
          <cell r="Q13">
            <v>373237.64799999993</v>
          </cell>
          <cell r="R13">
            <v>343801.21299999999</v>
          </cell>
          <cell r="S13">
            <v>603118.01199999999</v>
          </cell>
          <cell r="T13">
            <v>146426.06399999998</v>
          </cell>
          <cell r="U13">
            <v>152605.95799999998</v>
          </cell>
          <cell r="V13">
            <v>383184.43600000005</v>
          </cell>
          <cell r="W13">
            <v>195140.02000000002</v>
          </cell>
          <cell r="Z13">
            <v>8095859.279000001</v>
          </cell>
          <cell r="AA13">
            <v>54306.816999999995</v>
          </cell>
          <cell r="AB13">
            <v>2784.9279999999999</v>
          </cell>
          <cell r="AC13">
            <v>0</v>
          </cell>
          <cell r="AD13">
            <v>0</v>
          </cell>
          <cell r="AH13">
            <v>57091.744999999995</v>
          </cell>
          <cell r="AI13">
            <v>8152951.0240000021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1770797.523</v>
          </cell>
          <cell r="AP13">
            <v>0</v>
          </cell>
          <cell r="AS13">
            <v>1770797.523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178798.81199999995</v>
          </cell>
          <cell r="BG13">
            <v>238386.9</v>
          </cell>
          <cell r="BH13">
            <v>0</v>
          </cell>
          <cell r="BJ13">
            <v>417185.71199999994</v>
          </cell>
        </row>
        <row r="14">
          <cell r="F14">
            <v>6939541.012000002</v>
          </cell>
          <cell r="G14">
            <v>565435.26399999997</v>
          </cell>
          <cell r="H14">
            <v>574340.81299999997</v>
          </cell>
          <cell r="I14">
            <v>441540.08199999994</v>
          </cell>
          <cell r="J14">
            <v>334106.97500000003</v>
          </cell>
          <cell r="K14">
            <v>460733.69599999994</v>
          </cell>
          <cell r="L14">
            <v>462028.32499999995</v>
          </cell>
          <cell r="M14">
            <v>297379.59399999998</v>
          </cell>
          <cell r="N14">
            <v>395079.74400000001</v>
          </cell>
          <cell r="O14">
            <v>248410.05100000001</v>
          </cell>
          <cell r="P14">
            <v>251332.20900000003</v>
          </cell>
          <cell r="Q14">
            <v>261703.08899999995</v>
          </cell>
          <cell r="R14">
            <v>241439.353</v>
          </cell>
          <cell r="S14">
            <v>416447.43199999991</v>
          </cell>
          <cell r="T14">
            <v>91827.121999999988</v>
          </cell>
          <cell r="U14">
            <v>103079.07899999998</v>
          </cell>
          <cell r="V14">
            <v>274717.26300000004</v>
          </cell>
          <cell r="W14">
            <v>133502.09299999999</v>
          </cell>
          <cell r="Z14">
            <v>5553102.1840000013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5553102.1840000013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1148051.9280000001</v>
          </cell>
          <cell r="AP14">
            <v>0</v>
          </cell>
          <cell r="AS14">
            <v>1148051.9280000001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3401393.2470000004</v>
          </cell>
          <cell r="G15">
            <v>284900.87399999995</v>
          </cell>
          <cell r="H15">
            <v>280600.91000000003</v>
          </cell>
          <cell r="I15">
            <v>210273.37399999998</v>
          </cell>
          <cell r="J15">
            <v>132938.413</v>
          </cell>
          <cell r="K15">
            <v>225914.62800000003</v>
          </cell>
          <cell r="L15">
            <v>208589.851</v>
          </cell>
          <cell r="M15">
            <v>122781.12700000002</v>
          </cell>
          <cell r="N15">
            <v>176474.71099999998</v>
          </cell>
          <cell r="O15">
            <v>119817.36099999999</v>
          </cell>
          <cell r="P15">
            <v>105667.92600000001</v>
          </cell>
          <cell r="Q15">
            <v>111534.55900000001</v>
          </cell>
          <cell r="R15">
            <v>102361.86</v>
          </cell>
          <cell r="S15">
            <v>186670.58000000005</v>
          </cell>
          <cell r="T15">
            <v>54598.942000000003</v>
          </cell>
          <cell r="U15">
            <v>49526.879000000001</v>
          </cell>
          <cell r="V15">
            <v>108467.17300000001</v>
          </cell>
          <cell r="W15">
            <v>61637.927000000011</v>
          </cell>
          <cell r="Z15">
            <v>2542757.0950000002</v>
          </cell>
          <cell r="AA15">
            <v>54306.816999999995</v>
          </cell>
          <cell r="AB15">
            <v>2784.9279999999999</v>
          </cell>
          <cell r="AC15">
            <v>0</v>
          </cell>
          <cell r="AD15">
            <v>0</v>
          </cell>
          <cell r="AH15">
            <v>57091.744999999995</v>
          </cell>
          <cell r="AI15">
            <v>2599848.8400000003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622745.59500000009</v>
          </cell>
          <cell r="AP15">
            <v>0</v>
          </cell>
          <cell r="AS15">
            <v>622745.59500000009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178798.81199999995</v>
          </cell>
          <cell r="BG15">
            <v>0</v>
          </cell>
          <cell r="BH15">
            <v>0</v>
          </cell>
          <cell r="BJ15">
            <v>178798.81199999995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20777217.846559942</v>
          </cell>
          <cell r="G17">
            <v>2921868.99598999</v>
          </cell>
          <cell r="H17">
            <v>542172.41389000532</v>
          </cell>
          <cell r="I17">
            <v>-303412.09414000029</v>
          </cell>
          <cell r="J17">
            <v>152733.18255000212</v>
          </cell>
          <cell r="K17">
            <v>3536735.1597400056</v>
          </cell>
          <cell r="L17">
            <v>2054111.1767299986</v>
          </cell>
          <cell r="M17">
            <v>-326199.46211000078</v>
          </cell>
          <cell r="N17">
            <v>2098585.0075900014</v>
          </cell>
          <cell r="O17">
            <v>-75389.070499998983</v>
          </cell>
          <cell r="P17">
            <v>771613.3668100012</v>
          </cell>
          <cell r="Q17">
            <v>13345.565099999425</v>
          </cell>
          <cell r="R17">
            <v>1255786.0800799984</v>
          </cell>
          <cell r="S17">
            <v>1474203.9239400011</v>
          </cell>
          <cell r="T17">
            <v>301314.49706999981</v>
          </cell>
          <cell r="U17">
            <v>1204491.3245199979</v>
          </cell>
          <cell r="V17">
            <v>1691985.7460199993</v>
          </cell>
          <cell r="W17">
            <v>857199.7717799996</v>
          </cell>
          <cell r="Z17">
            <v>18171145.58506</v>
          </cell>
          <cell r="AA17">
            <v>64854.923999999999</v>
          </cell>
          <cell r="AB17">
            <v>-2784.9279999999999</v>
          </cell>
          <cell r="AC17">
            <v>121611.03200000001</v>
          </cell>
          <cell r="AD17">
            <v>286926.36900000001</v>
          </cell>
          <cell r="AH17">
            <v>470607.397</v>
          </cell>
          <cell r="AI17">
            <v>18641752.98205997</v>
          </cell>
          <cell r="AJ17">
            <v>849485.11765999999</v>
          </cell>
          <cell r="AK17">
            <v>483044.0252700001</v>
          </cell>
          <cell r="AL17">
            <v>-632703.60742999893</v>
          </cell>
          <cell r="AN17">
            <v>699825.53550000116</v>
          </cell>
          <cell r="AO17">
            <v>-57498.560000015423</v>
          </cell>
          <cell r="AP17">
            <v>0</v>
          </cell>
          <cell r="AS17">
            <v>-57498.560000015423</v>
          </cell>
          <cell r="AT17">
            <v>66468.010999999984</v>
          </cell>
          <cell r="AU17">
            <v>68011.687000000005</v>
          </cell>
          <cell r="AV17">
            <v>746275.30100000009</v>
          </cell>
          <cell r="BA17">
            <v>880754.99900000007</v>
          </cell>
          <cell r="BB17">
            <v>0</v>
          </cell>
          <cell r="BC17">
            <v>20165.049999999996</v>
          </cell>
          <cell r="BD17">
            <v>1257455.1000000001</v>
          </cell>
          <cell r="BE17">
            <v>0</v>
          </cell>
          <cell r="BF17">
            <v>-178911.75199999995</v>
          </cell>
          <cell r="BG17">
            <v>-541191.78</v>
          </cell>
          <cell r="BH17">
            <v>54866.271999999997</v>
          </cell>
          <cell r="BJ17">
            <v>612382.89000000025</v>
          </cell>
        </row>
        <row r="18">
          <cell r="F18">
            <v>7392009.8505000006</v>
          </cell>
          <cell r="G18">
            <v>362012.35298999993</v>
          </cell>
          <cell r="H18">
            <v>430743.71687</v>
          </cell>
          <cell r="I18">
            <v>242695.31386000002</v>
          </cell>
          <cell r="J18">
            <v>217842.30455</v>
          </cell>
          <cell r="K18">
            <v>1266429.6637400002</v>
          </cell>
          <cell r="L18">
            <v>514176.56773000001</v>
          </cell>
          <cell r="M18">
            <v>182729.25089</v>
          </cell>
          <cell r="N18">
            <v>286988.20559000003</v>
          </cell>
          <cell r="O18">
            <v>146541.91449999998</v>
          </cell>
          <cell r="P18">
            <v>386202.00281000003</v>
          </cell>
          <cell r="Q18">
            <v>185527.99610000002</v>
          </cell>
          <cell r="R18">
            <v>180153.29808000001</v>
          </cell>
          <cell r="S18">
            <v>385477.33794000006</v>
          </cell>
          <cell r="T18">
            <v>73752.902070000011</v>
          </cell>
          <cell r="U18">
            <v>127165.22652</v>
          </cell>
          <cell r="V18">
            <v>254594.80702000004</v>
          </cell>
          <cell r="W18">
            <v>151961.45778</v>
          </cell>
          <cell r="Z18">
            <v>5394994.3190399995</v>
          </cell>
          <cell r="AA18">
            <v>66999.013000000006</v>
          </cell>
          <cell r="AB18">
            <v>0</v>
          </cell>
          <cell r="AC18">
            <v>15670.017000000002</v>
          </cell>
          <cell r="AD18">
            <v>35895.345999999998</v>
          </cell>
          <cell r="AH18">
            <v>118564.37600000002</v>
          </cell>
          <cell r="AI18">
            <v>5513558.6950400006</v>
          </cell>
          <cell r="AJ18">
            <v>427831.32665</v>
          </cell>
          <cell r="AK18">
            <v>336136.11423000001</v>
          </cell>
          <cell r="AL18">
            <v>686324.23958000005</v>
          </cell>
          <cell r="AN18">
            <v>1450291.6804599999</v>
          </cell>
          <cell r="AO18">
            <v>60269.516000000003</v>
          </cell>
          <cell r="AP18">
            <v>0</v>
          </cell>
          <cell r="AS18">
            <v>60269.516000000003</v>
          </cell>
          <cell r="AT18">
            <v>15754.713</v>
          </cell>
          <cell r="AU18">
            <v>51503.513999999996</v>
          </cell>
          <cell r="AV18">
            <v>0</v>
          </cell>
          <cell r="BA18">
            <v>67258.226999999999</v>
          </cell>
          <cell r="BB18">
            <v>0</v>
          </cell>
          <cell r="BC18">
            <v>163901.43900000001</v>
          </cell>
          <cell r="BD18">
            <v>0</v>
          </cell>
          <cell r="BE18">
            <v>0</v>
          </cell>
          <cell r="BF18">
            <v>136730.29300000001</v>
          </cell>
          <cell r="BG18">
            <v>0</v>
          </cell>
          <cell r="BH18">
            <v>0</v>
          </cell>
          <cell r="BJ18">
            <v>300631.73200000002</v>
          </cell>
        </row>
        <row r="19">
          <cell r="F19">
            <v>6748792.2715000007</v>
          </cell>
          <cell r="G19">
            <v>337748.99898999993</v>
          </cell>
          <cell r="H19">
            <v>408380.71087000001</v>
          </cell>
          <cell r="I19">
            <v>222655.23186000003</v>
          </cell>
          <cell r="J19">
            <v>204722.12255</v>
          </cell>
          <cell r="K19">
            <v>1245553.6147400001</v>
          </cell>
          <cell r="L19">
            <v>497040.48973000003</v>
          </cell>
          <cell r="M19">
            <v>169960.13589000001</v>
          </cell>
          <cell r="N19">
            <v>267189.83159000002</v>
          </cell>
          <cell r="O19">
            <v>140504.68849999999</v>
          </cell>
          <cell r="P19">
            <v>375065.55181000003</v>
          </cell>
          <cell r="Q19">
            <v>176476.72910000003</v>
          </cell>
          <cell r="R19">
            <v>168677.89108</v>
          </cell>
          <cell r="S19">
            <v>368166.60994000005</v>
          </cell>
          <cell r="T19">
            <v>69678.507070000007</v>
          </cell>
          <cell r="U19">
            <v>122293.66752</v>
          </cell>
          <cell r="V19">
            <v>245587.95702000003</v>
          </cell>
          <cell r="W19">
            <v>142967.09477999998</v>
          </cell>
          <cell r="Z19">
            <v>5162669.8330399999</v>
          </cell>
          <cell r="AA19">
            <v>17007.167999999998</v>
          </cell>
          <cell r="AB19">
            <v>0</v>
          </cell>
          <cell r="AC19">
            <v>15670.017000000002</v>
          </cell>
          <cell r="AD19">
            <v>35895.345999999998</v>
          </cell>
          <cell r="AH19">
            <v>68572.530999999988</v>
          </cell>
          <cell r="AI19">
            <v>5231242.3640400004</v>
          </cell>
          <cell r="AJ19">
            <v>427831.32665</v>
          </cell>
          <cell r="AK19">
            <v>336136.11423000001</v>
          </cell>
          <cell r="AL19">
            <v>686324.23958000005</v>
          </cell>
          <cell r="AN19">
            <v>1450291.6804599999</v>
          </cell>
          <cell r="AO19">
            <v>0</v>
          </cell>
          <cell r="AP19">
            <v>0</v>
          </cell>
          <cell r="AS19">
            <v>0</v>
          </cell>
          <cell r="AT19">
            <v>15754.713</v>
          </cell>
          <cell r="AU19">
            <v>51503.513999999996</v>
          </cell>
          <cell r="AV19">
            <v>0</v>
          </cell>
          <cell r="BA19">
            <v>67258.226999999999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643217.57900000003</v>
          </cell>
          <cell r="G20">
            <v>24263.353999999999</v>
          </cell>
          <cell r="H20">
            <v>22363.006000000005</v>
          </cell>
          <cell r="I20">
            <v>20040.081999999999</v>
          </cell>
          <cell r="J20">
            <v>13120.181999999999</v>
          </cell>
          <cell r="K20">
            <v>20876.048999999999</v>
          </cell>
          <cell r="L20">
            <v>17136.077999999998</v>
          </cell>
          <cell r="M20">
            <v>12769.115000000002</v>
          </cell>
          <cell r="N20">
            <v>19798.374</v>
          </cell>
          <cell r="O20">
            <v>6037.2260000000015</v>
          </cell>
          <cell r="P20">
            <v>11136.450999999999</v>
          </cell>
          <cell r="Q20">
            <v>9051.2669999999998</v>
          </cell>
          <cell r="R20">
            <v>11475.406999999999</v>
          </cell>
          <cell r="S20">
            <v>17310.727999999999</v>
          </cell>
          <cell r="T20">
            <v>4074.395</v>
          </cell>
          <cell r="U20">
            <v>4871.5590000000002</v>
          </cell>
          <cell r="V20">
            <v>9006.85</v>
          </cell>
          <cell r="W20">
            <v>8994.3630000000012</v>
          </cell>
          <cell r="Z20">
            <v>232324.486</v>
          </cell>
          <cell r="AA20">
            <v>49991.845000000001</v>
          </cell>
          <cell r="AB20">
            <v>0</v>
          </cell>
          <cell r="AC20">
            <v>0</v>
          </cell>
          <cell r="AD20">
            <v>0</v>
          </cell>
          <cell r="AH20">
            <v>49991.845000000001</v>
          </cell>
          <cell r="AI20">
            <v>282316.33100000001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60269.516000000003</v>
          </cell>
          <cell r="AP20">
            <v>0</v>
          </cell>
          <cell r="AS20">
            <v>60269.516000000003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163901.43900000001</v>
          </cell>
          <cell r="BD20">
            <v>0</v>
          </cell>
          <cell r="BE20">
            <v>0</v>
          </cell>
          <cell r="BF20">
            <v>136730.29300000001</v>
          </cell>
          <cell r="BG20">
            <v>0</v>
          </cell>
          <cell r="BH20">
            <v>0</v>
          </cell>
          <cell r="BJ20">
            <v>300631.73200000002</v>
          </cell>
          <cell r="BM20">
            <v>-1684383110</v>
          </cell>
        </row>
        <row r="21">
          <cell r="F21">
            <v>13385207.996059941</v>
          </cell>
          <cell r="G21">
            <v>2559856.6429999899</v>
          </cell>
          <cell r="H21">
            <v>111428.69702000532</v>
          </cell>
          <cell r="I21">
            <v>-546107.40800000029</v>
          </cell>
          <cell r="J21">
            <v>-65109.121999997878</v>
          </cell>
          <cell r="K21">
            <v>2270305.4960000054</v>
          </cell>
          <cell r="L21">
            <v>1539934.6089999985</v>
          </cell>
          <cell r="M21">
            <v>-508928.7130000008</v>
          </cell>
          <cell r="N21">
            <v>1811596.8020000015</v>
          </cell>
          <cell r="O21">
            <v>-221930.98499999897</v>
          </cell>
          <cell r="P21">
            <v>385411.36400000117</v>
          </cell>
          <cell r="Q21">
            <v>-172182.43100000059</v>
          </cell>
          <cell r="R21">
            <v>1075632.7819999983</v>
          </cell>
          <cell r="S21">
            <v>1088726.5860000011</v>
          </cell>
          <cell r="T21">
            <v>227561.5949999998</v>
          </cell>
          <cell r="U21">
            <v>1077326.0979999979</v>
          </cell>
          <cell r="V21">
            <v>1437390.9389999993</v>
          </cell>
          <cell r="W21">
            <v>705238.31399999955</v>
          </cell>
          <cell r="Z21">
            <v>12776151.26602</v>
          </cell>
          <cell r="AA21">
            <v>-2144.0890000000072</v>
          </cell>
          <cell r="AB21">
            <v>-2784.9279999999999</v>
          </cell>
          <cell r="AC21">
            <v>105941.015</v>
          </cell>
          <cell r="AD21">
            <v>251031.02300000002</v>
          </cell>
          <cell r="AH21">
            <v>352043.02099999995</v>
          </cell>
          <cell r="AI21">
            <v>13128194.28701997</v>
          </cell>
          <cell r="AJ21">
            <v>421653.79100999999</v>
          </cell>
          <cell r="AK21">
            <v>146907.91104000009</v>
          </cell>
          <cell r="AL21">
            <v>-1319027.847009999</v>
          </cell>
          <cell r="AN21">
            <v>-750466.14495999878</v>
          </cell>
          <cell r="AO21">
            <v>-117768.07600001543</v>
          </cell>
          <cell r="AP21">
            <v>0</v>
          </cell>
          <cell r="AS21">
            <v>-117768.07600001543</v>
          </cell>
          <cell r="AT21">
            <v>50713.297999999981</v>
          </cell>
          <cell r="AU21">
            <v>16508.17300000001</v>
          </cell>
          <cell r="AV21">
            <v>746275.30100000009</v>
          </cell>
          <cell r="BA21">
            <v>813496.77200000011</v>
          </cell>
          <cell r="BB21">
            <v>0</v>
          </cell>
          <cell r="BC21">
            <v>-143736.38900000002</v>
          </cell>
          <cell r="BD21">
            <v>1257455.1000000001</v>
          </cell>
          <cell r="BE21">
            <v>0</v>
          </cell>
          <cell r="BF21">
            <v>-315642.04499999993</v>
          </cell>
          <cell r="BG21">
            <v>-541191.78</v>
          </cell>
          <cell r="BH21">
            <v>54866.271999999997</v>
          </cell>
          <cell r="BJ21">
            <v>311751.15800000023</v>
          </cell>
        </row>
        <row r="22">
          <cell r="F22">
            <v>21151110.998000111</v>
          </cell>
          <cell r="G22">
            <v>2464120.3252311232</v>
          </cell>
          <cell r="H22">
            <v>2139013.6457801564</v>
          </cell>
          <cell r="I22">
            <v>973173.41275687399</v>
          </cell>
          <cell r="J22">
            <v>788853.73068432172</v>
          </cell>
          <cell r="K22">
            <v>1803652.435085393</v>
          </cell>
          <cell r="L22">
            <v>1434582.7513586145</v>
          </cell>
          <cell r="M22">
            <v>614466.02690147678</v>
          </cell>
          <cell r="N22">
            <v>1744082.2551147786</v>
          </cell>
          <cell r="O22">
            <v>540574.80364238017</v>
          </cell>
          <cell r="P22">
            <v>764847.94476017053</v>
          </cell>
          <cell r="Q22">
            <v>669686.6462317158</v>
          </cell>
          <cell r="R22">
            <v>962325.90706038289</v>
          </cell>
          <cell r="S22">
            <v>1609626.1753788809</v>
          </cell>
          <cell r="T22">
            <v>259573.85675332142</v>
          </cell>
          <cell r="U22">
            <v>401950.05017239368</v>
          </cell>
          <cell r="V22">
            <v>977343.18962180801</v>
          </cell>
          <cell r="W22">
            <v>515697.17777174211</v>
          </cell>
          <cell r="Z22">
            <v>18663570.334305532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18663570.334305532</v>
          </cell>
          <cell r="AJ22">
            <v>288790.64378589968</v>
          </cell>
          <cell r="AK22">
            <v>143887.43924867947</v>
          </cell>
          <cell r="AL22">
            <v>152328.06174999996</v>
          </cell>
          <cell r="AN22">
            <v>585006.14478457917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1684383.1099999999</v>
          </cell>
          <cell r="BF22">
            <v>0</v>
          </cell>
          <cell r="BG22">
            <v>218151.40891</v>
          </cell>
          <cell r="BH22">
            <v>0</v>
          </cell>
          <cell r="BJ22">
            <v>1902534.5189099999</v>
          </cell>
        </row>
        <row r="23">
          <cell r="F23">
            <v>2398689.0760001116</v>
          </cell>
          <cell r="G23">
            <v>188315.27443933033</v>
          </cell>
          <cell r="H23">
            <v>159094.59773772486</v>
          </cell>
          <cell r="I23">
            <v>70846.990420137314</v>
          </cell>
          <cell r="J23">
            <v>57553.170497666462</v>
          </cell>
          <cell r="K23">
            <v>218625.89428150762</v>
          </cell>
          <cell r="L23">
            <v>178848.65250568939</v>
          </cell>
          <cell r="M23">
            <v>73672.99821072747</v>
          </cell>
          <cell r="N23">
            <v>212161.23248068339</v>
          </cell>
          <cell r="O23">
            <v>65936.077635860274</v>
          </cell>
          <cell r="P23">
            <v>95515.730137909835</v>
          </cell>
          <cell r="Q23">
            <v>84055.708621680227</v>
          </cell>
          <cell r="R23">
            <v>121284.72329257055</v>
          </cell>
          <cell r="S23">
            <v>122191.60614510284</v>
          </cell>
          <cell r="T23">
            <v>18825.31657599103</v>
          </cell>
          <cell r="U23">
            <v>30037.139850335043</v>
          </cell>
          <cell r="V23">
            <v>76541.407260744993</v>
          </cell>
          <cell r="W23">
            <v>40176.411121871068</v>
          </cell>
          <cell r="Z23">
            <v>1813682.9312155326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1813682.9312155326</v>
          </cell>
          <cell r="AJ23">
            <v>288790.64378589968</v>
          </cell>
          <cell r="AK23">
            <v>143887.43924867947</v>
          </cell>
          <cell r="AL23">
            <v>152328.06174999996</v>
          </cell>
          <cell r="AN23">
            <v>585006.14478457917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6776628.4970000004</v>
          </cell>
          <cell r="G24">
            <v>919010.04900825408</v>
          </cell>
          <cell r="H24">
            <v>800197.33459315554</v>
          </cell>
          <cell r="I24">
            <v>370246.30823231878</v>
          </cell>
          <cell r="J24">
            <v>297561.17936194013</v>
          </cell>
          <cell r="K24">
            <v>644851.47427243693</v>
          </cell>
          <cell r="L24">
            <v>491460.90075585619</v>
          </cell>
          <cell r="M24">
            <v>222178.18199102129</v>
          </cell>
          <cell r="N24">
            <v>619959.17021199269</v>
          </cell>
          <cell r="O24">
            <v>197457.50833745819</v>
          </cell>
          <cell r="P24">
            <v>267280.7800799156</v>
          </cell>
          <cell r="Q24">
            <v>231218.31177273314</v>
          </cell>
          <cell r="R24">
            <v>326586.59637358185</v>
          </cell>
          <cell r="S24">
            <v>597182.91840882762</v>
          </cell>
          <cell r="T24">
            <v>99328.257022430014</v>
          </cell>
          <cell r="U24">
            <v>148877.10608801935</v>
          </cell>
          <cell r="V24">
            <v>354717.07302825787</v>
          </cell>
          <cell r="W24">
            <v>188515.34746180102</v>
          </cell>
          <cell r="Z24">
            <v>6776628.4970000004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6776628.4970000004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11975793.424999999</v>
          </cell>
          <cell r="G25">
            <v>1356795.0017835388</v>
          </cell>
          <cell r="H25">
            <v>1179721.7134492758</v>
          </cell>
          <cell r="I25">
            <v>532080.11410441785</v>
          </cell>
          <cell r="J25">
            <v>433739.38082471513</v>
          </cell>
          <cell r="K25">
            <v>940175.06653144851</v>
          </cell>
          <cell r="L25">
            <v>764273.19809706893</v>
          </cell>
          <cell r="M25">
            <v>318614.84669972805</v>
          </cell>
          <cell r="N25">
            <v>911961.85242210259</v>
          </cell>
          <cell r="O25">
            <v>277181.21766906173</v>
          </cell>
          <cell r="P25">
            <v>402051.43454234506</v>
          </cell>
          <cell r="Q25">
            <v>354412.62583730242</v>
          </cell>
          <cell r="R25">
            <v>514454.58739423042</v>
          </cell>
          <cell r="S25">
            <v>890251.65082495031</v>
          </cell>
          <cell r="T25">
            <v>141420.28315490036</v>
          </cell>
          <cell r="U25">
            <v>223035.8042340393</v>
          </cell>
          <cell r="V25">
            <v>546084.70933280513</v>
          </cell>
          <cell r="W25">
            <v>287005.41918807005</v>
          </cell>
          <cell r="Z25">
            <v>10073258.906089999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10073258.906089999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1684383.1099999999</v>
          </cell>
          <cell r="BF25">
            <v>0</v>
          </cell>
          <cell r="BG25">
            <v>218151.40891</v>
          </cell>
          <cell r="BH25">
            <v>0</v>
          </cell>
          <cell r="BJ25">
            <v>1902534.5189099999</v>
          </cell>
        </row>
        <row r="26">
          <cell r="F26">
            <v>-7765903.0019401703</v>
          </cell>
          <cell r="G26">
            <v>95736.317768866662</v>
          </cell>
          <cell r="H26">
            <v>-2027584.9487601509</v>
          </cell>
          <cell r="I26">
            <v>-1519280.8207568743</v>
          </cell>
          <cell r="J26">
            <v>-853962.8526843196</v>
          </cell>
          <cell r="K26">
            <v>466653.06091461238</v>
          </cell>
          <cell r="L26">
            <v>105351.85764138401</v>
          </cell>
          <cell r="M26">
            <v>-1123394.7399014775</v>
          </cell>
          <cell r="N26">
            <v>67514.546885222895</v>
          </cell>
          <cell r="O26">
            <v>-762505.78864237911</v>
          </cell>
          <cell r="P26">
            <v>-379436.58076016937</v>
          </cell>
          <cell r="Q26">
            <v>-841869.07723171636</v>
          </cell>
          <cell r="R26">
            <v>113306.87493961537</v>
          </cell>
          <cell r="S26">
            <v>-520899.58937887987</v>
          </cell>
          <cell r="T26">
            <v>-32012.261753321625</v>
          </cell>
          <cell r="U26">
            <v>675376.04782760423</v>
          </cell>
          <cell r="V26">
            <v>460047.74937819131</v>
          </cell>
          <cell r="W26">
            <v>189541.13622825744</v>
          </cell>
          <cell r="Z26">
            <v>-5887419.0682855323</v>
          </cell>
          <cell r="AA26">
            <v>-2144.0890000000072</v>
          </cell>
          <cell r="AB26">
            <v>-2784.9279999999999</v>
          </cell>
          <cell r="AC26">
            <v>105941.015</v>
          </cell>
          <cell r="AD26">
            <v>251031.02300000002</v>
          </cell>
          <cell r="AH26">
            <v>352043.02099999995</v>
          </cell>
          <cell r="AI26">
            <v>-5535376.0472855624</v>
          </cell>
          <cell r="AJ26">
            <v>132863.14722410031</v>
          </cell>
          <cell r="AK26">
            <v>3020.4717913206259</v>
          </cell>
          <cell r="AL26">
            <v>-1471355.9087599989</v>
          </cell>
          <cell r="AN26">
            <v>-1335472.2897445778</v>
          </cell>
          <cell r="AO26">
            <v>-117768.07600001543</v>
          </cell>
          <cell r="AP26">
            <v>0</v>
          </cell>
          <cell r="AS26">
            <v>-117768.07600001543</v>
          </cell>
          <cell r="AT26">
            <v>50713.297999999981</v>
          </cell>
          <cell r="AU26">
            <v>16508.17300000001</v>
          </cell>
          <cell r="AV26">
            <v>746275.30100000009</v>
          </cell>
          <cell r="BA26">
            <v>813496.77200000011</v>
          </cell>
          <cell r="BB26">
            <v>0</v>
          </cell>
          <cell r="BC26">
            <v>-143736.38900000002</v>
          </cell>
          <cell r="BD26">
            <v>1257455.1000000001</v>
          </cell>
          <cell r="BE26">
            <v>-1684383.1099999999</v>
          </cell>
          <cell r="BF26">
            <v>-315642.04499999993</v>
          </cell>
          <cell r="BG26">
            <v>-759343.18891000003</v>
          </cell>
          <cell r="BH26">
            <v>54866.271999999997</v>
          </cell>
          <cell r="BJ26">
            <v>-1590783.3609099996</v>
          </cell>
        </row>
        <row r="27">
          <cell r="F27">
            <v>-7765903.0019401088</v>
          </cell>
          <cell r="G27">
            <v>95736.317768878609</v>
          </cell>
          <cell r="H27">
            <v>-2027584.9487601556</v>
          </cell>
          <cell r="I27">
            <v>-1519280.8207568733</v>
          </cell>
          <cell r="J27">
            <v>-853962.85268432181</v>
          </cell>
          <cell r="K27">
            <v>466653.06091460731</v>
          </cell>
          <cell r="L27">
            <v>105351.85764138511</v>
          </cell>
          <cell r="M27">
            <v>-1123394.7399014768</v>
          </cell>
          <cell r="N27">
            <v>67514.546885222284</v>
          </cell>
          <cell r="O27">
            <v>-762505.78864238027</v>
          </cell>
          <cell r="P27">
            <v>-379436.58076017059</v>
          </cell>
          <cell r="Q27">
            <v>-841869.0772317159</v>
          </cell>
          <cell r="R27">
            <v>113306.87493961703</v>
          </cell>
          <cell r="S27">
            <v>-520899.58937888069</v>
          </cell>
          <cell r="T27">
            <v>-32012.261753321542</v>
          </cell>
          <cell r="U27">
            <v>675376.04782760644</v>
          </cell>
          <cell r="V27">
            <v>460047.74937819195</v>
          </cell>
          <cell r="W27">
            <v>189541.13622825782</v>
          </cell>
          <cell r="Z27">
            <v>-5887419.0682855314</v>
          </cell>
          <cell r="AA27">
            <v>-2144.0889999999954</v>
          </cell>
          <cell r="AB27">
            <v>-2784.9279999999999</v>
          </cell>
          <cell r="AC27">
            <v>105941.01500000001</v>
          </cell>
          <cell r="AD27">
            <v>251031.02299999999</v>
          </cell>
          <cell r="AH27">
            <v>352043.02100000001</v>
          </cell>
          <cell r="AI27">
            <v>-5535376.0472855316</v>
          </cell>
          <cell r="AJ27">
            <v>132863.14722410019</v>
          </cell>
          <cell r="AK27">
            <v>3020.4717913204804</v>
          </cell>
          <cell r="AL27">
            <v>-1471355.90876</v>
          </cell>
          <cell r="AN27">
            <v>-1335472.2897445792</v>
          </cell>
          <cell r="AO27">
            <v>-117768.07600000048</v>
          </cell>
          <cell r="AP27">
            <v>0</v>
          </cell>
          <cell r="AS27">
            <v>-117768.07600000048</v>
          </cell>
          <cell r="AT27">
            <v>50713.298000000003</v>
          </cell>
          <cell r="AU27">
            <v>16508.172999999995</v>
          </cell>
          <cell r="AV27">
            <v>746275.30100000009</v>
          </cell>
          <cell r="BA27">
            <v>813496.77200000011</v>
          </cell>
          <cell r="BB27">
            <v>0</v>
          </cell>
          <cell r="BC27">
            <v>-143736.389</v>
          </cell>
          <cell r="BD27">
            <v>1257455.1000000001</v>
          </cell>
          <cell r="BE27">
            <v>-1684383.1099999999</v>
          </cell>
          <cell r="BF27">
            <v>-315642.04500000004</v>
          </cell>
          <cell r="BG27">
            <v>-759343.18891000003</v>
          </cell>
          <cell r="BH27">
            <v>54866.271999999997</v>
          </cell>
          <cell r="BJ27">
            <v>-1590783.3609099998</v>
          </cell>
        </row>
        <row r="28">
          <cell r="F28">
            <v>-6.1467289924621582E-8</v>
          </cell>
          <cell r="G28">
            <v>-1.1947122402489185E-8</v>
          </cell>
          <cell r="H28">
            <v>4.6566128730773926E-9</v>
          </cell>
          <cell r="I28">
            <v>0</v>
          </cell>
          <cell r="J28">
            <v>2.2118911147117615E-9</v>
          </cell>
          <cell r="K28">
            <v>5.0640664994716644E-9</v>
          </cell>
          <cell r="L28">
            <v>-1.1059455573558807E-9</v>
          </cell>
          <cell r="M28">
            <v>0</v>
          </cell>
          <cell r="N28">
            <v>6.1118043959140778E-10</v>
          </cell>
          <cell r="O28">
            <v>1.1641532182693481E-9</v>
          </cell>
          <cell r="P28">
            <v>1.2223608791828156E-9</v>
          </cell>
          <cell r="Q28">
            <v>0</v>
          </cell>
          <cell r="R28">
            <v>-1.6589183360338211E-9</v>
          </cell>
          <cell r="S28">
            <v>8.149072527885437E-10</v>
          </cell>
          <cell r="T28">
            <v>-8.3673512563109398E-11</v>
          </cell>
          <cell r="U28">
            <v>-2.2118911147117615E-9</v>
          </cell>
          <cell r="V28">
            <v>-6.4028427004814148E-10</v>
          </cell>
          <cell r="W28">
            <v>-3.7834979593753815E-10</v>
          </cell>
          <cell r="Z28">
            <v>0</v>
          </cell>
          <cell r="AA28">
            <v>-1.1823431123048067E-11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-3.0733644962310791E-8</v>
          </cell>
          <cell r="AJ28">
            <v>0</v>
          </cell>
          <cell r="AK28">
            <v>1.4551915228366852E-10</v>
          </cell>
          <cell r="AL28">
            <v>0</v>
          </cell>
          <cell r="AN28">
            <v>0</v>
          </cell>
          <cell r="AO28">
            <v>-1.4944816939532757E-8</v>
          </cell>
          <cell r="AP28">
            <v>0</v>
          </cell>
          <cell r="AS28">
            <v>-1.4944816939532757E-8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384412</v>
          </cell>
          <cell r="H31">
            <v>335327.5</v>
          </cell>
          <cell r="I31">
            <v>156926</v>
          </cell>
          <cell r="J31">
            <v>125048.88</v>
          </cell>
          <cell r="K31">
            <v>240083</v>
          </cell>
          <cell r="L31">
            <v>212594</v>
          </cell>
          <cell r="M31">
            <v>97066</v>
          </cell>
          <cell r="N31">
            <v>250340.5</v>
          </cell>
          <cell r="O31">
            <v>84262</v>
          </cell>
          <cell r="P31">
            <v>116184</v>
          </cell>
          <cell r="Q31">
            <v>109214.5</v>
          </cell>
          <cell r="R31">
            <v>135653.5</v>
          </cell>
          <cell r="S31">
            <v>251622</v>
          </cell>
          <cell r="T31">
            <v>34659.5</v>
          </cell>
          <cell r="U31">
            <v>55757</v>
          </cell>
          <cell r="V31">
            <v>154488.5</v>
          </cell>
          <cell r="W31">
            <v>62708.5</v>
          </cell>
          <cell r="Z31">
            <v>2806347.38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2806347.38</v>
          </cell>
          <cell r="AJ31">
            <v>278348</v>
          </cell>
          <cell r="AK31">
            <v>294548</v>
          </cell>
          <cell r="AL31">
            <v>214038</v>
          </cell>
          <cell r="AN31">
            <v>786934</v>
          </cell>
          <cell r="AO31">
            <v>108225.34600000001</v>
          </cell>
          <cell r="AP31">
            <v>0</v>
          </cell>
          <cell r="AS31">
            <v>108225.34600000001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393890279.02899998</v>
          </cell>
          <cell r="G32">
            <v>37265994.529999994</v>
          </cell>
          <cell r="H32">
            <v>32602900.344000004</v>
          </cell>
          <cell r="I32">
            <v>14557317.443</v>
          </cell>
          <cell r="J32">
            <v>11979622.609000001</v>
          </cell>
          <cell r="K32">
            <v>25935449.797000002</v>
          </cell>
          <cell r="L32">
            <v>21078774.517999999</v>
          </cell>
          <cell r="M32">
            <v>8780168.9000000004</v>
          </cell>
          <cell r="N32">
            <v>24889744.350000001</v>
          </cell>
          <cell r="O32">
            <v>7774078.0650000004</v>
          </cell>
          <cell r="P32">
            <v>11067551.180000002</v>
          </cell>
          <cell r="Q32">
            <v>9623638.4550000001</v>
          </cell>
          <cell r="R32">
            <v>14168404.607999999</v>
          </cell>
          <cell r="S32">
            <v>24500755.844999999</v>
          </cell>
          <cell r="T32">
            <v>3846776.3990000002</v>
          </cell>
          <cell r="U32">
            <v>6145588.2359999986</v>
          </cell>
          <cell r="V32">
            <v>15115211.289999999</v>
          </cell>
          <cell r="W32">
            <v>7773938.2280000011</v>
          </cell>
          <cell r="Z32">
            <v>277105914.79699999</v>
          </cell>
          <cell r="AA32">
            <v>125000</v>
          </cell>
          <cell r="AB32">
            <v>0</v>
          </cell>
          <cell r="AC32">
            <v>150000</v>
          </cell>
          <cell r="AD32">
            <v>362580</v>
          </cell>
          <cell r="AH32">
            <v>637580</v>
          </cell>
          <cell r="AI32">
            <v>277743494.79699999</v>
          </cell>
          <cell r="AJ32">
            <v>7928579.9530000007</v>
          </cell>
          <cell r="AK32">
            <v>4004486</v>
          </cell>
          <cell r="AL32">
            <v>4127217</v>
          </cell>
          <cell r="AN32">
            <v>16060282.953000002</v>
          </cell>
          <cell r="AO32">
            <v>99181146.127999976</v>
          </cell>
          <cell r="AP32">
            <v>0</v>
          </cell>
          <cell r="AS32">
            <v>99181146.127999976</v>
          </cell>
          <cell r="AT32">
            <v>68354.799999999988</v>
          </cell>
          <cell r="AU32">
            <v>70560</v>
          </cell>
          <cell r="AV32">
            <v>746275.30100000009</v>
          </cell>
          <cell r="BA32">
            <v>885190.10100000002</v>
          </cell>
          <cell r="BB32">
            <v>0</v>
          </cell>
          <cell r="BC32">
            <v>20165.049999999996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20165.049999999996</v>
          </cell>
        </row>
        <row r="33">
          <cell r="F33">
            <v>369520919.19494003</v>
          </cell>
          <cell r="G33">
            <v>33831538.395000003</v>
          </cell>
          <cell r="H33">
            <v>31614166.91798</v>
          </cell>
          <cell r="I33">
            <v>14431571.313000001</v>
          </cell>
          <cell r="J33">
            <v>11564566.160999998</v>
          </cell>
          <cell r="K33">
            <v>22957619.927999996</v>
          </cell>
          <cell r="L33">
            <v>18851085.655000001</v>
          </cell>
          <cell r="M33">
            <v>8856167.7770000007</v>
          </cell>
          <cell r="N33">
            <v>22486794.719000001</v>
          </cell>
          <cell r="O33">
            <v>7621744.4119999995</v>
          </cell>
          <cell r="P33">
            <v>10314003.23</v>
          </cell>
          <cell r="Q33">
            <v>9413531.9710000008</v>
          </cell>
          <cell r="R33">
            <v>12737495.206</v>
          </cell>
          <cell r="S33">
            <v>22791600.518999998</v>
          </cell>
          <cell r="T33">
            <v>3468714.3450000002</v>
          </cell>
          <cell r="U33">
            <v>4910784.6210000003</v>
          </cell>
          <cell r="V33">
            <v>13285629.064999999</v>
          </cell>
          <cell r="W33">
            <v>6864565.5310000014</v>
          </cell>
          <cell r="Z33">
            <v>256001579.76597998</v>
          </cell>
          <cell r="AA33">
            <v>22845.426999999996</v>
          </cell>
          <cell r="AB33">
            <v>0</v>
          </cell>
          <cell r="AC33">
            <v>44058.984999999993</v>
          </cell>
          <cell r="AD33">
            <v>111548.97700000001</v>
          </cell>
          <cell r="AH33">
            <v>178453.389</v>
          </cell>
          <cell r="AI33">
            <v>256180033.15497997</v>
          </cell>
          <cell r="AJ33">
            <v>7506926.1619900009</v>
          </cell>
          <cell r="AK33">
            <v>3857578.0889599998</v>
          </cell>
          <cell r="AL33">
            <v>5446244.8470099987</v>
          </cell>
          <cell r="AN33">
            <v>16810749.097959999</v>
          </cell>
          <cell r="AO33">
            <v>97467847.164999992</v>
          </cell>
          <cell r="AP33">
            <v>0</v>
          </cell>
          <cell r="AS33">
            <v>97467847.164999992</v>
          </cell>
          <cell r="AT33">
            <v>17641.502</v>
          </cell>
          <cell r="AU33">
            <v>54051.826999999997</v>
          </cell>
          <cell r="AV33">
            <v>0</v>
          </cell>
          <cell r="BA33">
            <v>71693.328999999998</v>
          </cell>
          <cell r="BB33">
            <v>0</v>
          </cell>
          <cell r="BC33">
            <v>0</v>
          </cell>
          <cell r="BD33">
            <v>-1257455.1000000001</v>
          </cell>
          <cell r="BE33">
            <v>0</v>
          </cell>
          <cell r="BF33">
            <v>112.94</v>
          </cell>
          <cell r="BG33">
            <v>302804.88</v>
          </cell>
          <cell r="BH33">
            <v>-54866.271999999997</v>
          </cell>
          <cell r="BJ33">
            <v>-1009403.5520000001</v>
          </cell>
        </row>
        <row r="34">
          <cell r="F34">
            <v>24369359.834059954</v>
          </cell>
          <cell r="G34">
            <v>3434456.1349999905</v>
          </cell>
          <cell r="H34">
            <v>988733.42602000386</v>
          </cell>
          <cell r="I34">
            <v>125746.12999999896</v>
          </cell>
          <cell r="J34">
            <v>415056.44800000265</v>
          </cell>
          <cell r="K34">
            <v>2977829.8690000065</v>
          </cell>
          <cell r="L34">
            <v>2227688.862999998</v>
          </cell>
          <cell r="M34">
            <v>-75998.877000000328</v>
          </cell>
          <cell r="N34">
            <v>2402949.631000001</v>
          </cell>
          <cell r="O34">
            <v>152333.65300000086</v>
          </cell>
          <cell r="P34">
            <v>753547.95000000112</v>
          </cell>
          <cell r="Q34">
            <v>210106.48399999924</v>
          </cell>
          <cell r="R34">
            <v>1430909.4019999988</v>
          </cell>
          <cell r="S34">
            <v>1709155.3260000013</v>
          </cell>
          <cell r="T34">
            <v>378062.054</v>
          </cell>
          <cell r="U34">
            <v>1234803.6149999984</v>
          </cell>
          <cell r="V34">
            <v>1829582.2249999996</v>
          </cell>
          <cell r="W34">
            <v>909372.69699999969</v>
          </cell>
          <cell r="Z34">
            <v>21104335.031020015</v>
          </cell>
          <cell r="AA34">
            <v>102154.573</v>
          </cell>
          <cell r="AB34">
            <v>0</v>
          </cell>
          <cell r="AC34">
            <v>105941.01500000001</v>
          </cell>
          <cell r="AD34">
            <v>251031.02299999999</v>
          </cell>
          <cell r="AH34">
            <v>459126.61100000003</v>
          </cell>
          <cell r="AI34">
            <v>21563461.642020017</v>
          </cell>
          <cell r="AJ34">
            <v>421653.79100999981</v>
          </cell>
          <cell r="AK34">
            <v>146907.91104000015</v>
          </cell>
          <cell r="AL34">
            <v>-1319027.8470099987</v>
          </cell>
          <cell r="AN34">
            <v>-750466.14495999739</v>
          </cell>
          <cell r="AO34">
            <v>1713298.9629999846</v>
          </cell>
          <cell r="AP34">
            <v>0</v>
          </cell>
          <cell r="AS34">
            <v>1713298.9629999846</v>
          </cell>
          <cell r="AT34">
            <v>50713.297999999988</v>
          </cell>
          <cell r="AU34">
            <v>16508.173000000003</v>
          </cell>
          <cell r="AV34">
            <v>746275.30100000009</v>
          </cell>
          <cell r="BA34">
            <v>813496.772</v>
          </cell>
          <cell r="BB34">
            <v>0</v>
          </cell>
          <cell r="BC34">
            <v>20165.049999999996</v>
          </cell>
          <cell r="BD34">
            <v>1257455.1000000001</v>
          </cell>
          <cell r="BE34">
            <v>0</v>
          </cell>
          <cell r="BF34">
            <v>-112.94</v>
          </cell>
          <cell r="BG34">
            <v>-302804.88</v>
          </cell>
          <cell r="BH34">
            <v>54866.271999999997</v>
          </cell>
          <cell r="BJ34">
            <v>1029568.6020000002</v>
          </cell>
        </row>
        <row r="35">
          <cell r="F35">
            <v>32135262.836000115</v>
          </cell>
          <cell r="G35">
            <v>3338719.8172311229</v>
          </cell>
          <cell r="H35">
            <v>3016318.3747801566</v>
          </cell>
          <cell r="I35">
            <v>1645026.9507568739</v>
          </cell>
          <cell r="J35">
            <v>1269019.3006843217</v>
          </cell>
          <cell r="K35">
            <v>2511176.8080853932</v>
          </cell>
          <cell r="L35">
            <v>2122337.0053586145</v>
          </cell>
          <cell r="M35">
            <v>1047395.8629014768</v>
          </cell>
          <cell r="N35">
            <v>2335435.0841147783</v>
          </cell>
          <cell r="O35">
            <v>914839.4416423802</v>
          </cell>
          <cell r="P35">
            <v>1132984.5307601704</v>
          </cell>
          <cell r="Q35">
            <v>1051975.5612317158</v>
          </cell>
          <cell r="R35">
            <v>1317602.5270603828</v>
          </cell>
          <cell r="S35">
            <v>2230054.9153788812</v>
          </cell>
          <cell r="T35">
            <v>410074.3157533214</v>
          </cell>
          <cell r="U35">
            <v>559427.56717239367</v>
          </cell>
          <cell r="V35">
            <v>1369534.4756218081</v>
          </cell>
          <cell r="W35">
            <v>719831.56077174214</v>
          </cell>
          <cell r="Z35">
            <v>26991754.099305533</v>
          </cell>
          <cell r="AA35">
            <v>104298.662</v>
          </cell>
          <cell r="AB35">
            <v>2784.9279999999999</v>
          </cell>
          <cell r="AC35">
            <v>0</v>
          </cell>
          <cell r="AD35">
            <v>0</v>
          </cell>
          <cell r="AH35">
            <v>107083.59</v>
          </cell>
          <cell r="AI35">
            <v>27098837.689305533</v>
          </cell>
          <cell r="AJ35">
            <v>288790.64378589968</v>
          </cell>
          <cell r="AK35">
            <v>143887.43924867947</v>
          </cell>
          <cell r="AL35">
            <v>152328.06174999996</v>
          </cell>
          <cell r="AN35">
            <v>585006.14478457917</v>
          </cell>
          <cell r="AO35">
            <v>1831067.0390000001</v>
          </cell>
          <cell r="AP35">
            <v>0</v>
          </cell>
          <cell r="AS35">
            <v>1831067.0390000001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163901.43900000001</v>
          </cell>
          <cell r="BD35">
            <v>0</v>
          </cell>
          <cell r="BE35">
            <v>1684383.1099999999</v>
          </cell>
          <cell r="BF35">
            <v>315529.10499999998</v>
          </cell>
          <cell r="BG35">
            <v>456538.30891000002</v>
          </cell>
          <cell r="BH35">
            <v>0</v>
          </cell>
          <cell r="BJ35">
            <v>2620351.9629100002</v>
          </cell>
        </row>
        <row r="36">
          <cell r="F36">
            <v>-7765903.001940161</v>
          </cell>
          <cell r="G36">
            <v>95736.317768867593</v>
          </cell>
          <cell r="H36">
            <v>-2027584.9487601528</v>
          </cell>
          <cell r="I36">
            <v>-1519280.820756875</v>
          </cell>
          <cell r="J36">
            <v>-853962.85268431902</v>
          </cell>
          <cell r="K36">
            <v>466653.06091461331</v>
          </cell>
          <cell r="L36">
            <v>105351.85764138354</v>
          </cell>
          <cell r="M36">
            <v>-1123394.739901477</v>
          </cell>
          <cell r="N36">
            <v>67514.546885222662</v>
          </cell>
          <cell r="O36">
            <v>-762505.78864237934</v>
          </cell>
          <cell r="P36">
            <v>-379436.58076016931</v>
          </cell>
          <cell r="Q36">
            <v>-841869.0772317166</v>
          </cell>
          <cell r="R36">
            <v>113306.87493961607</v>
          </cell>
          <cell r="S36">
            <v>-520899.58937887987</v>
          </cell>
          <cell r="T36">
            <v>-32012.261753321392</v>
          </cell>
          <cell r="U36">
            <v>675376.04782760469</v>
          </cell>
          <cell r="V36">
            <v>460047.74937819154</v>
          </cell>
          <cell r="W36">
            <v>189541.13622825756</v>
          </cell>
          <cell r="Z36">
            <v>-5887419.0682855174</v>
          </cell>
          <cell r="AA36">
            <v>-2144.0889999999927</v>
          </cell>
          <cell r="AB36">
            <v>-2784.9279999999999</v>
          </cell>
          <cell r="AC36">
            <v>105941.01500000001</v>
          </cell>
          <cell r="AD36">
            <v>251031.02299999999</v>
          </cell>
          <cell r="AH36">
            <v>352043.02100000007</v>
          </cell>
          <cell r="AI36">
            <v>-5535376.0472855158</v>
          </cell>
          <cell r="AJ36">
            <v>132863.14722410013</v>
          </cell>
          <cell r="AK36">
            <v>3020.4717913206841</v>
          </cell>
          <cell r="AL36">
            <v>-1471355.9087599986</v>
          </cell>
          <cell r="AN36">
            <v>-1335472.2897445764</v>
          </cell>
          <cell r="AO36">
            <v>-117768.07600001548</v>
          </cell>
          <cell r="AP36">
            <v>0</v>
          </cell>
          <cell r="AS36">
            <v>-117768.07600001548</v>
          </cell>
          <cell r="AT36">
            <v>50713.297999999988</v>
          </cell>
          <cell r="AU36">
            <v>16508.173000000003</v>
          </cell>
          <cell r="AV36">
            <v>746275.30100000009</v>
          </cell>
          <cell r="BA36">
            <v>813496.772</v>
          </cell>
          <cell r="BB36">
            <v>0</v>
          </cell>
          <cell r="BC36">
            <v>-143736.38900000002</v>
          </cell>
          <cell r="BD36">
            <v>1257455.1000000001</v>
          </cell>
          <cell r="BE36">
            <v>-1684383.1099999999</v>
          </cell>
          <cell r="BF36">
            <v>-315642.04499999998</v>
          </cell>
          <cell r="BG36">
            <v>-759343.18891000003</v>
          </cell>
          <cell r="BH36">
            <v>54866.271999999997</v>
          </cell>
          <cell r="BJ36">
            <v>-1590783.36091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H38">
            <v>0</v>
          </cell>
          <cell r="AI38">
            <v>0</v>
          </cell>
          <cell r="AJ38">
            <v>-109094</v>
          </cell>
          <cell r="AK38">
            <v>-113050</v>
          </cell>
          <cell r="AL38">
            <v>-134132</v>
          </cell>
          <cell r="AN38">
            <v>-356276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J38">
            <v>0</v>
          </cell>
        </row>
        <row r="39">
          <cell r="F39">
            <v>-7635406.4529999997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H39">
            <v>0</v>
          </cell>
          <cell r="AI39">
            <v>0</v>
          </cell>
          <cell r="AJ39">
            <v>-3164320.4530000002</v>
          </cell>
          <cell r="AK39">
            <v>-1815848</v>
          </cell>
          <cell r="AL39">
            <v>-2655238</v>
          </cell>
          <cell r="AN39">
            <v>-7635406.4529999997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</row>
        <row r="40">
          <cell r="F40">
            <v>-7635406.4529999997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459086.90100000001</v>
          </cell>
          <cell r="L40">
            <v>-30776.615999999995</v>
          </cell>
          <cell r="M40">
            <v>-6590.253999999999</v>
          </cell>
          <cell r="N40">
            <v>-6838.9580000000005</v>
          </cell>
          <cell r="O40">
            <v>0</v>
          </cell>
          <cell r="P40">
            <v>42397.921000000002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Z40">
            <v>457278.99400000006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H40">
            <v>0</v>
          </cell>
          <cell r="AI40">
            <v>457278.99400000006</v>
          </cell>
          <cell r="AJ40">
            <v>-2966343.1850000001</v>
          </cell>
          <cell r="AK40">
            <v>-1789663.3510000003</v>
          </cell>
          <cell r="AL40">
            <v>-3336678.9109999994</v>
          </cell>
          <cell r="AN40">
            <v>-8092685.4469999997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-459086.90100000001</v>
          </cell>
          <cell r="L41">
            <v>30776.615999999995</v>
          </cell>
          <cell r="M41">
            <v>6590.253999999999</v>
          </cell>
          <cell r="N41">
            <v>6838.9580000000005</v>
          </cell>
          <cell r="O41">
            <v>0</v>
          </cell>
          <cell r="P41">
            <v>-42397.921000000002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Z41">
            <v>-457278.99400000006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-457278.99400000006</v>
          </cell>
          <cell r="AJ41">
            <v>-197977.26800000016</v>
          </cell>
          <cell r="AK41">
            <v>-26184.648999999743</v>
          </cell>
          <cell r="AL41">
            <v>681440.91099999938</v>
          </cell>
          <cell r="AN41">
            <v>457278.99399999995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-459086.90100000001</v>
          </cell>
          <cell r="L43">
            <v>30776.615999999995</v>
          </cell>
          <cell r="M43">
            <v>6590.253999999999</v>
          </cell>
          <cell r="N43">
            <v>6838.9580000000005</v>
          </cell>
          <cell r="O43">
            <v>0</v>
          </cell>
          <cell r="P43">
            <v>-42397.921000000002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Z43">
            <v>-457278.99400000006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-457278.99400000006</v>
          </cell>
          <cell r="AJ43">
            <v>-197977.26800000016</v>
          </cell>
          <cell r="AK43">
            <v>-26184.648999999743</v>
          </cell>
          <cell r="AL43">
            <v>681440.91099999938</v>
          </cell>
          <cell r="AN43">
            <v>457278.99399999995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384412</v>
          </cell>
          <cell r="H45">
            <v>335327.5</v>
          </cell>
          <cell r="I45">
            <v>156926</v>
          </cell>
          <cell r="J45">
            <v>125048.88</v>
          </cell>
          <cell r="K45">
            <v>240083</v>
          </cell>
          <cell r="L45">
            <v>212594</v>
          </cell>
          <cell r="M45">
            <v>97066</v>
          </cell>
          <cell r="N45">
            <v>250340.5</v>
          </cell>
          <cell r="O45">
            <v>84262</v>
          </cell>
          <cell r="P45">
            <v>116184</v>
          </cell>
          <cell r="Q45">
            <v>109214.5</v>
          </cell>
          <cell r="R45">
            <v>135653.5</v>
          </cell>
          <cell r="S45">
            <v>251622</v>
          </cell>
          <cell r="T45">
            <v>34659.5</v>
          </cell>
          <cell r="U45">
            <v>55757</v>
          </cell>
          <cell r="V45">
            <v>154488.5</v>
          </cell>
          <cell r="W45">
            <v>62708.5</v>
          </cell>
          <cell r="Z45">
            <v>2806347.38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2806347.38</v>
          </cell>
          <cell r="AJ45">
            <v>169254</v>
          </cell>
          <cell r="AK45">
            <v>181498</v>
          </cell>
          <cell r="AL45">
            <v>79906</v>
          </cell>
          <cell r="AN45">
            <v>430658</v>
          </cell>
          <cell r="AO45">
            <v>108225.34600000001</v>
          </cell>
          <cell r="AP45">
            <v>0</v>
          </cell>
          <cell r="AS45">
            <v>108225.34600000001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386254872.57599998</v>
          </cell>
          <cell r="G46">
            <v>37265994.529999994</v>
          </cell>
          <cell r="H46">
            <v>32602900.344000004</v>
          </cell>
          <cell r="I46">
            <v>14557317.443</v>
          </cell>
          <cell r="J46">
            <v>11979622.609000001</v>
          </cell>
          <cell r="K46">
            <v>25935449.797000002</v>
          </cell>
          <cell r="L46">
            <v>21078774.517999999</v>
          </cell>
          <cell r="M46">
            <v>8780168.9000000004</v>
          </cell>
          <cell r="N46">
            <v>24889744.350000001</v>
          </cell>
          <cell r="O46">
            <v>7774078.0650000004</v>
          </cell>
          <cell r="P46">
            <v>11067551.180000002</v>
          </cell>
          <cell r="Q46">
            <v>9623638.4550000001</v>
          </cell>
          <cell r="R46">
            <v>14168404.607999999</v>
          </cell>
          <cell r="S46">
            <v>24500755.844999999</v>
          </cell>
          <cell r="T46">
            <v>3846776.3990000002</v>
          </cell>
          <cell r="U46">
            <v>6145588.2359999986</v>
          </cell>
          <cell r="V46">
            <v>15115211.289999999</v>
          </cell>
          <cell r="W46">
            <v>7773938.2280000011</v>
          </cell>
          <cell r="Z46">
            <v>277105914.79699999</v>
          </cell>
          <cell r="AA46">
            <v>125000</v>
          </cell>
          <cell r="AB46">
            <v>0</v>
          </cell>
          <cell r="AC46">
            <v>150000</v>
          </cell>
          <cell r="AD46">
            <v>362580</v>
          </cell>
          <cell r="AH46">
            <v>637580</v>
          </cell>
          <cell r="AI46">
            <v>277743494.79699999</v>
          </cell>
          <cell r="AJ46">
            <v>4764259.5</v>
          </cell>
          <cell r="AK46">
            <v>2188638</v>
          </cell>
          <cell r="AL46">
            <v>1471979</v>
          </cell>
          <cell r="AN46">
            <v>8424876.5</v>
          </cell>
          <cell r="AO46">
            <v>99181146.127999976</v>
          </cell>
          <cell r="AP46">
            <v>0</v>
          </cell>
          <cell r="AS46">
            <v>99181146.127999976</v>
          </cell>
          <cell r="AT46">
            <v>68354.799999999988</v>
          </cell>
          <cell r="AU46">
            <v>70560</v>
          </cell>
          <cell r="AV46">
            <v>746275.30100000009</v>
          </cell>
          <cell r="BA46">
            <v>885190.10100000002</v>
          </cell>
          <cell r="BB46">
            <v>0</v>
          </cell>
          <cell r="BC46">
            <v>20165.049999999996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20165.049999999996</v>
          </cell>
        </row>
        <row r="47">
          <cell r="F47">
            <v>361885512.74193996</v>
          </cell>
          <cell r="G47">
            <v>33831538.395000003</v>
          </cell>
          <cell r="H47">
            <v>31614166.91798</v>
          </cell>
          <cell r="I47">
            <v>14431571.313000001</v>
          </cell>
          <cell r="J47">
            <v>11564566.160999998</v>
          </cell>
          <cell r="K47">
            <v>23416706.828999996</v>
          </cell>
          <cell r="L47">
            <v>18820309.039000001</v>
          </cell>
          <cell r="M47">
            <v>8849577.523</v>
          </cell>
          <cell r="N47">
            <v>22479955.761</v>
          </cell>
          <cell r="O47">
            <v>7621744.4119999995</v>
          </cell>
          <cell r="P47">
            <v>10356401.151000001</v>
          </cell>
          <cell r="Q47">
            <v>9413531.9710000008</v>
          </cell>
          <cell r="R47">
            <v>12737495.206</v>
          </cell>
          <cell r="S47">
            <v>22791600.518999998</v>
          </cell>
          <cell r="T47">
            <v>3468714.3450000002</v>
          </cell>
          <cell r="U47">
            <v>4910784.6210000003</v>
          </cell>
          <cell r="V47">
            <v>13285629.064999999</v>
          </cell>
          <cell r="W47">
            <v>6864565.5310000014</v>
          </cell>
          <cell r="Z47">
            <v>256458858.75997999</v>
          </cell>
          <cell r="AA47">
            <v>22845.426999999996</v>
          </cell>
          <cell r="AB47">
            <v>0</v>
          </cell>
          <cell r="AC47">
            <v>44058.984999999993</v>
          </cell>
          <cell r="AD47">
            <v>111548.97700000001</v>
          </cell>
          <cell r="AH47">
            <v>178453.389</v>
          </cell>
          <cell r="AI47">
            <v>256637312.14897999</v>
          </cell>
          <cell r="AJ47">
            <v>4540582.9769900013</v>
          </cell>
          <cell r="AK47">
            <v>2067914.7379599996</v>
          </cell>
          <cell r="AL47">
            <v>2109565.9360099994</v>
          </cell>
          <cell r="AN47">
            <v>8718063.6509600002</v>
          </cell>
          <cell r="AO47">
            <v>97467847.164999992</v>
          </cell>
          <cell r="AP47">
            <v>0</v>
          </cell>
          <cell r="AS47">
            <v>97467847.164999992</v>
          </cell>
          <cell r="AT47">
            <v>17641.502</v>
          </cell>
          <cell r="AU47">
            <v>54051.826999999997</v>
          </cell>
          <cell r="AV47">
            <v>0</v>
          </cell>
          <cell r="BA47">
            <v>71693.328999999998</v>
          </cell>
          <cell r="BB47">
            <v>0</v>
          </cell>
          <cell r="BC47">
            <v>0</v>
          </cell>
          <cell r="BD47">
            <v>-1257455.1000000001</v>
          </cell>
          <cell r="BE47">
            <v>0</v>
          </cell>
          <cell r="BF47">
            <v>112.94</v>
          </cell>
          <cell r="BG47">
            <v>302804.88</v>
          </cell>
          <cell r="BH47">
            <v>-54866.271999999997</v>
          </cell>
          <cell r="BJ47">
            <v>-1009403.5520000001</v>
          </cell>
        </row>
        <row r="48">
          <cell r="F48">
            <v>24369359.834060013</v>
          </cell>
          <cell r="G48">
            <v>3434456.1349999905</v>
          </cell>
          <cell r="H48">
            <v>988733.42602000386</v>
          </cell>
          <cell r="I48">
            <v>125746.12999999896</v>
          </cell>
          <cell r="J48">
            <v>415056.44800000265</v>
          </cell>
          <cell r="K48">
            <v>2518742.9680000059</v>
          </cell>
          <cell r="L48">
            <v>2258465.4789999984</v>
          </cell>
          <cell r="M48">
            <v>-69408.622999999672</v>
          </cell>
          <cell r="N48">
            <v>2409788.5890000015</v>
          </cell>
          <cell r="O48">
            <v>152333.65300000086</v>
          </cell>
          <cell r="P48">
            <v>711150.02900000103</v>
          </cell>
          <cell r="Q48">
            <v>210106.48399999924</v>
          </cell>
          <cell r="R48">
            <v>1430909.4019999988</v>
          </cell>
          <cell r="S48">
            <v>1709155.3260000013</v>
          </cell>
          <cell r="T48">
            <v>378062.054</v>
          </cell>
          <cell r="U48">
            <v>1234803.6149999984</v>
          </cell>
          <cell r="V48">
            <v>1829582.2249999996</v>
          </cell>
          <cell r="W48">
            <v>909372.69699999969</v>
          </cell>
          <cell r="Z48">
            <v>20647056.037019998</v>
          </cell>
          <cell r="AA48">
            <v>102154.573</v>
          </cell>
          <cell r="AB48">
            <v>0</v>
          </cell>
          <cell r="AC48">
            <v>105941.01500000001</v>
          </cell>
          <cell r="AD48">
            <v>251031.02299999999</v>
          </cell>
          <cell r="AH48">
            <v>459126.61100000003</v>
          </cell>
          <cell r="AI48">
            <v>21106182.648019999</v>
          </cell>
          <cell r="AJ48">
            <v>223676.52300999872</v>
          </cell>
          <cell r="AK48">
            <v>120723.26204000041</v>
          </cell>
          <cell r="AL48">
            <v>-637586.93600999936</v>
          </cell>
          <cell r="AN48">
            <v>-293187.15096000023</v>
          </cell>
          <cell r="AO48">
            <v>1713298.9629999846</v>
          </cell>
          <cell r="AP48">
            <v>0</v>
          </cell>
          <cell r="AS48">
            <v>1713298.9629999846</v>
          </cell>
          <cell r="AT48">
            <v>50713.297999999988</v>
          </cell>
          <cell r="AU48">
            <v>16508.173000000003</v>
          </cell>
          <cell r="AV48">
            <v>746275.30100000009</v>
          </cell>
          <cell r="BA48">
            <v>813496.772</v>
          </cell>
          <cell r="BB48">
            <v>0</v>
          </cell>
          <cell r="BC48">
            <v>20165.049999999996</v>
          </cell>
          <cell r="BD48">
            <v>1257455.1000000001</v>
          </cell>
          <cell r="BE48">
            <v>0</v>
          </cell>
          <cell r="BF48">
            <v>-112.94</v>
          </cell>
          <cell r="BG48">
            <v>-302804.88</v>
          </cell>
          <cell r="BH48">
            <v>54866.271999999997</v>
          </cell>
          <cell r="BJ48">
            <v>1029568.6020000002</v>
          </cell>
        </row>
        <row r="49">
          <cell r="F49">
            <v>32135262.836000115</v>
          </cell>
          <cell r="G49">
            <v>3338719.8172311229</v>
          </cell>
          <cell r="H49">
            <v>3016318.3747801566</v>
          </cell>
          <cell r="I49">
            <v>1645026.9507568739</v>
          </cell>
          <cell r="J49">
            <v>1269019.3006843217</v>
          </cell>
          <cell r="K49">
            <v>2511176.8080853932</v>
          </cell>
          <cell r="L49">
            <v>2122337.0053586145</v>
          </cell>
          <cell r="M49">
            <v>1047395.8629014768</v>
          </cell>
          <cell r="N49">
            <v>2335435.0841147783</v>
          </cell>
          <cell r="O49">
            <v>914839.4416423802</v>
          </cell>
          <cell r="P49">
            <v>1132984.5307601704</v>
          </cell>
          <cell r="Q49">
            <v>1051975.5612317158</v>
          </cell>
          <cell r="R49">
            <v>1317602.5270603828</v>
          </cell>
          <cell r="S49">
            <v>2230054.9153788812</v>
          </cell>
          <cell r="T49">
            <v>410074.3157533214</v>
          </cell>
          <cell r="U49">
            <v>559427.56717239367</v>
          </cell>
          <cell r="V49">
            <v>1369534.4756218081</v>
          </cell>
          <cell r="W49">
            <v>719831.56077174214</v>
          </cell>
          <cell r="Z49">
            <v>26991754.099305533</v>
          </cell>
          <cell r="AA49">
            <v>104298.662</v>
          </cell>
          <cell r="AB49">
            <v>2784.9279999999999</v>
          </cell>
          <cell r="AC49">
            <v>0</v>
          </cell>
          <cell r="AD49">
            <v>0</v>
          </cell>
          <cell r="AH49">
            <v>107083.59</v>
          </cell>
          <cell r="AI49">
            <v>27098837.689305533</v>
          </cell>
          <cell r="AJ49">
            <v>288790.64378589968</v>
          </cell>
          <cell r="AK49">
            <v>143887.43924867947</v>
          </cell>
          <cell r="AL49">
            <v>152328.06174999996</v>
          </cell>
          <cell r="AN49">
            <v>585006.14478457917</v>
          </cell>
          <cell r="AO49">
            <v>1831067.0390000001</v>
          </cell>
          <cell r="AP49">
            <v>0</v>
          </cell>
          <cell r="AS49">
            <v>1831067.0390000001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163901.43900000001</v>
          </cell>
          <cell r="BD49">
            <v>0</v>
          </cell>
          <cell r="BE49">
            <v>1684383.1099999999</v>
          </cell>
          <cell r="BF49">
            <v>315529.10499999998</v>
          </cell>
          <cell r="BG49">
            <v>456538.30891000002</v>
          </cell>
          <cell r="BH49">
            <v>0</v>
          </cell>
          <cell r="BJ49">
            <v>2620351.9629100002</v>
          </cell>
        </row>
        <row r="50">
          <cell r="F50">
            <v>-7765903.0019401014</v>
          </cell>
          <cell r="G50">
            <v>95736.317768867593</v>
          </cell>
          <cell r="H50">
            <v>-2027584.9487601528</v>
          </cell>
          <cell r="I50">
            <v>-1519280.820756875</v>
          </cell>
          <cell r="J50">
            <v>-853962.85268431902</v>
          </cell>
          <cell r="K50">
            <v>7566.1599146127701</v>
          </cell>
          <cell r="L50">
            <v>136128.47364138393</v>
          </cell>
          <cell r="M50">
            <v>-1116804.4859014763</v>
          </cell>
          <cell r="N50">
            <v>74353.504885223228</v>
          </cell>
          <cell r="O50">
            <v>-762505.78864237934</v>
          </cell>
          <cell r="P50">
            <v>-421834.5017601694</v>
          </cell>
          <cell r="Q50">
            <v>-841869.0772317166</v>
          </cell>
          <cell r="R50">
            <v>113306.87493961607</v>
          </cell>
          <cell r="S50">
            <v>-520899.58937887987</v>
          </cell>
          <cell r="T50">
            <v>-32012.261753321392</v>
          </cell>
          <cell r="U50">
            <v>675376.04782760469</v>
          </cell>
          <cell r="V50">
            <v>460047.74937819154</v>
          </cell>
          <cell r="W50">
            <v>189541.13622825756</v>
          </cell>
          <cell r="Z50">
            <v>-6344698.062285535</v>
          </cell>
          <cell r="AA50">
            <v>-2144.0889999999927</v>
          </cell>
          <cell r="AB50">
            <v>-2784.9279999999999</v>
          </cell>
          <cell r="AC50">
            <v>105941.01500000001</v>
          </cell>
          <cell r="AD50">
            <v>251031.02299999999</v>
          </cell>
          <cell r="AH50">
            <v>352043.02100000007</v>
          </cell>
          <cell r="AI50">
            <v>-5992655.0412855335</v>
          </cell>
          <cell r="AJ50">
            <v>-65114.120775900956</v>
          </cell>
          <cell r="AK50">
            <v>-23164.177208679059</v>
          </cell>
          <cell r="AL50">
            <v>-789914.99775999936</v>
          </cell>
          <cell r="AN50">
            <v>-878193.2957445794</v>
          </cell>
          <cell r="AO50">
            <v>-117768.07600001548</v>
          </cell>
          <cell r="AP50">
            <v>0</v>
          </cell>
          <cell r="AS50">
            <v>-117768.07600001548</v>
          </cell>
          <cell r="AT50">
            <v>50713.297999999988</v>
          </cell>
          <cell r="AU50">
            <v>16508.173000000003</v>
          </cell>
          <cell r="AV50">
            <v>746275.30100000009</v>
          </cell>
          <cell r="BA50">
            <v>813496.772</v>
          </cell>
          <cell r="BB50">
            <v>0</v>
          </cell>
          <cell r="BC50">
            <v>-143736.38900000002</v>
          </cell>
          <cell r="BD50">
            <v>1257455.1000000001</v>
          </cell>
          <cell r="BE50">
            <v>-1684383.1099999999</v>
          </cell>
          <cell r="BF50">
            <v>-315642.04499999998</v>
          </cell>
          <cell r="BG50">
            <v>-759343.18891000003</v>
          </cell>
          <cell r="BH50">
            <v>54866.271999999997</v>
          </cell>
          <cell r="BJ50">
            <v>-1590783.36091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G6" t="str">
            <v>안양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34670</v>
          </cell>
          <cell r="H7">
            <v>30362</v>
          </cell>
          <cell r="I7">
            <v>16303</v>
          </cell>
          <cell r="J7">
            <v>13418.5</v>
          </cell>
          <cell r="K7">
            <v>17339</v>
          </cell>
          <cell r="L7">
            <v>24067</v>
          </cell>
          <cell r="M7">
            <v>12184</v>
          </cell>
          <cell r="N7">
            <v>22034</v>
          </cell>
          <cell r="O7">
            <v>10174</v>
          </cell>
          <cell r="P7">
            <v>12315</v>
          </cell>
          <cell r="Q7">
            <v>18708</v>
          </cell>
          <cell r="R7">
            <v>12451</v>
          </cell>
          <cell r="S7">
            <v>22732</v>
          </cell>
          <cell r="T7">
            <v>4010</v>
          </cell>
          <cell r="U7">
            <v>5608</v>
          </cell>
          <cell r="V7">
            <v>10326</v>
          </cell>
          <cell r="W7">
            <v>5587.5</v>
          </cell>
          <cell r="X7"/>
          <cell r="Y7"/>
          <cell r="Z7">
            <v>272289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272289</v>
          </cell>
          <cell r="AJ7">
            <v>23035</v>
          </cell>
          <cell r="AK7">
            <v>1000</v>
          </cell>
          <cell r="AL7">
            <v>35645</v>
          </cell>
          <cell r="AM7"/>
          <cell r="AN7">
            <v>59680</v>
          </cell>
          <cell r="AO7">
            <v>8003.0569999999998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36064336.910999998</v>
          </cell>
          <cell r="G8">
            <v>3342260.1409999998</v>
          </cell>
          <cell r="H8">
            <v>2969394.392</v>
          </cell>
          <cell r="I8">
            <v>1513063.34</v>
          </cell>
          <cell r="J8">
            <v>1247616.1459999999</v>
          </cell>
          <cell r="K8">
            <v>1980469.4</v>
          </cell>
          <cell r="L8">
            <v>2361636</v>
          </cell>
          <cell r="M8">
            <v>1145962.0999999999</v>
          </cell>
          <cell r="N8">
            <v>2288994.5</v>
          </cell>
          <cell r="O8">
            <v>958230.2</v>
          </cell>
          <cell r="P8">
            <v>1261810.55</v>
          </cell>
          <cell r="Q8">
            <v>1801690.764</v>
          </cell>
          <cell r="R8">
            <v>1273389.1000000001</v>
          </cell>
          <cell r="S8">
            <v>2299482.3020000001</v>
          </cell>
          <cell r="T8">
            <v>460867</v>
          </cell>
          <cell r="U8">
            <v>597354</v>
          </cell>
          <cell r="V8">
            <v>1002051.928</v>
          </cell>
          <cell r="W8">
            <v>668437.152</v>
          </cell>
          <cell r="X8"/>
          <cell r="Y8"/>
          <cell r="Z8">
            <v>27172709.015000001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27263549.015000001</v>
          </cell>
          <cell r="AJ8">
            <v>638333</v>
          </cell>
          <cell r="AK8">
            <v>11500</v>
          </cell>
          <cell r="AL8">
            <v>630681.5</v>
          </cell>
          <cell r="AM8"/>
          <cell r="AN8">
            <v>1280514.5</v>
          </cell>
          <cell r="AO8">
            <v>7445901.6059999997</v>
          </cell>
          <cell r="AP8">
            <v>0</v>
          </cell>
          <cell r="AQ8"/>
          <cell r="AR8"/>
          <cell r="AS8">
            <v>7445901.6059999997</v>
          </cell>
          <cell r="AT8">
            <v>5512.5</v>
          </cell>
          <cell r="AU8">
            <v>5250</v>
          </cell>
          <cell r="AV8">
            <v>61929.440000000002</v>
          </cell>
          <cell r="AW8"/>
          <cell r="AX8"/>
          <cell r="AY8"/>
          <cell r="AZ8"/>
          <cell r="BA8">
            <v>72691.94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1679.85</v>
          </cell>
          <cell r="BK8"/>
          <cell r="BL8"/>
          <cell r="BM8"/>
          <cell r="BN8"/>
          <cell r="BO8"/>
        </row>
        <row r="9">
          <cell r="F9"/>
          <cell r="G9">
            <v>96402.08079030861</v>
          </cell>
          <cell r="H9">
            <v>97799.696726170863</v>
          </cell>
          <cell r="I9">
            <v>92808.890388272106</v>
          </cell>
          <cell r="J9">
            <v>92977.318329172398</v>
          </cell>
          <cell r="K9">
            <v>114220.50867985465</v>
          </cell>
          <cell r="L9">
            <v>98127.560560103055</v>
          </cell>
          <cell r="M9">
            <v>94054.670059093885</v>
          </cell>
          <cell r="N9">
            <v>103884.65553235907</v>
          </cell>
          <cell r="O9">
            <v>94184.214664831918</v>
          </cell>
          <cell r="P9">
            <v>102461.27080795777</v>
          </cell>
          <cell r="Q9">
            <v>96305.899294419505</v>
          </cell>
          <cell r="R9">
            <v>102272.03437474903</v>
          </cell>
          <cell r="S9">
            <v>101156.18080239311</v>
          </cell>
          <cell r="T9">
            <v>114929.42643391521</v>
          </cell>
          <cell r="U9">
            <v>106518.1883024251</v>
          </cell>
          <cell r="V9">
            <v>97041.635483246166</v>
          </cell>
          <cell r="W9">
            <v>119630.81020134229</v>
          </cell>
          <cell r="X9"/>
          <cell r="Y9"/>
          <cell r="Z9">
            <v>99793.634759391673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100127.25088049829</v>
          </cell>
          <cell r="AJ9">
            <v>27711.439114391145</v>
          </cell>
          <cell r="AK9">
            <v>11500</v>
          </cell>
          <cell r="AL9">
            <v>17693.407209987374</v>
          </cell>
          <cell r="AM9"/>
          <cell r="AN9"/>
          <cell r="AO9">
            <v>930382.17846005596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33746057.736829996</v>
          </cell>
          <cell r="G10">
            <v>3153826.3093499998</v>
          </cell>
          <cell r="H10">
            <v>2891540.5182899996</v>
          </cell>
          <cell r="I10">
            <v>1583684.13188</v>
          </cell>
          <cell r="J10">
            <v>1220923.5654200001</v>
          </cell>
          <cell r="K10">
            <v>1741054.5973199999</v>
          </cell>
          <cell r="L10">
            <v>2097180.5120700002</v>
          </cell>
          <cell r="M10">
            <v>1130198.0429799999</v>
          </cell>
          <cell r="N10">
            <v>2072592.7387699999</v>
          </cell>
          <cell r="O10">
            <v>934691.31764999998</v>
          </cell>
          <cell r="P10">
            <v>1101787.8125100001</v>
          </cell>
          <cell r="Q10">
            <v>1560083.01333</v>
          </cell>
          <cell r="R10">
            <v>1181457.81109</v>
          </cell>
          <cell r="S10">
            <v>2143811.4738599998</v>
          </cell>
          <cell r="T10">
            <v>398610.84314000001</v>
          </cell>
          <cell r="U10">
            <v>490374.17550000001</v>
          </cell>
          <cell r="V10">
            <v>921340.26247000007</v>
          </cell>
          <cell r="W10">
            <v>584561.98011</v>
          </cell>
          <cell r="X10"/>
          <cell r="Y10"/>
          <cell r="Z10">
            <v>25207719.10574</v>
          </cell>
          <cell r="AA10">
            <v>593.60500000000002</v>
          </cell>
          <cell r="AB10">
            <v>0</v>
          </cell>
          <cell r="AC10">
            <v>3234.752</v>
          </cell>
          <cell r="AD10">
            <v>5110.6809999999996</v>
          </cell>
          <cell r="AE10"/>
          <cell r="AF10"/>
          <cell r="AG10"/>
          <cell r="AH10">
            <v>8939.0380000000005</v>
          </cell>
          <cell r="AI10">
            <v>25216658.143739998</v>
          </cell>
          <cell r="AJ10">
            <v>583562.56908000004</v>
          </cell>
          <cell r="AK10">
            <v>130484.38006</v>
          </cell>
          <cell r="AL10">
            <v>828351.43394999998</v>
          </cell>
          <cell r="AM10"/>
          <cell r="AN10">
            <v>1542398.3830900001</v>
          </cell>
          <cell r="AO10">
            <v>7310057.0540000005</v>
          </cell>
          <cell r="AP10">
            <v>0</v>
          </cell>
          <cell r="AQ10"/>
          <cell r="AR10"/>
          <cell r="AS10">
            <v>7310057.0540000005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-300000</v>
          </cell>
          <cell r="BE10">
            <v>0</v>
          </cell>
          <cell r="BF10">
            <v>0</v>
          </cell>
          <cell r="BG10">
            <v>-23385.1</v>
          </cell>
          <cell r="BH10"/>
          <cell r="BI10"/>
          <cell r="BJ10">
            <v>-323385.09999999998</v>
          </cell>
          <cell r="BK10"/>
          <cell r="BL10"/>
          <cell r="BM10"/>
          <cell r="BN10"/>
          <cell r="BO10"/>
        </row>
        <row r="11">
          <cell r="F11"/>
          <cell r="G11">
            <v>90967.012095471582</v>
          </cell>
          <cell r="H11">
            <v>95235.508803438497</v>
          </cell>
          <cell r="I11">
            <v>97140.65704962278</v>
          </cell>
          <cell r="J11">
            <v>90988.081038864271</v>
          </cell>
          <cell r="K11">
            <v>100412.63033162235</v>
          </cell>
          <cell r="L11">
            <v>87139.257575518364</v>
          </cell>
          <cell r="M11">
            <v>92760.837408076157</v>
          </cell>
          <cell r="N11">
            <v>94063.390159299262</v>
          </cell>
          <cell r="O11">
            <v>91870.583610182817</v>
          </cell>
          <cell r="P11">
            <v>89467.13865286237</v>
          </cell>
          <cell r="Q11">
            <v>83391.223718729962</v>
          </cell>
          <cell r="R11">
            <v>94888.588152758821</v>
          </cell>
          <cell r="S11">
            <v>94308.088767376379</v>
          </cell>
          <cell r="T11">
            <v>99404.200284289269</v>
          </cell>
          <cell r="U11">
            <v>87441.900053495003</v>
          </cell>
          <cell r="V11">
            <v>89225.282052101509</v>
          </cell>
          <cell r="W11">
            <v>104619.5937557047</v>
          </cell>
          <cell r="X11"/>
          <cell r="Y11"/>
          <cell r="Z11">
            <v>92577.07474683148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92609.90397606953</v>
          </cell>
          <cell r="AJ11">
            <v>25333.734277403953</v>
          </cell>
          <cell r="AK11">
            <v>130484.38006000001</v>
          </cell>
          <cell r="AL11">
            <v>23238.923662505262</v>
          </cell>
          <cell r="AM11"/>
          <cell r="AN11"/>
          <cell r="AO11">
            <v>913408.09568143776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2318279.1741700023</v>
          </cell>
          <cell r="G12">
            <v>188433.83165000007</v>
          </cell>
          <cell r="H12">
            <v>77853.873710000422</v>
          </cell>
          <cell r="I12">
            <v>-70620.791879999917</v>
          </cell>
          <cell r="J12">
            <v>26692.580579999834</v>
          </cell>
          <cell r="K12">
            <v>239414.80267999996</v>
          </cell>
          <cell r="L12">
            <v>264455.48792999983</v>
          </cell>
          <cell r="M12">
            <v>15764.057019999949</v>
          </cell>
          <cell r="N12">
            <v>216401.76123000006</v>
          </cell>
          <cell r="O12">
            <v>23538.882349999971</v>
          </cell>
          <cell r="P12">
            <v>160022.73748999997</v>
          </cell>
          <cell r="Q12">
            <v>241607.75066999998</v>
          </cell>
          <cell r="R12">
            <v>91931.288910000119</v>
          </cell>
          <cell r="S12">
            <v>155670.82814000035</v>
          </cell>
          <cell r="T12">
            <v>62256.156859999988</v>
          </cell>
          <cell r="U12">
            <v>106979.82449999999</v>
          </cell>
          <cell r="V12">
            <v>80711.665529999882</v>
          </cell>
          <cell r="W12">
            <v>83875.171889999998</v>
          </cell>
          <cell r="X12"/>
          <cell r="Y12"/>
          <cell r="Z12">
            <v>1964989.9092600006</v>
          </cell>
          <cell r="AA12">
            <v>49406.394999999997</v>
          </cell>
          <cell r="AB12">
            <v>0</v>
          </cell>
          <cell r="AC12">
            <v>9265.2479999999996</v>
          </cell>
          <cell r="AD12">
            <v>23229.319</v>
          </cell>
          <cell r="AE12"/>
          <cell r="AF12"/>
          <cell r="AG12"/>
          <cell r="AH12">
            <v>81900.962</v>
          </cell>
          <cell r="AI12">
            <v>2046890.8712600023</v>
          </cell>
          <cell r="AJ12">
            <v>54770.430919999955</v>
          </cell>
          <cell r="AK12">
            <v>-118984.38006</v>
          </cell>
          <cell r="AL12">
            <v>-197669.93394999998</v>
          </cell>
          <cell r="AM12"/>
          <cell r="AN12">
            <v>-261883.88309000013</v>
          </cell>
          <cell r="AO12">
            <v>135844.55199999921</v>
          </cell>
          <cell r="AP12">
            <v>0</v>
          </cell>
          <cell r="AQ12"/>
          <cell r="AR12"/>
          <cell r="AS12">
            <v>135844.55199999921</v>
          </cell>
          <cell r="AT12">
            <v>5369.4960000000001</v>
          </cell>
          <cell r="AU12">
            <v>5063.7479999999996</v>
          </cell>
          <cell r="AV12">
            <v>61929.440000000002</v>
          </cell>
          <cell r="AW12"/>
          <cell r="AX12"/>
          <cell r="AY12"/>
          <cell r="AZ12"/>
          <cell r="BA12">
            <v>72362.684000000008</v>
          </cell>
          <cell r="BB12">
            <v>0</v>
          </cell>
          <cell r="BC12">
            <v>1679.85</v>
          </cell>
          <cell r="BD12">
            <v>300000</v>
          </cell>
          <cell r="BE12">
            <v>0</v>
          </cell>
          <cell r="BF12">
            <v>0</v>
          </cell>
          <cell r="BG12">
            <v>23385.1</v>
          </cell>
          <cell r="BH12"/>
          <cell r="BI12"/>
          <cell r="BJ12">
            <v>325064.94999999995</v>
          </cell>
          <cell r="BK12"/>
          <cell r="BL12"/>
          <cell r="BM12"/>
          <cell r="BN12"/>
          <cell r="BO12"/>
        </row>
        <row r="13">
          <cell r="F13">
            <v>1248409.3910000001</v>
          </cell>
          <cell r="G13">
            <v>107034.55099999999</v>
          </cell>
          <cell r="H13">
            <v>91159.116999999998</v>
          </cell>
          <cell r="I13">
            <v>71420.666999999987</v>
          </cell>
          <cell r="J13">
            <v>54944.850999999995</v>
          </cell>
          <cell r="K13">
            <v>70383.842999999993</v>
          </cell>
          <cell r="L13">
            <v>77478.274000000005</v>
          </cell>
          <cell r="M13">
            <v>58708.627999999997</v>
          </cell>
          <cell r="N13">
            <v>70201.785999999993</v>
          </cell>
          <cell r="O13">
            <v>40589.192999999999</v>
          </cell>
          <cell r="P13">
            <v>55451.78</v>
          </cell>
          <cell r="Q13">
            <v>57775.728000000003</v>
          </cell>
          <cell r="R13">
            <v>53082.938000000002</v>
          </cell>
          <cell r="S13">
            <v>72902.850000000006</v>
          </cell>
          <cell r="T13">
            <v>17399.862000000001</v>
          </cell>
          <cell r="U13">
            <v>15957.017</v>
          </cell>
          <cell r="V13">
            <v>48805.993000000002</v>
          </cell>
          <cell r="W13">
            <v>21152.028000000002</v>
          </cell>
          <cell r="X13"/>
          <cell r="Y13"/>
          <cell r="Z13">
            <v>984449.10600000003</v>
          </cell>
          <cell r="AA13">
            <v>0</v>
          </cell>
          <cell r="AB13">
            <v>176.358</v>
          </cell>
          <cell r="AC13">
            <v>0</v>
          </cell>
          <cell r="AD13">
            <v>0</v>
          </cell>
          <cell r="AE13"/>
          <cell r="AF13"/>
          <cell r="AG13"/>
          <cell r="AH13">
            <v>176.358</v>
          </cell>
          <cell r="AI13">
            <v>984625.46400000004</v>
          </cell>
          <cell r="AJ13">
            <v>40</v>
          </cell>
          <cell r="AK13">
            <v>19261.812000000002</v>
          </cell>
          <cell r="AL13">
            <v>0</v>
          </cell>
          <cell r="AM13"/>
          <cell r="AN13">
            <v>19301.812000000002</v>
          </cell>
          <cell r="AO13">
            <v>231522.68900000001</v>
          </cell>
          <cell r="AP13">
            <v>0</v>
          </cell>
          <cell r="AQ13"/>
          <cell r="AR13"/>
          <cell r="AS13">
            <v>231522.68900000001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12959.425999999999</v>
          </cell>
          <cell r="BG13">
            <v>0</v>
          </cell>
          <cell r="BH13"/>
          <cell r="BI13"/>
          <cell r="BJ13">
            <v>12959.425999999999</v>
          </cell>
          <cell r="BK13"/>
          <cell r="BL13"/>
          <cell r="BM13"/>
          <cell r="BN13"/>
          <cell r="BO13"/>
        </row>
        <row r="14">
          <cell r="F14">
            <v>900088.86899999995</v>
          </cell>
          <cell r="G14">
            <v>79399.953999999998</v>
          </cell>
          <cell r="H14">
            <v>63880.913</v>
          </cell>
          <cell r="I14">
            <v>56859.022999999994</v>
          </cell>
          <cell r="J14">
            <v>42810.214999999997</v>
          </cell>
          <cell r="K14">
            <v>53647.096999999994</v>
          </cell>
          <cell r="L14">
            <v>58006.402000000002</v>
          </cell>
          <cell r="M14">
            <v>44520.160999999993</v>
          </cell>
          <cell r="N14">
            <v>56216.896999999997</v>
          </cell>
          <cell r="O14">
            <v>33381.864999999998</v>
          </cell>
          <cell r="P14">
            <v>44367.968999999997</v>
          </cell>
          <cell r="Q14">
            <v>44433.042000000001</v>
          </cell>
          <cell r="R14">
            <v>42741.368000000002</v>
          </cell>
          <cell r="S14">
            <v>52285.743999999999</v>
          </cell>
          <cell r="T14">
            <v>12182.313</v>
          </cell>
          <cell r="U14">
            <v>12299.984</v>
          </cell>
          <cell r="V14">
            <v>36212.095000000001</v>
          </cell>
          <cell r="W14">
            <v>17283.548000000003</v>
          </cell>
          <cell r="X14"/>
          <cell r="Y14"/>
          <cell r="Z14">
            <v>750528.59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750528.59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149560.27900000001</v>
          </cell>
          <cell r="AP14">
            <v>0</v>
          </cell>
          <cell r="AQ14"/>
          <cell r="AR14"/>
          <cell r="AS14">
            <v>149560.27900000001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348320.52200000006</v>
          </cell>
          <cell r="G15">
            <v>27634.596999999998</v>
          </cell>
          <cell r="H15">
            <v>27278.204000000002</v>
          </cell>
          <cell r="I15">
            <v>14561.644</v>
          </cell>
          <cell r="J15">
            <v>12134.635999999999</v>
          </cell>
          <cell r="K15">
            <v>16736.745999999999</v>
          </cell>
          <cell r="L15">
            <v>19471.871999999996</v>
          </cell>
          <cell r="M15">
            <v>14188.467000000001</v>
          </cell>
          <cell r="N15">
            <v>13984.888999999997</v>
          </cell>
          <cell r="O15">
            <v>7207.3279999999995</v>
          </cell>
          <cell r="P15">
            <v>11083.811</v>
          </cell>
          <cell r="Q15">
            <v>13342.686000000003</v>
          </cell>
          <cell r="R15">
            <v>10341.57</v>
          </cell>
          <cell r="S15">
            <v>20617.106000000003</v>
          </cell>
          <cell r="T15">
            <v>5217.549</v>
          </cell>
          <cell r="U15">
            <v>3657.0330000000004</v>
          </cell>
          <cell r="V15">
            <v>12593.898000000001</v>
          </cell>
          <cell r="W15">
            <v>3868.4799999999996</v>
          </cell>
          <cell r="X15"/>
          <cell r="Y15"/>
          <cell r="Z15">
            <v>233920.51600000003</v>
          </cell>
          <cell r="AA15">
            <v>0</v>
          </cell>
          <cell r="AB15">
            <v>176.358</v>
          </cell>
          <cell r="AC15">
            <v>0</v>
          </cell>
          <cell r="AD15">
            <v>0</v>
          </cell>
          <cell r="AE15"/>
          <cell r="AF15"/>
          <cell r="AG15"/>
          <cell r="AH15">
            <v>176.358</v>
          </cell>
          <cell r="AI15">
            <v>234096.87400000004</v>
          </cell>
          <cell r="AJ15">
            <v>40</v>
          </cell>
          <cell r="AK15">
            <v>19261.812000000002</v>
          </cell>
          <cell r="AL15">
            <v>0</v>
          </cell>
          <cell r="AM15"/>
          <cell r="AN15">
            <v>19301.812000000002</v>
          </cell>
          <cell r="AO15">
            <v>81962.410000000018</v>
          </cell>
          <cell r="AP15">
            <v>0</v>
          </cell>
          <cell r="AQ15"/>
          <cell r="AR15"/>
          <cell r="AS15">
            <v>81962.410000000018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12959.425999999999</v>
          </cell>
          <cell r="BG15">
            <v>0</v>
          </cell>
          <cell r="BH15"/>
          <cell r="BI15"/>
          <cell r="BJ15">
            <v>12959.425999999999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1069869.7831700023</v>
          </cell>
          <cell r="G17">
            <v>81399.280650000073</v>
          </cell>
          <cell r="H17">
            <v>-13305.243289999577</v>
          </cell>
          <cell r="I17">
            <v>-142041.4588799999</v>
          </cell>
          <cell r="J17">
            <v>-28252.270420000161</v>
          </cell>
          <cell r="K17">
            <v>169030.95967999997</v>
          </cell>
          <cell r="L17">
            <v>186977.21392999982</v>
          </cell>
          <cell r="M17">
            <v>-42944.570980000048</v>
          </cell>
          <cell r="N17">
            <v>146199.97523000007</v>
          </cell>
          <cell r="O17">
            <v>-17050.310650000029</v>
          </cell>
          <cell r="P17">
            <v>104570.95748999997</v>
          </cell>
          <cell r="Q17">
            <v>183832.02266999998</v>
          </cell>
          <cell r="R17">
            <v>38848.350910000117</v>
          </cell>
          <cell r="S17">
            <v>82767.978140000341</v>
          </cell>
          <cell r="T17">
            <v>44856.294859999987</v>
          </cell>
          <cell r="U17">
            <v>91022.807499999995</v>
          </cell>
          <cell r="V17">
            <v>31905.67252999988</v>
          </cell>
          <cell r="W17">
            <v>62723.143889999992</v>
          </cell>
          <cell r="X17"/>
          <cell r="Y17"/>
          <cell r="Z17">
            <v>980540.80326000054</v>
          </cell>
          <cell r="AA17">
            <v>49406.394999999997</v>
          </cell>
          <cell r="AB17">
            <v>-176.358</v>
          </cell>
          <cell r="AC17">
            <v>9265.2479999999996</v>
          </cell>
          <cell r="AD17">
            <v>23229.319</v>
          </cell>
          <cell r="AE17"/>
          <cell r="AF17"/>
          <cell r="AG17"/>
          <cell r="AH17">
            <v>81724.604000000007</v>
          </cell>
          <cell r="AI17">
            <v>1062265.4072600021</v>
          </cell>
          <cell r="AJ17">
            <v>54730.430919999955</v>
          </cell>
          <cell r="AK17">
            <v>-138246.19206</v>
          </cell>
          <cell r="AL17">
            <v>-197669.93394999998</v>
          </cell>
          <cell r="AM17"/>
          <cell r="AN17">
            <v>-281185.69509000011</v>
          </cell>
          <cell r="AO17">
            <v>-95678.137000000803</v>
          </cell>
          <cell r="AP17">
            <v>0</v>
          </cell>
          <cell r="AQ17"/>
          <cell r="AR17"/>
          <cell r="AS17">
            <v>-95678.137000000803</v>
          </cell>
          <cell r="AT17">
            <v>5369.4960000000001</v>
          </cell>
          <cell r="AU17">
            <v>5063.7479999999996</v>
          </cell>
          <cell r="AV17">
            <v>61929.440000000002</v>
          </cell>
          <cell r="AW17"/>
          <cell r="AX17"/>
          <cell r="AY17"/>
          <cell r="AZ17"/>
          <cell r="BA17">
            <v>72362.684000000008</v>
          </cell>
          <cell r="BB17">
            <v>0</v>
          </cell>
          <cell r="BC17">
            <v>1679.85</v>
          </cell>
          <cell r="BD17">
            <v>300000</v>
          </cell>
          <cell r="BE17">
            <v>0</v>
          </cell>
          <cell r="BF17">
            <v>-12959.425999999999</v>
          </cell>
          <cell r="BG17">
            <v>23385.1</v>
          </cell>
          <cell r="BH17"/>
          <cell r="BI17"/>
          <cell r="BJ17">
            <v>312105.52399999998</v>
          </cell>
          <cell r="BK17"/>
          <cell r="BL17"/>
          <cell r="BM17"/>
          <cell r="BN17"/>
          <cell r="BO17"/>
        </row>
        <row r="18">
          <cell r="F18">
            <v>531746.80316999997</v>
          </cell>
          <cell r="G18">
            <v>29871.131649999999</v>
          </cell>
          <cell r="H18">
            <v>36235.976710000003</v>
          </cell>
          <cell r="I18">
            <v>18187.967120000001</v>
          </cell>
          <cell r="J18">
            <v>18041.279579999995</v>
          </cell>
          <cell r="K18">
            <v>76847.150680000021</v>
          </cell>
          <cell r="L18">
            <v>23884.89993</v>
          </cell>
          <cell r="M18">
            <v>15281.375019999999</v>
          </cell>
          <cell r="N18">
            <v>44918.158229999994</v>
          </cell>
          <cell r="O18">
            <v>11778.056349999999</v>
          </cell>
          <cell r="P18">
            <v>31812.600489999997</v>
          </cell>
          <cell r="Q18">
            <v>15792.041669999999</v>
          </cell>
          <cell r="R18">
            <v>14482.12491</v>
          </cell>
          <cell r="S18">
            <v>24298.737140000001</v>
          </cell>
          <cell r="T18">
            <v>5721.0178600000008</v>
          </cell>
          <cell r="U18">
            <v>10870.5535</v>
          </cell>
          <cell r="V18">
            <v>21252.345530000002</v>
          </cell>
          <cell r="W18">
            <v>13041.60089</v>
          </cell>
          <cell r="X18"/>
          <cell r="Y18"/>
          <cell r="Z18">
            <v>412317.01725999994</v>
          </cell>
          <cell r="AA18">
            <v>5302.277</v>
          </cell>
          <cell r="AB18">
            <v>353.65199999999999</v>
          </cell>
          <cell r="AC18">
            <v>0</v>
          </cell>
          <cell r="AD18">
            <v>0</v>
          </cell>
          <cell r="AE18"/>
          <cell r="AF18"/>
          <cell r="AG18"/>
          <cell r="AH18">
            <v>5655.9290000000001</v>
          </cell>
          <cell r="AI18">
            <v>417972.94625999988</v>
          </cell>
          <cell r="AJ18">
            <v>39038.823920000003</v>
          </cell>
          <cell r="AK18">
            <v>12881.44694</v>
          </cell>
          <cell r="AL18">
            <v>59881.445049999995</v>
          </cell>
          <cell r="AM18"/>
          <cell r="AN18">
            <v>111801.71591</v>
          </cell>
          <cell r="AO18">
            <v>5423.9359999999997</v>
          </cell>
          <cell r="AP18">
            <v>855.83299999999997</v>
          </cell>
          <cell r="AQ18"/>
          <cell r="AR18"/>
          <cell r="AS18">
            <v>6279.7689999999993</v>
          </cell>
          <cell r="AT18">
            <v>1312.9010000000001</v>
          </cell>
          <cell r="AU18">
            <v>-4103.3419999999996</v>
          </cell>
          <cell r="AV18">
            <v>0</v>
          </cell>
          <cell r="AW18"/>
          <cell r="AX18"/>
          <cell r="AY18"/>
          <cell r="AZ18"/>
          <cell r="BA18">
            <v>-2790.4409999999998</v>
          </cell>
          <cell r="BB18">
            <v>0</v>
          </cell>
          <cell r="BC18">
            <v>7752.652</v>
          </cell>
          <cell r="BD18">
            <v>0</v>
          </cell>
          <cell r="BE18">
            <v>0</v>
          </cell>
          <cell r="BF18">
            <v>-9269.8389999999999</v>
          </cell>
          <cell r="BG18">
            <v>0</v>
          </cell>
          <cell r="BH18"/>
          <cell r="BI18"/>
          <cell r="BJ18">
            <v>-1517.1869999999999</v>
          </cell>
          <cell r="BK18"/>
          <cell r="BL18"/>
          <cell r="BM18"/>
          <cell r="BN18"/>
          <cell r="BO18"/>
        </row>
        <row r="19">
          <cell r="F19">
            <v>505035.93016999995</v>
          </cell>
          <cell r="G19">
            <v>27543.500649999998</v>
          </cell>
          <cell r="H19">
            <v>34290.83771</v>
          </cell>
          <cell r="I19">
            <v>16885.509120000002</v>
          </cell>
          <cell r="J19">
            <v>16849.288579999997</v>
          </cell>
          <cell r="K19">
            <v>74971.080680000014</v>
          </cell>
          <cell r="L19">
            <v>22320.496930000001</v>
          </cell>
          <cell r="M19">
            <v>14087.77202</v>
          </cell>
          <cell r="N19">
            <v>43354.855229999994</v>
          </cell>
          <cell r="O19">
            <v>11028.021349999999</v>
          </cell>
          <cell r="P19">
            <v>30593.835489999998</v>
          </cell>
          <cell r="Q19">
            <v>14586.66167</v>
          </cell>
          <cell r="R19">
            <v>13379.973910000001</v>
          </cell>
          <cell r="S19">
            <v>22710.525140000002</v>
          </cell>
          <cell r="T19">
            <v>5350.6188600000005</v>
          </cell>
          <cell r="U19">
            <v>10427.684499999999</v>
          </cell>
          <cell r="V19">
            <v>20125.488530000002</v>
          </cell>
          <cell r="W19">
            <v>12216.22789</v>
          </cell>
          <cell r="X19"/>
          <cell r="Y19"/>
          <cell r="Z19">
            <v>390722.37825999991</v>
          </cell>
          <cell r="AA19">
            <v>5302.277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5302.277</v>
          </cell>
          <cell r="AI19">
            <v>396024.65525999991</v>
          </cell>
          <cell r="AJ19">
            <v>39038.823920000003</v>
          </cell>
          <cell r="AK19">
            <v>12881.44694</v>
          </cell>
          <cell r="AL19">
            <v>59881.445049999995</v>
          </cell>
          <cell r="AM19"/>
          <cell r="AN19">
            <v>111801.71591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1312.9010000000001</v>
          </cell>
          <cell r="AU19">
            <v>-4103.3419999999996</v>
          </cell>
          <cell r="AV19">
            <v>0</v>
          </cell>
          <cell r="AW19"/>
          <cell r="AX19"/>
          <cell r="AY19"/>
          <cell r="AZ19"/>
          <cell r="BA19">
            <v>-2790.4409999999998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26710.873</v>
          </cell>
          <cell r="G20">
            <v>2327.6309999999999</v>
          </cell>
          <cell r="H20">
            <v>1945.1389999999999</v>
          </cell>
          <cell r="I20">
            <v>1302.4580000000001</v>
          </cell>
          <cell r="J20">
            <v>1191.991</v>
          </cell>
          <cell r="K20">
            <v>1876.07</v>
          </cell>
          <cell r="L20">
            <v>1564.403</v>
          </cell>
          <cell r="M20">
            <v>1193.6030000000001</v>
          </cell>
          <cell r="N20">
            <v>1563.3030000000001</v>
          </cell>
          <cell r="O20">
            <v>750.03499999999997</v>
          </cell>
          <cell r="P20">
            <v>1218.7650000000001</v>
          </cell>
          <cell r="Q20">
            <v>1205.3800000000001</v>
          </cell>
          <cell r="R20">
            <v>1102.1510000000001</v>
          </cell>
          <cell r="S20">
            <v>1588.212</v>
          </cell>
          <cell r="T20">
            <v>370.399</v>
          </cell>
          <cell r="U20">
            <v>442.86900000000003</v>
          </cell>
          <cell r="V20">
            <v>1126.857</v>
          </cell>
          <cell r="W20">
            <v>825.37300000000005</v>
          </cell>
          <cell r="X20"/>
          <cell r="Y20"/>
          <cell r="Z20">
            <v>21594.638999999999</v>
          </cell>
          <cell r="AA20">
            <v>0</v>
          </cell>
          <cell r="AB20">
            <v>353.65199999999999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353.65199999999999</v>
          </cell>
          <cell r="AI20">
            <v>21948.290999999997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5423.9359999999997</v>
          </cell>
          <cell r="AP20">
            <v>855.83299999999997</v>
          </cell>
          <cell r="AQ20"/>
          <cell r="AR20"/>
          <cell r="AS20">
            <v>6279.7689999999993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7752.652</v>
          </cell>
          <cell r="BD20">
            <v>0</v>
          </cell>
          <cell r="BE20">
            <v>0</v>
          </cell>
          <cell r="BF20">
            <v>-9269.8389999999999</v>
          </cell>
          <cell r="BG20">
            <v>0</v>
          </cell>
          <cell r="BH20"/>
          <cell r="BI20"/>
          <cell r="BJ20">
            <v>-1517.1869999999999</v>
          </cell>
          <cell r="BK20"/>
          <cell r="BL20"/>
          <cell r="BM20"/>
          <cell r="BN20"/>
          <cell r="BO20"/>
        </row>
        <row r="21">
          <cell r="F21">
            <v>538122.98000000231</v>
          </cell>
          <cell r="G21">
            <v>51528.149000000078</v>
          </cell>
          <cell r="H21">
            <v>-49541.219999999579</v>
          </cell>
          <cell r="I21">
            <v>-160229.42599999992</v>
          </cell>
          <cell r="J21">
            <v>-46293.550000000156</v>
          </cell>
          <cell r="K21">
            <v>92183.80899999995</v>
          </cell>
          <cell r="L21">
            <v>163092.31399999984</v>
          </cell>
          <cell r="M21">
            <v>-58225.946000000047</v>
          </cell>
          <cell r="N21">
            <v>101281.81700000007</v>
          </cell>
          <cell r="O21">
            <v>-28828.367000000027</v>
          </cell>
          <cell r="P21">
            <v>72758.356999999975</v>
          </cell>
          <cell r="Q21">
            <v>168039.98099999997</v>
          </cell>
          <cell r="R21">
            <v>24366.226000000119</v>
          </cell>
          <cell r="S21">
            <v>58469.241000000344</v>
          </cell>
          <cell r="T21">
            <v>39135.276999999987</v>
          </cell>
          <cell r="U21">
            <v>80152.254000000001</v>
          </cell>
          <cell r="V21">
            <v>10653.326999999877</v>
          </cell>
          <cell r="W21">
            <v>49681.542999999991</v>
          </cell>
          <cell r="X21"/>
          <cell r="Y21"/>
          <cell r="Z21">
            <v>568223.78600000055</v>
          </cell>
          <cell r="AA21">
            <v>44104.117999999995</v>
          </cell>
          <cell r="AB21">
            <v>-530.01</v>
          </cell>
          <cell r="AC21">
            <v>9265.2479999999996</v>
          </cell>
          <cell r="AD21">
            <v>23229.319</v>
          </cell>
          <cell r="AE21"/>
          <cell r="AF21"/>
          <cell r="AG21"/>
          <cell r="AH21">
            <v>76068.675000000003</v>
          </cell>
          <cell r="AI21">
            <v>644292.46100000222</v>
          </cell>
          <cell r="AJ21">
            <v>15691.606999999953</v>
          </cell>
          <cell r="AK21">
            <v>-151127.639</v>
          </cell>
          <cell r="AL21">
            <v>-257551.37899999996</v>
          </cell>
          <cell r="AM21"/>
          <cell r="AN21">
            <v>-392987.41100000008</v>
          </cell>
          <cell r="AO21">
            <v>-101102.0730000008</v>
          </cell>
          <cell r="AP21">
            <v>-855.83299999999997</v>
          </cell>
          <cell r="AQ21"/>
          <cell r="AR21"/>
          <cell r="AS21">
            <v>-101957.9060000008</v>
          </cell>
          <cell r="AT21">
            <v>4056.5950000000003</v>
          </cell>
          <cell r="AU21">
            <v>9167.09</v>
          </cell>
          <cell r="AV21">
            <v>61929.440000000002</v>
          </cell>
          <cell r="AW21"/>
          <cell r="AX21"/>
          <cell r="AY21"/>
          <cell r="AZ21"/>
          <cell r="BA21">
            <v>75153.125000000015</v>
          </cell>
          <cell r="BB21">
            <v>0</v>
          </cell>
          <cell r="BC21">
            <v>-6072.8019999999997</v>
          </cell>
          <cell r="BD21">
            <v>300000</v>
          </cell>
          <cell r="BE21">
            <v>0</v>
          </cell>
          <cell r="BF21">
            <v>-3689.5869999999995</v>
          </cell>
          <cell r="BG21">
            <v>23385.1</v>
          </cell>
          <cell r="BH21"/>
          <cell r="BI21"/>
          <cell r="BJ21">
            <v>313622.71099999995</v>
          </cell>
          <cell r="BK21"/>
          <cell r="BL21"/>
          <cell r="BM21"/>
          <cell r="BN21"/>
          <cell r="BO21"/>
        </row>
        <row r="22">
          <cell r="F22">
            <v>1844333.3160006681</v>
          </cell>
          <cell r="G22">
            <v>257660.19163048046</v>
          </cell>
          <cell r="H22">
            <v>228915.37336775908</v>
          </cell>
          <cell r="I22">
            <v>116644.47819337319</v>
          </cell>
          <cell r="J22">
            <v>96180.728518475167</v>
          </cell>
          <cell r="K22">
            <v>153963.54826181754</v>
          </cell>
          <cell r="L22">
            <v>183595.79716952244</v>
          </cell>
          <cell r="M22">
            <v>89088.16823403773</v>
          </cell>
          <cell r="N22">
            <v>177948.5788428667</v>
          </cell>
          <cell r="O22">
            <v>74493.714289971394</v>
          </cell>
          <cell r="P22">
            <v>98094.335369279404</v>
          </cell>
          <cell r="Q22">
            <v>140065.12945667573</v>
          </cell>
          <cell r="R22">
            <v>98994.462703600671</v>
          </cell>
          <cell r="S22">
            <v>171030.80393052165</v>
          </cell>
          <cell r="T22">
            <v>34278.347542179828</v>
          </cell>
          <cell r="U22">
            <v>44429.972242992641</v>
          </cell>
          <cell r="V22">
            <v>74530.578764145306</v>
          </cell>
          <cell r="W22">
            <v>49716.992117814654</v>
          </cell>
          <cell r="X22"/>
          <cell r="Y22"/>
          <cell r="Z22">
            <v>2089631.2006355135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2089631.2006355135</v>
          </cell>
          <cell r="AJ22">
            <v>36995.888356637552</v>
          </cell>
          <cell r="AK22">
            <v>666.50590851692118</v>
          </cell>
          <cell r="AL22">
            <v>36552.430100000005</v>
          </cell>
          <cell r="AM22"/>
          <cell r="AN22">
            <v>74214.824365154476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-319512.70899999997</v>
          </cell>
          <cell r="BF22">
            <v>0</v>
          </cell>
          <cell r="BG22">
            <v>0</v>
          </cell>
          <cell r="BH22"/>
          <cell r="BI22"/>
          <cell r="BJ22">
            <v>-319512.70899999997</v>
          </cell>
          <cell r="BK22"/>
          <cell r="BL22"/>
          <cell r="BM22"/>
          <cell r="BN22"/>
          <cell r="BO22"/>
        </row>
        <row r="23">
          <cell r="F23">
            <v>349683.10100066831</v>
          </cell>
          <cell r="G23">
            <v>34517.021517479836</v>
          </cell>
          <cell r="H23">
            <v>30666.269469940686</v>
          </cell>
          <cell r="I23">
            <v>15626.084643568118</v>
          </cell>
          <cell r="J23">
            <v>12884.692256226523</v>
          </cell>
          <cell r="K23">
            <v>21739.184632370081</v>
          </cell>
          <cell r="L23">
            <v>25923.168032008958</v>
          </cell>
          <cell r="M23">
            <v>12578.978333923536</v>
          </cell>
          <cell r="N23">
            <v>25125.797984043402</v>
          </cell>
          <cell r="O23">
            <v>10518.285835728093</v>
          </cell>
          <cell r="P23">
            <v>13850.621735191891</v>
          </cell>
          <cell r="Q23">
            <v>19776.770178338487</v>
          </cell>
          <cell r="R23">
            <v>13977.716976464051</v>
          </cell>
          <cell r="S23">
            <v>17507.813845884666</v>
          </cell>
          <cell r="T23">
            <v>3508.9522701233332</v>
          </cell>
          <cell r="U23">
            <v>4548.1379104324096</v>
          </cell>
          <cell r="V23">
            <v>7629.4297216703781</v>
          </cell>
          <cell r="W23">
            <v>5089.3512921193651</v>
          </cell>
          <cell r="X23"/>
          <cell r="Y23"/>
          <cell r="Z23">
            <v>275468.27663551382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275468.27663551382</v>
          </cell>
          <cell r="AJ23">
            <v>36995.888356637552</v>
          </cell>
          <cell r="AK23">
            <v>666.50590851692118</v>
          </cell>
          <cell r="AL23">
            <v>36552.430100000005</v>
          </cell>
          <cell r="AM23"/>
          <cell r="AN23">
            <v>74214.824365154476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629100.43299999984</v>
          </cell>
          <cell r="G24">
            <v>77379.745270927699</v>
          </cell>
          <cell r="H24">
            <v>68747.186624777227</v>
          </cell>
          <cell r="I24">
            <v>35030.324058781604</v>
          </cell>
          <cell r="J24">
            <v>28884.711393079004</v>
          </cell>
          <cell r="K24">
            <v>45851.672587943838</v>
          </cell>
          <cell r="L24">
            <v>54676.411886950315</v>
          </cell>
          <cell r="M24">
            <v>26531.224873957941</v>
          </cell>
          <cell r="N24">
            <v>52994.62156274882</v>
          </cell>
          <cell r="O24">
            <v>22184.870614148316</v>
          </cell>
          <cell r="P24">
            <v>29213.339123852835</v>
          </cell>
          <cell r="Q24">
            <v>41712.603595718472</v>
          </cell>
          <cell r="R24">
            <v>29481.404807494873</v>
          </cell>
          <cell r="S24">
            <v>53237.434334039906</v>
          </cell>
          <cell r="T24">
            <v>10669.956723687787</v>
          </cell>
          <cell r="U24">
            <v>13829.893068329462</v>
          </cell>
          <cell r="V24">
            <v>23199.427831994715</v>
          </cell>
          <cell r="W24">
            <v>15475.604641567123</v>
          </cell>
          <cell r="X24"/>
          <cell r="Y24"/>
          <cell r="Z24">
            <v>629100.43299999984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629100.43299999984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865549.78199999989</v>
          </cell>
          <cell r="G25">
            <v>145763.42484207294</v>
          </cell>
          <cell r="H25">
            <v>129501.91727304117</v>
          </cell>
          <cell r="I25">
            <v>65988.069491023474</v>
          </cell>
          <cell r="J25">
            <v>54411.324869169635</v>
          </cell>
          <cell r="K25">
            <v>86372.691041503611</v>
          </cell>
          <cell r="L25">
            <v>102996.21725056316</v>
          </cell>
          <cell r="M25">
            <v>49977.965026156256</v>
          </cell>
          <cell r="N25">
            <v>99828.159296074489</v>
          </cell>
          <cell r="O25">
            <v>41790.557840094989</v>
          </cell>
          <cell r="P25">
            <v>55030.374510234673</v>
          </cell>
          <cell r="Q25">
            <v>78575.755682618779</v>
          </cell>
          <cell r="R25">
            <v>55535.340919641756</v>
          </cell>
          <cell r="S25">
            <v>100285.55575059708</v>
          </cell>
          <cell r="T25">
            <v>20099.438548368711</v>
          </cell>
          <cell r="U25">
            <v>26051.941264230769</v>
          </cell>
          <cell r="V25">
            <v>43701.721210480217</v>
          </cell>
          <cell r="W25">
            <v>29152.036184128166</v>
          </cell>
          <cell r="X25"/>
          <cell r="Y25"/>
          <cell r="Z25">
            <v>1185062.4909999999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1185062.4909999999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-319512.70899999997</v>
          </cell>
          <cell r="BF25">
            <v>0</v>
          </cell>
          <cell r="BG25">
            <v>0</v>
          </cell>
          <cell r="BH25"/>
          <cell r="BI25"/>
          <cell r="BJ25">
            <v>-319512.70899999997</v>
          </cell>
          <cell r="BK25"/>
          <cell r="BL25"/>
          <cell r="BM25"/>
          <cell r="BN25"/>
          <cell r="BO25"/>
        </row>
        <row r="26">
          <cell r="F26">
            <v>-1306210.3360006658</v>
          </cell>
          <cell r="G26">
            <v>-206132.04263048037</v>
          </cell>
          <cell r="H26">
            <v>-278456.59336775867</v>
          </cell>
          <cell r="I26">
            <v>-276873.90419337311</v>
          </cell>
          <cell r="J26">
            <v>-142474.27851847533</v>
          </cell>
          <cell r="K26">
            <v>-61779.739261817595</v>
          </cell>
          <cell r="L26">
            <v>-20503.483169522602</v>
          </cell>
          <cell r="M26">
            <v>-147314.11423403778</v>
          </cell>
          <cell r="N26">
            <v>-76666.761842866632</v>
          </cell>
          <cell r="O26">
            <v>-103322.08128997142</v>
          </cell>
          <cell r="P26">
            <v>-25335.97836927943</v>
          </cell>
          <cell r="Q26">
            <v>27974.851543324243</v>
          </cell>
          <cell r="R26">
            <v>-74628.23670360056</v>
          </cell>
          <cell r="S26">
            <v>-112561.56293052131</v>
          </cell>
          <cell r="T26">
            <v>4856.9294578201589</v>
          </cell>
          <cell r="U26">
            <v>35722.28175700736</v>
          </cell>
          <cell r="V26">
            <v>-63877.251764145432</v>
          </cell>
          <cell r="W26">
            <v>-35.449117814663623</v>
          </cell>
          <cell r="X26"/>
          <cell r="Y26"/>
          <cell r="Z26">
            <v>-1521407.414635513</v>
          </cell>
          <cell r="AA26">
            <v>44104.117999999995</v>
          </cell>
          <cell r="AB26">
            <v>-530.01</v>
          </cell>
          <cell r="AC26">
            <v>9265.2479999999996</v>
          </cell>
          <cell r="AD26">
            <v>23229.319</v>
          </cell>
          <cell r="AE26"/>
          <cell r="AF26"/>
          <cell r="AG26"/>
          <cell r="AH26">
            <v>76068.675000000003</v>
          </cell>
          <cell r="AI26">
            <v>-1445338.7396355113</v>
          </cell>
          <cell r="AJ26">
            <v>-21304.281356637599</v>
          </cell>
          <cell r="AK26">
            <v>-151794.14490851693</v>
          </cell>
          <cell r="AL26">
            <v>-294103.80909999995</v>
          </cell>
          <cell r="AM26"/>
          <cell r="AN26">
            <v>-467202.23536515457</v>
          </cell>
          <cell r="AO26">
            <v>-101102.0730000008</v>
          </cell>
          <cell r="AP26">
            <v>-855.83299999999997</v>
          </cell>
          <cell r="AQ26"/>
          <cell r="AR26"/>
          <cell r="AS26">
            <v>-101957.9060000008</v>
          </cell>
          <cell r="AT26">
            <v>4056.5950000000003</v>
          </cell>
          <cell r="AU26">
            <v>9167.09</v>
          </cell>
          <cell r="AV26">
            <v>61929.440000000002</v>
          </cell>
          <cell r="AW26"/>
          <cell r="AX26"/>
          <cell r="AY26"/>
          <cell r="AZ26"/>
          <cell r="BA26">
            <v>75153.125000000015</v>
          </cell>
          <cell r="BB26">
            <v>0</v>
          </cell>
          <cell r="BC26">
            <v>-6072.8019999999997</v>
          </cell>
          <cell r="BD26">
            <v>300000</v>
          </cell>
          <cell r="BE26">
            <v>319512.70899999997</v>
          </cell>
          <cell r="BF26">
            <v>-3689.5869999999995</v>
          </cell>
          <cell r="BG26">
            <v>23385.1</v>
          </cell>
          <cell r="BH26"/>
          <cell r="BI26"/>
          <cell r="BJ26">
            <v>633135.41999999993</v>
          </cell>
          <cell r="BK26"/>
          <cell r="BL26"/>
          <cell r="BM26"/>
          <cell r="BN26"/>
          <cell r="BO26"/>
        </row>
        <row r="27">
          <cell r="F27">
            <v>-1306210.3360006686</v>
          </cell>
          <cell r="G27">
            <v>-206132.0426304804</v>
          </cell>
          <cell r="H27">
            <v>-278456.59336775867</v>
          </cell>
          <cell r="I27">
            <v>-276873.90419337311</v>
          </cell>
          <cell r="J27">
            <v>-142474.27851847533</v>
          </cell>
          <cell r="K27">
            <v>-61779.739261817573</v>
          </cell>
          <cell r="L27">
            <v>-20503.483169522602</v>
          </cell>
          <cell r="M27">
            <v>-147314.11423403778</v>
          </cell>
          <cell r="N27">
            <v>-76666.761842866646</v>
          </cell>
          <cell r="O27">
            <v>-103322.08128997142</v>
          </cell>
          <cell r="P27">
            <v>-25335.978369279423</v>
          </cell>
          <cell r="Q27">
            <v>27974.851543324203</v>
          </cell>
          <cell r="R27">
            <v>-74628.23670360056</v>
          </cell>
          <cell r="S27">
            <v>-112561.56293052131</v>
          </cell>
          <cell r="T27">
            <v>4856.9294578201543</v>
          </cell>
          <cell r="U27">
            <v>35722.281757007346</v>
          </cell>
          <cell r="V27">
            <v>-63877.251764145432</v>
          </cell>
          <cell r="W27">
            <v>-35.449117814658621</v>
          </cell>
          <cell r="X27"/>
          <cell r="Y27"/>
          <cell r="Z27">
            <v>-1521407.4146355132</v>
          </cell>
          <cell r="AA27">
            <v>44104.117999999995</v>
          </cell>
          <cell r="AB27">
            <v>-530.01</v>
          </cell>
          <cell r="AC27">
            <v>9265.2479999999996</v>
          </cell>
          <cell r="AD27">
            <v>23229.319</v>
          </cell>
          <cell r="AE27"/>
          <cell r="AF27"/>
          <cell r="AG27"/>
          <cell r="AH27">
            <v>76068.674999999988</v>
          </cell>
          <cell r="AI27">
            <v>-1445338.7396355132</v>
          </cell>
          <cell r="AJ27">
            <v>-21304.281356637599</v>
          </cell>
          <cell r="AK27">
            <v>-151794.14490851693</v>
          </cell>
          <cell r="AL27">
            <v>-294103.80909999995</v>
          </cell>
          <cell r="AM27"/>
          <cell r="AN27">
            <v>-467202.23536515445</v>
          </cell>
          <cell r="AO27">
            <v>-101102.07300000082</v>
          </cell>
          <cell r="AP27">
            <v>-855.83299999999997</v>
          </cell>
          <cell r="AQ27"/>
          <cell r="AR27"/>
          <cell r="AS27">
            <v>-101957.90600000082</v>
          </cell>
          <cell r="AT27">
            <v>4056.5950000000003</v>
          </cell>
          <cell r="AU27">
            <v>9167.09</v>
          </cell>
          <cell r="AV27">
            <v>61929.440000000002</v>
          </cell>
          <cell r="AW27"/>
          <cell r="AX27"/>
          <cell r="AY27"/>
          <cell r="AZ27"/>
          <cell r="BA27">
            <v>75153.125</v>
          </cell>
          <cell r="BB27">
            <v>0</v>
          </cell>
          <cell r="BC27">
            <v>-6072.8019999999997</v>
          </cell>
          <cell r="BD27">
            <v>300000</v>
          </cell>
          <cell r="BE27">
            <v>319512.70899999997</v>
          </cell>
          <cell r="BF27">
            <v>-3689.5869999999995</v>
          </cell>
          <cell r="BG27">
            <v>23385.1</v>
          </cell>
          <cell r="BH27"/>
          <cell r="BI27"/>
          <cell r="BJ27">
            <v>633135.41999999981</v>
          </cell>
          <cell r="BK27"/>
          <cell r="BL27"/>
          <cell r="BM27"/>
          <cell r="BN27"/>
          <cell r="BO27"/>
        </row>
        <row r="28">
          <cell r="F28">
            <v>2.7939677238464355E-9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4.0017766878008842E-11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-5.0022208597511053E-12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1.862645149230957E-9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34670</v>
          </cell>
          <cell r="H31">
            <v>30362</v>
          </cell>
          <cell r="I31">
            <v>16303</v>
          </cell>
          <cell r="J31">
            <v>13418.5</v>
          </cell>
          <cell r="K31">
            <v>17339</v>
          </cell>
          <cell r="L31">
            <v>24067</v>
          </cell>
          <cell r="M31">
            <v>12184</v>
          </cell>
          <cell r="N31">
            <v>22034</v>
          </cell>
          <cell r="O31">
            <v>10174</v>
          </cell>
          <cell r="P31">
            <v>12315</v>
          </cell>
          <cell r="Q31">
            <v>18708</v>
          </cell>
          <cell r="R31">
            <v>12451</v>
          </cell>
          <cell r="S31">
            <v>22732</v>
          </cell>
          <cell r="T31">
            <v>4010</v>
          </cell>
          <cell r="U31">
            <v>5608</v>
          </cell>
          <cell r="V31">
            <v>10326</v>
          </cell>
          <cell r="W31">
            <v>5587.5</v>
          </cell>
          <cell r="X31">
            <v>0</v>
          </cell>
          <cell r="Y31">
            <v>0</v>
          </cell>
          <cell r="Z31">
            <v>272289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272289</v>
          </cell>
          <cell r="AJ31">
            <v>23035</v>
          </cell>
          <cell r="AK31">
            <v>1000</v>
          </cell>
          <cell r="AL31">
            <v>35645</v>
          </cell>
          <cell r="AM31"/>
          <cell r="AN31">
            <v>59680</v>
          </cell>
          <cell r="AO31">
            <v>8003.0569999999998</v>
          </cell>
          <cell r="AP31">
            <v>0</v>
          </cell>
          <cell r="AQ31"/>
          <cell r="AR31"/>
          <cell r="AS31">
            <v>8003.0569999999998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36064336.910999998</v>
          </cell>
          <cell r="G32">
            <v>3342260.1409999998</v>
          </cell>
          <cell r="H32">
            <v>2969394.392</v>
          </cell>
          <cell r="I32">
            <v>1513063.34</v>
          </cell>
          <cell r="J32">
            <v>1247616.1459999999</v>
          </cell>
          <cell r="K32">
            <v>1980469.4</v>
          </cell>
          <cell r="L32">
            <v>2361636</v>
          </cell>
          <cell r="M32">
            <v>1145962.0999999999</v>
          </cell>
          <cell r="N32">
            <v>2288994.5</v>
          </cell>
          <cell r="O32">
            <v>958230.2</v>
          </cell>
          <cell r="P32">
            <v>1261810.55</v>
          </cell>
          <cell r="Q32">
            <v>1801690.764</v>
          </cell>
          <cell r="R32">
            <v>1273389.1000000001</v>
          </cell>
          <cell r="S32">
            <v>2299482.3020000001</v>
          </cell>
          <cell r="T32">
            <v>460867</v>
          </cell>
          <cell r="U32">
            <v>597354</v>
          </cell>
          <cell r="V32">
            <v>1002051.928</v>
          </cell>
          <cell r="W32">
            <v>668437.152</v>
          </cell>
          <cell r="X32">
            <v>0</v>
          </cell>
          <cell r="Y32">
            <v>0</v>
          </cell>
          <cell r="Z32">
            <v>27172709.015000001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27263549.015000001</v>
          </cell>
          <cell r="AJ32">
            <v>638333</v>
          </cell>
          <cell r="AK32">
            <v>11500</v>
          </cell>
          <cell r="AL32">
            <v>630681.5</v>
          </cell>
          <cell r="AM32"/>
          <cell r="AN32">
            <v>1280514.5</v>
          </cell>
          <cell r="AO32">
            <v>7445901.6059999997</v>
          </cell>
          <cell r="AP32">
            <v>0</v>
          </cell>
          <cell r="AQ32"/>
          <cell r="AR32"/>
          <cell r="AS32">
            <v>7445901.6059999997</v>
          </cell>
          <cell r="AT32">
            <v>5512.5</v>
          </cell>
          <cell r="AU32">
            <v>5250</v>
          </cell>
          <cell r="AV32">
            <v>61929.440000000002</v>
          </cell>
          <cell r="AW32"/>
          <cell r="AX32"/>
          <cell r="AY32"/>
          <cell r="AZ32"/>
          <cell r="BA32">
            <v>72691.94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1679.85</v>
          </cell>
        </row>
        <row r="33">
          <cell r="F33">
            <v>34251093.666999988</v>
          </cell>
          <cell r="G33">
            <v>3181369.8099999996</v>
          </cell>
          <cell r="H33">
            <v>2925831.3559999997</v>
          </cell>
          <cell r="I33">
            <v>1600569.6410000001</v>
          </cell>
          <cell r="J33">
            <v>1237772.8540000001</v>
          </cell>
          <cell r="K33">
            <v>1816025.6779999998</v>
          </cell>
          <cell r="L33">
            <v>2119501.0090000001</v>
          </cell>
          <cell r="M33">
            <v>1144285.8149999999</v>
          </cell>
          <cell r="N33">
            <v>2115947.594</v>
          </cell>
          <cell r="O33">
            <v>945719.33900000004</v>
          </cell>
          <cell r="P33">
            <v>1132381.648</v>
          </cell>
          <cell r="Q33">
            <v>1574669.675</v>
          </cell>
          <cell r="R33">
            <v>1194837.7849999999</v>
          </cell>
          <cell r="S33">
            <v>2166521.9989999998</v>
          </cell>
          <cell r="T33">
            <v>403961.462</v>
          </cell>
          <cell r="U33">
            <v>500801.86</v>
          </cell>
          <cell r="V33">
            <v>941465.75100000005</v>
          </cell>
          <cell r="W33">
            <v>596778.20799999998</v>
          </cell>
          <cell r="X33">
            <v>0</v>
          </cell>
          <cell r="Y33">
            <v>0</v>
          </cell>
          <cell r="Z33">
            <v>25598441.483999994</v>
          </cell>
          <cell r="AA33">
            <v>5895.8819999999996</v>
          </cell>
          <cell r="AB33">
            <v>0</v>
          </cell>
          <cell r="AC33">
            <v>3234.752</v>
          </cell>
          <cell r="AD33">
            <v>5110.6809999999996</v>
          </cell>
          <cell r="AE33"/>
          <cell r="AF33"/>
          <cell r="AG33"/>
          <cell r="AH33">
            <v>14241.314999999999</v>
          </cell>
          <cell r="AI33">
            <v>25612682.798999995</v>
          </cell>
          <cell r="AJ33">
            <v>622601.39300000004</v>
          </cell>
          <cell r="AK33">
            <v>143365.82699999999</v>
          </cell>
          <cell r="AL33">
            <v>888232.87899999996</v>
          </cell>
          <cell r="AM33"/>
          <cell r="AN33">
            <v>1654200.0989999999</v>
          </cell>
          <cell r="AO33">
            <v>7310057.0540000005</v>
          </cell>
          <cell r="AP33">
            <v>0</v>
          </cell>
          <cell r="AQ33"/>
          <cell r="AR33"/>
          <cell r="AS33">
            <v>7310057.0540000005</v>
          </cell>
          <cell r="AT33">
            <v>1455.905</v>
          </cell>
          <cell r="AU33">
            <v>-3917.0899999999997</v>
          </cell>
          <cell r="AV33">
            <v>0</v>
          </cell>
          <cell r="AW33"/>
          <cell r="AX33"/>
          <cell r="AY33"/>
          <cell r="AZ33"/>
          <cell r="BA33">
            <v>-2461.1849999999995</v>
          </cell>
          <cell r="BB33">
            <v>0</v>
          </cell>
          <cell r="BC33">
            <v>0</v>
          </cell>
          <cell r="BD33">
            <v>-300000</v>
          </cell>
          <cell r="BE33">
            <v>0</v>
          </cell>
          <cell r="BF33">
            <v>0</v>
          </cell>
          <cell r="BG33">
            <v>-23385.1</v>
          </cell>
          <cell r="BH33"/>
          <cell r="BI33"/>
          <cell r="BJ33">
            <v>-323385.09999999998</v>
          </cell>
        </row>
        <row r="34">
          <cell r="F34">
            <v>1813243.2440000102</v>
          </cell>
          <cell r="G34">
            <v>160890.33100000024</v>
          </cell>
          <cell r="H34">
            <v>43563.036000000313</v>
          </cell>
          <cell r="I34">
            <v>-87506.300999999978</v>
          </cell>
          <cell r="J34">
            <v>9843.2919999998994</v>
          </cell>
          <cell r="K34">
            <v>164443.72200000007</v>
          </cell>
          <cell r="L34">
            <v>242134.99099999992</v>
          </cell>
          <cell r="M34">
            <v>1676.2849999999162</v>
          </cell>
          <cell r="N34">
            <v>173046.90599999996</v>
          </cell>
          <cell r="O34">
            <v>12510.860999999917</v>
          </cell>
          <cell r="P34">
            <v>129428.902</v>
          </cell>
          <cell r="Q34">
            <v>227021.08899999992</v>
          </cell>
          <cell r="R34">
            <v>78551.315000000177</v>
          </cell>
          <cell r="S34">
            <v>132960.30300000031</v>
          </cell>
          <cell r="T34">
            <v>56905.538</v>
          </cell>
          <cell r="U34">
            <v>96552.140000000014</v>
          </cell>
          <cell r="V34">
            <v>60586.176999999909</v>
          </cell>
          <cell r="W34">
            <v>71658.944000000018</v>
          </cell>
          <cell r="X34">
            <v>0</v>
          </cell>
          <cell r="Y34">
            <v>0</v>
          </cell>
          <cell r="Z34">
            <v>1574267.5310000069</v>
          </cell>
          <cell r="AA34">
            <v>44104.118000000002</v>
          </cell>
          <cell r="AB34">
            <v>0</v>
          </cell>
          <cell r="AC34">
            <v>9265.2479999999996</v>
          </cell>
          <cell r="AD34">
            <v>23229.319</v>
          </cell>
          <cell r="AE34"/>
          <cell r="AF34"/>
          <cell r="AG34"/>
          <cell r="AH34">
            <v>76598.684999999998</v>
          </cell>
          <cell r="AI34">
            <v>1650866.2160000056</v>
          </cell>
          <cell r="AJ34">
            <v>15731.60699999996</v>
          </cell>
          <cell r="AK34">
            <v>-131865.82699999999</v>
          </cell>
          <cell r="AL34">
            <v>-257551.37899999996</v>
          </cell>
          <cell r="AM34"/>
          <cell r="AN34">
            <v>-373685.59899999993</v>
          </cell>
          <cell r="AO34">
            <v>135844.55199999921</v>
          </cell>
          <cell r="AP34">
            <v>0</v>
          </cell>
          <cell r="AQ34"/>
          <cell r="AR34"/>
          <cell r="AS34">
            <v>135844.55199999921</v>
          </cell>
          <cell r="AT34">
            <v>4056.5950000000003</v>
          </cell>
          <cell r="AU34">
            <v>9167.09</v>
          </cell>
          <cell r="AV34">
            <v>61929.440000000002</v>
          </cell>
          <cell r="AW34"/>
          <cell r="AX34"/>
          <cell r="AY34"/>
          <cell r="AZ34"/>
          <cell r="BA34">
            <v>75153.125</v>
          </cell>
          <cell r="BB34">
            <v>0</v>
          </cell>
          <cell r="BC34">
            <v>1679.85</v>
          </cell>
          <cell r="BD34">
            <v>300000</v>
          </cell>
          <cell r="BE34">
            <v>0</v>
          </cell>
          <cell r="BF34">
            <v>0</v>
          </cell>
          <cell r="BG34">
            <v>23385.1</v>
          </cell>
          <cell r="BH34"/>
          <cell r="BI34"/>
          <cell r="BJ34">
            <v>325064.94999999995</v>
          </cell>
        </row>
        <row r="35">
          <cell r="F35">
            <v>3119453.5800006688</v>
          </cell>
          <cell r="G35">
            <v>367022.37363048043</v>
          </cell>
          <cell r="H35">
            <v>322019.6293677591</v>
          </cell>
          <cell r="I35">
            <v>189367.60319337319</v>
          </cell>
          <cell r="J35">
            <v>152317.57051847517</v>
          </cell>
          <cell r="K35">
            <v>226223.46126181755</v>
          </cell>
          <cell r="L35">
            <v>262638.47416952247</v>
          </cell>
          <cell r="M35">
            <v>148990.39923403773</v>
          </cell>
          <cell r="N35">
            <v>249713.66784286671</v>
          </cell>
          <cell r="O35">
            <v>115832.9422899714</v>
          </cell>
          <cell r="P35">
            <v>154764.88036927942</v>
          </cell>
          <cell r="Q35">
            <v>199046.23745667574</v>
          </cell>
          <cell r="R35">
            <v>153179.55170360068</v>
          </cell>
          <cell r="S35">
            <v>245521.86593052166</v>
          </cell>
          <cell r="T35">
            <v>52048.608542179827</v>
          </cell>
          <cell r="U35">
            <v>60829.858242992639</v>
          </cell>
          <cell r="V35">
            <v>124463.42876414531</v>
          </cell>
          <cell r="W35">
            <v>71694.393117814659</v>
          </cell>
          <cell r="X35">
            <v>0</v>
          </cell>
          <cell r="Y35">
            <v>0</v>
          </cell>
          <cell r="Z35">
            <v>3095674.9456355143</v>
          </cell>
          <cell r="AA35">
            <v>0</v>
          </cell>
          <cell r="AB35">
            <v>530.01</v>
          </cell>
          <cell r="AC35">
            <v>0</v>
          </cell>
          <cell r="AD35">
            <v>0</v>
          </cell>
          <cell r="AE35"/>
          <cell r="AF35"/>
          <cell r="AG35"/>
          <cell r="AH35">
            <v>530.01</v>
          </cell>
          <cell r="AI35">
            <v>3096204.9556355141</v>
          </cell>
          <cell r="AJ35">
            <v>37035.888356637552</v>
          </cell>
          <cell r="AK35">
            <v>19928.317908516921</v>
          </cell>
          <cell r="AL35">
            <v>36552.430100000005</v>
          </cell>
          <cell r="AM35"/>
          <cell r="AN35">
            <v>93516.636365154467</v>
          </cell>
          <cell r="AO35">
            <v>236946.625</v>
          </cell>
          <cell r="AP35">
            <v>855.83299999999997</v>
          </cell>
          <cell r="AQ35"/>
          <cell r="AR35"/>
          <cell r="AS35">
            <v>237802.45800000001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7752.652</v>
          </cell>
          <cell r="BD35">
            <v>0</v>
          </cell>
          <cell r="BE35">
            <v>-319512.70899999997</v>
          </cell>
          <cell r="BF35">
            <v>3689.5869999999995</v>
          </cell>
          <cell r="BG35">
            <v>0</v>
          </cell>
          <cell r="BH35"/>
          <cell r="BI35"/>
          <cell r="BJ35">
            <v>-308070.46999999997</v>
          </cell>
        </row>
        <row r="36">
          <cell r="F36">
            <v>-1306210.3360006586</v>
          </cell>
          <cell r="G36">
            <v>-206132.04263048019</v>
          </cell>
          <cell r="H36">
            <v>-278456.59336775879</v>
          </cell>
          <cell r="I36">
            <v>-276873.90419337316</v>
          </cell>
          <cell r="J36">
            <v>-142474.27851847527</v>
          </cell>
          <cell r="K36">
            <v>-61779.739261817478</v>
          </cell>
          <cell r="L36">
            <v>-20503.483169522544</v>
          </cell>
          <cell r="M36">
            <v>-147314.11423403781</v>
          </cell>
          <cell r="N36">
            <v>-76666.761842866748</v>
          </cell>
          <cell r="O36">
            <v>-103322.08128997148</v>
          </cell>
          <cell r="P36">
            <v>-25335.978369279415</v>
          </cell>
          <cell r="Q36">
            <v>27974.851543324185</v>
          </cell>
          <cell r="R36">
            <v>-74628.236703600502</v>
          </cell>
          <cell r="S36">
            <v>-112561.56293052135</v>
          </cell>
          <cell r="T36">
            <v>4856.9294578201734</v>
          </cell>
          <cell r="U36">
            <v>35722.281757007375</v>
          </cell>
          <cell r="V36">
            <v>-63877.251764145403</v>
          </cell>
          <cell r="W36">
            <v>-35.449117814641795</v>
          </cell>
          <cell r="X36">
            <v>0</v>
          </cell>
          <cell r="Y36">
            <v>0</v>
          </cell>
          <cell r="Z36">
            <v>-1521407.4146355074</v>
          </cell>
          <cell r="AA36">
            <v>44104.118000000002</v>
          </cell>
          <cell r="AB36">
            <v>-530.01</v>
          </cell>
          <cell r="AC36">
            <v>9265.2479999999996</v>
          </cell>
          <cell r="AD36">
            <v>23229.319</v>
          </cell>
          <cell r="AE36"/>
          <cell r="AF36"/>
          <cell r="AG36"/>
          <cell r="AH36">
            <v>76068.675000000003</v>
          </cell>
          <cell r="AI36">
            <v>-1445338.7396355085</v>
          </cell>
          <cell r="AJ36">
            <v>-21304.281356637592</v>
          </cell>
          <cell r="AK36">
            <v>-151794.1449085169</v>
          </cell>
          <cell r="AL36">
            <v>-294103.80909999995</v>
          </cell>
          <cell r="AM36"/>
          <cell r="AN36">
            <v>-467202.2353651544</v>
          </cell>
          <cell r="AO36">
            <v>-101102.07300000079</v>
          </cell>
          <cell r="AP36">
            <v>-855.83299999999997</v>
          </cell>
          <cell r="AQ36"/>
          <cell r="AR36"/>
          <cell r="AS36">
            <v>-101957.9060000008</v>
          </cell>
          <cell r="AT36">
            <v>4056.5950000000003</v>
          </cell>
          <cell r="AU36">
            <v>9167.09</v>
          </cell>
          <cell r="AV36">
            <v>61929.440000000002</v>
          </cell>
          <cell r="AW36"/>
          <cell r="AX36"/>
          <cell r="AY36"/>
          <cell r="AZ36"/>
          <cell r="BA36">
            <v>75153.125</v>
          </cell>
          <cell r="BB36">
            <v>0</v>
          </cell>
          <cell r="BC36">
            <v>-6072.8019999999997</v>
          </cell>
          <cell r="BD36">
            <v>300000</v>
          </cell>
          <cell r="BE36">
            <v>319512.70899999997</v>
          </cell>
          <cell r="BF36">
            <v>-3689.5869999999995</v>
          </cell>
          <cell r="BG36">
            <v>23385.1</v>
          </cell>
          <cell r="BH36"/>
          <cell r="BI36"/>
          <cell r="BJ36">
            <v>633135.41999999993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-12291</v>
          </cell>
          <cell r="AK38">
            <v>0</v>
          </cell>
          <cell r="AL38">
            <v>-25869</v>
          </cell>
          <cell r="AM38"/>
          <cell r="AN38">
            <v>-38160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-819049.5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-359040</v>
          </cell>
          <cell r="AK39">
            <v>0</v>
          </cell>
          <cell r="AL39">
            <v>-460009.5</v>
          </cell>
          <cell r="AM39"/>
          <cell r="AN39">
            <v>-819049.5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-819049.5</v>
          </cell>
          <cell r="G40"/>
          <cell r="H40"/>
          <cell r="I40"/>
          <cell r="J40"/>
          <cell r="K40">
            <v>48706.406999999999</v>
          </cell>
          <cell r="L40">
            <v>107939.49099999999</v>
          </cell>
          <cell r="M40">
            <v>-1261.32</v>
          </cell>
          <cell r="N40">
            <v>2469.7089999999998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157854.28699999998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157854.28699999998</v>
          </cell>
          <cell r="AJ40">
            <v>-330571.61800000002</v>
          </cell>
          <cell r="AK40">
            <v>0</v>
          </cell>
          <cell r="AL40">
            <v>-646332.16899999999</v>
          </cell>
          <cell r="AM40"/>
          <cell r="AN40">
            <v>-976903.78700000001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-48706.406999999999</v>
          </cell>
          <cell r="L41">
            <v>-107939.49099999999</v>
          </cell>
          <cell r="M41">
            <v>1261.32</v>
          </cell>
          <cell r="N41">
            <v>-2469.7089999999998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-157854.28699999998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-157854.28699999998</v>
          </cell>
          <cell r="AJ41">
            <v>-28468.381999999983</v>
          </cell>
          <cell r="AK41">
            <v>0</v>
          </cell>
          <cell r="AL41">
            <v>186322.66899999999</v>
          </cell>
          <cell r="AM41"/>
          <cell r="AN41">
            <v>157854.28700000001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-48706.406999999999</v>
          </cell>
          <cell r="L43">
            <v>-107939.49099999999</v>
          </cell>
          <cell r="M43">
            <v>1261.32</v>
          </cell>
          <cell r="N43">
            <v>-2469.7089999999998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-157854.28699999998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-157854.28699999998</v>
          </cell>
          <cell r="AJ43">
            <v>-28468.381999999983</v>
          </cell>
          <cell r="AK43">
            <v>0</v>
          </cell>
          <cell r="AL43">
            <v>186322.66899999999</v>
          </cell>
          <cell r="AM43"/>
          <cell r="AN43">
            <v>157854.28700000001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34670</v>
          </cell>
          <cell r="H45">
            <v>30362</v>
          </cell>
          <cell r="I45">
            <v>16303</v>
          </cell>
          <cell r="J45">
            <v>13418.5</v>
          </cell>
          <cell r="K45">
            <v>17339</v>
          </cell>
          <cell r="L45">
            <v>24067</v>
          </cell>
          <cell r="M45">
            <v>12184</v>
          </cell>
          <cell r="N45">
            <v>22034</v>
          </cell>
          <cell r="O45">
            <v>10174</v>
          </cell>
          <cell r="P45">
            <v>12315</v>
          </cell>
          <cell r="Q45">
            <v>18708</v>
          </cell>
          <cell r="R45">
            <v>12451</v>
          </cell>
          <cell r="S45">
            <v>22732</v>
          </cell>
          <cell r="T45">
            <v>4010</v>
          </cell>
          <cell r="U45">
            <v>5608</v>
          </cell>
          <cell r="V45">
            <v>10326</v>
          </cell>
          <cell r="W45">
            <v>5587.5</v>
          </cell>
          <cell r="X45">
            <v>0</v>
          </cell>
          <cell r="Y45">
            <v>0</v>
          </cell>
          <cell r="Z45">
            <v>272289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272289</v>
          </cell>
          <cell r="AJ45">
            <v>10744</v>
          </cell>
          <cell r="AK45">
            <v>1000</v>
          </cell>
          <cell r="AL45">
            <v>9776</v>
          </cell>
          <cell r="AM45"/>
          <cell r="AN45">
            <v>21520</v>
          </cell>
          <cell r="AO45">
            <v>8003.0569999999998</v>
          </cell>
          <cell r="AP45">
            <v>0</v>
          </cell>
          <cell r="AQ45"/>
          <cell r="AR45"/>
          <cell r="AS45">
            <v>8003.0569999999998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35245287.410999998</v>
          </cell>
          <cell r="G46">
            <v>3342260.1409999998</v>
          </cell>
          <cell r="H46">
            <v>2969394.392</v>
          </cell>
          <cell r="I46">
            <v>1513063.34</v>
          </cell>
          <cell r="J46">
            <v>1247616.1459999999</v>
          </cell>
          <cell r="K46">
            <v>1980469.4</v>
          </cell>
          <cell r="L46">
            <v>2361636</v>
          </cell>
          <cell r="M46">
            <v>1145962.0999999999</v>
          </cell>
          <cell r="N46">
            <v>2288994.5</v>
          </cell>
          <cell r="O46">
            <v>958230.2</v>
          </cell>
          <cell r="P46">
            <v>1261810.55</v>
          </cell>
          <cell r="Q46">
            <v>1801690.764</v>
          </cell>
          <cell r="R46">
            <v>1273389.1000000001</v>
          </cell>
          <cell r="S46">
            <v>2299482.3020000001</v>
          </cell>
          <cell r="T46">
            <v>460867</v>
          </cell>
          <cell r="U46">
            <v>597354</v>
          </cell>
          <cell r="V46">
            <v>1002051.928</v>
          </cell>
          <cell r="W46">
            <v>668437.152</v>
          </cell>
          <cell r="X46">
            <v>0</v>
          </cell>
          <cell r="Y46">
            <v>0</v>
          </cell>
          <cell r="Z46">
            <v>27172709.015000001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27263549.015000001</v>
          </cell>
          <cell r="AJ46">
            <v>279293</v>
          </cell>
          <cell r="AK46">
            <v>11500</v>
          </cell>
          <cell r="AL46">
            <v>170672</v>
          </cell>
          <cell r="AM46"/>
          <cell r="AN46">
            <v>461465</v>
          </cell>
          <cell r="AO46">
            <v>7445901.6059999997</v>
          </cell>
          <cell r="AP46">
            <v>0</v>
          </cell>
          <cell r="AQ46"/>
          <cell r="AR46"/>
          <cell r="AS46">
            <v>7445901.6059999997</v>
          </cell>
          <cell r="AT46">
            <v>5512.5</v>
          </cell>
          <cell r="AU46">
            <v>5250</v>
          </cell>
          <cell r="AV46">
            <v>61929.440000000002</v>
          </cell>
          <cell r="AW46"/>
          <cell r="AX46"/>
          <cell r="AY46"/>
          <cell r="AZ46"/>
          <cell r="BA46">
            <v>72691.94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1679.85</v>
          </cell>
        </row>
        <row r="47">
          <cell r="F47">
            <v>33432044.166999988</v>
          </cell>
          <cell r="G47">
            <v>3181369.8099999996</v>
          </cell>
          <cell r="H47">
            <v>2925831.3559999997</v>
          </cell>
          <cell r="I47">
            <v>1600569.6410000001</v>
          </cell>
          <cell r="J47">
            <v>1237772.8540000001</v>
          </cell>
          <cell r="K47">
            <v>1864732.0849999997</v>
          </cell>
          <cell r="L47">
            <v>2227440.5</v>
          </cell>
          <cell r="M47">
            <v>1143024.4949999999</v>
          </cell>
          <cell r="N47">
            <v>2118417.3029999998</v>
          </cell>
          <cell r="O47">
            <v>945719.33900000004</v>
          </cell>
          <cell r="P47">
            <v>1132381.648</v>
          </cell>
          <cell r="Q47">
            <v>1574669.675</v>
          </cell>
          <cell r="R47">
            <v>1194837.7849999999</v>
          </cell>
          <cell r="S47">
            <v>2166521.9989999998</v>
          </cell>
          <cell r="T47">
            <v>403961.462</v>
          </cell>
          <cell r="U47">
            <v>500801.86</v>
          </cell>
          <cell r="V47">
            <v>941465.75100000005</v>
          </cell>
          <cell r="W47">
            <v>596778.20799999998</v>
          </cell>
          <cell r="X47">
            <v>0</v>
          </cell>
          <cell r="Y47">
            <v>0</v>
          </cell>
          <cell r="Z47">
            <v>25756295.770999994</v>
          </cell>
          <cell r="AA47">
            <v>5895.8819999999996</v>
          </cell>
          <cell r="AB47">
            <v>0</v>
          </cell>
          <cell r="AC47">
            <v>3234.752</v>
          </cell>
          <cell r="AD47">
            <v>5110.6809999999996</v>
          </cell>
          <cell r="AE47"/>
          <cell r="AF47"/>
          <cell r="AG47"/>
          <cell r="AH47">
            <v>14241.314999999999</v>
          </cell>
          <cell r="AI47">
            <v>25770537.085999995</v>
          </cell>
          <cell r="AJ47">
            <v>292029.77500000002</v>
          </cell>
          <cell r="AK47">
            <v>143365.82699999999</v>
          </cell>
          <cell r="AL47">
            <v>241900.70999999996</v>
          </cell>
          <cell r="AM47"/>
          <cell r="AN47">
            <v>677296.31199999992</v>
          </cell>
          <cell r="AO47">
            <v>7310057.0540000005</v>
          </cell>
          <cell r="AP47">
            <v>0</v>
          </cell>
          <cell r="AQ47"/>
          <cell r="AR47"/>
          <cell r="AS47">
            <v>7310057.0540000005</v>
          </cell>
          <cell r="AT47">
            <v>1455.905</v>
          </cell>
          <cell r="AU47">
            <v>-3917.0899999999997</v>
          </cell>
          <cell r="AV47">
            <v>0</v>
          </cell>
          <cell r="AW47"/>
          <cell r="AX47"/>
          <cell r="AY47"/>
          <cell r="AZ47"/>
          <cell r="BA47">
            <v>-2461.1849999999995</v>
          </cell>
          <cell r="BB47">
            <v>0</v>
          </cell>
          <cell r="BC47">
            <v>0</v>
          </cell>
          <cell r="BD47">
            <v>-300000</v>
          </cell>
          <cell r="BE47">
            <v>0</v>
          </cell>
          <cell r="BF47">
            <v>0</v>
          </cell>
          <cell r="BG47">
            <v>-23385.1</v>
          </cell>
          <cell r="BH47"/>
          <cell r="BI47"/>
          <cell r="BJ47">
            <v>-323385.09999999998</v>
          </cell>
        </row>
        <row r="48">
          <cell r="F48">
            <v>1813243.2440000102</v>
          </cell>
          <cell r="G48">
            <v>160890.33100000024</v>
          </cell>
          <cell r="H48">
            <v>43563.036000000313</v>
          </cell>
          <cell r="I48">
            <v>-87506.300999999978</v>
          </cell>
          <cell r="J48">
            <v>9843.2919999998994</v>
          </cell>
          <cell r="K48">
            <v>115737.31500000018</v>
          </cell>
          <cell r="L48">
            <v>134195.5</v>
          </cell>
          <cell r="M48">
            <v>2937.6049999999814</v>
          </cell>
          <cell r="N48">
            <v>170577.19700000016</v>
          </cell>
          <cell r="O48">
            <v>12510.860999999917</v>
          </cell>
          <cell r="P48">
            <v>129428.902</v>
          </cell>
          <cell r="Q48">
            <v>227021.08899999992</v>
          </cell>
          <cell r="R48">
            <v>78551.315000000177</v>
          </cell>
          <cell r="S48">
            <v>132960.30300000031</v>
          </cell>
          <cell r="T48">
            <v>56905.538</v>
          </cell>
          <cell r="U48">
            <v>96552.140000000014</v>
          </cell>
          <cell r="V48">
            <v>60586.176999999909</v>
          </cell>
          <cell r="W48">
            <v>71658.944000000018</v>
          </cell>
          <cell r="X48">
            <v>0</v>
          </cell>
          <cell r="Y48">
            <v>0</v>
          </cell>
          <cell r="Z48">
            <v>1416413.2440000065</v>
          </cell>
          <cell r="AA48">
            <v>44104.118000000002</v>
          </cell>
          <cell r="AB48">
            <v>0</v>
          </cell>
          <cell r="AC48">
            <v>9265.2479999999996</v>
          </cell>
          <cell r="AD48">
            <v>23229.319</v>
          </cell>
          <cell r="AE48"/>
          <cell r="AF48"/>
          <cell r="AG48"/>
          <cell r="AH48">
            <v>76598.684999999998</v>
          </cell>
          <cell r="AI48">
            <v>1493011.9290000051</v>
          </cell>
          <cell r="AJ48">
            <v>-12736.775000000023</v>
          </cell>
          <cell r="AK48">
            <v>-131865.82699999999</v>
          </cell>
          <cell r="AL48">
            <v>-71228.709999999963</v>
          </cell>
          <cell r="AM48"/>
          <cell r="AN48">
            <v>-215831.31199999992</v>
          </cell>
          <cell r="AO48">
            <v>135844.55199999921</v>
          </cell>
          <cell r="AP48">
            <v>0</v>
          </cell>
          <cell r="AQ48"/>
          <cell r="AR48"/>
          <cell r="AS48">
            <v>135844.55199999921</v>
          </cell>
          <cell r="AT48">
            <v>4056.5950000000003</v>
          </cell>
          <cell r="AU48">
            <v>9167.09</v>
          </cell>
          <cell r="AV48">
            <v>61929.440000000002</v>
          </cell>
          <cell r="AW48"/>
          <cell r="AX48"/>
          <cell r="AY48"/>
          <cell r="AZ48"/>
          <cell r="BA48">
            <v>75153.125</v>
          </cell>
          <cell r="BB48">
            <v>0</v>
          </cell>
          <cell r="BC48">
            <v>1679.85</v>
          </cell>
          <cell r="BD48">
            <v>300000</v>
          </cell>
          <cell r="BE48">
            <v>0</v>
          </cell>
          <cell r="BF48">
            <v>0</v>
          </cell>
          <cell r="BG48">
            <v>23385.1</v>
          </cell>
          <cell r="BH48"/>
          <cell r="BI48"/>
          <cell r="BJ48">
            <v>325064.94999999995</v>
          </cell>
        </row>
        <row r="49">
          <cell r="F49">
            <v>3119453.5800006688</v>
          </cell>
          <cell r="G49">
            <v>367022.37363048043</v>
          </cell>
          <cell r="H49">
            <v>322019.6293677591</v>
          </cell>
          <cell r="I49">
            <v>189367.60319337319</v>
          </cell>
          <cell r="J49">
            <v>152317.57051847517</v>
          </cell>
          <cell r="K49">
            <v>226223.46126181755</v>
          </cell>
          <cell r="L49">
            <v>262638.47416952247</v>
          </cell>
          <cell r="M49">
            <v>148990.39923403773</v>
          </cell>
          <cell r="N49">
            <v>249713.66784286671</v>
          </cell>
          <cell r="O49">
            <v>115832.9422899714</v>
          </cell>
          <cell r="P49">
            <v>154764.88036927942</v>
          </cell>
          <cell r="Q49">
            <v>199046.23745667574</v>
          </cell>
          <cell r="R49">
            <v>153179.55170360068</v>
          </cell>
          <cell r="S49">
            <v>245521.86593052166</v>
          </cell>
          <cell r="T49">
            <v>52048.608542179827</v>
          </cell>
          <cell r="U49">
            <v>60829.858242992639</v>
          </cell>
          <cell r="V49">
            <v>124463.42876414531</v>
          </cell>
          <cell r="W49">
            <v>71694.393117814659</v>
          </cell>
          <cell r="X49">
            <v>0</v>
          </cell>
          <cell r="Y49">
            <v>0</v>
          </cell>
          <cell r="Z49">
            <v>3095674.9456355143</v>
          </cell>
          <cell r="AA49">
            <v>0</v>
          </cell>
          <cell r="AB49">
            <v>530.01</v>
          </cell>
          <cell r="AC49">
            <v>0</v>
          </cell>
          <cell r="AD49">
            <v>0</v>
          </cell>
          <cell r="AE49"/>
          <cell r="AF49"/>
          <cell r="AG49"/>
          <cell r="AH49">
            <v>530.01</v>
          </cell>
          <cell r="AI49">
            <v>3096204.9556355141</v>
          </cell>
          <cell r="AJ49">
            <v>37035.888356637552</v>
          </cell>
          <cell r="AK49">
            <v>19928.317908516921</v>
          </cell>
          <cell r="AL49">
            <v>36552.430100000005</v>
          </cell>
          <cell r="AM49"/>
          <cell r="AN49">
            <v>93516.636365154467</v>
          </cell>
          <cell r="AO49">
            <v>236946.625</v>
          </cell>
          <cell r="AP49">
            <v>855.83299999999997</v>
          </cell>
          <cell r="AQ49"/>
          <cell r="AR49"/>
          <cell r="AS49">
            <v>237802.45800000001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7752.652</v>
          </cell>
          <cell r="BD49">
            <v>0</v>
          </cell>
          <cell r="BE49">
            <v>-319512.70899999997</v>
          </cell>
          <cell r="BF49">
            <v>3689.5869999999995</v>
          </cell>
          <cell r="BG49">
            <v>0</v>
          </cell>
          <cell r="BH49"/>
          <cell r="BI49"/>
          <cell r="BJ49">
            <v>-308070.46999999997</v>
          </cell>
        </row>
        <row r="50">
          <cell r="F50">
            <v>-1306210.3360006586</v>
          </cell>
          <cell r="G50">
            <v>-206132.04263048019</v>
          </cell>
          <cell r="H50">
            <v>-278456.59336775879</v>
          </cell>
          <cell r="I50">
            <v>-276873.90419337316</v>
          </cell>
          <cell r="J50">
            <v>-142474.27851847527</v>
          </cell>
          <cell r="K50">
            <v>-110486.14626181737</v>
          </cell>
          <cell r="L50">
            <v>-128442.97416952247</v>
          </cell>
          <cell r="M50">
            <v>-146052.79423403775</v>
          </cell>
          <cell r="N50">
            <v>-79136.470842866547</v>
          </cell>
          <cell r="O50">
            <v>-103322.08128997148</v>
          </cell>
          <cell r="P50">
            <v>-25335.978369279415</v>
          </cell>
          <cell r="Q50">
            <v>27974.851543324185</v>
          </cell>
          <cell r="R50">
            <v>-74628.236703600502</v>
          </cell>
          <cell r="S50">
            <v>-112561.56293052135</v>
          </cell>
          <cell r="T50">
            <v>4856.9294578201734</v>
          </cell>
          <cell r="U50">
            <v>35722.281757007375</v>
          </cell>
          <cell r="V50">
            <v>-63877.251764145403</v>
          </cell>
          <cell r="W50">
            <v>-35.449117814641795</v>
          </cell>
          <cell r="X50">
            <v>0</v>
          </cell>
          <cell r="Y50">
            <v>0</v>
          </cell>
          <cell r="Z50">
            <v>-1679261.7016355079</v>
          </cell>
          <cell r="AA50">
            <v>44104.118000000002</v>
          </cell>
          <cell r="AB50">
            <v>-530.01</v>
          </cell>
          <cell r="AC50">
            <v>9265.2479999999996</v>
          </cell>
          <cell r="AD50">
            <v>23229.319</v>
          </cell>
          <cell r="AE50"/>
          <cell r="AF50"/>
          <cell r="AG50"/>
          <cell r="AH50">
            <v>76068.675000000003</v>
          </cell>
          <cell r="AI50">
            <v>-1603193.026635509</v>
          </cell>
          <cell r="AJ50">
            <v>-49772.663356637575</v>
          </cell>
          <cell r="AK50">
            <v>-151794.1449085169</v>
          </cell>
          <cell r="AL50">
            <v>-107781.14009999996</v>
          </cell>
          <cell r="AM50"/>
          <cell r="AN50">
            <v>-309347.94836515439</v>
          </cell>
          <cell r="AO50">
            <v>-101102.07300000079</v>
          </cell>
          <cell r="AP50">
            <v>-855.83299999999997</v>
          </cell>
          <cell r="AQ50"/>
          <cell r="AR50"/>
          <cell r="AS50">
            <v>-101957.9060000008</v>
          </cell>
          <cell r="AT50">
            <v>4056.5950000000003</v>
          </cell>
          <cell r="AU50">
            <v>9167.09</v>
          </cell>
          <cell r="AV50">
            <v>61929.440000000002</v>
          </cell>
          <cell r="AW50"/>
          <cell r="AX50"/>
          <cell r="AY50"/>
          <cell r="AZ50"/>
          <cell r="BA50">
            <v>75153.125</v>
          </cell>
          <cell r="BB50">
            <v>0</v>
          </cell>
          <cell r="BC50">
            <v>-6072.8019999999997</v>
          </cell>
          <cell r="BD50">
            <v>300000</v>
          </cell>
          <cell r="BE50">
            <v>319512.70899999997</v>
          </cell>
          <cell r="BF50">
            <v>-3689.5869999999995</v>
          </cell>
          <cell r="BG50">
            <v>23385.1</v>
          </cell>
          <cell r="BH50"/>
          <cell r="BI50"/>
          <cell r="BJ50">
            <v>633135.41999999993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446907</v>
          </cell>
          <cell r="H7">
            <v>326944</v>
          </cell>
          <cell r="I7">
            <v>282352</v>
          </cell>
          <cell r="J7">
            <v>145364</v>
          </cell>
          <cell r="K7">
            <v>233701.5</v>
          </cell>
          <cell r="L7">
            <v>251171</v>
          </cell>
          <cell r="M7">
            <v>158753</v>
          </cell>
          <cell r="N7">
            <v>237286.5</v>
          </cell>
          <cell r="O7">
            <v>147183</v>
          </cell>
          <cell r="P7">
            <v>196357.5</v>
          </cell>
          <cell r="Q7">
            <v>190040</v>
          </cell>
          <cell r="R7">
            <v>134213</v>
          </cell>
          <cell r="S7">
            <v>317544.5</v>
          </cell>
          <cell r="T7">
            <v>64481</v>
          </cell>
          <cell r="U7">
            <v>98341.5</v>
          </cell>
          <cell r="V7">
            <v>104594.5</v>
          </cell>
          <cell r="W7">
            <v>42994</v>
          </cell>
          <cell r="X7"/>
          <cell r="Y7"/>
          <cell r="Z7">
            <v>3378228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3378228</v>
          </cell>
          <cell r="AJ7">
            <v>238353</v>
          </cell>
          <cell r="AK7">
            <v>172092</v>
          </cell>
          <cell r="AL7">
            <v>429666</v>
          </cell>
          <cell r="AM7"/>
          <cell r="AN7">
            <v>840111</v>
          </cell>
          <cell r="AO7">
            <v>105164.211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462622137.22599995</v>
          </cell>
          <cell r="G8">
            <v>44168649.734000005</v>
          </cell>
          <cell r="H8">
            <v>32487435.569999997</v>
          </cell>
          <cell r="I8">
            <v>27203180.146000002</v>
          </cell>
          <cell r="J8">
            <v>14094889.742000002</v>
          </cell>
          <cell r="K8">
            <v>25325075.207000002</v>
          </cell>
          <cell r="L8">
            <v>25076528.037999999</v>
          </cell>
          <cell r="M8">
            <v>15104725.599999998</v>
          </cell>
          <cell r="N8">
            <v>24033941.980999999</v>
          </cell>
          <cell r="O8">
            <v>13741865.217999998</v>
          </cell>
          <cell r="P8">
            <v>19774515.350000001</v>
          </cell>
          <cell r="Q8">
            <v>18889928.515999999</v>
          </cell>
          <cell r="R8">
            <v>13929268.442000002</v>
          </cell>
          <cell r="S8">
            <v>32020142.446000002</v>
          </cell>
          <cell r="T8">
            <v>7251574.5669999998</v>
          </cell>
          <cell r="U8">
            <v>11049971.786</v>
          </cell>
          <cell r="V8">
            <v>10098437.311999999</v>
          </cell>
          <cell r="W8">
            <v>5315109.2179999994</v>
          </cell>
          <cell r="X8"/>
          <cell r="Y8"/>
          <cell r="Z8">
            <v>339565238.87299991</v>
          </cell>
          <cell r="AA8">
            <v>600000</v>
          </cell>
          <cell r="AB8">
            <v>0</v>
          </cell>
          <cell r="AC8">
            <v>150000</v>
          </cell>
          <cell r="AD8">
            <v>340080</v>
          </cell>
          <cell r="AE8"/>
          <cell r="AF8"/>
          <cell r="AG8"/>
          <cell r="AH8">
            <v>1090080</v>
          </cell>
          <cell r="AI8">
            <v>340655318.87299991</v>
          </cell>
          <cell r="AJ8">
            <v>6922548.0800000001</v>
          </cell>
          <cell r="AK8">
            <v>2413663</v>
          </cell>
          <cell r="AL8">
            <v>7733933</v>
          </cell>
          <cell r="AM8"/>
          <cell r="AN8">
            <v>17070144.079999998</v>
          </cell>
          <cell r="AO8">
            <v>103999846.95300001</v>
          </cell>
          <cell r="AP8">
            <v>0</v>
          </cell>
          <cell r="AQ8"/>
          <cell r="AR8"/>
          <cell r="AS8">
            <v>103999846.95300001</v>
          </cell>
          <cell r="AT8">
            <v>65100</v>
          </cell>
          <cell r="AU8">
            <v>73600</v>
          </cell>
          <cell r="AV8">
            <v>737142.47</v>
          </cell>
          <cell r="AW8"/>
          <cell r="AX8"/>
          <cell r="AY8"/>
          <cell r="AZ8"/>
          <cell r="BA8">
            <v>875842.47</v>
          </cell>
          <cell r="BB8">
            <v>0</v>
          </cell>
          <cell r="BC8">
            <v>20984.85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20984.85</v>
          </cell>
          <cell r="BK8"/>
          <cell r="BL8"/>
          <cell r="BM8"/>
          <cell r="BN8"/>
          <cell r="BO8"/>
        </row>
        <row r="9">
          <cell r="F9"/>
          <cell r="G9">
            <v>98831.85927720982</v>
          </cell>
          <cell r="H9">
            <v>99366.972845502591</v>
          </cell>
          <cell r="I9">
            <v>96344.917500141673</v>
          </cell>
          <cell r="J9">
            <v>96962.726273355176</v>
          </cell>
          <cell r="K9">
            <v>108365.05203004688</v>
          </cell>
          <cell r="L9">
            <v>99838.468764307981</v>
          </cell>
          <cell r="M9">
            <v>95146.079759122644</v>
          </cell>
          <cell r="N9">
            <v>101286.59650254018</v>
          </cell>
          <cell r="O9">
            <v>93365.845362575827</v>
          </cell>
          <cell r="P9">
            <v>100706.69747781471</v>
          </cell>
          <cell r="Q9">
            <v>99399.750136813294</v>
          </cell>
          <cell r="R9">
            <v>103784.79314224406</v>
          </cell>
          <cell r="S9">
            <v>100836.70933050329</v>
          </cell>
          <cell r="T9">
            <v>112460.64060731068</v>
          </cell>
          <cell r="U9">
            <v>112363.26256971879</v>
          </cell>
          <cell r="V9">
            <v>96548.454383356671</v>
          </cell>
          <cell r="W9">
            <v>123624.44103828441</v>
          </cell>
          <cell r="X9"/>
          <cell r="Y9"/>
          <cell r="Z9">
            <v>100515.78486502389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100838.46290806893</v>
          </cell>
          <cell r="AJ9">
            <v>29043.259703045482</v>
          </cell>
          <cell r="AK9">
            <v>14025.422448457801</v>
          </cell>
          <cell r="AL9">
            <v>17999.871993595025</v>
          </cell>
          <cell r="AM9"/>
          <cell r="AN9"/>
          <cell r="AO9">
            <v>988928.13404932991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409739450.83279008</v>
          </cell>
          <cell r="G10">
            <v>39055558.802540004</v>
          </cell>
          <cell r="H10">
            <v>29588507.485259995</v>
          </cell>
          <cell r="I10">
            <v>24746722.751340002</v>
          </cell>
          <cell r="J10">
            <v>12440366.816380002</v>
          </cell>
          <cell r="K10">
            <v>21456618.785160005</v>
          </cell>
          <cell r="L10">
            <v>21408332.67729</v>
          </cell>
          <cell r="M10">
            <v>13683095.52636</v>
          </cell>
          <cell r="N10">
            <v>21064304.06955</v>
          </cell>
          <cell r="O10">
            <v>12095935.905629998</v>
          </cell>
          <cell r="P10">
            <v>16194466.14401</v>
          </cell>
          <cell r="Q10">
            <v>15683221.60482</v>
          </cell>
          <cell r="R10">
            <v>11958464.062140001</v>
          </cell>
          <cell r="S10">
            <v>26852156.940109998</v>
          </cell>
          <cell r="T10">
            <v>5664940.9432100002</v>
          </cell>
          <cell r="U10">
            <v>7855828.9059199989</v>
          </cell>
          <cell r="V10">
            <v>8805651.5747599993</v>
          </cell>
          <cell r="W10">
            <v>4624707.0461100005</v>
          </cell>
          <cell r="X10"/>
          <cell r="Y10"/>
          <cell r="Z10">
            <v>293178880.04059005</v>
          </cell>
          <cell r="AA10">
            <v>42752.962000000007</v>
          </cell>
          <cell r="AB10">
            <v>0</v>
          </cell>
          <cell r="AC10">
            <v>83930.555999999997</v>
          </cell>
          <cell r="AD10">
            <v>112040.423</v>
          </cell>
          <cell r="AE10"/>
          <cell r="AF10"/>
          <cell r="AG10"/>
          <cell r="AH10">
            <v>238723.94099999999</v>
          </cell>
          <cell r="AI10">
            <v>293417603.98159003</v>
          </cell>
          <cell r="AJ10">
            <v>5944319.2885599993</v>
          </cell>
          <cell r="AK10">
            <v>2287026.3271699995</v>
          </cell>
          <cell r="AL10">
            <v>7610303.9294699989</v>
          </cell>
          <cell r="AM10"/>
          <cell r="AN10">
            <v>15841649.545199998</v>
          </cell>
          <cell r="AO10">
            <v>101702986.18400002</v>
          </cell>
          <cell r="AP10">
            <v>0</v>
          </cell>
          <cell r="AQ10"/>
          <cell r="AR10"/>
          <cell r="AS10">
            <v>101702986.18400002</v>
          </cell>
          <cell r="AT10">
            <v>1606.4559999999999</v>
          </cell>
          <cell r="AU10">
            <v>6054.598</v>
          </cell>
          <cell r="AV10">
            <v>0</v>
          </cell>
          <cell r="AW10"/>
          <cell r="AX10"/>
          <cell r="AY10"/>
          <cell r="AZ10"/>
          <cell r="BA10">
            <v>7661.0540000000001</v>
          </cell>
          <cell r="BB10">
            <v>0</v>
          </cell>
          <cell r="BC10">
            <v>0</v>
          </cell>
          <cell r="BD10">
            <v>-1291788.24</v>
          </cell>
          <cell r="BE10">
            <v>0</v>
          </cell>
          <cell r="BF10">
            <v>0</v>
          </cell>
          <cell r="BG10">
            <v>61338.308000000012</v>
          </cell>
          <cell r="BH10"/>
          <cell r="BI10"/>
          <cell r="BJ10">
            <v>-1230449.932</v>
          </cell>
          <cell r="BK10"/>
          <cell r="BL10"/>
          <cell r="BM10"/>
          <cell r="BN10"/>
          <cell r="BO10"/>
        </row>
        <row r="11">
          <cell r="F11"/>
          <cell r="G11">
            <v>87390.796748630033</v>
          </cell>
          <cell r="H11">
            <v>90500.230881312993</v>
          </cell>
          <cell r="I11">
            <v>87644.935227446593</v>
          </cell>
          <cell r="J11">
            <v>85580.79590806528</v>
          </cell>
          <cell r="K11">
            <v>91812.071318155868</v>
          </cell>
          <cell r="L11">
            <v>85234.09421187159</v>
          </cell>
          <cell r="M11">
            <v>86191.098916933857</v>
          </cell>
          <cell r="N11">
            <v>88771.607611684609</v>
          </cell>
          <cell r="O11">
            <v>82182.968859379136</v>
          </cell>
          <cell r="P11">
            <v>82474.395650840946</v>
          </cell>
          <cell r="Q11">
            <v>82525.897731109246</v>
          </cell>
          <cell r="R11">
            <v>89100.639000245894</v>
          </cell>
          <cell r="S11">
            <v>84561.8706672923</v>
          </cell>
          <cell r="T11">
            <v>87854.421352181264</v>
          </cell>
          <cell r="U11">
            <v>79883.15112053405</v>
          </cell>
          <cell r="V11">
            <v>84188.476208213615</v>
          </cell>
          <cell r="W11">
            <v>107566.33590989442</v>
          </cell>
          <cell r="X11"/>
          <cell r="Y11"/>
          <cell r="Z11">
            <v>86784.811457542251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86855.476889537953</v>
          </cell>
          <cell r="AJ11">
            <v>24939.141896934376</v>
          </cell>
          <cell r="AK11">
            <v>13289.556325511932</v>
          </cell>
          <cell r="AL11">
            <v>17712.139032341398</v>
          </cell>
          <cell r="AM11"/>
          <cell r="AN11"/>
          <cell r="AO11">
            <v>967087.42657708924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52882686.393209875</v>
          </cell>
          <cell r="G12">
            <v>5113090.9314600006</v>
          </cell>
          <cell r="H12">
            <v>2898928.0847400017</v>
          </cell>
          <cell r="I12">
            <v>2456457.3946599998</v>
          </cell>
          <cell r="J12">
            <v>1654522.9256200008</v>
          </cell>
          <cell r="K12">
            <v>3868456.4218399972</v>
          </cell>
          <cell r="L12">
            <v>3668195.3607099988</v>
          </cell>
          <cell r="M12">
            <v>1421630.0736399982</v>
          </cell>
          <cell r="N12">
            <v>2969637.9114499986</v>
          </cell>
          <cell r="O12">
            <v>1645929.3123700004</v>
          </cell>
          <cell r="P12">
            <v>3580049.2059900016</v>
          </cell>
          <cell r="Q12">
            <v>3206706.9111799989</v>
          </cell>
          <cell r="R12">
            <v>1970804.3798600007</v>
          </cell>
          <cell r="S12">
            <v>5167985.5058900043</v>
          </cell>
          <cell r="T12">
            <v>1586633.6237899996</v>
          </cell>
          <cell r="U12">
            <v>3194142.8800800014</v>
          </cell>
          <cell r="V12">
            <v>1292785.7372399997</v>
          </cell>
          <cell r="W12">
            <v>690402.17188999895</v>
          </cell>
          <cell r="X12"/>
          <cell r="Y12"/>
          <cell r="Z12">
            <v>46386358.83241</v>
          </cell>
          <cell r="AA12">
            <v>557247.03799999994</v>
          </cell>
          <cell r="AB12">
            <v>0</v>
          </cell>
          <cell r="AC12">
            <v>66069.444000000003</v>
          </cell>
          <cell r="AD12">
            <v>228039.57699999999</v>
          </cell>
          <cell r="AE12"/>
          <cell r="AF12"/>
          <cell r="AG12"/>
          <cell r="AH12">
            <v>851356.05900000001</v>
          </cell>
          <cell r="AI12">
            <v>47237714.891409874</v>
          </cell>
          <cell r="AJ12">
            <v>978228.79144000076</v>
          </cell>
          <cell r="AK12">
            <v>126636.67283000052</v>
          </cell>
          <cell r="AL12">
            <v>123629.07053000107</v>
          </cell>
          <cell r="AM12"/>
          <cell r="AN12">
            <v>1228494.5348000005</v>
          </cell>
          <cell r="AO12">
            <v>2296860.7689999938</v>
          </cell>
          <cell r="AP12">
            <v>0</v>
          </cell>
          <cell r="AQ12"/>
          <cell r="AR12"/>
          <cell r="AS12">
            <v>2296860.7689999938</v>
          </cell>
          <cell r="AT12">
            <v>63493.544000000002</v>
          </cell>
          <cell r="AU12">
            <v>67545.402000000002</v>
          </cell>
          <cell r="AV12">
            <v>737142.47</v>
          </cell>
          <cell r="AW12"/>
          <cell r="AX12"/>
          <cell r="AY12"/>
          <cell r="AZ12"/>
          <cell r="BA12">
            <v>868181.41599999997</v>
          </cell>
          <cell r="BB12">
            <v>0</v>
          </cell>
          <cell r="BC12">
            <v>20984.85</v>
          </cell>
          <cell r="BD12">
            <v>1291788.24</v>
          </cell>
          <cell r="BE12">
            <v>0</v>
          </cell>
          <cell r="BF12">
            <v>0</v>
          </cell>
          <cell r="BG12">
            <v>-61338.308000000012</v>
          </cell>
          <cell r="BH12"/>
          <cell r="BI12"/>
          <cell r="BJ12">
            <v>1251434.7820000001</v>
          </cell>
          <cell r="BK12"/>
          <cell r="BL12"/>
          <cell r="BM12"/>
          <cell r="BN12"/>
          <cell r="BO12"/>
        </row>
        <row r="13">
          <cell r="F13">
            <v>10526117.802000001</v>
          </cell>
          <cell r="G13">
            <v>909131.68199999991</v>
          </cell>
          <cell r="H13">
            <v>798009.38500000013</v>
          </cell>
          <cell r="I13">
            <v>615975.16899999999</v>
          </cell>
          <cell r="J13">
            <v>441219.42299999995</v>
          </cell>
          <cell r="K13">
            <v>596264.147</v>
          </cell>
          <cell r="L13">
            <v>649070.223</v>
          </cell>
          <cell r="M13">
            <v>476212.56900000002</v>
          </cell>
          <cell r="N13">
            <v>594258.16599999997</v>
          </cell>
          <cell r="O13">
            <v>356376.11</v>
          </cell>
          <cell r="P13">
            <v>557641.59999999986</v>
          </cell>
          <cell r="Q13">
            <v>476821.47200000007</v>
          </cell>
          <cell r="R13">
            <v>377162.152</v>
          </cell>
          <cell r="S13">
            <v>599128.59000000008</v>
          </cell>
          <cell r="T13">
            <v>148942.951</v>
          </cell>
          <cell r="U13">
            <v>144267.67300000001</v>
          </cell>
          <cell r="V13">
            <v>401662.16</v>
          </cell>
          <cell r="W13">
            <v>184196.82699999999</v>
          </cell>
          <cell r="X13"/>
          <cell r="Y13"/>
          <cell r="Z13">
            <v>8326340.2990000006</v>
          </cell>
          <cell r="AA13">
            <v>2089.6999999999998</v>
          </cell>
          <cell r="AB13">
            <v>2813.9360000000001</v>
          </cell>
          <cell r="AC13">
            <v>4201.68</v>
          </cell>
          <cell r="AD13">
            <v>0</v>
          </cell>
          <cell r="AE13"/>
          <cell r="AF13"/>
          <cell r="AG13"/>
          <cell r="AH13">
            <v>9105.3160000000007</v>
          </cell>
          <cell r="AI13">
            <v>8335445.6150000012</v>
          </cell>
          <cell r="AJ13">
            <v>7729.9989999999998</v>
          </cell>
          <cell r="AK13">
            <v>195599.63499999998</v>
          </cell>
          <cell r="AL13">
            <v>0</v>
          </cell>
          <cell r="AM13"/>
          <cell r="AN13">
            <v>203329.63399999999</v>
          </cell>
          <cell r="AO13">
            <v>1730788.764</v>
          </cell>
          <cell r="AP13">
            <v>0</v>
          </cell>
          <cell r="AQ13"/>
          <cell r="AR13"/>
          <cell r="AS13">
            <v>1730788.764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256553.78899999996</v>
          </cell>
          <cell r="BG13">
            <v>0</v>
          </cell>
          <cell r="BH13"/>
          <cell r="BI13"/>
          <cell r="BJ13">
            <v>256553.78899999996</v>
          </cell>
          <cell r="BK13"/>
          <cell r="BL13"/>
          <cell r="BM13"/>
          <cell r="BN13"/>
          <cell r="BO13"/>
        </row>
        <row r="14">
          <cell r="F14">
            <v>6892008.1699999999</v>
          </cell>
          <cell r="G14">
            <v>610310.00599999994</v>
          </cell>
          <cell r="H14">
            <v>526372.09200000006</v>
          </cell>
          <cell r="I14">
            <v>429333.46099999995</v>
          </cell>
          <cell r="J14">
            <v>320699.97699999996</v>
          </cell>
          <cell r="K14">
            <v>408479.527</v>
          </cell>
          <cell r="L14">
            <v>442016.36699999997</v>
          </cell>
          <cell r="M14">
            <v>336136.505</v>
          </cell>
          <cell r="N14">
            <v>429938.29200000002</v>
          </cell>
          <cell r="O14">
            <v>250776.91900000002</v>
          </cell>
          <cell r="P14">
            <v>397834.49499999994</v>
          </cell>
          <cell r="Q14">
            <v>336540.17500000005</v>
          </cell>
          <cell r="R14">
            <v>260107.40299999999</v>
          </cell>
          <cell r="S14">
            <v>400354.95</v>
          </cell>
          <cell r="T14">
            <v>93155.844999999987</v>
          </cell>
          <cell r="U14">
            <v>92575.039000000004</v>
          </cell>
          <cell r="V14">
            <v>279109.04099999997</v>
          </cell>
          <cell r="W14">
            <v>134479.011</v>
          </cell>
          <cell r="X14"/>
          <cell r="Y14"/>
          <cell r="Z14">
            <v>5748219.1050000004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5748219.1050000004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1143789.0649999999</v>
          </cell>
          <cell r="AP14">
            <v>0</v>
          </cell>
          <cell r="AQ14"/>
          <cell r="AR14"/>
          <cell r="AS14">
            <v>1143789.0649999999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3634109.6320000007</v>
          </cell>
          <cell r="G15">
            <v>298821.67599999998</v>
          </cell>
          <cell r="H15">
            <v>271637.29300000006</v>
          </cell>
          <cell r="I15">
            <v>186641.70799999998</v>
          </cell>
          <cell r="J15">
            <v>120519.446</v>
          </cell>
          <cell r="K15">
            <v>187784.62</v>
          </cell>
          <cell r="L15">
            <v>207053.856</v>
          </cell>
          <cell r="M15">
            <v>140076.06400000001</v>
          </cell>
          <cell r="N15">
            <v>164319.87399999998</v>
          </cell>
          <cell r="O15">
            <v>105599.19099999999</v>
          </cell>
          <cell r="P15">
            <v>159807.10499999998</v>
          </cell>
          <cell r="Q15">
            <v>140281.29700000002</v>
          </cell>
          <cell r="R15">
            <v>117054.74900000001</v>
          </cell>
          <cell r="S15">
            <v>198773.64</v>
          </cell>
          <cell r="T15">
            <v>55787.106</v>
          </cell>
          <cell r="U15">
            <v>51692.634000000005</v>
          </cell>
          <cell r="V15">
            <v>122553.11900000002</v>
          </cell>
          <cell r="W15">
            <v>49717.816000000006</v>
          </cell>
          <cell r="X15"/>
          <cell r="Y15"/>
          <cell r="Z15">
            <v>2578121.1940000006</v>
          </cell>
          <cell r="AA15">
            <v>2089.6999999999998</v>
          </cell>
          <cell r="AB15">
            <v>2813.9360000000001</v>
          </cell>
          <cell r="AC15">
            <v>4201.68</v>
          </cell>
          <cell r="AD15">
            <v>0</v>
          </cell>
          <cell r="AE15"/>
          <cell r="AF15"/>
          <cell r="AG15"/>
          <cell r="AH15">
            <v>9105.3160000000007</v>
          </cell>
          <cell r="AI15">
            <v>2587226.5100000007</v>
          </cell>
          <cell r="AJ15">
            <v>7729.9989999999998</v>
          </cell>
          <cell r="AK15">
            <v>195599.63499999998</v>
          </cell>
          <cell r="AL15">
            <v>0</v>
          </cell>
          <cell r="AM15"/>
          <cell r="AN15">
            <v>203329.63399999999</v>
          </cell>
          <cell r="AO15">
            <v>586999.69900000014</v>
          </cell>
          <cell r="AP15">
            <v>0</v>
          </cell>
          <cell r="AQ15"/>
          <cell r="AR15"/>
          <cell r="AS15">
            <v>586999.69900000014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256553.78899999996</v>
          </cell>
          <cell r="BG15">
            <v>0</v>
          </cell>
          <cell r="BH15"/>
          <cell r="BI15"/>
          <cell r="BJ15">
            <v>256553.78899999996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42356568.591209874</v>
          </cell>
          <cell r="G17">
            <v>4203959.2494600005</v>
          </cell>
          <cell r="H17">
            <v>2100918.6997400015</v>
          </cell>
          <cell r="I17">
            <v>1840482.2256599998</v>
          </cell>
          <cell r="J17">
            <v>1213303.5026200009</v>
          </cell>
          <cell r="K17">
            <v>3272192.2748399973</v>
          </cell>
          <cell r="L17">
            <v>3019125.1377099985</v>
          </cell>
          <cell r="M17">
            <v>945417.50463999819</v>
          </cell>
          <cell r="N17">
            <v>2375379.7454499984</v>
          </cell>
          <cell r="O17">
            <v>1289553.2023700005</v>
          </cell>
          <cell r="P17">
            <v>3022407.6059900019</v>
          </cell>
          <cell r="Q17">
            <v>2729885.4391799988</v>
          </cell>
          <cell r="R17">
            <v>1593642.2278600007</v>
          </cell>
          <cell r="S17">
            <v>4568856.9158900045</v>
          </cell>
          <cell r="T17">
            <v>1437690.6727899997</v>
          </cell>
          <cell r="U17">
            <v>3049875.2070800015</v>
          </cell>
          <cell r="V17">
            <v>891123.57723999978</v>
          </cell>
          <cell r="W17">
            <v>506205.34488999896</v>
          </cell>
          <cell r="X17"/>
          <cell r="Y17"/>
          <cell r="Z17">
            <v>38060018.533409998</v>
          </cell>
          <cell r="AA17">
            <v>555157.33799999999</v>
          </cell>
          <cell r="AB17">
            <v>-2813.9360000000001</v>
          </cell>
          <cell r="AC17">
            <v>61867.764000000003</v>
          </cell>
          <cell r="AD17">
            <v>228039.57699999999</v>
          </cell>
          <cell r="AE17"/>
          <cell r="AF17"/>
          <cell r="AG17"/>
          <cell r="AH17">
            <v>842250.74300000002</v>
          </cell>
          <cell r="AI17">
            <v>38902269.276409872</v>
          </cell>
          <cell r="AJ17">
            <v>970498.79244000081</v>
          </cell>
          <cell r="AK17">
            <v>-68962.96216999946</v>
          </cell>
          <cell r="AL17">
            <v>123629.07053000107</v>
          </cell>
          <cell r="AM17"/>
          <cell r="AN17">
            <v>1025164.9008000005</v>
          </cell>
          <cell r="AO17">
            <v>566072.00499999383</v>
          </cell>
          <cell r="AP17">
            <v>0</v>
          </cell>
          <cell r="AQ17"/>
          <cell r="AR17"/>
          <cell r="AS17">
            <v>566072.00499999383</v>
          </cell>
          <cell r="AT17">
            <v>63493.544000000002</v>
          </cell>
          <cell r="AU17">
            <v>67545.402000000002</v>
          </cell>
          <cell r="AV17">
            <v>737142.47</v>
          </cell>
          <cell r="AW17"/>
          <cell r="AX17"/>
          <cell r="AY17"/>
          <cell r="AZ17"/>
          <cell r="BA17">
            <v>868181.41599999997</v>
          </cell>
          <cell r="BB17">
            <v>0</v>
          </cell>
          <cell r="BC17">
            <v>20984.85</v>
          </cell>
          <cell r="BD17">
            <v>1291788.24</v>
          </cell>
          <cell r="BE17">
            <v>0</v>
          </cell>
          <cell r="BF17">
            <v>-256553.78899999996</v>
          </cell>
          <cell r="BG17">
            <v>-61338.308000000012</v>
          </cell>
          <cell r="BH17"/>
          <cell r="BI17"/>
          <cell r="BJ17">
            <v>994880.99300000013</v>
          </cell>
          <cell r="BK17"/>
          <cell r="BL17"/>
          <cell r="BM17"/>
          <cell r="BN17"/>
          <cell r="BO17"/>
        </row>
        <row r="18">
          <cell r="F18">
            <v>6776980.1731999991</v>
          </cell>
          <cell r="G18">
            <v>355004.75045999995</v>
          </cell>
          <cell r="H18">
            <v>415761.59773000004</v>
          </cell>
          <cell r="I18">
            <v>227120.27866000004</v>
          </cell>
          <cell r="J18">
            <v>224919.54261999996</v>
          </cell>
          <cell r="K18">
            <v>953923.86684000003</v>
          </cell>
          <cell r="L18">
            <v>440552.94171000004</v>
          </cell>
          <cell r="M18">
            <v>199123.47064000001</v>
          </cell>
          <cell r="N18">
            <v>389907.87745000003</v>
          </cell>
          <cell r="O18">
            <v>133515.60837</v>
          </cell>
          <cell r="P18">
            <v>376793.57399000012</v>
          </cell>
          <cell r="Q18">
            <v>178384.72318</v>
          </cell>
          <cell r="R18">
            <v>161228.41985999999</v>
          </cell>
          <cell r="S18">
            <v>382169.55689000001</v>
          </cell>
          <cell r="T18">
            <v>69168.73679000001</v>
          </cell>
          <cell r="U18">
            <v>125906.77708</v>
          </cell>
          <cell r="V18">
            <v>251106.57224000001</v>
          </cell>
          <cell r="W18">
            <v>138146.31988999998</v>
          </cell>
          <cell r="X18"/>
          <cell r="Y18"/>
          <cell r="Z18">
            <v>5022734.6144000003</v>
          </cell>
          <cell r="AA18">
            <v>66589.840999999986</v>
          </cell>
          <cell r="AB18">
            <v>4244.0439999999999</v>
          </cell>
          <cell r="AC18">
            <v>0</v>
          </cell>
          <cell r="AD18">
            <v>0</v>
          </cell>
          <cell r="AE18"/>
          <cell r="AF18"/>
          <cell r="AG18"/>
          <cell r="AH18">
            <v>70833.88499999998</v>
          </cell>
          <cell r="AI18">
            <v>5093568.4993999992</v>
          </cell>
          <cell r="AJ18">
            <v>401021.55644000001</v>
          </cell>
          <cell r="AK18">
            <v>142726.59682999999</v>
          </cell>
          <cell r="AL18">
            <v>678712.24553000007</v>
          </cell>
          <cell r="AM18"/>
          <cell r="AN18">
            <v>1222460.3988000001</v>
          </cell>
          <cell r="AO18">
            <v>65313.73</v>
          </cell>
          <cell r="AP18">
            <v>10270.029</v>
          </cell>
          <cell r="AQ18"/>
          <cell r="AR18"/>
          <cell r="AS18">
            <v>75583.759000000005</v>
          </cell>
          <cell r="AT18">
            <v>15754.713</v>
          </cell>
          <cell r="AU18">
            <v>51503.514000000003</v>
          </cell>
          <cell r="AV18">
            <v>0</v>
          </cell>
          <cell r="AW18"/>
          <cell r="AX18"/>
          <cell r="AY18"/>
          <cell r="AZ18"/>
          <cell r="BA18">
            <v>67258.226999999999</v>
          </cell>
          <cell r="BB18">
            <v>0</v>
          </cell>
          <cell r="BC18">
            <v>165852.55399999997</v>
          </cell>
          <cell r="BD18">
            <v>0</v>
          </cell>
          <cell r="BE18">
            <v>0</v>
          </cell>
          <cell r="BF18">
            <v>152256.73499999999</v>
          </cell>
          <cell r="BG18">
            <v>0</v>
          </cell>
          <cell r="BH18"/>
          <cell r="BI18"/>
          <cell r="BJ18">
            <v>318109.28899999999</v>
          </cell>
          <cell r="BK18"/>
          <cell r="BL18"/>
          <cell r="BM18"/>
          <cell r="BN18"/>
          <cell r="BO18"/>
        </row>
        <row r="19">
          <cell r="F19">
            <v>6116157.4081999995</v>
          </cell>
          <cell r="G19">
            <v>327073.29745999997</v>
          </cell>
          <cell r="H19">
            <v>392419.98973000003</v>
          </cell>
          <cell r="I19">
            <v>207740.47266000003</v>
          </cell>
          <cell r="J19">
            <v>210615.69161999997</v>
          </cell>
          <cell r="K19">
            <v>931411.08284000005</v>
          </cell>
          <cell r="L19">
            <v>421780.12871000002</v>
          </cell>
          <cell r="M19">
            <v>184800.28664000001</v>
          </cell>
          <cell r="N19">
            <v>371148.23145000002</v>
          </cell>
          <cell r="O19">
            <v>124515.18536999999</v>
          </cell>
          <cell r="P19">
            <v>362168.3909900001</v>
          </cell>
          <cell r="Q19">
            <v>163920.08317999999</v>
          </cell>
          <cell r="R19">
            <v>148002.56785999998</v>
          </cell>
          <cell r="S19">
            <v>363111.14588999999</v>
          </cell>
          <cell r="T19">
            <v>64723.941790000004</v>
          </cell>
          <cell r="U19">
            <v>120592.34908</v>
          </cell>
          <cell r="V19">
            <v>237584.21524000002</v>
          </cell>
          <cell r="W19">
            <v>128241.88088999999</v>
          </cell>
          <cell r="X19"/>
          <cell r="Y19"/>
          <cell r="Z19">
            <v>4759848.941399999</v>
          </cell>
          <cell r="AA19">
            <v>66589.840999999986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66589.840999999986</v>
          </cell>
          <cell r="AI19">
            <v>4826438.782399999</v>
          </cell>
          <cell r="AJ19">
            <v>401021.55644000001</v>
          </cell>
          <cell r="AK19">
            <v>142726.59682999999</v>
          </cell>
          <cell r="AL19">
            <v>678712.24553000007</v>
          </cell>
          <cell r="AM19"/>
          <cell r="AN19">
            <v>1222460.3988000001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15754.713</v>
          </cell>
          <cell r="AU19">
            <v>51503.514000000003</v>
          </cell>
          <cell r="AV19">
            <v>0</v>
          </cell>
          <cell r="AW19"/>
          <cell r="AX19"/>
          <cell r="AY19"/>
          <cell r="AZ19"/>
          <cell r="BA19">
            <v>67258.226999999999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660822.76500000001</v>
          </cell>
          <cell r="G20">
            <v>27931.452999999998</v>
          </cell>
          <cell r="H20">
            <v>23341.607999999997</v>
          </cell>
          <cell r="I20">
            <v>19379.806</v>
          </cell>
          <cell r="J20">
            <v>14303.851000000001</v>
          </cell>
          <cell r="K20">
            <v>22512.784</v>
          </cell>
          <cell r="L20">
            <v>18772.812999999995</v>
          </cell>
          <cell r="M20">
            <v>14323.183999999997</v>
          </cell>
          <cell r="N20">
            <v>18759.646000000001</v>
          </cell>
          <cell r="O20">
            <v>9000.4229999999989</v>
          </cell>
          <cell r="P20">
            <v>14625.182999999997</v>
          </cell>
          <cell r="Q20">
            <v>14464.640000000003</v>
          </cell>
          <cell r="R20">
            <v>13225.852000000001</v>
          </cell>
          <cell r="S20">
            <v>19058.411000000004</v>
          </cell>
          <cell r="T20">
            <v>4444.7950000000001</v>
          </cell>
          <cell r="U20">
            <v>5314.4279999999999</v>
          </cell>
          <cell r="V20">
            <v>13522.356999999998</v>
          </cell>
          <cell r="W20">
            <v>9904.4390000000003</v>
          </cell>
          <cell r="X20"/>
          <cell r="Y20"/>
          <cell r="Z20">
            <v>262885.67300000001</v>
          </cell>
          <cell r="AA20">
            <v>0</v>
          </cell>
          <cell r="AB20">
            <v>4244.0439999999999</v>
          </cell>
          <cell r="AC20">
            <v>0</v>
          </cell>
          <cell r="AD20">
            <v>0</v>
          </cell>
          <cell r="AE20"/>
          <cell r="AF20"/>
          <cell r="AG20"/>
          <cell r="AH20">
            <v>4244.0439999999999</v>
          </cell>
          <cell r="AI20">
            <v>267129.717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65313.73</v>
          </cell>
          <cell r="AP20">
            <v>10270.029</v>
          </cell>
          <cell r="AQ20"/>
          <cell r="AR20"/>
          <cell r="AS20">
            <v>75583.759000000005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165852.55399999997</v>
          </cell>
          <cell r="BD20">
            <v>0</v>
          </cell>
          <cell r="BE20">
            <v>0</v>
          </cell>
          <cell r="BF20">
            <v>152256.73499999999</v>
          </cell>
          <cell r="BG20">
            <v>0</v>
          </cell>
          <cell r="BH20"/>
          <cell r="BI20"/>
          <cell r="BJ20">
            <v>318109.28899999999</v>
          </cell>
          <cell r="BK20"/>
          <cell r="BL20"/>
          <cell r="BM20"/>
          <cell r="BN20"/>
          <cell r="BO20"/>
        </row>
        <row r="21">
          <cell r="F21">
            <v>35579588.418009877</v>
          </cell>
          <cell r="G21">
            <v>3848954.4990000008</v>
          </cell>
          <cell r="H21">
            <v>1685157.1020100014</v>
          </cell>
          <cell r="I21">
            <v>1613361.9469999997</v>
          </cell>
          <cell r="J21">
            <v>988383.96000000089</v>
          </cell>
          <cell r="K21">
            <v>2318268.407999997</v>
          </cell>
          <cell r="L21">
            <v>2578572.1959999986</v>
          </cell>
          <cell r="M21">
            <v>746294.03399999812</v>
          </cell>
          <cell r="N21">
            <v>1985471.8679999984</v>
          </cell>
          <cell r="O21">
            <v>1156037.5940000005</v>
          </cell>
          <cell r="P21">
            <v>2645614.032000002</v>
          </cell>
          <cell r="Q21">
            <v>2551500.7159999986</v>
          </cell>
          <cell r="R21">
            <v>1432413.8080000007</v>
          </cell>
          <cell r="S21">
            <v>4186687.3590000044</v>
          </cell>
          <cell r="T21">
            <v>1368521.9359999998</v>
          </cell>
          <cell r="U21">
            <v>2923968.4300000016</v>
          </cell>
          <cell r="V21">
            <v>640017.00499999977</v>
          </cell>
          <cell r="W21">
            <v>368059.02499999898</v>
          </cell>
          <cell r="X21"/>
          <cell r="Y21"/>
          <cell r="Z21">
            <v>33037283.919009998</v>
          </cell>
          <cell r="AA21">
            <v>488567.49699999997</v>
          </cell>
          <cell r="AB21">
            <v>-7057.98</v>
          </cell>
          <cell r="AC21">
            <v>61867.764000000003</v>
          </cell>
          <cell r="AD21">
            <v>228039.57699999999</v>
          </cell>
          <cell r="AE21"/>
          <cell r="AF21"/>
          <cell r="AG21"/>
          <cell r="AH21">
            <v>771416.85800000001</v>
          </cell>
          <cell r="AI21">
            <v>33808700.777009875</v>
          </cell>
          <cell r="AJ21">
            <v>569477.23600000073</v>
          </cell>
          <cell r="AK21">
            <v>-211689.55899999946</v>
          </cell>
          <cell r="AL21">
            <v>-555083.174999999</v>
          </cell>
          <cell r="AM21"/>
          <cell r="AN21">
            <v>-197295.49799999956</v>
          </cell>
          <cell r="AO21">
            <v>500758.27499999385</v>
          </cell>
          <cell r="AP21">
            <v>-10270.029</v>
          </cell>
          <cell r="AQ21"/>
          <cell r="AR21"/>
          <cell r="AS21">
            <v>490488.24599999381</v>
          </cell>
          <cell r="AT21">
            <v>47738.831000000006</v>
          </cell>
          <cell r="AU21">
            <v>16041.887999999999</v>
          </cell>
          <cell r="AV21">
            <v>737142.47</v>
          </cell>
          <cell r="AW21"/>
          <cell r="AX21"/>
          <cell r="AY21"/>
          <cell r="AZ21"/>
          <cell r="BA21">
            <v>800923.18900000001</v>
          </cell>
          <cell r="BB21">
            <v>0</v>
          </cell>
          <cell r="BC21">
            <v>-144867.70399999997</v>
          </cell>
          <cell r="BD21">
            <v>1291788.24</v>
          </cell>
          <cell r="BE21">
            <v>0</v>
          </cell>
          <cell r="BF21">
            <v>-408810.52399999998</v>
          </cell>
          <cell r="BG21">
            <v>-61338.308000000012</v>
          </cell>
          <cell r="BH21"/>
          <cell r="BI21"/>
          <cell r="BJ21">
            <v>676771.70400000014</v>
          </cell>
          <cell r="BK21"/>
          <cell r="BL21"/>
          <cell r="BM21"/>
          <cell r="BN21"/>
          <cell r="BO21"/>
        </row>
        <row r="22">
          <cell r="F22">
            <v>18261836.954999477</v>
          </cell>
          <cell r="G22">
            <v>2256281.7652134104</v>
          </cell>
          <cell r="H22">
            <v>1677000.8913995447</v>
          </cell>
          <cell r="I22">
            <v>1395390.2537842491</v>
          </cell>
          <cell r="J22">
            <v>706055.70382912841</v>
          </cell>
          <cell r="K22">
            <v>1311301.309251036</v>
          </cell>
          <cell r="L22">
            <v>1323758.4670883883</v>
          </cell>
          <cell r="M22">
            <v>783432.44038173696</v>
          </cell>
          <cell r="N22">
            <v>1260469.9679318385</v>
          </cell>
          <cell r="O22">
            <v>712724.08024115115</v>
          </cell>
          <cell r="P22">
            <v>1035529.0412370372</v>
          </cell>
          <cell r="Q22">
            <v>993411.43408395571</v>
          </cell>
          <cell r="R22">
            <v>744533.73637747148</v>
          </cell>
          <cell r="S22">
            <v>1574506.9099345971</v>
          </cell>
          <cell r="T22">
            <v>355187.1266723689</v>
          </cell>
          <cell r="U22">
            <v>544328.09997541236</v>
          </cell>
          <cell r="V22">
            <v>496576.54421226669</v>
          </cell>
          <cell r="W22">
            <v>272991.68315530714</v>
          </cell>
          <cell r="X22"/>
          <cell r="Y22"/>
          <cell r="Z22">
            <v>17443479.454768896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17443479.454768896</v>
          </cell>
          <cell r="AJ22">
            <v>229752.84436659227</v>
          </cell>
          <cell r="AK22">
            <v>67036.865113986307</v>
          </cell>
          <cell r="AL22">
            <v>267221.16674999997</v>
          </cell>
          <cell r="AM22"/>
          <cell r="AN22">
            <v>564010.87623057852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254346.62400000001</v>
          </cell>
          <cell r="BF22">
            <v>0</v>
          </cell>
          <cell r="BG22">
            <v>0</v>
          </cell>
          <cell r="BH22"/>
          <cell r="BI22"/>
          <cell r="BJ22">
            <v>254346.62400000001</v>
          </cell>
          <cell r="BK22"/>
          <cell r="BL22"/>
          <cell r="BM22"/>
          <cell r="BN22"/>
          <cell r="BO22"/>
        </row>
        <row r="23">
          <cell r="F23">
            <v>3056798.1769994791</v>
          </cell>
          <cell r="G23">
            <v>323964.86872669647</v>
          </cell>
          <cell r="H23">
            <v>238979.36154433776</v>
          </cell>
          <cell r="I23">
            <v>196704.10009095987</v>
          </cell>
          <cell r="J23">
            <v>101763.70088743996</v>
          </cell>
          <cell r="K23">
            <v>206727.44491197745</v>
          </cell>
          <cell r="L23">
            <v>204622.94436558604</v>
          </cell>
          <cell r="M23">
            <v>124086.16608165356</v>
          </cell>
          <cell r="N23">
            <v>198047.51598170458</v>
          </cell>
          <cell r="O23">
            <v>112908.97988319039</v>
          </cell>
          <cell r="P23">
            <v>160700.37858831848</v>
          </cell>
          <cell r="Q23">
            <v>155346.53805942513</v>
          </cell>
          <cell r="R23">
            <v>115938.53986792387</v>
          </cell>
          <cell r="S23">
            <v>171671.23385316192</v>
          </cell>
          <cell r="T23">
            <v>38574.293571467228</v>
          </cell>
          <cell r="U23">
            <v>58613.529521739118</v>
          </cell>
          <cell r="V23">
            <v>55181.099428199654</v>
          </cell>
          <cell r="W23">
            <v>28956.605405119397</v>
          </cell>
          <cell r="X23"/>
          <cell r="Y23"/>
          <cell r="Z23">
            <v>2492787.3007689007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2492787.3007689007</v>
          </cell>
          <cell r="AJ23">
            <v>229752.84436659227</v>
          </cell>
          <cell r="AK23">
            <v>67036.865113986307</v>
          </cell>
          <cell r="AL23">
            <v>267221.16674999997</v>
          </cell>
          <cell r="AM23"/>
          <cell r="AN23">
            <v>564010.87623057852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6353066.106999998</v>
          </cell>
          <cell r="G24">
            <v>813513.39684077702</v>
          </cell>
          <cell r="H24">
            <v>610092.64178217878</v>
          </cell>
          <cell r="I24">
            <v>523463.23866525409</v>
          </cell>
          <cell r="J24">
            <v>250414.31606896769</v>
          </cell>
          <cell r="K24">
            <v>463787.46705891745</v>
          </cell>
          <cell r="L24">
            <v>477419.08577172761</v>
          </cell>
          <cell r="M24">
            <v>274705.95326981315</v>
          </cell>
          <cell r="N24">
            <v>445522.52611128916</v>
          </cell>
          <cell r="O24">
            <v>253185.70044210649</v>
          </cell>
          <cell r="P24">
            <v>378172.39613418339</v>
          </cell>
          <cell r="Q24">
            <v>354823.90048296604</v>
          </cell>
          <cell r="R24">
            <v>273591.571108345</v>
          </cell>
          <cell r="S24">
            <v>600765.02574422804</v>
          </cell>
          <cell r="T24">
            <v>135559.22528840025</v>
          </cell>
          <cell r="U24">
            <v>211100.82954828578</v>
          </cell>
          <cell r="V24">
            <v>181689.44910244082</v>
          </cell>
          <cell r="W24">
            <v>105259.38358011848</v>
          </cell>
          <cell r="X24"/>
          <cell r="Y24"/>
          <cell r="Z24">
            <v>6353066.106999998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6353066.106999998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8851972.6709999982</v>
          </cell>
          <cell r="G25">
            <v>1118803.4996459368</v>
          </cell>
          <cell r="H25">
            <v>827928.88807302795</v>
          </cell>
          <cell r="I25">
            <v>675222.91502803506</v>
          </cell>
          <cell r="J25">
            <v>353877.68687272078</v>
          </cell>
          <cell r="K25">
            <v>640786.39728014125</v>
          </cell>
          <cell r="L25">
            <v>641716.43695107452</v>
          </cell>
          <cell r="M25">
            <v>384640.32103027019</v>
          </cell>
          <cell r="N25">
            <v>616899.92583884473</v>
          </cell>
          <cell r="O25">
            <v>346629.39991585433</v>
          </cell>
          <cell r="P25">
            <v>496656.26651453529</v>
          </cell>
          <cell r="Q25">
            <v>483240.99554156454</v>
          </cell>
          <cell r="R25">
            <v>355003.62540120259</v>
          </cell>
          <cell r="S25">
            <v>802070.65033720701</v>
          </cell>
          <cell r="T25">
            <v>181053.60781250143</v>
          </cell>
          <cell r="U25">
            <v>274613.74090538744</v>
          </cell>
          <cell r="V25">
            <v>259705.9956816262</v>
          </cell>
          <cell r="W25">
            <v>138775.69417006927</v>
          </cell>
          <cell r="X25"/>
          <cell r="Y25"/>
          <cell r="Z25">
            <v>8597626.0469999984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8597626.0469999984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254346.62400000001</v>
          </cell>
          <cell r="BF25">
            <v>0</v>
          </cell>
          <cell r="BG25">
            <v>0</v>
          </cell>
          <cell r="BH25"/>
          <cell r="BI25"/>
          <cell r="BJ25">
            <v>254346.62400000001</v>
          </cell>
          <cell r="BK25"/>
          <cell r="BL25"/>
          <cell r="BM25"/>
          <cell r="BN25"/>
          <cell r="BO25"/>
        </row>
        <row r="26">
          <cell r="F26">
            <v>17317751.463010401</v>
          </cell>
          <cell r="G26">
            <v>1592672.7337865904</v>
          </cell>
          <cell r="H26">
            <v>8156.2106104567647</v>
          </cell>
          <cell r="I26">
            <v>217971.69321575062</v>
          </cell>
          <cell r="J26">
            <v>282328.25617087248</v>
          </cell>
          <cell r="K26">
            <v>1006967.098748961</v>
          </cell>
          <cell r="L26">
            <v>1254813.7289116103</v>
          </cell>
          <cell r="M26">
            <v>-37138.406381738838</v>
          </cell>
          <cell r="N26">
            <v>725001.90006815991</v>
          </cell>
          <cell r="O26">
            <v>443313.51375884935</v>
          </cell>
          <cell r="P26">
            <v>1610084.9907629648</v>
          </cell>
          <cell r="Q26">
            <v>1558089.2819160428</v>
          </cell>
          <cell r="R26">
            <v>687880.07162252918</v>
          </cell>
          <cell r="S26">
            <v>2612180.4490654073</v>
          </cell>
          <cell r="T26">
            <v>1013334.8093276308</v>
          </cell>
          <cell r="U26">
            <v>2379640.3300245893</v>
          </cell>
          <cell r="V26">
            <v>143440.46078773309</v>
          </cell>
          <cell r="W26">
            <v>95067.341844691837</v>
          </cell>
          <cell r="X26"/>
          <cell r="Y26"/>
          <cell r="Z26">
            <v>15593804.464241102</v>
          </cell>
          <cell r="AA26">
            <v>488567.49699999997</v>
          </cell>
          <cell r="AB26">
            <v>-7057.98</v>
          </cell>
          <cell r="AC26">
            <v>61867.764000000003</v>
          </cell>
          <cell r="AD26">
            <v>228039.57699999999</v>
          </cell>
          <cell r="AE26"/>
          <cell r="AF26"/>
          <cell r="AG26"/>
          <cell r="AH26">
            <v>771416.85800000001</v>
          </cell>
          <cell r="AI26">
            <v>16365221.322240978</v>
          </cell>
          <cell r="AJ26">
            <v>339724.39163340849</v>
          </cell>
          <cell r="AK26">
            <v>-278726.42411398573</v>
          </cell>
          <cell r="AL26">
            <v>-822304.34174999897</v>
          </cell>
          <cell r="AM26"/>
          <cell r="AN26">
            <v>-761306.37423057808</v>
          </cell>
          <cell r="AO26">
            <v>500758.27499999385</v>
          </cell>
          <cell r="AP26">
            <v>-10270.029</v>
          </cell>
          <cell r="AQ26"/>
          <cell r="AR26"/>
          <cell r="AS26">
            <v>490488.24599999381</v>
          </cell>
          <cell r="AT26">
            <v>47738.831000000006</v>
          </cell>
          <cell r="AU26">
            <v>16041.887999999999</v>
          </cell>
          <cell r="AV26">
            <v>737142.47</v>
          </cell>
          <cell r="AW26"/>
          <cell r="AX26"/>
          <cell r="AY26"/>
          <cell r="AZ26"/>
          <cell r="BA26">
            <v>800923.18900000001</v>
          </cell>
          <cell r="BB26">
            <v>0</v>
          </cell>
          <cell r="BC26">
            <v>-144867.70399999997</v>
          </cell>
          <cell r="BD26">
            <v>1291788.24</v>
          </cell>
          <cell r="BE26">
            <v>-254346.62400000001</v>
          </cell>
          <cell r="BF26">
            <v>-408810.52399999998</v>
          </cell>
          <cell r="BG26">
            <v>-61338.308000000012</v>
          </cell>
          <cell r="BH26"/>
          <cell r="BI26"/>
          <cell r="BJ26">
            <v>422425.08000000013</v>
          </cell>
          <cell r="BK26"/>
          <cell r="BL26"/>
          <cell r="BM26"/>
          <cell r="BN26"/>
          <cell r="BO26"/>
        </row>
        <row r="27">
          <cell r="F27">
            <v>17317751.463010516</v>
          </cell>
          <cell r="G27">
            <v>1592672.7337865892</v>
          </cell>
          <cell r="H27">
            <v>8156.2106104544364</v>
          </cell>
          <cell r="I27">
            <v>217971.69321575062</v>
          </cell>
          <cell r="J27">
            <v>282328.25617087167</v>
          </cell>
          <cell r="K27">
            <v>1006967.098748963</v>
          </cell>
          <cell r="L27">
            <v>1254813.7289116103</v>
          </cell>
          <cell r="M27">
            <v>-37138.406381737092</v>
          </cell>
          <cell r="N27">
            <v>725001.90006816108</v>
          </cell>
          <cell r="O27">
            <v>443313.51375884895</v>
          </cell>
          <cell r="P27">
            <v>1610084.9907629634</v>
          </cell>
          <cell r="Q27">
            <v>1558089.2819160444</v>
          </cell>
          <cell r="R27">
            <v>687880.07162252907</v>
          </cell>
          <cell r="S27">
            <v>2612180.4490654031</v>
          </cell>
          <cell r="T27">
            <v>1013334.809327631</v>
          </cell>
          <cell r="U27">
            <v>2379640.3300245879</v>
          </cell>
          <cell r="V27">
            <v>143440.46078773349</v>
          </cell>
          <cell r="W27">
            <v>95067.341844692855</v>
          </cell>
          <cell r="X27"/>
          <cell r="Y27"/>
          <cell r="Z27">
            <v>15593804.464241097</v>
          </cell>
          <cell r="AA27">
            <v>488567.49699999997</v>
          </cell>
          <cell r="AB27">
            <v>-7057.98</v>
          </cell>
          <cell r="AC27">
            <v>61867.763999999996</v>
          </cell>
          <cell r="AD27">
            <v>228039.57699999996</v>
          </cell>
          <cell r="AE27"/>
          <cell r="AF27"/>
          <cell r="AG27"/>
          <cell r="AH27">
            <v>771416.85799999989</v>
          </cell>
          <cell r="AI27">
            <v>16365221.322241096</v>
          </cell>
          <cell r="AJ27">
            <v>339724.39163340768</v>
          </cell>
          <cell r="AK27">
            <v>-278726.42411398632</v>
          </cell>
          <cell r="AL27">
            <v>-822304.34174999991</v>
          </cell>
          <cell r="AM27"/>
          <cell r="AN27">
            <v>-761306.37423057854</v>
          </cell>
          <cell r="AO27">
            <v>500758.2750000013</v>
          </cell>
          <cell r="AP27">
            <v>-10270.029</v>
          </cell>
          <cell r="AQ27"/>
          <cell r="AR27"/>
          <cell r="AS27">
            <v>490488.24600000132</v>
          </cell>
          <cell r="AT27">
            <v>47738.831000000006</v>
          </cell>
          <cell r="AU27">
            <v>16041.887999999997</v>
          </cell>
          <cell r="AV27">
            <v>737142.47</v>
          </cell>
          <cell r="AW27"/>
          <cell r="AX27"/>
          <cell r="AY27"/>
          <cell r="AZ27"/>
          <cell r="BA27">
            <v>800923.18900000001</v>
          </cell>
          <cell r="BB27">
            <v>0</v>
          </cell>
          <cell r="BC27">
            <v>-144867.704</v>
          </cell>
          <cell r="BD27">
            <v>1291788.24</v>
          </cell>
          <cell r="BE27">
            <v>-254346.62400000001</v>
          </cell>
          <cell r="BF27">
            <v>-408810.52399999992</v>
          </cell>
          <cell r="BG27">
            <v>-61338.308000000012</v>
          </cell>
          <cell r="BH27"/>
          <cell r="BI27"/>
          <cell r="BJ27">
            <v>422425.08000000007</v>
          </cell>
          <cell r="BK27"/>
          <cell r="BL27"/>
          <cell r="BM27"/>
          <cell r="BN27"/>
          <cell r="BO27"/>
        </row>
        <row r="28">
          <cell r="F28">
            <v>-1.1548399925231934E-7</v>
          </cell>
          <cell r="G28">
            <v>0</v>
          </cell>
          <cell r="H28">
            <v>2.3283064365386963E-9</v>
          </cell>
          <cell r="I28">
            <v>0</v>
          </cell>
          <cell r="J28">
            <v>8.149072527885437E-10</v>
          </cell>
          <cell r="K28">
            <v>-1.9790604710578918E-9</v>
          </cell>
          <cell r="L28">
            <v>0</v>
          </cell>
          <cell r="M28">
            <v>-1.7462298274040222E-9</v>
          </cell>
          <cell r="N28">
            <v>-1.1641532182693481E-9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4.1909515857696533E-9</v>
          </cell>
          <cell r="T28">
            <v>0</v>
          </cell>
          <cell r="U28">
            <v>0</v>
          </cell>
          <cell r="V28">
            <v>-4.0745362639427185E-10</v>
          </cell>
          <cell r="W28">
            <v>-1.0186340659856796E-9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-1.1734664440155029E-7</v>
          </cell>
          <cell r="AJ28">
            <v>8.149072527885437E-10</v>
          </cell>
          <cell r="AK28">
            <v>5.8207660913467407E-10</v>
          </cell>
          <cell r="AL28">
            <v>9.3132257461547852E-10</v>
          </cell>
          <cell r="AM28"/>
          <cell r="AN28">
            <v>0</v>
          </cell>
          <cell r="AO28">
            <v>-7.4505805969238281E-9</v>
          </cell>
          <cell r="AP28">
            <v>0</v>
          </cell>
          <cell r="AQ28"/>
          <cell r="AR28"/>
          <cell r="AS28">
            <v>-7.5087882578372955E-9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446907</v>
          </cell>
          <cell r="H31">
            <v>326944</v>
          </cell>
          <cell r="I31">
            <v>282352</v>
          </cell>
          <cell r="J31">
            <v>145364</v>
          </cell>
          <cell r="K31">
            <v>233701.5</v>
          </cell>
          <cell r="L31">
            <v>251171</v>
          </cell>
          <cell r="M31">
            <v>158753</v>
          </cell>
          <cell r="N31">
            <v>237286.5</v>
          </cell>
          <cell r="O31">
            <v>147183</v>
          </cell>
          <cell r="P31">
            <v>196357.5</v>
          </cell>
          <cell r="Q31">
            <v>190040</v>
          </cell>
          <cell r="R31">
            <v>134213</v>
          </cell>
          <cell r="S31">
            <v>317544.5</v>
          </cell>
          <cell r="T31">
            <v>64481</v>
          </cell>
          <cell r="U31">
            <v>98341.5</v>
          </cell>
          <cell r="V31">
            <v>104594.5</v>
          </cell>
          <cell r="W31">
            <v>42994</v>
          </cell>
          <cell r="X31">
            <v>0</v>
          </cell>
          <cell r="Y31">
            <v>0</v>
          </cell>
          <cell r="Z31">
            <v>3378228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3378228</v>
          </cell>
          <cell r="AJ31">
            <v>238353</v>
          </cell>
          <cell r="AK31">
            <v>172092</v>
          </cell>
          <cell r="AL31">
            <v>429666</v>
          </cell>
          <cell r="AM31"/>
          <cell r="AN31">
            <v>840111</v>
          </cell>
          <cell r="AO31">
            <v>105164.211</v>
          </cell>
          <cell r="AP31">
            <v>0</v>
          </cell>
          <cell r="AQ31"/>
          <cell r="AR31"/>
          <cell r="AS31">
            <v>105164.211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462622137.22599995</v>
          </cell>
          <cell r="G32">
            <v>44168649.734000005</v>
          </cell>
          <cell r="H32">
            <v>32487435.569999997</v>
          </cell>
          <cell r="I32">
            <v>27203180.146000002</v>
          </cell>
          <cell r="J32">
            <v>14094889.742000002</v>
          </cell>
          <cell r="K32">
            <v>25325075.207000002</v>
          </cell>
          <cell r="L32">
            <v>25076528.037999999</v>
          </cell>
          <cell r="M32">
            <v>15104725.599999998</v>
          </cell>
          <cell r="N32">
            <v>24033941.980999999</v>
          </cell>
          <cell r="O32">
            <v>13741865.217999998</v>
          </cell>
          <cell r="P32">
            <v>19774515.350000001</v>
          </cell>
          <cell r="Q32">
            <v>18889928.515999999</v>
          </cell>
          <cell r="R32">
            <v>13929268.442000002</v>
          </cell>
          <cell r="S32">
            <v>32020142.446000002</v>
          </cell>
          <cell r="T32">
            <v>7251574.5669999998</v>
          </cell>
          <cell r="U32">
            <v>11049971.786</v>
          </cell>
          <cell r="V32">
            <v>10098437.311999999</v>
          </cell>
          <cell r="W32">
            <v>5315109.2179999994</v>
          </cell>
          <cell r="X32">
            <v>0</v>
          </cell>
          <cell r="Y32">
            <v>0</v>
          </cell>
          <cell r="Z32">
            <v>339565238.87299991</v>
          </cell>
          <cell r="AA32">
            <v>600000</v>
          </cell>
          <cell r="AB32">
            <v>0</v>
          </cell>
          <cell r="AC32">
            <v>150000</v>
          </cell>
          <cell r="AD32">
            <v>340080</v>
          </cell>
          <cell r="AE32"/>
          <cell r="AF32"/>
          <cell r="AG32"/>
          <cell r="AH32">
            <v>1090080</v>
          </cell>
          <cell r="AI32">
            <v>340655318.87299991</v>
          </cell>
          <cell r="AJ32">
            <v>6922548.0800000001</v>
          </cell>
          <cell r="AK32">
            <v>2413663</v>
          </cell>
          <cell r="AL32">
            <v>7733933</v>
          </cell>
          <cell r="AM32"/>
          <cell r="AN32">
            <v>17070144.079999998</v>
          </cell>
          <cell r="AO32">
            <v>103999846.95300001</v>
          </cell>
          <cell r="AP32">
            <v>0</v>
          </cell>
          <cell r="AQ32"/>
          <cell r="AR32"/>
          <cell r="AS32">
            <v>103999846.95300001</v>
          </cell>
          <cell r="AT32">
            <v>65100</v>
          </cell>
          <cell r="AU32">
            <v>73600</v>
          </cell>
          <cell r="AV32">
            <v>737142.47</v>
          </cell>
          <cell r="AW32"/>
          <cell r="AX32"/>
          <cell r="AY32"/>
          <cell r="AZ32"/>
          <cell r="BA32">
            <v>875842.47</v>
          </cell>
          <cell r="BB32">
            <v>0</v>
          </cell>
          <cell r="BC32">
            <v>20984.85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20984.85</v>
          </cell>
        </row>
        <row r="33">
          <cell r="F33">
            <v>415855608.24099004</v>
          </cell>
          <cell r="G33">
            <v>39382632.100000001</v>
          </cell>
          <cell r="H33">
            <v>29980927.474989995</v>
          </cell>
          <cell r="I33">
            <v>24954463.224000003</v>
          </cell>
          <cell r="J33">
            <v>12650982.508000001</v>
          </cell>
          <cell r="K33">
            <v>22388029.868000004</v>
          </cell>
          <cell r="L33">
            <v>21830112.806000002</v>
          </cell>
          <cell r="M33">
            <v>13867895.812999999</v>
          </cell>
          <cell r="N33">
            <v>21435452.300999999</v>
          </cell>
          <cell r="O33">
            <v>12220451.090999998</v>
          </cell>
          <cell r="P33">
            <v>16556634.535</v>
          </cell>
          <cell r="Q33">
            <v>15847141.687999999</v>
          </cell>
          <cell r="R33">
            <v>12106466.630000001</v>
          </cell>
          <cell r="S33">
            <v>27215268.085999999</v>
          </cell>
          <cell r="T33">
            <v>5729664.8849999998</v>
          </cell>
          <cell r="U33">
            <v>7976421.254999999</v>
          </cell>
          <cell r="V33">
            <v>9043235.7899999991</v>
          </cell>
          <cell r="W33">
            <v>4752948.9270000001</v>
          </cell>
          <cell r="X33">
            <v>0</v>
          </cell>
          <cell r="Y33">
            <v>0</v>
          </cell>
          <cell r="Z33">
            <v>297938728.98198998</v>
          </cell>
          <cell r="AA33">
            <v>109342.80299999999</v>
          </cell>
          <cell r="AB33">
            <v>0</v>
          </cell>
          <cell r="AC33">
            <v>83930.555999999997</v>
          </cell>
          <cell r="AD33">
            <v>112040.423</v>
          </cell>
          <cell r="AE33"/>
          <cell r="AF33"/>
          <cell r="AG33"/>
          <cell r="AH33">
            <v>305313.78200000001</v>
          </cell>
          <cell r="AI33">
            <v>298244042.76398998</v>
          </cell>
          <cell r="AJ33">
            <v>6345340.8449999997</v>
          </cell>
          <cell r="AK33">
            <v>2429752.9239999996</v>
          </cell>
          <cell r="AL33">
            <v>8289016.1749999989</v>
          </cell>
          <cell r="AM33"/>
          <cell r="AN33">
            <v>17064109.943999998</v>
          </cell>
          <cell r="AO33">
            <v>101702986.18400002</v>
          </cell>
          <cell r="AP33">
            <v>0</v>
          </cell>
          <cell r="AQ33"/>
          <cell r="AR33"/>
          <cell r="AS33">
            <v>101702986.18400002</v>
          </cell>
          <cell r="AT33">
            <v>17361.168999999998</v>
          </cell>
          <cell r="AU33">
            <v>57558.112000000001</v>
          </cell>
          <cell r="AV33">
            <v>0</v>
          </cell>
          <cell r="AW33"/>
          <cell r="AX33"/>
          <cell r="AY33"/>
          <cell r="AZ33"/>
          <cell r="BA33">
            <v>74919.281000000003</v>
          </cell>
          <cell r="BB33">
            <v>0</v>
          </cell>
          <cell r="BC33">
            <v>0</v>
          </cell>
          <cell r="BD33">
            <v>-1291788.24</v>
          </cell>
          <cell r="BE33">
            <v>0</v>
          </cell>
          <cell r="BF33">
            <v>0</v>
          </cell>
          <cell r="BG33">
            <v>61338.308000000012</v>
          </cell>
          <cell r="BH33"/>
          <cell r="BI33"/>
          <cell r="BJ33">
            <v>-1230449.932</v>
          </cell>
        </row>
        <row r="34">
          <cell r="F34">
            <v>46766528.985009909</v>
          </cell>
          <cell r="G34">
            <v>4786017.6340000033</v>
          </cell>
          <cell r="H34">
            <v>2506508.0950100012</v>
          </cell>
          <cell r="I34">
            <v>2248716.9219999984</v>
          </cell>
          <cell r="J34">
            <v>1443907.2340000011</v>
          </cell>
          <cell r="K34">
            <v>2937045.3389999978</v>
          </cell>
          <cell r="L34">
            <v>3246415.231999997</v>
          </cell>
          <cell r="M34">
            <v>1236829.7869999986</v>
          </cell>
          <cell r="N34">
            <v>2598489.6799999997</v>
          </cell>
          <cell r="O34">
            <v>1521414.1270000003</v>
          </cell>
          <cell r="P34">
            <v>3217880.8150000013</v>
          </cell>
          <cell r="Q34">
            <v>3042786.8279999997</v>
          </cell>
          <cell r="R34">
            <v>1822801.8120000008</v>
          </cell>
          <cell r="S34">
            <v>4804874.3600000031</v>
          </cell>
          <cell r="T34">
            <v>1521909.682</v>
          </cell>
          <cell r="U34">
            <v>3073550.5310000014</v>
          </cell>
          <cell r="V34">
            <v>1055201.5219999999</v>
          </cell>
          <cell r="W34">
            <v>562160.29099999927</v>
          </cell>
          <cell r="X34">
            <v>0</v>
          </cell>
          <cell r="Y34">
            <v>0</v>
          </cell>
          <cell r="Z34">
            <v>41626509.891009927</v>
          </cell>
          <cell r="AA34">
            <v>490657.19700000004</v>
          </cell>
          <cell r="AB34">
            <v>0</v>
          </cell>
          <cell r="AC34">
            <v>66069.444000000003</v>
          </cell>
          <cell r="AD34">
            <v>228039.57699999999</v>
          </cell>
          <cell r="AE34"/>
          <cell r="AF34"/>
          <cell r="AG34"/>
          <cell r="AH34">
            <v>784766.21799999999</v>
          </cell>
          <cell r="AI34">
            <v>42411276.109009922</v>
          </cell>
          <cell r="AJ34">
            <v>577207.23500000034</v>
          </cell>
          <cell r="AK34">
            <v>-16089.92399999965</v>
          </cell>
          <cell r="AL34">
            <v>-555083.17499999888</v>
          </cell>
          <cell r="AM34"/>
          <cell r="AN34">
            <v>6034.1359999999404</v>
          </cell>
          <cell r="AO34">
            <v>2296860.7689999938</v>
          </cell>
          <cell r="AP34">
            <v>0</v>
          </cell>
          <cell r="AQ34"/>
          <cell r="AR34"/>
          <cell r="AS34">
            <v>2296860.7689999938</v>
          </cell>
          <cell r="AT34">
            <v>47738.831000000006</v>
          </cell>
          <cell r="AU34">
            <v>16041.887999999999</v>
          </cell>
          <cell r="AV34">
            <v>737142.47</v>
          </cell>
          <cell r="AW34"/>
          <cell r="AX34"/>
          <cell r="AY34"/>
          <cell r="AZ34"/>
          <cell r="BA34">
            <v>800923.18900000001</v>
          </cell>
          <cell r="BB34">
            <v>0</v>
          </cell>
          <cell r="BC34">
            <v>20984.85</v>
          </cell>
          <cell r="BD34">
            <v>1291788.24</v>
          </cell>
          <cell r="BE34">
            <v>0</v>
          </cell>
          <cell r="BF34">
            <v>0</v>
          </cell>
          <cell r="BG34">
            <v>-61338.308000000012</v>
          </cell>
          <cell r="BH34"/>
          <cell r="BI34"/>
          <cell r="BJ34">
            <v>1251434.7820000001</v>
          </cell>
        </row>
        <row r="35">
          <cell r="F35">
            <v>29448777.521999478</v>
          </cell>
          <cell r="G35">
            <v>3193344.9002134106</v>
          </cell>
          <cell r="H35">
            <v>2498351.8843995449</v>
          </cell>
          <cell r="I35">
            <v>2030745.2287842492</v>
          </cell>
          <cell r="J35">
            <v>1161578.9778291283</v>
          </cell>
          <cell r="K35">
            <v>1930078.2402510359</v>
          </cell>
          <cell r="L35">
            <v>1991601.5030883884</v>
          </cell>
          <cell r="M35">
            <v>1273968.193381737</v>
          </cell>
          <cell r="N35">
            <v>1873487.7799318384</v>
          </cell>
          <cell r="O35">
            <v>1078100.613241151</v>
          </cell>
          <cell r="P35">
            <v>1607795.824237037</v>
          </cell>
          <cell r="Q35">
            <v>1484697.5460839558</v>
          </cell>
          <cell r="R35">
            <v>1134921.7403774713</v>
          </cell>
          <cell r="S35">
            <v>2192693.9109345968</v>
          </cell>
          <cell r="T35">
            <v>508574.87267236889</v>
          </cell>
          <cell r="U35">
            <v>693910.20097541239</v>
          </cell>
          <cell r="V35">
            <v>911761.06121226668</v>
          </cell>
          <cell r="W35">
            <v>467092.94915530714</v>
          </cell>
          <cell r="X35">
            <v>0</v>
          </cell>
          <cell r="Y35">
            <v>0</v>
          </cell>
          <cell r="Z35">
            <v>26032705.426768903</v>
          </cell>
          <cell r="AA35">
            <v>2089.6999999999998</v>
          </cell>
          <cell r="AB35">
            <v>7057.98</v>
          </cell>
          <cell r="AC35">
            <v>4201.68</v>
          </cell>
          <cell r="AD35">
            <v>0</v>
          </cell>
          <cell r="AE35"/>
          <cell r="AF35"/>
          <cell r="AG35"/>
          <cell r="AH35">
            <v>13349.36</v>
          </cell>
          <cell r="AI35">
            <v>26046054.786768902</v>
          </cell>
          <cell r="AJ35">
            <v>237482.84336659228</v>
          </cell>
          <cell r="AK35">
            <v>262636.50011398632</v>
          </cell>
          <cell r="AL35">
            <v>267221.16674999997</v>
          </cell>
          <cell r="AM35"/>
          <cell r="AN35">
            <v>767340.5102305786</v>
          </cell>
          <cell r="AO35">
            <v>1796102.4939999999</v>
          </cell>
          <cell r="AP35">
            <v>10270.029</v>
          </cell>
          <cell r="AQ35"/>
          <cell r="AR35"/>
          <cell r="AS35">
            <v>1806372.523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165852.55399999997</v>
          </cell>
          <cell r="BD35">
            <v>0</v>
          </cell>
          <cell r="BE35">
            <v>254346.62400000001</v>
          </cell>
          <cell r="BF35">
            <v>408810.52399999998</v>
          </cell>
          <cell r="BG35">
            <v>0</v>
          </cell>
          <cell r="BH35"/>
          <cell r="BI35"/>
          <cell r="BJ35">
            <v>829009.70199999993</v>
          </cell>
        </row>
        <row r="36">
          <cell r="F36">
            <v>17317751.46301043</v>
          </cell>
          <cell r="G36">
            <v>1592672.7337865927</v>
          </cell>
          <cell r="H36">
            <v>8156.210610456299</v>
          </cell>
          <cell r="I36">
            <v>217971.69321574923</v>
          </cell>
          <cell r="J36">
            <v>282328.25617087283</v>
          </cell>
          <cell r="K36">
            <v>1006967.0987489619</v>
          </cell>
          <cell r="L36">
            <v>1254813.7289116087</v>
          </cell>
          <cell r="M36">
            <v>-37138.406381738372</v>
          </cell>
          <cell r="N36">
            <v>725001.90006816131</v>
          </cell>
          <cell r="O36">
            <v>443313.51375884935</v>
          </cell>
          <cell r="P36">
            <v>1610084.9907629644</v>
          </cell>
          <cell r="Q36">
            <v>1558089.281916044</v>
          </cell>
          <cell r="R36">
            <v>687880.07162252953</v>
          </cell>
          <cell r="S36">
            <v>2612180.4490654063</v>
          </cell>
          <cell r="T36">
            <v>1013334.8093276311</v>
          </cell>
          <cell r="U36">
            <v>2379640.3300245889</v>
          </cell>
          <cell r="V36">
            <v>143440.4607877332</v>
          </cell>
          <cell r="W36">
            <v>95067.341844692128</v>
          </cell>
          <cell r="X36">
            <v>0</v>
          </cell>
          <cell r="Y36">
            <v>0</v>
          </cell>
          <cell r="Z36">
            <v>15593804.464241024</v>
          </cell>
          <cell r="AA36">
            <v>488567.49700000003</v>
          </cell>
          <cell r="AB36">
            <v>-7057.98</v>
          </cell>
          <cell r="AC36">
            <v>61867.764000000003</v>
          </cell>
          <cell r="AD36">
            <v>228039.57699999999</v>
          </cell>
          <cell r="AE36"/>
          <cell r="AF36"/>
          <cell r="AG36"/>
          <cell r="AH36">
            <v>771416.85800000001</v>
          </cell>
          <cell r="AI36">
            <v>16365221.322241019</v>
          </cell>
          <cell r="AJ36">
            <v>339724.39163340803</v>
          </cell>
          <cell r="AK36">
            <v>-278726.42411398597</v>
          </cell>
          <cell r="AL36">
            <v>-822304.34174999886</v>
          </cell>
          <cell r="AM36"/>
          <cell r="AN36">
            <v>-761306.37423057866</v>
          </cell>
          <cell r="AO36">
            <v>500758.27499999385</v>
          </cell>
          <cell r="AP36">
            <v>-10270.029</v>
          </cell>
          <cell r="AQ36"/>
          <cell r="AR36"/>
          <cell r="AS36">
            <v>490488.24599999376</v>
          </cell>
          <cell r="AT36">
            <v>47738.831000000006</v>
          </cell>
          <cell r="AU36">
            <v>16041.887999999999</v>
          </cell>
          <cell r="AV36">
            <v>737142.47</v>
          </cell>
          <cell r="AW36"/>
          <cell r="AX36"/>
          <cell r="AY36"/>
          <cell r="AZ36"/>
          <cell r="BA36">
            <v>800923.18900000001</v>
          </cell>
          <cell r="BB36">
            <v>0</v>
          </cell>
          <cell r="BC36">
            <v>-144867.70399999997</v>
          </cell>
          <cell r="BD36">
            <v>1291788.24</v>
          </cell>
          <cell r="BE36">
            <v>-254346.62400000001</v>
          </cell>
          <cell r="BF36">
            <v>-408810.52399999998</v>
          </cell>
          <cell r="BG36">
            <v>-61338.308000000012</v>
          </cell>
          <cell r="BH36"/>
          <cell r="BI36"/>
          <cell r="BJ36">
            <v>422425.08000000019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-145698</v>
          </cell>
          <cell r="AK38">
            <v>-100828</v>
          </cell>
          <cell r="AL38">
            <v>-286377</v>
          </cell>
          <cell r="AM38"/>
          <cell r="AN38">
            <v>-532903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-11328979.58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-4283666.08</v>
          </cell>
          <cell r="AK39">
            <v>-1623188</v>
          </cell>
          <cell r="AL39">
            <v>-5422125.5</v>
          </cell>
          <cell r="AM39"/>
          <cell r="AN39">
            <v>-11328979.58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-11328979.579999998</v>
          </cell>
          <cell r="G40"/>
          <cell r="H40"/>
          <cell r="I40"/>
          <cell r="J40"/>
          <cell r="K40">
            <v>-497914.40099999995</v>
          </cell>
          <cell r="L40">
            <v>-15826.582000000097</v>
          </cell>
          <cell r="M40">
            <v>-33261.438000000002</v>
          </cell>
          <cell r="N40">
            <v>-59720.551999999996</v>
          </cell>
          <cell r="O40">
            <v>-7052.585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-611078.79200000013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-611078.79200000013</v>
          </cell>
          <cell r="AJ40">
            <v>-3843294.568</v>
          </cell>
          <cell r="AK40">
            <v>-1338702.7439999999</v>
          </cell>
          <cell r="AL40">
            <v>-5535903.4759999998</v>
          </cell>
          <cell r="AM40"/>
          <cell r="AN40">
            <v>-10717900.787999999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497914.40099999995</v>
          </cell>
          <cell r="L41">
            <v>15826.582000000097</v>
          </cell>
          <cell r="M41">
            <v>33261.438000000002</v>
          </cell>
          <cell r="N41">
            <v>59720.551999999996</v>
          </cell>
          <cell r="O41">
            <v>7052.585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611078.79200000013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611078.79200000013</v>
          </cell>
          <cell r="AJ41">
            <v>-440371.5120000001</v>
          </cell>
          <cell r="AK41">
            <v>-284485.25600000005</v>
          </cell>
          <cell r="AL41">
            <v>113777.97599999979</v>
          </cell>
          <cell r="AM41"/>
          <cell r="AN41">
            <v>-611078.7920000013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497914.40099999995</v>
          </cell>
          <cell r="L43">
            <v>15826.582000000097</v>
          </cell>
          <cell r="M43">
            <v>33261.438000000002</v>
          </cell>
          <cell r="N43">
            <v>59720.551999999996</v>
          </cell>
          <cell r="O43">
            <v>7052.585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611078.79200000013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611078.79200000013</v>
          </cell>
          <cell r="AJ43">
            <v>-440371.5120000001</v>
          </cell>
          <cell r="AK43">
            <v>-284485.25600000005</v>
          </cell>
          <cell r="AL43">
            <v>113777.97599999979</v>
          </cell>
          <cell r="AM43"/>
          <cell r="AN43">
            <v>-611078.7920000013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446907</v>
          </cell>
          <cell r="H45">
            <v>326944</v>
          </cell>
          <cell r="I45">
            <v>282352</v>
          </cell>
          <cell r="J45">
            <v>145364</v>
          </cell>
          <cell r="K45">
            <v>233701.5</v>
          </cell>
          <cell r="L45">
            <v>251171</v>
          </cell>
          <cell r="M45">
            <v>158753</v>
          </cell>
          <cell r="N45">
            <v>237286.5</v>
          </cell>
          <cell r="O45">
            <v>147183</v>
          </cell>
          <cell r="P45">
            <v>196357.5</v>
          </cell>
          <cell r="Q45">
            <v>190040</v>
          </cell>
          <cell r="R45">
            <v>134213</v>
          </cell>
          <cell r="S45">
            <v>317544.5</v>
          </cell>
          <cell r="T45">
            <v>64481</v>
          </cell>
          <cell r="U45">
            <v>98341.5</v>
          </cell>
          <cell r="V45">
            <v>104594.5</v>
          </cell>
          <cell r="W45">
            <v>42994</v>
          </cell>
          <cell r="X45">
            <v>0</v>
          </cell>
          <cell r="Y45">
            <v>0</v>
          </cell>
          <cell r="Z45">
            <v>3378228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3378228</v>
          </cell>
          <cell r="AJ45">
            <v>92655</v>
          </cell>
          <cell r="AK45">
            <v>71264</v>
          </cell>
          <cell r="AL45">
            <v>143289</v>
          </cell>
          <cell r="AM45"/>
          <cell r="AN45">
            <v>307208</v>
          </cell>
          <cell r="AO45">
            <v>105164.211</v>
          </cell>
          <cell r="AP45">
            <v>0</v>
          </cell>
          <cell r="AQ45"/>
          <cell r="AR45"/>
          <cell r="AS45">
            <v>105164.211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451293157.64599997</v>
          </cell>
          <cell r="G46">
            <v>44168649.734000005</v>
          </cell>
          <cell r="H46">
            <v>32487435.569999997</v>
          </cell>
          <cell r="I46">
            <v>27203180.146000002</v>
          </cell>
          <cell r="J46">
            <v>14094889.742000002</v>
          </cell>
          <cell r="K46">
            <v>25325075.207000002</v>
          </cell>
          <cell r="L46">
            <v>25076528.037999999</v>
          </cell>
          <cell r="M46">
            <v>15104725.599999998</v>
          </cell>
          <cell r="N46">
            <v>24033941.980999999</v>
          </cell>
          <cell r="O46">
            <v>13741865.217999998</v>
          </cell>
          <cell r="P46">
            <v>19774515.350000001</v>
          </cell>
          <cell r="Q46">
            <v>18889928.515999999</v>
          </cell>
          <cell r="R46">
            <v>13929268.442000002</v>
          </cell>
          <cell r="S46">
            <v>32020142.446000002</v>
          </cell>
          <cell r="T46">
            <v>7251574.5669999998</v>
          </cell>
          <cell r="U46">
            <v>11049971.786</v>
          </cell>
          <cell r="V46">
            <v>10098437.311999999</v>
          </cell>
          <cell r="W46">
            <v>5315109.2179999994</v>
          </cell>
          <cell r="X46">
            <v>0</v>
          </cell>
          <cell r="Y46">
            <v>0</v>
          </cell>
          <cell r="Z46">
            <v>339565238.87299991</v>
          </cell>
          <cell r="AA46">
            <v>600000</v>
          </cell>
          <cell r="AB46">
            <v>0</v>
          </cell>
          <cell r="AC46">
            <v>150000</v>
          </cell>
          <cell r="AD46">
            <v>340080</v>
          </cell>
          <cell r="AE46"/>
          <cell r="AF46"/>
          <cell r="AG46"/>
          <cell r="AH46">
            <v>1090080</v>
          </cell>
          <cell r="AI46">
            <v>340655318.87299991</v>
          </cell>
          <cell r="AJ46">
            <v>2638882</v>
          </cell>
          <cell r="AK46">
            <v>790475</v>
          </cell>
          <cell r="AL46">
            <v>2311807.5</v>
          </cell>
          <cell r="AM46"/>
          <cell r="AN46">
            <v>5741164.5</v>
          </cell>
          <cell r="AO46">
            <v>103999846.95300001</v>
          </cell>
          <cell r="AP46">
            <v>0</v>
          </cell>
          <cell r="AQ46"/>
          <cell r="AR46"/>
          <cell r="AS46">
            <v>103999846.95300001</v>
          </cell>
          <cell r="AT46">
            <v>65100</v>
          </cell>
          <cell r="AU46">
            <v>73600</v>
          </cell>
          <cell r="AV46">
            <v>737142.47</v>
          </cell>
          <cell r="AW46"/>
          <cell r="AX46"/>
          <cell r="AY46"/>
          <cell r="AZ46"/>
          <cell r="BA46">
            <v>875842.47</v>
          </cell>
          <cell r="BB46">
            <v>0</v>
          </cell>
          <cell r="BC46">
            <v>20984.85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20984.85</v>
          </cell>
        </row>
        <row r="47">
          <cell r="F47">
            <v>404526628.66099006</v>
          </cell>
          <cell r="G47">
            <v>39382632.100000001</v>
          </cell>
          <cell r="H47">
            <v>29980927.474989995</v>
          </cell>
          <cell r="I47">
            <v>24954463.224000003</v>
          </cell>
          <cell r="J47">
            <v>12650982.508000001</v>
          </cell>
          <cell r="K47">
            <v>21890115.467000004</v>
          </cell>
          <cell r="L47">
            <v>21814286.224000003</v>
          </cell>
          <cell r="M47">
            <v>13834634.375</v>
          </cell>
          <cell r="N47">
            <v>21375731.748999998</v>
          </cell>
          <cell r="O47">
            <v>12213398.505999997</v>
          </cell>
          <cell r="P47">
            <v>16559331.301000001</v>
          </cell>
          <cell r="Q47">
            <v>15847141.687999999</v>
          </cell>
          <cell r="R47">
            <v>12106466.630000001</v>
          </cell>
          <cell r="S47">
            <v>27215268.085999999</v>
          </cell>
          <cell r="T47">
            <v>5729664.8849999998</v>
          </cell>
          <cell r="U47">
            <v>7976421.254999999</v>
          </cell>
          <cell r="V47">
            <v>9043235.7899999991</v>
          </cell>
          <cell r="W47">
            <v>4752948.9270000001</v>
          </cell>
          <cell r="X47">
            <v>0</v>
          </cell>
          <cell r="Y47">
            <v>0</v>
          </cell>
          <cell r="Z47">
            <v>297327650.18998998</v>
          </cell>
          <cell r="AA47">
            <v>109342.80299999999</v>
          </cell>
          <cell r="AB47">
            <v>0</v>
          </cell>
          <cell r="AC47">
            <v>83930.555999999997</v>
          </cell>
          <cell r="AD47">
            <v>112040.423</v>
          </cell>
          <cell r="AE47"/>
          <cell r="AF47"/>
          <cell r="AG47"/>
          <cell r="AH47">
            <v>305313.78200000001</v>
          </cell>
          <cell r="AI47">
            <v>297632963.97198999</v>
          </cell>
          <cell r="AJ47">
            <v>2502046.2769999998</v>
          </cell>
          <cell r="AK47">
            <v>1091050.1799999997</v>
          </cell>
          <cell r="AL47">
            <v>2753112.6989999991</v>
          </cell>
          <cell r="AM47"/>
          <cell r="AN47">
            <v>6346209.1559999986</v>
          </cell>
          <cell r="AO47">
            <v>101702986.18400002</v>
          </cell>
          <cell r="AP47">
            <v>0</v>
          </cell>
          <cell r="AQ47"/>
          <cell r="AR47"/>
          <cell r="AS47">
            <v>101702986.18400002</v>
          </cell>
          <cell r="AT47">
            <v>17361.168999999998</v>
          </cell>
          <cell r="AU47">
            <v>57558.112000000001</v>
          </cell>
          <cell r="AV47">
            <v>0</v>
          </cell>
          <cell r="AW47"/>
          <cell r="AX47"/>
          <cell r="AY47"/>
          <cell r="AZ47"/>
          <cell r="BA47">
            <v>74919.281000000003</v>
          </cell>
          <cell r="BB47">
            <v>0</v>
          </cell>
          <cell r="BC47">
            <v>0</v>
          </cell>
          <cell r="BD47">
            <v>-1291788.24</v>
          </cell>
          <cell r="BE47">
            <v>0</v>
          </cell>
          <cell r="BF47">
            <v>0</v>
          </cell>
          <cell r="BG47">
            <v>61338.308000000012</v>
          </cell>
          <cell r="BH47"/>
          <cell r="BI47"/>
          <cell r="BJ47">
            <v>-1230449.932</v>
          </cell>
        </row>
        <row r="48">
          <cell r="F48">
            <v>46766528.985009909</v>
          </cell>
          <cell r="G48">
            <v>4786017.6340000033</v>
          </cell>
          <cell r="H48">
            <v>2506508.0950100012</v>
          </cell>
          <cell r="I48">
            <v>2248716.9219999984</v>
          </cell>
          <cell r="J48">
            <v>1443907.2340000011</v>
          </cell>
          <cell r="K48">
            <v>3434959.7399999984</v>
          </cell>
          <cell r="L48">
            <v>3262241.8139999956</v>
          </cell>
          <cell r="M48">
            <v>1270091.2249999978</v>
          </cell>
          <cell r="N48">
            <v>2658210.2320000008</v>
          </cell>
          <cell r="O48">
            <v>1528466.7120000012</v>
          </cell>
          <cell r="P48">
            <v>3215184.0490000006</v>
          </cell>
          <cell r="Q48">
            <v>3042786.8279999997</v>
          </cell>
          <cell r="R48">
            <v>1822801.8120000008</v>
          </cell>
          <cell r="S48">
            <v>4804874.3600000031</v>
          </cell>
          <cell r="T48">
            <v>1521909.682</v>
          </cell>
          <cell r="U48">
            <v>3073550.5310000014</v>
          </cell>
          <cell r="V48">
            <v>1055201.5219999999</v>
          </cell>
          <cell r="W48">
            <v>562160.29099999927</v>
          </cell>
          <cell r="X48">
            <v>0</v>
          </cell>
          <cell r="Y48">
            <v>0</v>
          </cell>
          <cell r="Z48">
            <v>42237588.683009923</v>
          </cell>
          <cell r="AA48">
            <v>490657.19700000004</v>
          </cell>
          <cell r="AB48">
            <v>0</v>
          </cell>
          <cell r="AC48">
            <v>66069.444000000003</v>
          </cell>
          <cell r="AD48">
            <v>228039.57699999999</v>
          </cell>
          <cell r="AE48"/>
          <cell r="AF48"/>
          <cell r="AG48"/>
          <cell r="AH48">
            <v>784766.21799999999</v>
          </cell>
          <cell r="AI48">
            <v>43022354.901009917</v>
          </cell>
          <cell r="AJ48">
            <v>136835.72300000023</v>
          </cell>
          <cell r="AK48">
            <v>-300575.1799999997</v>
          </cell>
          <cell r="AL48">
            <v>-441305.19899999909</v>
          </cell>
          <cell r="AM48"/>
          <cell r="AN48">
            <v>-605044.65599999856</v>
          </cell>
          <cell r="AO48">
            <v>2296860.7689999938</v>
          </cell>
          <cell r="AP48">
            <v>0</v>
          </cell>
          <cell r="AQ48"/>
          <cell r="AR48"/>
          <cell r="AS48">
            <v>2296860.7689999938</v>
          </cell>
          <cell r="AT48">
            <v>47738.831000000006</v>
          </cell>
          <cell r="AU48">
            <v>16041.887999999999</v>
          </cell>
          <cell r="AV48">
            <v>737142.47</v>
          </cell>
          <cell r="AW48"/>
          <cell r="AX48"/>
          <cell r="AY48"/>
          <cell r="AZ48"/>
          <cell r="BA48">
            <v>800923.18900000001</v>
          </cell>
          <cell r="BB48">
            <v>0</v>
          </cell>
          <cell r="BC48">
            <v>20984.85</v>
          </cell>
          <cell r="BD48">
            <v>1291788.24</v>
          </cell>
          <cell r="BE48">
            <v>0</v>
          </cell>
          <cell r="BF48">
            <v>0</v>
          </cell>
          <cell r="BG48">
            <v>-61338.308000000012</v>
          </cell>
          <cell r="BH48"/>
          <cell r="BI48"/>
          <cell r="BJ48">
            <v>1251434.7820000001</v>
          </cell>
        </row>
        <row r="49">
          <cell r="F49">
            <v>29448777.521999478</v>
          </cell>
          <cell r="G49">
            <v>3193344.9002134106</v>
          </cell>
          <cell r="H49">
            <v>2498351.8843995449</v>
          </cell>
          <cell r="I49">
            <v>2030745.2287842492</v>
          </cell>
          <cell r="J49">
            <v>1161578.9778291283</v>
          </cell>
          <cell r="K49">
            <v>1930078.2402510359</v>
          </cell>
          <cell r="L49">
            <v>1991601.5030883884</v>
          </cell>
          <cell r="M49">
            <v>1273968.193381737</v>
          </cell>
          <cell r="N49">
            <v>1873487.7799318384</v>
          </cell>
          <cell r="O49">
            <v>1078100.613241151</v>
          </cell>
          <cell r="P49">
            <v>1607795.824237037</v>
          </cell>
          <cell r="Q49">
            <v>1484697.5460839558</v>
          </cell>
          <cell r="R49">
            <v>1134921.7403774713</v>
          </cell>
          <cell r="S49">
            <v>2192693.9109345968</v>
          </cell>
          <cell r="T49">
            <v>508574.87267236889</v>
          </cell>
          <cell r="U49">
            <v>693910.20097541239</v>
          </cell>
          <cell r="V49">
            <v>911761.06121226668</v>
          </cell>
          <cell r="W49">
            <v>467092.94915530714</v>
          </cell>
          <cell r="X49">
            <v>0</v>
          </cell>
          <cell r="Y49">
            <v>0</v>
          </cell>
          <cell r="Z49">
            <v>26032705.426768903</v>
          </cell>
          <cell r="AA49">
            <v>2089.6999999999998</v>
          </cell>
          <cell r="AB49">
            <v>7057.98</v>
          </cell>
          <cell r="AC49">
            <v>4201.68</v>
          </cell>
          <cell r="AD49">
            <v>0</v>
          </cell>
          <cell r="AE49"/>
          <cell r="AF49"/>
          <cell r="AG49"/>
          <cell r="AH49">
            <v>13349.36</v>
          </cell>
          <cell r="AI49">
            <v>26046054.786768902</v>
          </cell>
          <cell r="AJ49">
            <v>237482.84336659228</v>
          </cell>
          <cell r="AK49">
            <v>262636.50011398632</v>
          </cell>
          <cell r="AL49">
            <v>267221.16674999997</v>
          </cell>
          <cell r="AM49"/>
          <cell r="AN49">
            <v>767340.5102305786</v>
          </cell>
          <cell r="AO49">
            <v>1796102.4939999999</v>
          </cell>
          <cell r="AP49">
            <v>10270.029</v>
          </cell>
          <cell r="AQ49"/>
          <cell r="AR49"/>
          <cell r="AS49">
            <v>1806372.523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165852.55399999997</v>
          </cell>
          <cell r="BD49">
            <v>0</v>
          </cell>
          <cell r="BE49">
            <v>254346.62400000001</v>
          </cell>
          <cell r="BF49">
            <v>408810.52399999998</v>
          </cell>
          <cell r="BG49">
            <v>0</v>
          </cell>
          <cell r="BH49"/>
          <cell r="BI49"/>
          <cell r="BJ49">
            <v>829009.70199999993</v>
          </cell>
        </row>
        <row r="50">
          <cell r="F50">
            <v>17317751.46301043</v>
          </cell>
          <cell r="G50">
            <v>1592672.7337865927</v>
          </cell>
          <cell r="H50">
            <v>8156.210610456299</v>
          </cell>
          <cell r="I50">
            <v>217971.69321574923</v>
          </cell>
          <cell r="J50">
            <v>282328.25617087283</v>
          </cell>
          <cell r="K50">
            <v>1504881.4997489625</v>
          </cell>
          <cell r="L50">
            <v>1270640.3109116072</v>
          </cell>
          <cell r="M50">
            <v>-3876.9683817392215</v>
          </cell>
          <cell r="N50">
            <v>784722.45206816238</v>
          </cell>
          <cell r="O50">
            <v>450366.09875885025</v>
          </cell>
          <cell r="P50">
            <v>1607388.2247629636</v>
          </cell>
          <cell r="Q50">
            <v>1558089.281916044</v>
          </cell>
          <cell r="R50">
            <v>687880.07162252953</v>
          </cell>
          <cell r="S50">
            <v>2612180.4490654063</v>
          </cell>
          <cell r="T50">
            <v>1013334.8093276311</v>
          </cell>
          <cell r="U50">
            <v>2379640.3300245889</v>
          </cell>
          <cell r="V50">
            <v>143440.4607877332</v>
          </cell>
          <cell r="W50">
            <v>95067.341844692128</v>
          </cell>
          <cell r="X50">
            <v>0</v>
          </cell>
          <cell r="Y50">
            <v>0</v>
          </cell>
          <cell r="Z50">
            <v>16204883.25624102</v>
          </cell>
          <cell r="AA50">
            <v>488567.49700000003</v>
          </cell>
          <cell r="AB50">
            <v>-7057.98</v>
          </cell>
          <cell r="AC50">
            <v>61867.764000000003</v>
          </cell>
          <cell r="AD50">
            <v>228039.57699999999</v>
          </cell>
          <cell r="AE50"/>
          <cell r="AF50"/>
          <cell r="AG50"/>
          <cell r="AH50">
            <v>771416.85800000001</v>
          </cell>
          <cell r="AI50">
            <v>16976300.114241015</v>
          </cell>
          <cell r="AJ50">
            <v>-100647.12036659205</v>
          </cell>
          <cell r="AK50">
            <v>-563211.68011398602</v>
          </cell>
          <cell r="AL50">
            <v>-708526.36574999907</v>
          </cell>
          <cell r="AM50"/>
          <cell r="AN50">
            <v>-1372385.166230577</v>
          </cell>
          <cell r="AO50">
            <v>500758.27499999385</v>
          </cell>
          <cell r="AP50">
            <v>-10270.029</v>
          </cell>
          <cell r="AQ50"/>
          <cell r="AR50"/>
          <cell r="AS50">
            <v>490488.24599999376</v>
          </cell>
          <cell r="AT50">
            <v>47738.831000000006</v>
          </cell>
          <cell r="AU50">
            <v>16041.887999999999</v>
          </cell>
          <cell r="AV50">
            <v>737142.47</v>
          </cell>
          <cell r="AW50"/>
          <cell r="AX50"/>
          <cell r="AY50"/>
          <cell r="AZ50"/>
          <cell r="BA50">
            <v>800923.18900000001</v>
          </cell>
          <cell r="BB50">
            <v>0</v>
          </cell>
          <cell r="BC50">
            <v>-144867.70399999997</v>
          </cell>
          <cell r="BD50">
            <v>1291788.24</v>
          </cell>
          <cell r="BE50">
            <v>-254346.62400000001</v>
          </cell>
          <cell r="BF50">
            <v>-408810.52399999998</v>
          </cell>
          <cell r="BG50">
            <v>-61338.308000000012</v>
          </cell>
          <cell r="BH50"/>
          <cell r="BI50"/>
          <cell r="BJ50">
            <v>422425.08000000019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228617.06</v>
          </cell>
          <cell r="T5">
            <v>305000</v>
          </cell>
          <cell r="U5">
            <v>228560.06</v>
          </cell>
        </row>
        <row r="9">
          <cell r="E9">
            <v>282.65017213076129</v>
          </cell>
          <cell r="F9">
            <v>299.46075507225925</v>
          </cell>
          <cell r="G9">
            <v>100693.34389225543</v>
          </cell>
          <cell r="H9">
            <v>100446.81009387475</v>
          </cell>
        </row>
        <row r="10">
          <cell r="E10">
            <v>26.788712749127122</v>
          </cell>
          <cell r="F10">
            <v>43.229549010909338</v>
          </cell>
          <cell r="G10">
            <v>92847.976470811394</v>
          </cell>
          <cell r="H10">
            <v>96295.652932702986</v>
          </cell>
        </row>
        <row r="11">
          <cell r="E11">
            <v>0</v>
          </cell>
          <cell r="F11">
            <v>10.378059756345394</v>
          </cell>
        </row>
        <row r="12">
          <cell r="E12">
            <v>29.820901214767261</v>
          </cell>
          <cell r="F12">
            <v>25.338102720768084</v>
          </cell>
          <cell r="G12">
            <v>63813.057911921591</v>
          </cell>
          <cell r="H12">
            <v>60764.73988901815</v>
          </cell>
        </row>
        <row r="13">
          <cell r="E13">
            <v>23.547289914027587</v>
          </cell>
          <cell r="F13">
            <v>23.64015117681944</v>
          </cell>
          <cell r="G13">
            <v>40009.434202900702</v>
          </cell>
          <cell r="H13">
            <v>34693.32606853007</v>
          </cell>
        </row>
        <row r="14">
          <cell r="E14">
            <v>0</v>
          </cell>
          <cell r="F14">
            <v>0</v>
          </cell>
        </row>
        <row r="15">
          <cell r="E15">
            <v>362.80707600868328</v>
          </cell>
          <cell r="F15">
            <v>402.04661773710149</v>
          </cell>
        </row>
        <row r="16">
          <cell r="E16">
            <v>824.31305139781489</v>
          </cell>
          <cell r="F16">
            <v>810.33406518306174</v>
          </cell>
          <cell r="G16">
            <v>13186.472190582135</v>
          </cell>
          <cell r="H16">
            <v>12971.686205169732</v>
          </cell>
        </row>
        <row r="17">
          <cell r="E17">
            <v>900.08523457500303</v>
          </cell>
          <cell r="F17">
            <v>887.79920827430828</v>
          </cell>
          <cell r="G17">
            <v>15914.67254725075</v>
          </cell>
          <cell r="H17">
            <v>15621.936379029996</v>
          </cell>
        </row>
        <row r="19">
          <cell r="E19">
            <v>3.0852886858115132</v>
          </cell>
          <cell r="F19">
            <v>3.2888436497258788</v>
          </cell>
        </row>
        <row r="20">
          <cell r="Q20">
            <v>61571.160931797807</v>
          </cell>
          <cell r="R20">
            <v>65288.308138508997</v>
          </cell>
        </row>
        <row r="21">
          <cell r="Q21">
            <v>18784.119903093488</v>
          </cell>
          <cell r="R21">
            <v>20400.349134049749</v>
          </cell>
        </row>
        <row r="22">
          <cell r="Q22">
            <v>274.55737704918033</v>
          </cell>
          <cell r="R22">
            <v>321.86037647409165</v>
          </cell>
        </row>
        <row r="50">
          <cell r="Q50">
            <v>87171.63864947691</v>
          </cell>
          <cell r="R50">
            <v>96139.750358087898</v>
          </cell>
        </row>
        <row r="56">
          <cell r="L56">
            <v>-1929635.356932397</v>
          </cell>
        </row>
        <row r="61">
          <cell r="T61">
            <v>102135.08537207061</v>
          </cell>
          <cell r="U61">
            <v>101721.48004045202</v>
          </cell>
        </row>
        <row r="80">
          <cell r="H80">
            <v>628951.33000000007</v>
          </cell>
          <cell r="I80">
            <v>708448.30400000012</v>
          </cell>
          <cell r="L80">
            <v>-79496.974000000002</v>
          </cell>
        </row>
        <row r="85">
          <cell r="H85">
            <v>343355.96246234549</v>
          </cell>
          <cell r="I85">
            <v>473788.39531999989</v>
          </cell>
          <cell r="L85">
            <v>-130432.43285765441</v>
          </cell>
          <cell r="Q85">
            <v>102135.08537207061</v>
          </cell>
          <cell r="R85">
            <v>101721.48004045202</v>
          </cell>
        </row>
        <row r="86">
          <cell r="H86">
            <v>3591543.9579287278</v>
          </cell>
          <cell r="I86">
            <v>209499.17199999432</v>
          </cell>
          <cell r="K86">
            <v>-94385.175097012892</v>
          </cell>
          <cell r="M86">
            <v>-1148094.8470416684</v>
          </cell>
        </row>
        <row r="89">
          <cell r="Q89">
            <v>80629.838211940471</v>
          </cell>
          <cell r="R89">
            <v>86010.517649032845</v>
          </cell>
        </row>
        <row r="90">
          <cell r="Q90">
            <v>21505.247160130137</v>
          </cell>
          <cell r="R90">
            <v>15710.962391419176</v>
          </cell>
        </row>
      </sheetData>
      <sheetData sheetId="1">
        <row r="5">
          <cell r="T5">
            <v>109000</v>
          </cell>
          <cell r="U5">
            <v>88277.06</v>
          </cell>
        </row>
        <row r="9">
          <cell r="E9">
            <v>305.38178899082567</v>
          </cell>
          <cell r="F9">
            <v>313.23662023064799</v>
          </cell>
          <cell r="G9">
            <v>100000</v>
          </cell>
          <cell r="H9">
            <v>100319.40473187991</v>
          </cell>
        </row>
        <row r="10">
          <cell r="E10">
            <v>5.6513761467889916</v>
          </cell>
          <cell r="F10">
            <v>33.946946244626254</v>
          </cell>
          <cell r="G10">
            <v>98000</v>
          </cell>
          <cell r="H10">
            <v>98354.786277106163</v>
          </cell>
        </row>
        <row r="11">
          <cell r="E11">
            <v>0</v>
          </cell>
          <cell r="F11">
            <v>21.866785208666716</v>
          </cell>
        </row>
        <row r="12">
          <cell r="E12">
            <v>35.022477064220183</v>
          </cell>
          <cell r="F12">
            <v>25.161005286449114</v>
          </cell>
          <cell r="G12">
            <v>64193.855846180042</v>
          </cell>
          <cell r="H12">
            <v>60105.238895267685</v>
          </cell>
        </row>
        <row r="13">
          <cell r="E13">
            <v>20.19834862385321</v>
          </cell>
          <cell r="F13">
            <v>20.625012354436336</v>
          </cell>
          <cell r="G13">
            <v>47322.873157038906</v>
          </cell>
          <cell r="H13">
            <v>38737.072800629714</v>
          </cell>
        </row>
        <row r="14">
          <cell r="E14">
            <v>0</v>
          </cell>
          <cell r="F14">
            <v>0</v>
          </cell>
        </row>
        <row r="15">
          <cell r="E15">
            <v>366.25399082568811</v>
          </cell>
          <cell r="F15">
            <v>414.83636932482636</v>
          </cell>
        </row>
        <row r="16">
          <cell r="E16">
            <v>862.89852423739842</v>
          </cell>
          <cell r="F16">
            <v>832.21635975027971</v>
          </cell>
          <cell r="G16">
            <v>15807.611599737775</v>
          </cell>
          <cell r="H16">
            <v>14950.439920227585</v>
          </cell>
        </row>
        <row r="17">
          <cell r="E17">
            <v>871.37059612033659</v>
          </cell>
          <cell r="F17">
            <v>851.94344655942291</v>
          </cell>
          <cell r="G17">
            <v>14221.766777852879</v>
          </cell>
          <cell r="H17">
            <v>13558.622461513522</v>
          </cell>
        </row>
        <row r="19">
          <cell r="E19">
            <v>3.1872477064220184</v>
          </cell>
          <cell r="F19">
            <v>3.4314529294271443</v>
          </cell>
        </row>
        <row r="20">
          <cell r="Q20">
            <v>63043.392272197067</v>
          </cell>
          <cell r="R20">
            <v>66880.202955840083</v>
          </cell>
        </row>
        <row r="21">
          <cell r="Q21">
            <v>18537.79970322147</v>
          </cell>
          <cell r="R21">
            <v>20128.511335294745</v>
          </cell>
        </row>
        <row r="22">
          <cell r="Q22">
            <v>370.91743119266056</v>
          </cell>
          <cell r="R22">
            <v>395.27008558699083</v>
          </cell>
        </row>
        <row r="50">
          <cell r="Q50">
            <v>87797.81036368139</v>
          </cell>
          <cell r="R50">
            <v>95850.403589614143</v>
          </cell>
        </row>
        <row r="56">
          <cell r="L56">
            <v>-708335.70628232579</v>
          </cell>
        </row>
        <row r="61">
          <cell r="T61">
            <v>100867.1766436521</v>
          </cell>
          <cell r="U61">
            <v>99894.501248649074</v>
          </cell>
        </row>
        <row r="80">
          <cell r="H80">
            <v>208680.75</v>
          </cell>
          <cell r="I80">
            <v>256375.70899999997</v>
          </cell>
          <cell r="L80">
            <v>-47694.958999999966</v>
          </cell>
        </row>
        <row r="85">
          <cell r="H85">
            <v>103524.93012835557</v>
          </cell>
          <cell r="I85">
            <v>107985.78607</v>
          </cell>
          <cell r="L85">
            <v>-4460.8559416444405</v>
          </cell>
          <cell r="Q85">
            <v>100867.1766436521</v>
          </cell>
          <cell r="R85">
            <v>99894.501248649074</v>
          </cell>
        </row>
        <row r="86">
          <cell r="H86">
            <v>1112355.2443884509</v>
          </cell>
          <cell r="I86">
            <v>-7630.2419999994163</v>
          </cell>
          <cell r="K86">
            <v>-85555.613429594785</v>
          </cell>
          <cell r="M86">
            <v>-273938.35173488618</v>
          </cell>
        </row>
        <row r="89">
          <cell r="Q89">
            <v>81952.109406611198</v>
          </cell>
          <cell r="R89">
            <v>87403.984376721812</v>
          </cell>
        </row>
        <row r="90">
          <cell r="Q90">
            <v>18915.067237040901</v>
          </cell>
          <cell r="R90">
            <v>12490.516871927262</v>
          </cell>
        </row>
      </sheetData>
      <sheetData sheetId="2">
        <row r="5">
          <cell r="T5">
            <v>138500</v>
          </cell>
          <cell r="U5">
            <v>99727</v>
          </cell>
        </row>
        <row r="9">
          <cell r="E9">
            <v>250.12496389806648</v>
          </cell>
          <cell r="F9">
            <v>269.72547552650258</v>
          </cell>
          <cell r="G9">
            <v>100000.00000000001</v>
          </cell>
          <cell r="H9">
            <v>100000.00059291704</v>
          </cell>
        </row>
        <row r="10">
          <cell r="E10">
            <v>54.420991974612065</v>
          </cell>
          <cell r="F10">
            <v>64.268977780443194</v>
          </cell>
          <cell r="G10">
            <v>92423.823821187034</v>
          </cell>
          <cell r="H10">
            <v>94315.51046024001</v>
          </cell>
        </row>
        <row r="11">
          <cell r="E11">
            <v>0</v>
          </cell>
          <cell r="F11">
            <v>2.0554739272541904</v>
          </cell>
        </row>
        <row r="12">
          <cell r="E12">
            <v>27.897508090281693</v>
          </cell>
          <cell r="F12">
            <v>26.500099053444881</v>
          </cell>
          <cell r="G12">
            <v>63149.758209782616</v>
          </cell>
          <cell r="H12">
            <v>61159.563649886142</v>
          </cell>
        </row>
        <row r="13">
          <cell r="E13">
            <v>27.631143853995777</v>
          </cell>
          <cell r="F13">
            <v>29.613719251951583</v>
          </cell>
          <cell r="G13">
            <v>35347.205095739373</v>
          </cell>
          <cell r="H13">
            <v>32658.069461947016</v>
          </cell>
        </row>
        <row r="14">
          <cell r="E14">
            <v>0</v>
          </cell>
          <cell r="F14">
            <v>0</v>
          </cell>
        </row>
        <row r="15">
          <cell r="E15">
            <v>360.07460781695596</v>
          </cell>
          <cell r="F15">
            <v>392.16374553959645</v>
          </cell>
        </row>
        <row r="16">
          <cell r="E16">
            <v>800.32593165673006</v>
          </cell>
          <cell r="F16">
            <v>804.14146351214924</v>
          </cell>
          <cell r="G16">
            <v>10943.655200619407</v>
          </cell>
          <cell r="H16">
            <v>11170.357543020624</v>
          </cell>
        </row>
        <row r="17">
          <cell r="E17">
            <v>913.11647341703417</v>
          </cell>
          <cell r="F17">
            <v>890.22156452467357</v>
          </cell>
          <cell r="G17">
            <v>17671.967149614728</v>
          </cell>
          <cell r="H17">
            <v>17853.792934898353</v>
          </cell>
        </row>
        <row r="19">
          <cell r="E19">
            <v>3.1665779723647045</v>
          </cell>
          <cell r="F19">
            <v>3.2571711895409168</v>
          </cell>
        </row>
        <row r="20">
          <cell r="Q20">
            <v>60332.290458226249</v>
          </cell>
          <cell r="R20">
            <v>63713.973912261237</v>
          </cell>
        </row>
        <row r="21">
          <cell r="Q21">
            <v>19326.542948479153</v>
          </cell>
          <cell r="R21">
            <v>20854.777194718481</v>
          </cell>
        </row>
        <row r="22">
          <cell r="Q22">
            <v>212.70758122743683</v>
          </cell>
          <cell r="R22">
            <v>243.35038531890009</v>
          </cell>
        </row>
        <row r="50">
          <cell r="Q50">
            <v>86538.703290478268</v>
          </cell>
          <cell r="R50">
            <v>95453.712445150784</v>
          </cell>
        </row>
        <row r="56">
          <cell r="L56">
            <v>-771993.00117047189</v>
          </cell>
        </row>
        <row r="61">
          <cell r="T61">
            <v>100786.02154746176</v>
          </cell>
          <cell r="U61">
            <v>100842.57113921005</v>
          </cell>
        </row>
        <row r="80">
          <cell r="H80">
            <v>309699.33</v>
          </cell>
          <cell r="I80">
            <v>321790.32399999996</v>
          </cell>
          <cell r="L80">
            <v>-12090.993999999937</v>
          </cell>
        </row>
        <row r="85">
          <cell r="H85">
            <v>162455.8133806425</v>
          </cell>
          <cell r="I85">
            <v>289159.13277999999</v>
          </cell>
          <cell r="L85">
            <v>-126703.3193993575</v>
          </cell>
          <cell r="Q85">
            <v>100786.02154746176</v>
          </cell>
          <cell r="R85">
            <v>100842.57113921005</v>
          </cell>
        </row>
        <row r="86">
          <cell r="H86">
            <v>1501098.4352115684</v>
          </cell>
          <cell r="I86">
            <v>43539.371000000916</v>
          </cell>
          <cell r="K86">
            <v>5639.5211362818445</v>
          </cell>
          <cell r="M86">
            <v>-552411.27077802038</v>
          </cell>
        </row>
        <row r="89">
          <cell r="Q89">
            <v>79871.540987932851</v>
          </cell>
          <cell r="R89">
            <v>84812.101492298621</v>
          </cell>
        </row>
        <row r="90">
          <cell r="Q90">
            <v>20914.480559528907</v>
          </cell>
          <cell r="R90">
            <v>16030.469646911428</v>
          </cell>
        </row>
      </sheetData>
      <sheetData sheetId="3"/>
      <sheetData sheetId="4"/>
      <sheetData sheetId="5"/>
      <sheetData sheetId="6">
        <row r="5">
          <cell r="T5">
            <v>57500</v>
          </cell>
          <cell r="U5">
            <v>40556</v>
          </cell>
        </row>
        <row r="9">
          <cell r="E9">
            <v>317.90226086956523</v>
          </cell>
          <cell r="F9">
            <v>342.92614305093105</v>
          </cell>
          <cell r="G9">
            <v>103269.91396863569</v>
          </cell>
          <cell r="H9">
            <v>101566.64810576537</v>
          </cell>
        </row>
        <row r="10">
          <cell r="E10">
            <v>0.3</v>
          </cell>
          <cell r="F10">
            <v>11.466568010852138</v>
          </cell>
          <cell r="G10">
            <v>94200</v>
          </cell>
          <cell r="H10">
            <v>110446.91038304026</v>
          </cell>
        </row>
        <row r="11">
          <cell r="E11">
            <v>0</v>
          </cell>
          <cell r="F11">
            <v>5.9719430262671125</v>
          </cell>
        </row>
        <row r="12">
          <cell r="E12">
            <v>24.593391304347826</v>
          </cell>
          <cell r="F12">
            <v>22.855300036995938</v>
          </cell>
          <cell r="G12">
            <v>64597.421010946731</v>
          </cell>
          <cell r="H12">
            <v>61211.376059610709</v>
          </cell>
        </row>
        <row r="13">
          <cell r="E13">
            <v>20.058956521739134</v>
          </cell>
          <cell r="F13">
            <v>15.446051054384013</v>
          </cell>
          <cell r="G13">
            <v>41518.493311022292</v>
          </cell>
          <cell r="H13">
            <v>32599.1320475865</v>
          </cell>
        </row>
        <row r="14">
          <cell r="E14">
            <v>0</v>
          </cell>
          <cell r="F14">
            <v>0</v>
          </cell>
        </row>
        <row r="15">
          <cell r="E15">
            <v>362.85460869565225</v>
          </cell>
          <cell r="F15">
            <v>398.66600517943021</v>
          </cell>
        </row>
        <row r="16">
          <cell r="E16">
            <v>808.94608695652187</v>
          </cell>
          <cell r="F16">
            <v>778.10717967690232</v>
          </cell>
          <cell r="G16">
            <v>13231.00975181879</v>
          </cell>
          <cell r="H16">
            <v>12970.577204981166</v>
          </cell>
        </row>
        <row r="17">
          <cell r="E17">
            <v>923.12991304347827</v>
          </cell>
          <cell r="F17">
            <v>959.6664200271307</v>
          </cell>
          <cell r="G17">
            <v>14757.023752359246</v>
          </cell>
          <cell r="H17">
            <v>14489.949067937467</v>
          </cell>
        </row>
        <row r="19">
          <cell r="E19">
            <v>2.696208695652174</v>
          </cell>
          <cell r="F19">
            <v>3.0573858675545682</v>
          </cell>
        </row>
        <row r="20">
          <cell r="Q20">
            <v>61764.384314165502</v>
          </cell>
          <cell r="R20">
            <v>65716.986878776661</v>
          </cell>
        </row>
        <row r="21">
          <cell r="Q21">
            <v>17944.525294400177</v>
          </cell>
          <cell r="R21">
            <v>19869.195461832533</v>
          </cell>
        </row>
        <row r="22">
          <cell r="Q22">
            <v>240.86956521739131</v>
          </cell>
          <cell r="R22">
            <v>356.21220865704771</v>
          </cell>
        </row>
        <row r="50">
          <cell r="Q50">
            <v>87509.18352552953</v>
          </cell>
          <cell r="R50">
            <v>98460.771488469603</v>
          </cell>
        </row>
        <row r="56">
          <cell r="L56">
            <v>-443674.2879931705</v>
          </cell>
        </row>
        <row r="61">
          <cell r="T61">
            <v>107788.08347826089</v>
          </cell>
          <cell r="U61">
            <v>107851.31553745527</v>
          </cell>
        </row>
        <row r="80">
          <cell r="H80">
            <v>110571.25</v>
          </cell>
          <cell r="I80">
            <v>130282.27100000001</v>
          </cell>
          <cell r="L80">
            <v>-19711.021000000015</v>
          </cell>
        </row>
        <row r="85">
          <cell r="H85">
            <v>77375.21895334743</v>
          </cell>
          <cell r="I85">
            <v>76643.476469999994</v>
          </cell>
          <cell r="L85">
            <v>731.74248334743561</v>
          </cell>
          <cell r="Q85">
            <v>107788.08347826089</v>
          </cell>
          <cell r="R85">
            <v>107851.31553745527</v>
          </cell>
        </row>
        <row r="86">
          <cell r="H86">
            <v>978090.278328705</v>
          </cell>
          <cell r="I86">
            <v>173590.04300000082</v>
          </cell>
          <cell r="K86">
            <v>2561.8468782605587</v>
          </cell>
          <cell r="M86">
            <v>-344408.51569714211</v>
          </cell>
        </row>
        <row r="89">
          <cell r="Q89">
            <v>79949.77917378307</v>
          </cell>
          <cell r="R89">
            <v>85942.394549266246</v>
          </cell>
        </row>
        <row r="90">
          <cell r="Q90">
            <v>27838.304304477817</v>
          </cell>
          <cell r="R90">
            <v>21908.920988189027</v>
          </cell>
        </row>
      </sheetData>
      <sheetData sheetId="7">
        <row r="2">
          <cell r="N2">
            <v>41000</v>
          </cell>
        </row>
        <row r="5">
          <cell r="T5">
            <v>41000</v>
          </cell>
          <cell r="U5">
            <v>31317</v>
          </cell>
        </row>
        <row r="9">
          <cell r="E9">
            <v>320</v>
          </cell>
          <cell r="F9">
            <v>347.16007850646241</v>
          </cell>
          <cell r="G9">
            <v>100000</v>
          </cell>
          <cell r="H9">
            <v>100878.51899741043</v>
          </cell>
        </row>
        <row r="10">
          <cell r="E10">
            <v>0</v>
          </cell>
          <cell r="F10">
            <v>3.1168626136907616</v>
          </cell>
          <cell r="G10">
            <v>0</v>
          </cell>
          <cell r="H10">
            <v>100853.61579548605</v>
          </cell>
        </row>
        <row r="11">
          <cell r="E11">
            <v>0</v>
          </cell>
          <cell r="F11">
            <v>24.877868517632038</v>
          </cell>
        </row>
        <row r="12">
          <cell r="E12">
            <v>37</v>
          </cell>
          <cell r="F12">
            <v>23.596194032232344</v>
          </cell>
          <cell r="G12">
            <v>64099.999999999993</v>
          </cell>
          <cell r="H12">
            <v>60180.010801924815</v>
          </cell>
        </row>
        <row r="13">
          <cell r="E13">
            <v>15</v>
          </cell>
          <cell r="F13">
            <v>23.084095101324401</v>
          </cell>
          <cell r="G13">
            <v>46100</v>
          </cell>
          <cell r="H13">
            <v>37123.947998349649</v>
          </cell>
        </row>
        <row r="14">
          <cell r="E14">
            <v>0</v>
          </cell>
          <cell r="F14">
            <v>0</v>
          </cell>
        </row>
        <row r="15">
          <cell r="E15">
            <v>372</v>
          </cell>
          <cell r="F15">
            <v>421.83509877134196</v>
          </cell>
        </row>
        <row r="16">
          <cell r="E16">
            <v>845</v>
          </cell>
          <cell r="F16">
            <v>795.04372107866538</v>
          </cell>
          <cell r="G16">
            <v>15800</v>
          </cell>
          <cell r="H16">
            <v>14140.374857075893</v>
          </cell>
        </row>
        <row r="17">
          <cell r="E17">
            <v>875</v>
          </cell>
          <cell r="F17">
            <v>795.18981969044228</v>
          </cell>
          <cell r="G17">
            <v>15032.258064516132</v>
          </cell>
          <cell r="H17">
            <v>13588.642625539314</v>
          </cell>
        </row>
        <row r="19">
          <cell r="E19">
            <v>3.38</v>
          </cell>
          <cell r="F19">
            <v>3.5601882878570317</v>
          </cell>
        </row>
        <row r="20">
          <cell r="Q20">
            <v>64719.305806451608</v>
          </cell>
          <cell r="R20">
            <v>65697.333237593746</v>
          </cell>
        </row>
        <row r="21">
          <cell r="Q21">
            <v>17934.899120667524</v>
          </cell>
          <cell r="R21">
            <v>18663.0262326472</v>
          </cell>
        </row>
        <row r="22">
          <cell r="Q22">
            <v>317.07317073170731</v>
          </cell>
          <cell r="R22">
            <v>227.12136588479336</v>
          </cell>
        </row>
        <row r="50">
          <cell r="Q50">
            <v>87577.54963485492</v>
          </cell>
          <cell r="R50">
            <v>92224.473815222591</v>
          </cell>
        </row>
        <row r="56">
          <cell r="L56">
            <v>-145487.13194524817</v>
          </cell>
        </row>
        <row r="80">
          <cell r="H80">
            <v>66239.859999999986</v>
          </cell>
          <cell r="I80">
            <v>85785.945000000007</v>
          </cell>
          <cell r="L80">
            <v>-19546.085000000006</v>
          </cell>
        </row>
        <row r="85">
          <cell r="H85">
            <v>29994.295888888886</v>
          </cell>
          <cell r="I85">
            <v>31226.46514</v>
          </cell>
          <cell r="L85">
            <v>-1232.1692511111119</v>
          </cell>
          <cell r="Q85">
            <v>103714.40902439023</v>
          </cell>
          <cell r="R85">
            <v>101989.59731136443</v>
          </cell>
        </row>
        <row r="86">
          <cell r="H86">
            <v>565377.07908205839</v>
          </cell>
          <cell r="I86">
            <v>188842.55499999999</v>
          </cell>
          <cell r="K86">
            <v>-54015.928416829076</v>
          </cell>
          <cell r="M86">
            <v>-156253.20946887031</v>
          </cell>
        </row>
        <row r="89">
          <cell r="Q89">
            <v>82971.278097850838</v>
          </cell>
          <cell r="R89">
            <v>84587.480836125746</v>
          </cell>
        </row>
        <row r="92">
          <cell r="H92">
            <v>383200.58383265306</v>
          </cell>
          <cell r="I92">
            <v>-59396.89773179192</v>
          </cell>
        </row>
      </sheetData>
      <sheetData sheetId="8">
        <row r="2">
          <cell r="N2">
            <v>32000</v>
          </cell>
        </row>
        <row r="5">
          <cell r="T5">
            <v>32000</v>
          </cell>
          <cell r="U5">
            <v>31475</v>
          </cell>
        </row>
        <row r="9">
          <cell r="E9">
            <v>308</v>
          </cell>
          <cell r="F9">
            <v>308.16813172085892</v>
          </cell>
          <cell r="G9">
            <v>100000</v>
          </cell>
          <cell r="H9">
            <v>99922.337878649458</v>
          </cell>
        </row>
        <row r="10">
          <cell r="E10">
            <v>19.25</v>
          </cell>
          <cell r="F10">
            <v>69.731709371709385</v>
          </cell>
          <cell r="G10">
            <v>98000</v>
          </cell>
          <cell r="H10">
            <v>99487.031211198482</v>
          </cell>
        </row>
        <row r="11">
          <cell r="E11">
            <v>0</v>
          </cell>
          <cell r="F11">
            <v>4.1510255592073779</v>
          </cell>
        </row>
        <row r="12">
          <cell r="E12">
            <v>38.5</v>
          </cell>
          <cell r="F12">
            <v>26.179302147483966</v>
          </cell>
          <cell r="G12">
            <v>64400.000000000007</v>
          </cell>
          <cell r="H12">
            <v>60077.521245941847</v>
          </cell>
        </row>
        <row r="13">
          <cell r="E13">
            <v>19.25</v>
          </cell>
          <cell r="F13">
            <v>14.010997160088072</v>
          </cell>
          <cell r="G13">
            <v>47599.999999999993</v>
          </cell>
          <cell r="H13">
            <v>38830.779904577328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422.24116595934771</v>
          </cell>
        </row>
        <row r="16">
          <cell r="E16">
            <v>904.67981693363845</v>
          </cell>
          <cell r="F16">
            <v>858.28648010466122</v>
          </cell>
          <cell r="G16">
            <v>16000</v>
          </cell>
          <cell r="H16">
            <v>15496.23560850984</v>
          </cell>
        </row>
        <row r="17">
          <cell r="E17">
            <v>835.08906178489701</v>
          </cell>
          <cell r="F17">
            <v>868.54909218545504</v>
          </cell>
          <cell r="G17">
            <v>14318.131256952165</v>
          </cell>
          <cell r="H17">
            <v>14176.27278425069</v>
          </cell>
        </row>
        <row r="19">
          <cell r="E19">
            <v>3.33</v>
          </cell>
          <cell r="F19">
            <v>3.1669724624270108</v>
          </cell>
        </row>
        <row r="20">
          <cell r="Q20">
            <v>65311.191868819413</v>
          </cell>
          <cell r="R20">
            <v>69136.388142569966</v>
          </cell>
        </row>
        <row r="21">
          <cell r="Q21">
            <v>18365.015216924399</v>
          </cell>
          <cell r="R21">
            <v>20073.466575193848</v>
          </cell>
        </row>
        <row r="22">
          <cell r="Q22">
            <v>593.75</v>
          </cell>
          <cell r="R22">
            <v>608.78403905676635</v>
          </cell>
        </row>
        <row r="50">
          <cell r="Q50">
            <v>90062.182787990751</v>
          </cell>
          <cell r="R50">
            <v>97101.504993777722</v>
          </cell>
        </row>
        <row r="56">
          <cell r="L56">
            <v>-220339.96181098145</v>
          </cell>
        </row>
        <row r="80">
          <cell r="H80">
            <v>59535.31</v>
          </cell>
          <cell r="I80">
            <v>77333.587</v>
          </cell>
          <cell r="L80">
            <v>-17798.277000000002</v>
          </cell>
        </row>
        <row r="85">
          <cell r="H85">
            <v>35794.468461688899</v>
          </cell>
          <cell r="I85">
            <v>39429.896569999997</v>
          </cell>
          <cell r="L85">
            <v>-3635.4281083111036</v>
          </cell>
          <cell r="Q85">
            <v>103510.96078618999</v>
          </cell>
          <cell r="R85">
            <v>98884.465245597778</v>
          </cell>
        </row>
        <row r="86">
          <cell r="H86">
            <v>335031.11748068663</v>
          </cell>
          <cell r="I86">
            <v>-60530.204999999914</v>
          </cell>
          <cell r="K86">
            <v>-144767.67196067079</v>
          </cell>
          <cell r="M86">
            <v>-9019.9836007232661</v>
          </cell>
        </row>
        <row r="89">
          <cell r="Q89">
            <v>84269.957085743808</v>
          </cell>
          <cell r="R89">
            <v>89818.638756820583</v>
          </cell>
        </row>
        <row r="92">
          <cell r="H92">
            <v>193123.50052116835</v>
          </cell>
          <cell r="I92">
            <v>-302307.95500566834</v>
          </cell>
        </row>
      </sheetData>
      <sheetData sheetId="9">
        <row r="2">
          <cell r="N2">
            <v>21000</v>
          </cell>
        </row>
        <row r="5">
          <cell r="T5">
            <v>21000</v>
          </cell>
          <cell r="U5">
            <v>13662</v>
          </cell>
        </row>
        <row r="9">
          <cell r="E9">
            <v>298.12452380952379</v>
          </cell>
          <cell r="F9">
            <v>265.41558840922528</v>
          </cell>
          <cell r="G9">
            <v>100000</v>
          </cell>
          <cell r="H9">
            <v>100000.03314262787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75.043471318746313</v>
          </cell>
        </row>
        <row r="12">
          <cell r="E12">
            <v>29.45</v>
          </cell>
          <cell r="F12">
            <v>34.447224275576552</v>
          </cell>
          <cell r="G12">
            <v>64300</v>
          </cell>
          <cell r="H12">
            <v>60140.956461457674</v>
          </cell>
        </row>
        <row r="13">
          <cell r="E13">
            <v>24.791428571428572</v>
          </cell>
          <cell r="F13">
            <v>22.970882613837951</v>
          </cell>
          <cell r="G13">
            <v>48199.999999999993</v>
          </cell>
          <cell r="H13">
            <v>40757.71174329472</v>
          </cell>
        </row>
        <row r="14">
          <cell r="E14">
            <v>0</v>
          </cell>
          <cell r="F14">
            <v>0</v>
          </cell>
        </row>
        <row r="15">
          <cell r="E15">
            <v>352.36595238095236</v>
          </cell>
          <cell r="F15">
            <v>397.87716661738608</v>
          </cell>
        </row>
        <row r="16">
          <cell r="E16">
            <v>864.81833333333338</v>
          </cell>
          <cell r="F16">
            <v>834.66366055588423</v>
          </cell>
          <cell r="G16">
            <v>16333.333333333328</v>
          </cell>
          <cell r="H16">
            <v>15710.311451352494</v>
          </cell>
        </row>
        <row r="17">
          <cell r="E17">
            <v>870.54976190476191</v>
          </cell>
          <cell r="F17">
            <v>902.01471023063289</v>
          </cell>
          <cell r="G17">
            <v>12580.645161290322</v>
          </cell>
          <cell r="H17">
            <v>11694.447715644104</v>
          </cell>
        </row>
        <row r="19">
          <cell r="E19">
            <v>2.87</v>
          </cell>
          <cell r="F19">
            <v>3.8762825251330555</v>
          </cell>
        </row>
        <row r="20">
          <cell r="Q20">
            <v>60044.877998975928</v>
          </cell>
          <cell r="R20">
            <v>65991.291765227681</v>
          </cell>
        </row>
        <row r="21">
          <cell r="Q21">
            <v>20012.526976144425</v>
          </cell>
          <cell r="R21">
            <v>24227.279420461266</v>
          </cell>
        </row>
        <row r="22">
          <cell r="Q22">
            <v>259.76190476190476</v>
          </cell>
          <cell r="R22">
            <v>249.4486989946777</v>
          </cell>
        </row>
        <row r="50">
          <cell r="Q50">
            <v>87690.821109957586</v>
          </cell>
          <cell r="R50">
            <v>100722.29472205797</v>
          </cell>
        </row>
        <row r="56">
          <cell r="L56">
            <v>-176289.80231449343</v>
          </cell>
        </row>
        <row r="80">
          <cell r="H80">
            <v>48977.32</v>
          </cell>
          <cell r="I80">
            <v>49309.664000000004</v>
          </cell>
          <cell r="L80">
            <v>-332.3440000000021</v>
          </cell>
        </row>
        <row r="85">
          <cell r="H85">
            <v>19204.586333333333</v>
          </cell>
          <cell r="I85">
            <v>18697.801710000003</v>
          </cell>
          <cell r="L85">
            <v>506.78462333333118</v>
          </cell>
          <cell r="Q85">
            <v>95213.511380952419</v>
          </cell>
          <cell r="R85">
            <v>98582.894736842092</v>
          </cell>
        </row>
        <row r="86">
          <cell r="H86">
            <v>89794.589357558172</v>
          </cell>
          <cell r="I86">
            <v>-96411.095999999772</v>
          </cell>
          <cell r="K86">
            <v>45581.0180384755</v>
          </cell>
          <cell r="M86">
            <v>-55671.341704873368</v>
          </cell>
        </row>
        <row r="89">
          <cell r="Q89">
            <v>80317.166879882265</v>
          </cell>
          <cell r="R89">
            <v>90468.019884683628</v>
          </cell>
        </row>
        <row r="92">
          <cell r="H92">
            <v>4132.7756243461045</v>
          </cell>
          <cell r="I92">
            <v>-200947.07195751305</v>
          </cell>
        </row>
      </sheetData>
      <sheetData sheetId="10">
        <row r="2">
          <cell r="N2">
            <v>15000</v>
          </cell>
        </row>
        <row r="5">
          <cell r="T5">
            <v>15000</v>
          </cell>
          <cell r="U5">
            <v>11823.06</v>
          </cell>
        </row>
        <row r="9">
          <cell r="E9">
            <v>270</v>
          </cell>
          <cell r="F9">
            <v>291.48021493589636</v>
          </cell>
          <cell r="G9">
            <v>100000</v>
          </cell>
          <cell r="H9">
            <v>100000.00000000003</v>
          </cell>
        </row>
        <row r="10">
          <cell r="E10">
            <v>0</v>
          </cell>
          <cell r="F10">
            <v>59.645561301388994</v>
          </cell>
          <cell r="G10">
            <v>0</v>
          </cell>
          <cell r="H10">
            <v>94499.994008732756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15.983769007346663</v>
          </cell>
          <cell r="G12">
            <v>63800</v>
          </cell>
          <cell r="H12">
            <v>59844.946259614771</v>
          </cell>
        </row>
        <row r="13">
          <cell r="E13">
            <v>30</v>
          </cell>
          <cell r="F13">
            <v>28.955032791849131</v>
          </cell>
          <cell r="G13">
            <v>47600</v>
          </cell>
          <cell r="H13">
            <v>40191.131495567744</v>
          </cell>
        </row>
        <row r="14">
          <cell r="E14">
            <v>0</v>
          </cell>
          <cell r="F14">
            <v>0</v>
          </cell>
        </row>
        <row r="15">
          <cell r="E15">
            <v>330</v>
          </cell>
          <cell r="F15">
            <v>396.06457803648112</v>
          </cell>
        </row>
        <row r="16">
          <cell r="E16">
            <v>820</v>
          </cell>
          <cell r="F16">
            <v>858.83265415213998</v>
          </cell>
          <cell r="G16">
            <v>14600</v>
          </cell>
          <cell r="H16">
            <v>14647.133601141619</v>
          </cell>
        </row>
        <row r="17">
          <cell r="E17">
            <v>940</v>
          </cell>
          <cell r="F17">
            <v>901.05141985239004</v>
          </cell>
          <cell r="G17">
            <v>14104.797292499939</v>
          </cell>
          <cell r="H17">
            <v>14045.554733161964</v>
          </cell>
        </row>
        <row r="19">
          <cell r="E19">
            <v>2.8</v>
          </cell>
          <cell r="F19">
            <v>3.2823355375004435</v>
          </cell>
        </row>
        <row r="20">
          <cell r="Q20">
            <v>57822.509454949941</v>
          </cell>
          <cell r="R20">
            <v>65051.89671709355</v>
          </cell>
        </row>
        <row r="21">
          <cell r="Q21">
            <v>18489.716684210525</v>
          </cell>
          <cell r="R21">
            <v>19468.605081933107</v>
          </cell>
        </row>
        <row r="22">
          <cell r="Q22">
            <v>198.33333333333334</v>
          </cell>
          <cell r="R22">
            <v>441.81455562265609</v>
          </cell>
        </row>
        <row r="50">
          <cell r="Q50">
            <v>83718.980139160471</v>
          </cell>
          <cell r="R50">
            <v>96569.616664383007</v>
          </cell>
        </row>
        <row r="56">
          <cell r="L56">
            <v>-151933.84302589722</v>
          </cell>
        </row>
        <row r="80">
          <cell r="H80">
            <v>33928.26</v>
          </cell>
          <cell r="I80">
            <v>43946.512999999999</v>
          </cell>
          <cell r="L80">
            <v>-10018.253000000001</v>
          </cell>
        </row>
        <row r="85">
          <cell r="H85">
            <v>18531.579444444447</v>
          </cell>
          <cell r="I85">
            <v>18631.622649999998</v>
          </cell>
          <cell r="L85">
            <v>-100.04320555555319</v>
          </cell>
          <cell r="Q85">
            <v>95359.8</v>
          </cell>
          <cell r="R85">
            <v>98518.912024467441</v>
          </cell>
        </row>
        <row r="86">
          <cell r="H86">
            <v>122152.45846814831</v>
          </cell>
          <cell r="I86">
            <v>-39531.49599999997</v>
          </cell>
          <cell r="K86">
            <v>37350.371011999996</v>
          </cell>
          <cell r="M86">
            <v>-36982.186248695536</v>
          </cell>
        </row>
        <row r="89">
          <cell r="Q89">
            <v>76510.559472493798</v>
          </cell>
          <cell r="R89">
            <v>84962.316354649302</v>
          </cell>
        </row>
        <row r="92">
          <cell r="H92">
            <v>60871.439278751808</v>
          </cell>
          <cell r="I92">
            <v>-130059.77755250374</v>
          </cell>
        </row>
      </sheetData>
      <sheetData sheetId="11">
        <row r="2">
          <cell r="N2">
            <v>22000</v>
          </cell>
        </row>
        <row r="5">
          <cell r="T5">
            <v>22000</v>
          </cell>
          <cell r="U5">
            <v>22261</v>
          </cell>
        </row>
        <row r="9">
          <cell r="E9">
            <v>223.42812727272729</v>
          </cell>
          <cell r="F9">
            <v>193.8815345578659</v>
          </cell>
          <cell r="G9">
            <v>100000</v>
          </cell>
          <cell r="H9">
            <v>100000.00092653501</v>
          </cell>
        </row>
        <row r="10">
          <cell r="E10">
            <v>138.67952727272728</v>
          </cell>
          <cell r="F10">
            <v>179.96933533929129</v>
          </cell>
          <cell r="G10">
            <v>92900</v>
          </cell>
          <cell r="H10">
            <v>95608.985337364778</v>
          </cell>
        </row>
        <row r="11">
          <cell r="E11">
            <v>0</v>
          </cell>
          <cell r="F11">
            <v>9.1413302196074913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23.113254545454538</v>
          </cell>
          <cell r="F13">
            <v>32.098378317689857</v>
          </cell>
          <cell r="G13">
            <v>36500</v>
          </cell>
          <cell r="H13">
            <v>33078.315126738162</v>
          </cell>
        </row>
        <row r="14">
          <cell r="E14">
            <v>0</v>
          </cell>
          <cell r="F14">
            <v>0</v>
          </cell>
        </row>
        <row r="15">
          <cell r="E15">
            <v>385.22090909090912</v>
          </cell>
          <cell r="F15">
            <v>415.09057843445453</v>
          </cell>
        </row>
        <row r="16">
          <cell r="E16">
            <v>820</v>
          </cell>
          <cell r="F16">
            <v>894.04163111330706</v>
          </cell>
          <cell r="G16">
            <v>11711.806666666664</v>
          </cell>
          <cell r="H16">
            <v>11889.94156761542</v>
          </cell>
        </row>
        <row r="17">
          <cell r="E17">
            <v>900.03545454545451</v>
          </cell>
          <cell r="F17">
            <v>822.67436116225804</v>
          </cell>
          <cell r="G17">
            <v>18098.133220317755</v>
          </cell>
          <cell r="H17">
            <v>18367.472318952056</v>
          </cell>
        </row>
        <row r="19">
          <cell r="E19">
            <v>3.2773716872727277</v>
          </cell>
          <cell r="F19">
            <v>3.4129936677594657</v>
          </cell>
        </row>
        <row r="20">
          <cell r="Q20">
            <v>64950.955464330458</v>
          </cell>
          <cell r="R20">
            <v>68546.225445726857</v>
          </cell>
        </row>
        <row r="21">
          <cell r="Q21">
            <v>20704.447323232322</v>
          </cell>
          <cell r="R21">
            <v>21713.066645708896</v>
          </cell>
        </row>
        <row r="22">
          <cell r="Q22">
            <v>227.27272727272725</v>
          </cell>
          <cell r="R22">
            <v>96.433017469798344</v>
          </cell>
        </row>
        <row r="50">
          <cell r="Q50">
            <v>92939.495193863826</v>
          </cell>
          <cell r="R50">
            <v>96973.925405308299</v>
          </cell>
        </row>
        <row r="56">
          <cell r="L56">
            <v>-26889.79127939753</v>
          </cell>
        </row>
        <row r="80">
          <cell r="H80">
            <v>44930.44</v>
          </cell>
          <cell r="I80">
            <v>62068.819000000003</v>
          </cell>
          <cell r="L80">
            <v>-17138.379000000001</v>
          </cell>
        </row>
        <row r="85">
          <cell r="H85">
            <v>47984.568999999996</v>
          </cell>
          <cell r="I85">
            <v>111152.02320999998</v>
          </cell>
          <cell r="L85">
            <v>-63167.454209999996</v>
          </cell>
          <cell r="Q85">
            <v>107699.89407363636</v>
          </cell>
          <cell r="R85">
            <v>109099.12402857015</v>
          </cell>
        </row>
        <row r="86">
          <cell r="H86">
            <v>231813.76635499587</v>
          </cell>
          <cell r="I86">
            <v>159618.86399999997</v>
          </cell>
          <cell r="K86">
            <v>31148.258026781128</v>
          </cell>
          <cell r="M86">
            <v>3852.4641076206317</v>
          </cell>
        </row>
        <row r="89">
          <cell r="Q89">
            <v>85882.675514835501</v>
          </cell>
          <cell r="R89">
            <v>90355.72510890555</v>
          </cell>
        </row>
        <row r="92">
          <cell r="H92">
            <v>128620.68847402633</v>
          </cell>
          <cell r="I92">
            <v>-38474.902925679431</v>
          </cell>
        </row>
      </sheetData>
      <sheetData sheetId="12">
        <row r="2">
          <cell r="N2">
            <v>23000</v>
          </cell>
        </row>
        <row r="5">
          <cell r="T5">
            <v>23000</v>
          </cell>
          <cell r="U5">
            <v>19064</v>
          </cell>
        </row>
        <row r="9">
          <cell r="E9">
            <v>250</v>
          </cell>
          <cell r="F9">
            <v>308.28778840190216</v>
          </cell>
          <cell r="G9">
            <v>100000</v>
          </cell>
          <cell r="H9">
            <v>100000.00134121242</v>
          </cell>
        </row>
        <row r="10">
          <cell r="E10">
            <v>61</v>
          </cell>
          <cell r="F10">
            <v>68.393016332437483</v>
          </cell>
          <cell r="G10">
            <v>92100.000000000015</v>
          </cell>
          <cell r="H10">
            <v>92100.004407270171</v>
          </cell>
        </row>
        <row r="11">
          <cell r="E11">
            <v>0</v>
          </cell>
          <cell r="F11">
            <v>0</v>
          </cell>
        </row>
        <row r="12">
          <cell r="E12">
            <v>29</v>
          </cell>
          <cell r="F12">
            <v>15.294499689890413</v>
          </cell>
          <cell r="G12">
            <v>65000</v>
          </cell>
          <cell r="H12">
            <v>63000.000878621897</v>
          </cell>
        </row>
        <row r="13">
          <cell r="E13">
            <v>24</v>
          </cell>
          <cell r="F13">
            <v>28.345158672731021</v>
          </cell>
          <cell r="G13">
            <v>35300</v>
          </cell>
          <cell r="H13">
            <v>32376.034862050525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420.32046309696108</v>
          </cell>
        </row>
        <row r="16">
          <cell r="E16">
            <v>822</v>
          </cell>
          <cell r="F16">
            <v>838.16337605954072</v>
          </cell>
          <cell r="G16">
            <v>11333.333333333334</v>
          </cell>
          <cell r="H16">
            <v>10808.516607946647</v>
          </cell>
        </row>
        <row r="17">
          <cell r="E17">
            <v>913</v>
          </cell>
          <cell r="F17">
            <v>908.53085590241892</v>
          </cell>
          <cell r="G17">
            <v>17715.725605701933</v>
          </cell>
          <cell r="H17">
            <v>16866.18796916986</v>
          </cell>
        </row>
        <row r="19">
          <cell r="E19">
            <v>3.2</v>
          </cell>
          <cell r="F19">
            <v>3.5319940045482756</v>
          </cell>
        </row>
        <row r="20">
          <cell r="Q20">
            <v>61646.757478005857</v>
          </cell>
          <cell r="R20">
            <v>66587.583626214589</v>
          </cell>
        </row>
        <row r="21">
          <cell r="Q21">
            <v>17689.119136292236</v>
          </cell>
          <cell r="R21">
            <v>18917.572720694643</v>
          </cell>
        </row>
        <row r="22">
          <cell r="Q22">
            <v>130.43478260869566</v>
          </cell>
          <cell r="R22">
            <v>233.46025428984908</v>
          </cell>
        </row>
        <row r="50">
          <cell r="Q50">
            <v>85584.363570819842</v>
          </cell>
          <cell r="R50">
            <v>94341.067190407281</v>
          </cell>
        </row>
        <row r="56">
          <cell r="L56">
            <v>-125103.33782589092</v>
          </cell>
        </row>
        <row r="80">
          <cell r="H80">
            <v>47253.14</v>
          </cell>
          <cell r="I80">
            <v>57187.436999999998</v>
          </cell>
          <cell r="L80">
            <v>-9934.2970000000023</v>
          </cell>
        </row>
        <row r="85">
          <cell r="H85">
            <v>1731.8457777777787</v>
          </cell>
          <cell r="I85">
            <v>59671.90206</v>
          </cell>
          <cell r="L85">
            <v>-57940.05628222222</v>
          </cell>
          <cell r="Q85">
            <v>99299.522782608663</v>
          </cell>
          <cell r="R85">
            <v>104564.17855644146</v>
          </cell>
        </row>
        <row r="86">
          <cell r="H86">
            <v>266463.67609336536</v>
          </cell>
          <cell r="I86">
            <v>119868.51599999997</v>
          </cell>
          <cell r="K86">
            <v>100365.39767234845</v>
          </cell>
          <cell r="M86">
            <v>-53982.866657600855</v>
          </cell>
        </row>
        <row r="89">
          <cell r="Q89">
            <v>79466.311396906778</v>
          </cell>
          <cell r="R89">
            <v>85738.616601199086</v>
          </cell>
        </row>
        <row r="92">
          <cell r="H92">
            <v>166994.70938212451</v>
          </cell>
          <cell r="I92">
            <v>-42724.481157756323</v>
          </cell>
        </row>
      </sheetData>
      <sheetData sheetId="13">
        <row r="2">
          <cell r="N2">
            <v>16000</v>
          </cell>
        </row>
        <row r="5">
          <cell r="T5">
            <v>16000</v>
          </cell>
          <cell r="U5">
            <v>5707</v>
          </cell>
        </row>
        <row r="9">
          <cell r="E9">
            <v>221</v>
          </cell>
          <cell r="F9">
            <v>223.91626248466801</v>
          </cell>
          <cell r="G9">
            <v>100000</v>
          </cell>
          <cell r="H9">
            <v>99999.999999999971</v>
          </cell>
        </row>
        <row r="10">
          <cell r="E10">
            <v>102</v>
          </cell>
          <cell r="F10">
            <v>78.100586998422955</v>
          </cell>
          <cell r="G10">
            <v>92100.000000000015</v>
          </cell>
          <cell r="H10">
            <v>92099.987424842169</v>
          </cell>
        </row>
        <row r="11">
          <cell r="E11">
            <v>0</v>
          </cell>
          <cell r="F11">
            <v>0</v>
          </cell>
        </row>
        <row r="12">
          <cell r="E12">
            <v>3.4</v>
          </cell>
          <cell r="F12">
            <v>16.414941300157704</v>
          </cell>
          <cell r="G12">
            <v>64000</v>
          </cell>
          <cell r="H12">
            <v>62001.362723149112</v>
          </cell>
        </row>
        <row r="13">
          <cell r="E13">
            <v>13.6</v>
          </cell>
          <cell r="F13">
            <v>28.225002628351159</v>
          </cell>
          <cell r="G13">
            <v>35000</v>
          </cell>
          <cell r="H13">
            <v>33521.902055058432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346.65679341159978</v>
          </cell>
        </row>
        <row r="16">
          <cell r="E16">
            <v>770</v>
          </cell>
          <cell r="F16">
            <v>752.2340984755557</v>
          </cell>
          <cell r="G16">
            <v>9066.6666666666679</v>
          </cell>
          <cell r="H16">
            <v>9036.5299324481784</v>
          </cell>
        </row>
        <row r="17">
          <cell r="E17">
            <v>950</v>
          </cell>
          <cell r="F17">
            <v>913.82162256877587</v>
          </cell>
          <cell r="G17">
            <v>15880.190628800197</v>
          </cell>
          <cell r="H17">
            <v>16946.52245943571</v>
          </cell>
        </row>
        <row r="19">
          <cell r="E19">
            <v>3.3</v>
          </cell>
          <cell r="F19">
            <v>2.8190380234799353</v>
          </cell>
        </row>
        <row r="20">
          <cell r="Q20">
            <v>57225.314430693514</v>
          </cell>
          <cell r="R20">
            <v>56288.176449973711</v>
          </cell>
        </row>
        <row r="21">
          <cell r="Q21">
            <v>20302.071092836261</v>
          </cell>
          <cell r="R21">
            <v>25602.291922200806</v>
          </cell>
        </row>
        <row r="22">
          <cell r="Q22">
            <v>325</v>
          </cell>
          <cell r="R22">
            <v>770.88960925179595</v>
          </cell>
        </row>
        <row r="50">
          <cell r="Q50">
            <v>83814.501148529787</v>
          </cell>
          <cell r="R50">
            <v>102646.21605046434</v>
          </cell>
        </row>
        <row r="56">
          <cell r="L56">
            <v>-104701.93059534047</v>
          </cell>
        </row>
        <row r="80">
          <cell r="H80">
            <v>37133.67</v>
          </cell>
          <cell r="I80">
            <v>31071.307000000001</v>
          </cell>
          <cell r="L80">
            <v>6062.3630000000003</v>
          </cell>
        </row>
        <row r="85">
          <cell r="H85">
            <v>13106.185444444443</v>
          </cell>
          <cell r="I85">
            <v>15133.354350000001</v>
          </cell>
          <cell r="L85">
            <v>-2027.1689055555571</v>
          </cell>
          <cell r="Q85">
            <v>96299.793749999997</v>
          </cell>
          <cell r="R85">
            <v>88695.864727527587</v>
          </cell>
        </row>
        <row r="86">
          <cell r="H86">
            <v>149524.82617907916</v>
          </cell>
          <cell r="I86">
            <v>-123048.64999999991</v>
          </cell>
          <cell r="K86">
            <v>-43395.622931250044</v>
          </cell>
          <cell r="M86">
            <v>-128511.11674693308</v>
          </cell>
        </row>
        <row r="89">
          <cell r="Q89">
            <v>77852.385523529781</v>
          </cell>
          <cell r="R89">
            <v>82661.357981426307</v>
          </cell>
        </row>
        <row r="92">
          <cell r="H92">
            <v>82419.352116829017</v>
          </cell>
          <cell r="I92">
            <v>-164335.91569009569</v>
          </cell>
        </row>
      </sheetData>
      <sheetData sheetId="14">
        <row r="2">
          <cell r="N2">
            <v>21000</v>
          </cell>
        </row>
        <row r="5">
          <cell r="T5">
            <v>21000</v>
          </cell>
          <cell r="U5">
            <v>17197</v>
          </cell>
        </row>
        <row r="9">
          <cell r="E9">
            <v>240.07422065145096</v>
          </cell>
          <cell r="F9">
            <v>311.45838629102519</v>
          </cell>
          <cell r="G9">
            <v>100000</v>
          </cell>
          <cell r="H9">
            <v>100000.00000000003</v>
          </cell>
        </row>
        <row r="10">
          <cell r="E10">
            <v>69.112275642084356</v>
          </cell>
          <cell r="F10">
            <v>35.538547197211749</v>
          </cell>
          <cell r="G10">
            <v>92100</v>
          </cell>
          <cell r="H10">
            <v>92099.988739712251</v>
          </cell>
        </row>
        <row r="11">
          <cell r="E11">
            <v>0</v>
          </cell>
          <cell r="F11">
            <v>0.12163810630264306</v>
          </cell>
        </row>
        <row r="12">
          <cell r="E12">
            <v>29.099905533509205</v>
          </cell>
          <cell r="F12">
            <v>28.04706244554168</v>
          </cell>
          <cell r="G12">
            <v>62000</v>
          </cell>
          <cell r="H12">
            <v>61086.276752625519</v>
          </cell>
        </row>
        <row r="13">
          <cell r="E13">
            <v>25.462417341820547</v>
          </cell>
          <cell r="F13">
            <v>22.631496369445255</v>
          </cell>
          <cell r="G13">
            <v>35500</v>
          </cell>
          <cell r="H13">
            <v>32408.503043406869</v>
          </cell>
        </row>
        <row r="14">
          <cell r="E14">
            <v>0</v>
          </cell>
          <cell r="F14">
            <v>0</v>
          </cell>
        </row>
        <row r="15">
          <cell r="E15">
            <v>363.74881916886505</v>
          </cell>
          <cell r="F15">
            <v>397.79713040952652</v>
          </cell>
        </row>
        <row r="16">
          <cell r="E16">
            <v>788.70109523809526</v>
          </cell>
          <cell r="F16">
            <v>809.86511762997293</v>
          </cell>
          <cell r="G16">
            <v>11362.369037989707</v>
          </cell>
          <cell r="H16">
            <v>11119.006632415791</v>
          </cell>
        </row>
        <row r="17">
          <cell r="E17">
            <v>916.29929502889502</v>
          </cell>
          <cell r="F17">
            <v>904.91983735114661</v>
          </cell>
          <cell r="G17">
            <v>19373.955763440932</v>
          </cell>
          <cell r="H17">
            <v>18709.620979837538</v>
          </cell>
        </row>
        <row r="19">
          <cell r="E19">
            <v>3.0918649629353534</v>
          </cell>
          <cell r="F19">
            <v>3.3791635201858861</v>
          </cell>
        </row>
        <row r="20">
          <cell r="Q20">
            <v>62648.418884006431</v>
          </cell>
          <cell r="R20">
            <v>65817.002265466159</v>
          </cell>
        </row>
        <row r="21">
          <cell r="Q21">
            <v>19611.023571428566</v>
          </cell>
          <cell r="R21">
            <v>19109.889747313387</v>
          </cell>
        </row>
        <row r="22">
          <cell r="Q22">
            <v>190.47619047619045</v>
          </cell>
          <cell r="R22">
            <v>341.68085971536448</v>
          </cell>
        </row>
        <row r="50">
          <cell r="Q50">
            <v>88701.111503054039</v>
          </cell>
          <cell r="R50">
            <v>94799.997269822823</v>
          </cell>
        </row>
        <row r="56">
          <cell r="L56">
            <v>-99164.327331979584</v>
          </cell>
        </row>
        <row r="80">
          <cell r="H80">
            <v>45809.33</v>
          </cell>
          <cell r="I80">
            <v>50367.186000000009</v>
          </cell>
          <cell r="L80">
            <v>-4557.8559999999998</v>
          </cell>
        </row>
        <row r="85">
          <cell r="H85">
            <v>25164.07433333333</v>
          </cell>
          <cell r="I85">
            <v>25782.98115</v>
          </cell>
          <cell r="L85">
            <v>-618.90681666666842</v>
          </cell>
          <cell r="Q85">
            <v>101999.86063809524</v>
          </cell>
          <cell r="R85">
            <v>98920.68965517242</v>
          </cell>
        </row>
        <row r="86">
          <cell r="H86">
            <v>208300.32750253208</v>
          </cell>
          <cell r="I86">
            <v>431.59100000011676</v>
          </cell>
          <cell r="K86">
            <v>-52952.503393323743</v>
          </cell>
          <cell r="M86">
            <v>-50575.14296056173</v>
          </cell>
        </row>
        <row r="89">
          <cell r="Q89">
            <v>82449.918645911181</v>
          </cell>
          <cell r="R89">
            <v>85268.5728724949</v>
          </cell>
        </row>
        <row r="92">
          <cell r="H92">
            <v>115011.10313538523</v>
          </cell>
          <cell r="I92">
            <v>-138322.15094000986</v>
          </cell>
        </row>
      </sheetData>
      <sheetData sheetId="15">
        <row r="2">
          <cell r="N2">
            <v>13000</v>
          </cell>
        </row>
        <row r="5">
          <cell r="T5">
            <v>13000</v>
          </cell>
          <cell r="U5">
            <v>6497</v>
          </cell>
        </row>
        <row r="9">
          <cell r="E9">
            <v>262.97538970782648</v>
          </cell>
          <cell r="F9">
            <v>248.57765891950129</v>
          </cell>
          <cell r="G9">
            <v>100000</v>
          </cell>
          <cell r="H9">
            <v>100000.00123838316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53.754373407717026</v>
          </cell>
          <cell r="F12">
            <v>64.270595659535161</v>
          </cell>
          <cell r="G12">
            <v>62199.999999999993</v>
          </cell>
          <cell r="H12">
            <v>61017.308255369237</v>
          </cell>
        </row>
        <row r="13">
          <cell r="E13">
            <v>36.085466123091052</v>
          </cell>
          <cell r="F13">
            <v>45.129375096198267</v>
          </cell>
          <cell r="G13">
            <v>36000.000000000007</v>
          </cell>
          <cell r="H13">
            <v>32338.293050728389</v>
          </cell>
        </row>
        <row r="14">
          <cell r="E14">
            <v>0</v>
          </cell>
          <cell r="F14">
            <v>0</v>
          </cell>
        </row>
        <row r="15">
          <cell r="E15">
            <v>352.81522923863457</v>
          </cell>
          <cell r="F15">
            <v>357.97762967523471</v>
          </cell>
        </row>
        <row r="16">
          <cell r="E16">
            <v>774.2</v>
          </cell>
          <cell r="F16">
            <v>719.38202247191043</v>
          </cell>
          <cell r="G16">
            <v>9600</v>
          </cell>
          <cell r="H16">
            <v>9348.8754927709087</v>
          </cell>
        </row>
        <row r="17">
          <cell r="E17">
            <v>877.11591692307684</v>
          </cell>
          <cell r="F17">
            <v>895.79496167461912</v>
          </cell>
          <cell r="G17">
            <v>17972.687736762346</v>
          </cell>
          <cell r="H17">
            <v>17382.319239796492</v>
          </cell>
        </row>
        <row r="19">
          <cell r="E19">
            <v>2.9949006023745484</v>
          </cell>
          <cell r="F19">
            <v>3.2590651069724488</v>
          </cell>
        </row>
        <row r="20">
          <cell r="Q20">
            <v>56189.623038520818</v>
          </cell>
          <cell r="R20">
            <v>54824.347391103591</v>
          </cell>
        </row>
        <row r="21">
          <cell r="Q21">
            <v>18435.521266306794</v>
          </cell>
          <cell r="R21">
            <v>26048.784823764814</v>
          </cell>
        </row>
        <row r="22">
          <cell r="Q22">
            <v>107.69230769230769</v>
          </cell>
          <cell r="R22">
            <v>99.832076342927508</v>
          </cell>
        </row>
        <row r="50">
          <cell r="Q50">
            <v>82186.005843289153</v>
          </cell>
          <cell r="R50">
            <v>101673.16915499463</v>
          </cell>
        </row>
        <row r="56">
          <cell r="L56">
            <v>-126608.10467615032</v>
          </cell>
        </row>
        <row r="80">
          <cell r="H80">
            <v>27028.299999999996</v>
          </cell>
          <cell r="I80">
            <v>32426.078000000001</v>
          </cell>
          <cell r="L80">
            <v>-5397.7780000000039</v>
          </cell>
        </row>
        <row r="85">
          <cell r="H85">
            <v>11516.253444444443</v>
          </cell>
          <cell r="I85">
            <v>11581.254359999999</v>
          </cell>
          <cell r="L85">
            <v>-65.000915555555991</v>
          </cell>
          <cell r="Q85">
            <v>94046.25</v>
          </cell>
          <cell r="R85">
            <v>92293.707557334157</v>
          </cell>
        </row>
        <row r="86">
          <cell r="H86">
            <v>115638.62059279648</v>
          </cell>
          <cell r="I86">
            <v>-104945.69900000002</v>
          </cell>
          <cell r="K86">
            <v>-11386.268249999981</v>
          </cell>
          <cell r="M86">
            <v>-77127.167751090601</v>
          </cell>
        </row>
        <row r="89">
          <cell r="Q89">
            <v>74732.836612519925</v>
          </cell>
          <cell r="R89">
            <v>80972.964291211334</v>
          </cell>
        </row>
        <row r="92">
          <cell r="H92">
            <v>62391.338540368917</v>
          </cell>
          <cell r="I92">
            <v>-153854.8176225088</v>
          </cell>
        </row>
      </sheetData>
      <sheetData sheetId="16">
        <row r="2">
          <cell r="N2">
            <v>19000</v>
          </cell>
        </row>
        <row r="5">
          <cell r="T5">
            <v>19000</v>
          </cell>
          <cell r="U5">
            <v>11710</v>
          </cell>
        </row>
        <row r="9">
          <cell r="E9">
            <v>254</v>
          </cell>
          <cell r="F9">
            <v>266.26532877882153</v>
          </cell>
          <cell r="G9">
            <v>100000</v>
          </cell>
          <cell r="H9">
            <v>100000.00064144361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64.199999999999989</v>
          </cell>
          <cell r="F12">
            <v>47.990442356959896</v>
          </cell>
          <cell r="G12">
            <v>64500.000000000015</v>
          </cell>
          <cell r="H12">
            <v>63000.005267203036</v>
          </cell>
        </row>
        <row r="13">
          <cell r="E13">
            <v>35.9</v>
          </cell>
          <cell r="F13">
            <v>18.743387702818087</v>
          </cell>
          <cell r="G13">
            <v>33000</v>
          </cell>
          <cell r="H13">
            <v>30512.904590731421</v>
          </cell>
        </row>
        <row r="14">
          <cell r="E14">
            <v>0</v>
          </cell>
          <cell r="F14">
            <v>0</v>
          </cell>
        </row>
        <row r="15">
          <cell r="E15">
            <v>354.09999999999997</v>
          </cell>
          <cell r="F15">
            <v>332.9991588385995</v>
          </cell>
        </row>
        <row r="16">
          <cell r="E16">
            <v>847.30000000000007</v>
          </cell>
          <cell r="F16">
            <v>790.87532023911206</v>
          </cell>
          <cell r="G16">
            <v>10999.999999999998</v>
          </cell>
          <cell r="H16">
            <v>11174.67798275592</v>
          </cell>
        </row>
        <row r="17">
          <cell r="E17">
            <v>884.89999999999986</v>
          </cell>
          <cell r="F17">
            <v>919.11827497865079</v>
          </cell>
          <cell r="G17">
            <v>17410.157391639812</v>
          </cell>
          <cell r="H17">
            <v>16883.725212826495</v>
          </cell>
        </row>
        <row r="19">
          <cell r="E19">
            <v>3.08</v>
          </cell>
          <cell r="F19">
            <v>2.7496797608881303</v>
          </cell>
        </row>
        <row r="20">
          <cell r="Q20">
            <v>57608.748275862068</v>
          </cell>
          <cell r="R20">
            <v>56696.540819812122</v>
          </cell>
        </row>
        <row r="21">
          <cell r="Q21">
            <v>18433.517521463236</v>
          </cell>
          <cell r="R21">
            <v>17288.650384286932</v>
          </cell>
        </row>
        <row r="22">
          <cell r="Q22">
            <v>157.89473684210526</v>
          </cell>
          <cell r="R22">
            <v>88.859521776259612</v>
          </cell>
        </row>
        <row r="50">
          <cell r="Q50">
            <v>82001.157210724879</v>
          </cell>
          <cell r="R50">
            <v>84150.391801878723</v>
          </cell>
        </row>
        <row r="56">
          <cell r="L56">
            <v>-21023.652932411511</v>
          </cell>
        </row>
        <row r="80">
          <cell r="H80">
            <v>35724.47</v>
          </cell>
          <cell r="I80">
            <v>28522.261999999999</v>
          </cell>
          <cell r="L80">
            <v>7202.2080000000051</v>
          </cell>
        </row>
        <row r="85">
          <cell r="H85">
            <v>31871.415222222218</v>
          </cell>
          <cell r="I85">
            <v>35270.835130000007</v>
          </cell>
          <cell r="L85">
            <v>-3399.4199077777857</v>
          </cell>
          <cell r="Q85">
            <v>101837.58435568422</v>
          </cell>
          <cell r="R85">
            <v>93773.339026473113</v>
          </cell>
        </row>
        <row r="86">
          <cell r="H86">
            <v>309296.23053200496</v>
          </cell>
          <cell r="I86">
            <v>53035.499000000069</v>
          </cell>
          <cell r="K86">
            <v>-94432.312805062014</v>
          </cell>
          <cell r="M86">
            <v>-144607.55388675339</v>
          </cell>
        </row>
        <row r="89">
          <cell r="Q89">
            <v>76200.160534167415</v>
          </cell>
          <cell r="R89">
            <v>74074.05072587532</v>
          </cell>
        </row>
        <row r="92">
          <cell r="H92">
            <v>225025.97726932017</v>
          </cell>
          <cell r="I92">
            <v>-36530.083098012605</v>
          </cell>
        </row>
      </sheetData>
      <sheetData sheetId="17">
        <row r="2">
          <cell r="N2">
            <v>12000</v>
          </cell>
        </row>
        <row r="5">
          <cell r="T5">
            <v>12000</v>
          </cell>
          <cell r="U5">
            <v>4070</v>
          </cell>
        </row>
        <row r="9">
          <cell r="E9">
            <v>290.7</v>
          </cell>
          <cell r="F9">
            <v>275.34546437346444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10.259707616707615</v>
          </cell>
          <cell r="G10">
            <v>0</v>
          </cell>
          <cell r="H10">
            <v>96499.988864145227</v>
          </cell>
        </row>
        <row r="11">
          <cell r="E11">
            <v>0</v>
          </cell>
          <cell r="F11">
            <v>0</v>
          </cell>
        </row>
        <row r="12">
          <cell r="E12">
            <v>17.100000000000001</v>
          </cell>
          <cell r="F12">
            <v>28.839805896805903</v>
          </cell>
          <cell r="G12">
            <v>61400.000000000007</v>
          </cell>
          <cell r="H12">
            <v>59228.180815128813</v>
          </cell>
        </row>
        <row r="13">
          <cell r="E13">
            <v>34.200000000000003</v>
          </cell>
          <cell r="F13">
            <v>21.879864864864853</v>
          </cell>
          <cell r="G13">
            <v>35300.000000000007</v>
          </cell>
          <cell r="H13">
            <v>32280.10225595321</v>
          </cell>
        </row>
        <row r="14">
          <cell r="E14">
            <v>0</v>
          </cell>
          <cell r="F14">
            <v>0</v>
          </cell>
        </row>
        <row r="15">
          <cell r="E15">
            <v>342</v>
          </cell>
          <cell r="F15">
            <v>336.32484275184277</v>
          </cell>
        </row>
        <row r="16">
          <cell r="E16">
            <v>736.71821120475954</v>
          </cell>
          <cell r="F16">
            <v>632.86977886977888</v>
          </cell>
          <cell r="G16">
            <v>11133.333333333332</v>
          </cell>
          <cell r="H16">
            <v>10933.359215460947</v>
          </cell>
        </row>
        <row r="17">
          <cell r="E17">
            <v>976.57995438770445</v>
          </cell>
          <cell r="F17">
            <v>1027.3894348894346</v>
          </cell>
          <cell r="G17">
            <v>14763.29254727475</v>
          </cell>
          <cell r="H17">
            <v>14536.098147184908</v>
          </cell>
        </row>
        <row r="19">
          <cell r="E19">
            <v>3.0779999999999998</v>
          </cell>
          <cell r="F19">
            <v>2.8369066339066342</v>
          </cell>
        </row>
        <row r="20">
          <cell r="Q20">
            <v>56101.464980509561</v>
          </cell>
          <cell r="R20">
            <v>54650.438820638825</v>
          </cell>
        </row>
        <row r="21">
          <cell r="Q21">
            <v>18656.076315789473</v>
          </cell>
          <cell r="R21">
            <v>21410.367076167076</v>
          </cell>
        </row>
        <row r="22">
          <cell r="Q22">
            <v>375</v>
          </cell>
          <cell r="R22">
            <v>409.96117936117929</v>
          </cell>
        </row>
        <row r="50">
          <cell r="Q50">
            <v>84393.393796299031</v>
          </cell>
          <cell r="R50">
            <v>104642.50786240786</v>
          </cell>
        </row>
        <row r="56">
          <cell r="L56">
            <v>-82413.896099063015</v>
          </cell>
        </row>
        <row r="80">
          <cell r="H80">
            <v>36284.270000000004</v>
          </cell>
          <cell r="I80">
            <v>33257.133000000002</v>
          </cell>
          <cell r="L80">
            <v>3027.1370000000024</v>
          </cell>
        </row>
        <row r="85">
          <cell r="H85">
            <v>16056.936325359782</v>
          </cell>
          <cell r="I85">
            <v>15659.09115</v>
          </cell>
          <cell r="L85">
            <v>397.84517535978125</v>
          </cell>
          <cell r="Q85">
            <v>97280.472045454546</v>
          </cell>
          <cell r="R85">
            <v>85228.337592137599</v>
          </cell>
        </row>
        <row r="86">
          <cell r="H86">
            <v>102303.73266450627</v>
          </cell>
          <cell r="I86">
            <v>-127931.89900000006</v>
          </cell>
          <cell r="K86">
            <v>-49052.187224999972</v>
          </cell>
          <cell r="M86">
            <v>-102194.53051580337</v>
          </cell>
        </row>
        <row r="89">
          <cell r="Q89">
            <v>75132.541296299038</v>
          </cell>
          <cell r="R89">
            <v>76470.767076167089</v>
          </cell>
        </row>
        <row r="92">
          <cell r="H92">
            <v>51462.095787093174</v>
          </cell>
          <cell r="I92">
            <v>-156225.17942260543</v>
          </cell>
        </row>
      </sheetData>
      <sheetData sheetId="18">
        <row r="2">
          <cell r="N2">
            <v>12500</v>
          </cell>
        </row>
        <row r="5">
          <cell r="T5">
            <v>12500</v>
          </cell>
          <cell r="U5">
            <v>13221</v>
          </cell>
        </row>
        <row r="9">
          <cell r="E9">
            <v>293.3</v>
          </cell>
          <cell r="F9">
            <v>318.14660847880299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32.599999999999994</v>
          </cell>
          <cell r="F12">
            <v>51.531401042847406</v>
          </cell>
          <cell r="G12">
            <v>60200</v>
          </cell>
          <cell r="H12">
            <v>59199.994462653245</v>
          </cell>
        </row>
        <row r="13">
          <cell r="E13">
            <v>36.200000000000003</v>
          </cell>
          <cell r="F13">
            <v>41.349964482732567</v>
          </cell>
          <cell r="G13">
            <v>37000</v>
          </cell>
          <cell r="H13">
            <v>33408.539590552413</v>
          </cell>
        </row>
        <row r="14">
          <cell r="E14">
            <v>0</v>
          </cell>
          <cell r="F14">
            <v>0</v>
          </cell>
        </row>
        <row r="15">
          <cell r="E15">
            <v>362.09999999999997</v>
          </cell>
          <cell r="F15">
            <v>411.02797400438294</v>
          </cell>
        </row>
        <row r="16">
          <cell r="E16">
            <v>801</v>
          </cell>
          <cell r="F16">
            <v>724.09491422957728</v>
          </cell>
          <cell r="G16">
            <v>11533.333333333334</v>
          </cell>
          <cell r="H16">
            <v>12266.467319588883</v>
          </cell>
        </row>
        <row r="17">
          <cell r="E17">
            <v>903.2</v>
          </cell>
          <cell r="F17">
            <v>877.31784175923838</v>
          </cell>
          <cell r="G17">
            <v>19460.014374794944</v>
          </cell>
          <cell r="H17">
            <v>20128.421462094946</v>
          </cell>
        </row>
        <row r="19">
          <cell r="E19">
            <v>3.26</v>
          </cell>
          <cell r="F19">
            <v>3.2008161414645202</v>
          </cell>
        </row>
        <row r="20">
          <cell r="Q20">
            <v>62380.404983314802</v>
          </cell>
          <cell r="R20">
            <v>65209.906823849473</v>
          </cell>
        </row>
        <row r="21">
          <cell r="Q21">
            <v>21115.396757910908</v>
          </cell>
          <cell r="R21">
            <v>22900.140935539937</v>
          </cell>
        </row>
        <row r="22">
          <cell r="Q22">
            <v>268.8</v>
          </cell>
          <cell r="R22">
            <v>305.52512657749566</v>
          </cell>
        </row>
        <row r="50">
          <cell r="Q50">
            <v>90366.800069971898</v>
          </cell>
          <cell r="R50">
            <v>96393.684047457122</v>
          </cell>
        </row>
        <row r="56">
          <cell r="L56">
            <v>-79687.833904901781</v>
          </cell>
        </row>
        <row r="80">
          <cell r="H80">
            <v>35535.71</v>
          </cell>
          <cell r="I80">
            <v>26890.102000000003</v>
          </cell>
          <cell r="L80">
            <v>8645.6079999999965</v>
          </cell>
        </row>
        <row r="85">
          <cell r="H85">
            <v>15024.533833060506</v>
          </cell>
          <cell r="I85">
            <v>14907.69137</v>
          </cell>
          <cell r="L85">
            <v>116.84246306050613</v>
          </cell>
          <cell r="Q85">
            <v>103832.2</v>
          </cell>
          <cell r="R85">
            <v>104586.35806671206</v>
          </cell>
        </row>
        <row r="86">
          <cell r="H86">
            <v>117757.25529229071</v>
          </cell>
          <cell r="I86">
            <v>66511.14899999983</v>
          </cell>
          <cell r="K86">
            <v>9970.723800000118</v>
          </cell>
          <cell r="M86">
            <v>9708.5533495502605</v>
          </cell>
        </row>
        <row r="89">
          <cell r="Q89">
            <v>83764.601741225706</v>
          </cell>
          <cell r="R89">
            <v>88415.572885966918</v>
          </cell>
        </row>
        <row r="92">
          <cell r="H92">
            <v>61230.419176221898</v>
          </cell>
          <cell r="I92">
            <v>-46272.001664199051</v>
          </cell>
        </row>
      </sheetData>
      <sheetData sheetId="19">
        <row r="2">
          <cell r="N2">
            <v>25000</v>
          </cell>
        </row>
        <row r="5">
          <cell r="T5">
            <v>25000</v>
          </cell>
          <cell r="U5">
            <v>18784</v>
          </cell>
        </row>
        <row r="9">
          <cell r="E9">
            <v>328.44</v>
          </cell>
          <cell r="F9">
            <v>373.45524875093025</v>
          </cell>
          <cell r="G9">
            <v>100000</v>
          </cell>
          <cell r="H9">
            <v>99822.246548360796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7.9975550122249413</v>
          </cell>
        </row>
        <row r="12">
          <cell r="E12">
            <v>27.064</v>
          </cell>
          <cell r="F12">
            <v>21.361649835229091</v>
          </cell>
          <cell r="G12">
            <v>64300</v>
          </cell>
          <cell r="H12">
            <v>60209.951737017487</v>
          </cell>
        </row>
        <row r="13">
          <cell r="E13">
            <v>31.040000000000003</v>
          </cell>
          <cell r="F13">
            <v>23.742215903050912</v>
          </cell>
          <cell r="G13">
            <v>42900</v>
          </cell>
          <cell r="H13">
            <v>32093.124466277837</v>
          </cell>
        </row>
        <row r="14">
          <cell r="E14">
            <v>0</v>
          </cell>
          <cell r="F14">
            <v>0</v>
          </cell>
        </row>
        <row r="15">
          <cell r="E15">
            <v>386.54400000000004</v>
          </cell>
          <cell r="F15">
            <v>426.55666950143524</v>
          </cell>
        </row>
        <row r="16">
          <cell r="E16">
            <v>872</v>
          </cell>
          <cell r="F16">
            <v>778.69910704794324</v>
          </cell>
          <cell r="G16">
            <v>11400</v>
          </cell>
          <cell r="H16">
            <v>10862.363293401666</v>
          </cell>
        </row>
        <row r="17">
          <cell r="E17">
            <v>872</v>
          </cell>
          <cell r="F17">
            <v>969.31115127033115</v>
          </cell>
          <cell r="G17">
            <v>13225.806451612905</v>
          </cell>
          <cell r="H17">
            <v>12474.882187598352</v>
          </cell>
        </row>
        <row r="19">
          <cell r="E19">
            <v>2.8</v>
          </cell>
          <cell r="F19">
            <v>3.4895423620707962</v>
          </cell>
        </row>
        <row r="20">
          <cell r="Q20">
            <v>59769.534425806458</v>
          </cell>
          <cell r="R20">
            <v>64515.150313596263</v>
          </cell>
        </row>
        <row r="21">
          <cell r="Q21">
            <v>20601.51006808511</v>
          </cell>
          <cell r="R21">
            <v>22560.694748591475</v>
          </cell>
        </row>
        <row r="22">
          <cell r="Q22">
            <v>180</v>
          </cell>
          <cell r="R22">
            <v>279.29052832996706</v>
          </cell>
        </row>
        <row r="50">
          <cell r="Q50">
            <v>86859.862806593243</v>
          </cell>
          <cell r="R50">
            <v>95830.721590305096</v>
          </cell>
        </row>
        <row r="56">
          <cell r="L56">
            <v>-168400.4080009523</v>
          </cell>
        </row>
        <row r="80">
          <cell r="H80">
            <v>44388.639999999999</v>
          </cell>
          <cell r="I80">
            <v>55930.024000000005</v>
          </cell>
          <cell r="L80">
            <v>-11541.383999999996</v>
          </cell>
        </row>
        <row r="85">
          <cell r="H85">
            <v>25607.370444444445</v>
          </cell>
          <cell r="I85">
            <v>25173.722040000001</v>
          </cell>
          <cell r="L85">
            <v>433.64840444444371</v>
          </cell>
          <cell r="Q85">
            <v>103000</v>
          </cell>
          <cell r="R85">
            <v>103805.70288543441</v>
          </cell>
        </row>
        <row r="86">
          <cell r="H86">
            <v>333507.41939072416</v>
          </cell>
          <cell r="I86">
            <v>68806.506000000169</v>
          </cell>
          <cell r="K86">
            <v>15134.322999999955</v>
          </cell>
          <cell r="M86">
            <v>-100327.09279421624</v>
          </cell>
        </row>
        <row r="89">
          <cell r="Q89">
            <v>80551.044493891561</v>
          </cell>
          <cell r="R89">
            <v>87355.135590517704</v>
          </cell>
        </row>
        <row r="92">
          <cell r="H92">
            <v>228084.00255918913</v>
          </cell>
          <cell r="I92">
            <v>-82739.351280940697</v>
          </cell>
        </row>
      </sheetData>
      <sheetData sheetId="20">
        <row r="2">
          <cell r="N2">
            <v>11000</v>
          </cell>
        </row>
        <row r="5">
          <cell r="T5">
            <v>11000</v>
          </cell>
          <cell r="U5">
            <v>10639</v>
          </cell>
        </row>
        <row r="9">
          <cell r="E9">
            <v>277.37999999999994</v>
          </cell>
          <cell r="F9">
            <v>322.9449290346837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14.641038631450312</v>
          </cell>
          <cell r="G10">
            <v>0</v>
          </cell>
          <cell r="H10">
            <v>97441.110547801873</v>
          </cell>
        </row>
        <row r="11">
          <cell r="E11">
            <v>0</v>
          </cell>
          <cell r="F11">
            <v>0</v>
          </cell>
        </row>
        <row r="12">
          <cell r="E12">
            <v>37.67</v>
          </cell>
          <cell r="F12">
            <v>25.99304539900368</v>
          </cell>
          <cell r="G12">
            <v>65000</v>
          </cell>
          <cell r="H12">
            <v>60995.564439301168</v>
          </cell>
        </row>
        <row r="13">
          <cell r="E13">
            <v>18.440000000000001</v>
          </cell>
          <cell r="F13">
            <v>8.828560015039006</v>
          </cell>
          <cell r="G13">
            <v>36000</v>
          </cell>
          <cell r="H13">
            <v>33363.977682680343</v>
          </cell>
        </row>
        <row r="14">
          <cell r="E14">
            <v>0</v>
          </cell>
          <cell r="F14">
            <v>0</v>
          </cell>
        </row>
        <row r="15">
          <cell r="E15">
            <v>333.48999999999995</v>
          </cell>
          <cell r="F15">
            <v>372.40757308017669</v>
          </cell>
        </row>
        <row r="16">
          <cell r="E16">
            <v>739.36</v>
          </cell>
          <cell r="F16">
            <v>696.10301720086454</v>
          </cell>
          <cell r="G16">
            <v>13333.333333333334</v>
          </cell>
          <cell r="H16">
            <v>14033.321135752331</v>
          </cell>
        </row>
        <row r="17">
          <cell r="E17">
            <v>990.13000000000011</v>
          </cell>
          <cell r="F17">
            <v>1035.1955070965316</v>
          </cell>
          <cell r="G17">
            <v>15309.519192471967</v>
          </cell>
          <cell r="H17">
            <v>15954.806511495724</v>
          </cell>
        </row>
        <row r="19">
          <cell r="E19">
            <v>2.23</v>
          </cell>
          <cell r="F19">
            <v>2.2929880627878561</v>
          </cell>
        </row>
        <row r="20">
          <cell r="Q20">
            <v>57358.807571375604</v>
          </cell>
          <cell r="R20">
            <v>64137.136291004783</v>
          </cell>
        </row>
        <row r="21">
          <cell r="Q21">
            <v>16024.960641521599</v>
          </cell>
          <cell r="R21">
            <v>18178.242128019552</v>
          </cell>
        </row>
        <row r="22">
          <cell r="Q22">
            <v>272.72727272727269</v>
          </cell>
          <cell r="R22">
            <v>364.82930726572044</v>
          </cell>
        </row>
        <row r="50">
          <cell r="Q50">
            <v>82130.936394715376</v>
          </cell>
          <cell r="R50">
            <v>94528.750446470527</v>
          </cell>
        </row>
        <row r="56">
          <cell r="L56">
            <v>-131900.34747662305</v>
          </cell>
        </row>
        <row r="80">
          <cell r="H80">
            <v>28785.809999999998</v>
          </cell>
          <cell r="I80">
            <v>32504.842000000004</v>
          </cell>
          <cell r="L80">
            <v>-3719.0320000000052</v>
          </cell>
        </row>
        <row r="85">
          <cell r="H85">
            <v>21587.247777777779</v>
          </cell>
          <cell r="I85">
            <v>21726.84822</v>
          </cell>
          <cell r="L85">
            <v>-139.60044222222268</v>
          </cell>
          <cell r="Q85">
            <v>101097.65454545456</v>
          </cell>
          <cell r="R85">
            <v>101942.12952345145</v>
          </cell>
        </row>
        <row r="86">
          <cell r="H86">
            <v>158260.84188035328</v>
          </cell>
          <cell r="I86">
            <v>24639.246000000145</v>
          </cell>
          <cell r="K86">
            <v>8984.3692909090078</v>
          </cell>
          <cell r="M86">
            <v>-6846.9852524168455</v>
          </cell>
        </row>
        <row r="89">
          <cell r="Q89">
            <v>73656.495485624488</v>
          </cell>
          <cell r="R89">
            <v>82680.207726290057</v>
          </cell>
        </row>
        <row r="92">
          <cell r="H92">
            <v>112731.26443018013</v>
          </cell>
          <cell r="I92">
            <v>-59653.32224569378</v>
          </cell>
        </row>
      </sheetData>
      <sheetData sheetId="21">
        <row r="2">
          <cell r="N2">
            <v>7500</v>
          </cell>
        </row>
        <row r="5">
          <cell r="T5">
            <v>7500</v>
          </cell>
          <cell r="U5">
            <v>3546</v>
          </cell>
        </row>
        <row r="9">
          <cell r="E9">
            <v>296</v>
          </cell>
          <cell r="F9">
            <v>268.35308516638457</v>
          </cell>
          <cell r="G9">
            <v>100000</v>
          </cell>
          <cell r="H9">
            <v>100000.00000000004</v>
          </cell>
        </row>
        <row r="10">
          <cell r="E10">
            <v>2.2999999999999998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33.700000000000003</v>
          </cell>
          <cell r="F12">
            <v>58.776097010716278</v>
          </cell>
          <cell r="G12">
            <v>64900.000000000007</v>
          </cell>
          <cell r="H12">
            <v>63490.151906697676</v>
          </cell>
        </row>
        <row r="13">
          <cell r="E13">
            <v>17.3</v>
          </cell>
          <cell r="F13">
            <v>16.733516638465886</v>
          </cell>
          <cell r="G13">
            <v>39300.000000000007</v>
          </cell>
          <cell r="H13">
            <v>28536.858505773358</v>
          </cell>
        </row>
        <row r="14">
          <cell r="E14">
            <v>0</v>
          </cell>
          <cell r="F14">
            <v>0</v>
          </cell>
        </row>
        <row r="15">
          <cell r="E15">
            <v>349.3</v>
          </cell>
          <cell r="F15">
            <v>343.86269881556677</v>
          </cell>
        </row>
        <row r="16">
          <cell r="E16">
            <v>810</v>
          </cell>
          <cell r="F16">
            <v>859.53750705019763</v>
          </cell>
          <cell r="G16">
            <v>14200</v>
          </cell>
          <cell r="H16">
            <v>15134.700057744298</v>
          </cell>
        </row>
        <row r="17">
          <cell r="E17">
            <v>905</v>
          </cell>
          <cell r="F17">
            <v>800.63451776649754</v>
          </cell>
          <cell r="G17">
            <v>15212.903225806453</v>
          </cell>
          <cell r="H17">
            <v>15434.692590831439</v>
          </cell>
        </row>
        <row r="19">
          <cell r="E19">
            <v>2.86</v>
          </cell>
          <cell r="F19">
            <v>2.8543711223914277</v>
          </cell>
        </row>
        <row r="20">
          <cell r="Q20">
            <v>60012.557419354838</v>
          </cell>
          <cell r="R20">
            <v>58332.906937394248</v>
          </cell>
        </row>
        <row r="21">
          <cell r="Q21">
            <v>14095.694764032072</v>
          </cell>
          <cell r="R21">
            <v>17634.925831923294</v>
          </cell>
        </row>
        <row r="22">
          <cell r="Q22">
            <v>60</v>
          </cell>
          <cell r="R22">
            <v>82.545403271291605</v>
          </cell>
        </row>
        <row r="50">
          <cell r="Q50">
            <v>81554.549516720246</v>
          </cell>
          <cell r="R50">
            <v>94811.51071630005</v>
          </cell>
        </row>
        <row r="56">
          <cell r="L56">
            <v>-47009.184203710007</v>
          </cell>
        </row>
        <row r="80">
          <cell r="H80">
            <v>10937.019999999999</v>
          </cell>
          <cell r="I80">
            <v>12561.725</v>
          </cell>
          <cell r="L80">
            <v>-1624.7050000000013</v>
          </cell>
        </row>
        <row r="85">
          <cell r="H85">
            <v>11709.676333333335</v>
          </cell>
          <cell r="I85">
            <v>10525.841210000002</v>
          </cell>
          <cell r="L85">
            <v>1183.8351233333324</v>
          </cell>
          <cell r="Q85">
            <v>111100.21333333335</v>
          </cell>
          <cell r="R85">
            <v>111557.60152284264</v>
          </cell>
        </row>
        <row r="86">
          <cell r="H86">
            <v>198945.78229126491</v>
          </cell>
          <cell r="I86">
            <v>36294.072</v>
          </cell>
          <cell r="K86">
            <v>1621.898519999952</v>
          </cell>
          <cell r="M86">
            <v>-116823.55473088817</v>
          </cell>
        </row>
        <row r="89">
          <cell r="Q89">
            <v>74168.25218338691</v>
          </cell>
          <cell r="R89">
            <v>76050.378172588826</v>
          </cell>
        </row>
        <row r="92">
          <cell r="H92">
            <v>164831.51792142278</v>
          </cell>
          <cell r="I92">
            <v>5549.2009796599959</v>
          </cell>
        </row>
      </sheetData>
      <sheetData sheetId="22">
        <row r="2">
          <cell r="N2">
            <v>4000</v>
          </cell>
        </row>
        <row r="5">
          <cell r="T5">
            <v>4000</v>
          </cell>
          <cell r="U5">
            <v>3067.5</v>
          </cell>
        </row>
        <row r="9">
          <cell r="E9">
            <v>320.3</v>
          </cell>
          <cell r="F9">
            <v>371.76854804386966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30.010289736454425</v>
          </cell>
        </row>
        <row r="12">
          <cell r="E12">
            <v>17.600000000000001</v>
          </cell>
          <cell r="F12">
            <v>13.033232935013917</v>
          </cell>
          <cell r="G12">
            <v>64000</v>
          </cell>
          <cell r="H12">
            <v>60890.062574714233</v>
          </cell>
        </row>
        <row r="13">
          <cell r="E13">
            <v>11.2</v>
          </cell>
          <cell r="F13">
            <v>8.6135177606809616</v>
          </cell>
          <cell r="G13">
            <v>49000</v>
          </cell>
          <cell r="H13">
            <v>47621.188757578391</v>
          </cell>
        </row>
        <row r="14">
          <cell r="E14">
            <v>0</v>
          </cell>
          <cell r="F14">
            <v>0</v>
          </cell>
        </row>
        <row r="15">
          <cell r="E15">
            <v>349.1</v>
          </cell>
          <cell r="F15">
            <v>423.42558847601896</v>
          </cell>
        </row>
        <row r="16">
          <cell r="E16">
            <v>837.86</v>
          </cell>
          <cell r="F16">
            <v>931.02000327385883</v>
          </cell>
          <cell r="G16">
            <v>13666.666666666664</v>
          </cell>
          <cell r="H16">
            <v>12471.424684276381</v>
          </cell>
        </row>
        <row r="17">
          <cell r="E17">
            <v>921.01</v>
          </cell>
          <cell r="F17">
            <v>785.54918972008522</v>
          </cell>
          <cell r="G17">
            <v>13806.451612903224</v>
          </cell>
          <cell r="H17">
            <v>12374.965200503444</v>
          </cell>
        </row>
        <row r="19">
          <cell r="E19">
            <v>2.9380000000000002</v>
          </cell>
          <cell r="F19">
            <v>3.3729579309215914</v>
          </cell>
        </row>
        <row r="20">
          <cell r="Q20">
            <v>59673.633333333339</v>
          </cell>
          <cell r="R20">
            <v>66427.494516287436</v>
          </cell>
        </row>
        <row r="21">
          <cell r="Q21">
            <v>15176.186346409913</v>
          </cell>
          <cell r="R21">
            <v>15639.238173187101</v>
          </cell>
        </row>
        <row r="22">
          <cell r="Q22">
            <v>850</v>
          </cell>
          <cell r="R22">
            <v>978.14143067605175</v>
          </cell>
        </row>
        <row r="50">
          <cell r="Q50">
            <v>92377.620281713214</v>
          </cell>
          <cell r="R50">
            <v>112903.05156326731</v>
          </cell>
        </row>
        <row r="56">
          <cell r="L56">
            <v>-62694.925759507038</v>
          </cell>
        </row>
        <row r="80">
          <cell r="H80">
            <v>11440.220000000001</v>
          </cell>
          <cell r="I80">
            <v>12321.418</v>
          </cell>
          <cell r="L80">
            <v>-881.19799999999964</v>
          </cell>
        </row>
        <row r="85">
          <cell r="H85">
            <v>6057.137777777777</v>
          </cell>
          <cell r="I85">
            <v>6426.7580900000003</v>
          </cell>
          <cell r="L85">
            <v>-369.62031222222254</v>
          </cell>
          <cell r="Q85">
            <v>112000</v>
          </cell>
          <cell r="R85">
            <v>119466.75396955313</v>
          </cell>
        </row>
        <row r="86">
          <cell r="H86">
            <v>60992.161095369367</v>
          </cell>
          <cell r="I86">
            <v>1329.2569999999478</v>
          </cell>
          <cell r="K86">
            <v>22807.200000000037</v>
          </cell>
          <cell r="M86">
            <v>-18524.360023640154</v>
          </cell>
        </row>
        <row r="89">
          <cell r="Q89">
            <v>75699.819679743247</v>
          </cell>
          <cell r="R89">
            <v>83044.874120150591</v>
          </cell>
        </row>
        <row r="92">
          <cell r="H92">
            <v>42650.533623319781</v>
          </cell>
          <cell r="I92">
            <v>-27134.323024864436</v>
          </cell>
        </row>
      </sheetData>
      <sheetData sheetId="23">
        <row r="2">
          <cell r="N2">
            <v>10000</v>
          </cell>
        </row>
        <row r="5">
          <cell r="T5">
            <v>10000</v>
          </cell>
          <cell r="U5">
            <v>4519.5</v>
          </cell>
        </row>
        <row r="9">
          <cell r="E9">
            <v>351.6</v>
          </cell>
          <cell r="F9">
            <v>301.63536680396288</v>
          </cell>
          <cell r="G9">
            <v>117000</v>
          </cell>
          <cell r="H9">
            <v>116999.99391051901</v>
          </cell>
        </row>
        <row r="10">
          <cell r="E10">
            <v>0</v>
          </cell>
          <cell r="F10">
            <v>68.829119447845926</v>
          </cell>
          <cell r="G10">
            <v>0</v>
          </cell>
          <cell r="H10">
            <v>117000.00054990202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351.6</v>
          </cell>
          <cell r="F15">
            <v>370.46448625180881</v>
          </cell>
        </row>
        <row r="16">
          <cell r="E16">
            <v>715.5</v>
          </cell>
          <cell r="F16">
            <v>801.59189580318412</v>
          </cell>
          <cell r="G16">
            <v>17666.666666666668</v>
          </cell>
          <cell r="H16">
            <v>17925.422528365289</v>
          </cell>
        </row>
        <row r="17">
          <cell r="E17">
            <v>991.7</v>
          </cell>
          <cell r="F17">
            <v>984.32594901480581</v>
          </cell>
          <cell r="G17">
            <v>17557.339937050372</v>
          </cell>
          <cell r="H17">
            <v>19693.976838343395</v>
          </cell>
        </row>
        <row r="19">
          <cell r="E19">
            <v>2.73</v>
          </cell>
          <cell r="F19">
            <v>3.0034643214961605</v>
          </cell>
        </row>
        <row r="20">
          <cell r="Q20">
            <v>73747.814015572862</v>
          </cell>
          <cell r="R20">
            <v>79839.904708894566</v>
          </cell>
        </row>
        <row r="21">
          <cell r="Q21">
            <v>17407.542955326458</v>
          </cell>
          <cell r="R21">
            <v>17240.966492263167</v>
          </cell>
        </row>
        <row r="22">
          <cell r="Q22">
            <v>250</v>
          </cell>
          <cell r="R22">
            <v>451.11744406100411</v>
          </cell>
        </row>
        <row r="50">
          <cell r="Q50">
            <v>97567.157970899323</v>
          </cell>
          <cell r="R50">
            <v>111850.70021151062</v>
          </cell>
        </row>
        <row r="56">
          <cell r="L56">
            <v>-64154.53406370568</v>
          </cell>
        </row>
        <row r="80">
          <cell r="H80">
            <v>15019.560000000001</v>
          </cell>
          <cell r="I80">
            <v>16964.261999999999</v>
          </cell>
          <cell r="L80">
            <v>-1944.7019999999993</v>
          </cell>
        </row>
        <row r="85">
          <cell r="H85">
            <v>12413.786620014094</v>
          </cell>
          <cell r="I85">
            <v>12790.306909999999</v>
          </cell>
          <cell r="L85">
            <v>-376.52028998590583</v>
          </cell>
          <cell r="Q85">
            <v>122948.9</v>
          </cell>
          <cell r="R85">
            <v>127942.32550372925</v>
          </cell>
        </row>
        <row r="86">
          <cell r="H86">
            <v>226384.07367099272</v>
          </cell>
          <cell r="I86">
            <v>42520.96199999997</v>
          </cell>
          <cell r="K86">
            <v>22427.970649999974</v>
          </cell>
          <cell r="M86">
            <v>-139815.32596730103</v>
          </cell>
        </row>
        <row r="89">
          <cell r="Q89">
            <v>91405.356970899316</v>
          </cell>
          <cell r="R89">
            <v>97531.988645218735</v>
          </cell>
        </row>
        <row r="92">
          <cell r="H92">
            <v>176047.40130719187</v>
          </cell>
          <cell r="I92">
            <v>-2530.5222061224558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99802.989779255455</v>
          </cell>
        </row>
        <row r="89">
          <cell r="Q89">
            <v>82213.021920394152</v>
          </cell>
        </row>
        <row r="90">
          <cell r="Q90">
            <v>17589.967858861302</v>
          </cell>
        </row>
      </sheetData>
      <sheetData sheetId="1">
        <row r="5">
          <cell r="T5">
            <v>94753.5</v>
          </cell>
        </row>
        <row r="85">
          <cell r="Q85">
            <v>95753.182837259141</v>
          </cell>
        </row>
        <row r="89">
          <cell r="Q89">
            <v>83930.890743174416</v>
          </cell>
        </row>
        <row r="90">
          <cell r="Q90">
            <v>11822.292094084725</v>
          </cell>
        </row>
      </sheetData>
      <sheetData sheetId="2">
        <row r="5">
          <cell r="T5">
            <v>129272</v>
          </cell>
        </row>
        <row r="85">
          <cell r="Q85">
            <v>101138.01594527731</v>
          </cell>
        </row>
        <row r="89">
          <cell r="Q89">
            <v>81325.206744175419</v>
          </cell>
        </row>
        <row r="90">
          <cell r="Q90">
            <v>19812.809201101889</v>
          </cell>
        </row>
      </sheetData>
      <sheetData sheetId="3" refreshError="1"/>
      <sheetData sheetId="4" refreshError="1"/>
      <sheetData sheetId="5">
        <row r="5">
          <cell r="T5">
            <v>48263.5</v>
          </cell>
        </row>
        <row r="85">
          <cell r="Q85">
            <v>104182.09168419198</v>
          </cell>
        </row>
        <row r="89">
          <cell r="Q89">
            <v>81258.436457526477</v>
          </cell>
        </row>
        <row r="90">
          <cell r="Q90">
            <v>22923.655226665505</v>
          </cell>
        </row>
      </sheetData>
      <sheetData sheetId="6">
        <row r="2">
          <cell r="N2">
            <v>34670</v>
          </cell>
        </row>
        <row r="85">
          <cell r="Q85">
            <v>96402.08079030861</v>
          </cell>
        </row>
        <row r="86">
          <cell r="H86">
            <v>51528.149000000078</v>
          </cell>
        </row>
        <row r="89">
          <cell r="Q89">
            <v>82908.853609317346</v>
          </cell>
        </row>
        <row r="92">
          <cell r="H92">
            <v>-206132.04263048037</v>
          </cell>
        </row>
      </sheetData>
      <sheetData sheetId="7">
        <row r="2">
          <cell r="N2">
            <v>30047</v>
          </cell>
        </row>
        <row r="85">
          <cell r="Q85">
            <v>97799.696726170863</v>
          </cell>
        </row>
        <row r="86">
          <cell r="H86">
            <v>-49541.219999999579</v>
          </cell>
        </row>
        <row r="89">
          <cell r="Q89">
            <v>86503.734509778093</v>
          </cell>
        </row>
        <row r="92">
          <cell r="H92">
            <v>-278456.59336775867</v>
          </cell>
        </row>
      </sheetData>
      <sheetData sheetId="8">
        <row r="2">
          <cell r="N2">
            <v>16303</v>
          </cell>
        </row>
        <row r="85">
          <cell r="Q85">
            <v>92808.890388272106</v>
          </cell>
        </row>
        <row r="86">
          <cell r="H86">
            <v>-160229.42599999992</v>
          </cell>
        </row>
        <row r="89">
          <cell r="Q89">
            <v>85217.768692878613</v>
          </cell>
        </row>
        <row r="92">
          <cell r="H92">
            <v>-276873.90419337311</v>
          </cell>
        </row>
      </sheetData>
      <sheetData sheetId="9">
        <row r="2">
          <cell r="N2">
            <v>13358.5</v>
          </cell>
        </row>
        <row r="85">
          <cell r="Q85">
            <v>93010.902870831298</v>
          </cell>
        </row>
        <row r="86">
          <cell r="H86">
            <v>-46293.550000000156</v>
          </cell>
        </row>
        <row r="89">
          <cell r="Q89">
            <v>79168.533039153364</v>
          </cell>
        </row>
        <row r="92">
          <cell r="H92">
            <v>-142474.27851847533</v>
          </cell>
        </row>
      </sheetData>
      <sheetData sheetId="10">
        <row r="2">
          <cell r="N2">
            <v>17339</v>
          </cell>
        </row>
        <row r="85">
          <cell r="Q85">
            <v>114220.50867985465</v>
          </cell>
        </row>
        <row r="86">
          <cell r="H86">
            <v>92183.80899999995</v>
          </cell>
        </row>
        <row r="89">
          <cell r="Q89">
            <v>90394.221158835397</v>
          </cell>
        </row>
        <row r="92">
          <cell r="H92">
            <v>-61779.739261817595</v>
          </cell>
        </row>
      </sheetData>
      <sheetData sheetId="11">
        <row r="2">
          <cell r="N2">
            <v>24067</v>
          </cell>
        </row>
        <row r="85">
          <cell r="Q85">
            <v>98127.560560103055</v>
          </cell>
        </row>
        <row r="86">
          <cell r="H86">
            <v>163092.31399999984</v>
          </cell>
        </row>
        <row r="89">
          <cell r="Q89">
            <v>78950.520047080267</v>
          </cell>
        </row>
        <row r="92">
          <cell r="H92">
            <v>-20503.483169522602</v>
          </cell>
        </row>
      </sheetData>
      <sheetData sheetId="12">
        <row r="2">
          <cell r="N2">
            <v>11853</v>
          </cell>
        </row>
        <row r="85">
          <cell r="Q85">
            <v>94036.648949632989</v>
          </cell>
        </row>
        <row r="86">
          <cell r="H86">
            <v>-58225.946000000047</v>
          </cell>
        </row>
        <row r="89">
          <cell r="Q89">
            <v>80796.703534970045</v>
          </cell>
        </row>
        <row r="92">
          <cell r="H92">
            <v>-147314.11423403778</v>
          </cell>
        </row>
      </sheetData>
      <sheetData sheetId="13">
        <row r="2">
          <cell r="N2">
            <v>22034</v>
          </cell>
        </row>
        <row r="85">
          <cell r="Q85">
            <v>103884.65553235907</v>
          </cell>
        </row>
        <row r="86">
          <cell r="H86">
            <v>101281.81700000007</v>
          </cell>
        </row>
        <row r="89">
          <cell r="Q89">
            <v>86215.633729366935</v>
          </cell>
        </row>
        <row r="92">
          <cell r="H92">
            <v>-76666.761842866632</v>
          </cell>
        </row>
      </sheetData>
      <sheetData sheetId="14">
        <row r="2">
          <cell r="N2">
            <v>10174</v>
          </cell>
        </row>
        <row r="85">
          <cell r="Q85">
            <v>94184.214664831918</v>
          </cell>
        </row>
        <row r="86">
          <cell r="H86">
            <v>-28828.367000000027</v>
          </cell>
        </row>
        <row r="89">
          <cell r="Q89">
            <v>78064.418910949476</v>
          </cell>
        </row>
        <row r="92">
          <cell r="H92">
            <v>-103322.08128997142</v>
          </cell>
        </row>
      </sheetData>
      <sheetData sheetId="15">
        <row r="2">
          <cell r="N2">
            <v>12315</v>
          </cell>
        </row>
        <row r="85">
          <cell r="Q85">
            <v>102461.27080795777</v>
          </cell>
        </row>
        <row r="86">
          <cell r="H86">
            <v>72758.356999999975</v>
          </cell>
        </row>
        <row r="89">
          <cell r="Q89">
            <v>76573.527243199365</v>
          </cell>
        </row>
        <row r="92">
          <cell r="H92">
            <v>-25335.97836927943</v>
          </cell>
        </row>
      </sheetData>
      <sheetData sheetId="16">
        <row r="2">
          <cell r="N2">
            <v>18708</v>
          </cell>
        </row>
        <row r="85">
          <cell r="Q85">
            <v>96305.899294419505</v>
          </cell>
        </row>
        <row r="86">
          <cell r="H86">
            <v>168039.98099999997</v>
          </cell>
        </row>
        <row r="89">
          <cell r="Q89">
            <v>73764.09594825744</v>
          </cell>
        </row>
        <row r="92">
          <cell r="H92">
            <v>27974.851543324243</v>
          </cell>
        </row>
      </sheetData>
      <sheetData sheetId="17">
        <row r="2">
          <cell r="N2">
            <v>12451</v>
          </cell>
        </row>
        <row r="85">
          <cell r="Q85">
            <v>102272.03437474903</v>
          </cell>
        </row>
        <row r="86">
          <cell r="H86">
            <v>24366.226000000119</v>
          </cell>
        </row>
        <row r="89">
          <cell r="Q89">
            <v>84277.211324083735</v>
          </cell>
        </row>
        <row r="92">
          <cell r="H92">
            <v>-74628.23670360056</v>
          </cell>
        </row>
      </sheetData>
      <sheetData sheetId="18">
        <row r="2">
          <cell r="N2">
            <v>22732</v>
          </cell>
        </row>
        <row r="85">
          <cell r="Q85">
            <v>101156.18080239311</v>
          </cell>
        </row>
        <row r="86">
          <cell r="H86">
            <v>58469.241000000344</v>
          </cell>
        </row>
        <row r="89">
          <cell r="Q89">
            <v>85004.173787554129</v>
          </cell>
        </row>
        <row r="92">
          <cell r="H92">
            <v>-112561.56293052131</v>
          </cell>
        </row>
      </sheetData>
      <sheetData sheetId="19">
        <row r="2">
          <cell r="N2">
            <v>4010</v>
          </cell>
        </row>
        <row r="85">
          <cell r="Q85">
            <v>114929.42643391521</v>
          </cell>
        </row>
        <row r="86">
          <cell r="H86">
            <v>39135.276999999987</v>
          </cell>
        </row>
        <row r="89">
          <cell r="Q89">
            <v>76446.968079800514</v>
          </cell>
        </row>
        <row r="92">
          <cell r="H92">
            <v>4856.9294578201589</v>
          </cell>
        </row>
      </sheetData>
      <sheetData sheetId="20">
        <row r="2">
          <cell r="N2">
            <v>5608</v>
          </cell>
        </row>
        <row r="85">
          <cell r="Q85">
            <v>106518.1883024251</v>
          </cell>
        </row>
        <row r="86">
          <cell r="H86">
            <v>80152.254000000001</v>
          </cell>
        </row>
        <row r="89">
          <cell r="Q89">
            <v>73466.499821683319</v>
          </cell>
        </row>
        <row r="92">
          <cell r="H92">
            <v>35722.28175700736</v>
          </cell>
        </row>
      </sheetData>
      <sheetData sheetId="21">
        <row r="2">
          <cell r="N2">
            <v>10326</v>
          </cell>
        </row>
        <row r="85">
          <cell r="Q85">
            <v>97041.635483246166</v>
          </cell>
        </row>
        <row r="86">
          <cell r="H86">
            <v>10653.326999999877</v>
          </cell>
        </row>
        <row r="89">
          <cell r="Q89">
            <v>74828.152624443159</v>
          </cell>
        </row>
        <row r="92">
          <cell r="H92">
            <v>-63877.251764145432</v>
          </cell>
        </row>
      </sheetData>
      <sheetData sheetId="22">
        <row r="2">
          <cell r="N2">
            <v>5587.5</v>
          </cell>
        </row>
        <row r="85">
          <cell r="Q85">
            <v>119630.81020134229</v>
          </cell>
        </row>
        <row r="86">
          <cell r="H86">
            <v>49681.542999999991</v>
          </cell>
        </row>
        <row r="89">
          <cell r="Q89">
            <v>89066.435062036966</v>
          </cell>
        </row>
        <row r="92">
          <cell r="H92">
            <v>-35.449117814663623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L3">
            <v>6814.7489999999989</v>
          </cell>
          <cell r="M3">
            <v>7943.9050000000007</v>
          </cell>
          <cell r="N3">
            <v>6655.6190000000006</v>
          </cell>
          <cell r="O3">
            <v>9321.4179999999997</v>
          </cell>
          <cell r="P3">
            <v>7354.4539999999997</v>
          </cell>
          <cell r="Q3">
            <v>108225.34600000001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L5">
            <v>6814.7489999999989</v>
          </cell>
          <cell r="M5">
            <v>7943.9050000000007</v>
          </cell>
          <cell r="N5">
            <v>6655.6190000000006</v>
          </cell>
          <cell r="O5">
            <v>9321.4179999999997</v>
          </cell>
          <cell r="P5">
            <v>7354.4539999999997</v>
          </cell>
          <cell r="Q5">
            <v>108225.34600000001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L6">
            <v>5219291.6689999998</v>
          </cell>
          <cell r="M6">
            <v>6288344.6279999996</v>
          </cell>
          <cell r="N6">
            <v>5385244.2309999997</v>
          </cell>
          <cell r="O6">
            <v>6954715.2139999997</v>
          </cell>
          <cell r="P6">
            <v>5278076.43</v>
          </cell>
          <cell r="Q6">
            <v>83109052.717000008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L7">
            <v>1191782.4460000005</v>
          </cell>
          <cell r="M7">
            <v>1321863.1440000003</v>
          </cell>
          <cell r="N7">
            <v>1538532.2659999998</v>
          </cell>
          <cell r="O7">
            <v>1504134.9350000005</v>
          </cell>
          <cell r="P7">
            <v>1622853.0449999999</v>
          </cell>
          <cell r="Q7">
            <v>16072093.410999998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L8">
            <v>6411074.1150000002</v>
          </cell>
          <cell r="M8">
            <v>7610207.7719999999</v>
          </cell>
          <cell r="N8">
            <v>6923776.4969999995</v>
          </cell>
          <cell r="O8">
            <v>8458850.1490000002</v>
          </cell>
          <cell r="P8">
            <v>6900929.4749999996</v>
          </cell>
          <cell r="Q8">
            <v>99181146.128000006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L9">
            <v>5101256.4989999989</v>
          </cell>
          <cell r="M9">
            <v>6136719.0360000003</v>
          </cell>
          <cell r="N9">
            <v>5299389.233</v>
          </cell>
          <cell r="O9">
            <v>6831988.6660000002</v>
          </cell>
          <cell r="P9">
            <v>5225272.7120000003</v>
          </cell>
          <cell r="Q9">
            <v>81849282.283999979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L10">
            <v>1162527.9860000005</v>
          </cell>
          <cell r="M10">
            <v>1289769.3579999991</v>
          </cell>
          <cell r="N10">
            <v>1494232.9290000005</v>
          </cell>
          <cell r="O10">
            <v>1456389.7450000001</v>
          </cell>
          <cell r="P10">
            <v>1569484.551</v>
          </cell>
          <cell r="Q10">
            <v>15618564.881000001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L11">
            <v>6263784.4849999994</v>
          </cell>
          <cell r="M11">
            <v>7426488.3939999994</v>
          </cell>
          <cell r="N11">
            <v>6793622.1620000005</v>
          </cell>
          <cell r="O11">
            <v>8288378.4110000003</v>
          </cell>
          <cell r="P11">
            <v>6794757.2630000003</v>
          </cell>
          <cell r="Q11">
            <v>97467847.164999977</v>
          </cell>
          <cell r="S11"/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L12">
            <v>118035.17000000086</v>
          </cell>
          <cell r="M12">
            <v>151625.59199999925</v>
          </cell>
          <cell r="N12">
            <v>85854.997999999672</v>
          </cell>
          <cell r="O12">
            <v>122726.54799999949</v>
          </cell>
          <cell r="P12">
            <v>52803.717999999411</v>
          </cell>
          <cell r="Q12">
            <v>1259770.4330000281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L13">
            <v>29254.459999999963</v>
          </cell>
          <cell r="M13">
            <v>32093.786000001244</v>
          </cell>
          <cell r="N13">
            <v>44299.336999999359</v>
          </cell>
          <cell r="O13">
            <v>47745.19000000041</v>
          </cell>
          <cell r="P13">
            <v>53368.493999999948</v>
          </cell>
          <cell r="Q13">
            <v>453528.52999999747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L14">
            <v>147289.63000000082</v>
          </cell>
          <cell r="M14">
            <v>183719.37800000049</v>
          </cell>
          <cell r="N14">
            <v>130154.33499999903</v>
          </cell>
          <cell r="O14">
            <v>170471.7379999999</v>
          </cell>
          <cell r="P14">
            <v>106172.21199999936</v>
          </cell>
          <cell r="Q14">
            <v>1713298.9630000293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L15">
            <v>67095.42</v>
          </cell>
          <cell r="M15">
            <v>78359.399999999994</v>
          </cell>
          <cell r="N15">
            <v>73334.559999999998</v>
          </cell>
          <cell r="O15">
            <v>69555.41</v>
          </cell>
          <cell r="P15">
            <v>74270.44</v>
          </cell>
          <cell r="Q15">
            <v>855198.12000000011</v>
          </cell>
          <cell r="S15"/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L16">
            <v>15180.11</v>
          </cell>
          <cell r="M16">
            <v>19598.073</v>
          </cell>
          <cell r="N16">
            <v>15448.29</v>
          </cell>
          <cell r="O16">
            <v>15448.29</v>
          </cell>
          <cell r="P16">
            <v>15486.496999999999</v>
          </cell>
          <cell r="Q16">
            <v>191341.43000000002</v>
          </cell>
          <cell r="S16"/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L17">
            <v>8194.3140000000003</v>
          </cell>
          <cell r="M17">
            <v>8194.3140000000003</v>
          </cell>
          <cell r="N17">
            <v>8194.3140000000003</v>
          </cell>
          <cell r="O17">
            <v>8194.3140000000003</v>
          </cell>
          <cell r="P17">
            <v>8194.3269999999993</v>
          </cell>
          <cell r="Q17">
            <v>101512.378</v>
          </cell>
          <cell r="S17"/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L18">
            <v>90469.843999999997</v>
          </cell>
          <cell r="M18">
            <v>106151.787</v>
          </cell>
          <cell r="N18">
            <v>96977.164000000004</v>
          </cell>
          <cell r="O18">
            <v>93198.01400000001</v>
          </cell>
          <cell r="P18">
            <v>97951.26400000001</v>
          </cell>
          <cell r="Q18">
            <v>1148051.9280000001</v>
          </cell>
          <cell r="S18"/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L19">
            <v>10273.546</v>
          </cell>
          <cell r="M19">
            <v>26749.444</v>
          </cell>
          <cell r="N19">
            <v>9447.8739999999998</v>
          </cell>
          <cell r="O19">
            <v>10319.808000000001</v>
          </cell>
          <cell r="P19">
            <v>13679.846</v>
          </cell>
          <cell r="Q19">
            <v>168676.44899999999</v>
          </cell>
          <cell r="S19"/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L20">
            <v>1640.944</v>
          </cell>
          <cell r="M20">
            <v>1499.46</v>
          </cell>
          <cell r="N20">
            <v>3336.2950000000001</v>
          </cell>
          <cell r="O20">
            <v>2336.288</v>
          </cell>
          <cell r="P20">
            <v>1463.6559999999999</v>
          </cell>
          <cell r="Q20">
            <v>32440.954999999998</v>
          </cell>
          <cell r="S20"/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L21">
            <v>1484.14</v>
          </cell>
          <cell r="M21">
            <v>2096.6799999999998</v>
          </cell>
          <cell r="N21">
            <v>1037.1600000000001</v>
          </cell>
          <cell r="O21">
            <v>1230.56</v>
          </cell>
          <cell r="P21">
            <v>2410.11</v>
          </cell>
          <cell r="Q21">
            <v>24047.962000000003</v>
          </cell>
          <cell r="S21"/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L22">
            <v>150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650</v>
          </cell>
          <cell r="S22"/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L23">
            <v>1648.7619999999999</v>
          </cell>
          <cell r="M23">
            <v>1326.7360000000001</v>
          </cell>
          <cell r="N23">
            <v>1470.454</v>
          </cell>
          <cell r="O23">
            <v>1758.3330000000001</v>
          </cell>
          <cell r="P23">
            <v>1737.2750000000001</v>
          </cell>
          <cell r="Q23">
            <v>19195.298000000003</v>
          </cell>
          <cell r="S23"/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L24">
            <v>453.05599999999998</v>
          </cell>
          <cell r="M24">
            <v>477.08699999999999</v>
          </cell>
          <cell r="N24">
            <v>514.54600000000005</v>
          </cell>
          <cell r="O24">
            <v>542.80700000000002</v>
          </cell>
          <cell r="P24">
            <v>511.53899999999999</v>
          </cell>
          <cell r="Q24">
            <v>5970.098</v>
          </cell>
          <cell r="S24"/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L25">
            <v>220.892</v>
          </cell>
          <cell r="M25">
            <v>230.892</v>
          </cell>
          <cell r="N25">
            <v>-24.108000000000001</v>
          </cell>
          <cell r="O25">
            <v>170.892</v>
          </cell>
          <cell r="P25">
            <v>170.892</v>
          </cell>
          <cell r="Q25">
            <v>2035.7040000000004</v>
          </cell>
          <cell r="S25"/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L26">
            <v>3582.8</v>
          </cell>
          <cell r="M26">
            <v>3582.8</v>
          </cell>
          <cell r="N26">
            <v>3582.8</v>
          </cell>
          <cell r="O26">
            <v>3582.8</v>
          </cell>
          <cell r="P26">
            <v>3582.8</v>
          </cell>
          <cell r="Q26">
            <v>42502.000000000007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L28">
            <v>222.52</v>
          </cell>
          <cell r="M28">
            <v>40</v>
          </cell>
          <cell r="N28">
            <v>28071.16</v>
          </cell>
          <cell r="O28">
            <v>19281.57</v>
          </cell>
          <cell r="P28">
            <v>28459.360000000001</v>
          </cell>
          <cell r="Q28">
            <v>135894.77000000002</v>
          </cell>
          <cell r="S28"/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L29">
            <v>89.9</v>
          </cell>
          <cell r="M29">
            <v>39</v>
          </cell>
          <cell r="N29">
            <v>213.59</v>
          </cell>
          <cell r="O29">
            <v>120.59</v>
          </cell>
          <cell r="P29">
            <v>712.48</v>
          </cell>
          <cell r="Q29">
            <v>1932.15</v>
          </cell>
          <cell r="S29"/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L30">
            <v>6228.8789999999999</v>
          </cell>
          <cell r="M30">
            <v>6170.7790000000005</v>
          </cell>
          <cell r="N30">
            <v>10709.460999999999</v>
          </cell>
          <cell r="O30">
            <v>6027.4639999999999</v>
          </cell>
          <cell r="P30">
            <v>5912.6790000000001</v>
          </cell>
          <cell r="Q30">
            <v>78783.002999999997</v>
          </cell>
          <cell r="S30"/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L31">
            <v>7394.56</v>
          </cell>
          <cell r="M31">
            <v>16464.91</v>
          </cell>
          <cell r="N31">
            <v>10145.23</v>
          </cell>
          <cell r="O31">
            <v>3979.45</v>
          </cell>
          <cell r="P31">
            <v>8639.65</v>
          </cell>
          <cell r="Q31">
            <v>107995.67699999998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L33">
            <v>82.5</v>
          </cell>
          <cell r="M33">
            <v>30.9</v>
          </cell>
          <cell r="N33">
            <v>720.1</v>
          </cell>
          <cell r="O33">
            <v>170.9</v>
          </cell>
          <cell r="P33">
            <v>192.9</v>
          </cell>
          <cell r="Q33">
            <v>2621.529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L36">
            <v>33472.499000000003</v>
          </cell>
          <cell r="M36">
            <v>58708.688000000002</v>
          </cell>
          <cell r="N36">
            <v>69224.561999999991</v>
          </cell>
          <cell r="O36">
            <v>49521.462</v>
          </cell>
          <cell r="P36">
            <v>67473.186999999991</v>
          </cell>
          <cell r="Q36">
            <v>622745.59500000009</v>
          </cell>
          <cell r="S36"/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L37">
            <v>123942.34299999999</v>
          </cell>
          <cell r="M37">
            <v>164860.47500000001</v>
          </cell>
          <cell r="N37">
            <v>166201.726</v>
          </cell>
          <cell r="O37">
            <v>142719.47600000002</v>
          </cell>
          <cell r="P37">
            <v>165424.451</v>
          </cell>
          <cell r="Q37">
            <v>1770797.523</v>
          </cell>
          <cell r="S37"/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L38">
            <v>23347.287000000826</v>
          </cell>
          <cell r="M38">
            <v>18858.903000000486</v>
          </cell>
          <cell r="N38">
            <v>-36047.391000000964</v>
          </cell>
          <cell r="O38">
            <v>27752.261999999871</v>
          </cell>
          <cell r="P38">
            <v>-59252.239000000642</v>
          </cell>
          <cell r="Q38">
            <v>-57498.559999970719</v>
          </cell>
          <cell r="S38"/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L39">
            <v>5186.2529999999997</v>
          </cell>
          <cell r="M39">
            <v>5186.2629999999999</v>
          </cell>
          <cell r="N39">
            <v>1039.394</v>
          </cell>
          <cell r="O39">
            <v>4760.7160000000003</v>
          </cell>
          <cell r="P39">
            <v>4757.2489999999998</v>
          </cell>
          <cell r="Q39">
            <v>60269.516000000003</v>
          </cell>
          <cell r="S39"/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L40">
            <v>18161.034000000825</v>
          </cell>
          <cell r="M40">
            <v>13672.640000000487</v>
          </cell>
          <cell r="N40">
            <v>-37086.785000000964</v>
          </cell>
          <cell r="O40">
            <v>22991.545999999871</v>
          </cell>
          <cell r="P40">
            <v>-64009.488000000638</v>
          </cell>
          <cell r="Q40">
            <v>-117768.07599997072</v>
          </cell>
          <cell r="S40"/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L41">
            <v>2.8327599516451427E-3</v>
          </cell>
          <cell r="M41">
            <v>1.7966184905365927E-3</v>
          </cell>
          <cell r="N41">
            <v>-5.3564387897371158E-3</v>
          </cell>
          <cell r="O41">
            <v>2.7180462586534788E-3</v>
          </cell>
          <cell r="P41">
            <v>-9.2754879225889555E-3</v>
          </cell>
          <cell r="Q41">
            <v>-1.1874038625040995E-3</v>
          </cell>
        </row>
        <row r="42"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L44">
            <v>765881.71758050087</v>
          </cell>
          <cell r="M44">
            <v>791593.63411319733</v>
          </cell>
          <cell r="N44">
            <v>809127.48025390261</v>
          </cell>
          <cell r="O44">
            <v>746100.56259680667</v>
          </cell>
          <cell r="P44">
            <v>717670.73803167441</v>
          </cell>
          <cell r="Q44">
            <v>767925.95994102897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L45">
            <v>940764.5263237136</v>
          </cell>
          <cell r="M45">
            <v>957993.30077587778</v>
          </cell>
          <cell r="N45">
            <v>1040290.391772726</v>
          </cell>
          <cell r="O45">
            <v>907463.8803881557</v>
          </cell>
          <cell r="P45">
            <v>938333.35214279674</v>
          </cell>
          <cell r="Q45">
            <v>916431.77678544924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L46">
            <v>919151.16536206997</v>
          </cell>
          <cell r="M46">
            <v>934866.21428629861</v>
          </cell>
          <cell r="N46">
            <v>1020734.8350318731</v>
          </cell>
          <cell r="O46">
            <v>889175.70384677523</v>
          </cell>
          <cell r="P46">
            <v>923896.90152389288</v>
          </cell>
          <cell r="Q46">
            <v>900600.92914833431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  <cell r="L47">
            <v>21613.36096164363</v>
          </cell>
          <cell r="M47">
            <v>23127.086489579175</v>
          </cell>
          <cell r="N47">
            <v>19555.556740852888</v>
          </cell>
          <cell r="O47">
            <v>18288.176541380468</v>
          </cell>
          <cell r="P47">
            <v>14436.450618903851</v>
          </cell>
          <cell r="Q47"/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L48">
            <v>0.81410565146773373</v>
          </cell>
          <cell r="M48">
            <v>0.82630393497750609</v>
          </cell>
          <cell r="N48">
            <v>0.7777900158003902</v>
          </cell>
          <cell r="O48">
            <v>0.82218210412702275</v>
          </cell>
          <cell r="P48">
            <v>0.76483558470216073</v>
          </cell>
          <cell r="Q48">
            <v>0.83795213063722951</v>
          </cell>
          <cell r="R48"/>
          <cell r="S48"/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L49">
            <v>0.18589434853226625</v>
          </cell>
          <cell r="M49">
            <v>0.17369606502249388</v>
          </cell>
          <cell r="N49">
            <v>0.22220998419960983</v>
          </cell>
          <cell r="O49">
            <v>0.17781789587297731</v>
          </cell>
          <cell r="P49">
            <v>0.2351644152978393</v>
          </cell>
          <cell r="Q49">
            <v>0.16204786936277052</v>
          </cell>
          <cell r="R49"/>
          <cell r="S49"/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L50">
            <v>2.2615170311533105E-2</v>
          </cell>
          <cell r="M50">
            <v>2.4112163211421126E-2</v>
          </cell>
          <cell r="N50">
            <v>1.5942637755550233E-2</v>
          </cell>
          <cell r="O50">
            <v>1.7646523865268868E-2</v>
          </cell>
          <cell r="P50">
            <v>1.000434887601645E-2</v>
          </cell>
          <cell r="Q50">
            <v>1.5158041053478899E-2</v>
          </cell>
          <cell r="R50"/>
          <cell r="S50"/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L51">
            <v>2.4546812296310623E-2</v>
          </cell>
          <cell r="M51">
            <v>2.4279204807000229E-2</v>
          </cell>
          <cell r="N51">
            <v>2.879324534101085E-2</v>
          </cell>
          <cell r="O51">
            <v>3.1742624208113614E-2</v>
          </cell>
          <cell r="P51">
            <v>3.2885598708045652E-2</v>
          </cell>
          <cell r="Q51">
            <v>2.8218385645369336E-2</v>
          </cell>
          <cell r="R51"/>
          <cell r="S51"/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L52">
            <v>2.2974251639890895E-2</v>
          </cell>
          <cell r="M52">
            <v>2.4141177679268294E-2</v>
          </cell>
          <cell r="N52">
            <v>1.8798171064070824E-2</v>
          </cell>
          <cell r="O52">
            <v>2.0153062768247874E-2</v>
          </cell>
          <cell r="P52">
            <v>1.538520461404938E-2</v>
          </cell>
          <cell r="Q52">
            <v>1.7274442067738364E-2</v>
          </cell>
          <cell r="R52"/>
          <cell r="S52"/>
        </row>
        <row r="53">
          <cell r="R53"/>
          <cell r="S53"/>
        </row>
        <row r="54"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>
        <row r="8">
          <cell r="G8">
            <v>8735.5020000000004</v>
          </cell>
        </row>
      </sheetData>
      <sheetData sheetId="2">
        <row r="8">
          <cell r="G8">
            <v>9724.5229999999992</v>
          </cell>
        </row>
      </sheetData>
      <sheetData sheetId="3">
        <row r="8">
          <cell r="G8">
            <v>15762.77</v>
          </cell>
        </row>
      </sheetData>
      <sheetData sheetId="4">
        <row r="8">
          <cell r="G8">
            <v>11123.664999999999</v>
          </cell>
        </row>
      </sheetData>
      <sheetData sheetId="5">
        <row r="8">
          <cell r="G8">
            <v>10256.286000000002</v>
          </cell>
        </row>
      </sheetData>
      <sheetData sheetId="6">
        <row r="8">
          <cell r="G8">
            <v>6733.5930000000008</v>
          </cell>
        </row>
      </sheetData>
      <sheetData sheetId="7">
        <row r="8">
          <cell r="G8">
            <v>7798.8620000000001</v>
          </cell>
        </row>
      </sheetData>
      <sheetData sheetId="8">
        <row r="8">
          <cell r="G8">
            <v>6814.7489999999989</v>
          </cell>
        </row>
      </sheetData>
      <sheetData sheetId="9">
        <row r="8">
          <cell r="G8">
            <v>7943.9050000000007</v>
          </cell>
        </row>
      </sheetData>
      <sheetData sheetId="10">
        <row r="8">
          <cell r="G8">
            <v>6655.6190000000006</v>
          </cell>
        </row>
      </sheetData>
      <sheetData sheetId="11">
        <row r="8">
          <cell r="G8">
            <v>9321.4179999999997</v>
          </cell>
        </row>
      </sheetData>
      <sheetData sheetId="12">
        <row r="8">
          <cell r="G8">
            <v>7354.4539999999997</v>
          </cell>
        </row>
        <row r="9">
          <cell r="G9">
            <v>5278076.43</v>
          </cell>
          <cell r="J9">
            <v>1622853.0449999999</v>
          </cell>
        </row>
        <row r="10">
          <cell r="F10">
            <v>872900.76335877855</v>
          </cell>
          <cell r="G10">
            <v>717670.73803167441</v>
          </cell>
        </row>
        <row r="11">
          <cell r="G11">
            <v>5225272.7120000003</v>
          </cell>
          <cell r="J11">
            <v>1569484.551</v>
          </cell>
        </row>
        <row r="15">
          <cell r="F15">
            <v>2.4000655881066899E-2</v>
          </cell>
          <cell r="G15">
            <v>1.000434887601645E-2</v>
          </cell>
        </row>
        <row r="19">
          <cell r="M19">
            <v>97951.26400000001</v>
          </cell>
        </row>
        <row r="37">
          <cell r="M37">
            <v>67473.186999999991</v>
          </cell>
        </row>
        <row r="40">
          <cell r="M40">
            <v>4757.2489999999998</v>
          </cell>
        </row>
        <row r="41">
          <cell r="M41">
            <v>-64009.488000000638</v>
          </cell>
        </row>
      </sheetData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G10">
            <v>752238.01942182856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7">
          <cell r="N7">
            <v>8988</v>
          </cell>
        </row>
        <row r="10">
          <cell r="W10">
            <v>19434.821815109648</v>
          </cell>
          <cell r="X10">
            <v>14271</v>
          </cell>
        </row>
        <row r="14">
          <cell r="W14">
            <v>6692</v>
          </cell>
          <cell r="X14">
            <v>5797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20335.631599999997</v>
          </cell>
          <cell r="X13">
            <v>15612</v>
          </cell>
        </row>
        <row r="15">
          <cell r="W15">
            <v>19574</v>
          </cell>
          <cell r="X15">
            <v>1808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25547.301075268813</v>
          </cell>
          <cell r="G10">
            <v>18600</v>
          </cell>
        </row>
        <row r="12">
          <cell r="F12">
            <v>22964</v>
          </cell>
          <cell r="G12">
            <v>11840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85">
          <cell r="S85">
            <v>38160</v>
          </cell>
        </row>
        <row r="86">
          <cell r="S86">
            <v>21520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인천_안양대비"/>
    </sheetNames>
    <sheetDataSet>
      <sheetData sheetId="0">
        <row r="5">
          <cell r="O5">
            <v>2803125.38</v>
          </cell>
        </row>
        <row r="85">
          <cell r="Q85">
            <v>101094.32007448922</v>
          </cell>
          <cell r="R85">
            <v>98751.576501596952</v>
          </cell>
        </row>
        <row r="89">
          <cell r="Q89">
            <v>79660.151993779073</v>
          </cell>
          <cell r="R89">
            <v>80583.000590933269</v>
          </cell>
        </row>
      </sheetData>
      <sheetData sheetId="1">
        <row r="85">
          <cell r="Q85">
            <v>98580.623617397199</v>
          </cell>
          <cell r="R85">
            <v>96282.118865216209</v>
          </cell>
        </row>
        <row r="89">
          <cell r="Q89">
            <v>81080.865937408409</v>
          </cell>
          <cell r="R89">
            <v>81744.98424752758</v>
          </cell>
        </row>
      </sheetData>
      <sheetData sheetId="2">
        <row r="85">
          <cell r="Q85">
            <v>100554.06356817992</v>
          </cell>
          <cell r="R85">
            <v>99038.170718663561</v>
          </cell>
        </row>
        <row r="89">
          <cell r="Q89">
            <v>79085.204525197536</v>
          </cell>
          <cell r="R89">
            <v>79921.882737104126</v>
          </cell>
        </row>
      </sheetData>
      <sheetData sheetId="3"/>
      <sheetData sheetId="4">
        <row r="85">
          <cell r="Q85">
            <v>107126.95560875</v>
          </cell>
          <cell r="R85">
            <v>102518.54897138549</v>
          </cell>
        </row>
        <row r="89">
          <cell r="Q89">
            <v>78272.498505633848</v>
          </cell>
          <cell r="R89">
            <v>79993.581548720802</v>
          </cell>
        </row>
      </sheetData>
      <sheetData sheetId="5">
        <row r="2">
          <cell r="N2">
            <v>460000</v>
          </cell>
        </row>
        <row r="85">
          <cell r="Q85">
            <v>100000.26496956521</v>
          </cell>
          <cell r="R85">
            <v>96936.553820033951</v>
          </cell>
        </row>
        <row r="86">
          <cell r="H86">
            <v>4666836.9213121841</v>
          </cell>
          <cell r="I86">
            <v>2559856.6429999862</v>
          </cell>
        </row>
        <row r="89">
          <cell r="Q89">
            <v>81888.667004429022</v>
          </cell>
          <cell r="R89">
            <v>80323.369551484517</v>
          </cell>
        </row>
        <row r="92">
          <cell r="H92">
            <v>2209068.9713387433</v>
          </cell>
          <cell r="I92">
            <v>95736.317768862937</v>
          </cell>
        </row>
      </sheetData>
      <sheetData sheetId="6">
        <row r="2">
          <cell r="N2">
            <v>340000</v>
          </cell>
        </row>
        <row r="85">
          <cell r="Q85">
            <v>100050.95943301349</v>
          </cell>
          <cell r="R85">
            <v>97294.261391949753</v>
          </cell>
        </row>
        <row r="86">
          <cell r="H86">
            <v>2196559.6801327826</v>
          </cell>
          <cell r="I86">
            <v>111428.69701999414</v>
          </cell>
        </row>
        <row r="89">
          <cell r="Q89">
            <v>82988.014461764164</v>
          </cell>
          <cell r="R89">
            <v>85291.267240771354</v>
          </cell>
        </row>
        <row r="92">
          <cell r="H92">
            <v>396113.16963513847</v>
          </cell>
          <cell r="I92">
            <v>-2027584.9487601621</v>
          </cell>
        </row>
      </sheetData>
      <sheetData sheetId="7">
        <row r="2">
          <cell r="N2">
            <v>250000</v>
          </cell>
        </row>
        <row r="85">
          <cell r="Q85">
            <v>96400</v>
          </cell>
          <cell r="R85">
            <v>92823.297857336933</v>
          </cell>
        </row>
        <row r="86">
          <cell r="H86">
            <v>1246079.7276332653</v>
          </cell>
          <cell r="I86">
            <v>-546107.40799999668</v>
          </cell>
        </row>
        <row r="89">
          <cell r="Q89">
            <v>80251.610860217668</v>
          </cell>
          <cell r="R89">
            <v>79615.938744356332</v>
          </cell>
        </row>
        <row r="92">
          <cell r="H92">
            <v>-34880.022287920583</v>
          </cell>
          <cell r="I92">
            <v>-1519280.8207568708</v>
          </cell>
        </row>
      </sheetData>
      <sheetData sheetId="8">
        <row r="2">
          <cell r="N2">
            <v>170000</v>
          </cell>
        </row>
        <row r="85">
          <cell r="Q85">
            <v>95005.368941176479</v>
          </cell>
          <cell r="R85">
            <v>95854.400591598402</v>
          </cell>
        </row>
        <row r="86">
          <cell r="H86">
            <v>1105995.8637866664</v>
          </cell>
          <cell r="I86">
            <v>-65109.121999999683</v>
          </cell>
        </row>
        <row r="89">
          <cell r="Q89">
            <v>76300.24699733335</v>
          </cell>
          <cell r="R89">
            <v>79255.322461139818</v>
          </cell>
        </row>
        <row r="92">
          <cell r="H92">
            <v>254184.13112477376</v>
          </cell>
          <cell r="I92">
            <v>-853962.85268432135</v>
          </cell>
        </row>
      </sheetData>
      <sheetData sheetId="9">
        <row r="2">
          <cell r="N2">
            <v>240000</v>
          </cell>
        </row>
        <row r="85">
          <cell r="Q85">
            <v>107699.96841791667</v>
          </cell>
          <cell r="R85">
            <v>108027.01481154434</v>
          </cell>
        </row>
        <row r="86">
          <cell r="H86">
            <v>2244495.9228301374</v>
          </cell>
          <cell r="I86">
            <v>2270305.4960000054</v>
          </cell>
        </row>
        <row r="89">
          <cell r="Q89">
            <v>84994.315605026626</v>
          </cell>
          <cell r="R89">
            <v>85770.405811606601</v>
          </cell>
        </row>
        <row r="92">
          <cell r="H92">
            <v>832911.44923572312</v>
          </cell>
          <cell r="I92">
            <v>466653.06091461238</v>
          </cell>
        </row>
      </sheetData>
      <sheetData sheetId="10">
        <row r="2">
          <cell r="N2">
            <v>240000</v>
          </cell>
        </row>
        <row r="85">
          <cell r="Q85">
            <v>99299.937339916753</v>
          </cell>
          <cell r="R85">
            <v>99185.886508018913</v>
          </cell>
        </row>
        <row r="86">
          <cell r="H86">
            <v>2343076.7859189855</v>
          </cell>
          <cell r="I86">
            <v>1539934.6089999985</v>
          </cell>
        </row>
        <row r="89">
          <cell r="Q89">
            <v>78291.350493958002</v>
          </cell>
          <cell r="R89">
            <v>78925.363333569228</v>
          </cell>
        </row>
        <row r="92">
          <cell r="H92">
            <v>1050568.8069000631</v>
          </cell>
          <cell r="I92">
            <v>105351.85764138401</v>
          </cell>
        </row>
      </sheetData>
      <sheetData sheetId="11">
        <row r="2">
          <cell r="N2">
            <v>170000</v>
          </cell>
        </row>
        <row r="85">
          <cell r="Q85">
            <v>96299.858529411751</v>
          </cell>
          <cell r="R85">
            <v>90439.33769710151</v>
          </cell>
        </row>
        <row r="86">
          <cell r="H86">
            <v>1458303.6825061587</v>
          </cell>
          <cell r="I86">
            <v>-508928.71299999882</v>
          </cell>
        </row>
        <row r="89">
          <cell r="Q89">
            <v>76941.150092447409</v>
          </cell>
          <cell r="R89">
            <v>77593.352304571497</v>
          </cell>
        </row>
        <row r="92">
          <cell r="H92">
            <v>562671.72525819484</v>
          </cell>
          <cell r="I92">
            <v>-1123394.7399014756</v>
          </cell>
        </row>
      </sheetData>
      <sheetData sheetId="12">
        <row r="2">
          <cell r="N2">
            <v>230000</v>
          </cell>
        </row>
        <row r="85">
          <cell r="Q85">
            <v>101999.92810260871</v>
          </cell>
          <cell r="R85">
            <v>99436.151224890404</v>
          </cell>
        </row>
        <row r="86">
          <cell r="H86">
            <v>1986809.0105482053</v>
          </cell>
          <cell r="I86">
            <v>1811596.8020000053</v>
          </cell>
        </row>
        <row r="89">
          <cell r="Q89">
            <v>82244.312232592361</v>
          </cell>
          <cell r="R89">
            <v>82110.312212029923</v>
          </cell>
        </row>
        <row r="92">
          <cell r="H92">
            <v>699718.92455291469</v>
          </cell>
          <cell r="I92">
            <v>67514.54688522662</v>
          </cell>
        </row>
      </sheetData>
      <sheetData sheetId="13">
        <row r="2">
          <cell r="N2">
            <v>140000</v>
          </cell>
        </row>
        <row r="85">
          <cell r="Q85">
            <v>94432.507142857154</v>
          </cell>
          <cell r="R85">
            <v>92247.020435578612</v>
          </cell>
        </row>
        <row r="86">
          <cell r="H86">
            <v>1150751.9988666256</v>
          </cell>
          <cell r="I86">
            <v>-221930.98499999897</v>
          </cell>
        </row>
        <row r="89">
          <cell r="Q89">
            <v>73916.615255714583</v>
          </cell>
          <cell r="R89">
            <v>74391.617651254026</v>
          </cell>
        </row>
        <row r="92">
          <cell r="H92">
            <v>428524.20679066028</v>
          </cell>
          <cell r="I92">
            <v>-762505.78864237911</v>
          </cell>
        </row>
      </sheetData>
      <sheetData sheetId="14">
        <row r="2">
          <cell r="N2">
            <v>160000</v>
          </cell>
        </row>
        <row r="85">
          <cell r="Q85">
            <v>100699.7116365125</v>
          </cell>
          <cell r="R85">
            <v>95258.823762308079</v>
          </cell>
        </row>
        <row r="86">
          <cell r="H86">
            <v>1688460.7473858253</v>
          </cell>
          <cell r="I86">
            <v>385411.36400000117</v>
          </cell>
        </row>
        <row r="89">
          <cell r="Q89">
            <v>76055.399483201152</v>
          </cell>
          <cell r="R89">
            <v>73333.741661503518</v>
          </cell>
        </row>
        <row r="92">
          <cell r="H92">
            <v>831714.86191506137</v>
          </cell>
          <cell r="I92">
            <v>-379436.58076016937</v>
          </cell>
        </row>
      </sheetData>
      <sheetData sheetId="15">
        <row r="2">
          <cell r="N2">
            <v>145000</v>
          </cell>
        </row>
        <row r="85">
          <cell r="Q85">
            <v>97100.177847603176</v>
          </cell>
          <cell r="R85">
            <v>88134.91056985085</v>
          </cell>
        </row>
        <row r="86">
          <cell r="H86">
            <v>1302974.909834268</v>
          </cell>
          <cell r="I86">
            <v>-172182.43100000071</v>
          </cell>
        </row>
        <row r="89">
          <cell r="Q89">
            <v>73288.040056302591</v>
          </cell>
          <cell r="R89">
            <v>73003.184614329162</v>
          </cell>
        </row>
        <row r="92">
          <cell r="H92">
            <v>529972.85519609775</v>
          </cell>
          <cell r="I92">
            <v>-841869.07723171648</v>
          </cell>
        </row>
      </sheetData>
      <sheetData sheetId="16">
        <row r="2">
          <cell r="N2">
            <v>145000</v>
          </cell>
        </row>
        <row r="85">
          <cell r="Q85">
            <v>102700.04137931035</v>
          </cell>
          <cell r="R85">
            <v>104445.55140855194</v>
          </cell>
        </row>
        <row r="86">
          <cell r="H86">
            <v>1182518.9533401371</v>
          </cell>
          <cell r="I86">
            <v>1075632.7819999983</v>
          </cell>
        </row>
        <row r="89">
          <cell r="Q89">
            <v>82252.05239859072</v>
          </cell>
          <cell r="R89">
            <v>83402.285461730818</v>
          </cell>
        </row>
        <row r="92">
          <cell r="H92">
            <v>375055.23198723875</v>
          </cell>
          <cell r="I92">
            <v>113306.87493961537</v>
          </cell>
        </row>
      </sheetData>
      <sheetData sheetId="17">
        <row r="2">
          <cell r="N2">
            <v>270000</v>
          </cell>
        </row>
        <row r="85">
          <cell r="Q85">
            <v>103000</v>
          </cell>
          <cell r="R85">
            <v>97362.970211395295</v>
          </cell>
        </row>
        <row r="86">
          <cell r="H86">
            <v>3587520.4190494036</v>
          </cell>
          <cell r="I86">
            <v>1088726.5860000011</v>
          </cell>
        </row>
        <row r="89">
          <cell r="Q89">
            <v>78614.589551547644</v>
          </cell>
          <cell r="R89">
            <v>81568.641700822933</v>
          </cell>
        </row>
        <row r="92">
          <cell r="H92">
            <v>2172682.2341569746</v>
          </cell>
          <cell r="I92">
            <v>-520899.58937887987</v>
          </cell>
        </row>
      </sheetData>
      <sheetData sheetId="18">
        <row r="2">
          <cell r="N2">
            <v>130000</v>
          </cell>
        </row>
        <row r="85">
          <cell r="Q85">
            <v>98999.999281538447</v>
          </cell>
          <cell r="R85">
            <v>97840.744094462672</v>
          </cell>
        </row>
        <row r="86">
          <cell r="H86">
            <v>1511157.4307260609</v>
          </cell>
          <cell r="I86">
            <v>1437390.9389999993</v>
          </cell>
        </row>
        <row r="89">
          <cell r="Q89">
            <v>73277.628130654237</v>
          </cell>
          <cell r="R89">
            <v>76219.706700060182</v>
          </cell>
        </row>
        <row r="92">
          <cell r="H92">
            <v>854747.93086863263</v>
          </cell>
          <cell r="I92">
            <v>460047.74937819131</v>
          </cell>
        </row>
      </sheetData>
      <sheetData sheetId="19">
        <row r="2">
          <cell r="N2">
            <v>85000</v>
          </cell>
        </row>
        <row r="85">
          <cell r="Q85">
            <v>110999.60215294118</v>
          </cell>
          <cell r="R85">
            <v>110208.55999280121</v>
          </cell>
        </row>
        <row r="86">
          <cell r="H86">
            <v>2246823.0330787799</v>
          </cell>
          <cell r="I86">
            <v>1077326.0979999979</v>
          </cell>
        </row>
        <row r="89">
          <cell r="Q89">
            <v>72788.19988926925</v>
          </cell>
          <cell r="R89">
            <v>72571.115096003297</v>
          </cell>
        </row>
        <row r="92">
          <cell r="H92">
            <v>1767493.3342005531</v>
          </cell>
          <cell r="I92">
            <v>675376.04782760423</v>
          </cell>
        </row>
      </sheetData>
      <sheetData sheetId="20">
        <row r="2">
          <cell r="N2">
            <v>55000</v>
          </cell>
        </row>
        <row r="85">
          <cell r="Q85">
            <v>112000</v>
          </cell>
          <cell r="R85">
            <v>110992.74834370174</v>
          </cell>
        </row>
        <row r="86">
          <cell r="H86">
            <v>1009379.6795528963</v>
          </cell>
          <cell r="I86">
            <v>227561.59500000026</v>
          </cell>
        </row>
        <row r="89">
          <cell r="Q89">
            <v>73468.292634288708</v>
          </cell>
          <cell r="R89">
            <v>73196.399416867527</v>
          </cell>
        </row>
        <row r="92">
          <cell r="H92">
            <v>695347.95344412641</v>
          </cell>
          <cell r="I92">
            <v>-32012.26175332116</v>
          </cell>
        </row>
      </sheetData>
      <sheetData sheetId="21">
        <row r="2">
          <cell r="N2">
            <v>100000</v>
          </cell>
        </row>
        <row r="85">
          <cell r="Q85">
            <v>122862.855</v>
          </cell>
          <cell r="R85">
            <v>123796.87130595885</v>
          </cell>
        </row>
        <row r="86">
          <cell r="H86">
            <v>2003843.1792197451</v>
          </cell>
          <cell r="I86">
            <v>705238.31400000234</v>
          </cell>
        </row>
        <row r="89">
          <cell r="Q89">
            <v>91146.151222289744</v>
          </cell>
          <cell r="R89">
            <v>93667.738953750348</v>
          </cell>
        </row>
        <row r="92">
          <cell r="H92">
            <v>1369050.4383588473</v>
          </cell>
          <cell r="I92">
            <v>189541.13622826023</v>
          </cell>
        </row>
      </sheetData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100523.03337334946</v>
          </cell>
        </row>
        <row r="89">
          <cell r="Q89">
            <v>79276.382673567117</v>
          </cell>
        </row>
      </sheetData>
      <sheetData sheetId="1">
        <row r="85">
          <cell r="Q85">
            <v>98175.05222356382</v>
          </cell>
        </row>
        <row r="89">
          <cell r="Q89">
            <v>81236.793882205311</v>
          </cell>
        </row>
      </sheetData>
      <sheetData sheetId="2">
        <row r="85">
          <cell r="Q85">
            <v>100664.51082845427</v>
          </cell>
        </row>
        <row r="89">
          <cell r="Q89">
            <v>78859.643032026695</v>
          </cell>
        </row>
      </sheetData>
      <sheetData sheetId="3" refreshError="1"/>
      <sheetData sheetId="4" refreshError="1"/>
      <sheetData sheetId="5">
        <row r="85">
          <cell r="Q85">
            <v>104665.49395355821</v>
          </cell>
        </row>
        <row r="89">
          <cell r="Q89">
            <v>76562.819182250692</v>
          </cell>
        </row>
      </sheetData>
      <sheetData sheetId="6">
        <row r="85">
          <cell r="Q85">
            <v>98828.586406819421</v>
          </cell>
        </row>
        <row r="86">
          <cell r="H86">
            <v>3848954.4989999882</v>
          </cell>
        </row>
        <row r="89">
          <cell r="Q89">
            <v>81804.461806674546</v>
          </cell>
        </row>
        <row r="92">
          <cell r="H92">
            <v>1592672.7337865778</v>
          </cell>
        </row>
      </sheetData>
      <sheetData sheetId="7">
        <row r="85">
          <cell r="Q85">
            <v>99370.183978313027</v>
          </cell>
        </row>
        <row r="86">
          <cell r="H86">
            <v>1685157.1020100056</v>
          </cell>
        </row>
        <row r="89">
          <cell r="Q89">
            <v>83063.771691492002</v>
          </cell>
        </row>
        <row r="92">
          <cell r="H92">
            <v>8156.2106104609556</v>
          </cell>
        </row>
      </sheetData>
      <sheetData sheetId="8">
        <row r="85">
          <cell r="Q85">
            <v>96350.004097686557</v>
          </cell>
        </row>
        <row r="86">
          <cell r="H86">
            <v>1613361.946999996</v>
          </cell>
        </row>
        <row r="89">
          <cell r="Q89">
            <v>80693.654991312302</v>
          </cell>
        </row>
        <row r="92">
          <cell r="H92">
            <v>217971.6932157469</v>
          </cell>
        </row>
      </sheetData>
      <sheetData sheetId="9">
        <row r="85">
          <cell r="Q85">
            <v>96982.545526337664</v>
          </cell>
        </row>
        <row r="86">
          <cell r="H86">
            <v>988383.96000000089</v>
          </cell>
        </row>
        <row r="89">
          <cell r="Q89">
            <v>76390.145436038045</v>
          </cell>
        </row>
        <row r="92">
          <cell r="H92">
            <v>282328.25617087248</v>
          </cell>
        </row>
      </sheetData>
      <sheetData sheetId="10">
        <row r="85">
          <cell r="Q85">
            <v>108365.05203004688</v>
          </cell>
        </row>
        <row r="86">
          <cell r="H86">
            <v>2318268.407999997</v>
          </cell>
        </row>
        <row r="89">
          <cell r="Q89">
            <v>84633.087474035186</v>
          </cell>
        </row>
        <row r="92">
          <cell r="H92">
            <v>1006967.098748961</v>
          </cell>
        </row>
      </sheetData>
      <sheetData sheetId="11">
        <row r="85">
          <cell r="Q85">
            <v>99839.194770440154</v>
          </cell>
        </row>
        <row r="86">
          <cell r="H86">
            <v>2578572.1959999986</v>
          </cell>
        </row>
        <row r="89">
          <cell r="Q89">
            <v>78610.501796370387</v>
          </cell>
        </row>
        <row r="92">
          <cell r="H92">
            <v>1254813.7289116103</v>
          </cell>
        </row>
      </sheetData>
      <sheetData sheetId="12">
        <row r="85">
          <cell r="Q85">
            <v>95215.142526545911</v>
          </cell>
        </row>
        <row r="86">
          <cell r="H86">
            <v>746294.03399999812</v>
          </cell>
        </row>
        <row r="89">
          <cell r="Q89">
            <v>78787.119126304809</v>
          </cell>
        </row>
        <row r="92">
          <cell r="H92">
            <v>-37138.406381738838</v>
          </cell>
        </row>
      </sheetData>
      <sheetData sheetId="13">
        <row r="85">
          <cell r="Q85">
            <v>101286.59650254018</v>
          </cell>
        </row>
        <row r="86">
          <cell r="H86">
            <v>1985471.8679999984</v>
          </cell>
        </row>
        <row r="89">
          <cell r="Q89">
            <v>82252.165580415909</v>
          </cell>
        </row>
        <row r="92">
          <cell r="H92">
            <v>725001.90006815991</v>
          </cell>
        </row>
      </sheetData>
      <sheetData sheetId="14">
        <row r="85">
          <cell r="Q85">
            <v>93365.845362575827</v>
          </cell>
        </row>
        <row r="86">
          <cell r="H86">
            <v>1156037.5940000005</v>
          </cell>
        </row>
        <row r="89">
          <cell r="Q89">
            <v>73601.938359421707</v>
          </cell>
        </row>
        <row r="92">
          <cell r="H92">
            <v>443313.51375884935</v>
          </cell>
        </row>
      </sheetData>
      <sheetData sheetId="15">
        <row r="85">
          <cell r="Q85">
            <v>100706.69747781471</v>
          </cell>
        </row>
        <row r="86">
          <cell r="H86">
            <v>2645614.0320000015</v>
          </cell>
        </row>
        <row r="89">
          <cell r="Q89">
            <v>75043.235931424846</v>
          </cell>
        </row>
        <row r="92">
          <cell r="H92">
            <v>1610084.9907629644</v>
          </cell>
        </row>
      </sheetData>
      <sheetData sheetId="16">
        <row r="85">
          <cell r="Q85">
            <v>99399.55123131971</v>
          </cell>
        </row>
        <row r="86">
          <cell r="H86">
            <v>2551500.7159999986</v>
          </cell>
        </row>
        <row r="89">
          <cell r="Q89">
            <v>74512.501912362743</v>
          </cell>
        </row>
        <row r="92">
          <cell r="H92">
            <v>1558089.2819160428</v>
          </cell>
        </row>
      </sheetData>
      <sheetData sheetId="17">
        <row r="85">
          <cell r="Q85">
            <v>103784.79314224406</v>
          </cell>
        </row>
        <row r="86">
          <cell r="H86">
            <v>1432413.8080000007</v>
          </cell>
        </row>
        <row r="89">
          <cell r="Q89">
            <v>80835.204382986311</v>
          </cell>
        </row>
        <row r="92">
          <cell r="H92">
            <v>687880.07162252918</v>
          </cell>
        </row>
      </sheetData>
      <sheetData sheetId="18">
        <row r="85">
          <cell r="Q85">
            <v>100779.83968661874</v>
          </cell>
        </row>
        <row r="86">
          <cell r="H86">
            <v>4186687.3590000006</v>
          </cell>
        </row>
        <row r="89">
          <cell r="Q89">
            <v>77860.034638823228</v>
          </cell>
        </row>
        <row r="92">
          <cell r="H92">
            <v>2612180.4490654035</v>
          </cell>
        </row>
      </sheetData>
      <sheetData sheetId="19">
        <row r="85">
          <cell r="Q85">
            <v>112465.39639709533</v>
          </cell>
        </row>
        <row r="86">
          <cell r="H86">
            <v>1368521.9359999998</v>
          </cell>
        </row>
        <row r="89">
          <cell r="Q89">
            <v>74063.850592725925</v>
          </cell>
        </row>
        <row r="92">
          <cell r="H92">
            <v>1013334.8093276308</v>
          </cell>
        </row>
      </sheetData>
      <sheetData sheetId="20">
        <row r="85">
          <cell r="Q85">
            <v>112375.8608909858</v>
          </cell>
        </row>
        <row r="86">
          <cell r="H86">
            <v>2923968.4300000025</v>
          </cell>
        </row>
        <row r="89">
          <cell r="Q89">
            <v>72449.183857095588</v>
          </cell>
        </row>
        <row r="92">
          <cell r="H92">
            <v>2379640.3300245903</v>
          </cell>
        </row>
      </sheetData>
      <sheetData sheetId="21">
        <row r="85">
          <cell r="Q85">
            <v>96550.172800765358</v>
          </cell>
        </row>
        <row r="86">
          <cell r="H86">
            <v>640017.00499999966</v>
          </cell>
        </row>
        <row r="89">
          <cell r="Q89">
            <v>72741.123442386233</v>
          </cell>
        </row>
        <row r="92">
          <cell r="H92">
            <v>143440.46078773297</v>
          </cell>
        </row>
      </sheetData>
      <sheetData sheetId="22">
        <row r="85">
          <cell r="Q85">
            <v>123624.44103828441</v>
          </cell>
        </row>
        <row r="86">
          <cell r="H86">
            <v>368059.02499999892</v>
          </cell>
        </row>
        <row r="89">
          <cell r="Q89">
            <v>89420.48065664235</v>
          </cell>
        </row>
        <row r="92">
          <cell r="H92">
            <v>95067.341844691779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/>
      <sheetData sheetId="2"/>
      <sheetData sheetId="3"/>
      <sheetData sheetId="4">
        <row r="4"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워BI용"/>
      <sheetName val="표지"/>
      <sheetName val="손익총괄"/>
      <sheetName val="레미콘 영업이익"/>
      <sheetName val="사업장별(당월)"/>
      <sheetName val="사업장별(누계)"/>
      <sheetName val="사업장별(당월)_건자재제외"/>
      <sheetName val="사업장별(누계)_건자재제외"/>
      <sheetName val="영업이익"/>
      <sheetName val="공헌이익"/>
      <sheetName val="재료비단가"/>
      <sheetName val="원단위"/>
      <sheetName val="건자재"/>
    </sheetNames>
    <sheetDataSet>
      <sheetData sheetId="0"/>
      <sheetData sheetId="1"/>
      <sheetData sheetId="2">
        <row r="7">
          <cell r="E7">
            <v>310.5</v>
          </cell>
        </row>
      </sheetData>
      <sheetData sheetId="3"/>
      <sheetData sheetId="4"/>
      <sheetData sheetId="5"/>
      <sheetData sheetId="6">
        <row r="27">
          <cell r="T27">
            <v>3809.6671205737885</v>
          </cell>
        </row>
      </sheetData>
      <sheetData sheetId="7">
        <row r="27">
          <cell r="T27">
            <v>29340.043987793419</v>
          </cell>
        </row>
      </sheetData>
      <sheetData sheetId="8"/>
      <sheetData sheetId="9"/>
      <sheetData sheetId="10"/>
      <sheetData sheetId="11"/>
      <sheetData sheetId="12">
        <row r="10">
          <cell r="K10">
            <v>124500</v>
          </cell>
          <cell r="L10">
            <v>100870.89200000001</v>
          </cell>
          <cell r="N10">
            <v>97161.153999999995</v>
          </cell>
        </row>
        <row r="12">
          <cell r="K12">
            <v>108675000</v>
          </cell>
          <cell r="L12">
            <v>77830976.287</v>
          </cell>
          <cell r="N12">
            <v>80707824.094000012</v>
          </cell>
        </row>
        <row r="13">
          <cell r="K13">
            <v>27221396.364800006</v>
          </cell>
          <cell r="L13">
            <v>14449240.365999999</v>
          </cell>
          <cell r="N13">
            <v>15846121.252999997</v>
          </cell>
        </row>
        <row r="15">
          <cell r="K15">
            <v>106066792.5</v>
          </cell>
          <cell r="L15">
            <v>76624009.571999982</v>
          </cell>
          <cell r="N15">
            <v>78959982.625</v>
          </cell>
        </row>
        <row r="16">
          <cell r="K16">
            <v>26160932.426616486</v>
          </cell>
          <cell r="L16">
            <v>14049080.330000002</v>
          </cell>
          <cell r="N16">
            <v>15432946.505000003</v>
          </cell>
        </row>
        <row r="24">
          <cell r="K24">
            <v>976817.17000000027</v>
          </cell>
          <cell r="L24">
            <v>1050100.6640000001</v>
          </cell>
          <cell r="N24">
            <v>994228.78599999996</v>
          </cell>
        </row>
        <row r="25">
          <cell r="K25">
            <v>428729.35800000007</v>
          </cell>
          <cell r="L25">
            <v>610784.67499999993</v>
          </cell>
          <cell r="N25">
            <v>564927.08299999998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2EE-16A8-48EB-8DBA-88364615F2BE}">
  <sheetPr>
    <tabColor theme="1" tint="0.34998626667073579"/>
  </sheetPr>
  <dimension ref="B2:J14"/>
  <sheetViews>
    <sheetView showGridLines="0" zoomScale="85" zoomScaleNormal="85" workbookViewId="0"/>
  </sheetViews>
  <sheetFormatPr defaultRowHeight="16.5" x14ac:dyDescent="0.3"/>
  <cols>
    <col min="2" max="3" width="12.75" customWidth="1"/>
    <col min="4" max="8" width="19.875" customWidth="1"/>
  </cols>
  <sheetData>
    <row r="2" spans="2:10" ht="26.25" customHeight="1" x14ac:dyDescent="0.3">
      <c r="B2" s="628" t="s">
        <v>11</v>
      </c>
      <c r="C2" s="629"/>
      <c r="D2" s="570" t="s">
        <v>36</v>
      </c>
      <c r="E2" s="571" t="s">
        <v>37</v>
      </c>
      <c r="F2" s="613" t="s">
        <v>38</v>
      </c>
      <c r="G2" s="571" t="s">
        <v>39</v>
      </c>
      <c r="H2" s="570" t="s">
        <v>38</v>
      </c>
      <c r="J2" s="569" t="s">
        <v>202</v>
      </c>
    </row>
    <row r="3" spans="2:10" ht="26.25" customHeight="1" x14ac:dyDescent="0.3">
      <c r="B3" s="623" t="s">
        <v>89</v>
      </c>
      <c r="C3" s="572" t="s">
        <v>40</v>
      </c>
      <c r="D3" s="573">
        <f>+'사업장별(누계)_건자재제외'!$J$27</f>
        <v>3330</v>
      </c>
      <c r="E3" s="575">
        <f>+'사업장별(누계)_건자재제외'!$K$27</f>
        <v>2806.3473800000002</v>
      </c>
      <c r="F3" s="588">
        <f>+E3/D3</f>
        <v>0.84274696096096102</v>
      </c>
      <c r="G3" s="575">
        <f>+'사업장별(누계)_건자재제외'!$M$27</f>
        <v>3378.2280000000001</v>
      </c>
      <c r="H3" s="590">
        <f>+E3/G3</f>
        <v>0.8307158013017476</v>
      </c>
    </row>
    <row r="4" spans="2:10" ht="26.25" customHeight="1" x14ac:dyDescent="0.3">
      <c r="B4" s="624"/>
      <c r="C4" s="576" t="s">
        <v>1</v>
      </c>
      <c r="D4" s="577">
        <f>+'사업장별(누계)_건자재제외'!$J$31</f>
        <v>1199.9997921875704</v>
      </c>
      <c r="E4" s="579">
        <f>+'사업장별(누계)_건자재제외'!$K$31</f>
        <v>786.93399999999997</v>
      </c>
      <c r="F4" s="589">
        <f>+E4/D4</f>
        <v>0.65577844689909359</v>
      </c>
      <c r="G4" s="579">
        <f>+'사업장별(누계)_건자재제외'!$M$31</f>
        <v>840.1110000000001</v>
      </c>
      <c r="H4" s="591">
        <f>+E4/G4</f>
        <v>0.9367024119431836</v>
      </c>
    </row>
    <row r="5" spans="2:10" ht="26.25" customHeight="1" x14ac:dyDescent="0.3">
      <c r="B5" s="625" t="s">
        <v>169</v>
      </c>
      <c r="C5" s="572" t="s">
        <v>40</v>
      </c>
      <c r="D5" s="573">
        <f>+'사업장별(누계)_건자재제외'!$O$27</f>
        <v>336644.08584804903</v>
      </c>
      <c r="E5" s="575">
        <f>+'사업장별(누계)_건자재제외'!$P$27</f>
        <v>277105.914797</v>
      </c>
      <c r="F5" s="574">
        <f t="shared" ref="F5:F14" si="0">+E5-D5</f>
        <v>-59538.171051049023</v>
      </c>
      <c r="G5" s="575">
        <f>+'사업장별(누계)_건자재제외'!$R$27</f>
        <v>339565.23887300002</v>
      </c>
      <c r="H5" s="573">
        <f t="shared" ref="H5:H13" si="1">+E5-G5</f>
        <v>-62459.324076000019</v>
      </c>
    </row>
    <row r="6" spans="2:10" ht="26.25" customHeight="1" x14ac:dyDescent="0.3">
      <c r="B6" s="626"/>
      <c r="C6" s="580" t="s">
        <v>1</v>
      </c>
      <c r="D6" s="581">
        <f>+'사업장별(누계)_건자재제외'!$O$31</f>
        <v>22083.99997002977</v>
      </c>
      <c r="E6" s="583">
        <f>+'사업장별(누계)_건자재제외'!$P$31</f>
        <v>16060.282953000002</v>
      </c>
      <c r="F6" s="582">
        <f t="shared" si="0"/>
        <v>-6023.7170170297686</v>
      </c>
      <c r="G6" s="583">
        <f>+'사업장별(누계)'!$R$32</f>
        <v>17070.144080000002</v>
      </c>
      <c r="H6" s="581">
        <f t="shared" si="1"/>
        <v>-1009.8611270000001</v>
      </c>
    </row>
    <row r="7" spans="2:10" ht="26.25" customHeight="1" x14ac:dyDescent="0.3">
      <c r="B7" s="626"/>
      <c r="C7" s="576" t="s">
        <v>4</v>
      </c>
      <c r="D7" s="577">
        <f>+D8-D5-D6</f>
        <v>1784.5579999999973</v>
      </c>
      <c r="E7" s="579">
        <f>+E8-E5-E6</f>
        <v>1542.9351509999688</v>
      </c>
      <c r="F7" s="578">
        <f t="shared" si="0"/>
        <v>-241.62284900002851</v>
      </c>
      <c r="G7" s="579">
        <f>+G8-G5-G6</f>
        <v>1986.9073199999948</v>
      </c>
      <c r="H7" s="577">
        <f t="shared" si="1"/>
        <v>-443.97216900002604</v>
      </c>
    </row>
    <row r="8" spans="2:10" ht="26.25" customHeight="1" x14ac:dyDescent="0.3">
      <c r="B8" s="627"/>
      <c r="C8" s="584" t="s">
        <v>8</v>
      </c>
      <c r="D8" s="585">
        <f>+'사업장별(누계)_건자재제외'!$O$42</f>
        <v>360512.6438180788</v>
      </c>
      <c r="E8" s="587">
        <f>+'사업장별(누계)_건자재제외'!$P$42</f>
        <v>294709.13290099998</v>
      </c>
      <c r="F8" s="586">
        <f t="shared" si="0"/>
        <v>-65803.51091707882</v>
      </c>
      <c r="G8" s="587">
        <f>+'사업장별(누계)_건자재제외'!$R$42</f>
        <v>358622.29027300002</v>
      </c>
      <c r="H8" s="585">
        <f t="shared" si="1"/>
        <v>-63913.157372000045</v>
      </c>
    </row>
    <row r="9" spans="2:10" ht="26.25" customHeight="1" x14ac:dyDescent="0.3">
      <c r="B9" s="625" t="s">
        <v>7</v>
      </c>
      <c r="C9" s="572" t="s">
        <v>40</v>
      </c>
      <c r="D9" s="573">
        <f>+('사업장별(누계)_건자재제외'!$T$27+'사업장별(누계)_건자재제외'!$T$34)</f>
        <v>14994.946202675819</v>
      </c>
      <c r="E9" s="575">
        <f>+'사업장별(누계)_건자재제외'!$U$27+'사업장별(누계)_건자재제외'!$U$34</f>
        <v>-5887.4190682855333</v>
      </c>
      <c r="F9" s="574">
        <f t="shared" si="0"/>
        <v>-20882.365270961353</v>
      </c>
      <c r="G9" s="575">
        <f>+'사업장별(누계)_건자재제외'!$W$27+'사업장별(누계)_건자재제외'!$W$34</f>
        <v>15593.804464241104</v>
      </c>
      <c r="H9" s="573">
        <f t="shared" si="1"/>
        <v>-21481.223532526637</v>
      </c>
    </row>
    <row r="10" spans="2:10" ht="26.25" customHeight="1" x14ac:dyDescent="0.3">
      <c r="B10" s="626"/>
      <c r="C10" s="580" t="s">
        <v>203</v>
      </c>
      <c r="D10" s="592">
        <f>+D9/D5</f>
        <v>4.4542431704693859E-2</v>
      </c>
      <c r="E10" s="594">
        <f>+E9/E5</f>
        <v>-2.1246096722975005E-2</v>
      </c>
      <c r="F10" s="593">
        <f t="shared" si="0"/>
        <v>-6.5788528427668858E-2</v>
      </c>
      <c r="G10" s="594">
        <f>+G9/G5</f>
        <v>4.5922852751348039E-2</v>
      </c>
      <c r="H10" s="592">
        <f>+E10-G10</f>
        <v>-6.7168949474323045E-2</v>
      </c>
    </row>
    <row r="11" spans="2:10" ht="26.25" customHeight="1" x14ac:dyDescent="0.3">
      <c r="B11" s="626"/>
      <c r="C11" s="580" t="s">
        <v>1</v>
      </c>
      <c r="D11" s="581">
        <f>+'사업장별(누계)_건자재제외'!$T$31</f>
        <v>2217.2575324794525</v>
      </c>
      <c r="E11" s="583">
        <f>+'사업장별(누계)_건자재제외'!$U$31</f>
        <v>-1335.4722897445779</v>
      </c>
      <c r="F11" s="582">
        <f t="shared" si="0"/>
        <v>-3552.7298222240306</v>
      </c>
      <c r="G11" s="583">
        <f>+'사업장별(누계)_건자재제외'!$W$31</f>
        <v>-761.30637423057624</v>
      </c>
      <c r="H11" s="581">
        <f t="shared" si="1"/>
        <v>-574.16591551400165</v>
      </c>
    </row>
    <row r="12" spans="2:10" ht="26.25" customHeight="1" x14ac:dyDescent="0.3">
      <c r="B12" s="626"/>
      <c r="C12" s="576" t="s">
        <v>4</v>
      </c>
      <c r="D12" s="577">
        <f>+D13-D9-D11</f>
        <v>267.91490199990949</v>
      </c>
      <c r="E12" s="579">
        <f>+E13-E9-E11</f>
        <v>-425.2435679100447</v>
      </c>
      <c r="F12" s="578">
        <f t="shared" si="0"/>
        <v>-693.15846990995419</v>
      </c>
      <c r="G12" s="579">
        <f>+G13-G9-G11</f>
        <v>1984.495097999888</v>
      </c>
      <c r="H12" s="577">
        <f t="shared" si="1"/>
        <v>-2409.7386659099329</v>
      </c>
    </row>
    <row r="13" spans="2:10" ht="26.25" customHeight="1" x14ac:dyDescent="0.3">
      <c r="B13" s="626"/>
      <c r="C13" s="612" t="s">
        <v>8</v>
      </c>
      <c r="D13" s="573">
        <f>+'사업장별(누계)_건자재제외'!$T$42</f>
        <v>17480.118637155181</v>
      </c>
      <c r="E13" s="575">
        <f>+'사업장별(누계)_건자재제외'!$U$42</f>
        <v>-7648.1349259401559</v>
      </c>
      <c r="F13" s="574">
        <f t="shared" si="0"/>
        <v>-25128.253563095335</v>
      </c>
      <c r="G13" s="575">
        <f>+'사업장별(누계)_건자재제외'!$W$42</f>
        <v>16816.993188010416</v>
      </c>
      <c r="H13" s="573">
        <f t="shared" si="1"/>
        <v>-24465.128113950574</v>
      </c>
    </row>
    <row r="14" spans="2:10" ht="25.5" x14ac:dyDescent="0.3">
      <c r="B14" s="595"/>
      <c r="C14" s="596"/>
      <c r="D14" s="597">
        <f>+D13/D8</f>
        <v>4.8486839329762776E-2</v>
      </c>
      <c r="E14" s="599">
        <f>+E13/E8</f>
        <v>-2.5951468998109916E-2</v>
      </c>
      <c r="F14" s="598">
        <f t="shared" si="0"/>
        <v>-7.4438308327872696E-2</v>
      </c>
      <c r="G14" s="599">
        <f>+G13/G8</f>
        <v>4.6893329400156739E-2</v>
      </c>
      <c r="H14" s="597">
        <f>+E14-G14</f>
        <v>-7.2844798398266658E-2</v>
      </c>
    </row>
  </sheetData>
  <mergeCells count="4">
    <mergeCell ref="B3:B4"/>
    <mergeCell ref="B5:B8"/>
    <mergeCell ref="B9:B13"/>
    <mergeCell ref="B2:C2"/>
  </mergeCells>
  <phoneticPr fontId="1" type="noConversion"/>
  <pageMargins left="0.7" right="0.7" top="0.75" bottom="0.75" header="0.3" footer="0.3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/>
  </sheetViews>
  <sheetFormatPr defaultRowHeight="16.5" x14ac:dyDescent="0.3"/>
  <cols>
    <col min="13" max="13" width="15.75" customWidth="1"/>
  </cols>
  <sheetData>
    <row r="6" spans="1:13" x14ac:dyDescent="0.3">
      <c r="A6" s="630" t="s">
        <v>208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</row>
    <row r="7" spans="1:13" x14ac:dyDescent="0.3">
      <c r="A7" s="631"/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</row>
    <row r="8" spans="1:13" x14ac:dyDescent="0.3">
      <c r="A8" s="631"/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</row>
    <row r="9" spans="1:13" x14ac:dyDescent="0.3">
      <c r="A9" s="631"/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</row>
    <row r="10" spans="1:13" x14ac:dyDescent="0.3">
      <c r="A10" s="631"/>
      <c r="B10" s="631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</row>
    <row r="11" spans="1:13" x14ac:dyDescent="0.3">
      <c r="A11" s="631"/>
      <c r="B11" s="631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</row>
    <row r="12" spans="1:13" x14ac:dyDescent="0.3">
      <c r="A12" s="631"/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</row>
    <row r="13" spans="1:13" x14ac:dyDescent="0.3">
      <c r="A13" s="631"/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1"/>
    </row>
    <row r="14" spans="1:13" x14ac:dyDescent="0.3">
      <c r="A14" s="631"/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1"/>
    </row>
    <row r="24" spans="1:13" x14ac:dyDescent="0.3">
      <c r="A24" s="632" t="s">
        <v>99</v>
      </c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</row>
    <row r="25" spans="1:13" x14ac:dyDescent="0.3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85" workbookViewId="0"/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209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635" t="s">
        <v>61</v>
      </c>
      <c r="D5" s="636"/>
      <c r="E5" s="120" t="s">
        <v>210</v>
      </c>
      <c r="F5" s="121"/>
      <c r="G5" s="121"/>
      <c r="H5" s="121"/>
      <c r="I5" s="122"/>
      <c r="J5" s="121" t="s">
        <v>211</v>
      </c>
      <c r="K5" s="121"/>
      <c r="L5" s="121"/>
      <c r="M5" s="121"/>
      <c r="N5" s="122"/>
      <c r="O5" s="123"/>
      <c r="P5" s="635" t="s">
        <v>212</v>
      </c>
      <c r="Q5" s="636"/>
      <c r="R5" s="636"/>
      <c r="S5" s="636"/>
      <c r="T5" s="636"/>
      <c r="U5" s="636"/>
      <c r="V5" s="636"/>
      <c r="W5" s="636"/>
      <c r="X5" s="639"/>
    </row>
    <row r="6" spans="1:25" ht="27" customHeight="1" thickTop="1" x14ac:dyDescent="0.3">
      <c r="C6" s="637"/>
      <c r="D6" s="638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637"/>
      <c r="Q6" s="638"/>
      <c r="R6" s="638"/>
      <c r="S6" s="638"/>
      <c r="T6" s="638"/>
      <c r="U6" s="638"/>
      <c r="V6" s="638"/>
      <c r="W6" s="638"/>
      <c r="X6" s="640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+'[1]12월'!$Z$7/1000</f>
        <v>305</v>
      </c>
      <c r="F7" s="321">
        <f>+'[2]12월'!$Z$7/1000</f>
        <v>228.56005999999999</v>
      </c>
      <c r="G7" s="296">
        <f>+F7-E7</f>
        <v>-76.439940000000007</v>
      </c>
      <c r="H7" s="297">
        <f>+'[3]12월'!$Z$7/1000</f>
        <v>272.28899999999999</v>
      </c>
      <c r="I7" s="298">
        <f>+F7-H7</f>
        <v>-43.728939999999994</v>
      </c>
      <c r="J7" s="320">
        <f>+'[1]12월누계'!$Z$7/1000</f>
        <v>3330</v>
      </c>
      <c r="K7" s="321">
        <f>+'[2]12월누계'!$Z$7/1000</f>
        <v>2806.3473799999997</v>
      </c>
      <c r="L7" s="296">
        <f t="shared" ref="L7:L36" si="0">+K7-J7</f>
        <v>-523.6526200000003</v>
      </c>
      <c r="M7" s="297">
        <f>+'[3]12월누계'!$Z$7/1000</f>
        <v>3378.2280000000001</v>
      </c>
      <c r="N7" s="298">
        <f t="shared" ref="N7:N36" si="1">+K7-M7</f>
        <v>-571.88062000000036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+'[1]12월'!$AA$7</f>
        <v>13100</v>
      </c>
      <c r="F8" s="323">
        <f>+'[2]12월'!$AO$7</f>
        <v>7354.4539999999997</v>
      </c>
      <c r="G8" s="299">
        <f>+F8-E8</f>
        <v>-5745.5460000000003</v>
      </c>
      <c r="H8" s="300">
        <f>+'[3]12월'!$AO$7</f>
        <v>8003.0569999999998</v>
      </c>
      <c r="I8" s="301">
        <f>+F8-H8</f>
        <v>-648.60300000000007</v>
      </c>
      <c r="J8" s="322">
        <f>+'[1]12월누계'!$AA$7</f>
        <v>137600</v>
      </c>
      <c r="K8" s="323">
        <f>+'[2]12월누계'!$AO$7</f>
        <v>108225.34600000001</v>
      </c>
      <c r="L8" s="299">
        <f t="shared" si="0"/>
        <v>-29374.653999999995</v>
      </c>
      <c r="M8" s="300">
        <f>+'[3]12월누계'!$AO$7</f>
        <v>105164.211</v>
      </c>
      <c r="N8" s="301">
        <f t="shared" si="1"/>
        <v>3061.1350000000093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+'[1]12월'!$AE$7/1000</f>
        <v>114.54775449037845</v>
      </c>
      <c r="F9" s="323">
        <f>+'[2]12월'!$AN$7/1000</f>
        <v>67.927999999999997</v>
      </c>
      <c r="G9" s="299">
        <f t="shared" ref="G9:G36" si="2">+F9-E9</f>
        <v>-46.619754490378455</v>
      </c>
      <c r="H9" s="300">
        <f>+'[3]12월'!$AN$7/1000</f>
        <v>59.68</v>
      </c>
      <c r="I9" s="301">
        <f t="shared" ref="I9:I36" si="3">+F9-H9</f>
        <v>8.2479999999999976</v>
      </c>
      <c r="J9" s="322">
        <f>+'[1]12월누계'!$AE$7/1000</f>
        <v>1199.9997921875704</v>
      </c>
      <c r="K9" s="323">
        <f>+'[2]12월누계'!$AN$7/1000</f>
        <v>786.93399999999997</v>
      </c>
      <c r="L9" s="299">
        <f t="shared" si="0"/>
        <v>-413.06579218757042</v>
      </c>
      <c r="M9" s="300">
        <f>+'[3]12월누계'!$AN$7/1000</f>
        <v>840.11099999999999</v>
      </c>
      <c r="N9" s="301">
        <f t="shared" si="1"/>
        <v>-53.177000000000021</v>
      </c>
      <c r="O9" s="87"/>
      <c r="P9" s="90"/>
      <c r="Q9" s="94" t="s">
        <v>51</v>
      </c>
      <c r="R9" s="178" t="s">
        <v>16</v>
      </c>
      <c r="S9" s="191">
        <f>+[4]수도권!$T$5/1000</f>
        <v>109</v>
      </c>
      <c r="T9" s="95">
        <f>+[4]수도권!$U$5/1000</f>
        <v>88.277059999999992</v>
      </c>
      <c r="U9" s="296">
        <f>+T9-S9</f>
        <v>-20.722940000000008</v>
      </c>
      <c r="V9" s="297">
        <f>+[5]수도권!$T$5/1000</f>
        <v>94.753500000000003</v>
      </c>
      <c r="W9" s="298">
        <f>+T9-V9</f>
        <v>-6.4764400000000109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+'[1]12월'!$Z$8/1000</f>
        <v>31151.201038481533</v>
      </c>
      <c r="F10" s="325">
        <f>+'[2]12월'!$Z$8/1000</f>
        <v>23247.349042999995</v>
      </c>
      <c r="G10" s="326">
        <f t="shared" si="2"/>
        <v>-7903.8519954815383</v>
      </c>
      <c r="H10" s="327">
        <f>+'[3]12월'!$Z$8/1000</f>
        <v>27172.709015</v>
      </c>
      <c r="I10" s="328">
        <f t="shared" si="3"/>
        <v>-3925.3599720000057</v>
      </c>
      <c r="J10" s="324">
        <f>+'[1]12월누계'!$Z$8/1000</f>
        <v>336644.08584804909</v>
      </c>
      <c r="K10" s="325">
        <f>+'[2]12월누계'!$Z$8/1000</f>
        <v>277105.914797</v>
      </c>
      <c r="L10" s="326">
        <f t="shared" si="0"/>
        <v>-59538.171051049081</v>
      </c>
      <c r="M10" s="327">
        <f>+'[3]12월누계'!$Z$8/1000</f>
        <v>339565.23887299991</v>
      </c>
      <c r="N10" s="328">
        <f t="shared" si="1"/>
        <v>-62459.324075999903</v>
      </c>
      <c r="O10" s="87"/>
      <c r="P10" s="90"/>
      <c r="Q10" s="98"/>
      <c r="R10" s="179" t="s">
        <v>17</v>
      </c>
      <c r="S10" s="192">
        <f>+[4]영남권!$T$5/1000</f>
        <v>138.5</v>
      </c>
      <c r="T10" s="99">
        <f>+[4]영남권!$U$5/1000</f>
        <v>99.727000000000004</v>
      </c>
      <c r="U10" s="299">
        <f t="shared" ref="U10:U20" si="4">+T10-S10</f>
        <v>-38.772999999999996</v>
      </c>
      <c r="V10" s="300">
        <f>+[5]영남권!$T$5/1000</f>
        <v>129.27199999999999</v>
      </c>
      <c r="W10" s="301">
        <f t="shared" ref="W10:W20" si="5">+T10-V10</f>
        <v>-29.544999999999987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+'[1]12월'!$AA$8/1000</f>
        <v>14246.0356352</v>
      </c>
      <c r="F11" s="323">
        <f>+'[2]12월'!$AO$8/1000</f>
        <v>6900.9294749999999</v>
      </c>
      <c r="G11" s="299">
        <f>+F11-E11</f>
        <v>-7345.1061602</v>
      </c>
      <c r="H11" s="300">
        <f>+'[3]12월'!$AO$8/1000</f>
        <v>7445.9016059999994</v>
      </c>
      <c r="I11" s="301">
        <f>+F11-H11</f>
        <v>-544.97213099999954</v>
      </c>
      <c r="J11" s="322">
        <f>+'[1]12월누계'!$AA$8/1000</f>
        <v>150142.43199999997</v>
      </c>
      <c r="K11" s="323">
        <f>+'[2]12월누계'!$AO$8/1000</f>
        <v>99181.146127999978</v>
      </c>
      <c r="L11" s="299">
        <f t="shared" si="0"/>
        <v>-50961.285871999993</v>
      </c>
      <c r="M11" s="300">
        <f>+'[3]12월누계'!$AO$8/1000</f>
        <v>103999.84695300001</v>
      </c>
      <c r="N11" s="301">
        <f t="shared" si="1"/>
        <v>-4818.7008250000363</v>
      </c>
      <c r="O11" s="87"/>
      <c r="P11" s="90"/>
      <c r="Q11" s="98"/>
      <c r="R11" s="180" t="s">
        <v>106</v>
      </c>
      <c r="S11" s="193">
        <f>+[4]중부권!$T$5/1000</f>
        <v>57.5</v>
      </c>
      <c r="T11" s="100">
        <f>+[4]중부권!$U$5/1000</f>
        <v>40.555999999999997</v>
      </c>
      <c r="U11" s="302">
        <f t="shared" si="4"/>
        <v>-16.944000000000003</v>
      </c>
      <c r="V11" s="303">
        <f>+[5]중부권!$T$5/1000</f>
        <v>48.263500000000001</v>
      </c>
      <c r="W11" s="304">
        <f t="shared" si="5"/>
        <v>-7.7075000000000031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+'[1]12월'!$AE$8/1000</f>
        <v>2109.9611904488997</v>
      </c>
      <c r="F12" s="323">
        <f>+'[2]12월'!$AN$8/1000</f>
        <v>1336.795453</v>
      </c>
      <c r="G12" s="299">
        <f t="shared" si="2"/>
        <v>-773.16573744889979</v>
      </c>
      <c r="H12" s="300">
        <f>+'[3]12월'!$AN$8/1000</f>
        <v>1280.5145</v>
      </c>
      <c r="I12" s="301">
        <f t="shared" si="3"/>
        <v>56.280952999999954</v>
      </c>
      <c r="J12" s="322">
        <f>+'[1]12월누계'!$AE$8/1000</f>
        <v>22083.999970029774</v>
      </c>
      <c r="K12" s="323">
        <f>+'[2]12월누계'!$AN$8/1000</f>
        <v>16060.282953000002</v>
      </c>
      <c r="L12" s="299">
        <f t="shared" si="0"/>
        <v>-6023.7170170297723</v>
      </c>
      <c r="M12" s="300">
        <f>+'[3]12월누계'!$AN$8/1000</f>
        <v>17070.144079999998</v>
      </c>
      <c r="N12" s="301">
        <f t="shared" si="1"/>
        <v>-1009.8611269999965</v>
      </c>
      <c r="O12" s="87"/>
      <c r="P12" s="90"/>
      <c r="Q12" s="101" t="s">
        <v>58</v>
      </c>
      <c r="R12" s="181"/>
      <c r="S12" s="194">
        <f>SUM(S9:S11)</f>
        <v>305</v>
      </c>
      <c r="T12" s="102">
        <f>SUM(T9:T11)</f>
        <v>228.56005999999996</v>
      </c>
      <c r="U12" s="305">
        <f t="shared" si="4"/>
        <v>-76.439940000000036</v>
      </c>
      <c r="V12" s="306">
        <f>SUM(V9:V11)</f>
        <v>272.28899999999999</v>
      </c>
      <c r="W12" s="307">
        <f t="shared" si="5"/>
        <v>-43.728940000000023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+'[1]12월'!$E$8/1000-E10-E11-E12</f>
        <v>142.52816666666831</v>
      </c>
      <c r="F13" s="330">
        <f>+'[2]12월'!$F$8/1000-F10-F11-F12</f>
        <v>118.89210799999614</v>
      </c>
      <c r="G13" s="302">
        <f t="shared" si="2"/>
        <v>-23.63605866667217</v>
      </c>
      <c r="H13" s="303">
        <f>+'[3]12월'!$F$8/1000-H10-H11-H12</f>
        <v>165.2117899999987</v>
      </c>
      <c r="I13" s="304">
        <f t="shared" si="3"/>
        <v>-46.319682000002558</v>
      </c>
      <c r="J13" s="329">
        <f>+'[1]12월누계'!$E$8/1000-J10-J11-J12</f>
        <v>1784.5579999999936</v>
      </c>
      <c r="K13" s="330">
        <f>+'[2]12월누계'!$F$8/1000-K10-K11-K12</f>
        <v>1542.9351509999833</v>
      </c>
      <c r="L13" s="302">
        <f t="shared" si="0"/>
        <v>-241.62284900001032</v>
      </c>
      <c r="M13" s="303">
        <f>+'[3]12월누계'!$F$8/1000-M10-M11-M12</f>
        <v>1986.9073200000421</v>
      </c>
      <c r="N13" s="304">
        <f t="shared" si="1"/>
        <v>-443.97216900005878</v>
      </c>
      <c r="O13" s="87"/>
      <c r="P13" s="90"/>
      <c r="Q13" s="94" t="s">
        <v>59</v>
      </c>
      <c r="R13" s="178" t="s">
        <v>16</v>
      </c>
      <c r="S13" s="191">
        <f>+[4]수도권!$T$61</f>
        <v>100867.1766436521</v>
      </c>
      <c r="T13" s="95">
        <f>+[4]수도권!$U$61</f>
        <v>99894.501248649074</v>
      </c>
      <c r="U13" s="296">
        <f t="shared" si="4"/>
        <v>-972.67539500302519</v>
      </c>
      <c r="V13" s="297">
        <f>+[5]수도권!$Q$85</f>
        <v>95753.182837259141</v>
      </c>
      <c r="W13" s="298">
        <f t="shared" si="5"/>
        <v>4141.3184113899333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47649.726030797101</v>
      </c>
      <c r="F14" s="330">
        <f>SUM(F10:F13)</f>
        <v>31603.966078999991</v>
      </c>
      <c r="G14" s="302">
        <f t="shared" si="2"/>
        <v>-16045.75995179711</v>
      </c>
      <c r="H14" s="303">
        <f>SUM(H10:H13)</f>
        <v>36064.336910999999</v>
      </c>
      <c r="I14" s="304">
        <f t="shared" si="3"/>
        <v>-4460.3708320000078</v>
      </c>
      <c r="J14" s="329">
        <f>SUM(J10:J13)</f>
        <v>510655.07581807883</v>
      </c>
      <c r="K14" s="330">
        <f>SUM(K10:K13)</f>
        <v>393890.27902899997</v>
      </c>
      <c r="L14" s="302">
        <f t="shared" si="0"/>
        <v>-116764.79678907886</v>
      </c>
      <c r="M14" s="303">
        <f>SUM(M10:M13)</f>
        <v>462622.13722599996</v>
      </c>
      <c r="N14" s="304">
        <f t="shared" si="1"/>
        <v>-68731.858196999994</v>
      </c>
      <c r="O14" s="87"/>
      <c r="P14" s="90"/>
      <c r="Q14" s="98"/>
      <c r="R14" s="179" t="s">
        <v>17</v>
      </c>
      <c r="S14" s="192">
        <f>+[4]영남권!$T$61</f>
        <v>100786.02154746176</v>
      </c>
      <c r="T14" s="99">
        <f>+[4]영남권!$U$61</f>
        <v>100842.57113921005</v>
      </c>
      <c r="U14" s="299">
        <f t="shared" si="4"/>
        <v>56.549591748291277</v>
      </c>
      <c r="V14" s="300">
        <f>+[5]영남권!$Q$85</f>
        <v>101138.01594527731</v>
      </c>
      <c r="W14" s="301">
        <f t="shared" si="5"/>
        <v>-295.44480606725847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+('[1]12월'!$Z$10+'[1]12월'!$Z$19)/1000</f>
        <v>26909.111123552808</v>
      </c>
      <c r="F15" s="325">
        <f>+('[2]12월'!$Z$10+'[2]12월'!$Z$19)/1000</f>
        <v>22308.477759999998</v>
      </c>
      <c r="G15" s="326">
        <f t="shared" si="2"/>
        <v>-4600.6333635528099</v>
      </c>
      <c r="H15" s="327">
        <f>+('[3]12월'!$Z$10+'[3]12월'!$Z$19)/1000</f>
        <v>25598.441484000003</v>
      </c>
      <c r="I15" s="328">
        <f t="shared" si="3"/>
        <v>-3289.9637240000047</v>
      </c>
      <c r="J15" s="324">
        <f>+('[1]12월누계'!$Z$10+'[1]12월누계'!$Z$19)/1000</f>
        <v>295660.64876032691</v>
      </c>
      <c r="K15" s="325">
        <f>+('[2]12월누계'!$Z$10+'[2]12월누계'!$Z$19)/1000</f>
        <v>256001.57976598002</v>
      </c>
      <c r="L15" s="326">
        <f t="shared" si="0"/>
        <v>-39659.06899434689</v>
      </c>
      <c r="M15" s="327">
        <f>+('[3]12월누계'!$Z$10+'[3]12월누계'!$Z$19)/1000</f>
        <v>297938.72898199002</v>
      </c>
      <c r="N15" s="328">
        <f t="shared" si="1"/>
        <v>-41937.149216010002</v>
      </c>
      <c r="O15" s="87"/>
      <c r="P15" s="90"/>
      <c r="Q15" s="98"/>
      <c r="R15" s="180" t="s">
        <v>105</v>
      </c>
      <c r="S15" s="193">
        <f>+[4]중부권!$T$61</f>
        <v>107788.08347826089</v>
      </c>
      <c r="T15" s="100">
        <f>+[4]중부권!$U$61</f>
        <v>107851.31553745527</v>
      </c>
      <c r="U15" s="302">
        <f t="shared" si="4"/>
        <v>63.232059194386238</v>
      </c>
      <c r="V15" s="303">
        <f>+[5]중부권!$Q$85</f>
        <v>104182.09168419198</v>
      </c>
      <c r="W15" s="304">
        <f t="shared" si="5"/>
        <v>3669.2238532632909</v>
      </c>
      <c r="X15" s="92"/>
    </row>
    <row r="16" spans="1:25" ht="21.75" customHeight="1" x14ac:dyDescent="0.3">
      <c r="C16" s="88"/>
      <c r="D16" s="93" t="s">
        <v>3</v>
      </c>
      <c r="E16" s="322">
        <f>+('[1]12월'!$AA$10+'[1]12월'!$AA$19)/1000</f>
        <v>13862.078619959515</v>
      </c>
      <c r="F16" s="323">
        <f>+('[2]12월'!$AO$10+'[2]12월'!$AO$19)/1000</f>
        <v>6794.7572630000004</v>
      </c>
      <c r="G16" s="299">
        <f>+F16-E16</f>
        <v>-7067.3213569595146</v>
      </c>
      <c r="H16" s="300">
        <f>+('[3]12월'!$AO$10+'[3]12월'!$AO$19)/1000</f>
        <v>7310.0570540000008</v>
      </c>
      <c r="I16" s="301">
        <f>+F16-H16</f>
        <v>-515.29979100000037</v>
      </c>
      <c r="J16" s="322">
        <f>+('[1]12월누계'!$AA$10+'[1]12월누계'!$AA$19)/1000</f>
        <v>146089.803546576</v>
      </c>
      <c r="K16" s="323">
        <f>+('[2]12월누계'!$AO$10+'[2]12월누계'!$AO$19)/1000</f>
        <v>97467.847164999985</v>
      </c>
      <c r="L16" s="299">
        <f t="shared" si="0"/>
        <v>-48621.956381576019</v>
      </c>
      <c r="M16" s="300">
        <f>+('[3]12월누계'!$AO$10+'[3]12월누계'!$AO$19)/1000</f>
        <v>101702.98618400001</v>
      </c>
      <c r="N16" s="301">
        <f t="shared" si="1"/>
        <v>-4235.1390190000238</v>
      </c>
      <c r="O16" s="87"/>
      <c r="P16" s="90"/>
      <c r="Q16" s="101" t="s">
        <v>58</v>
      </c>
      <c r="R16" s="181"/>
      <c r="S16" s="194">
        <f>+[4]합계!$T$61</f>
        <v>102135.08537207061</v>
      </c>
      <c r="T16" s="102">
        <f>+[4]합계!$U$61</f>
        <v>101721.48004045202</v>
      </c>
      <c r="U16" s="305">
        <f>+T16-S16</f>
        <v>-413.60533161858621</v>
      </c>
      <c r="V16" s="306">
        <f>+[5]합계!$Q$85</f>
        <v>99802.989779255455</v>
      </c>
      <c r="W16" s="307">
        <f>+T16-V16</f>
        <v>1918.4902611965663</v>
      </c>
      <c r="X16" s="92"/>
    </row>
    <row r="17" spans="2:27" ht="21.75" customHeight="1" x14ac:dyDescent="0.3">
      <c r="C17" s="88"/>
      <c r="D17" s="93" t="s">
        <v>1</v>
      </c>
      <c r="E17" s="322">
        <f>+('[1]12월'!$AE$10+'[1]12월'!$AE$19)/1000</f>
        <v>1870.0703083780604</v>
      </c>
      <c r="F17" s="323">
        <f>+('[2]12월'!$AN$10+'[2]12월'!$AN$19)/1000</f>
        <v>1613.080821</v>
      </c>
      <c r="G17" s="299">
        <f t="shared" si="2"/>
        <v>-256.9894873780604</v>
      </c>
      <c r="H17" s="300">
        <f>+('[3]12월'!$AN$10+'[3]12월'!$AN$19)/1000</f>
        <v>1654.2000990000001</v>
      </c>
      <c r="I17" s="301">
        <f t="shared" si="3"/>
        <v>-41.119278000000122</v>
      </c>
      <c r="J17" s="322">
        <f>+('[1]12월누계'!$AE$10+'[1]12월누계'!$AE$19)/1000</f>
        <v>19291.177248924334</v>
      </c>
      <c r="K17" s="323">
        <f>+('[2]12월누계'!$AN$10+'[2]12월누계'!$AN$19)/1000</f>
        <v>16810.749097960001</v>
      </c>
      <c r="L17" s="299">
        <f t="shared" si="0"/>
        <v>-2480.4281509643333</v>
      </c>
      <c r="M17" s="300">
        <f>+('[3]12월누계'!$AN$10+'[3]12월누계'!$AN$19)/1000</f>
        <v>17064.109944</v>
      </c>
      <c r="N17" s="301">
        <f t="shared" si="1"/>
        <v>-253.36084603999916</v>
      </c>
      <c r="O17" s="87"/>
      <c r="P17" s="90"/>
      <c r="Q17" s="173" t="s">
        <v>60</v>
      </c>
      <c r="R17" s="182" t="s">
        <v>16</v>
      </c>
      <c r="S17" s="195">
        <f>+[4]수도권!$Q$90</f>
        <v>18915.067237040901</v>
      </c>
      <c r="T17" s="106">
        <f>+[4]수도권!$R$90</f>
        <v>12490.516871927262</v>
      </c>
      <c r="U17" s="308">
        <f t="shared" si="4"/>
        <v>-6424.5503651136387</v>
      </c>
      <c r="V17" s="309">
        <f>+[5]수도권!$Q$90</f>
        <v>11822.292094084725</v>
      </c>
      <c r="W17" s="310">
        <f t="shared" si="5"/>
        <v>668.22477784253715</v>
      </c>
      <c r="X17" s="92"/>
    </row>
    <row r="18" spans="2:27" ht="21.75" customHeight="1" x14ac:dyDescent="0.3">
      <c r="C18" s="88"/>
      <c r="D18" s="103" t="s">
        <v>4</v>
      </c>
      <c r="E18" s="329">
        <f>+('[1]12월'!$E$10+'[1]12월'!$E$19)/1000-E15-E16-E17</f>
        <v>52.588338999996722</v>
      </c>
      <c r="F18" s="330">
        <f>+('[2]12월'!$F$10+'[2]12월'!$F$19)/1000-F15-F16-F17</f>
        <v>-361.81796999999779</v>
      </c>
      <c r="G18" s="302">
        <f t="shared" si="2"/>
        <v>-414.40630899999451</v>
      </c>
      <c r="H18" s="303">
        <f>+('[3]12월'!$F$10+'[3]12월'!$F$19)/1000-H15-H16-H17</f>
        <v>-311.60497000000987</v>
      </c>
      <c r="I18" s="304">
        <f t="shared" si="3"/>
        <v>-50.212999999987915</v>
      </c>
      <c r="J18" s="329">
        <f>+('[1]12월누계'!$E$10+'[1]12월누계'!$E$19)/1000-J15-J16-J17</f>
        <v>730.58769800007212</v>
      </c>
      <c r="K18" s="330">
        <f>+('[2]12월누계'!$F$10+'[2]12월누계'!$F$19)/1000-K15-K16-K17</f>
        <v>-759.25683399998888</v>
      </c>
      <c r="L18" s="302">
        <f t="shared" si="0"/>
        <v>-1489.844532000061</v>
      </c>
      <c r="M18" s="303">
        <f>+('[3]12월누계'!$F$10+'[3]12월누계'!$F$19)/1000-M15-M16-M17</f>
        <v>-850.21686899994165</v>
      </c>
      <c r="N18" s="304">
        <f t="shared" si="1"/>
        <v>90.960034999952768</v>
      </c>
      <c r="O18" s="87"/>
      <c r="P18" s="90"/>
      <c r="Q18" s="174"/>
      <c r="R18" s="183" t="s">
        <v>17</v>
      </c>
      <c r="S18" s="196">
        <f>+[4]영남권!$Q$90</f>
        <v>20914.480559528907</v>
      </c>
      <c r="T18" s="107">
        <f>+[4]영남권!$R$90</f>
        <v>16030.469646911428</v>
      </c>
      <c r="U18" s="311">
        <f t="shared" si="4"/>
        <v>-4884.0109126174793</v>
      </c>
      <c r="V18" s="312">
        <f>+[5]영남권!$Q$90</f>
        <v>19812.809201101889</v>
      </c>
      <c r="W18" s="313">
        <f t="shared" si="5"/>
        <v>-3782.3395541904611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42693.84839089038</v>
      </c>
      <c r="F19" s="323">
        <f>SUM(F15:F18)</f>
        <v>30354.497874000001</v>
      </c>
      <c r="G19" s="299">
        <f t="shared" si="2"/>
        <v>-12339.350516890379</v>
      </c>
      <c r="H19" s="300">
        <f>SUM(H15:H18)</f>
        <v>34251.093666999994</v>
      </c>
      <c r="I19" s="301">
        <f t="shared" si="3"/>
        <v>-3896.5957929999931</v>
      </c>
      <c r="J19" s="322">
        <f>SUM(J15:J18)</f>
        <v>461772.21725382732</v>
      </c>
      <c r="K19" s="323">
        <f>SUM(K15:K18)</f>
        <v>369520.91919494001</v>
      </c>
      <c r="L19" s="299">
        <f t="shared" si="0"/>
        <v>-92251.298058887303</v>
      </c>
      <c r="M19" s="300">
        <f>SUM(M15:M18)</f>
        <v>415855.60824099014</v>
      </c>
      <c r="N19" s="301">
        <f t="shared" si="1"/>
        <v>-46334.689046050131</v>
      </c>
      <c r="O19" s="87"/>
      <c r="P19" s="90"/>
      <c r="Q19" s="174"/>
      <c r="R19" s="184" t="s">
        <v>105</v>
      </c>
      <c r="S19" s="197">
        <f>+[4]중부권!$Q$90</f>
        <v>27838.304304477817</v>
      </c>
      <c r="T19" s="109">
        <f>+[4]중부권!$R$90</f>
        <v>21908.920988189027</v>
      </c>
      <c r="U19" s="314">
        <f t="shared" si="4"/>
        <v>-5929.3833162887895</v>
      </c>
      <c r="V19" s="315">
        <f>+[5]중부권!$Q$90</f>
        <v>22923.655226665505</v>
      </c>
      <c r="W19" s="316">
        <f t="shared" si="5"/>
        <v>-1014.7342384764779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6">+E10-E15</f>
        <v>4242.0899149287252</v>
      </c>
      <c r="F20" s="325">
        <f t="shared" si="6"/>
        <v>938.87128299999677</v>
      </c>
      <c r="G20" s="326">
        <f t="shared" si="2"/>
        <v>-3303.2186319287284</v>
      </c>
      <c r="H20" s="327">
        <f>+H10-H15</f>
        <v>1574.2675309999977</v>
      </c>
      <c r="I20" s="328">
        <f t="shared" si="3"/>
        <v>-635.39624800000092</v>
      </c>
      <c r="J20" s="324">
        <f t="shared" ref="J20:K23" si="7">+J10-J15</f>
        <v>40983.437087722181</v>
      </c>
      <c r="K20" s="325">
        <f t="shared" si="7"/>
        <v>21104.335031019989</v>
      </c>
      <c r="L20" s="326">
        <f t="shared" si="0"/>
        <v>-19879.102056702191</v>
      </c>
      <c r="M20" s="327">
        <f>+M10-M15</f>
        <v>41626.50989100989</v>
      </c>
      <c r="N20" s="328">
        <f t="shared" si="1"/>
        <v>-20522.1748599899</v>
      </c>
      <c r="O20" s="87"/>
      <c r="P20" s="90"/>
      <c r="Q20" s="175" t="s">
        <v>58</v>
      </c>
      <c r="R20" s="185"/>
      <c r="S20" s="198">
        <f>+[4]합계!$Q$90</f>
        <v>21505.247160130137</v>
      </c>
      <c r="T20" s="110">
        <f>+[4]합계!$R$90</f>
        <v>15710.962391419176</v>
      </c>
      <c r="U20" s="317">
        <f t="shared" si="4"/>
        <v>-5794.2847687109606</v>
      </c>
      <c r="V20" s="318">
        <f>+[5]합계!$Q$90</f>
        <v>17589.967858861302</v>
      </c>
      <c r="W20" s="319">
        <f t="shared" si="5"/>
        <v>-1879.0054674421262</v>
      </c>
      <c r="X20" s="92"/>
    </row>
    <row r="21" spans="2:27" ht="21.75" customHeight="1" x14ac:dyDescent="0.3">
      <c r="C21" s="88"/>
      <c r="D21" s="93" t="s">
        <v>3</v>
      </c>
      <c r="E21" s="322">
        <f t="shared" si="6"/>
        <v>383.95701524048491</v>
      </c>
      <c r="F21" s="323">
        <f t="shared" si="6"/>
        <v>106.17221199999949</v>
      </c>
      <c r="G21" s="299">
        <f>+F21-E21</f>
        <v>-277.78480324048542</v>
      </c>
      <c r="H21" s="300">
        <f>+H11-H16</f>
        <v>135.84455199999866</v>
      </c>
      <c r="I21" s="301">
        <f>+F21-H21</f>
        <v>-29.672339999999167</v>
      </c>
      <c r="J21" s="322">
        <f t="shared" si="7"/>
        <v>4052.6284534239676</v>
      </c>
      <c r="K21" s="323">
        <f t="shared" si="7"/>
        <v>1713.2989629999938</v>
      </c>
      <c r="L21" s="299">
        <f t="shared" si="0"/>
        <v>-2339.3294904239738</v>
      </c>
      <c r="M21" s="300">
        <f>+M11-M16</f>
        <v>2296.8607690000063</v>
      </c>
      <c r="N21" s="301">
        <f t="shared" si="1"/>
        <v>-583.56180600001244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6"/>
        <v>239.89088207083933</v>
      </c>
      <c r="F22" s="323">
        <f t="shared" si="6"/>
        <v>-276.28536800000006</v>
      </c>
      <c r="G22" s="299">
        <f t="shared" si="2"/>
        <v>-516.17625007083939</v>
      </c>
      <c r="H22" s="300">
        <f>+H12-H17</f>
        <v>-373.68559900000014</v>
      </c>
      <c r="I22" s="301">
        <f t="shared" si="3"/>
        <v>97.400231000000076</v>
      </c>
      <c r="J22" s="322">
        <f t="shared" si="7"/>
        <v>2792.82272110544</v>
      </c>
      <c r="K22" s="323">
        <f t="shared" si="7"/>
        <v>-750.46614495999893</v>
      </c>
      <c r="L22" s="299">
        <f t="shared" si="0"/>
        <v>-3543.2888660654389</v>
      </c>
      <c r="M22" s="300">
        <f>+M12-M17</f>
        <v>6.0341359999983979</v>
      </c>
      <c r="N22" s="301">
        <f t="shared" si="1"/>
        <v>-756.50028095999733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6"/>
        <v>89.93982766667159</v>
      </c>
      <c r="F23" s="330">
        <f t="shared" si="6"/>
        <v>480.71007799999393</v>
      </c>
      <c r="G23" s="302">
        <f t="shared" si="2"/>
        <v>390.77025033332234</v>
      </c>
      <c r="H23" s="303">
        <f>+H13-H18</f>
        <v>476.81676000000857</v>
      </c>
      <c r="I23" s="304">
        <f t="shared" si="3"/>
        <v>3.8933179999853564</v>
      </c>
      <c r="J23" s="329">
        <f t="shared" si="7"/>
        <v>1053.9703019999215</v>
      </c>
      <c r="K23" s="330">
        <f t="shared" si="7"/>
        <v>2302.1919849999722</v>
      </c>
      <c r="L23" s="302">
        <f t="shared" si="0"/>
        <v>1248.2216830000507</v>
      </c>
      <c r="M23" s="303">
        <f>+M13-M18</f>
        <v>2837.1241889999837</v>
      </c>
      <c r="N23" s="304">
        <f t="shared" si="1"/>
        <v>-534.93220400001155</v>
      </c>
      <c r="O23" s="87"/>
      <c r="P23" s="90"/>
      <c r="Q23" s="147" t="s">
        <v>86</v>
      </c>
      <c r="R23" s="148"/>
      <c r="S23" s="207">
        <f>+'[6]12월'!$F$10</f>
        <v>872900.76335877855</v>
      </c>
      <c r="T23" s="213">
        <f>+'[6]12월'!$G$10</f>
        <v>717670.73803167441</v>
      </c>
      <c r="U23" s="210">
        <f>+T23-S23</f>
        <v>-155230.02532710414</v>
      </c>
      <c r="V23" s="189">
        <f>+'[7]12월'!$G$10</f>
        <v>752238.01942182856</v>
      </c>
      <c r="W23" s="186">
        <f>+T23-V23</f>
        <v>-34567.281390154152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4955.877639906721</v>
      </c>
      <c r="F24" s="330">
        <f>SUM(F20:F23)</f>
        <v>1249.4682049999901</v>
      </c>
      <c r="G24" s="302">
        <f t="shared" si="2"/>
        <v>-3706.4094349067309</v>
      </c>
      <c r="H24" s="303">
        <f>SUM(H20:H23)</f>
        <v>1813.2432440000048</v>
      </c>
      <c r="I24" s="304">
        <f t="shared" si="3"/>
        <v>-563.77503900001466</v>
      </c>
      <c r="J24" s="329">
        <f>SUM(J20:J23)</f>
        <v>48882.85856425151</v>
      </c>
      <c r="K24" s="330">
        <f>SUM(K20:K23)</f>
        <v>24369.359834059956</v>
      </c>
      <c r="L24" s="302">
        <f t="shared" si="0"/>
        <v>-24513.498730191553</v>
      </c>
      <c r="M24" s="303">
        <f>SUM(M20:M23)</f>
        <v>46766.528985009878</v>
      </c>
      <c r="N24" s="304">
        <f t="shared" si="1"/>
        <v>-22397.169150949921</v>
      </c>
      <c r="O24" s="87"/>
      <c r="P24" s="90"/>
      <c r="Q24" s="149" t="s">
        <v>87</v>
      </c>
      <c r="R24" s="150"/>
      <c r="S24" s="208">
        <f>+'[6]12월'!$F$15</f>
        <v>2.4000655881066899E-2</v>
      </c>
      <c r="T24" s="214">
        <f>+'[6]12월'!$G$15</f>
        <v>1.000434887601645E-2</v>
      </c>
      <c r="U24" s="211">
        <f>+T24-S24</f>
        <v>-1.3996307005050449E-2</v>
      </c>
      <c r="V24" s="190">
        <f>+'[6]12월'!$G$15</f>
        <v>1.000434887601645E-2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+('[1]12월'!$Z$13+'[1]12월'!$Z$20)/1000</f>
        <v>650.54595700000004</v>
      </c>
      <c r="F25" s="325">
        <f>+('[2]12월'!$Z$13+'[2]12월'!$Z$20)/1000</f>
        <v>729.37211100000013</v>
      </c>
      <c r="G25" s="326">
        <f t="shared" si="2"/>
        <v>78.826154000000088</v>
      </c>
      <c r="H25" s="327">
        <f>+('[3]12월'!$Z$13+'[3]12월'!$Z$20)/1000</f>
        <v>1006.0437449999999</v>
      </c>
      <c r="I25" s="328">
        <f t="shared" si="3"/>
        <v>-276.67163399999981</v>
      </c>
      <c r="J25" s="324">
        <f>+('[1]12월누계'!$Z$13+'[1]12월누계'!$Z$20)/1000</f>
        <v>8051.849142</v>
      </c>
      <c r="K25" s="325">
        <f>+('[2]12월누계'!$Z$13+'[2]12월누계'!$Z$20)/1000</f>
        <v>8328.1837649999998</v>
      </c>
      <c r="L25" s="326">
        <f t="shared" si="0"/>
        <v>276.33462299999974</v>
      </c>
      <c r="M25" s="327">
        <f>+('[3]12월누계'!$Z$13+'[3]12월누계'!$Z$20)/1000</f>
        <v>8589.2259720000002</v>
      </c>
      <c r="N25" s="328">
        <f t="shared" si="1"/>
        <v>-261.04220700000042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+('[1]12월'!$AA$13+'[1]12월'!$AA$20)/1000</f>
        <v>124.11732800000001</v>
      </c>
      <c r="F26" s="323">
        <f>+('[2]12월'!$AO$13+'[2]12월'!$AO$20)/1000</f>
        <v>170.18170000000001</v>
      </c>
      <c r="G26" s="299">
        <f>+F26-E26</f>
        <v>46.064371999999992</v>
      </c>
      <c r="H26" s="300">
        <f>+('[3]12월'!$AO$13+'[3]12월'!$AO$20)/1000</f>
        <v>236.94662500000001</v>
      </c>
      <c r="I26" s="301">
        <f>+F26-H26</f>
        <v>-66.764925000000005</v>
      </c>
      <c r="J26" s="322">
        <f>+('[1]12월누계'!$AA$13+'[1]12월누계'!$AA$20)/1000</f>
        <v>1529.6638560000001</v>
      </c>
      <c r="K26" s="323">
        <f>+('[2]12월누계'!$AO$13+'[2]12월누계'!$AO$20)/1000</f>
        <v>1831.067039</v>
      </c>
      <c r="L26" s="299">
        <f t="shared" si="0"/>
        <v>301.4031829999999</v>
      </c>
      <c r="M26" s="300">
        <f>+('[3]12월누계'!$AO$13+'[3]12월누계'!$AO$20)/1000</f>
        <v>1796.102494</v>
      </c>
      <c r="N26" s="301">
        <f t="shared" si="1"/>
        <v>34.964545000000044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+('[1]12월'!$AE$13+'[1]12월'!$AE$20+'[1]12월'!$AE$22)/1000</f>
        <v>46.808212092723871</v>
      </c>
      <c r="F27" s="323">
        <f>+('[2]12월'!$AN$13+'[2]12월'!$AN$20+'[2]12월'!$AN$22)/1000</f>
        <v>53.299383450336379</v>
      </c>
      <c r="G27" s="299">
        <f t="shared" si="2"/>
        <v>6.4911713576125081</v>
      </c>
      <c r="H27" s="300">
        <f>+('[3]12월'!$AN$13+'[3]12월'!$AN$20+'[3]12월'!$AN$22)/1000</f>
        <v>93.516636365154483</v>
      </c>
      <c r="I27" s="301">
        <f t="shared" si="3"/>
        <v>-40.217252914818104</v>
      </c>
      <c r="J27" s="322">
        <f>+('[1]12월누계'!$AE$13+'[1]12월누계'!$AE$20+'[1]12월누계'!$AE$22)/1000</f>
        <v>575.56518862598762</v>
      </c>
      <c r="K27" s="323">
        <f>+('[2]12월누계'!$AN$13+'[2]12월누계'!$AN$20+'[2]12월누계'!$AN$22)/1000</f>
        <v>585.00614478457919</v>
      </c>
      <c r="L27" s="299">
        <f t="shared" si="0"/>
        <v>9.4409561585915753</v>
      </c>
      <c r="M27" s="300">
        <f>+('[3]12월누계'!$AN$13+'[3]12월누계'!$AN$20+'[3]12월누계'!$AN$22)/1000</f>
        <v>767.3405102305785</v>
      </c>
      <c r="N27" s="301">
        <f t="shared" si="1"/>
        <v>-182.33436544599931</v>
      </c>
      <c r="O27" s="87"/>
      <c r="P27" s="90"/>
      <c r="Q27" s="1" t="s">
        <v>89</v>
      </c>
      <c r="R27" s="176" t="s">
        <v>90</v>
      </c>
      <c r="S27" s="207">
        <f>+[8]원가손익!$W$10+[9]원가손익!$W$13+[10]손익!$F$10</f>
        <v>65317.754490378458</v>
      </c>
      <c r="T27" s="213">
        <f>+[8]원가손익!$X$10+[9]원가손익!$X$13+[10]손익!$G$10</f>
        <v>48483</v>
      </c>
      <c r="U27" s="210">
        <f>+T27-S27</f>
        <v>-16834.754490378458</v>
      </c>
      <c r="V27" s="189">
        <f>+'[11]부산모래장(당월)'!$S$85</f>
        <v>38160</v>
      </c>
      <c r="W27" s="186">
        <f>+T27-V27</f>
        <v>10323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+('[1]12월'!$E$13+'[1]12월'!$E$20)/1000-E25-E26-E27+('[1]12월'!$E$22/1000)</f>
        <v>1370.0182979491346</v>
      </c>
      <c r="F28" s="330">
        <f>+('[2]12월'!$F$13+'[2]12월'!$F$20)/1000-F25-F26-F27+'[2]12월'!$F$22/1000</f>
        <v>2301.477979546306</v>
      </c>
      <c r="G28" s="302">
        <f t="shared" si="2"/>
        <v>931.45968159717131</v>
      </c>
      <c r="H28" s="303">
        <f>+('[3]12월'!$F$13+'[3]12월'!$F$20)/1000-H25-H26-H27+'[3]12월'!$F$22/1000</f>
        <v>1782.9465736355135</v>
      </c>
      <c r="I28" s="304">
        <f t="shared" si="3"/>
        <v>518.5314059107925</v>
      </c>
      <c r="J28" s="329">
        <f>+('[1]12월누계'!$E$13+'[1]12월누계'!$E$20)/1000-J25-J26-J27+('[1]12월누계'!$E$22/1000)</f>
        <v>18722.697143046313</v>
      </c>
      <c r="K28" s="330">
        <f>+('[2]12월누계'!$F$13+'[2]12월누계'!$F$20)/1000-K25-K26-K27+'[2]12월누계'!$F$22/1000</f>
        <v>21391.005887215539</v>
      </c>
      <c r="L28" s="302">
        <f t="shared" si="0"/>
        <v>2668.308744169226</v>
      </c>
      <c r="M28" s="303">
        <f>+('[3]12월누계'!$F$13+'[3]12월누계'!$F$20)/1000-M25-M26-M27+'[3]12월누계'!$F$22/1000</f>
        <v>18296.108545768897</v>
      </c>
      <c r="N28" s="304">
        <f t="shared" si="1"/>
        <v>3094.8973414466418</v>
      </c>
      <c r="O28" s="87"/>
      <c r="P28" s="90"/>
      <c r="Q28" s="2"/>
      <c r="R28" s="177" t="s">
        <v>91</v>
      </c>
      <c r="S28" s="209">
        <f>+[8]원가손익!$W$14+[9]원가손익!$W$15+[10]손익!$F$12</f>
        <v>49230</v>
      </c>
      <c r="T28" s="141">
        <f>+[8]원가손익!$X$14+[9]원가손익!$X$15+[10]손익!$G$12</f>
        <v>19445</v>
      </c>
      <c r="U28" s="212">
        <f>+T28-S28</f>
        <v>-29785</v>
      </c>
      <c r="V28" s="70">
        <f>+'[11]부산모래장(당월)'!$S$86</f>
        <v>21520</v>
      </c>
      <c r="W28" s="188">
        <f>+T28-V28</f>
        <v>-2075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2191.4897950418585</v>
      </c>
      <c r="F29" s="330">
        <f>SUM(F25:F28)</f>
        <v>3254.3311739966425</v>
      </c>
      <c r="G29" s="302">
        <f t="shared" si="2"/>
        <v>1062.841378954784</v>
      </c>
      <c r="H29" s="303">
        <f>SUM(H25:H28)</f>
        <v>3119.4535800006679</v>
      </c>
      <c r="I29" s="304">
        <f t="shared" si="3"/>
        <v>134.87759399597462</v>
      </c>
      <c r="J29" s="329">
        <f>SUM(J25:J28)</f>
        <v>28879.775329672302</v>
      </c>
      <c r="K29" s="330">
        <f>SUM(K25:K28)</f>
        <v>32135.262836000118</v>
      </c>
      <c r="L29" s="302">
        <f t="shared" si="0"/>
        <v>3255.4875063278159</v>
      </c>
      <c r="M29" s="303">
        <f>SUM(M25:M28)</f>
        <v>29448.777521999476</v>
      </c>
      <c r="N29" s="304">
        <f t="shared" si="1"/>
        <v>2686.4853140006417</v>
      </c>
      <c r="O29" s="87"/>
      <c r="P29" s="90"/>
      <c r="Q29" s="641" t="s">
        <v>100</v>
      </c>
      <c r="R29" s="642"/>
      <c r="S29" s="209">
        <f>SUM(S27:S28)</f>
        <v>114547.75449037846</v>
      </c>
      <c r="T29" s="141">
        <f>SUM(T27:T28)</f>
        <v>67928</v>
      </c>
      <c r="U29" s="212">
        <f>+T29-S29</f>
        <v>-46619.754490378458</v>
      </c>
      <c r="V29" s="70">
        <f>SUM(V27:V28)</f>
        <v>59680</v>
      </c>
      <c r="W29" s="188">
        <f>+T29-V29</f>
        <v>8248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3591.5439579287249</v>
      </c>
      <c r="F30" s="331">
        <f>+F20-F25</f>
        <v>209.49917199999663</v>
      </c>
      <c r="G30" s="326">
        <f t="shared" si="2"/>
        <v>-3382.0447859287283</v>
      </c>
      <c r="H30" s="327">
        <f>+H20-H25</f>
        <v>568.22378599999774</v>
      </c>
      <c r="I30" s="328">
        <f t="shared" si="3"/>
        <v>-358.72461400000111</v>
      </c>
      <c r="J30" s="324">
        <f>+J20-J25</f>
        <v>32931.587945722182</v>
      </c>
      <c r="K30" s="331">
        <f>+K20-K25</f>
        <v>12776.15126601999</v>
      </c>
      <c r="L30" s="326">
        <f t="shared" si="0"/>
        <v>-20155.436679702194</v>
      </c>
      <c r="M30" s="327">
        <f>+M20-M25</f>
        <v>33037.283919009889</v>
      </c>
      <c r="N30" s="328">
        <f t="shared" si="1"/>
        <v>-20261.132652989902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0.11529391606737853</v>
      </c>
      <c r="F31" s="205">
        <f>+F30/F10</f>
        <v>9.0117445912861575E-3</v>
      </c>
      <c r="G31" s="202">
        <f t="shared" si="2"/>
        <v>-0.10628217147609237</v>
      </c>
      <c r="H31" s="112">
        <f>+H30/H10</f>
        <v>2.0911561879469739E-2</v>
      </c>
      <c r="I31" s="113">
        <f t="shared" si="3"/>
        <v>-1.1899817288183581E-2</v>
      </c>
      <c r="J31" s="199">
        <f>+J30/J10</f>
        <v>9.7823159027919174E-2</v>
      </c>
      <c r="K31" s="205">
        <f>+K30/K10</f>
        <v>4.6105660629364185E-2</v>
      </c>
      <c r="L31" s="202">
        <f t="shared" si="0"/>
        <v>-5.1717498398554988E-2</v>
      </c>
      <c r="M31" s="112">
        <f>+M30/M10</f>
        <v>9.7292891429814746E-2</v>
      </c>
      <c r="N31" s="113">
        <f t="shared" si="1"/>
        <v>-5.118723080045056E-2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8">+E21-E26</f>
        <v>259.83968724048486</v>
      </c>
      <c r="F32" s="323">
        <f t="shared" si="8"/>
        <v>-64.009488000000516</v>
      </c>
      <c r="G32" s="299">
        <f>+F32-E32</f>
        <v>-323.84917524048535</v>
      </c>
      <c r="H32" s="300">
        <f>+H21-H26</f>
        <v>-101.10207300000135</v>
      </c>
      <c r="I32" s="301">
        <f>+F32-H32</f>
        <v>37.092585000000838</v>
      </c>
      <c r="J32" s="322">
        <f t="shared" ref="J32:K34" si="9">+J21-J26</f>
        <v>2522.9645974239675</v>
      </c>
      <c r="K32" s="323">
        <f t="shared" si="9"/>
        <v>-117.7680760000062</v>
      </c>
      <c r="L32" s="299">
        <f t="shared" si="0"/>
        <v>-2640.7326734239737</v>
      </c>
      <c r="M32" s="300">
        <f>+M21-M26</f>
        <v>500.75827500000628</v>
      </c>
      <c r="N32" s="301">
        <f t="shared" si="1"/>
        <v>-618.52635100001248</v>
      </c>
      <c r="O32" s="87"/>
      <c r="P32" s="90"/>
      <c r="Q32" s="643" t="s">
        <v>104</v>
      </c>
      <c r="R32" s="644"/>
      <c r="S32" s="240">
        <f>+'사업장별(당월)'!T33</f>
        <v>51.473203666666663</v>
      </c>
      <c r="T32" s="241">
        <f>+'사업장별(당월)'!U33</f>
        <v>26.777420999999997</v>
      </c>
      <c r="U32" s="242">
        <f>+T32-S32</f>
        <v>-24.695782666666666</v>
      </c>
      <c r="V32" s="243">
        <f>+'사업장별(당월)'!W33</f>
        <v>76.068674999999999</v>
      </c>
      <c r="W32" s="244">
        <f>+T32-V32</f>
        <v>-49.291254000000002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8"/>
        <v>193.08266997811546</v>
      </c>
      <c r="F33" s="323">
        <f t="shared" si="8"/>
        <v>-329.58475145033646</v>
      </c>
      <c r="G33" s="299">
        <f t="shared" si="2"/>
        <v>-522.66742142845192</v>
      </c>
      <c r="H33" s="300">
        <f>+H22-H27</f>
        <v>-467.20223536515459</v>
      </c>
      <c r="I33" s="301">
        <f t="shared" si="3"/>
        <v>137.61748391481814</v>
      </c>
      <c r="J33" s="322">
        <f t="shared" si="9"/>
        <v>2217.2575324794525</v>
      </c>
      <c r="K33" s="323">
        <f t="shared" si="9"/>
        <v>-1335.4722897445781</v>
      </c>
      <c r="L33" s="299">
        <f t="shared" si="0"/>
        <v>-3552.7298222240306</v>
      </c>
      <c r="M33" s="300">
        <f>+M22-M27</f>
        <v>-761.3063742305801</v>
      </c>
      <c r="N33" s="301">
        <f t="shared" si="1"/>
        <v>-574.16591551399802</v>
      </c>
      <c r="O33" s="87"/>
      <c r="P33" s="90"/>
      <c r="Q33" s="645" t="s">
        <v>44</v>
      </c>
      <c r="R33" s="646"/>
      <c r="S33" s="169">
        <f>+'사업장별(당월)'!T34</f>
        <v>76.533943999999991</v>
      </c>
      <c r="T33" s="250">
        <f>+'사업장별(당월)'!U34</f>
        <v>70.357762000000008</v>
      </c>
      <c r="U33" s="170">
        <f>+T33-S33</f>
        <v>-6.176181999999983</v>
      </c>
      <c r="V33" s="251">
        <f>+'사업장별(당월)'!W34</f>
        <v>75.153125000000017</v>
      </c>
      <c r="W33" s="172">
        <f>+T33-V33</f>
        <v>-4.7953630000000089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8"/>
        <v>-1280.0784702824631</v>
      </c>
      <c r="F34" s="330">
        <f t="shared" si="8"/>
        <v>-1820.767901546312</v>
      </c>
      <c r="G34" s="302">
        <f t="shared" si="2"/>
        <v>-540.68943126384897</v>
      </c>
      <c r="H34" s="303">
        <f>+H23-H28</f>
        <v>-1306.1298136355049</v>
      </c>
      <c r="I34" s="304">
        <f t="shared" si="3"/>
        <v>-514.63808791080714</v>
      </c>
      <c r="J34" s="329">
        <f t="shared" si="9"/>
        <v>-17668.726841046391</v>
      </c>
      <c r="K34" s="330">
        <f t="shared" si="9"/>
        <v>-19088.813902215566</v>
      </c>
      <c r="L34" s="302">
        <f t="shared" si="0"/>
        <v>-1420.0870611691753</v>
      </c>
      <c r="M34" s="303">
        <f>+M23-M28</f>
        <v>-15458.984356768913</v>
      </c>
      <c r="N34" s="304">
        <f t="shared" si="1"/>
        <v>-3629.8295454466534</v>
      </c>
      <c r="O34" s="87"/>
      <c r="P34" s="90"/>
      <c r="Q34" s="262" t="s">
        <v>29</v>
      </c>
      <c r="R34" s="263"/>
      <c r="S34" s="257">
        <f>+'사업장별(당월)'!T35</f>
        <v>-1332.7152549491345</v>
      </c>
      <c r="T34" s="258">
        <f>+'사업장별(당월)'!U35</f>
        <v>-1845.4587245463063</v>
      </c>
      <c r="U34" s="259">
        <f>+T34-S34</f>
        <v>-512.74346959717172</v>
      </c>
      <c r="V34" s="260">
        <f>+'사업장별(당월)'!W35</f>
        <v>-2089.6312006355133</v>
      </c>
      <c r="W34" s="261">
        <f>+T34-V34</f>
        <v>244.17247608920707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2764.387844864862</v>
      </c>
      <c r="F35" s="332">
        <f>SUM(F30,F32:F34)</f>
        <v>-2004.8629689966524</v>
      </c>
      <c r="G35" s="299">
        <f t="shared" si="2"/>
        <v>-4769.250813861514</v>
      </c>
      <c r="H35" s="300">
        <f>SUM(H30,H32:H34)</f>
        <v>-1306.2103360006631</v>
      </c>
      <c r="I35" s="301">
        <f t="shared" si="3"/>
        <v>-698.65263299598928</v>
      </c>
      <c r="J35" s="322">
        <f>SUM(J30,J32:J34)</f>
        <v>20003.083234579211</v>
      </c>
      <c r="K35" s="332">
        <f>SUM(K30,K32:K34)</f>
        <v>-7765.9030019401616</v>
      </c>
      <c r="L35" s="299">
        <f t="shared" si="0"/>
        <v>-27768.986236519373</v>
      </c>
      <c r="M35" s="300">
        <f>SUM(M30,M32:M34)</f>
        <v>17317.751463010401</v>
      </c>
      <c r="N35" s="301">
        <f t="shared" si="1"/>
        <v>-25083.654464950563</v>
      </c>
      <c r="O35" s="87"/>
      <c r="P35" s="90"/>
      <c r="Q35" s="264" t="s">
        <v>103</v>
      </c>
      <c r="R35" s="265"/>
      <c r="S35" s="252">
        <f>+S36-S32-S33-S34</f>
        <v>-75.370362999996587</v>
      </c>
      <c r="T35" s="253">
        <f>+T36-T32-T33-T34</f>
        <v>-72.44436000001042</v>
      </c>
      <c r="U35" s="254">
        <f>+T35-S35</f>
        <v>2.9260029999861672</v>
      </c>
      <c r="V35" s="255">
        <f>+V36-V32-V33-V34</f>
        <v>632.27958700000227</v>
      </c>
      <c r="W35" s="256">
        <f>+T35-V35</f>
        <v>-704.72394700001269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5.8014768921822876E-2</v>
      </c>
      <c r="F36" s="206">
        <f>+F35/F14</f>
        <v>-6.3437068752229528E-2</v>
      </c>
      <c r="G36" s="203">
        <f t="shared" si="2"/>
        <v>-0.1214518376740524</v>
      </c>
      <c r="H36" s="116">
        <f>+H35/H14</f>
        <v>-3.6218892342985386E-2</v>
      </c>
      <c r="I36" s="117">
        <f t="shared" si="3"/>
        <v>-2.7218176409244142E-2</v>
      </c>
      <c r="J36" s="200">
        <f>+J35/J14</f>
        <v>3.9171417619875616E-2</v>
      </c>
      <c r="K36" s="206">
        <f>+K35/K14</f>
        <v>-1.97159041880503E-2</v>
      </c>
      <c r="L36" s="203">
        <f t="shared" si="0"/>
        <v>-5.8887321807925913E-2</v>
      </c>
      <c r="M36" s="116">
        <f>+M35/M14</f>
        <v>3.7433901384079989E-2</v>
      </c>
      <c r="N36" s="117">
        <f t="shared" si="1"/>
        <v>-5.7149805572130286E-2</v>
      </c>
      <c r="O36" s="87"/>
      <c r="P36" s="118"/>
      <c r="Q36" s="633" t="s">
        <v>102</v>
      </c>
      <c r="R36" s="634"/>
      <c r="S36" s="245">
        <f>+'사업장별(당월)'!T41</f>
        <v>-1280.0784702824644</v>
      </c>
      <c r="T36" s="246">
        <f>+'사업장별(당월)'!U41</f>
        <v>-1820.7679015463166</v>
      </c>
      <c r="U36" s="247">
        <f>+T36-S36</f>
        <v>-540.68943126385216</v>
      </c>
      <c r="V36" s="248">
        <f>+'사업장별(당월)'!W41</f>
        <v>-1306.129813635511</v>
      </c>
      <c r="W36" s="249">
        <f>+T36-V36</f>
        <v>-514.63808791080555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+'[1]12월'!$E$26/1000</f>
        <v>2764.3878448648638</v>
      </c>
      <c r="F38" s="227">
        <f>+'[2]12월'!$F$26/1000</f>
        <v>-2004.8629689966533</v>
      </c>
      <c r="H38" s="227">
        <f>+'[3]12월'!$F$26/1000</f>
        <v>-1306.2103360006658</v>
      </c>
      <c r="J38" s="237">
        <f>+'[1]12월누계'!$E$26/1000</f>
        <v>20003.08323457919</v>
      </c>
      <c r="K38" s="237">
        <f>+'[2]12월누계'!$F$26/1000</f>
        <v>-7765.9030019401707</v>
      </c>
      <c r="L38" s="238"/>
      <c r="M38" s="237">
        <f>+'[3]12월누계'!$F$26/1000</f>
        <v>17317.751463010401</v>
      </c>
      <c r="N38" s="238"/>
      <c r="O38" s="238"/>
    </row>
    <row r="39" spans="2:31" x14ac:dyDescent="0.3">
      <c r="E39" t="b">
        <f>+E35=E38</f>
        <v>1</v>
      </c>
      <c r="F39" t="b">
        <f>+F35=F38</f>
        <v>1</v>
      </c>
      <c r="H39" t="b">
        <f>+H35=H38</f>
        <v>0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 x14ac:dyDescent="0.3">
      <c r="E40" s="239">
        <f>+E35-E38</f>
        <v>0</v>
      </c>
      <c r="F40" s="239">
        <f>+F35-F38</f>
        <v>0</v>
      </c>
      <c r="G40" s="236"/>
      <c r="H40" s="239">
        <f>+H35-H38</f>
        <v>2.7284841053187847E-12</v>
      </c>
      <c r="I40" s="236"/>
      <c r="J40" s="239">
        <f>+J35-J38</f>
        <v>0</v>
      </c>
      <c r="K40" s="239">
        <f>+K35-K38</f>
        <v>9.0949470177292824E-12</v>
      </c>
      <c r="L40" s="236"/>
      <c r="M40" s="239">
        <f>+M35-M38</f>
        <v>0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" zoomScale="85" zoomScaleNormal="85" zoomScaleSheetLayoutView="85" workbookViewId="0">
      <selection activeCell="V24" sqref="V2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4"/>
      <c r="K1" s="6"/>
      <c r="L1" s="6"/>
      <c r="P1" s="6"/>
      <c r="Q1" s="6"/>
    </row>
    <row r="2" spans="1:32" ht="18" customHeight="1" x14ac:dyDescent="0.3">
      <c r="H2" s="7"/>
    </row>
    <row r="3" spans="1:32" ht="26.25" x14ac:dyDescent="0.3">
      <c r="H3" s="4" t="s">
        <v>213</v>
      </c>
    </row>
    <row r="4" spans="1:32" ht="18" customHeight="1" x14ac:dyDescent="0.3">
      <c r="H4" s="7"/>
    </row>
    <row r="5" spans="1:32" ht="18" customHeight="1" x14ac:dyDescent="0.3">
      <c r="H5" s="647" t="s">
        <v>11</v>
      </c>
      <c r="I5" s="648"/>
      <c r="J5" s="608" t="s">
        <v>210</v>
      </c>
      <c r="K5" s="609"/>
      <c r="L5" s="609"/>
      <c r="M5" s="609"/>
      <c r="N5" s="609"/>
      <c r="O5" s="609"/>
      <c r="P5" s="609"/>
      <c r="Q5" s="609"/>
      <c r="R5" s="609"/>
      <c r="S5" s="610"/>
      <c r="T5" s="608" t="s">
        <v>214</v>
      </c>
      <c r="U5" s="609"/>
      <c r="V5" s="609"/>
      <c r="W5" s="609"/>
      <c r="X5" s="609"/>
      <c r="Y5" s="609"/>
      <c r="Z5" s="609"/>
      <c r="AA5" s="609"/>
      <c r="AB5" s="609"/>
      <c r="AC5" s="610"/>
    </row>
    <row r="6" spans="1:32" s="8" customFormat="1" ht="19.5" customHeight="1" x14ac:dyDescent="0.3">
      <c r="G6" s="334"/>
      <c r="H6" s="647"/>
      <c r="I6" s="648"/>
      <c r="J6" s="158" t="s">
        <v>98</v>
      </c>
      <c r="K6" s="159"/>
      <c r="L6" s="159"/>
      <c r="M6" s="159"/>
      <c r="N6" s="160"/>
      <c r="O6" s="158" t="s">
        <v>205</v>
      </c>
      <c r="P6" s="159"/>
      <c r="Q6" s="159"/>
      <c r="R6" s="159"/>
      <c r="S6" s="160"/>
      <c r="T6" s="158" t="s">
        <v>98</v>
      </c>
      <c r="U6" s="159"/>
      <c r="V6" s="159"/>
      <c r="W6" s="159"/>
      <c r="X6" s="160"/>
      <c r="Y6" s="158" t="s">
        <v>98</v>
      </c>
      <c r="Z6" s="159"/>
      <c r="AA6" s="159"/>
      <c r="AB6" s="159"/>
      <c r="AC6" s="160"/>
    </row>
    <row r="7" spans="1:32" s="8" customFormat="1" ht="19.5" customHeight="1" x14ac:dyDescent="0.3">
      <c r="A7" s="8" t="s">
        <v>139</v>
      </c>
      <c r="G7" s="334"/>
      <c r="H7" s="649"/>
      <c r="I7" s="650"/>
      <c r="J7" s="161" t="s">
        <v>12</v>
      </c>
      <c r="K7" s="162" t="s">
        <v>13</v>
      </c>
      <c r="L7" s="163" t="s">
        <v>28</v>
      </c>
      <c r="M7" s="162" t="s">
        <v>14</v>
      </c>
      <c r="N7" s="164" t="s">
        <v>28</v>
      </c>
      <c r="O7" s="161" t="s">
        <v>12</v>
      </c>
      <c r="P7" s="162" t="s">
        <v>13</v>
      </c>
      <c r="Q7" s="163" t="s">
        <v>28</v>
      </c>
      <c r="R7" s="162" t="s">
        <v>14</v>
      </c>
      <c r="S7" s="164" t="s">
        <v>28</v>
      </c>
      <c r="T7" s="161" t="s">
        <v>12</v>
      </c>
      <c r="U7" s="162" t="s">
        <v>13</v>
      </c>
      <c r="V7" s="163" t="s">
        <v>28</v>
      </c>
      <c r="W7" s="162" t="s">
        <v>14</v>
      </c>
      <c r="X7" s="164" t="s">
        <v>28</v>
      </c>
      <c r="Y7" s="161" t="s">
        <v>12</v>
      </c>
      <c r="Z7" s="162" t="s">
        <v>13</v>
      </c>
      <c r="AA7" s="163" t="s">
        <v>28</v>
      </c>
      <c r="AB7" s="162" t="s">
        <v>14</v>
      </c>
      <c r="AC7" s="164" t="s">
        <v>28</v>
      </c>
    </row>
    <row r="8" spans="1:32" s="8" customFormat="1" ht="22.5" customHeight="1" x14ac:dyDescent="0.3">
      <c r="B8" s="8" t="s">
        <v>18</v>
      </c>
      <c r="G8" s="335"/>
      <c r="H8" s="72" t="s">
        <v>40</v>
      </c>
      <c r="I8" s="73" t="s">
        <v>18</v>
      </c>
      <c r="J8" s="35">
        <f>+[4]안양!$H$86/1000</f>
        <v>565.37707908205834</v>
      </c>
      <c r="K8" s="36">
        <f>+[4]안양!$I$86/1000</f>
        <v>188.842555</v>
      </c>
      <c r="L8" s="40">
        <f>+K8-J8</f>
        <v>-376.53452408205834</v>
      </c>
      <c r="M8" s="41">
        <f>+[5]안양!$H$86/1000</f>
        <v>51.528149000000077</v>
      </c>
      <c r="N8" s="39">
        <f>+K8-M8</f>
        <v>137.31440599999993</v>
      </c>
      <c r="O8" s="35">
        <f>+[4]안양!$H$92/1000</f>
        <v>383.20058383265308</v>
      </c>
      <c r="P8" s="36">
        <f>+[4]안양!$I$92/1000</f>
        <v>-59.396897731791917</v>
      </c>
      <c r="Q8" s="40">
        <f>+P8-O8</f>
        <v>-442.59748156444499</v>
      </c>
      <c r="R8" s="41">
        <f>+[5]안양!$H$92/1000</f>
        <v>-206.13204263048036</v>
      </c>
      <c r="S8" s="39">
        <f>+P8-R8</f>
        <v>146.73514489868845</v>
      </c>
      <c r="T8" s="35">
        <f>+[12]안양!$H$86/1000</f>
        <v>4666.8369213121841</v>
      </c>
      <c r="U8" s="36">
        <f>+[12]안양!$I$86/1000</f>
        <v>2559.856642999986</v>
      </c>
      <c r="V8" s="40">
        <f>+U8-T8</f>
        <v>-2106.9802783121982</v>
      </c>
      <c r="W8" s="41">
        <f>+[13]안양!$H$86/1000</f>
        <v>3848.9544989999881</v>
      </c>
      <c r="X8" s="39">
        <f>+U8-W8</f>
        <v>-1289.0978560000021</v>
      </c>
      <c r="Y8" s="35">
        <f>+[12]안양!$H$92/1000</f>
        <v>2209.0689713387433</v>
      </c>
      <c r="Z8" s="36">
        <f>+[12]안양!$I$92/1000</f>
        <v>95.736317768862932</v>
      </c>
      <c r="AA8" s="40">
        <f>+Z8-Y8</f>
        <v>-2113.3326535698802</v>
      </c>
      <c r="AB8" s="41">
        <f>+[13]안양!$H$92/1000</f>
        <v>1592.6727337865777</v>
      </c>
      <c r="AC8" s="39">
        <f>+Z8-AB8</f>
        <v>-1496.9364160177147</v>
      </c>
    </row>
    <row r="9" spans="1:32" s="8" customFormat="1" ht="22.5" customHeight="1" x14ac:dyDescent="0.3">
      <c r="B9" s="8" t="s">
        <v>19</v>
      </c>
      <c r="G9" s="336"/>
      <c r="H9" s="74" t="s">
        <v>41</v>
      </c>
      <c r="I9" s="75" t="s">
        <v>19</v>
      </c>
      <c r="J9" s="45">
        <f>+[4]인천!$H$86/1000</f>
        <v>335.03111748068665</v>
      </c>
      <c r="K9" s="46">
        <f>+[4]인천!$I$86/1000</f>
        <v>-60.530204999999917</v>
      </c>
      <c r="L9" s="47">
        <f t="shared" ref="L9:L28" si="0">+K9-J9</f>
        <v>-395.56132248068656</v>
      </c>
      <c r="M9" s="48">
        <f>+[5]인천!$H$86/1000</f>
        <v>-49.541219999999576</v>
      </c>
      <c r="N9" s="49">
        <f t="shared" ref="N9:N28" si="1">+K9-M9</f>
        <v>-10.988985000000341</v>
      </c>
      <c r="O9" s="45">
        <f>+[4]인천!$H$92/1000</f>
        <v>193.12350052116835</v>
      </c>
      <c r="P9" s="46">
        <f>+[4]인천!$I$92/1000</f>
        <v>-302.30795500566836</v>
      </c>
      <c r="Q9" s="47">
        <f t="shared" ref="Q9:Q28" si="2">+P9-O9</f>
        <v>-495.43145552683671</v>
      </c>
      <c r="R9" s="48">
        <f>+[5]인천!$H$92/1000</f>
        <v>-278.45659336775867</v>
      </c>
      <c r="S9" s="49">
        <f t="shared" ref="S9:S28" si="3">+P9-R9</f>
        <v>-23.85136163790969</v>
      </c>
      <c r="T9" s="45">
        <f>+[12]인천!$H$86/1000</f>
        <v>2196.5596801327824</v>
      </c>
      <c r="U9" s="46">
        <f>+[12]인천!$I$86/1000</f>
        <v>111.42869701999415</v>
      </c>
      <c r="V9" s="47">
        <f t="shared" ref="V9:V24" si="4">+U9-T9</f>
        <v>-2085.1309831127883</v>
      </c>
      <c r="W9" s="48">
        <f>+[13]인천!$H$86/1000</f>
        <v>1685.1571020100057</v>
      </c>
      <c r="X9" s="49">
        <f t="shared" ref="X9:X24" si="5">+U9-W9</f>
        <v>-1573.7284049900115</v>
      </c>
      <c r="Y9" s="45">
        <f>+[12]인천!$H$92/1000</f>
        <v>396.11316963513849</v>
      </c>
      <c r="Z9" s="46">
        <f>+[12]인천!$I$92/1000</f>
        <v>-2027.5849487601622</v>
      </c>
      <c r="AA9" s="47">
        <f t="shared" ref="AA9:AA24" si="6">+Z9-Y9</f>
        <v>-2423.6981183953008</v>
      </c>
      <c r="AB9" s="48">
        <f>+[13]인천!$H$92/1000</f>
        <v>8.1562106104609562</v>
      </c>
      <c r="AC9" s="49">
        <f t="shared" ref="AC9:AC24" si="7">+Z9-AB9</f>
        <v>-2035.7411593706231</v>
      </c>
    </row>
    <row r="10" spans="1:32" s="8" customFormat="1" ht="22.5" customHeight="1" x14ac:dyDescent="0.3">
      <c r="B10" s="8" t="s">
        <v>20</v>
      </c>
      <c r="G10" s="336"/>
      <c r="H10" s="74"/>
      <c r="I10" s="75" t="s">
        <v>20</v>
      </c>
      <c r="J10" s="45">
        <f>+[4]파주!$H$86/1000</f>
        <v>89.794589357558166</v>
      </c>
      <c r="K10" s="46">
        <f>+[4]파주!$I$86/1000</f>
        <v>-96.411095999999773</v>
      </c>
      <c r="L10" s="47">
        <f t="shared" si="0"/>
        <v>-186.20568535755794</v>
      </c>
      <c r="M10" s="48">
        <f>+[5]파주!$H$86/1000</f>
        <v>-160.22942599999993</v>
      </c>
      <c r="N10" s="49">
        <f t="shared" si="1"/>
        <v>63.818330000000159</v>
      </c>
      <c r="O10" s="45">
        <f>+[4]파주!$H$92/1000</f>
        <v>4.1327756243461042</v>
      </c>
      <c r="P10" s="46">
        <f>+[4]파주!$I$92/1000</f>
        <v>-200.94707195751306</v>
      </c>
      <c r="Q10" s="47">
        <f t="shared" si="2"/>
        <v>-205.07984758185916</v>
      </c>
      <c r="R10" s="48">
        <f>+[5]파주!$H$92/1000</f>
        <v>-276.87390419337311</v>
      </c>
      <c r="S10" s="49">
        <f t="shared" si="3"/>
        <v>75.926832235860047</v>
      </c>
      <c r="T10" s="45">
        <f>+[12]파주!$H$86/1000</f>
        <v>1246.0797276332653</v>
      </c>
      <c r="U10" s="46">
        <f>+[12]파주!$I$86/1000</f>
        <v>-546.10740799999667</v>
      </c>
      <c r="V10" s="47">
        <f t="shared" si="4"/>
        <v>-1792.187135633262</v>
      </c>
      <c r="W10" s="48">
        <f>+[13]파주!$H$86/1000</f>
        <v>1613.361946999996</v>
      </c>
      <c r="X10" s="49">
        <f t="shared" si="5"/>
        <v>-2159.4693549999929</v>
      </c>
      <c r="Y10" s="45">
        <f>+[12]파주!$H$92/1000</f>
        <v>-34.880022287920582</v>
      </c>
      <c r="Z10" s="46">
        <f>+[12]파주!$I$92/1000</f>
        <v>-1519.2808207568708</v>
      </c>
      <c r="AA10" s="47">
        <f t="shared" si="6"/>
        <v>-1484.4007984689501</v>
      </c>
      <c r="AB10" s="48">
        <f>+[13]파주!$H$92/1000</f>
        <v>217.97169321574691</v>
      </c>
      <c r="AC10" s="49">
        <f t="shared" si="7"/>
        <v>-1737.2525139726176</v>
      </c>
    </row>
    <row r="11" spans="1:32" s="8" customFormat="1" ht="22.5" customHeight="1" x14ac:dyDescent="0.3">
      <c r="B11" s="8" t="s">
        <v>110</v>
      </c>
      <c r="G11" s="336"/>
      <c r="H11" s="74"/>
      <c r="I11" s="75" t="s">
        <v>108</v>
      </c>
      <c r="J11" s="45">
        <f>+[4]김포!$H$86/1000</f>
        <v>122.15245846814831</v>
      </c>
      <c r="K11" s="46">
        <f>+[4]김포!$I$86/1000</f>
        <v>-39.531495999999969</v>
      </c>
      <c r="L11" s="47">
        <f t="shared" si="0"/>
        <v>-161.68395446814827</v>
      </c>
      <c r="M11" s="48">
        <f>+[5]김포!$H$86/1000</f>
        <v>-46.293550000000153</v>
      </c>
      <c r="N11" s="49">
        <f t="shared" si="1"/>
        <v>6.7620540000001839</v>
      </c>
      <c r="O11" s="45">
        <f>+[4]김포!$H$92/1000</f>
        <v>60.871439278751808</v>
      </c>
      <c r="P11" s="46">
        <f>+[4]김포!$I$92/1000</f>
        <v>-130.05977755250373</v>
      </c>
      <c r="Q11" s="47">
        <f t="shared" si="2"/>
        <v>-190.93121683125554</v>
      </c>
      <c r="R11" s="48">
        <f>+[5]김포!$H$92/1000</f>
        <v>-142.47427851847533</v>
      </c>
      <c r="S11" s="49">
        <f t="shared" si="3"/>
        <v>12.414500965971598</v>
      </c>
      <c r="T11" s="45">
        <f>+[12]김포!$H$86/1000</f>
        <v>1105.9958637866664</v>
      </c>
      <c r="U11" s="46">
        <f>+[12]김포!$I$86/1000</f>
        <v>-65.109121999999687</v>
      </c>
      <c r="V11" s="47">
        <f t="shared" si="4"/>
        <v>-1171.104985786666</v>
      </c>
      <c r="W11" s="48">
        <f>+[13]김포!$H$86/1000</f>
        <v>988.38396000000091</v>
      </c>
      <c r="X11" s="49">
        <f t="shared" si="5"/>
        <v>-1053.4930820000006</v>
      </c>
      <c r="Y11" s="45">
        <f>+[12]김포!$H$92/1000</f>
        <v>254.18413112477376</v>
      </c>
      <c r="Z11" s="46">
        <f>+[12]김포!$I$92/1000</f>
        <v>-853.96285268432132</v>
      </c>
      <c r="AA11" s="47">
        <f t="shared" si="6"/>
        <v>-1108.146983809095</v>
      </c>
      <c r="AB11" s="48">
        <f>+[13]김포!$H$92/1000</f>
        <v>282.32825617087246</v>
      </c>
      <c r="AC11" s="49">
        <f t="shared" si="7"/>
        <v>-1136.2911088551937</v>
      </c>
    </row>
    <row r="12" spans="1:32" s="8" customFormat="1" ht="22.5" customHeight="1" x14ac:dyDescent="0.3">
      <c r="B12" s="8" t="s">
        <v>21</v>
      </c>
      <c r="G12" s="334"/>
      <c r="H12" s="74"/>
      <c r="I12" s="76" t="s">
        <v>21</v>
      </c>
      <c r="J12" s="62">
        <f>+[4]부산!$H$86/1000</f>
        <v>231.81376635499586</v>
      </c>
      <c r="K12" s="63">
        <f>+[4]부산!$I$86/1000</f>
        <v>159.61886399999997</v>
      </c>
      <c r="L12" s="64">
        <f t="shared" si="0"/>
        <v>-72.194902354995889</v>
      </c>
      <c r="M12" s="65">
        <f>+[5]부산!$H$86/1000</f>
        <v>92.183808999999954</v>
      </c>
      <c r="N12" s="66">
        <f t="shared" si="1"/>
        <v>67.43505500000002</v>
      </c>
      <c r="O12" s="62">
        <f>+[4]부산!$H$92/1000</f>
        <v>128.62068847402634</v>
      </c>
      <c r="P12" s="63">
        <f>+[4]부산!$I$92/1000</f>
        <v>-38.47490292567943</v>
      </c>
      <c r="Q12" s="64">
        <f t="shared" si="2"/>
        <v>-167.09559139970577</v>
      </c>
      <c r="R12" s="65">
        <f>+[5]부산!$H$92/1000</f>
        <v>-61.779739261817596</v>
      </c>
      <c r="S12" s="66">
        <f t="shared" si="3"/>
        <v>23.304836336138166</v>
      </c>
      <c r="T12" s="62">
        <f>+[12]부산!$H$86/1000</f>
        <v>2244.4959228301373</v>
      </c>
      <c r="U12" s="63">
        <f>+[12]부산!$I$86/1000</f>
        <v>2270.3054960000054</v>
      </c>
      <c r="V12" s="64">
        <f t="shared" si="4"/>
        <v>25.809573169868145</v>
      </c>
      <c r="W12" s="65">
        <f>+[13]부산!$H$86/1000</f>
        <v>2318.2684079999972</v>
      </c>
      <c r="X12" s="66">
        <f t="shared" si="5"/>
        <v>-47.962911999991775</v>
      </c>
      <c r="Y12" s="62">
        <f>+[12]부산!$H$92/1000</f>
        <v>832.91144923572313</v>
      </c>
      <c r="Z12" s="63">
        <f>+[12]부산!$I$92/1000</f>
        <v>466.65306091461235</v>
      </c>
      <c r="AA12" s="64">
        <f t="shared" si="6"/>
        <v>-366.25838832111077</v>
      </c>
      <c r="AB12" s="65">
        <f>+[13]부산!$H$92/1000</f>
        <v>1006.967098748961</v>
      </c>
      <c r="AC12" s="66">
        <f t="shared" si="7"/>
        <v>-540.31403783434871</v>
      </c>
      <c r="AD12" s="488"/>
      <c r="AE12" s="86"/>
    </row>
    <row r="13" spans="1:32" s="8" customFormat="1" ht="22.5" customHeight="1" x14ac:dyDescent="0.3">
      <c r="B13" s="8" t="s">
        <v>22</v>
      </c>
      <c r="G13" s="334"/>
      <c r="H13" s="74"/>
      <c r="I13" s="75" t="s">
        <v>22</v>
      </c>
      <c r="J13" s="45">
        <f>+[4]서부산!$H$86/1000</f>
        <v>266.46367609336534</v>
      </c>
      <c r="K13" s="46">
        <f>+[4]서부산!$I$86/1000</f>
        <v>119.86851599999997</v>
      </c>
      <c r="L13" s="47">
        <f t="shared" si="0"/>
        <v>-146.59516009336537</v>
      </c>
      <c r="M13" s="48">
        <f>+[5]서부산!$H$86/1000</f>
        <v>163.09231399999985</v>
      </c>
      <c r="N13" s="49">
        <f t="shared" si="1"/>
        <v>-43.223797999999874</v>
      </c>
      <c r="O13" s="45">
        <f>+[4]서부산!$H$92/1000</f>
        <v>166.99470938212451</v>
      </c>
      <c r="P13" s="46">
        <f>+[4]서부산!$I$92/1000</f>
        <v>-42.724481157756323</v>
      </c>
      <c r="Q13" s="47">
        <f t="shared" si="2"/>
        <v>-209.71919053988083</v>
      </c>
      <c r="R13" s="48">
        <f>+[5]서부산!$H$92/1000</f>
        <v>-20.503483169522603</v>
      </c>
      <c r="S13" s="49">
        <f t="shared" si="3"/>
        <v>-22.220997988233719</v>
      </c>
      <c r="T13" s="45">
        <f>+[12]서부산!$H$86/1000</f>
        <v>2343.0767859189855</v>
      </c>
      <c r="U13" s="46">
        <f>+[12]서부산!$I$86/1000</f>
        <v>1539.9346089999985</v>
      </c>
      <c r="V13" s="47">
        <f t="shared" si="4"/>
        <v>-803.14217691898693</v>
      </c>
      <c r="W13" s="48">
        <f>+[13]서부산!$H$86/1000</f>
        <v>2578.5721959999987</v>
      </c>
      <c r="X13" s="49">
        <f t="shared" si="5"/>
        <v>-1038.6375870000002</v>
      </c>
      <c r="Y13" s="45">
        <f>+[12]서부산!$H$92/1000</f>
        <v>1050.568806900063</v>
      </c>
      <c r="Z13" s="46">
        <f>+[12]서부산!$I$92/1000</f>
        <v>105.351857641384</v>
      </c>
      <c r="AA13" s="47">
        <f t="shared" si="6"/>
        <v>-945.21694925867905</v>
      </c>
      <c r="AB13" s="48">
        <f>+[13]서부산!$H$92/1000</f>
        <v>1254.8137289116103</v>
      </c>
      <c r="AC13" s="49">
        <f t="shared" si="7"/>
        <v>-1149.4618712702263</v>
      </c>
    </row>
    <row r="14" spans="1:32" s="8" customFormat="1" ht="22.5" customHeight="1" x14ac:dyDescent="0.3">
      <c r="B14" s="8" t="s">
        <v>23</v>
      </c>
      <c r="G14" s="334"/>
      <c r="H14" s="74"/>
      <c r="I14" s="75" t="s">
        <v>23</v>
      </c>
      <c r="J14" s="45">
        <f>+[4]김해!$H$86/1000</f>
        <v>149.52482617907916</v>
      </c>
      <c r="K14" s="46">
        <f>+[4]김해!$I$86/1000</f>
        <v>-123.04864999999991</v>
      </c>
      <c r="L14" s="47">
        <f t="shared" si="0"/>
        <v>-272.57347617907908</v>
      </c>
      <c r="M14" s="48">
        <f>+[5]김해!$H$86/1000</f>
        <v>-58.22594600000005</v>
      </c>
      <c r="N14" s="49">
        <f t="shared" si="1"/>
        <v>-64.82270399999986</v>
      </c>
      <c r="O14" s="45">
        <f>+[4]김해!$H$92/1000</f>
        <v>82.419352116829018</v>
      </c>
      <c r="P14" s="46">
        <f>+[4]김해!$I$92/1000</f>
        <v>-164.33591569009567</v>
      </c>
      <c r="Q14" s="47">
        <f t="shared" si="2"/>
        <v>-246.75526780692468</v>
      </c>
      <c r="R14" s="48">
        <f>+[5]김해!$H$92/1000</f>
        <v>-147.31411423403779</v>
      </c>
      <c r="S14" s="49">
        <f t="shared" si="3"/>
        <v>-17.021801456057887</v>
      </c>
      <c r="T14" s="45">
        <f>+[12]김해!$H$86/1000</f>
        <v>1458.3036825061588</v>
      </c>
      <c r="U14" s="46">
        <f>+[12]김해!$I$86/1000</f>
        <v>-508.92871299999882</v>
      </c>
      <c r="V14" s="47">
        <f t="shared" si="4"/>
        <v>-1967.2323955061577</v>
      </c>
      <c r="W14" s="48">
        <f>+[13]김해!$H$86/1000</f>
        <v>746.29403399999808</v>
      </c>
      <c r="X14" s="49">
        <f t="shared" si="5"/>
        <v>-1255.2227469999968</v>
      </c>
      <c r="Y14" s="45">
        <f>+[12]김해!$H$92/1000</f>
        <v>562.6717252581949</v>
      </c>
      <c r="Z14" s="46">
        <f>+[12]김해!$I$92/1000</f>
        <v>-1123.3947399014755</v>
      </c>
      <c r="AA14" s="47">
        <f t="shared" si="6"/>
        <v>-1686.0664651596703</v>
      </c>
      <c r="AB14" s="48">
        <f>+[13]김해!$H$92/1000</f>
        <v>-37.138406381738839</v>
      </c>
      <c r="AC14" s="49">
        <f t="shared" si="7"/>
        <v>-1086.2563335197367</v>
      </c>
      <c r="AF14" s="484"/>
    </row>
    <row r="15" spans="1:32" s="8" customFormat="1" ht="22.5" customHeight="1" x14ac:dyDescent="0.3">
      <c r="B15" s="8" t="s">
        <v>24</v>
      </c>
      <c r="G15" s="334"/>
      <c r="H15" s="74"/>
      <c r="I15" s="75" t="s">
        <v>24</v>
      </c>
      <c r="J15" s="45">
        <f>+[4]정관!$H$86/1000</f>
        <v>208.30032750253207</v>
      </c>
      <c r="K15" s="46">
        <f>+[4]정관!$I$86/1000</f>
        <v>0.43159100000011674</v>
      </c>
      <c r="L15" s="47">
        <f t="shared" si="0"/>
        <v>-207.86873650253196</v>
      </c>
      <c r="M15" s="48">
        <f>+[5]정관!$H$86/1000</f>
        <v>101.28181700000007</v>
      </c>
      <c r="N15" s="49">
        <f t="shared" si="1"/>
        <v>-100.85022599999996</v>
      </c>
      <c r="O15" s="45">
        <f>+[4]정관!$H$92/1000</f>
        <v>115.01110313538523</v>
      </c>
      <c r="P15" s="46">
        <f>+[4]정관!$I$92/1000</f>
        <v>-138.32215094000986</v>
      </c>
      <c r="Q15" s="47">
        <f t="shared" si="2"/>
        <v>-253.33325407539508</v>
      </c>
      <c r="R15" s="48">
        <f>+[5]정관!$H$92/1000</f>
        <v>-76.666761842866634</v>
      </c>
      <c r="S15" s="49">
        <f t="shared" si="3"/>
        <v>-61.655389097143228</v>
      </c>
      <c r="T15" s="45">
        <f>+[12]정관!$H$86/1000</f>
        <v>1986.8090105482054</v>
      </c>
      <c r="U15" s="46">
        <f>+[12]정관!$I$86/1000</f>
        <v>1811.5968020000053</v>
      </c>
      <c r="V15" s="47">
        <f t="shared" si="4"/>
        <v>-175.21220854820012</v>
      </c>
      <c r="W15" s="48">
        <f>+[13]정관!$H$86/1000</f>
        <v>1985.4718679999985</v>
      </c>
      <c r="X15" s="49">
        <f t="shared" si="5"/>
        <v>-173.87506599999324</v>
      </c>
      <c r="Y15" s="45">
        <f>+[12]정관!$H$92/1000</f>
        <v>699.7189245529147</v>
      </c>
      <c r="Z15" s="46">
        <f>+[12]정관!$I$92/1000</f>
        <v>67.514546885226622</v>
      </c>
      <c r="AA15" s="47">
        <f t="shared" si="6"/>
        <v>-632.20437766768805</v>
      </c>
      <c r="AB15" s="48">
        <f>+[13]정관!$H$92/1000</f>
        <v>725.0019000681599</v>
      </c>
      <c r="AC15" s="49">
        <f t="shared" si="7"/>
        <v>-657.48735318293325</v>
      </c>
      <c r="AF15" s="484"/>
    </row>
    <row r="16" spans="1:32" s="8" customFormat="1" ht="22.5" customHeight="1" x14ac:dyDescent="0.3">
      <c r="B16" s="8" t="s">
        <v>25</v>
      </c>
      <c r="G16" s="334"/>
      <c r="H16" s="74"/>
      <c r="I16" s="75" t="s">
        <v>25</v>
      </c>
      <c r="J16" s="45">
        <f>+[4]양산!$H$86/1000</f>
        <v>115.63862059279647</v>
      </c>
      <c r="K16" s="46">
        <f>+[4]양산!$I$86/1000</f>
        <v>-104.94569900000002</v>
      </c>
      <c r="L16" s="47">
        <f t="shared" si="0"/>
        <v>-220.58431959279648</v>
      </c>
      <c r="M16" s="48">
        <f>+[5]양산!$H$86/1000</f>
        <v>-28.828367000000028</v>
      </c>
      <c r="N16" s="49">
        <f t="shared" si="1"/>
        <v>-76.11733199999999</v>
      </c>
      <c r="O16" s="45">
        <f>+[4]양산!$H$92/1000</f>
        <v>62.39133854036892</v>
      </c>
      <c r="P16" s="46">
        <f>+[4]양산!$I$92/1000</f>
        <v>-153.85481762250879</v>
      </c>
      <c r="Q16" s="47">
        <f t="shared" si="2"/>
        <v>-216.2461561628777</v>
      </c>
      <c r="R16" s="48">
        <f>+[5]양산!$H$92/1000</f>
        <v>-103.32208128997142</v>
      </c>
      <c r="S16" s="49">
        <f t="shared" si="3"/>
        <v>-50.532736332537368</v>
      </c>
      <c r="T16" s="45">
        <f>+[12]양산!$H$86/1000</f>
        <v>1150.7519988666256</v>
      </c>
      <c r="U16" s="46">
        <f>+[12]양산!$I$86/1000</f>
        <v>-221.93098499999897</v>
      </c>
      <c r="V16" s="47">
        <f t="shared" si="4"/>
        <v>-1372.6829838666247</v>
      </c>
      <c r="W16" s="48">
        <f>+[13]양산!$H$86/1000</f>
        <v>1156.0375940000006</v>
      </c>
      <c r="X16" s="49">
        <f t="shared" si="5"/>
        <v>-1377.9685789999996</v>
      </c>
      <c r="Y16" s="45">
        <f>+[12]양산!$H$92/1000</f>
        <v>428.52420679066029</v>
      </c>
      <c r="Z16" s="46">
        <f>+[12]양산!$I$92/1000</f>
        <v>-762.50578864237912</v>
      </c>
      <c r="AA16" s="47">
        <f t="shared" si="6"/>
        <v>-1191.0299954330394</v>
      </c>
      <c r="AB16" s="48">
        <f>+[13]양산!$H$92/1000</f>
        <v>443.31351375884935</v>
      </c>
      <c r="AC16" s="49">
        <f t="shared" si="7"/>
        <v>-1205.8193024012285</v>
      </c>
      <c r="AF16" s="484"/>
    </row>
    <row r="17" spans="2:30" s="8" customFormat="1" ht="22.5" customHeight="1" x14ac:dyDescent="0.3">
      <c r="B17" s="8" t="s">
        <v>26</v>
      </c>
      <c r="G17" s="334"/>
      <c r="H17" s="74"/>
      <c r="I17" s="75" t="s">
        <v>26</v>
      </c>
      <c r="J17" s="45">
        <f>+[4]창원!$H$86/1000</f>
        <v>309.29623053200498</v>
      </c>
      <c r="K17" s="46">
        <f>+[4]창원!$I$86/1000</f>
        <v>53.035499000000065</v>
      </c>
      <c r="L17" s="47">
        <f t="shared" si="0"/>
        <v>-256.26073153200491</v>
      </c>
      <c r="M17" s="48">
        <f>+[5]창원!$H$86/1000</f>
        <v>72.758356999999975</v>
      </c>
      <c r="N17" s="49">
        <f t="shared" si="1"/>
        <v>-19.72285799999991</v>
      </c>
      <c r="O17" s="45">
        <f>+[4]창원!$H$92/1000</f>
        <v>225.02597726932018</v>
      </c>
      <c r="P17" s="46">
        <f>+[4]창원!$I$92/1000</f>
        <v>-36.530083098012604</v>
      </c>
      <c r="Q17" s="47">
        <f t="shared" si="2"/>
        <v>-261.5560603673328</v>
      </c>
      <c r="R17" s="48">
        <f>+[5]창원!$H$92/1000</f>
        <v>-25.335978369279431</v>
      </c>
      <c r="S17" s="49">
        <f t="shared" si="3"/>
        <v>-11.194104728733173</v>
      </c>
      <c r="T17" s="45">
        <f>+[12]창원!$H$86/1000</f>
        <v>1688.4607473858252</v>
      </c>
      <c r="U17" s="46">
        <f>+[12]창원!$I$86/1000</f>
        <v>385.41136400000119</v>
      </c>
      <c r="V17" s="47">
        <f t="shared" si="4"/>
        <v>-1303.0493833858241</v>
      </c>
      <c r="W17" s="48">
        <f>+[13]창원!$H$86/1000</f>
        <v>2645.6140320000013</v>
      </c>
      <c r="X17" s="49">
        <f t="shared" si="5"/>
        <v>-2260.2026679999999</v>
      </c>
      <c r="Y17" s="45">
        <f>+[12]창원!$H$92/1000</f>
        <v>831.71486191506142</v>
      </c>
      <c r="Z17" s="46">
        <f>+[12]창원!$I$92/1000</f>
        <v>-379.43658076016936</v>
      </c>
      <c r="AA17" s="47">
        <f t="shared" si="6"/>
        <v>-1211.1514426752308</v>
      </c>
      <c r="AB17" s="48">
        <f>+[13]창원!$H$92/1000</f>
        <v>1610.0849907629643</v>
      </c>
      <c r="AC17" s="49">
        <f t="shared" si="7"/>
        <v>-1989.5215715231336</v>
      </c>
    </row>
    <row r="18" spans="2:30" s="8" customFormat="1" ht="22.5" customHeight="1" x14ac:dyDescent="0.3">
      <c r="B18" s="8" t="s">
        <v>70</v>
      </c>
      <c r="G18" s="334"/>
      <c r="H18" s="74"/>
      <c r="I18" s="75" t="s">
        <v>70</v>
      </c>
      <c r="J18" s="45">
        <f>+[4]대구!$H$86/1000</f>
        <v>102.30373266450627</v>
      </c>
      <c r="K18" s="46">
        <f>+[4]대구!$I$86/1000</f>
        <v>-127.93189900000006</v>
      </c>
      <c r="L18" s="47">
        <f t="shared" si="0"/>
        <v>-230.23563166450634</v>
      </c>
      <c r="M18" s="48">
        <f>+[5]대구!$H$86/1000</f>
        <v>168.03998099999998</v>
      </c>
      <c r="N18" s="49">
        <f t="shared" si="1"/>
        <v>-295.97188000000006</v>
      </c>
      <c r="O18" s="45">
        <f>+[4]대구!$H$92/1000</f>
        <v>51.462095787093176</v>
      </c>
      <c r="P18" s="46">
        <f>+[4]대구!$I$92/1000</f>
        <v>-156.22517942260544</v>
      </c>
      <c r="Q18" s="47">
        <f t="shared" si="2"/>
        <v>-207.68727520969861</v>
      </c>
      <c r="R18" s="48">
        <f>+[5]대구!$H$92/1000</f>
        <v>27.974851543324242</v>
      </c>
      <c r="S18" s="49">
        <f t="shared" si="3"/>
        <v>-184.20003096592967</v>
      </c>
      <c r="T18" s="45">
        <f>+[12]대구!$H$86/1000</f>
        <v>1302.9749098342681</v>
      </c>
      <c r="U18" s="46">
        <f>+[12]대구!$I$86/1000</f>
        <v>-172.18243100000072</v>
      </c>
      <c r="V18" s="47">
        <f t="shared" si="4"/>
        <v>-1475.1573408342688</v>
      </c>
      <c r="W18" s="48">
        <f>+[13]대구!$H$86/1000</f>
        <v>2551.5007159999986</v>
      </c>
      <c r="X18" s="49">
        <f t="shared" si="5"/>
        <v>-2723.6831469999993</v>
      </c>
      <c r="Y18" s="45">
        <f>+[12]대구!$H$92/1000</f>
        <v>529.97285519609773</v>
      </c>
      <c r="Z18" s="46">
        <f>+[12]대구!$I$92/1000</f>
        <v>-841.86907723171646</v>
      </c>
      <c r="AA18" s="47">
        <f t="shared" si="6"/>
        <v>-1371.8419324278143</v>
      </c>
      <c r="AB18" s="48">
        <f>+[13]대구!$H$92/1000</f>
        <v>1558.0892819160429</v>
      </c>
      <c r="AC18" s="49">
        <f t="shared" si="7"/>
        <v>-2399.9583591477594</v>
      </c>
    </row>
    <row r="19" spans="2:30" s="8" customFormat="1" ht="22.5" customHeight="1" x14ac:dyDescent="0.3">
      <c r="B19" s="8" t="s">
        <v>71</v>
      </c>
      <c r="G19" s="336"/>
      <c r="H19" s="74"/>
      <c r="I19" s="77" t="s">
        <v>71</v>
      </c>
      <c r="J19" s="9">
        <f>+[4]울산!$H$86/1000</f>
        <v>117.75725529229071</v>
      </c>
      <c r="K19" s="10">
        <f>+[4]울산!$I$86/1000</f>
        <v>66.511148999999833</v>
      </c>
      <c r="L19" s="11">
        <f t="shared" si="0"/>
        <v>-51.246106292290875</v>
      </c>
      <c r="M19" s="12">
        <f>+[5]울산!$H$86/1000</f>
        <v>24.366226000000118</v>
      </c>
      <c r="N19" s="13">
        <f t="shared" si="1"/>
        <v>42.144922999999714</v>
      </c>
      <c r="O19" s="9">
        <f>+[4]울산!$H$92/1000</f>
        <v>61.230419176221901</v>
      </c>
      <c r="P19" s="10">
        <f>+[4]울산!$I$92/1000</f>
        <v>-46.272001664199053</v>
      </c>
      <c r="Q19" s="11">
        <f t="shared" si="2"/>
        <v>-107.50242084042095</v>
      </c>
      <c r="R19" s="12">
        <f>+[5]울산!$H$92/1000</f>
        <v>-74.628236703600564</v>
      </c>
      <c r="S19" s="13">
        <f t="shared" si="3"/>
        <v>28.356235039401511</v>
      </c>
      <c r="T19" s="9">
        <f>+[12]울산!$H$86/1000</f>
        <v>1182.5189533401372</v>
      </c>
      <c r="U19" s="10">
        <f>+[12]울산!$I$86/1000</f>
        <v>1075.6327819999983</v>
      </c>
      <c r="V19" s="11">
        <f t="shared" si="4"/>
        <v>-106.88617134013884</v>
      </c>
      <c r="W19" s="12">
        <f>+[13]울산!$H$86/1000</f>
        <v>1432.4138080000007</v>
      </c>
      <c r="X19" s="13">
        <f t="shared" si="5"/>
        <v>-356.78102600000238</v>
      </c>
      <c r="Y19" s="9">
        <f>+[12]울산!$H$92/1000</f>
        <v>375.05523198723876</v>
      </c>
      <c r="Z19" s="10">
        <f>+[12]울산!$I$92/1000</f>
        <v>113.30687493961537</v>
      </c>
      <c r="AA19" s="11">
        <f t="shared" si="6"/>
        <v>-261.74835704762336</v>
      </c>
      <c r="AB19" s="12">
        <f>+[13]울산!$H$92/1000</f>
        <v>687.88007162252916</v>
      </c>
      <c r="AC19" s="13">
        <f t="shared" si="7"/>
        <v>-574.57319668291382</v>
      </c>
    </row>
    <row r="20" spans="2:30" s="8" customFormat="1" ht="22.5" customHeight="1" x14ac:dyDescent="0.3">
      <c r="B20" s="8" t="s">
        <v>76</v>
      </c>
      <c r="G20" s="336"/>
      <c r="H20" s="74"/>
      <c r="I20" s="75" t="s">
        <v>27</v>
      </c>
      <c r="J20" s="45">
        <f>+[4]아산!$H$86/1000</f>
        <v>333.50741939072418</v>
      </c>
      <c r="K20" s="46">
        <f>+[4]아산!$I$86/1000</f>
        <v>68.806506000000169</v>
      </c>
      <c r="L20" s="47">
        <f t="shared" si="0"/>
        <v>-264.700913390724</v>
      </c>
      <c r="M20" s="48">
        <f>+[5]아산!$H$86/1000</f>
        <v>58.469241000000345</v>
      </c>
      <c r="N20" s="49">
        <f t="shared" si="1"/>
        <v>10.337264999999825</v>
      </c>
      <c r="O20" s="45">
        <f>+[4]아산!$H$92/1000</f>
        <v>228.08400255918914</v>
      </c>
      <c r="P20" s="46">
        <f>+[4]아산!$I$92/1000</f>
        <v>-82.739351280940696</v>
      </c>
      <c r="Q20" s="47">
        <f t="shared" si="2"/>
        <v>-310.82335384012981</v>
      </c>
      <c r="R20" s="48">
        <f>+[5]아산!$H$92/1000</f>
        <v>-112.5615629305213</v>
      </c>
      <c r="S20" s="49">
        <f t="shared" si="3"/>
        <v>29.822211649580609</v>
      </c>
      <c r="T20" s="45">
        <f>+[12]아산!$H$86/1000</f>
        <v>3587.5204190494037</v>
      </c>
      <c r="U20" s="46">
        <f>+[12]아산!$I$86/1000</f>
        <v>1088.7265860000011</v>
      </c>
      <c r="V20" s="47">
        <f t="shared" si="4"/>
        <v>-2498.7938330494026</v>
      </c>
      <c r="W20" s="48">
        <f>+[13]아산!$H$86/1000</f>
        <v>4186.6873590000005</v>
      </c>
      <c r="X20" s="49">
        <f t="shared" si="5"/>
        <v>-3097.9607729999993</v>
      </c>
      <c r="Y20" s="45">
        <f>+[12]아산!$H$92/1000</f>
        <v>2172.6822341569746</v>
      </c>
      <c r="Z20" s="46">
        <f>+[12]아산!$I$92/1000</f>
        <v>-520.89958937887991</v>
      </c>
      <c r="AA20" s="47">
        <f t="shared" si="6"/>
        <v>-2693.5818235358547</v>
      </c>
      <c r="AB20" s="48">
        <f>+[13]아산!$H$92/1000</f>
        <v>2612.1804490654035</v>
      </c>
      <c r="AC20" s="49">
        <f t="shared" si="7"/>
        <v>-3133.0800384442837</v>
      </c>
    </row>
    <row r="21" spans="2:30" s="8" customFormat="1" ht="22.5" customHeight="1" x14ac:dyDescent="0.3">
      <c r="B21" s="8" t="s">
        <v>72</v>
      </c>
      <c r="G21" s="336"/>
      <c r="H21" s="74"/>
      <c r="I21" s="75" t="s">
        <v>72</v>
      </c>
      <c r="J21" s="45">
        <f>+[4]전주!$H$86/1000</f>
        <v>158.2608418803533</v>
      </c>
      <c r="K21" s="46">
        <f>+[4]전주!$I$86/1000</f>
        <v>24.639246000000146</v>
      </c>
      <c r="L21" s="47">
        <f t="shared" si="0"/>
        <v>-133.62159588035314</v>
      </c>
      <c r="M21" s="48">
        <f>+[5]전주!$H$86/1000</f>
        <v>10.653326999999878</v>
      </c>
      <c r="N21" s="49">
        <f t="shared" si="1"/>
        <v>13.985919000000267</v>
      </c>
      <c r="O21" s="45">
        <f>+[4]전주!$H$92/1000</f>
        <v>112.73126443018013</v>
      </c>
      <c r="P21" s="46">
        <f>+[4]전주!$I$92/1000</f>
        <v>-59.653322245693779</v>
      </c>
      <c r="Q21" s="47">
        <f t="shared" si="2"/>
        <v>-172.38458667587392</v>
      </c>
      <c r="R21" s="48">
        <f>+[5]전주!$H$92/1000</f>
        <v>-63.877251764145434</v>
      </c>
      <c r="S21" s="49">
        <f t="shared" si="3"/>
        <v>4.223929518451655</v>
      </c>
      <c r="T21" s="45">
        <f>+[12]전주!$H$86/1000</f>
        <v>1511.157430726061</v>
      </c>
      <c r="U21" s="46">
        <f>+[12]전주!$I$86/1000</f>
        <v>1437.3909389999992</v>
      </c>
      <c r="V21" s="47">
        <f t="shared" si="4"/>
        <v>-73.766491726061759</v>
      </c>
      <c r="W21" s="48">
        <f>+[13]전주!$H$86/1000</f>
        <v>640.0170049999997</v>
      </c>
      <c r="X21" s="49">
        <f t="shared" si="5"/>
        <v>797.37393399999951</v>
      </c>
      <c r="Y21" s="45">
        <f>+[12]전주!$H$92/1000</f>
        <v>854.74793086863258</v>
      </c>
      <c r="Z21" s="46">
        <f>+[12]전주!$I$92/1000</f>
        <v>460.04774937819133</v>
      </c>
      <c r="AA21" s="47">
        <f t="shared" si="6"/>
        <v>-394.70018149044125</v>
      </c>
      <c r="AB21" s="48">
        <f>+[13]전주!$H$92/1000</f>
        <v>143.44046078773297</v>
      </c>
      <c r="AC21" s="49">
        <f t="shared" si="7"/>
        <v>316.60728859045832</v>
      </c>
    </row>
    <row r="22" spans="2:30" s="8" customFormat="1" ht="22.5" customHeight="1" x14ac:dyDescent="0.3">
      <c r="B22" s="8" t="s">
        <v>73</v>
      </c>
      <c r="G22" s="336"/>
      <c r="H22" s="74"/>
      <c r="I22" s="75" t="s">
        <v>73</v>
      </c>
      <c r="J22" s="45">
        <f>+[4]군산!$H$86/1000</f>
        <v>198.94578229126492</v>
      </c>
      <c r="K22" s="46">
        <f>+[4]군산!$I$86/1000</f>
        <v>36.294072</v>
      </c>
      <c r="L22" s="47">
        <f t="shared" si="0"/>
        <v>-162.65171029126492</v>
      </c>
      <c r="M22" s="48">
        <f>+[5]군산!$H$86/1000</f>
        <v>80.152253999999999</v>
      </c>
      <c r="N22" s="49">
        <f t="shared" si="1"/>
        <v>-43.858181999999999</v>
      </c>
      <c r="O22" s="45">
        <f>+[4]군산!$H$92/1000</f>
        <v>164.83151792142277</v>
      </c>
      <c r="P22" s="46">
        <f>+[4]군산!$I$92/1000</f>
        <v>5.5492009796599957</v>
      </c>
      <c r="Q22" s="47">
        <f t="shared" si="2"/>
        <v>-159.28231694176279</v>
      </c>
      <c r="R22" s="48">
        <f>+[5]군산!$H$92/1000</f>
        <v>35.722281757007359</v>
      </c>
      <c r="S22" s="49">
        <f t="shared" si="3"/>
        <v>-30.173080777347362</v>
      </c>
      <c r="T22" s="45">
        <f>+[12]군산!$H$86/1000</f>
        <v>2246.8230330787801</v>
      </c>
      <c r="U22" s="46">
        <f>+[12]군산!$I$86/1000</f>
        <v>1077.326097999998</v>
      </c>
      <c r="V22" s="47">
        <f t="shared" si="4"/>
        <v>-1169.4969350787821</v>
      </c>
      <c r="W22" s="48">
        <f>+[13]군산!$H$86/1000</f>
        <v>2923.9684300000026</v>
      </c>
      <c r="X22" s="49">
        <f t="shared" si="5"/>
        <v>-1846.6423320000047</v>
      </c>
      <c r="Y22" s="45">
        <f>+[12]군산!$H$92/1000</f>
        <v>1767.4933342005531</v>
      </c>
      <c r="Z22" s="46">
        <f>+[12]군산!$I$92/1000</f>
        <v>675.37604782760422</v>
      </c>
      <c r="AA22" s="47">
        <f t="shared" si="6"/>
        <v>-1092.1172863729489</v>
      </c>
      <c r="AB22" s="48">
        <f>+[13]군산!$H$92/1000</f>
        <v>2379.6403300245902</v>
      </c>
      <c r="AC22" s="49">
        <f t="shared" si="7"/>
        <v>-1704.264282196986</v>
      </c>
    </row>
    <row r="23" spans="2:30" s="8" customFormat="1" ht="22.5" customHeight="1" x14ac:dyDescent="0.3">
      <c r="B23" s="8" t="s">
        <v>74</v>
      </c>
      <c r="G23" s="336"/>
      <c r="H23" s="74"/>
      <c r="I23" s="75" t="s">
        <v>74</v>
      </c>
      <c r="J23" s="45">
        <f>+[4]원주!$H$86/1000</f>
        <v>60.992161095369369</v>
      </c>
      <c r="K23" s="46">
        <f>+[4]원주!$I$86/1000</f>
        <v>1.3292569999999477</v>
      </c>
      <c r="L23" s="47">
        <f t="shared" si="0"/>
        <v>-59.66290409536942</v>
      </c>
      <c r="M23" s="48">
        <f>+[5]원주!$H$86/1000</f>
        <v>39.135276999999988</v>
      </c>
      <c r="N23" s="49">
        <f t="shared" si="1"/>
        <v>-37.806020000000039</v>
      </c>
      <c r="O23" s="45">
        <f>+[4]원주!$H$92/1000</f>
        <v>42.650533623319781</v>
      </c>
      <c r="P23" s="46">
        <f>+[4]원주!$I$92/1000</f>
        <v>-27.134323024864436</v>
      </c>
      <c r="Q23" s="47">
        <f t="shared" si="2"/>
        <v>-69.784856648184217</v>
      </c>
      <c r="R23" s="48">
        <f>+[5]원주!$H$92/1000</f>
        <v>4.8569294578201587</v>
      </c>
      <c r="S23" s="49">
        <f t="shared" si="3"/>
        <v>-31.991252482684594</v>
      </c>
      <c r="T23" s="45">
        <f>+[12]원주!$H$86/1000</f>
        <v>1009.3796795528963</v>
      </c>
      <c r="U23" s="46">
        <f>+[12]원주!$I$86/1000</f>
        <v>227.56159500000027</v>
      </c>
      <c r="V23" s="47">
        <f t="shared" si="4"/>
        <v>-781.81808455289604</v>
      </c>
      <c r="W23" s="48">
        <f>+[13]원주!$H$86/1000</f>
        <v>1368.5219359999996</v>
      </c>
      <c r="X23" s="49">
        <f t="shared" si="5"/>
        <v>-1140.9603409999993</v>
      </c>
      <c r="Y23" s="45">
        <f>+[12]원주!$H$92/1000</f>
        <v>695.34795344412646</v>
      </c>
      <c r="Z23" s="46">
        <f>+[12]원주!$I$92/1000</f>
        <v>-32.012261753321162</v>
      </c>
      <c r="AA23" s="47">
        <f t="shared" si="6"/>
        <v>-727.36021519744759</v>
      </c>
      <c r="AB23" s="48">
        <f>+[13]원주!$H$92/1000</f>
        <v>1013.3348093276308</v>
      </c>
      <c r="AC23" s="49">
        <f t="shared" si="7"/>
        <v>-1045.347071080952</v>
      </c>
    </row>
    <row r="24" spans="2:30" s="8" customFormat="1" ht="22.5" customHeight="1" x14ac:dyDescent="0.3">
      <c r="B24" s="8" t="s">
        <v>75</v>
      </c>
      <c r="F24" s="84"/>
      <c r="G24" s="334"/>
      <c r="H24" s="74"/>
      <c r="I24" s="75" t="s">
        <v>75</v>
      </c>
      <c r="J24" s="45">
        <f>+[4]제주!$H$86/1000</f>
        <v>226.38407367099271</v>
      </c>
      <c r="K24" s="46">
        <f>+[4]제주!$I$86/1000</f>
        <v>42.520961999999969</v>
      </c>
      <c r="L24" s="47">
        <f t="shared" si="0"/>
        <v>-183.86311167099274</v>
      </c>
      <c r="M24" s="48">
        <f>+[5]제주!$H$86/1000</f>
        <v>49.681542999999991</v>
      </c>
      <c r="N24" s="49">
        <f t="shared" si="1"/>
        <v>-7.1605810000000218</v>
      </c>
      <c r="O24" s="45">
        <f>+[4]제주!$H$92/1000</f>
        <v>176.04740130719188</v>
      </c>
      <c r="P24" s="46">
        <f>+[4]제주!$I$92/1000</f>
        <v>-2.5305222061224559</v>
      </c>
      <c r="Q24" s="47">
        <f t="shared" si="2"/>
        <v>-178.57792351331435</v>
      </c>
      <c r="R24" s="48">
        <f>+[5]제주!$H$92/1000</f>
        <v>-3.5449117814663623E-2</v>
      </c>
      <c r="S24" s="49">
        <f t="shared" si="3"/>
        <v>-2.4950730883077923</v>
      </c>
      <c r="T24" s="45">
        <f>+[12]제주!$H$86/1000</f>
        <v>2003.843179219745</v>
      </c>
      <c r="U24" s="46">
        <f>+[12]제주!$I$86/1000</f>
        <v>705.23831400000233</v>
      </c>
      <c r="V24" s="47">
        <f t="shared" si="4"/>
        <v>-1298.6048652197428</v>
      </c>
      <c r="W24" s="48">
        <f>+[13]제주!$H$86/1000</f>
        <v>368.05902499999894</v>
      </c>
      <c r="X24" s="49">
        <f t="shared" si="5"/>
        <v>337.17928900000339</v>
      </c>
      <c r="Y24" s="45">
        <f>+[12]제주!$H$92/1000</f>
        <v>1369.0504383588473</v>
      </c>
      <c r="Z24" s="46">
        <f>+[12]제주!$I$92/1000</f>
        <v>189.54113622826023</v>
      </c>
      <c r="AA24" s="47">
        <f t="shared" si="6"/>
        <v>-1179.509302130587</v>
      </c>
      <c r="AB24" s="48">
        <f>+[13]제주!$H$92/1000</f>
        <v>95.067341844691782</v>
      </c>
      <c r="AC24" s="49">
        <f t="shared" si="7"/>
        <v>94.473794383568446</v>
      </c>
    </row>
    <row r="25" spans="2:30" s="8" customFormat="1" ht="22.5" customHeight="1" x14ac:dyDescent="0.3">
      <c r="F25" s="495"/>
      <c r="G25" s="337"/>
      <c r="H25" s="74"/>
      <c r="I25" s="78" t="s">
        <v>42</v>
      </c>
      <c r="J25" s="22">
        <f>SUM(J8:J11)</f>
        <v>1112.3552443884514</v>
      </c>
      <c r="K25" s="19">
        <f>SUM(K8:K11)</f>
        <v>-7.6302419999996474</v>
      </c>
      <c r="L25" s="20">
        <f t="shared" si="0"/>
        <v>-1119.9854863884511</v>
      </c>
      <c r="M25" s="24">
        <f>SUM(M8:M11)</f>
        <v>-204.5360469999996</v>
      </c>
      <c r="N25" s="21">
        <f t="shared" si="1"/>
        <v>196.90580499999996</v>
      </c>
      <c r="O25" s="22">
        <f>SUM(O8:O11)</f>
        <v>641.32829925691942</v>
      </c>
      <c r="P25" s="19">
        <f>SUM(P8:P11)</f>
        <v>-692.71170224747709</v>
      </c>
      <c r="Q25" s="20">
        <f t="shared" si="2"/>
        <v>-1334.0400015043965</v>
      </c>
      <c r="R25" s="24">
        <f>SUM(R8:R11)</f>
        <v>-903.93681871008744</v>
      </c>
      <c r="S25" s="21">
        <f t="shared" si="3"/>
        <v>211.22511646261034</v>
      </c>
      <c r="T25" s="22">
        <f>SUM(T8:T11)</f>
        <v>9215.4721928648978</v>
      </c>
      <c r="U25" s="19">
        <f>SUM(U8:U11)</f>
        <v>2060.0688100199836</v>
      </c>
      <c r="V25" s="20">
        <f>+U25-T25</f>
        <v>-7155.4033828449137</v>
      </c>
      <c r="W25" s="24">
        <f>SUM(W8:W11)</f>
        <v>8135.8575080099909</v>
      </c>
      <c r="X25" s="21">
        <f>+U25-W25</f>
        <v>-6075.7886979900068</v>
      </c>
      <c r="Y25" s="22">
        <f>SUM(Y8:Y11)</f>
        <v>2824.486249810735</v>
      </c>
      <c r="Z25" s="19">
        <f>SUM(Z8:Z11)</f>
        <v>-4305.0923044324918</v>
      </c>
      <c r="AA25" s="20">
        <f>+Z25-Y25</f>
        <v>-7129.5785542432268</v>
      </c>
      <c r="AB25" s="24">
        <f>SUM(AB8:AB11)</f>
        <v>2101.128893783658</v>
      </c>
      <c r="AC25" s="21">
        <f>+Z25-AB25</f>
        <v>-6406.2211982161498</v>
      </c>
    </row>
    <row r="26" spans="2:30" s="8" customFormat="1" ht="22.5" customHeight="1" x14ac:dyDescent="0.3">
      <c r="F26" s="495"/>
      <c r="G26" s="334"/>
      <c r="H26" s="74"/>
      <c r="I26" s="78" t="s">
        <v>43</v>
      </c>
      <c r="J26" s="22">
        <f>SUM(J12:J19)</f>
        <v>1501.0984352115706</v>
      </c>
      <c r="K26" s="19">
        <f>SUM(K12:K19)</f>
        <v>43.53937099999996</v>
      </c>
      <c r="L26" s="20">
        <f t="shared" si="0"/>
        <v>-1457.5590642115708</v>
      </c>
      <c r="M26" s="24">
        <f>SUM(M12:M19)</f>
        <v>534.66819099999987</v>
      </c>
      <c r="N26" s="21">
        <f t="shared" si="1"/>
        <v>-491.12881999999991</v>
      </c>
      <c r="O26" s="22">
        <f>SUM(O12:O19)</f>
        <v>893.15568388136921</v>
      </c>
      <c r="P26" s="19">
        <f>SUM(P12:P19)</f>
        <v>-776.73953252086721</v>
      </c>
      <c r="Q26" s="20">
        <f t="shared" si="2"/>
        <v>-1669.8952164022364</v>
      </c>
      <c r="R26" s="24">
        <f>SUM(R12:R19)</f>
        <v>-481.57554332777181</v>
      </c>
      <c r="S26" s="21">
        <f t="shared" si="3"/>
        <v>-295.1639891930954</v>
      </c>
      <c r="T26" s="22">
        <f>SUM(T12:T19)</f>
        <v>13357.392011230344</v>
      </c>
      <c r="U26" s="19">
        <f>SUM(U12:U19)</f>
        <v>6179.8389240000106</v>
      </c>
      <c r="V26" s="20">
        <f>+U26-T26</f>
        <v>-7177.5530872303334</v>
      </c>
      <c r="W26" s="24">
        <f>SUM(W12:W19)</f>
        <v>15414.172655999993</v>
      </c>
      <c r="X26" s="21">
        <f>+U26-W26</f>
        <v>-9234.3337319999828</v>
      </c>
      <c r="Y26" s="22">
        <f>SUM(Y12:Y19)</f>
        <v>5311.1380618359535</v>
      </c>
      <c r="Z26" s="19">
        <f>SUM(Z12:Z19)</f>
        <v>-2354.3798461549022</v>
      </c>
      <c r="AA26" s="20">
        <f>+Z26-Y26</f>
        <v>-7665.5179079908557</v>
      </c>
      <c r="AB26" s="24">
        <f>SUM(AB12:AB19)</f>
        <v>7249.0121794073766</v>
      </c>
      <c r="AC26" s="21">
        <f>+Z26-AB26</f>
        <v>-9603.3920255622797</v>
      </c>
    </row>
    <row r="27" spans="2:30" s="8" customFormat="1" ht="22.5" customHeight="1" x14ac:dyDescent="0.3">
      <c r="F27" s="495"/>
      <c r="G27" s="334"/>
      <c r="H27" s="74"/>
      <c r="I27" s="78" t="s">
        <v>106</v>
      </c>
      <c r="J27" s="22">
        <f>SUM(J20:J24)</f>
        <v>978.09027832870447</v>
      </c>
      <c r="K27" s="19">
        <f>SUM(K20:K24)</f>
        <v>173.59004300000024</v>
      </c>
      <c r="L27" s="20">
        <f t="shared" si="0"/>
        <v>-804.50023532870421</v>
      </c>
      <c r="M27" s="24">
        <f>SUM(M20:M24)</f>
        <v>238.09164200000021</v>
      </c>
      <c r="N27" s="21">
        <f t="shared" si="1"/>
        <v>-64.50159899999997</v>
      </c>
      <c r="O27" s="22">
        <f>SUM(O20:O24)</f>
        <v>724.34471984130369</v>
      </c>
      <c r="P27" s="19">
        <f>SUM(P20:P24)</f>
        <v>-166.50831777796139</v>
      </c>
      <c r="Q27" s="20">
        <f t="shared" si="2"/>
        <v>-890.85303761926502</v>
      </c>
      <c r="R27" s="24">
        <f>SUM(R20:R24)</f>
        <v>-135.89505259765389</v>
      </c>
      <c r="S27" s="21">
        <f t="shared" si="3"/>
        <v>-30.613265180307508</v>
      </c>
      <c r="T27" s="22">
        <f>SUM(T20:T24)</f>
        <v>10358.723741626885</v>
      </c>
      <c r="U27" s="19">
        <f>SUM(U20:U24)</f>
        <v>4536.2435320000004</v>
      </c>
      <c r="V27" s="20">
        <f>+U27-T27</f>
        <v>-5822.480209626885</v>
      </c>
      <c r="W27" s="24">
        <f>SUM(W20:W24)</f>
        <v>9487.2537550000015</v>
      </c>
      <c r="X27" s="21">
        <f>+U27-W27</f>
        <v>-4951.0102230000011</v>
      </c>
      <c r="Y27" s="22">
        <f>SUM(Y20:Y24)</f>
        <v>6859.3218910291343</v>
      </c>
      <c r="Z27" s="19">
        <f>SUM(Z20:Z24)</f>
        <v>772.05308230185483</v>
      </c>
      <c r="AA27" s="20">
        <f>+Z27-Y27</f>
        <v>-6087.26880872728</v>
      </c>
      <c r="AB27" s="24">
        <f>SUM(AB20:AB24)</f>
        <v>6243.6633910500495</v>
      </c>
      <c r="AC27" s="21">
        <f>+Z27-AB27</f>
        <v>-5471.6103087481952</v>
      </c>
    </row>
    <row r="28" spans="2:30" s="3" customFormat="1" ht="22.5" customHeight="1" x14ac:dyDescent="0.3">
      <c r="B28" s="25"/>
      <c r="F28" s="483"/>
      <c r="G28" s="336"/>
      <c r="H28" s="601" t="s">
        <v>94</v>
      </c>
      <c r="I28" s="602"/>
      <c r="J28" s="603">
        <f>SUM(J25:J27)</f>
        <v>3591.5439579287267</v>
      </c>
      <c r="K28" s="604">
        <f>SUM(K25:K27)</f>
        <v>209.49917200000056</v>
      </c>
      <c r="L28" s="605">
        <f t="shared" si="0"/>
        <v>-3382.044785928726</v>
      </c>
      <c r="M28" s="606">
        <f>SUM(M25:M27)</f>
        <v>568.22378600000047</v>
      </c>
      <c r="N28" s="607">
        <f t="shared" si="1"/>
        <v>-358.72461399999992</v>
      </c>
      <c r="O28" s="603">
        <f>SUM(O25:O27)</f>
        <v>2258.8287029795924</v>
      </c>
      <c r="P28" s="604">
        <f>SUM(P25:P27)</f>
        <v>-1635.9595525463058</v>
      </c>
      <c r="Q28" s="605">
        <f t="shared" si="2"/>
        <v>-3894.7882555258984</v>
      </c>
      <c r="R28" s="606">
        <f>SUM(R25:R27)</f>
        <v>-1521.4074146355131</v>
      </c>
      <c r="S28" s="607">
        <f t="shared" si="3"/>
        <v>-114.55213791079268</v>
      </c>
      <c r="T28" s="603">
        <f>SUM(T25:T27)</f>
        <v>32931.587945722124</v>
      </c>
      <c r="U28" s="604">
        <f>SUM(U25:U27)</f>
        <v>12776.151266019995</v>
      </c>
      <c r="V28" s="605">
        <f>+U28-T28</f>
        <v>-20155.436679702128</v>
      </c>
      <c r="W28" s="606">
        <f>SUM(W25:W27)</f>
        <v>33037.283919009991</v>
      </c>
      <c r="X28" s="607">
        <f>+U28-W28</f>
        <v>-20261.132652989996</v>
      </c>
      <c r="Y28" s="603">
        <f>SUM(Y25:Y27)</f>
        <v>14994.946202675823</v>
      </c>
      <c r="Z28" s="604">
        <f>SUM(Z25:Z27)</f>
        <v>-5887.4190682855387</v>
      </c>
      <c r="AA28" s="605">
        <f>+Z28-Y28</f>
        <v>-20882.36527096136</v>
      </c>
      <c r="AB28" s="606">
        <f>SUM(AB25:AB27)</f>
        <v>15593.804464241084</v>
      </c>
      <c r="AC28" s="607">
        <f>+Z28-AB28</f>
        <v>-21481.223532526623</v>
      </c>
      <c r="AD28" s="25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78"/>
  <sheetViews>
    <sheetView showGridLines="0" showZeros="0" topLeftCell="E10" zoomScale="85" zoomScaleNormal="85" zoomScaleSheetLayoutView="85" workbookViewId="0">
      <selection activeCell="E1" sqref="E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217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51" t="s">
        <v>35</v>
      </c>
      <c r="I5" s="652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139</v>
      </c>
      <c r="G6" s="334"/>
      <c r="H6" s="653"/>
      <c r="I6" s="65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+IFERROR(HLOOKUP($B7,'[1]12월'!$D$6:$BN$259,2,),)/1000</f>
        <v>41</v>
      </c>
      <c r="K7" s="36">
        <f>+IFERROR(HLOOKUP($B7,'[2]12월'!$F$6:$CP$99,2,),)/1000</f>
        <v>31.317</v>
      </c>
      <c r="L7" s="37">
        <f t="shared" ref="L7:L26" si="0">+K7-J7</f>
        <v>-9.6829999999999998</v>
      </c>
      <c r="M7" s="38">
        <f>+IFERROR(HLOOKUP($B7,'[3]12월'!$F$6:$CC$57,2,),)/1000</f>
        <v>34.67</v>
      </c>
      <c r="N7" s="39">
        <f>+K7-M7</f>
        <v>-3.3530000000000015</v>
      </c>
      <c r="O7" s="35">
        <f>+IFERROR(HLOOKUP($B7,'[1]12월'!$D$6:$BN$259,3,),)/1000</f>
        <v>4252.2907699999996</v>
      </c>
      <c r="P7" s="36">
        <f>+IFERROR(HLOOKUP($B7,'[2]12월'!$F$6:$CP$99,3,),)/1000</f>
        <v>3194.0082189999998</v>
      </c>
      <c r="Q7" s="37">
        <f>+P7-O7</f>
        <v>-1058.2825509999998</v>
      </c>
      <c r="R7" s="38">
        <f>+IFERROR(HLOOKUP($B7,'[3]12월'!$F$6:$CC$57,3,),)/1000</f>
        <v>3342.2601409999997</v>
      </c>
      <c r="S7" s="39">
        <f>+P7-R7</f>
        <v>-148.25192199999992</v>
      </c>
      <c r="T7" s="35">
        <f>+IFERROR(HLOOKUP($B7,'[1]12월'!$D$6:$BN$259,16,),)/1000</f>
        <v>565.37707908205834</v>
      </c>
      <c r="U7" s="36">
        <f>+IFERROR(HLOOKUP($B7,'[2]12월'!$F$6:$CP$99,16,),)/1000</f>
        <v>188.842555</v>
      </c>
      <c r="V7" s="40">
        <f>+U7-T7</f>
        <v>-376.53452408205834</v>
      </c>
      <c r="W7" s="41">
        <f>+IFERROR(HLOOKUP($B7,'[3]12월'!$F$6:$CC$57,16,),)/1000</f>
        <v>51.528149000000077</v>
      </c>
      <c r="X7" s="39">
        <f>+U7-W7</f>
        <v>137.31440599999993</v>
      </c>
      <c r="Y7" s="35">
        <f>+[4]안양!$Q$85</f>
        <v>103714.40902439023</v>
      </c>
      <c r="Z7" s="36">
        <f>+[4]안양!$R$85</f>
        <v>101989.59731136443</v>
      </c>
      <c r="AA7" s="42">
        <f>+[5]안양!$Q$85</f>
        <v>96402.08079030861</v>
      </c>
      <c r="AB7" s="43">
        <f>+[4]안양!$Q$89</f>
        <v>82971.278097850838</v>
      </c>
      <c r="AC7" s="36">
        <f>+[4]안양!$R$89</f>
        <v>84587.480836125746</v>
      </c>
      <c r="AD7" s="44">
        <f>+[5]안양!$Q$89</f>
        <v>82908.853609317346</v>
      </c>
      <c r="AE7" s="43">
        <f>+Y7-AB7</f>
        <v>20743.130926539394</v>
      </c>
      <c r="AF7" s="36">
        <f>+Z7-AC7</f>
        <v>17402.116475238683</v>
      </c>
      <c r="AG7" s="44">
        <f>+AA7-AD7</f>
        <v>13493.227180991264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+IFERROR(HLOOKUP($B8,'[1]12월'!$D$6:$BN$259,2,),)/1000</f>
        <v>32</v>
      </c>
      <c r="K8" s="46">
        <f>+IFERROR(HLOOKUP($B8,'[2]12월'!$F$6:$CP$99,2,),)/1000</f>
        <v>31.475000000000001</v>
      </c>
      <c r="L8" s="47">
        <f t="shared" si="0"/>
        <v>-0.52499999999999858</v>
      </c>
      <c r="M8" s="48">
        <f>+IFERROR(HLOOKUP($B8,'[3]12월'!$F$6:$CC$57,2,),)/1000</f>
        <v>30.361999999999998</v>
      </c>
      <c r="N8" s="49">
        <f t="shared" ref="N8:N26" si="2">+K8-M8</f>
        <v>1.1130000000000031</v>
      </c>
      <c r="O8" s="45">
        <f>+IFERROR(HLOOKUP($B8,'[1]12월'!$D$6:$BN$259,3,),)/1000</f>
        <v>3312.3507451580795</v>
      </c>
      <c r="P8" s="46">
        <f>+IFERROR(HLOOKUP($B8,'[2]12월'!$F$6:$CP$99,3,),)/1000</f>
        <v>3110.8678020000002</v>
      </c>
      <c r="Q8" s="47">
        <f t="shared" ref="Q8:Q26" si="3">+P8-O8</f>
        <v>-201.48294315807925</v>
      </c>
      <c r="R8" s="48">
        <f>+IFERROR(HLOOKUP($B8,'[3]12월'!$F$6:$CC$57,3,),)/1000</f>
        <v>2969.3943920000002</v>
      </c>
      <c r="S8" s="49">
        <f t="shared" ref="S8:S26" si="4">+P8-R8</f>
        <v>141.47341000000006</v>
      </c>
      <c r="T8" s="45">
        <f>+IFERROR(HLOOKUP($B8,'[1]12월'!$D$6:$BN$259,16,),)/1000</f>
        <v>335.03111748068665</v>
      </c>
      <c r="U8" s="46">
        <f>+IFERROR(HLOOKUP($B8,'[2]12월'!$F$6:$CP$99,16,),)/1000</f>
        <v>-60.530204999999917</v>
      </c>
      <c r="V8" s="47">
        <f t="shared" ref="V8:V26" si="5">+U8-T8</f>
        <v>-395.56132248068656</v>
      </c>
      <c r="W8" s="48">
        <f>+IFERROR(HLOOKUP($B8,'[3]12월'!$F$6:$CC$57,16,),)/1000</f>
        <v>-49.541219999999576</v>
      </c>
      <c r="X8" s="49">
        <f t="shared" ref="X8:X26" si="6">+U8-W8</f>
        <v>-10.988985000000341</v>
      </c>
      <c r="Y8" s="45">
        <f>+[4]인천!$Q$85</f>
        <v>103510.96078618999</v>
      </c>
      <c r="Z8" s="46">
        <f>+[4]인천!$R$85</f>
        <v>98884.465245597778</v>
      </c>
      <c r="AA8" s="50">
        <f>+[5]인천!$Q$85</f>
        <v>97799.696726170863</v>
      </c>
      <c r="AB8" s="51">
        <f>+[4]인천!$Q$89</f>
        <v>84269.957085743808</v>
      </c>
      <c r="AC8" s="46">
        <f>+[4]인천!$R$89</f>
        <v>89818.638756820583</v>
      </c>
      <c r="AD8" s="52">
        <f>+[5]인천!$Q$89</f>
        <v>86503.734509778093</v>
      </c>
      <c r="AE8" s="51">
        <f t="shared" ref="AE8:AE27" si="7">+Y8-AB8</f>
        <v>19241.003700446177</v>
      </c>
      <c r="AF8" s="46">
        <f t="shared" ref="AF8:AF27" si="8">+Z8-AC8</f>
        <v>9065.8264887771948</v>
      </c>
      <c r="AG8" s="52">
        <f t="shared" ref="AG8:AG27" si="9">+AA8-AD8</f>
        <v>11295.962216392771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+IFERROR(HLOOKUP($B9,'[1]12월'!$D$6:$BN$259,2,),)/1000</f>
        <v>21</v>
      </c>
      <c r="K9" s="46">
        <f>+IFERROR(HLOOKUP($B9,'[2]12월'!$F$6:$CP$99,2,),)/1000</f>
        <v>13.662000000000001</v>
      </c>
      <c r="L9" s="47">
        <f t="shared" si="0"/>
        <v>-7.3379999999999992</v>
      </c>
      <c r="M9" s="48">
        <f>+IFERROR(HLOOKUP($B9,'[3]12월'!$F$6:$CC$57,2,),)/1000</f>
        <v>16.303000000000001</v>
      </c>
      <c r="N9" s="49">
        <f t="shared" si="2"/>
        <v>-2.641</v>
      </c>
      <c r="O9" s="45">
        <f>+IFERROR(HLOOKUP($B9,'[1]12월'!$D$6:$BN$259,3,),)/1000</f>
        <v>1999.4837390000009</v>
      </c>
      <c r="P9" s="46">
        <f>+IFERROR(HLOOKUP($B9,'[2]12월'!$F$6:$CP$99,3,),)/1000</f>
        <v>1345.027</v>
      </c>
      <c r="Q9" s="47">
        <f t="shared" si="3"/>
        <v>-654.45673900000088</v>
      </c>
      <c r="R9" s="48">
        <f>+IFERROR(HLOOKUP($B9,'[3]12월'!$F$6:$CC$57,3,),)/1000</f>
        <v>1513.0633400000002</v>
      </c>
      <c r="S9" s="49">
        <f t="shared" si="4"/>
        <v>-168.03634000000011</v>
      </c>
      <c r="T9" s="45">
        <f>+IFERROR(HLOOKUP($B9,'[1]12월'!$D$6:$BN$259,16,),)/1000</f>
        <v>89.794589357558166</v>
      </c>
      <c r="U9" s="46">
        <f>+IFERROR(HLOOKUP($B9,'[2]12월'!$F$6:$CP$99,16,),)/1000</f>
        <v>-96.411095999999773</v>
      </c>
      <c r="V9" s="47">
        <f t="shared" si="5"/>
        <v>-186.20568535755794</v>
      </c>
      <c r="W9" s="48">
        <f>+IFERROR(HLOOKUP($B9,'[3]12월'!$F$6:$CC$57,16,),)/1000</f>
        <v>-160.22942599999993</v>
      </c>
      <c r="X9" s="49">
        <f t="shared" si="6"/>
        <v>63.818330000000159</v>
      </c>
      <c r="Y9" s="45">
        <f>+[4]파주!$Q$85</f>
        <v>95213.511380952419</v>
      </c>
      <c r="Z9" s="46">
        <f>+[4]파주!$R$85</f>
        <v>98582.894736842092</v>
      </c>
      <c r="AA9" s="50">
        <f>+[5]파주!$Q$85</f>
        <v>92808.890388272106</v>
      </c>
      <c r="AB9" s="51">
        <f>+[4]파주!$Q$89</f>
        <v>80317.166879882265</v>
      </c>
      <c r="AC9" s="46">
        <f>+[4]파주!$R$89</f>
        <v>90468.019884683628</v>
      </c>
      <c r="AD9" s="52">
        <f>+[5]파주!$Q$89</f>
        <v>85217.768692878613</v>
      </c>
      <c r="AE9" s="51">
        <f t="shared" si="7"/>
        <v>14896.344501070154</v>
      </c>
      <c r="AF9" s="46">
        <f t="shared" si="8"/>
        <v>8114.8748521584639</v>
      </c>
      <c r="AG9" s="52">
        <f t="shared" si="9"/>
        <v>7591.1216953934927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+IFERROR(HLOOKUP($B10,'[1]12월'!$D$6:$BN$259,2,),)/1000</f>
        <v>15</v>
      </c>
      <c r="K10" s="46">
        <f>+IFERROR(HLOOKUP($B10,'[2]12월'!$F$6:$CP$99,2,),)/1000</f>
        <v>11.82306</v>
      </c>
      <c r="L10" s="47">
        <f t="shared" si="0"/>
        <v>-3.1769400000000001</v>
      </c>
      <c r="M10" s="48">
        <f>+IFERROR(HLOOKUP($B10,'[3]12월'!$F$6:$CC$57,2,),)/1000</f>
        <v>13.4185</v>
      </c>
      <c r="N10" s="49">
        <f t="shared" si="2"/>
        <v>-1.59544</v>
      </c>
      <c r="O10" s="45">
        <f>+IFERROR(HLOOKUP($B10,'[1]12월'!$D$6:$BN$259,3,),)/1000</f>
        <v>1430.3969999999999</v>
      </c>
      <c r="P10" s="46">
        <f>+IFERROR(HLOOKUP($B10,'[2]12월'!$F$6:$CP$99,3,),)/1000</f>
        <v>1164.7950079999998</v>
      </c>
      <c r="Q10" s="47">
        <f t="shared" si="3"/>
        <v>-265.60199200000011</v>
      </c>
      <c r="R10" s="48">
        <f>+IFERROR(HLOOKUP($B10,'[3]12월'!$F$6:$CC$57,3,),)/1000</f>
        <v>1247.6161459999998</v>
      </c>
      <c r="S10" s="49">
        <f t="shared" si="4"/>
        <v>-82.821138000000019</v>
      </c>
      <c r="T10" s="45">
        <f>+IFERROR(HLOOKUP($B10,'[1]12월'!$D$6:$BN$259,16,),)/1000</f>
        <v>122.15245846814831</v>
      </c>
      <c r="U10" s="46">
        <f>+IFERROR(HLOOKUP($B10,'[2]12월'!$F$6:$CP$99,16,),)/1000</f>
        <v>-39.531495999999969</v>
      </c>
      <c r="V10" s="47">
        <f t="shared" si="5"/>
        <v>-161.68395446814827</v>
      </c>
      <c r="W10" s="48">
        <f>+IFERROR(HLOOKUP($B10,'[3]12월'!$F$6:$CC$57,16,),)/1000</f>
        <v>-46.293550000000153</v>
      </c>
      <c r="X10" s="49">
        <f t="shared" si="6"/>
        <v>6.7620540000001839</v>
      </c>
      <c r="Y10" s="45">
        <f>+[4]김포!$Q$85</f>
        <v>95359.8</v>
      </c>
      <c r="Z10" s="46">
        <f>+[4]김포!$R$85</f>
        <v>98518.912024467441</v>
      </c>
      <c r="AA10" s="50">
        <f>+[5]김포!$Q$85</f>
        <v>93010.902870831298</v>
      </c>
      <c r="AB10" s="51">
        <f>+[4]김포!$Q$89</f>
        <v>76510.559472493798</v>
      </c>
      <c r="AC10" s="46">
        <f>+[4]김포!$R$89</f>
        <v>84962.316354649302</v>
      </c>
      <c r="AD10" s="52">
        <f>+[5]김포!$Q$89</f>
        <v>79168.533039153364</v>
      </c>
      <c r="AE10" s="51">
        <f t="shared" si="7"/>
        <v>18849.240527506205</v>
      </c>
      <c r="AF10" s="46">
        <f t="shared" si="8"/>
        <v>13556.59566981814</v>
      </c>
      <c r="AG10" s="52">
        <f t="shared" si="9"/>
        <v>13842.369831677934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+IFERROR(HLOOKUP($B11,'[1]12월'!$D$6:$BN$259,2,),)/1000</f>
        <v>22</v>
      </c>
      <c r="K11" s="63">
        <f>+IFERROR(HLOOKUP($B11,'[2]12월'!$F$6:$CP$99,2,),)/1000</f>
        <v>22.260999999999999</v>
      </c>
      <c r="L11" s="64">
        <f t="shared" si="0"/>
        <v>0.26099999999999923</v>
      </c>
      <c r="M11" s="65">
        <f>+IFERROR(HLOOKUP($B11,'[3]12월'!$F$6:$CC$57,2,),)/1000</f>
        <v>17.338999999999999</v>
      </c>
      <c r="N11" s="66">
        <f t="shared" si="2"/>
        <v>4.9220000000000006</v>
      </c>
      <c r="O11" s="62">
        <f>+IFERROR(HLOOKUP($B11,'[1]12월'!$D$6:$BN$259,3,),)/1000</f>
        <v>2369.3976696199998</v>
      </c>
      <c r="P11" s="63">
        <f>+IFERROR(HLOOKUP($B11,'[2]12월'!$F$6:$CP$99,3,),)/1000</f>
        <v>2428.6556</v>
      </c>
      <c r="Q11" s="64">
        <f t="shared" si="3"/>
        <v>59.257930380000289</v>
      </c>
      <c r="R11" s="65">
        <f>+IFERROR(HLOOKUP($B11,'[3]12월'!$F$6:$CC$57,3,),)/1000</f>
        <v>1980.4694</v>
      </c>
      <c r="S11" s="66">
        <f t="shared" si="4"/>
        <v>448.1862000000001</v>
      </c>
      <c r="T11" s="62">
        <f>+IFERROR(HLOOKUP($B11,'[1]12월'!$D$6:$BN$259,16,),)/1000</f>
        <v>231.81376635499586</v>
      </c>
      <c r="U11" s="63">
        <f>+IFERROR(HLOOKUP($B11,'[2]12월'!$F$6:$CP$99,16,),)/1000</f>
        <v>159.61886399999997</v>
      </c>
      <c r="V11" s="64">
        <f t="shared" si="5"/>
        <v>-72.194902354995889</v>
      </c>
      <c r="W11" s="65">
        <f>+IFERROR(HLOOKUP($B11,'[3]12월'!$F$6:$CC$57,16,),)/1000</f>
        <v>92.183808999999954</v>
      </c>
      <c r="X11" s="66">
        <f t="shared" si="6"/>
        <v>67.43505500000002</v>
      </c>
      <c r="Y11" s="62">
        <f>+[4]부산!$Q$85</f>
        <v>107699.89407363636</v>
      </c>
      <c r="Z11" s="63">
        <f>+[4]부산!$R$85</f>
        <v>109099.12402857015</v>
      </c>
      <c r="AA11" s="67">
        <f>+[5]부산!$Q$85</f>
        <v>114220.50867985465</v>
      </c>
      <c r="AB11" s="68">
        <f>+[4]부산!$Q$89</f>
        <v>85882.675514835501</v>
      </c>
      <c r="AC11" s="63">
        <f>+[4]부산!$R$89</f>
        <v>90355.72510890555</v>
      </c>
      <c r="AD11" s="69">
        <f>+[5]부산!$Q$89</f>
        <v>90394.221158835397</v>
      </c>
      <c r="AE11" s="68">
        <f t="shared" si="7"/>
        <v>21817.218558800858</v>
      </c>
      <c r="AF11" s="63">
        <f t="shared" si="8"/>
        <v>18743.3989196646</v>
      </c>
      <c r="AG11" s="69">
        <f t="shared" si="9"/>
        <v>23826.287521019258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+IFERROR(HLOOKUP($B12,'[1]12월'!$D$6:$BN$259,2,),)/1000</f>
        <v>23</v>
      </c>
      <c r="K12" s="46">
        <f>+IFERROR(HLOOKUP($B12,'[2]12월'!$F$6:$CP$99,2,),)/1000</f>
        <v>19.064</v>
      </c>
      <c r="L12" s="47">
        <f t="shared" si="0"/>
        <v>-3.9359999999999999</v>
      </c>
      <c r="M12" s="48">
        <f>+IFERROR(HLOOKUP($B12,'[3]12월'!$F$6:$CC$57,2,),)/1000</f>
        <v>24.067</v>
      </c>
      <c r="N12" s="49">
        <f t="shared" si="2"/>
        <v>-5.0030000000000001</v>
      </c>
      <c r="O12" s="45">
        <f>+IFERROR(HLOOKUP($B12,'[1]12월'!$D$6:$BN$259,3,),)/1000</f>
        <v>2283.8890239999992</v>
      </c>
      <c r="P12" s="46">
        <f>+IFERROR(HLOOKUP($B12,'[2]12월'!$F$6:$CP$99,3,),)/1000</f>
        <v>1993.4114999999999</v>
      </c>
      <c r="Q12" s="47">
        <f t="shared" si="3"/>
        <v>-290.47752399999922</v>
      </c>
      <c r="R12" s="48">
        <f>+IFERROR(HLOOKUP($B12,'[3]12월'!$F$6:$CC$57,3,),)/1000</f>
        <v>2361.636</v>
      </c>
      <c r="S12" s="49">
        <f t="shared" si="4"/>
        <v>-368.22450000000003</v>
      </c>
      <c r="T12" s="45">
        <f>+IFERROR(HLOOKUP($B12,'[1]12월'!$D$6:$BN$259,16,),)/1000</f>
        <v>266.46367609336534</v>
      </c>
      <c r="U12" s="46">
        <f>+IFERROR(HLOOKUP($B12,'[2]12월'!$F$6:$CP$99,16,),)/1000</f>
        <v>119.86851599999997</v>
      </c>
      <c r="V12" s="47">
        <f t="shared" si="5"/>
        <v>-146.59516009336537</v>
      </c>
      <c r="W12" s="48">
        <f>+IFERROR(HLOOKUP($B12,'[3]12월'!$F$6:$CC$57,16,),)/1000</f>
        <v>163.09231399999985</v>
      </c>
      <c r="X12" s="49">
        <f t="shared" si="6"/>
        <v>-43.223797999999874</v>
      </c>
      <c r="Y12" s="45">
        <f>+[4]서부산!$Q$85</f>
        <v>99299.522782608663</v>
      </c>
      <c r="Z12" s="46">
        <f>+[4]서부산!$R$85</f>
        <v>104564.17855644146</v>
      </c>
      <c r="AA12" s="50">
        <f>+[5]서부산!$Q$85</f>
        <v>98127.560560103055</v>
      </c>
      <c r="AB12" s="51">
        <f>+[4]서부산!$Q$89</f>
        <v>79466.311396906778</v>
      </c>
      <c r="AC12" s="46">
        <f>+[4]서부산!$R$89</f>
        <v>85738.616601199086</v>
      </c>
      <c r="AD12" s="52">
        <f>+[5]서부산!$Q$89</f>
        <v>78950.520047080267</v>
      </c>
      <c r="AE12" s="51">
        <f t="shared" si="7"/>
        <v>19833.211385701885</v>
      </c>
      <c r="AF12" s="46">
        <f t="shared" si="8"/>
        <v>18825.561955242374</v>
      </c>
      <c r="AG12" s="52">
        <f t="shared" si="9"/>
        <v>19177.040513022788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+IFERROR(HLOOKUP($B13,'[1]12월'!$D$6:$BN$259,2,),)/1000</f>
        <v>16</v>
      </c>
      <c r="K13" s="46">
        <f>+IFERROR(HLOOKUP($B13,'[2]12월'!$F$6:$CP$99,2,),)/1000</f>
        <v>5.7069999999999999</v>
      </c>
      <c r="L13" s="47">
        <f t="shared" si="0"/>
        <v>-10.292999999999999</v>
      </c>
      <c r="M13" s="48">
        <f>+IFERROR(HLOOKUP($B13,'[3]12월'!$F$6:$CC$57,2,),)/1000</f>
        <v>12.183999999999999</v>
      </c>
      <c r="N13" s="49">
        <f t="shared" si="2"/>
        <v>-6.4769999999999994</v>
      </c>
      <c r="O13" s="45">
        <f>+IFERROR(HLOOKUP($B13,'[1]12월'!$D$6:$BN$259,3,),)/1000</f>
        <v>1540.7966999999999</v>
      </c>
      <c r="P13" s="46">
        <f>+IFERROR(HLOOKUP($B13,'[2]12월'!$F$6:$CP$99,3,),)/1000</f>
        <v>506.18729999999999</v>
      </c>
      <c r="Q13" s="47">
        <f t="shared" si="3"/>
        <v>-1034.6093999999998</v>
      </c>
      <c r="R13" s="48">
        <f>+IFERROR(HLOOKUP($B13,'[3]12월'!$F$6:$CC$57,3,),)/1000</f>
        <v>1145.9621</v>
      </c>
      <c r="S13" s="49">
        <f t="shared" si="4"/>
        <v>-639.77479999999991</v>
      </c>
      <c r="T13" s="45">
        <f>+IFERROR(HLOOKUP($B13,'[1]12월'!$D$6:$BN$259,16,),)/1000</f>
        <v>149.52482617907916</v>
      </c>
      <c r="U13" s="46">
        <f>+IFERROR(HLOOKUP($B13,'[2]12월'!$F$6:$CP$99,16,),)/1000</f>
        <v>-123.04864999999991</v>
      </c>
      <c r="V13" s="47">
        <f t="shared" si="5"/>
        <v>-272.57347617907908</v>
      </c>
      <c r="W13" s="48">
        <f>+IFERROR(HLOOKUP($B13,'[3]12월'!$F$6:$CC$57,16,),)/1000</f>
        <v>-58.22594600000005</v>
      </c>
      <c r="X13" s="49">
        <f t="shared" si="6"/>
        <v>-64.82270399999986</v>
      </c>
      <c r="Y13" s="45">
        <f>+[4]김해!$Q$85</f>
        <v>96299.793749999997</v>
      </c>
      <c r="Z13" s="46">
        <f>+[4]김해!$R$85</f>
        <v>88695.864727527587</v>
      </c>
      <c r="AA13" s="50">
        <f>+[5]김해!$Q$85</f>
        <v>94036.648949632989</v>
      </c>
      <c r="AB13" s="51">
        <f>+[4]김해!$Q$89</f>
        <v>77852.385523529781</v>
      </c>
      <c r="AC13" s="46">
        <f>+[4]김해!$R$89</f>
        <v>82661.357981426307</v>
      </c>
      <c r="AD13" s="52">
        <f>+[5]김해!$Q$89</f>
        <v>80796.703534970045</v>
      </c>
      <c r="AE13" s="51">
        <f t="shared" si="7"/>
        <v>18447.408226470216</v>
      </c>
      <c r="AF13" s="46">
        <f t="shared" si="8"/>
        <v>6034.5067461012804</v>
      </c>
      <c r="AG13" s="52">
        <f t="shared" si="9"/>
        <v>13239.945414662943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+IFERROR(HLOOKUP($B14,'[1]12월'!$D$6:$BN$259,2,),)/1000</f>
        <v>21</v>
      </c>
      <c r="K14" s="46">
        <f>+IFERROR(HLOOKUP($B14,'[2]12월'!$F$6:$CP$99,2,),)/1000</f>
        <v>17.196999999999999</v>
      </c>
      <c r="L14" s="47">
        <f t="shared" si="0"/>
        <v>-3.8030000000000008</v>
      </c>
      <c r="M14" s="48">
        <f>+IFERROR(HLOOKUP($B14,'[3]12월'!$F$6:$CC$57,2,),)/1000</f>
        <v>22.033999999999999</v>
      </c>
      <c r="N14" s="49">
        <f t="shared" si="2"/>
        <v>-4.8369999999999997</v>
      </c>
      <c r="O14" s="45">
        <f>+IFERROR(HLOOKUP($B14,'[1]12월'!$D$6:$BN$259,3,),)/1000</f>
        <v>2141.9970734000003</v>
      </c>
      <c r="P14" s="46">
        <f>+IFERROR(HLOOKUP($B14,'[2]12월'!$F$6:$CP$99,3,),)/1000</f>
        <v>1701.1391000000001</v>
      </c>
      <c r="Q14" s="47">
        <f t="shared" si="3"/>
        <v>-440.85797340000022</v>
      </c>
      <c r="R14" s="48">
        <f>+IFERROR(HLOOKUP($B14,'[3]12월'!$F$6:$CC$57,3,),)/1000</f>
        <v>2288.9944999999998</v>
      </c>
      <c r="S14" s="49">
        <f t="shared" si="4"/>
        <v>-587.85539999999969</v>
      </c>
      <c r="T14" s="45">
        <f>+IFERROR(HLOOKUP($B14,'[1]12월'!$D$6:$BN$259,16,),)/1000</f>
        <v>208.30032750253207</v>
      </c>
      <c r="U14" s="46">
        <f>+IFERROR(HLOOKUP($B14,'[2]12월'!$F$6:$CP$99,16,),)/1000</f>
        <v>0.43159100000011674</v>
      </c>
      <c r="V14" s="47">
        <f t="shared" si="5"/>
        <v>-207.86873650253196</v>
      </c>
      <c r="W14" s="48">
        <f>+IFERROR(HLOOKUP($B14,'[3]12월'!$F$6:$CC$57,16,),)/1000</f>
        <v>101.28181700000007</v>
      </c>
      <c r="X14" s="49">
        <f t="shared" si="6"/>
        <v>-100.85022599999996</v>
      </c>
      <c r="Y14" s="45">
        <f>+[4]정관!$Q$85</f>
        <v>101999.86063809524</v>
      </c>
      <c r="Z14" s="46">
        <f>+[4]정관!$R$85</f>
        <v>98920.68965517242</v>
      </c>
      <c r="AA14" s="50">
        <f>+[5]정관!$Q$85</f>
        <v>103884.65553235907</v>
      </c>
      <c r="AB14" s="51">
        <f>+[4]정관!$Q$89</f>
        <v>82449.918645911181</v>
      </c>
      <c r="AC14" s="46">
        <f>+[4]정관!$R$89</f>
        <v>85268.5728724949</v>
      </c>
      <c r="AD14" s="52">
        <f>+[5]정관!$Q$89</f>
        <v>86215.633729366935</v>
      </c>
      <c r="AE14" s="51">
        <f t="shared" si="7"/>
        <v>19549.94199218406</v>
      </c>
      <c r="AF14" s="46">
        <f t="shared" si="8"/>
        <v>13652.11678267752</v>
      </c>
      <c r="AG14" s="52">
        <f t="shared" si="9"/>
        <v>17669.021802992138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+IFERROR(HLOOKUP($B15,'[1]12월'!$D$6:$BN$259,2,),)/1000</f>
        <v>13</v>
      </c>
      <c r="K15" s="46">
        <f>+IFERROR(HLOOKUP($B15,'[2]12월'!$F$6:$CP$99,2,),)/1000</f>
        <v>6.4969999999999999</v>
      </c>
      <c r="L15" s="47">
        <f t="shared" si="0"/>
        <v>-6.5030000000000001</v>
      </c>
      <c r="M15" s="48">
        <f>+IFERROR(HLOOKUP($B15,'[3]12월'!$F$6:$CC$57,2,),)/1000</f>
        <v>10.173999999999999</v>
      </c>
      <c r="N15" s="49">
        <f t="shared" si="2"/>
        <v>-3.6769999999999996</v>
      </c>
      <c r="O15" s="45">
        <f>+IFERROR(HLOOKUP($B15,'[1]12월'!$D$6:$BN$259,3,),)/1000</f>
        <v>1222.6012499999999</v>
      </c>
      <c r="P15" s="46">
        <f>+IFERROR(HLOOKUP($B15,'[2]12월'!$F$6:$CP$99,3,),)/1000</f>
        <v>599.63221799999997</v>
      </c>
      <c r="Q15" s="47">
        <f t="shared" si="3"/>
        <v>-622.96903199999997</v>
      </c>
      <c r="R15" s="48">
        <f>+IFERROR(HLOOKUP($B15,'[3]12월'!$F$6:$CC$57,3,),)/1000</f>
        <v>958.23019999999997</v>
      </c>
      <c r="S15" s="49">
        <f t="shared" si="4"/>
        <v>-358.597982</v>
      </c>
      <c r="T15" s="45">
        <f>+IFERROR(HLOOKUP($B15,'[1]12월'!$D$6:$BN$259,16,),)/1000</f>
        <v>115.63862059279647</v>
      </c>
      <c r="U15" s="46">
        <f>+IFERROR(HLOOKUP($B15,'[2]12월'!$F$6:$CP$99,16,),)/1000</f>
        <v>-104.94569900000002</v>
      </c>
      <c r="V15" s="47">
        <f t="shared" si="5"/>
        <v>-220.58431959279648</v>
      </c>
      <c r="W15" s="48">
        <f>+IFERROR(HLOOKUP($B15,'[3]12월'!$F$6:$CC$57,16,),)/1000</f>
        <v>-28.828367000000028</v>
      </c>
      <c r="X15" s="49">
        <f t="shared" si="6"/>
        <v>-76.11733199999999</v>
      </c>
      <c r="Y15" s="45">
        <f>+[4]양산!$Q$85</f>
        <v>94046.25</v>
      </c>
      <c r="Z15" s="46">
        <f>+[4]양산!$R$85</f>
        <v>92293.707557334157</v>
      </c>
      <c r="AA15" s="50">
        <f>+[5]양산!$Q$85</f>
        <v>94184.214664831918</v>
      </c>
      <c r="AB15" s="51">
        <f>+[4]양산!$Q$89</f>
        <v>74732.836612519925</v>
      </c>
      <c r="AC15" s="46">
        <f>+[4]양산!$R$89</f>
        <v>80972.964291211334</v>
      </c>
      <c r="AD15" s="52">
        <f>+[5]양산!$Q$89</f>
        <v>78064.418910949476</v>
      </c>
      <c r="AE15" s="51">
        <f t="shared" si="7"/>
        <v>19313.413387480075</v>
      </c>
      <c r="AF15" s="46">
        <f t="shared" si="8"/>
        <v>11320.743266122823</v>
      </c>
      <c r="AG15" s="52">
        <f t="shared" si="9"/>
        <v>16119.795753882441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+IFERROR(HLOOKUP($B16,'[1]12월'!$D$6:$BN$259,2,),)/1000</f>
        <v>19</v>
      </c>
      <c r="K16" s="46">
        <f>+IFERROR(HLOOKUP($B16,'[2]12월'!$F$6:$CP$99,2,),)/1000</f>
        <v>11.71</v>
      </c>
      <c r="L16" s="47">
        <f t="shared" si="0"/>
        <v>-7.2899999999999991</v>
      </c>
      <c r="M16" s="48">
        <f>+IFERROR(HLOOKUP($B16,'[3]12월'!$F$6:$CC$57,2,),)/1000</f>
        <v>12.315</v>
      </c>
      <c r="N16" s="49">
        <f t="shared" si="2"/>
        <v>-0.60499999999999865</v>
      </c>
      <c r="O16" s="45">
        <f>+IFERROR(HLOOKUP($B16,'[1]12월'!$D$6:$BN$259,3,),)/1000</f>
        <v>1934.9141027580001</v>
      </c>
      <c r="P16" s="46">
        <f>+IFERROR(HLOOKUP($B16,'[2]12월'!$F$6:$CP$99,3,),)/1000</f>
        <v>1098.0858000000001</v>
      </c>
      <c r="Q16" s="47">
        <f t="shared" si="3"/>
        <v>-836.82830275800006</v>
      </c>
      <c r="R16" s="48">
        <f>+IFERROR(HLOOKUP($B16,'[3]12월'!$F$6:$CC$57,3,),)/1000</f>
        <v>1261.8105500000001</v>
      </c>
      <c r="S16" s="49">
        <f t="shared" si="4"/>
        <v>-163.72475000000009</v>
      </c>
      <c r="T16" s="45">
        <f>+IFERROR(HLOOKUP($B16,'[1]12월'!$D$6:$BN$259,16,),)/1000</f>
        <v>309.29623053200498</v>
      </c>
      <c r="U16" s="46">
        <f>+IFERROR(HLOOKUP($B16,'[2]12월'!$F$6:$CP$99,16,),)/1000</f>
        <v>53.035499000000065</v>
      </c>
      <c r="V16" s="47">
        <f t="shared" si="5"/>
        <v>-256.26073153200491</v>
      </c>
      <c r="W16" s="48">
        <f>+IFERROR(HLOOKUP($B16,'[3]12월'!$F$6:$CC$57,16,),)/1000</f>
        <v>72.758356999999975</v>
      </c>
      <c r="X16" s="49">
        <f t="shared" si="6"/>
        <v>-19.72285799999991</v>
      </c>
      <c r="Y16" s="45">
        <f>+[4]창원!$Q$85</f>
        <v>101837.58435568422</v>
      </c>
      <c r="Z16" s="46">
        <f>+[4]창원!$R$85</f>
        <v>93773.339026473113</v>
      </c>
      <c r="AA16" s="50">
        <f>+[5]창원!$Q$85</f>
        <v>102461.27080795777</v>
      </c>
      <c r="AB16" s="51">
        <f>+[4]창원!$Q$89</f>
        <v>76200.160534167415</v>
      </c>
      <c r="AC16" s="46">
        <f>+[4]창원!$R$89</f>
        <v>74074.05072587532</v>
      </c>
      <c r="AD16" s="52">
        <f>+[5]창원!$Q$89</f>
        <v>76573.527243199365</v>
      </c>
      <c r="AE16" s="51">
        <f t="shared" si="7"/>
        <v>25637.423821516801</v>
      </c>
      <c r="AF16" s="46">
        <f t="shared" si="8"/>
        <v>19699.288300597793</v>
      </c>
      <c r="AG16" s="52">
        <f t="shared" si="9"/>
        <v>25887.743564758406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+IFERROR(HLOOKUP($B17,'[1]12월'!$D$6:$BN$259,2,),)/1000</f>
        <v>12</v>
      </c>
      <c r="K17" s="46">
        <f>+IFERROR(HLOOKUP($B17,'[2]12월'!$F$6:$CP$99,2,),)/1000</f>
        <v>4.07</v>
      </c>
      <c r="L17" s="47">
        <f t="shared" si="0"/>
        <v>-7.93</v>
      </c>
      <c r="M17" s="48">
        <f>+IFERROR(HLOOKUP($B17,'[3]12월'!$F$6:$CC$57,2,),)/1000</f>
        <v>18.707999999999998</v>
      </c>
      <c r="N17" s="49">
        <f t="shared" si="2"/>
        <v>-14.637999999999998</v>
      </c>
      <c r="O17" s="45">
        <f>+IFERROR(HLOOKUP($B17,'[1]12월'!$D$6:$BN$259,3,),)/1000</f>
        <v>1167.3656645454546</v>
      </c>
      <c r="P17" s="46">
        <f>+IFERROR(HLOOKUP($B17,'[2]12월'!$F$6:$CP$99,3,),)/1000</f>
        <v>346.87933399999997</v>
      </c>
      <c r="Q17" s="47">
        <f t="shared" si="3"/>
        <v>-820.48633054545462</v>
      </c>
      <c r="R17" s="48">
        <f>+IFERROR(HLOOKUP($B17,'[3]12월'!$F$6:$CC$57,3,),)/1000</f>
        <v>1801.6907639999999</v>
      </c>
      <c r="S17" s="49">
        <f t="shared" si="4"/>
        <v>-1454.81143</v>
      </c>
      <c r="T17" s="45">
        <f>+IFERROR(HLOOKUP($B17,'[1]12월'!$D$6:$BN$259,16,),)/1000</f>
        <v>102.30373266450627</v>
      </c>
      <c r="U17" s="46">
        <f>+IFERROR(HLOOKUP($B17,'[2]12월'!$F$6:$CP$99,16,),)/1000</f>
        <v>-127.93189900000006</v>
      </c>
      <c r="V17" s="47">
        <f t="shared" si="5"/>
        <v>-230.23563166450634</v>
      </c>
      <c r="W17" s="48">
        <f>+IFERROR(HLOOKUP($B17,'[3]12월'!$F$6:$CC$57,16,),)/1000</f>
        <v>168.03998099999998</v>
      </c>
      <c r="X17" s="49">
        <f t="shared" si="6"/>
        <v>-295.97188000000006</v>
      </c>
      <c r="Y17" s="45">
        <f>+[4]대구!$Q$85</f>
        <v>97280.472045454546</v>
      </c>
      <c r="Z17" s="46">
        <f>+[4]대구!$R$85</f>
        <v>85228.337592137599</v>
      </c>
      <c r="AA17" s="50">
        <f>+[5]대구!$Q$85</f>
        <v>96305.899294419505</v>
      </c>
      <c r="AB17" s="51">
        <f>+[4]대구!$Q$89</f>
        <v>75132.541296299038</v>
      </c>
      <c r="AC17" s="46">
        <f>+[4]대구!$R$89</f>
        <v>76470.767076167089</v>
      </c>
      <c r="AD17" s="52">
        <f>+[5]대구!$Q$89</f>
        <v>73764.09594825744</v>
      </c>
      <c r="AE17" s="51">
        <f t="shared" si="7"/>
        <v>22147.930749155508</v>
      </c>
      <c r="AF17" s="46">
        <f t="shared" si="8"/>
        <v>8757.5705159705103</v>
      </c>
      <c r="AG17" s="52">
        <f t="shared" si="9"/>
        <v>22541.803346162065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+IFERROR(HLOOKUP($B18,'[1]12월'!$D$6:$BN$259,2,),)/1000</f>
        <v>12.5</v>
      </c>
      <c r="K18" s="10">
        <f>+IFERROR(HLOOKUP($B18,'[2]12월'!$F$6:$CP$99,2,),)/1000</f>
        <v>13.221</v>
      </c>
      <c r="L18" s="11">
        <f t="shared" si="0"/>
        <v>0.72100000000000009</v>
      </c>
      <c r="M18" s="12">
        <f>+IFERROR(HLOOKUP($B18,'[3]12월'!$F$6:$CC$57,2,),)/1000</f>
        <v>12.451000000000001</v>
      </c>
      <c r="N18" s="13">
        <f t="shared" si="2"/>
        <v>0.76999999999999957</v>
      </c>
      <c r="O18" s="9">
        <f>+IFERROR(HLOOKUP($B18,'[1]12월'!$D$6:$BN$259,3,),)/1000</f>
        <v>1297.9024999999999</v>
      </c>
      <c r="P18" s="10">
        <f>+IFERROR(HLOOKUP($B18,'[2]12월'!$F$6:$CP$99,3,),)/1000</f>
        <v>1382.73624</v>
      </c>
      <c r="Q18" s="11">
        <f t="shared" si="3"/>
        <v>84.833740000000034</v>
      </c>
      <c r="R18" s="12">
        <f>+IFERROR(HLOOKUP($B18,'[3]12월'!$F$6:$CC$57,3,),)/1000</f>
        <v>1273.3891000000001</v>
      </c>
      <c r="S18" s="13">
        <f t="shared" si="4"/>
        <v>109.34713999999985</v>
      </c>
      <c r="T18" s="9">
        <f>+IFERROR(HLOOKUP($B18,'[1]12월'!$D$6:$BN$259,16,),)/1000</f>
        <v>117.75725529229071</v>
      </c>
      <c r="U18" s="10">
        <f>+IFERROR(HLOOKUP($B18,'[2]12월'!$F$6:$CP$99,16,),)/1000</f>
        <v>66.511148999999833</v>
      </c>
      <c r="V18" s="11">
        <f t="shared" si="5"/>
        <v>-51.246106292290875</v>
      </c>
      <c r="W18" s="12">
        <f>+IFERROR(HLOOKUP($B18,'[3]12월'!$F$6:$CC$57,16,),)/1000</f>
        <v>24.366226000000118</v>
      </c>
      <c r="X18" s="13">
        <f t="shared" si="6"/>
        <v>42.144922999999714</v>
      </c>
      <c r="Y18" s="9">
        <f>+[4]울산!$Q$85</f>
        <v>103832.2</v>
      </c>
      <c r="Z18" s="10">
        <f>+[4]울산!$R$85</f>
        <v>104586.35806671206</v>
      </c>
      <c r="AA18" s="14">
        <f>+[5]울산!$Q$85</f>
        <v>102272.03437474903</v>
      </c>
      <c r="AB18" s="15">
        <f>+[4]울산!$Q$89</f>
        <v>83764.601741225706</v>
      </c>
      <c r="AC18" s="10">
        <f>+[4]울산!$R$89</f>
        <v>88415.572885966918</v>
      </c>
      <c r="AD18" s="16">
        <f>+[5]울산!$Q$89</f>
        <v>84277.211324083735</v>
      </c>
      <c r="AE18" s="15">
        <f t="shared" si="7"/>
        <v>20067.598258774291</v>
      </c>
      <c r="AF18" s="10">
        <f t="shared" si="8"/>
        <v>16170.785180745137</v>
      </c>
      <c r="AG18" s="16">
        <f t="shared" si="9"/>
        <v>17994.823050665291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+IFERROR(HLOOKUP($B19,'[1]12월'!$D$6:$BN$259,2,),)/1000</f>
        <v>25</v>
      </c>
      <c r="K19" s="46">
        <f>+IFERROR(HLOOKUP($B19,'[2]12월'!$F$6:$CP$99,2,),)/1000</f>
        <v>18.783999999999999</v>
      </c>
      <c r="L19" s="47">
        <f t="shared" si="0"/>
        <v>-6.2160000000000011</v>
      </c>
      <c r="M19" s="48">
        <f>+IFERROR(HLOOKUP($B19,'[3]12월'!$F$6:$CC$57,2,),)/1000</f>
        <v>22.731999999999999</v>
      </c>
      <c r="N19" s="49">
        <f t="shared" si="2"/>
        <v>-3.9480000000000004</v>
      </c>
      <c r="O19" s="45">
        <f>+IFERROR(HLOOKUP($B19,'[1]12월'!$D$6:$BN$259,3,),)/1000</f>
        <v>2575</v>
      </c>
      <c r="P19" s="46">
        <f>+IFERROR(HLOOKUP($B19,'[2]12월'!$F$6:$CP$99,3,),)/1000</f>
        <v>1949.8863230000002</v>
      </c>
      <c r="Q19" s="47">
        <f t="shared" si="3"/>
        <v>-625.11367699999983</v>
      </c>
      <c r="R19" s="48">
        <f>+IFERROR(HLOOKUP($B19,'[3]12월'!$F$6:$CC$57,3,),)/1000</f>
        <v>2299.4823020000003</v>
      </c>
      <c r="S19" s="49">
        <f t="shared" si="4"/>
        <v>-349.59597900000017</v>
      </c>
      <c r="T19" s="45">
        <f>+IFERROR(HLOOKUP($B19,'[1]12월'!$D$6:$BN$259,16,),)/1000</f>
        <v>333.50741939072418</v>
      </c>
      <c r="U19" s="46">
        <f>+IFERROR(HLOOKUP($B19,'[2]12월'!$F$6:$CP$99,16,),)/1000</f>
        <v>68.806506000000169</v>
      </c>
      <c r="V19" s="47">
        <f t="shared" si="5"/>
        <v>-264.700913390724</v>
      </c>
      <c r="W19" s="48">
        <f>+IFERROR(HLOOKUP($B19,'[3]12월'!$F$6:$CC$57,16,),)/1000</f>
        <v>58.469241000000345</v>
      </c>
      <c r="X19" s="49">
        <f t="shared" si="6"/>
        <v>10.337264999999825</v>
      </c>
      <c r="Y19" s="45">
        <f>+[4]아산!$Q$85</f>
        <v>103000</v>
      </c>
      <c r="Z19" s="46">
        <f>+[4]아산!$R$85</f>
        <v>103805.70288543441</v>
      </c>
      <c r="AA19" s="50">
        <f>+[5]아산!$Q$85</f>
        <v>101156.18080239311</v>
      </c>
      <c r="AB19" s="51">
        <f>+[4]아산!$Q$89</f>
        <v>80551.044493891561</v>
      </c>
      <c r="AC19" s="46">
        <f>+[4]아산!$R$89</f>
        <v>87355.135590517704</v>
      </c>
      <c r="AD19" s="52">
        <f>+[5]아산!$Q$89</f>
        <v>85004.173787554129</v>
      </c>
      <c r="AE19" s="51">
        <f t="shared" si="7"/>
        <v>22448.955506108439</v>
      </c>
      <c r="AF19" s="46">
        <f t="shared" si="8"/>
        <v>16450.567294916706</v>
      </c>
      <c r="AG19" s="52">
        <f t="shared" si="9"/>
        <v>16152.007014838979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+IFERROR(HLOOKUP($B20,'[1]12월'!$D$6:$BN$259,2,),)/1000</f>
        <v>11</v>
      </c>
      <c r="K20" s="46">
        <f>+IFERROR(HLOOKUP($B20,'[2]12월'!$F$6:$CP$99,2,),)/1000</f>
        <v>10.638999999999999</v>
      </c>
      <c r="L20" s="47">
        <f t="shared" si="0"/>
        <v>-0.36100000000000065</v>
      </c>
      <c r="M20" s="48">
        <f>+IFERROR(HLOOKUP($B20,'[3]12월'!$F$6:$CC$57,2,),)/1000</f>
        <v>10.326000000000001</v>
      </c>
      <c r="N20" s="49">
        <f t="shared" si="2"/>
        <v>0.31299999999999883</v>
      </c>
      <c r="O20" s="45">
        <f>+IFERROR(HLOOKUP($B20,'[1]12월'!$D$6:$BN$259,3,),)/1000</f>
        <v>1112.0742000000002</v>
      </c>
      <c r="P20" s="46">
        <f>+IFERROR(HLOOKUP($B20,'[2]12월'!$F$6:$CP$99,3,),)/1000</f>
        <v>1084.562316</v>
      </c>
      <c r="Q20" s="47">
        <f t="shared" si="3"/>
        <v>-27.511884000000236</v>
      </c>
      <c r="R20" s="48">
        <f>+IFERROR(HLOOKUP($B20,'[3]12월'!$F$6:$CC$57,3,),)/1000</f>
        <v>1002.051928</v>
      </c>
      <c r="S20" s="49">
        <f t="shared" si="4"/>
        <v>82.510388000000034</v>
      </c>
      <c r="T20" s="45">
        <f>+IFERROR(HLOOKUP($B20,'[1]12월'!$D$6:$BN$259,16,),)/1000</f>
        <v>158.2608418803533</v>
      </c>
      <c r="U20" s="46">
        <f>+IFERROR(HLOOKUP($B20,'[2]12월'!$F$6:$CP$99,16,),)/1000</f>
        <v>24.639246000000146</v>
      </c>
      <c r="V20" s="47">
        <f t="shared" si="5"/>
        <v>-133.62159588035314</v>
      </c>
      <c r="W20" s="48">
        <f>+IFERROR(HLOOKUP($B20,'[3]12월'!$F$6:$CC$57,16,),)/1000</f>
        <v>10.653326999999878</v>
      </c>
      <c r="X20" s="49">
        <f t="shared" si="6"/>
        <v>13.985919000000267</v>
      </c>
      <c r="Y20" s="45">
        <f>+[4]전주!$Q$85</f>
        <v>101097.65454545456</v>
      </c>
      <c r="Z20" s="46">
        <f>+[4]전주!$R$85</f>
        <v>101942.12952345145</v>
      </c>
      <c r="AA20" s="50">
        <f>+[5]전주!$Q$85</f>
        <v>97041.635483246166</v>
      </c>
      <c r="AB20" s="51">
        <f>+[4]전주!$Q$89</f>
        <v>73656.495485624488</v>
      </c>
      <c r="AC20" s="46">
        <f>+[4]전주!$R$89</f>
        <v>82680.207726290057</v>
      </c>
      <c r="AD20" s="52">
        <f>+[5]전주!$Q$89</f>
        <v>74828.152624443159</v>
      </c>
      <c r="AE20" s="51">
        <f t="shared" si="7"/>
        <v>27441.159059830068</v>
      </c>
      <c r="AF20" s="46">
        <f t="shared" si="8"/>
        <v>19261.921797161398</v>
      </c>
      <c r="AG20" s="52">
        <f t="shared" si="9"/>
        <v>22213.482858803007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+IFERROR(HLOOKUP($B21,'[1]12월'!$D$6:$BN$259,2,),)/1000</f>
        <v>7.5</v>
      </c>
      <c r="K21" s="46">
        <f>+IFERROR(HLOOKUP($B21,'[2]12월'!$F$6:$CP$99,2,),)/1000</f>
        <v>3.5459999999999998</v>
      </c>
      <c r="L21" s="47">
        <f t="shared" si="0"/>
        <v>-3.9540000000000002</v>
      </c>
      <c r="M21" s="48">
        <f>+IFERROR(HLOOKUP($B21,'[3]12월'!$F$6:$CC$57,2,),)/1000</f>
        <v>5.6079999999999997</v>
      </c>
      <c r="N21" s="49">
        <f t="shared" si="2"/>
        <v>-2.0619999999999998</v>
      </c>
      <c r="O21" s="45">
        <f>+IFERROR(HLOOKUP($B21,'[1]12월'!$D$6:$BN$259,3,),)/1000</f>
        <v>833.25160000000005</v>
      </c>
      <c r="P21" s="46">
        <f>+IFERROR(HLOOKUP($B21,'[2]12월'!$F$6:$CP$99,3,),)/1000</f>
        <v>395.58325500000001</v>
      </c>
      <c r="Q21" s="47">
        <f t="shared" si="3"/>
        <v>-437.66834500000004</v>
      </c>
      <c r="R21" s="48">
        <f>+IFERROR(HLOOKUP($B21,'[3]12월'!$F$6:$CC$57,3,),)/1000</f>
        <v>597.35400000000004</v>
      </c>
      <c r="S21" s="49">
        <f t="shared" si="4"/>
        <v>-201.77074500000003</v>
      </c>
      <c r="T21" s="45">
        <f>+IFERROR(HLOOKUP($B21,'[1]12월'!$D$6:$BN$259,16,),)/1000</f>
        <v>198.94578229126492</v>
      </c>
      <c r="U21" s="46">
        <f>+IFERROR(HLOOKUP($B21,'[2]12월'!$F$6:$CP$99,16,),)/1000</f>
        <v>36.294072</v>
      </c>
      <c r="V21" s="47">
        <f t="shared" si="5"/>
        <v>-162.65171029126492</v>
      </c>
      <c r="W21" s="48">
        <f>+IFERROR(HLOOKUP($B21,'[3]12월'!$F$6:$CC$57,16,),)/1000</f>
        <v>80.152253999999999</v>
      </c>
      <c r="X21" s="49">
        <f t="shared" si="6"/>
        <v>-43.858181999999999</v>
      </c>
      <c r="Y21" s="45">
        <f>+[4]군산!$Q$85</f>
        <v>111100.21333333335</v>
      </c>
      <c r="Z21" s="46">
        <f>+[4]군산!$R$85</f>
        <v>111557.60152284264</v>
      </c>
      <c r="AA21" s="50">
        <f>+[5]군산!$Q$85</f>
        <v>106518.1883024251</v>
      </c>
      <c r="AB21" s="51">
        <f>+[4]군산!$Q$89</f>
        <v>74168.25218338691</v>
      </c>
      <c r="AC21" s="46">
        <f>+[4]군산!$R$89</f>
        <v>76050.378172588826</v>
      </c>
      <c r="AD21" s="52">
        <f>+[5]군산!$Q$89</f>
        <v>73466.499821683319</v>
      </c>
      <c r="AE21" s="51">
        <f t="shared" si="7"/>
        <v>36931.961149946437</v>
      </c>
      <c r="AF21" s="46">
        <f t="shared" si="8"/>
        <v>35507.223350253815</v>
      </c>
      <c r="AG21" s="52">
        <f t="shared" si="9"/>
        <v>33051.688480741781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+IFERROR(HLOOKUP($B22,'[1]12월'!$D$6:$BN$259,2,),)/1000</f>
        <v>4</v>
      </c>
      <c r="K22" s="46">
        <f>+IFERROR(HLOOKUP($B22,'[2]12월'!$F$6:$CP$99,2,),)/1000</f>
        <v>3.0674999999999999</v>
      </c>
      <c r="L22" s="47">
        <f t="shared" si="0"/>
        <v>-0.93250000000000011</v>
      </c>
      <c r="M22" s="48">
        <f>+IFERROR(HLOOKUP($B22,'[3]12월'!$F$6:$CC$57,2,),)/1000</f>
        <v>4.01</v>
      </c>
      <c r="N22" s="49">
        <f t="shared" si="2"/>
        <v>-0.94249999999999989</v>
      </c>
      <c r="O22" s="45">
        <f>+IFERROR(HLOOKUP($B22,'[1]12월'!$D$6:$BN$259,3,),)/1000</f>
        <v>448</v>
      </c>
      <c r="P22" s="46">
        <f>+IFERROR(HLOOKUP($B22,'[2]12월'!$F$6:$CP$99,3,),)/1000</f>
        <v>366.23070000000001</v>
      </c>
      <c r="Q22" s="47">
        <f t="shared" si="3"/>
        <v>-81.769299999999987</v>
      </c>
      <c r="R22" s="48">
        <f>+IFERROR(HLOOKUP($B22,'[3]12월'!$F$6:$CC$57,3,),)/1000</f>
        <v>460.86700000000002</v>
      </c>
      <c r="S22" s="49">
        <f t="shared" si="4"/>
        <v>-94.636300000000006</v>
      </c>
      <c r="T22" s="45">
        <f>+IFERROR(HLOOKUP($B22,'[1]12월'!$D$6:$BN$259,16,),)/1000</f>
        <v>60.992161095369369</v>
      </c>
      <c r="U22" s="46">
        <f>+IFERROR(HLOOKUP($B22,'[2]12월'!$F$6:$CP$99,16,),)/1000</f>
        <v>1.3292569999999477</v>
      </c>
      <c r="V22" s="47">
        <f t="shared" si="5"/>
        <v>-59.66290409536942</v>
      </c>
      <c r="W22" s="48">
        <f>+IFERROR(HLOOKUP($B22,'[3]12월'!$F$6:$CC$57,16,),)/1000</f>
        <v>39.135276999999988</v>
      </c>
      <c r="X22" s="49">
        <f t="shared" si="6"/>
        <v>-37.806020000000039</v>
      </c>
      <c r="Y22" s="45">
        <f>+[4]원주!$Q$85</f>
        <v>112000</v>
      </c>
      <c r="Z22" s="46">
        <f>+[4]원주!$R$85</f>
        <v>119466.75396955313</v>
      </c>
      <c r="AA22" s="50">
        <f>+[5]원주!$Q$85</f>
        <v>114929.42643391521</v>
      </c>
      <c r="AB22" s="51">
        <f>+[4]원주!$Q$89</f>
        <v>75699.819679743247</v>
      </c>
      <c r="AC22" s="46">
        <f>+[4]원주!$R$89</f>
        <v>83044.874120150591</v>
      </c>
      <c r="AD22" s="52">
        <f>+[5]원주!$Q$89</f>
        <v>76446.968079800514</v>
      </c>
      <c r="AE22" s="51">
        <f t="shared" si="7"/>
        <v>36300.180320256753</v>
      </c>
      <c r="AF22" s="46">
        <f t="shared" si="8"/>
        <v>36421.87984940254</v>
      </c>
      <c r="AG22" s="52">
        <f t="shared" si="9"/>
        <v>38482.4583541147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-76.439939999999979</v>
      </c>
      <c r="G23" s="334" t="str">
        <f t="shared" si="1"/>
        <v>제주</v>
      </c>
      <c r="H23" s="74"/>
      <c r="I23" s="75" t="s">
        <v>75</v>
      </c>
      <c r="J23" s="45">
        <f>+IFERROR(HLOOKUP($B23,'[1]12월'!$D$6:$BN$259,2,),)/1000</f>
        <v>10</v>
      </c>
      <c r="K23" s="46">
        <f>+IFERROR(HLOOKUP($B23,'[2]12월'!$F$6:$CP$99,2,),)/1000</f>
        <v>4.5194999999999999</v>
      </c>
      <c r="L23" s="47">
        <f t="shared" si="0"/>
        <v>-5.4805000000000001</v>
      </c>
      <c r="M23" s="48">
        <f>+IFERROR(HLOOKUP($B23,'[3]12월'!$F$6:$CC$57,2,),)/1000</f>
        <v>5.5875000000000004</v>
      </c>
      <c r="N23" s="49">
        <f t="shared" si="2"/>
        <v>-1.0680000000000005</v>
      </c>
      <c r="O23" s="45">
        <f>+IFERROR(HLOOKUP($B23,'[1]12월'!$D$6:$BN$259,3,),)/1000</f>
        <v>1229.489</v>
      </c>
      <c r="P23" s="46">
        <f>+IFERROR(HLOOKUP($B23,'[2]12월'!$F$6:$CP$99,3,),)/1000</f>
        <v>579.66132800000003</v>
      </c>
      <c r="Q23" s="47">
        <f t="shared" si="3"/>
        <v>-649.82767200000001</v>
      </c>
      <c r="R23" s="48">
        <f>+IFERROR(HLOOKUP($B23,'[3]12월'!$F$6:$CC$57,3,),)/1000</f>
        <v>668.43715199999997</v>
      </c>
      <c r="S23" s="49">
        <f t="shared" si="4"/>
        <v>-88.775823999999943</v>
      </c>
      <c r="T23" s="45">
        <f>+IFERROR(HLOOKUP($B23,'[1]12월'!$D$6:$BN$259,16,),)/1000</f>
        <v>226.38407367099271</v>
      </c>
      <c r="U23" s="46">
        <f>+IFERROR(HLOOKUP($B23,'[2]12월'!$F$6:$CP$99,16,),)/1000</f>
        <v>42.520961999999969</v>
      </c>
      <c r="V23" s="47">
        <f t="shared" si="5"/>
        <v>-183.86311167099274</v>
      </c>
      <c r="W23" s="48">
        <f>+IFERROR(HLOOKUP($B23,'[3]12월'!$F$6:$CC$57,16,),)/1000</f>
        <v>49.681542999999991</v>
      </c>
      <c r="X23" s="49">
        <f t="shared" si="6"/>
        <v>-7.1605810000000218</v>
      </c>
      <c r="Y23" s="45">
        <f>+[4]제주!$Q$85</f>
        <v>122948.9</v>
      </c>
      <c r="Z23" s="46">
        <f>+[4]제주!$R$85</f>
        <v>127942.32550372925</v>
      </c>
      <c r="AA23" s="50">
        <f>+[5]제주!$Q$85</f>
        <v>119630.81020134229</v>
      </c>
      <c r="AB23" s="51">
        <f>+[4]제주!$Q$89</f>
        <v>91405.356970899316</v>
      </c>
      <c r="AC23" s="46">
        <f>+[4]제주!$R$89</f>
        <v>97531.988645218735</v>
      </c>
      <c r="AD23" s="52">
        <f>+[5]제주!$Q$89</f>
        <v>89066.435062036966</v>
      </c>
      <c r="AE23" s="51">
        <f t="shared" si="7"/>
        <v>31543.543029100678</v>
      </c>
      <c r="AF23" s="46">
        <f t="shared" si="8"/>
        <v>30410.33685851052</v>
      </c>
      <c r="AG23" s="52">
        <f t="shared" si="9"/>
        <v>30564.375139305324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0.8098812844036698</v>
      </c>
      <c r="G24" s="337" t="str">
        <f t="shared" si="1"/>
        <v>수도권</v>
      </c>
      <c r="H24" s="74"/>
      <c r="I24" s="78" t="s">
        <v>42</v>
      </c>
      <c r="J24" s="22">
        <f>SUM(J7:J10)</f>
        <v>109</v>
      </c>
      <c r="K24" s="19">
        <f>SUM(K7:K10)</f>
        <v>88.277060000000006</v>
      </c>
      <c r="L24" s="20">
        <f t="shared" si="0"/>
        <v>-20.722939999999994</v>
      </c>
      <c r="M24" s="24">
        <f>SUM(M7:M10)</f>
        <v>94.753499999999988</v>
      </c>
      <c r="N24" s="21">
        <f t="shared" si="2"/>
        <v>-6.4764399999999824</v>
      </c>
      <c r="O24" s="22">
        <f>SUM(O7:O10)</f>
        <v>10994.522254158081</v>
      </c>
      <c r="P24" s="19">
        <f>SUM(P7:P10)</f>
        <v>8814.6980289999992</v>
      </c>
      <c r="Q24" s="20">
        <f t="shared" si="3"/>
        <v>-2179.8242251580814</v>
      </c>
      <c r="R24" s="24">
        <f>SUM(R7:R10)</f>
        <v>9072.3340189999999</v>
      </c>
      <c r="S24" s="21">
        <f t="shared" si="4"/>
        <v>-257.63599000000067</v>
      </c>
      <c r="T24" s="22">
        <f>SUM(T7:T10)</f>
        <v>1112.3552443884514</v>
      </c>
      <c r="U24" s="19">
        <f>SUM(U7:U10)</f>
        <v>-7.6302419999996474</v>
      </c>
      <c r="V24" s="20">
        <f t="shared" si="5"/>
        <v>-1119.9854863884511</v>
      </c>
      <c r="W24" s="24">
        <f>SUM(W7:W10)</f>
        <v>-204.5360469999996</v>
      </c>
      <c r="X24" s="21">
        <f t="shared" si="6"/>
        <v>196.90580499999996</v>
      </c>
      <c r="Y24" s="22">
        <f>+[4]수도권!$Q$85</f>
        <v>100867.1766436521</v>
      </c>
      <c r="Z24" s="19">
        <f>+[4]수도권!$R$85</f>
        <v>99894.501248649074</v>
      </c>
      <c r="AA24" s="23">
        <f>+[5]수도권!$Q$85</f>
        <v>95753.182837259141</v>
      </c>
      <c r="AB24" s="28">
        <f>+[4]수도권!$Q$89</f>
        <v>81952.109406611198</v>
      </c>
      <c r="AC24" s="19">
        <f>+[4]수도권!$R$89</f>
        <v>87403.984376721812</v>
      </c>
      <c r="AD24" s="29">
        <f>+[5]수도권!$Q$89</f>
        <v>83930.890743174416</v>
      </c>
      <c r="AE24" s="28">
        <f t="shared" si="7"/>
        <v>18915.067237040901</v>
      </c>
      <c r="AF24" s="19">
        <f t="shared" si="8"/>
        <v>12490.516871927262</v>
      </c>
      <c r="AG24" s="29">
        <f t="shared" si="9"/>
        <v>11822.292094084725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0.72005054151624548</v>
      </c>
      <c r="G25" s="334" t="str">
        <f t="shared" si="1"/>
        <v>영남권</v>
      </c>
      <c r="H25" s="74"/>
      <c r="I25" s="78" t="s">
        <v>43</v>
      </c>
      <c r="J25" s="22">
        <f>SUM(J11:J18)</f>
        <v>138.5</v>
      </c>
      <c r="K25" s="19">
        <f>SUM(K11:K18)</f>
        <v>99.727000000000004</v>
      </c>
      <c r="L25" s="20">
        <f t="shared" si="0"/>
        <v>-38.772999999999996</v>
      </c>
      <c r="M25" s="24">
        <f>SUM(M11:M18)</f>
        <v>129.27199999999999</v>
      </c>
      <c r="N25" s="21">
        <f t="shared" si="2"/>
        <v>-29.544999999999987</v>
      </c>
      <c r="O25" s="22">
        <f>SUM(O11:O18)</f>
        <v>13958.863984323454</v>
      </c>
      <c r="P25" s="19">
        <f>SUM(P11:P18)</f>
        <v>10056.727091999999</v>
      </c>
      <c r="Q25" s="20">
        <f t="shared" si="3"/>
        <v>-3902.136892323455</v>
      </c>
      <c r="R25" s="24">
        <f>SUM(R11:R18)</f>
        <v>13072.182614000001</v>
      </c>
      <c r="S25" s="21">
        <f t="shared" si="4"/>
        <v>-3015.455522000002</v>
      </c>
      <c r="T25" s="22">
        <f>SUM(T11:T18)</f>
        <v>1501.0984352115706</v>
      </c>
      <c r="U25" s="19">
        <f>SUM(U11:U18)</f>
        <v>43.53937099999996</v>
      </c>
      <c r="V25" s="20">
        <f t="shared" si="5"/>
        <v>-1457.5590642115708</v>
      </c>
      <c r="W25" s="24">
        <f>SUM(W11:W18)</f>
        <v>534.66819099999987</v>
      </c>
      <c r="X25" s="21">
        <f t="shared" si="6"/>
        <v>-491.12881999999991</v>
      </c>
      <c r="Y25" s="22">
        <f>+[4]영남권!$Q$85</f>
        <v>100786.02154746176</v>
      </c>
      <c r="Z25" s="19">
        <f>+[4]영남권!$R$85</f>
        <v>100842.57113921005</v>
      </c>
      <c r="AA25" s="23">
        <f>+[5]영남권!$Q$85</f>
        <v>101138.01594527731</v>
      </c>
      <c r="AB25" s="28">
        <f>+[4]영남권!$Q$89</f>
        <v>79871.540987932851</v>
      </c>
      <c r="AC25" s="19">
        <f>+[4]영남권!$R$89</f>
        <v>84812.101492298621</v>
      </c>
      <c r="AD25" s="29">
        <f>+[5]영남권!$Q$89</f>
        <v>81325.206744175419</v>
      </c>
      <c r="AE25" s="28">
        <f t="shared" si="7"/>
        <v>20914.480559528907</v>
      </c>
      <c r="AF25" s="19">
        <f t="shared" si="8"/>
        <v>16030.469646911428</v>
      </c>
      <c r="AG25" s="29">
        <f t="shared" si="9"/>
        <v>19812.809201101889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0.70532173913043483</v>
      </c>
      <c r="G26" s="334" t="str">
        <f t="shared" si="1"/>
        <v>중부권</v>
      </c>
      <c r="H26" s="74"/>
      <c r="I26" s="78" t="s">
        <v>107</v>
      </c>
      <c r="J26" s="22">
        <f>SUM(J19:J23)</f>
        <v>57.5</v>
      </c>
      <c r="K26" s="19">
        <f>SUM(K19:K23)</f>
        <v>40.556000000000004</v>
      </c>
      <c r="L26" s="20">
        <f t="shared" si="0"/>
        <v>-16.943999999999996</v>
      </c>
      <c r="M26" s="24">
        <f>SUM(M19:M23)</f>
        <v>48.263499999999993</v>
      </c>
      <c r="N26" s="21">
        <f t="shared" si="2"/>
        <v>-7.7074999999999889</v>
      </c>
      <c r="O26" s="22">
        <f>SUM(O19:O23)</f>
        <v>6197.8148000000001</v>
      </c>
      <c r="P26" s="19">
        <f>SUM(P19:P23)</f>
        <v>4375.9239219999999</v>
      </c>
      <c r="Q26" s="20">
        <f t="shared" si="3"/>
        <v>-1821.8908780000002</v>
      </c>
      <c r="R26" s="24">
        <f>SUM(R19:R23)</f>
        <v>5028.1923820000011</v>
      </c>
      <c r="S26" s="21">
        <f t="shared" si="4"/>
        <v>-652.26846000000114</v>
      </c>
      <c r="T26" s="22">
        <f>SUM(T19:T23)</f>
        <v>978.09027832870447</v>
      </c>
      <c r="U26" s="19">
        <f>SUM(U19:U23)</f>
        <v>173.59004300000024</v>
      </c>
      <c r="V26" s="20">
        <f t="shared" si="5"/>
        <v>-804.50023532870421</v>
      </c>
      <c r="W26" s="24">
        <f>SUM(W19:W23)</f>
        <v>238.09164200000021</v>
      </c>
      <c r="X26" s="21">
        <f t="shared" si="6"/>
        <v>-64.50159899999997</v>
      </c>
      <c r="Y26" s="22">
        <f>+[4]중부권!$Q$85</f>
        <v>107788.08347826089</v>
      </c>
      <c r="Z26" s="19">
        <f>+[4]중부권!$R$85</f>
        <v>107851.31553745527</v>
      </c>
      <c r="AA26" s="23">
        <f>+[5]중부권!$Q$85</f>
        <v>104182.09168419198</v>
      </c>
      <c r="AB26" s="28">
        <f>+[4]중부권!$Q$89</f>
        <v>79949.77917378307</v>
      </c>
      <c r="AC26" s="19">
        <f>+[4]중부권!$R$89</f>
        <v>85942.394549266246</v>
      </c>
      <c r="AD26" s="29">
        <f>+[5]중부권!$Q$89</f>
        <v>81258.436457526477</v>
      </c>
      <c r="AE26" s="28">
        <f t="shared" si="7"/>
        <v>27838.304304477817</v>
      </c>
      <c r="AF26" s="19">
        <f t="shared" si="8"/>
        <v>21908.920988189027</v>
      </c>
      <c r="AG26" s="29">
        <f t="shared" si="9"/>
        <v>22923.655226665505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0.8394024731076174</v>
      </c>
      <c r="G27" s="336">
        <f>+K27/J27</f>
        <v>0.74937724590163945</v>
      </c>
      <c r="H27" s="267" t="s">
        <v>94</v>
      </c>
      <c r="I27" s="268"/>
      <c r="J27" s="269">
        <f>SUM(J24:J26)</f>
        <v>305</v>
      </c>
      <c r="K27" s="270">
        <f>SUM(K24:K26)</f>
        <v>228.56006000000002</v>
      </c>
      <c r="L27" s="271">
        <f t="shared" ref="L27:L32" si="10">+K27-J27</f>
        <v>-76.439939999999979</v>
      </c>
      <c r="M27" s="272">
        <f>SUM(M24:M26)</f>
        <v>272.28899999999999</v>
      </c>
      <c r="N27" s="273">
        <f t="shared" ref="N27:N32" si="11">+K27-M27</f>
        <v>-43.728939999999966</v>
      </c>
      <c r="O27" s="269">
        <f>SUM(O24:O26)</f>
        <v>31151.201038481537</v>
      </c>
      <c r="P27" s="270">
        <f>SUM(P24:P26)</f>
        <v>23247.349043000002</v>
      </c>
      <c r="Q27" s="271">
        <f t="shared" ref="Q27:Q43" si="12">+P27-O27</f>
        <v>-7903.8519954815347</v>
      </c>
      <c r="R27" s="272">
        <f>SUM(R24:R26)</f>
        <v>27172.709015</v>
      </c>
      <c r="S27" s="273">
        <f t="shared" ref="S27:S34" si="13">+P27-R27</f>
        <v>-3925.3599719999984</v>
      </c>
      <c r="T27" s="269">
        <f>SUM(T24:T26)</f>
        <v>3591.5439579287267</v>
      </c>
      <c r="U27" s="270">
        <f>SUM(U24:U26)</f>
        <v>209.49917200000056</v>
      </c>
      <c r="V27" s="271">
        <f t="shared" ref="V27:V32" si="14">+U27-T27</f>
        <v>-3382.044785928726</v>
      </c>
      <c r="W27" s="272">
        <f>SUM(W24:W26)</f>
        <v>568.22378600000047</v>
      </c>
      <c r="X27" s="273">
        <f t="shared" ref="X27:X32" si="15">+U27-W27</f>
        <v>-358.72461399999992</v>
      </c>
      <c r="Y27" s="269">
        <f>+[4]합계!$Q$85</f>
        <v>102135.08537207061</v>
      </c>
      <c r="Z27" s="270">
        <f>+[4]합계!$R$85</f>
        <v>101721.48004045202</v>
      </c>
      <c r="AA27" s="274">
        <f>+[5]합계!$Q$85</f>
        <v>99802.989779255455</v>
      </c>
      <c r="AB27" s="275">
        <f>+[4]합계!$Q$89</f>
        <v>80629.838211940471</v>
      </c>
      <c r="AC27" s="270">
        <f>+[4]합계!$R$89</f>
        <v>86010.517649032845</v>
      </c>
      <c r="AD27" s="276">
        <f>+[5]합계!$Q$89</f>
        <v>82213.021920394152</v>
      </c>
      <c r="AE27" s="275">
        <f t="shared" si="7"/>
        <v>21505.247160130137</v>
      </c>
      <c r="AF27" s="270">
        <f t="shared" si="8"/>
        <v>15710.962391419176</v>
      </c>
      <c r="AG27" s="276">
        <f t="shared" si="9"/>
        <v>17589.967858861302</v>
      </c>
      <c r="AH27" s="26"/>
      <c r="AI27" s="493">
        <f>+AF27-AE27</f>
        <v>-5794.2847687109606</v>
      </c>
      <c r="AJ27" s="494">
        <f>+AF27-AG27</f>
        <v>-1879.0054674421262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655" t="s">
        <v>48</v>
      </c>
      <c r="I28" s="656"/>
      <c r="J28" s="153">
        <f>+IFERROR(HLOOKUP($B28,'[1]12월'!$D$6:$BN$259,2,),)</f>
        <v>13100</v>
      </c>
      <c r="K28" s="154">
        <f>+IFERROR(HLOOKUP($E28,'[2]12월'!$F$6:$CP$99,2,),)</f>
        <v>7354.4539999999997</v>
      </c>
      <c r="L28" s="155">
        <f>+K28-J28</f>
        <v>-5745.5460000000003</v>
      </c>
      <c r="M28" s="156">
        <f>+IFERROR(HLOOKUP($E28,'[3]12월'!$F$6:$CC$57,2,),)</f>
        <v>8003.0569999999998</v>
      </c>
      <c r="N28" s="157">
        <f>+K28-M28</f>
        <v>-648.60300000000007</v>
      </c>
      <c r="O28" s="153">
        <f>+IFERROR(HLOOKUP($B28,'[1]12월'!$D$6:$BN$259,3,),)/1000</f>
        <v>14246.0356352</v>
      </c>
      <c r="P28" s="154">
        <f>+IFERROR(HLOOKUP($E28,'[2]12월'!$F$6:$CP$99,3,),)/1000</f>
        <v>6900.9294749999999</v>
      </c>
      <c r="Q28" s="155">
        <f>+P28-O28</f>
        <v>-7345.1061602</v>
      </c>
      <c r="R28" s="156">
        <f>+IFERROR(HLOOKUP($E28,'[3]12월'!$F$6:$CC$57,3,),)/1000</f>
        <v>7445.9016059999994</v>
      </c>
      <c r="S28" s="157">
        <f t="shared" si="13"/>
        <v>-544.97213099999954</v>
      </c>
      <c r="T28" s="153">
        <f>+IFERROR(HLOOKUP($B28,'[1]12월'!$D$6:$BN$259,16,),)/1000</f>
        <v>259.83968724048486</v>
      </c>
      <c r="U28" s="154">
        <f>+IFERROR(HLOOKUP($E28,'[2]12월'!$F$6:$CP$99,16,),)/1000</f>
        <v>-64.009488000000644</v>
      </c>
      <c r="V28" s="155">
        <f t="shared" si="14"/>
        <v>-323.84917524048552</v>
      </c>
      <c r="W28" s="156">
        <f>+IFERROR(HLOOKUP($E28,'[3]12월'!$F$6:$CC$57,16,),)/1000</f>
        <v>-101.1020730000008</v>
      </c>
      <c r="X28" s="157">
        <f t="shared" si="15"/>
        <v>37.092585000000156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+IFERROR(HLOOKUP($B29,'[1]12월'!$D$6:$BN$259,2,),)/1000</f>
        <v>26.126821815109647</v>
      </c>
      <c r="K29" s="56">
        <f>+IFERROR(HLOOKUP($C29,'[2]12월'!$F$6:$CP$99,2,),)/1000</f>
        <v>20.068000000000001</v>
      </c>
      <c r="L29" s="37">
        <f t="shared" si="10"/>
        <v>-6.0588218151096456</v>
      </c>
      <c r="M29" s="37">
        <f>+IFERROR(HLOOKUP($C29,'[3]12월'!$F$6:$CC$57,2,),)/1000</f>
        <v>23.035</v>
      </c>
      <c r="N29" s="57">
        <f t="shared" si="11"/>
        <v>-2.9669999999999987</v>
      </c>
      <c r="O29" s="55">
        <f>+IFERROR(HLOOKUP($B29,'[1]12월'!$D$6:$BN$259,3,),)/1000</f>
        <v>708.89131544459906</v>
      </c>
      <c r="P29" s="56">
        <f>+IFERROR(HLOOKUP($C29,'[2]12월'!$F$6:$CP$99,3,),)/1000</f>
        <v>576.83185300000002</v>
      </c>
      <c r="Q29" s="37">
        <f t="shared" si="12"/>
        <v>-132.05946244459903</v>
      </c>
      <c r="R29" s="37">
        <f>+IFERROR(HLOOKUP($C29,'[3]12월'!$F$6:$CC$57,3,),)/1000</f>
        <v>638.33299999999997</v>
      </c>
      <c r="S29" s="57">
        <f t="shared" si="13"/>
        <v>-61.501146999999946</v>
      </c>
      <c r="T29" s="55">
        <f>+IFERROR(HLOOKUP($B29,'[1]12월'!$D$6:$BN$259,21,),)/1000</f>
        <v>76.491102715255494</v>
      </c>
      <c r="U29" s="56">
        <f>+IFERROR(HLOOKUP($C29,'[2]12월'!$F$6:$CP$99,21,),)/1000</f>
        <v>8.5282270338085979</v>
      </c>
      <c r="V29" s="37">
        <f t="shared" si="14"/>
        <v>-67.962875681446889</v>
      </c>
      <c r="W29" s="37">
        <f>+IFERROR(HLOOKUP($C29,'[3]12월'!$F$6:$CC$57,21,),)/1000</f>
        <v>-21.304281356637599</v>
      </c>
      <c r="X29" s="57">
        <f t="shared" si="15"/>
        <v>29.832508390446197</v>
      </c>
      <c r="Y29" s="49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+IFERROR(HLOOKUP($B30,'[1]12월'!$D$6:$BN$259,2,),)/1000</f>
        <v>48.511301075268811</v>
      </c>
      <c r="K30" s="58">
        <f>+IFERROR(HLOOKUP($C30,'[2]12월'!$F$6:$CP$99,2,),)/1000</f>
        <v>30.44</v>
      </c>
      <c r="L30" s="47">
        <f t="shared" si="10"/>
        <v>-18.07130107526881</v>
      </c>
      <c r="M30" s="47">
        <f>+IFERROR(HLOOKUP($C30,'[3]12월'!$F$6:$CC$57,2,),)/1000</f>
        <v>1</v>
      </c>
      <c r="N30" s="59">
        <f t="shared" si="11"/>
        <v>29.44</v>
      </c>
      <c r="O30" s="53">
        <f>+IFERROR(HLOOKUP($B30,'[1]12월'!$D$6:$BN$259,3,),)/1000</f>
        <v>717.82161720430111</v>
      </c>
      <c r="P30" s="58">
        <f>+IFERROR(HLOOKUP($C30,'[2]12월'!$F$6:$CP$99,3,),)/1000</f>
        <v>416.928</v>
      </c>
      <c r="Q30" s="47">
        <f t="shared" si="12"/>
        <v>-300.89361720430111</v>
      </c>
      <c r="R30" s="47">
        <f>+IFERROR(HLOOKUP($C30,'[3]12월'!$F$6:$CC$57,3,),)/1000</f>
        <v>11.5</v>
      </c>
      <c r="S30" s="59">
        <f t="shared" si="13"/>
        <v>405.428</v>
      </c>
      <c r="T30" s="53">
        <f>+IFERROR(HLOOKUP($B30,'[1]12월'!$D$6:$BN$259,21,),)/1000</f>
        <v>58.392673486120955</v>
      </c>
      <c r="U30" s="58">
        <f>+IFERROR(HLOOKUP($C30,'[2]12월'!$F$6:$CP$99,21,),)/1000</f>
        <v>-199.95773400414504</v>
      </c>
      <c r="V30" s="47">
        <f t="shared" si="14"/>
        <v>-258.35040749026598</v>
      </c>
      <c r="W30" s="47">
        <f>+IFERROR(HLOOKUP($C30,'[3]12월'!$F$6:$CC$57,21,),)/1000</f>
        <v>-151.79414490851693</v>
      </c>
      <c r="X30" s="59">
        <f t="shared" si="15"/>
        <v>-48.163589095628112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+IFERROR(HLOOKUP($B31,'[1]12월'!$D$6:$BN$259,2,),)/1000</f>
        <v>39.90963159999999</v>
      </c>
      <c r="K31" s="58">
        <f>+IFERROR(HLOOKUP($C31,'[2]12월'!$F$6:$CP$99,2,),)/1000</f>
        <v>17.420000000000002</v>
      </c>
      <c r="L31" s="47">
        <f t="shared" si="10"/>
        <v>-22.489631599999989</v>
      </c>
      <c r="M31" s="47">
        <f>+IFERROR(HLOOKUP($C31,'[3]12월'!$F$6:$CC$57,2,),)/1000</f>
        <v>35.645000000000003</v>
      </c>
      <c r="N31" s="59">
        <f t="shared" si="11"/>
        <v>-18.225000000000001</v>
      </c>
      <c r="O31" s="53">
        <f>+IFERROR(HLOOKUP($B31,'[1]12월'!$D$6:$BN$259,3,),)/1000</f>
        <v>683.24825779999992</v>
      </c>
      <c r="P31" s="58">
        <f>+IFERROR(HLOOKUP($C31,'[2]12월'!$F$6:$CP$99,3,),)/1000</f>
        <v>343.03559999999999</v>
      </c>
      <c r="Q31" s="47">
        <f t="shared" si="12"/>
        <v>-340.21265779999993</v>
      </c>
      <c r="R31" s="47">
        <f>+IFERROR(HLOOKUP($C31,'[3]12월'!$F$6:$CC$57,3,),)/1000</f>
        <v>630.68150000000003</v>
      </c>
      <c r="S31" s="59">
        <f t="shared" si="13"/>
        <v>-287.64590000000004</v>
      </c>
      <c r="T31" s="53">
        <f>+IFERROR(HLOOKUP($B31,'[1]12월'!$D$6:$BN$259,21,),)/1000</f>
        <v>58.198893776739439</v>
      </c>
      <c r="U31" s="58">
        <f>+IFERROR(HLOOKUP($C31,'[2]12월'!$F$6:$CP$99,21,),)/1000</f>
        <v>-138.15524448000002</v>
      </c>
      <c r="V31" s="47">
        <f t="shared" si="14"/>
        <v>-196.35413825673947</v>
      </c>
      <c r="W31" s="47">
        <f>+IFERROR(HLOOKUP($C31,'[3]12월'!$F$6:$CC$57,21,),)/1000</f>
        <v>-294.10380909999998</v>
      </c>
      <c r="X31" s="59">
        <f t="shared" si="15"/>
        <v>155.94856461999996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114.54775449037845</v>
      </c>
      <c r="K32" s="140">
        <f>SUM(K29:K31)</f>
        <v>67.927999999999997</v>
      </c>
      <c r="L32" s="138">
        <f t="shared" si="10"/>
        <v>-46.619754490378455</v>
      </c>
      <c r="M32" s="138">
        <f>SUM(M29:M31)</f>
        <v>59.680000000000007</v>
      </c>
      <c r="N32" s="139">
        <f t="shared" si="11"/>
        <v>8.2479999999999905</v>
      </c>
      <c r="O32" s="136">
        <f>SUM(O29:O31)</f>
        <v>2109.9611904489002</v>
      </c>
      <c r="P32" s="140">
        <f>SUM(P29:P31)</f>
        <v>1336.795453</v>
      </c>
      <c r="Q32" s="138">
        <f t="shared" si="12"/>
        <v>-773.16573744890024</v>
      </c>
      <c r="R32" s="138">
        <f>SUM(R29:R31)</f>
        <v>1280.5145</v>
      </c>
      <c r="S32" s="139">
        <f t="shared" si="13"/>
        <v>56.280952999999954</v>
      </c>
      <c r="T32" s="136">
        <f>SUM(T29:T31)</f>
        <v>193.08266997811592</v>
      </c>
      <c r="U32" s="140">
        <f>SUM(U29:U31)</f>
        <v>-329.58475145033646</v>
      </c>
      <c r="V32" s="138">
        <f t="shared" si="14"/>
        <v>-522.66742142845237</v>
      </c>
      <c r="W32" s="138">
        <f>SUM(W29:W31)</f>
        <v>-467.20223536515448</v>
      </c>
      <c r="X32" s="139">
        <f t="shared" si="15"/>
        <v>137.61748391481802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(IFERROR(HLOOKUP($B33,'[1]12월'!$D$6:$BN$259,3,),)++IFERROR(HLOOKUP($C33,'[1]12월'!$D$6:$BN$259,3,),)+IFERROR(HLOOKUP($D33,'[1]12월'!$D$6:$BN$259,3,),))/1000</f>
        <v>66.666666666666671</v>
      </c>
      <c r="P33" s="46">
        <f>+IFERROR(HLOOKUP($E33,'[2]12월'!$F$6:$CP$99,3,),)/1000</f>
        <v>43.34</v>
      </c>
      <c r="Q33" s="48">
        <f t="shared" si="12"/>
        <v>-23.326666666666668</v>
      </c>
      <c r="R33" s="47">
        <f>+IFERROR(HLOOKUP($E33,'[3]12월'!$F$6:$CC$57,3,),)/1000</f>
        <v>90.84</v>
      </c>
      <c r="S33" s="59">
        <f t="shared" si="13"/>
        <v>-47.5</v>
      </c>
      <c r="T33" s="45">
        <f>(IFERROR(HLOOKUP($B33,'[1]12월'!$D$6:$BN$259,21,),)++IFERROR(HLOOKUP($C33,'[1]12월'!$D$6:$BN$259,21,),)+IFERROR(HLOOKUP($D33,'[1]12월'!$D$6:$BN$259,21,),))/1000</f>
        <v>51.473203666666663</v>
      </c>
      <c r="U33" s="46">
        <f>+IFERROR(HLOOKUP($E33,'[2]12월'!$F$6:$CP$99,16,),)/1000</f>
        <v>26.777420999999997</v>
      </c>
      <c r="V33" s="48">
        <f t="shared" ref="V33:V39" si="16">+U33-T33</f>
        <v>-24.695782666666666</v>
      </c>
      <c r="W33" s="47">
        <f>+IFERROR(HLOOKUP($E33,'[3]12월'!$F$6:$CC$57,16,),)/1000</f>
        <v>76.068674999999999</v>
      </c>
      <c r="X33" s="59">
        <f t="shared" ref="X33:X41" si="17">+U33-W33</f>
        <v>-49.291254000000002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(+IFERROR(HLOOKUP($B34,'[1]12월'!$D$6:$BN$259,3,),)+IFERROR(HLOOKUP($C34,'[1]12월'!$D$6:$BN$259,3,),))/1000</f>
        <v>74.091499999999996</v>
      </c>
      <c r="P34" s="46">
        <f>+IFERROR(HLOOKUP($E34,'[2]12월'!$F$6:$CP$99,3,),)/1000</f>
        <v>73.910808000000003</v>
      </c>
      <c r="Q34" s="48">
        <f>+P34-O34</f>
        <v>-0.18069199999999341</v>
      </c>
      <c r="R34" s="47">
        <f>+IFERROR(HLOOKUP($E34,'[3]12월'!$F$6:$CC$57,3,),)/1000</f>
        <v>72.691940000000002</v>
      </c>
      <c r="S34" s="59">
        <f t="shared" si="13"/>
        <v>1.2188680000000005</v>
      </c>
      <c r="T34" s="45">
        <f>(+IFERROR(HLOOKUP($B34,'[1]12월'!$D$6:$BN$259,21,),)+IFERROR(HLOOKUP($C34,'[1]12월'!$D$6:$BN$259,21,),))/1000</f>
        <v>76.533943999999991</v>
      </c>
      <c r="U34" s="46">
        <f>+IFERROR(HLOOKUP($E34,'[2]12월'!$F$6:$CP$99,16,),)/1000</f>
        <v>70.357762000000008</v>
      </c>
      <c r="V34" s="48">
        <f t="shared" si="16"/>
        <v>-6.176181999999983</v>
      </c>
      <c r="W34" s="47">
        <f>+IFERROR(HLOOKUP($E34,'[3]12월'!$F$6:$CC$57,16,),)/1000</f>
        <v>75.153125000000017</v>
      </c>
      <c r="X34" s="59">
        <f t="shared" si="17"/>
        <v>-4.7953630000000089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>+P35-O35</f>
        <v>0</v>
      </c>
      <c r="R35" s="47"/>
      <c r="S35" s="59">
        <f>+P35-R35</f>
        <v>0</v>
      </c>
      <c r="T35" s="45">
        <f>-'[1]12월'!$Z$22/1000</f>
        <v>-1332.7152549491345</v>
      </c>
      <c r="U35" s="46">
        <f>+-'[2]12월'!$Z$22/1000</f>
        <v>-1845.4587245463063</v>
      </c>
      <c r="V35" s="48">
        <f t="shared" si="16"/>
        <v>-512.74346959717172</v>
      </c>
      <c r="W35" s="47">
        <f>+-'[3]12월'!$Z$22/1000</f>
        <v>-2089.6312006355133</v>
      </c>
      <c r="X35" s="59">
        <f t="shared" si="17"/>
        <v>244.17247608920707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>+P36-O36</f>
        <v>0</v>
      </c>
      <c r="R36" s="47"/>
      <c r="S36" s="59">
        <f>+P36-R36</f>
        <v>0</v>
      </c>
      <c r="T36" s="45"/>
      <c r="U36" s="46">
        <f>'[2]12월'!$BD$26/1000</f>
        <v>361.91133000000002</v>
      </c>
      <c r="V36" s="48">
        <f t="shared" si="16"/>
        <v>361.91133000000002</v>
      </c>
      <c r="W36" s="47">
        <f>'[3]12월'!$BD$26/1000</f>
        <v>300</v>
      </c>
      <c r="X36" s="59">
        <f t="shared" si="17"/>
        <v>61.911330000000021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>+P37-O37</f>
        <v>0</v>
      </c>
      <c r="R37" s="47"/>
      <c r="S37" s="59">
        <f>+P37-R37</f>
        <v>0</v>
      </c>
      <c r="T37" s="45"/>
      <c r="U37" s="46">
        <f>'[2]12월'!$BE$26/1000</f>
        <v>-441.383038</v>
      </c>
      <c r="V37" s="48">
        <f t="shared" si="16"/>
        <v>-441.383038</v>
      </c>
      <c r="W37" s="47">
        <f>'[3]12월'!$BE$26/1000</f>
        <v>319.51270899999997</v>
      </c>
      <c r="X37" s="59">
        <f t="shared" si="17"/>
        <v>-760.89574700000003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>+P38-O38</f>
        <v>0</v>
      </c>
      <c r="R38" s="47">
        <f>+IFERROR(HLOOKUP($I$38,'[3]12월'!$F$6:$BJ$50,3,),)/1000</f>
        <v>0</v>
      </c>
      <c r="S38" s="59">
        <f>+P38-R38</f>
        <v>0</v>
      </c>
      <c r="T38" s="45">
        <f>SUM('[1]12월'!$AM$26:$AQ$26)/1000</f>
        <v>-0.18780899999999928</v>
      </c>
      <c r="U38" s="46">
        <f>+'[2]12월'!$BF$26/1000</f>
        <v>0.8370439999999999</v>
      </c>
      <c r="V38" s="48">
        <f t="shared" si="16"/>
        <v>1.0248529999999991</v>
      </c>
      <c r="W38" s="47">
        <f>+'[3]12월'!$BF$26/1000</f>
        <v>-3.6895869999999995</v>
      </c>
      <c r="X38" s="59">
        <f t="shared" si="17"/>
        <v>4.5266309999999992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18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+'[2]12월'!$BG$26/1000</f>
        <v>0</v>
      </c>
      <c r="V39" s="48">
        <f t="shared" si="16"/>
        <v>0</v>
      </c>
      <c r="W39" s="47"/>
      <c r="X39" s="59">
        <f t="shared" si="17"/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IFERROR(HLOOKUP($B39,'[1]12월'!$D$6:$BN$259,3,),)/1000</f>
        <v>1.77</v>
      </c>
      <c r="P40" s="46">
        <f>+('[2]12월'!$F$8-SUM('[2]12월'!$Z$8,'[2]12월'!$AH$8,'[2]12월'!$AN$8,'[2]12월'!$AO$8,'[2]12월'!$BA$8,'[2]12월'!$BD$8,'[2]12월'!$BE$8,'[2]12월'!$BF$8))/1000</f>
        <v>1.6413000000007452</v>
      </c>
      <c r="Q40" s="54">
        <f>+P40-O40</f>
        <v>-0.12869999999925485</v>
      </c>
      <c r="R40" s="60">
        <f>+('[3]12월'!$F$8-SUM('[3]12월'!$Z$8,'[3]12월'!$AH$8,'[3]12월'!$AN$8,'[3]12월'!$AO$8,'[3]12월'!$BA$8,'[3]12월'!$BD$8,'[3]12월'!$BE$8,'[3]12월'!$BF$8))/1000</f>
        <v>1.6798500000014902</v>
      </c>
      <c r="S40" s="61">
        <f>+P40-R40</f>
        <v>-3.8550000000745044E-2</v>
      </c>
      <c r="T40" s="45">
        <f>+('[1]12월'!$E$26-'[1]12월'!$Z$26-'[1]12월'!$AA$26-'[1]12월'!$AE$26-'[1]12월'!$AL$26-'[1]12월'!$AM$26-'[1]12월'!$AN$26-'[1]12월'!$AO$26-'[1]12월'!$AP$26-'[1]12월'!$AQ$26-'[1]12월'!$AS$26+'[1]12월'!$AS$26)/1000</f>
        <v>-75.182553999996685</v>
      </c>
      <c r="U40" s="46">
        <f>+('[2]12월'!$F$26-SUM('[2]12월'!$Z$26,'[2]12월'!$AH$26,'[2]12월'!$AN$26,'[2]12월'!$AO$26,'[2]12월'!$BA$26,'[2]12월'!$BD$26,'[2]12월'!$BE$26,'[2]12월'!$BF$26))/1000-U39</f>
        <v>6.1903039999892933</v>
      </c>
      <c r="V40" s="48">
        <f>+U40-T40</f>
        <v>81.372857999985982</v>
      </c>
      <c r="W40" s="60">
        <f>+('[3]12월'!$F$26-SUM('[3]12월'!$Z$26,'[3]12월'!$AH$26,'[3]12월'!$AN$26,'[3]12월'!$AO$26,'[3]12월'!$BA$26,'[3]12월'!$BD$26,'[3]12월'!$BE$26,'[3]12월'!$BF$26))/1000</f>
        <v>16.456465000002414</v>
      </c>
      <c r="X40" s="59">
        <f t="shared" si="17"/>
        <v>-10.26616100001312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142.52816666666669</v>
      </c>
      <c r="P41" s="137">
        <f>SUM(P33:P40)</f>
        <v>118.89210800000075</v>
      </c>
      <c r="Q41" s="141">
        <f t="shared" si="12"/>
        <v>-23.636058666665946</v>
      </c>
      <c r="R41" s="142">
        <f>SUM(R33:R40)</f>
        <v>165.21179000000151</v>
      </c>
      <c r="S41" s="143">
        <f>+P41-R41</f>
        <v>-46.319682000000768</v>
      </c>
      <c r="T41" s="136">
        <f>SUM(T33:T40)</f>
        <v>-1280.0784702824644</v>
      </c>
      <c r="U41" s="137">
        <f>SUM(U33:U40)</f>
        <v>-1820.7679015463166</v>
      </c>
      <c r="V41" s="141">
        <f>+U41-T41</f>
        <v>-540.68943126385216</v>
      </c>
      <c r="W41" s="142">
        <f>SUM(W33:W40)</f>
        <v>-1306.129813635511</v>
      </c>
      <c r="X41" s="143">
        <f t="shared" si="17"/>
        <v>-514.63808791080555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0.66325598721330825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47649.726030797101</v>
      </c>
      <c r="P43" s="280">
        <f>+P27+P32+P28+P41</f>
        <v>31603.966079000002</v>
      </c>
      <c r="Q43" s="281">
        <f t="shared" si="12"/>
        <v>-16045.759951797099</v>
      </c>
      <c r="R43" s="282">
        <f>+R27+R32+R28+R41</f>
        <v>36064.336911000006</v>
      </c>
      <c r="S43" s="283">
        <f>+P43-R43</f>
        <v>-4460.3708320000042</v>
      </c>
      <c r="T43" s="279">
        <f>+T27+T32+T28+T41</f>
        <v>2764.3878448648634</v>
      </c>
      <c r="U43" s="280">
        <f>+U27+U32+U28+U41</f>
        <v>-2004.8629689966531</v>
      </c>
      <c r="V43" s="281">
        <f>+U43-T43</f>
        <v>-4769.2508138615167</v>
      </c>
      <c r="W43" s="282">
        <f>+W27+W32+W28+W41</f>
        <v>-1306.2103360006658</v>
      </c>
      <c r="X43" s="283">
        <f>+U43-W43</f>
        <v>-698.65263299598723</v>
      </c>
      <c r="Y43" s="657"/>
      <c r="Z43" s="658"/>
      <c r="AA43" s="658"/>
      <c r="AB43" s="658"/>
      <c r="AC43" s="658"/>
      <c r="AD43" s="658"/>
      <c r="AE43" s="658"/>
      <c r="AF43" s="658"/>
      <c r="AG43" s="659"/>
      <c r="AH43" s="25"/>
      <c r="AJ43" s="486"/>
      <c r="AK43" s="488"/>
      <c r="AO43" s="486"/>
    </row>
    <row r="44" spans="2:43" s="33" customFormat="1" x14ac:dyDescent="0.3">
      <c r="G44" s="336">
        <f>+U43/T43</f>
        <v>-0.7252466301792253</v>
      </c>
      <c r="P44" s="295">
        <f>+P43/O43</f>
        <v>0.66325598721330825</v>
      </c>
      <c r="R44" s="295">
        <f>+P43/R43</f>
        <v>0.87632183996596524</v>
      </c>
      <c r="T44" s="295">
        <f>+T43/O43</f>
        <v>5.8014768921822904E-2</v>
      </c>
      <c r="U44" s="295">
        <f>+U43/P43</f>
        <v>-6.3437068752229528E-2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0.91895559409360694</v>
      </c>
      <c r="G46" s="336">
        <f>+K28/J28</f>
        <v>0.56140870229007633</v>
      </c>
      <c r="I46" s="654" t="s">
        <v>82</v>
      </c>
      <c r="J46" s="126">
        <f>+'[1]12월'!$Z$7/1000</f>
        <v>305</v>
      </c>
      <c r="K46" s="127">
        <f>+'[2]12월'!$AI$7/1000</f>
        <v>228.56005999999999</v>
      </c>
      <c r="L46" s="127"/>
      <c r="M46" s="127">
        <f>+'[3]12월'!$Z$7/1000</f>
        <v>272.28899999999999</v>
      </c>
      <c r="N46" s="127"/>
      <c r="O46" s="127">
        <f>+'[1]12월'!$E$8/1000</f>
        <v>47649.726030797101</v>
      </c>
      <c r="P46" s="127">
        <f>+'[2]12월'!$F$8/1000</f>
        <v>31603.966078999991</v>
      </c>
      <c r="Q46" s="127"/>
      <c r="R46" s="127">
        <f>+'[3]12월'!$F$8/1000</f>
        <v>36064.336910999999</v>
      </c>
      <c r="S46" s="127"/>
      <c r="T46" s="132">
        <f>+'[1]12월'!$E$26/1000</f>
        <v>2764.3878448648638</v>
      </c>
      <c r="U46" s="127">
        <f>+'[2]12월'!$F$26/1000</f>
        <v>-2004.8629689966533</v>
      </c>
      <c r="V46" s="127"/>
      <c r="W46" s="127">
        <f>+'[3]12월'!$F$26/1000</f>
        <v>-1306.2103360006658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1.1382037533512062</v>
      </c>
      <c r="G47" s="336">
        <f>+K32/J32</f>
        <v>0.59301031523673975</v>
      </c>
      <c r="I47" s="654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0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6" x14ac:dyDescent="0.3">
      <c r="O49" s="492">
        <f>+O43-O28</f>
        <v>33403.690395597099</v>
      </c>
      <c r="P49" s="492">
        <f>+P43-P28</f>
        <v>24703.036604000001</v>
      </c>
      <c r="Q49" s="492">
        <f>+P49-O49</f>
        <v>-8700.6537915970985</v>
      </c>
      <c r="T49" s="294"/>
      <c r="U49" s="294"/>
      <c r="V49" s="294"/>
      <c r="AC49" s="34"/>
      <c r="AD49" s="33"/>
      <c r="AE49" s="33"/>
      <c r="AF49" s="34"/>
    </row>
    <row r="50" spans="10:36" x14ac:dyDescent="0.3">
      <c r="O50" s="492">
        <f>+O49/100</f>
        <v>334.03690395597101</v>
      </c>
      <c r="P50" s="492">
        <f>+P49/100</f>
        <v>247.03036604000002</v>
      </c>
      <c r="Q50" s="492">
        <f>+P50-O50</f>
        <v>-87.006537915970995</v>
      </c>
      <c r="S50" t="s">
        <v>40</v>
      </c>
      <c r="T50" s="236">
        <f>(+T27+T35)/100</f>
        <v>22.588287029795922</v>
      </c>
      <c r="U50" s="236">
        <f>(+U27+U35)/100</f>
        <v>-16.359595525463057</v>
      </c>
      <c r="V50" s="236">
        <f>+U50-T50</f>
        <v>-38.947882555258978</v>
      </c>
      <c r="W50" s="235">
        <f>+U50/T50-1</f>
        <v>-1.7242512680967494</v>
      </c>
      <c r="AC50" s="34"/>
      <c r="AD50" s="33"/>
      <c r="AE50" s="33"/>
      <c r="AF50" s="34"/>
      <c r="AJ50" s="492"/>
    </row>
    <row r="51" spans="10:36" x14ac:dyDescent="0.3">
      <c r="Q51" s="235">
        <f>+P50/O50</f>
        <v>0.73953016302821672</v>
      </c>
      <c r="S51" t="s">
        <v>1</v>
      </c>
      <c r="T51" s="6">
        <f>+T32/100</f>
        <v>1.9308266997811592</v>
      </c>
      <c r="U51" s="6">
        <f>+U32/100</f>
        <v>-3.2958475145033646</v>
      </c>
      <c r="V51" s="236">
        <f>+U51-T51</f>
        <v>-5.2266742142845235</v>
      </c>
      <c r="AC51" s="34"/>
      <c r="AD51" s="33"/>
      <c r="AE51" s="33"/>
      <c r="AF51" s="34"/>
    </row>
    <row r="52" spans="10:36" x14ac:dyDescent="0.3">
      <c r="S52" t="s">
        <v>44</v>
      </c>
      <c r="T52" s="6">
        <f>(T33+T34)/100</f>
        <v>1.2800714766666663</v>
      </c>
      <c r="U52" s="6">
        <f>(U33+U34)/100</f>
        <v>0.97135183000000014</v>
      </c>
      <c r="V52" s="294">
        <f>+U52-T52</f>
        <v>-0.30871964666666618</v>
      </c>
      <c r="AC52" s="34"/>
      <c r="AD52" s="33"/>
      <c r="AE52" s="33"/>
      <c r="AF52" s="34"/>
      <c r="AJ52" s="492"/>
    </row>
    <row r="53" spans="10:36" x14ac:dyDescent="0.3">
      <c r="S53" s="236" t="s">
        <v>4</v>
      </c>
      <c r="T53" s="236">
        <f>((T46-T28)/100)-T50-T51-T52</f>
        <v>-0.75370362999995599</v>
      </c>
      <c r="U53" s="236">
        <f>((U46-U28)/100)-U50-U51-U52</f>
        <v>-0.72444360000010422</v>
      </c>
      <c r="V53" s="236">
        <f>+U53-T53</f>
        <v>2.9260029999851778E-2</v>
      </c>
      <c r="AC53" s="34"/>
      <c r="AD53" s="33"/>
      <c r="AE53" s="33"/>
      <c r="AF53" s="34"/>
      <c r="AJ53" s="492"/>
    </row>
    <row r="54" spans="10:36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0.52636784666671033</v>
      </c>
      <c r="U54" s="236">
        <f>SUM(U52:U53)</f>
        <v>0.24690822999989592</v>
      </c>
      <c r="V54" s="236">
        <f>SUM(V52:V53)</f>
        <v>-0.2794596166668144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J54" s="492"/>
    </row>
    <row r="55" spans="10:36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25.045481576243795</v>
      </c>
      <c r="U55" s="236">
        <f>SUM(U50:U53)</f>
        <v>-19.408534809966525</v>
      </c>
      <c r="V55" s="236">
        <f>+U55-T55</f>
        <v>-44.45401638621032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J55" s="492"/>
    </row>
    <row r="56" spans="10:36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J56" s="492"/>
    </row>
    <row r="57" spans="10:36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6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1.2800714766666663</v>
      </c>
      <c r="U58" s="294">
        <f>+(U33+U34)/100</f>
        <v>0.97135183000000014</v>
      </c>
      <c r="V58" s="236">
        <f>+U58-T58</f>
        <v>-0.30871964666666618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J58" s="492"/>
    </row>
    <row r="59" spans="10:36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0">+T36/100</f>
        <v>0</v>
      </c>
      <c r="U59" s="236">
        <f t="shared" si="20"/>
        <v>3.6191133000000004</v>
      </c>
      <c r="V59" s="236">
        <f>+U59-T59</f>
        <v>3.6191133000000004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J59" s="492"/>
    </row>
    <row r="60" spans="10:36" x14ac:dyDescent="0.3">
      <c r="S60" s="236" t="str">
        <f>+I37</f>
        <v>대손</v>
      </c>
      <c r="T60" s="236">
        <f t="shared" si="20"/>
        <v>0</v>
      </c>
      <c r="U60" s="236">
        <f t="shared" si="20"/>
        <v>-4.4138303800000003</v>
      </c>
      <c r="V60" s="236">
        <f>+U60-T60</f>
        <v>-4.4138303800000003</v>
      </c>
      <c r="AC60" s="236"/>
      <c r="AD60" s="236"/>
      <c r="AE60" s="236"/>
      <c r="AF60" s="236"/>
      <c r="AJ60" s="492"/>
    </row>
    <row r="61" spans="10:36" x14ac:dyDescent="0.3">
      <c r="S61" s="236" t="str">
        <f>+I38</f>
        <v>미운영 공장</v>
      </c>
      <c r="T61" s="236">
        <f t="shared" si="20"/>
        <v>-1.8780899999999929E-3</v>
      </c>
      <c r="U61" s="236">
        <f t="shared" si="20"/>
        <v>8.3704399999999998E-3</v>
      </c>
      <c r="V61" s="236">
        <f>+U61-T61</f>
        <v>1.0248529999999992E-2</v>
      </c>
      <c r="AC61" s="236"/>
      <c r="AD61" s="236"/>
      <c r="AE61" s="236"/>
      <c r="AJ61" s="492"/>
    </row>
    <row r="62" spans="10:36" x14ac:dyDescent="0.3">
      <c r="S62" s="236" t="str">
        <f>+I40</f>
        <v>기타</v>
      </c>
      <c r="T62" s="236">
        <f>+T40/100</f>
        <v>-0.75182553999996682</v>
      </c>
      <c r="U62" s="236">
        <f>+U40/100</f>
        <v>6.1903039999892932E-2</v>
      </c>
      <c r="V62" s="236">
        <f>+U62-T62</f>
        <v>0.8137285799998597</v>
      </c>
      <c r="AC62" s="236"/>
      <c r="AD62" s="236"/>
      <c r="AE62" s="236"/>
    </row>
    <row r="63" spans="10:36" x14ac:dyDescent="0.3">
      <c r="T63" s="6">
        <f>SUM(T58:T62)</f>
        <v>0.52636784666669956</v>
      </c>
      <c r="U63" s="6">
        <f>SUM(U58:U62)</f>
        <v>0.24690822999989279</v>
      </c>
      <c r="V63" s="6">
        <f>SUM(V58:V62)</f>
        <v>-0.27945961666680619</v>
      </c>
      <c r="AC63" s="236"/>
      <c r="AE63" s="236"/>
    </row>
    <row r="64" spans="10:36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52.636784666669953</v>
      </c>
      <c r="U66" s="6">
        <f>SUM(U33:U34,U36,U38:U40)</f>
        <v>466.07386099998928</v>
      </c>
      <c r="V66" s="6">
        <f>+U66-T66</f>
        <v>413.43707633331934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2504.5481576243783</v>
      </c>
      <c r="U68" s="492">
        <f>+U43-U28</f>
        <v>-1940.8534809966525</v>
      </c>
      <c r="V68" s="492"/>
      <c r="AC68" s="236"/>
      <c r="AE68" s="236"/>
    </row>
    <row r="69" spans="20:31" x14ac:dyDescent="0.3">
      <c r="T69" s="492">
        <f>+T68/100</f>
        <v>25.045481576243784</v>
      </c>
      <c r="U69" s="492">
        <f>+U68/100</f>
        <v>-19.408534809966525</v>
      </c>
      <c r="V69" s="492">
        <f>+U69-T69</f>
        <v>-44.454016386210313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34998626667073579"/>
    <pageSetUpPr fitToPage="1"/>
  </sheetPr>
  <dimension ref="A1:AM78"/>
  <sheetViews>
    <sheetView showGridLines="0" showZeros="0" tabSelected="1" view="pageBreakPreview" topLeftCell="E34" zoomScale="85" zoomScaleNormal="85" zoomScaleSheetLayoutView="85" workbookViewId="0">
      <selection activeCell="U66" sqref="U6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224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51" t="s">
        <v>11</v>
      </c>
      <c r="I5" s="65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  <c r="AI5" s="618" t="s">
        <v>226</v>
      </c>
      <c r="AJ5" s="618"/>
      <c r="AK5" s="618"/>
      <c r="AL5" s="618"/>
    </row>
    <row r="6" spans="1:39" s="8" customFormat="1" ht="19.5" customHeight="1" x14ac:dyDescent="0.3">
      <c r="A6" s="8" t="s">
        <v>215</v>
      </c>
      <c r="G6" s="334"/>
      <c r="H6" s="653"/>
      <c r="I6" s="65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  <c r="AI6" s="617" t="s">
        <v>227</v>
      </c>
      <c r="AJ6" s="617" t="s">
        <v>36</v>
      </c>
      <c r="AK6" s="617" t="s">
        <v>228</v>
      </c>
      <c r="AL6" s="617" t="s">
        <v>38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+IFERROR(HLOOKUP($B7,'[1]12월누계'!$D$6:$BN$259,2,),)/1000</f>
        <v>460</v>
      </c>
      <c r="K7" s="36">
        <f>+IFERROR(HLOOKUP($B7,'[2]12월누계'!$F$6:$CP$99,2,),)/1000</f>
        <v>384.41199999999998</v>
      </c>
      <c r="L7" s="37">
        <f t="shared" ref="L7:L32" si="0">+K7-J7</f>
        <v>-75.588000000000022</v>
      </c>
      <c r="M7" s="38">
        <f>+IFERROR(HLOOKUP($B7,'[3]12월누계'!$F$6:$CC$57,2,),)/1000</f>
        <v>446.90699999999998</v>
      </c>
      <c r="N7" s="39">
        <f>+K7-M7</f>
        <v>-62.495000000000005</v>
      </c>
      <c r="O7" s="35">
        <f>+IFERROR(HLOOKUP($B7,'[1]12월누계'!$D$6:$BN$259,3,),)/1000</f>
        <v>46000.121885999994</v>
      </c>
      <c r="P7" s="36">
        <f>+IFERROR(HLOOKUP($B7,'[2]12월누계'!$F$6:$CP$99,3,),)/1000</f>
        <v>37265.994529999996</v>
      </c>
      <c r="Q7" s="37">
        <f>+P7-O7</f>
        <v>-8734.1273559999972</v>
      </c>
      <c r="R7" s="38">
        <f>+IFERROR(HLOOKUP($B7,'[3]12월누계'!$F$6:$CC$57,3,),)/1000</f>
        <v>44168.649734000006</v>
      </c>
      <c r="S7" s="39">
        <f>+P7-R7</f>
        <v>-6902.6552040000097</v>
      </c>
      <c r="T7" s="35">
        <f>+IFERROR(HLOOKUP($B7,'[1]12월누계'!$D$6:$BN$259,16,),)/1000</f>
        <v>4666.8369213121841</v>
      </c>
      <c r="U7" s="36">
        <f>+IFERROR(HLOOKUP($B7,'[2]12월누계'!$F$6:$CP$99,16,),)/1000</f>
        <v>2559.8566429999901</v>
      </c>
      <c r="V7" s="40">
        <f>+U7-T7</f>
        <v>-2106.9802783121941</v>
      </c>
      <c r="W7" s="41">
        <f>+IFERROR(HLOOKUP($B7,'[3]12월누계'!$F$6:$CC$57,16,),)/1000</f>
        <v>3848.9544990000009</v>
      </c>
      <c r="X7" s="39">
        <f>+U7-W7</f>
        <v>-1289.0978560000108</v>
      </c>
      <c r="Y7" s="35">
        <f>+[12]안양!$Q$85</f>
        <v>100000.26496956521</v>
      </c>
      <c r="Z7" s="36">
        <f>+[12]안양!$R$85</f>
        <v>96936.553820033951</v>
      </c>
      <c r="AA7" s="42">
        <f>+[13]안양!$Q$85</f>
        <v>98828.586406819421</v>
      </c>
      <c r="AB7" s="43">
        <f>+[12]안양!$Q$89</f>
        <v>81888.667004429022</v>
      </c>
      <c r="AC7" s="36">
        <f>+[12]안양!$R$89</f>
        <v>80323.369551484517</v>
      </c>
      <c r="AD7" s="44">
        <f>+[13]안양!$Q$89</f>
        <v>81804.461806674546</v>
      </c>
      <c r="AE7" s="43">
        <f>+Y7-AB7</f>
        <v>18111.597965136185</v>
      </c>
      <c r="AF7" s="36">
        <f>+Z7-AC7</f>
        <v>16613.184268549434</v>
      </c>
      <c r="AG7" s="44">
        <f>+AA7-AD7</f>
        <v>17024.124600144874</v>
      </c>
      <c r="AH7" s="17"/>
      <c r="AI7" s="619" t="str">
        <f t="shared" ref="AI7:AI26" si="1">+I7</f>
        <v>안양</v>
      </c>
      <c r="AJ7" s="495">
        <f t="shared" ref="AJ7:AJ27" si="2">+J7/$J$27</f>
        <v>0.13813813813813813</v>
      </c>
      <c r="AK7" s="495">
        <f t="shared" ref="AK7:AK27" si="3">+K7/$K$27</f>
        <v>0.13697947828540027</v>
      </c>
      <c r="AL7" s="495">
        <f>+AK7-AJ7</f>
        <v>-1.1586598527378589E-3</v>
      </c>
      <c r="AM7" s="484">
        <f t="shared" ref="AM7:AM26" si="4">+Y7*AL7</f>
        <v>-115.86629228338329</v>
      </c>
    </row>
    <row r="8" spans="1:39" s="8" customFormat="1" ht="22.5" customHeight="1" x14ac:dyDescent="0.3">
      <c r="B8" s="8" t="s">
        <v>19</v>
      </c>
      <c r="G8" s="336" t="str">
        <f t="shared" ref="G8:G26" si="5">+I8</f>
        <v>인천</v>
      </c>
      <c r="H8" s="74" t="s">
        <v>41</v>
      </c>
      <c r="I8" s="75" t="s">
        <v>19</v>
      </c>
      <c r="J8" s="45">
        <f>+IFERROR(HLOOKUP($B8,'[1]12월누계'!$D$6:$BN$259,2,),)/1000</f>
        <v>340</v>
      </c>
      <c r="K8" s="46">
        <f>+IFERROR(HLOOKUP($B8,'[2]12월누계'!$F$6:$CP$99,2,),)/1000</f>
        <v>335.32749999999999</v>
      </c>
      <c r="L8" s="47">
        <f t="shared" si="0"/>
        <v>-4.6725000000000136</v>
      </c>
      <c r="M8" s="48">
        <f>+IFERROR(HLOOKUP($B8,'[3]12월누계'!$F$6:$CC$57,2,),)/1000</f>
        <v>326.94400000000002</v>
      </c>
      <c r="N8" s="49">
        <f t="shared" ref="N8:N32" si="6">+K8-M8</f>
        <v>8.3834999999999695</v>
      </c>
      <c r="O8" s="45">
        <f>+IFERROR(HLOOKUP($B8,'[1]12월누계'!$D$6:$BN$259,3,),)/1000</f>
        <v>34017.326207224585</v>
      </c>
      <c r="P8" s="46">
        <f>+IFERROR(HLOOKUP($B8,'[2]12월누계'!$F$6:$CP$99,3,),)/1000</f>
        <v>32602.900344000005</v>
      </c>
      <c r="Q8" s="47">
        <f t="shared" ref="Q8:Q43" si="7">+P8-O8</f>
        <v>-1414.4258632245801</v>
      </c>
      <c r="R8" s="48">
        <f>+IFERROR(HLOOKUP($B8,'[3]12월누계'!$F$6:$CC$57,3,),)/1000</f>
        <v>32487.435569999998</v>
      </c>
      <c r="S8" s="49">
        <f t="shared" ref="S8:S38" si="8">+P8-R8</f>
        <v>115.46477400000731</v>
      </c>
      <c r="T8" s="45">
        <f>+IFERROR(HLOOKUP($B8,'[1]12월누계'!$D$6:$BN$259,16,),)/1000</f>
        <v>2196.5596801327824</v>
      </c>
      <c r="U8" s="46">
        <f>+IFERROR(HLOOKUP($B8,'[2]12월누계'!$F$6:$CP$99,16,),)/1000</f>
        <v>111.42869702000532</v>
      </c>
      <c r="V8" s="47">
        <f t="shared" ref="V8:V39" si="9">+U8-T8</f>
        <v>-2085.1309831127769</v>
      </c>
      <c r="W8" s="48">
        <f>+IFERROR(HLOOKUP($B8,'[3]12월누계'!$F$6:$CC$57,16,),)/1000</f>
        <v>1685.1571020100014</v>
      </c>
      <c r="X8" s="49">
        <f t="shared" ref="X8:X37" si="10">+U8-W8</f>
        <v>-1573.7284049899961</v>
      </c>
      <c r="Y8" s="45">
        <f>+[12]인천!$Q$85</f>
        <v>100050.95943301349</v>
      </c>
      <c r="Z8" s="46">
        <f>+[12]인천!$R$85</f>
        <v>97294.261391949753</v>
      </c>
      <c r="AA8" s="50">
        <f>+[13]인천!$Q$85</f>
        <v>99370.183978313027</v>
      </c>
      <c r="AB8" s="51">
        <f>+[12]인천!$Q$89</f>
        <v>82988.014461764164</v>
      </c>
      <c r="AC8" s="46">
        <f>+[12]인천!$R$89</f>
        <v>85291.267240771354</v>
      </c>
      <c r="AD8" s="52">
        <f>+[13]인천!$Q$89</f>
        <v>83063.771691492002</v>
      </c>
      <c r="AE8" s="51">
        <f t="shared" ref="AE8:AG27" si="11">+Y8-AB8</f>
        <v>17062.944971249322</v>
      </c>
      <c r="AF8" s="46">
        <f t="shared" si="11"/>
        <v>12002.994151178398</v>
      </c>
      <c r="AG8" s="52">
        <f t="shared" si="11"/>
        <v>16306.412286821025</v>
      </c>
      <c r="AH8" s="17"/>
      <c r="AI8" s="620" t="str">
        <f t="shared" si="1"/>
        <v>인천</v>
      </c>
      <c r="AJ8" s="495">
        <f t="shared" si="2"/>
        <v>0.1021021021021021</v>
      </c>
      <c r="AK8" s="495">
        <f t="shared" si="3"/>
        <v>0.11948894936876987</v>
      </c>
      <c r="AL8" s="495">
        <f t="shared" ref="AL8:AL27" si="12">+AK8-AJ8</f>
        <v>1.7386847266667768E-2</v>
      </c>
      <c r="AM8" s="484">
        <f t="shared" si="4"/>
        <v>1739.5707505453784</v>
      </c>
    </row>
    <row r="9" spans="1:39" s="8" customFormat="1" ht="22.5" customHeight="1" x14ac:dyDescent="0.3">
      <c r="B9" s="8" t="s">
        <v>20</v>
      </c>
      <c r="G9" s="336" t="str">
        <f t="shared" si="5"/>
        <v>파주</v>
      </c>
      <c r="H9" s="74"/>
      <c r="I9" s="75" t="s">
        <v>20</v>
      </c>
      <c r="J9" s="45">
        <f>+IFERROR(HLOOKUP($B9,'[1]12월누계'!$D$6:$BN$259,2,),)/1000</f>
        <v>250</v>
      </c>
      <c r="K9" s="46">
        <f>+IFERROR(HLOOKUP($B9,'[2]12월누계'!$F$6:$CP$99,2,),)/1000</f>
        <v>156.92599999999999</v>
      </c>
      <c r="L9" s="47">
        <f t="shared" si="0"/>
        <v>-93.074000000000012</v>
      </c>
      <c r="M9" s="48">
        <f>+IFERROR(HLOOKUP($B9,'[3]12월누계'!$F$6:$CC$57,2,),)/1000</f>
        <v>282.35199999999998</v>
      </c>
      <c r="N9" s="49">
        <f t="shared" si="6"/>
        <v>-125.42599999999999</v>
      </c>
      <c r="O9" s="45">
        <f>+IFERROR(HLOOKUP($B9,'[1]12월누계'!$D$6:$BN$259,3,),)/1000</f>
        <v>24100</v>
      </c>
      <c r="P9" s="46">
        <f>+IFERROR(HLOOKUP($B9,'[2]12월누계'!$F$6:$CP$99,3,),)/1000</f>
        <v>14557.317443</v>
      </c>
      <c r="Q9" s="47">
        <f t="shared" si="7"/>
        <v>-9542.6825570000001</v>
      </c>
      <c r="R9" s="48">
        <f>+IFERROR(HLOOKUP($B9,'[3]12월누계'!$F$6:$CC$57,3,),)/1000</f>
        <v>27203.180146000002</v>
      </c>
      <c r="S9" s="49">
        <f t="shared" si="8"/>
        <v>-12645.862703000003</v>
      </c>
      <c r="T9" s="45">
        <f>+IFERROR(HLOOKUP($B9,'[1]12월누계'!$D$6:$BN$259,16,),)/1000</f>
        <v>1246.0797276332651</v>
      </c>
      <c r="U9" s="46">
        <f>+IFERROR(HLOOKUP($B9,'[2]12월누계'!$F$6:$CP$99,16,),)/1000</f>
        <v>-546.10740800000031</v>
      </c>
      <c r="V9" s="47">
        <f t="shared" si="9"/>
        <v>-1792.1871356332654</v>
      </c>
      <c r="W9" s="48">
        <f>+IFERROR(HLOOKUP($B9,'[3]12월누계'!$F$6:$CC$57,16,),)/1000</f>
        <v>1613.3619469999996</v>
      </c>
      <c r="X9" s="49">
        <f t="shared" si="10"/>
        <v>-2159.4693550000002</v>
      </c>
      <c r="Y9" s="45">
        <f>+[12]파주!$Q$85</f>
        <v>96400</v>
      </c>
      <c r="Z9" s="46">
        <f>+[12]파주!$R$85</f>
        <v>92823.297857336933</v>
      </c>
      <c r="AA9" s="50">
        <f>+[13]파주!$Q$85</f>
        <v>96350.004097686557</v>
      </c>
      <c r="AB9" s="51">
        <f>+[12]파주!$Q$89</f>
        <v>80251.610860217668</v>
      </c>
      <c r="AC9" s="46">
        <f>+[12]파주!$R$89</f>
        <v>79615.938744356332</v>
      </c>
      <c r="AD9" s="52">
        <f>+[13]파주!$Q$89</f>
        <v>80693.654991312302</v>
      </c>
      <c r="AE9" s="51">
        <f t="shared" si="11"/>
        <v>16148.389139782332</v>
      </c>
      <c r="AF9" s="46">
        <f t="shared" si="11"/>
        <v>13207.359112980601</v>
      </c>
      <c r="AG9" s="52">
        <f t="shared" si="11"/>
        <v>15656.349106374255</v>
      </c>
      <c r="AH9" s="17"/>
      <c r="AI9" s="620" t="str">
        <f t="shared" si="1"/>
        <v>파주</v>
      </c>
      <c r="AJ9" s="495">
        <f t="shared" si="2"/>
        <v>7.5075075075075076E-2</v>
      </c>
      <c r="AK9" s="495">
        <f t="shared" si="3"/>
        <v>5.591823774859974E-2</v>
      </c>
      <c r="AL9" s="495">
        <f t="shared" si="12"/>
        <v>-1.9156837326475336E-2</v>
      </c>
      <c r="AM9" s="484">
        <f t="shared" si="4"/>
        <v>-1846.7191182722224</v>
      </c>
    </row>
    <row r="10" spans="1:39" s="8" customFormat="1" ht="22.5" customHeight="1" x14ac:dyDescent="0.3">
      <c r="B10" s="8" t="s">
        <v>110</v>
      </c>
      <c r="G10" s="336" t="str">
        <f t="shared" si="5"/>
        <v>김포</v>
      </c>
      <c r="H10" s="74"/>
      <c r="I10" s="75" t="s">
        <v>108</v>
      </c>
      <c r="J10" s="45">
        <f>+IFERROR(HLOOKUP($B10,'[1]12월누계'!$D$6:$BN$259,2,),)/1000</f>
        <v>170</v>
      </c>
      <c r="K10" s="46">
        <f>+IFERROR(HLOOKUP($B10,'[2]12월누계'!$F$6:$CP$99,2,),)/1000</f>
        <v>125.04888000000001</v>
      </c>
      <c r="L10" s="47">
        <f t="shared" si="0"/>
        <v>-44.951119999999989</v>
      </c>
      <c r="M10" s="48">
        <f>+IFERROR(HLOOKUP($B10,'[3]12월누계'!$F$6:$CC$57,2,),)/1000</f>
        <v>145.364</v>
      </c>
      <c r="N10" s="49">
        <f t="shared" si="6"/>
        <v>-20.315119999999993</v>
      </c>
      <c r="O10" s="45">
        <f>+IFERROR(HLOOKUP($B10,'[1]12월누계'!$D$6:$BN$259,3,),)/1000</f>
        <v>16150.912720000002</v>
      </c>
      <c r="P10" s="46">
        <f>+IFERROR(HLOOKUP($B10,'[2]12월누계'!$F$6:$CP$99,3,),)/1000</f>
        <v>11979.622609000002</v>
      </c>
      <c r="Q10" s="47">
        <f t="shared" si="7"/>
        <v>-4171.2901110000003</v>
      </c>
      <c r="R10" s="48">
        <f>+IFERROR(HLOOKUP($B10,'[3]12월누계'!$F$6:$CC$57,3,),)/1000</f>
        <v>14094.889742000003</v>
      </c>
      <c r="S10" s="49">
        <f t="shared" si="8"/>
        <v>-2115.2671330000012</v>
      </c>
      <c r="T10" s="45">
        <f>+IFERROR(HLOOKUP($B10,'[1]12월누계'!$D$6:$BN$259,16,),)/1000</f>
        <v>1105.9958637866666</v>
      </c>
      <c r="U10" s="46">
        <f>+IFERROR(HLOOKUP($B10,'[2]12월누계'!$F$6:$CP$99,16,),)/1000</f>
        <v>-65.109121999997882</v>
      </c>
      <c r="V10" s="47">
        <f t="shared" si="9"/>
        <v>-1171.1049857866644</v>
      </c>
      <c r="W10" s="48">
        <f>+IFERROR(HLOOKUP($B10,'[3]12월누계'!$F$6:$CC$57,16,),)/1000</f>
        <v>988.38396000000091</v>
      </c>
      <c r="X10" s="49">
        <f t="shared" si="10"/>
        <v>-1053.4930819999988</v>
      </c>
      <c r="Y10" s="45">
        <f>+[12]김포!$Q$85</f>
        <v>95005.368941176479</v>
      </c>
      <c r="Z10" s="46">
        <f>+[12]김포!$R$85</f>
        <v>95854.400591598402</v>
      </c>
      <c r="AA10" s="50">
        <f>+[13]김포!$Q$85</f>
        <v>96982.545526337664</v>
      </c>
      <c r="AB10" s="51">
        <f>+[12]김포!$Q$89</f>
        <v>76300.24699733335</v>
      </c>
      <c r="AC10" s="46">
        <f>+[12]김포!$R$89</f>
        <v>79255.322461139818</v>
      </c>
      <c r="AD10" s="52">
        <f>+[13]김포!$Q$89</f>
        <v>76390.145436038045</v>
      </c>
      <c r="AE10" s="51">
        <f t="shared" si="11"/>
        <v>18705.121943843129</v>
      </c>
      <c r="AF10" s="46">
        <f t="shared" si="11"/>
        <v>16599.078130458583</v>
      </c>
      <c r="AG10" s="52">
        <f t="shared" si="11"/>
        <v>20592.400090299619</v>
      </c>
      <c r="AH10" s="17"/>
      <c r="AI10" s="620" t="str">
        <f t="shared" si="1"/>
        <v>김포</v>
      </c>
      <c r="AJ10" s="495">
        <f t="shared" si="2"/>
        <v>5.1051051051051052E-2</v>
      </c>
      <c r="AK10" s="495">
        <f t="shared" si="3"/>
        <v>4.4559301849509451E-2</v>
      </c>
      <c r="AL10" s="495">
        <f t="shared" si="12"/>
        <v>-6.4917492015416009E-3</v>
      </c>
      <c r="AM10" s="484">
        <f t="shared" si="4"/>
        <v>-616.75102796604767</v>
      </c>
    </row>
    <row r="11" spans="1:39" s="8" customFormat="1" ht="22.5" customHeight="1" x14ac:dyDescent="0.3">
      <c r="B11" s="8" t="s">
        <v>21</v>
      </c>
      <c r="G11" s="334" t="str">
        <f t="shared" si="5"/>
        <v>부산</v>
      </c>
      <c r="H11" s="74"/>
      <c r="I11" s="76" t="s">
        <v>21</v>
      </c>
      <c r="J11" s="62">
        <f>+IFERROR(HLOOKUP($B11,'[1]12월누계'!$D$6:$BN$259,2,),)/1000</f>
        <v>240</v>
      </c>
      <c r="K11" s="63">
        <f>+IFERROR(HLOOKUP($B11,'[2]12월누계'!$F$6:$CP$99,2,),)/1000</f>
        <v>240.083</v>
      </c>
      <c r="L11" s="64">
        <f t="shared" si="0"/>
        <v>8.2999999999998408E-2</v>
      </c>
      <c r="M11" s="65">
        <f>+IFERROR(HLOOKUP($B11,'[3]12월누계'!$F$6:$CC$57,2,),)/1000</f>
        <v>233.70150000000001</v>
      </c>
      <c r="N11" s="66">
        <f t="shared" si="6"/>
        <v>6.3814999999999884</v>
      </c>
      <c r="O11" s="62">
        <f>+IFERROR(HLOOKUP($B11,'[1]12월누계'!$D$6:$BN$259,3,),)/1000</f>
        <v>25847.992420300001</v>
      </c>
      <c r="P11" s="63">
        <f>+IFERROR(HLOOKUP($B11,'[2]12월누계'!$F$6:$CP$99,3,),)/1000</f>
        <v>25935.449797000001</v>
      </c>
      <c r="Q11" s="64">
        <f t="shared" si="7"/>
        <v>87.457376700000168</v>
      </c>
      <c r="R11" s="65">
        <f>+IFERROR(HLOOKUP($B11,'[3]12월누계'!$F$6:$CC$57,3,),)/1000</f>
        <v>25325.075207000002</v>
      </c>
      <c r="S11" s="66">
        <f t="shared" si="8"/>
        <v>610.37458999999944</v>
      </c>
      <c r="T11" s="62">
        <f>+IFERROR(HLOOKUP($B11,'[1]12월누계'!$D$6:$BN$259,16,),)/1000</f>
        <v>2244.4959228301373</v>
      </c>
      <c r="U11" s="63">
        <f>+IFERROR(HLOOKUP($B11,'[2]12월누계'!$F$6:$CP$99,16,),)/1000</f>
        <v>2270.3054960000054</v>
      </c>
      <c r="V11" s="64">
        <f t="shared" si="9"/>
        <v>25.809573169868145</v>
      </c>
      <c r="W11" s="65">
        <f>+IFERROR(HLOOKUP($B11,'[3]12월누계'!$F$6:$CC$57,16,),)/1000</f>
        <v>2318.2684079999972</v>
      </c>
      <c r="X11" s="66">
        <f t="shared" si="10"/>
        <v>-47.962911999991775</v>
      </c>
      <c r="Y11" s="62">
        <f>+[12]부산!$Q$85</f>
        <v>107699.96841791667</v>
      </c>
      <c r="Z11" s="63">
        <f>+[12]부산!$R$85</f>
        <v>108027.01481154434</v>
      </c>
      <c r="AA11" s="67">
        <f>+[13]부산!$Q$85</f>
        <v>108365.05203004688</v>
      </c>
      <c r="AB11" s="68">
        <f>+[12]부산!$Q$89</f>
        <v>84994.315605026626</v>
      </c>
      <c r="AC11" s="63">
        <f>+[12]부산!$R$89</f>
        <v>85770.405811606601</v>
      </c>
      <c r="AD11" s="69">
        <f>+[13]부산!$Q$89</f>
        <v>84633.087474035186</v>
      </c>
      <c r="AE11" s="68">
        <f t="shared" si="11"/>
        <v>22705.652812890039</v>
      </c>
      <c r="AF11" s="63">
        <f t="shared" si="11"/>
        <v>22256.608999937744</v>
      </c>
      <c r="AG11" s="69">
        <f t="shared" si="11"/>
        <v>23731.964556011691</v>
      </c>
      <c r="AH11" s="17"/>
      <c r="AI11" s="620" t="str">
        <f t="shared" si="1"/>
        <v>부산</v>
      </c>
      <c r="AJ11" s="495">
        <f t="shared" si="2"/>
        <v>7.2072072072072071E-2</v>
      </c>
      <c r="AK11" s="495">
        <f t="shared" si="3"/>
        <v>8.5549993458044385E-2</v>
      </c>
      <c r="AL11" s="495">
        <f t="shared" si="12"/>
        <v>1.3477921385972313E-2</v>
      </c>
      <c r="AM11" s="484">
        <f t="shared" si="4"/>
        <v>1451.5717076083818</v>
      </c>
    </row>
    <row r="12" spans="1:39" s="8" customFormat="1" ht="22.5" customHeight="1" x14ac:dyDescent="0.3">
      <c r="B12" s="8" t="s">
        <v>22</v>
      </c>
      <c r="G12" s="334" t="str">
        <f t="shared" si="5"/>
        <v>서부산</v>
      </c>
      <c r="H12" s="74"/>
      <c r="I12" s="75" t="s">
        <v>22</v>
      </c>
      <c r="J12" s="45">
        <f>+IFERROR(HLOOKUP($B12,'[1]12월누계'!$D$6:$BN$259,2,),)/1000</f>
        <v>240</v>
      </c>
      <c r="K12" s="46">
        <f>+IFERROR(HLOOKUP($B12,'[2]12월누계'!$F$6:$CP$99,2,),)/1000</f>
        <v>212.59399999999999</v>
      </c>
      <c r="L12" s="47">
        <f t="shared" si="0"/>
        <v>-27.406000000000006</v>
      </c>
      <c r="M12" s="48">
        <f>+IFERROR(HLOOKUP($B12,'[3]12월누계'!$F$6:$CC$57,2,),)/1000</f>
        <v>251.17099999999999</v>
      </c>
      <c r="N12" s="49">
        <f t="shared" si="6"/>
        <v>-38.576999999999998</v>
      </c>
      <c r="O12" s="45">
        <f>+IFERROR(HLOOKUP($B12,'[1]12월누계'!$D$6:$BN$259,3,),)/1000</f>
        <v>23831.984961580019</v>
      </c>
      <c r="P12" s="46">
        <f>+IFERROR(HLOOKUP($B12,'[2]12월누계'!$F$6:$CP$99,3,),)/1000</f>
        <v>21078.774517999998</v>
      </c>
      <c r="Q12" s="47">
        <f t="shared" si="7"/>
        <v>-2753.2104435800211</v>
      </c>
      <c r="R12" s="48">
        <f>+IFERROR(HLOOKUP($B12,'[3]12월누계'!$F$6:$CC$57,3,),)/1000</f>
        <v>25076.528038</v>
      </c>
      <c r="S12" s="49">
        <f t="shared" si="8"/>
        <v>-3997.753520000002</v>
      </c>
      <c r="T12" s="45">
        <f>+IFERROR(HLOOKUP($B12,'[1]12월누계'!$D$6:$BN$259,16,),)/1000</f>
        <v>2343.0767859189855</v>
      </c>
      <c r="U12" s="46">
        <f>+IFERROR(HLOOKUP($B12,'[2]12월누계'!$F$6:$CP$99,16,),)/1000</f>
        <v>1539.9346089999985</v>
      </c>
      <c r="V12" s="47">
        <f t="shared" si="9"/>
        <v>-803.14217691898693</v>
      </c>
      <c r="W12" s="48">
        <f>+IFERROR(HLOOKUP($B12,'[3]12월누계'!$F$6:$CC$57,16,),)/1000</f>
        <v>2578.5721959999987</v>
      </c>
      <c r="X12" s="49">
        <f t="shared" si="10"/>
        <v>-1038.6375870000002</v>
      </c>
      <c r="Y12" s="45">
        <f>+[12]서부산!$Q$85</f>
        <v>99299.937339916753</v>
      </c>
      <c r="Z12" s="46">
        <f>+[12]서부산!$R$85</f>
        <v>99185.886508018913</v>
      </c>
      <c r="AA12" s="50">
        <f>+[13]서부산!$Q$85</f>
        <v>99839.194770440154</v>
      </c>
      <c r="AB12" s="51">
        <f>+[12]서부산!$Q$89</f>
        <v>78291.350493958002</v>
      </c>
      <c r="AC12" s="46">
        <f>+[12]서부산!$R$89</f>
        <v>78925.363333569228</v>
      </c>
      <c r="AD12" s="52">
        <f>+[13]서부산!$Q$89</f>
        <v>78610.501796370387</v>
      </c>
      <c r="AE12" s="51">
        <f t="shared" si="11"/>
        <v>21008.586845958751</v>
      </c>
      <c r="AF12" s="46">
        <f t="shared" si="11"/>
        <v>20260.523174449685</v>
      </c>
      <c r="AG12" s="52">
        <f t="shared" si="11"/>
        <v>21228.692974069767</v>
      </c>
      <c r="AH12" s="17"/>
      <c r="AI12" s="620" t="str">
        <f t="shared" si="1"/>
        <v>서부산</v>
      </c>
      <c r="AJ12" s="495">
        <f t="shared" si="2"/>
        <v>7.2072072072072071E-2</v>
      </c>
      <c r="AK12" s="495">
        <f t="shared" si="3"/>
        <v>7.5754698621807823E-2</v>
      </c>
      <c r="AL12" s="495">
        <f t="shared" si="12"/>
        <v>3.6826265497357513E-3</v>
      </c>
      <c r="AM12" s="484">
        <f t="shared" si="4"/>
        <v>365.68458563507392</v>
      </c>
    </row>
    <row r="13" spans="1:39" s="8" customFormat="1" ht="22.5" customHeight="1" x14ac:dyDescent="0.3">
      <c r="B13" s="8" t="s">
        <v>23</v>
      </c>
      <c r="G13" s="334" t="str">
        <f t="shared" si="5"/>
        <v>김해</v>
      </c>
      <c r="H13" s="74"/>
      <c r="I13" s="75" t="s">
        <v>23</v>
      </c>
      <c r="J13" s="45">
        <f>+IFERROR(HLOOKUP($B13,'[1]12월누계'!$D$6:$BN$259,2,),)/1000</f>
        <v>170</v>
      </c>
      <c r="K13" s="46">
        <f>+IFERROR(HLOOKUP($B13,'[2]12월누계'!$F$6:$CP$99,2,),)/1000</f>
        <v>97.066000000000003</v>
      </c>
      <c r="L13" s="47">
        <f t="shared" si="0"/>
        <v>-72.933999999999997</v>
      </c>
      <c r="M13" s="48">
        <f>+IFERROR(HLOOKUP($B13,'[3]12월누계'!$F$6:$CC$57,2,),)/1000</f>
        <v>158.75299999999999</v>
      </c>
      <c r="N13" s="49">
        <f t="shared" si="6"/>
        <v>-61.686999999999983</v>
      </c>
      <c r="O13" s="45">
        <f>+IFERROR(HLOOKUP($B13,'[1]12월누계'!$D$6:$BN$259,3,),)/1000</f>
        <v>16370.975949999998</v>
      </c>
      <c r="P13" s="46">
        <f>+IFERROR(HLOOKUP($B13,'[2]12월누계'!$F$6:$CP$99,3,),)/1000</f>
        <v>8780.1689000000006</v>
      </c>
      <c r="Q13" s="47">
        <f t="shared" si="7"/>
        <v>-7590.8070499999976</v>
      </c>
      <c r="R13" s="48">
        <f>+IFERROR(HLOOKUP($B13,'[3]12월누계'!$F$6:$CC$57,3,),)/1000</f>
        <v>15104.725599999998</v>
      </c>
      <c r="S13" s="49">
        <f t="shared" si="8"/>
        <v>-6324.5566999999974</v>
      </c>
      <c r="T13" s="45">
        <f>+IFERROR(HLOOKUP($B13,'[1]12월누계'!$D$6:$BN$259,16,),)/1000</f>
        <v>1458.3036825061588</v>
      </c>
      <c r="U13" s="46">
        <f>+IFERROR(HLOOKUP($B13,'[2]12월누계'!$F$6:$CP$99,16,),)/1000</f>
        <v>-508.92871300000081</v>
      </c>
      <c r="V13" s="47">
        <f t="shared" si="9"/>
        <v>-1967.2323955061597</v>
      </c>
      <c r="W13" s="48">
        <f>+IFERROR(HLOOKUP($B13,'[3]12월누계'!$F$6:$CC$57,16,),)/1000</f>
        <v>746.29403399999808</v>
      </c>
      <c r="X13" s="49">
        <f t="shared" si="10"/>
        <v>-1255.2227469999989</v>
      </c>
      <c r="Y13" s="45">
        <f>+[12]김해!$Q$85</f>
        <v>96299.858529411751</v>
      </c>
      <c r="Z13" s="46">
        <f>+[12]김해!$R$85</f>
        <v>90439.33769710151</v>
      </c>
      <c r="AA13" s="50">
        <f>+[13]김해!$Q$85</f>
        <v>95215.142526545911</v>
      </c>
      <c r="AB13" s="51">
        <f>+[12]김해!$Q$89</f>
        <v>76941.150092447409</v>
      </c>
      <c r="AC13" s="46">
        <f>+[12]김해!$R$89</f>
        <v>77593.352304571497</v>
      </c>
      <c r="AD13" s="52">
        <f>+[13]김해!$Q$89</f>
        <v>78787.119126304809</v>
      </c>
      <c r="AE13" s="51">
        <f t="shared" si="11"/>
        <v>19358.708436964342</v>
      </c>
      <c r="AF13" s="46">
        <f t="shared" si="11"/>
        <v>12845.985392530012</v>
      </c>
      <c r="AG13" s="52">
        <f t="shared" si="11"/>
        <v>16428.023400241102</v>
      </c>
      <c r="AH13" s="17"/>
      <c r="AI13" s="620" t="str">
        <f t="shared" si="1"/>
        <v>김해</v>
      </c>
      <c r="AJ13" s="495">
        <f t="shared" si="2"/>
        <v>5.1051051051051052E-2</v>
      </c>
      <c r="AK13" s="495">
        <f t="shared" si="3"/>
        <v>3.4588020247158423E-2</v>
      </c>
      <c r="AL13" s="495">
        <f t="shared" si="12"/>
        <v>-1.646303080389263E-2</v>
      </c>
      <c r="AM13" s="484">
        <f t="shared" si="4"/>
        <v>-1585.387537380208</v>
      </c>
    </row>
    <row r="14" spans="1:39" s="8" customFormat="1" ht="22.5" customHeight="1" x14ac:dyDescent="0.3">
      <c r="B14" s="8" t="s">
        <v>24</v>
      </c>
      <c r="G14" s="334" t="str">
        <f t="shared" si="5"/>
        <v>정관</v>
      </c>
      <c r="H14" s="74"/>
      <c r="I14" s="75" t="s">
        <v>24</v>
      </c>
      <c r="J14" s="45">
        <f>+IFERROR(HLOOKUP($B14,'[1]12월누계'!$D$6:$BN$259,2,),)/1000</f>
        <v>230</v>
      </c>
      <c r="K14" s="46">
        <f>+IFERROR(HLOOKUP($B14,'[2]12월누계'!$F$6:$CP$99,2,),)/1000</f>
        <v>250.34049999999999</v>
      </c>
      <c r="L14" s="47">
        <f t="shared" si="0"/>
        <v>20.340499999999992</v>
      </c>
      <c r="M14" s="48">
        <f>+IFERROR(HLOOKUP($B14,'[3]12월누계'!$F$6:$CC$57,2,),)/1000</f>
        <v>237.28649999999999</v>
      </c>
      <c r="N14" s="49">
        <f t="shared" si="6"/>
        <v>13.054000000000002</v>
      </c>
      <c r="O14" s="45">
        <f>+IFERROR(HLOOKUP($B14,'[1]12월누계'!$D$6:$BN$259,3,),)/1000</f>
        <v>23459.983463600001</v>
      </c>
      <c r="P14" s="46">
        <f>+IFERROR(HLOOKUP($B14,'[2]12월누계'!$F$6:$CP$99,3,),)/1000</f>
        <v>24889.744350000001</v>
      </c>
      <c r="Q14" s="47">
        <f t="shared" si="7"/>
        <v>1429.7608863999994</v>
      </c>
      <c r="R14" s="48">
        <f>+IFERROR(HLOOKUP($B14,'[3]12월누계'!$F$6:$CC$57,3,),)/1000</f>
        <v>24033.941981</v>
      </c>
      <c r="S14" s="49">
        <f t="shared" si="8"/>
        <v>855.80236900000091</v>
      </c>
      <c r="T14" s="45">
        <f>+IFERROR(HLOOKUP($B14,'[1]12월누계'!$D$6:$BN$259,16,),)/1000</f>
        <v>1986.8090105482054</v>
      </c>
      <c r="U14" s="46">
        <f>+IFERROR(HLOOKUP($B14,'[2]12월누계'!$F$6:$CP$99,16,),)/1000</f>
        <v>1811.5968020000016</v>
      </c>
      <c r="V14" s="47">
        <f t="shared" si="9"/>
        <v>-175.21220854820376</v>
      </c>
      <c r="W14" s="48">
        <f>+IFERROR(HLOOKUP($B14,'[3]12월누계'!$F$6:$CC$57,16,),)/1000</f>
        <v>1985.4718679999985</v>
      </c>
      <c r="X14" s="49">
        <f t="shared" si="10"/>
        <v>-173.87506599999688</v>
      </c>
      <c r="Y14" s="45">
        <f>+[12]정관!$Q$85</f>
        <v>101999.92810260871</v>
      </c>
      <c r="Z14" s="46">
        <f>+[12]정관!$R$85</f>
        <v>99436.151224890404</v>
      </c>
      <c r="AA14" s="50">
        <f>+[13]정관!$Q$85</f>
        <v>101286.59650254018</v>
      </c>
      <c r="AB14" s="51">
        <f>+[12]정관!$Q$89</f>
        <v>82244.312232592361</v>
      </c>
      <c r="AC14" s="46">
        <f>+[12]정관!$R$89</f>
        <v>82110.312212029923</v>
      </c>
      <c r="AD14" s="52">
        <f>+[13]정관!$Q$89</f>
        <v>82252.165580415909</v>
      </c>
      <c r="AE14" s="51">
        <f t="shared" si="11"/>
        <v>19755.615870016351</v>
      </c>
      <c r="AF14" s="46">
        <f t="shared" si="11"/>
        <v>17325.839012860481</v>
      </c>
      <c r="AG14" s="52">
        <f t="shared" si="11"/>
        <v>19034.430922124273</v>
      </c>
      <c r="AH14" s="17"/>
      <c r="AI14" s="620" t="str">
        <f t="shared" si="1"/>
        <v>정관</v>
      </c>
      <c r="AJ14" s="495">
        <f t="shared" si="2"/>
        <v>6.9069069069069067E-2</v>
      </c>
      <c r="AK14" s="495">
        <f t="shared" si="3"/>
        <v>8.9205100474767304E-2</v>
      </c>
      <c r="AL14" s="495">
        <f t="shared" si="12"/>
        <v>2.0136031405698238E-2</v>
      </c>
      <c r="AM14" s="484">
        <f t="shared" si="4"/>
        <v>2053.8737556530914</v>
      </c>
    </row>
    <row r="15" spans="1:39" s="8" customFormat="1" ht="22.5" customHeight="1" x14ac:dyDescent="0.3">
      <c r="B15" s="8" t="s">
        <v>25</v>
      </c>
      <c r="G15" s="334" t="str">
        <f t="shared" si="5"/>
        <v>양산</v>
      </c>
      <c r="H15" s="74"/>
      <c r="I15" s="75" t="s">
        <v>25</v>
      </c>
      <c r="J15" s="45">
        <f>+IFERROR(HLOOKUP($B15,'[1]12월누계'!$D$6:$BN$259,2,),)/1000</f>
        <v>140</v>
      </c>
      <c r="K15" s="46">
        <f>+IFERROR(HLOOKUP($B15,'[2]12월누계'!$F$6:$CP$99,2,),)/1000</f>
        <v>84.262</v>
      </c>
      <c r="L15" s="47">
        <f t="shared" si="0"/>
        <v>-55.738</v>
      </c>
      <c r="M15" s="48">
        <f>+IFERROR(HLOOKUP($B15,'[3]12월누계'!$F$6:$CC$57,2,),)/1000</f>
        <v>147.18299999999999</v>
      </c>
      <c r="N15" s="49">
        <f t="shared" si="6"/>
        <v>-62.920999999999992</v>
      </c>
      <c r="O15" s="45">
        <f>+IFERROR(HLOOKUP($B15,'[1]12월누계'!$D$6:$BN$259,3,),)/1000</f>
        <v>13220.550999999999</v>
      </c>
      <c r="P15" s="46">
        <f>+IFERROR(HLOOKUP($B15,'[2]12월누계'!$F$6:$CP$99,3,),)/1000</f>
        <v>7774.0780650000006</v>
      </c>
      <c r="Q15" s="47">
        <f t="shared" si="7"/>
        <v>-5446.4729349999989</v>
      </c>
      <c r="R15" s="48">
        <f>+IFERROR(HLOOKUP($B15,'[3]12월누계'!$F$6:$CC$57,3,),)/1000</f>
        <v>13741.865217999999</v>
      </c>
      <c r="S15" s="49">
        <f t="shared" si="8"/>
        <v>-5967.7871529999984</v>
      </c>
      <c r="T15" s="45">
        <f>+IFERROR(HLOOKUP($B15,'[1]12월누계'!$D$6:$BN$259,16,),)/1000</f>
        <v>1150.7519988666256</v>
      </c>
      <c r="U15" s="46">
        <f>+IFERROR(HLOOKUP($B15,'[2]12월누계'!$F$6:$CP$99,16,),)/1000</f>
        <v>-221.93098499999897</v>
      </c>
      <c r="V15" s="47">
        <f t="shared" si="9"/>
        <v>-1372.6829838666247</v>
      </c>
      <c r="W15" s="48">
        <f>+IFERROR(HLOOKUP($B15,'[3]12월누계'!$F$6:$CC$57,16,),)/1000</f>
        <v>1156.0375940000006</v>
      </c>
      <c r="X15" s="49">
        <f t="shared" si="10"/>
        <v>-1377.9685789999996</v>
      </c>
      <c r="Y15" s="45">
        <f>+[12]양산!$Q$85</f>
        <v>94432.507142857154</v>
      </c>
      <c r="Z15" s="46">
        <f>+[12]양산!$R$85</f>
        <v>92247.020435578612</v>
      </c>
      <c r="AA15" s="50">
        <f>+[13]양산!$Q$85</f>
        <v>93365.845362575827</v>
      </c>
      <c r="AB15" s="51">
        <f>+[12]양산!$Q$89</f>
        <v>73916.615255714583</v>
      </c>
      <c r="AC15" s="46">
        <f>+[12]양산!$R$89</f>
        <v>74391.617651254026</v>
      </c>
      <c r="AD15" s="52">
        <f>+[13]양산!$Q$89</f>
        <v>73601.938359421707</v>
      </c>
      <c r="AE15" s="51">
        <f t="shared" si="11"/>
        <v>20515.89188714257</v>
      </c>
      <c r="AF15" s="46">
        <f t="shared" si="11"/>
        <v>17855.402784324586</v>
      </c>
      <c r="AG15" s="52">
        <f t="shared" si="11"/>
        <v>19763.90700315412</v>
      </c>
      <c r="AH15" s="17"/>
      <c r="AI15" s="620" t="str">
        <f t="shared" si="1"/>
        <v>양산</v>
      </c>
      <c r="AJ15" s="495">
        <f t="shared" si="2"/>
        <v>4.2042042042042045E-2</v>
      </c>
      <c r="AK15" s="495">
        <f t="shared" si="3"/>
        <v>3.0025505965694095E-2</v>
      </c>
      <c r="AL15" s="495">
        <f t="shared" si="12"/>
        <v>-1.201653607634795E-2</v>
      </c>
      <c r="AM15" s="484">
        <f t="shared" si="4"/>
        <v>-1134.7516288621284</v>
      </c>
    </row>
    <row r="16" spans="1:39" s="8" customFormat="1" ht="22.5" customHeight="1" x14ac:dyDescent="0.3">
      <c r="B16" s="8" t="s">
        <v>26</v>
      </c>
      <c r="G16" s="334" t="str">
        <f t="shared" si="5"/>
        <v>창원</v>
      </c>
      <c r="H16" s="74"/>
      <c r="I16" s="75" t="s">
        <v>26</v>
      </c>
      <c r="J16" s="45">
        <f>+IFERROR(HLOOKUP($B16,'[1]12월누계'!$D$6:$BN$259,2,),)/1000</f>
        <v>160</v>
      </c>
      <c r="K16" s="46">
        <f>+IFERROR(HLOOKUP($B16,'[2]12월누계'!$F$6:$CP$99,2,),)/1000</f>
        <v>116.184</v>
      </c>
      <c r="L16" s="47">
        <f t="shared" si="0"/>
        <v>-43.816000000000003</v>
      </c>
      <c r="M16" s="48">
        <f>+IFERROR(HLOOKUP($B16,'[3]12월누계'!$F$6:$CC$57,2,),)/1000</f>
        <v>196.35749999999999</v>
      </c>
      <c r="N16" s="49">
        <f t="shared" si="6"/>
        <v>-80.17349999999999</v>
      </c>
      <c r="O16" s="45">
        <f>+IFERROR(HLOOKUP($B16,'[1]12월누계'!$D$6:$BN$259,3,),)/1000</f>
        <v>16111.953861842001</v>
      </c>
      <c r="P16" s="46">
        <f>+IFERROR(HLOOKUP($B16,'[2]12월누계'!$F$6:$CP$99,3,),)/1000</f>
        <v>11067.551180000002</v>
      </c>
      <c r="Q16" s="47">
        <f t="shared" si="7"/>
        <v>-5044.4026818419989</v>
      </c>
      <c r="R16" s="48">
        <f>+IFERROR(HLOOKUP($B16,'[3]12월누계'!$F$6:$CC$57,3,),)/1000</f>
        <v>19774.515350000001</v>
      </c>
      <c r="S16" s="49">
        <f t="shared" si="8"/>
        <v>-8706.9641699999993</v>
      </c>
      <c r="T16" s="45">
        <f>+IFERROR(HLOOKUP($B16,'[1]12월누계'!$D$6:$BN$259,16,),)/1000</f>
        <v>1688.4607473858252</v>
      </c>
      <c r="U16" s="46">
        <f>+IFERROR(HLOOKUP($B16,'[2]12월누계'!$F$6:$CP$99,16,),)/1000</f>
        <v>385.41136400000119</v>
      </c>
      <c r="V16" s="47">
        <f t="shared" si="9"/>
        <v>-1303.0493833858241</v>
      </c>
      <c r="W16" s="48">
        <f>+IFERROR(HLOOKUP($B16,'[3]12월누계'!$F$6:$CC$57,16,),)/1000</f>
        <v>2645.6140320000018</v>
      </c>
      <c r="X16" s="49">
        <f t="shared" si="10"/>
        <v>-2260.2026680000008</v>
      </c>
      <c r="Y16" s="45">
        <f>+[12]창원!$Q$85</f>
        <v>100699.7116365125</v>
      </c>
      <c r="Z16" s="46">
        <f>+[12]창원!$R$85</f>
        <v>95258.823762308079</v>
      </c>
      <c r="AA16" s="50">
        <f>+[13]창원!$Q$85</f>
        <v>100706.69747781471</v>
      </c>
      <c r="AB16" s="51">
        <f>+[12]창원!$Q$89</f>
        <v>76055.399483201152</v>
      </c>
      <c r="AC16" s="46">
        <f>+[12]창원!$R$89</f>
        <v>73333.741661503518</v>
      </c>
      <c r="AD16" s="52">
        <f>+[13]창원!$Q$89</f>
        <v>75043.235931424846</v>
      </c>
      <c r="AE16" s="51">
        <f t="shared" si="11"/>
        <v>24644.312153311344</v>
      </c>
      <c r="AF16" s="46">
        <f t="shared" si="11"/>
        <v>21925.08210080456</v>
      </c>
      <c r="AG16" s="52">
        <f t="shared" si="11"/>
        <v>25663.461546389866</v>
      </c>
      <c r="AH16" s="17"/>
      <c r="AI16" s="620" t="str">
        <f t="shared" si="1"/>
        <v>창원</v>
      </c>
      <c r="AJ16" s="495">
        <f t="shared" si="2"/>
        <v>4.8048048048048048E-2</v>
      </c>
      <c r="AK16" s="495">
        <f t="shared" si="3"/>
        <v>4.1400434182884367E-2</v>
      </c>
      <c r="AL16" s="495">
        <f t="shared" si="12"/>
        <v>-6.6476138651636804E-3</v>
      </c>
      <c r="AM16" s="484">
        <f t="shared" si="4"/>
        <v>-669.41279929286486</v>
      </c>
    </row>
    <row r="17" spans="2:39" s="8" customFormat="1" ht="22.5" customHeight="1" x14ac:dyDescent="0.3">
      <c r="B17" s="8" t="s">
        <v>70</v>
      </c>
      <c r="G17" s="334" t="str">
        <f t="shared" si="5"/>
        <v>대구</v>
      </c>
      <c r="H17" s="74"/>
      <c r="I17" s="75" t="s">
        <v>70</v>
      </c>
      <c r="J17" s="45">
        <f>+IFERROR(HLOOKUP($B17,'[1]12월누계'!$D$6:$BN$259,2,),)/1000</f>
        <v>145</v>
      </c>
      <c r="K17" s="46">
        <f>+IFERROR(HLOOKUP($B17,'[2]12월누계'!$F$6:$CP$99,2,),)/1000</f>
        <v>109.2145</v>
      </c>
      <c r="L17" s="47">
        <f t="shared" si="0"/>
        <v>-35.785499999999999</v>
      </c>
      <c r="M17" s="48">
        <f>+IFERROR(HLOOKUP($B17,'[3]12월누계'!$F$6:$CC$57,2,),)/1000</f>
        <v>190.04</v>
      </c>
      <c r="N17" s="49">
        <f t="shared" si="6"/>
        <v>-80.825499999999991</v>
      </c>
      <c r="O17" s="45">
        <f>+IFERROR(HLOOKUP($B17,'[1]12월누계'!$D$6:$BN$259,3,),)/1000</f>
        <v>14079.525787902461</v>
      </c>
      <c r="P17" s="46">
        <f>+IFERROR(HLOOKUP($B17,'[2]12월누계'!$F$6:$CP$99,3,),)/1000</f>
        <v>9623.6384550000002</v>
      </c>
      <c r="Q17" s="47">
        <f t="shared" si="7"/>
        <v>-4455.8873329024609</v>
      </c>
      <c r="R17" s="48">
        <f>+IFERROR(HLOOKUP($B17,'[3]12월누계'!$F$6:$CC$57,3,),)/1000</f>
        <v>18889.928516</v>
      </c>
      <c r="S17" s="49">
        <f t="shared" si="8"/>
        <v>-9266.2900609999997</v>
      </c>
      <c r="T17" s="45">
        <f>+IFERROR(HLOOKUP($B17,'[1]12월누계'!$D$6:$BN$259,16,),)/1000</f>
        <v>1302.9749098342681</v>
      </c>
      <c r="U17" s="46">
        <f>+IFERROR(HLOOKUP($B17,'[2]12월누계'!$F$6:$CP$99,16,),)/1000</f>
        <v>-172.18243100000061</v>
      </c>
      <c r="V17" s="47">
        <f t="shared" si="9"/>
        <v>-1475.1573408342688</v>
      </c>
      <c r="W17" s="48">
        <f>+IFERROR(HLOOKUP($B17,'[3]12월누계'!$F$6:$CC$57,16,),)/1000</f>
        <v>2551.5007159999986</v>
      </c>
      <c r="X17" s="49">
        <f t="shared" si="10"/>
        <v>-2723.6831469999993</v>
      </c>
      <c r="Y17" s="45">
        <f>+[12]대구!$Q$85</f>
        <v>97100.177847603176</v>
      </c>
      <c r="Z17" s="46">
        <f>+[12]대구!$R$85</f>
        <v>88134.91056985085</v>
      </c>
      <c r="AA17" s="50">
        <f>+[13]대구!$Q$85</f>
        <v>99399.55123131971</v>
      </c>
      <c r="AB17" s="51">
        <f>+[12]대구!$Q$89</f>
        <v>73288.040056302591</v>
      </c>
      <c r="AC17" s="46">
        <f>+[12]대구!$R$89</f>
        <v>73003.184614329162</v>
      </c>
      <c r="AD17" s="52">
        <f>+[13]대구!$Q$89</f>
        <v>74512.501912362743</v>
      </c>
      <c r="AE17" s="51">
        <f t="shared" si="11"/>
        <v>23812.137791300585</v>
      </c>
      <c r="AF17" s="46">
        <f t="shared" si="11"/>
        <v>15131.725955521688</v>
      </c>
      <c r="AG17" s="52">
        <f t="shared" si="11"/>
        <v>24887.049318956968</v>
      </c>
      <c r="AH17" s="17"/>
      <c r="AI17" s="620" t="str">
        <f t="shared" si="1"/>
        <v>대구</v>
      </c>
      <c r="AJ17" s="495">
        <f t="shared" si="2"/>
        <v>4.3543543543543541E-2</v>
      </c>
      <c r="AK17" s="495">
        <f t="shared" si="3"/>
        <v>3.8916956887924542E-2</v>
      </c>
      <c r="AL17" s="495">
        <f t="shared" si="12"/>
        <v>-4.6265866556189986E-3</v>
      </c>
      <c r="AM17" s="484">
        <f t="shared" si="4"/>
        <v>-449.24238708795235</v>
      </c>
    </row>
    <row r="18" spans="2:39" s="8" customFormat="1" ht="22.5" customHeight="1" x14ac:dyDescent="0.3">
      <c r="B18" s="8" t="s">
        <v>71</v>
      </c>
      <c r="G18" s="336" t="str">
        <f t="shared" si="5"/>
        <v>울산</v>
      </c>
      <c r="H18" s="74"/>
      <c r="I18" s="77" t="s">
        <v>71</v>
      </c>
      <c r="J18" s="9">
        <f>+IFERROR(HLOOKUP($B18,'[1]12월누계'!$D$6:$BN$259,2,),)/1000</f>
        <v>145</v>
      </c>
      <c r="K18" s="10">
        <f>+IFERROR(HLOOKUP($B18,'[2]12월누계'!$F$6:$CP$99,2,),)/1000</f>
        <v>135.65350000000001</v>
      </c>
      <c r="L18" s="11">
        <f t="shared" si="0"/>
        <v>-9.3464999999999918</v>
      </c>
      <c r="M18" s="12">
        <f>+IFERROR(HLOOKUP($B18,'[3]12월누계'!$F$6:$CC$57,2,),)/1000</f>
        <v>134.21299999999999</v>
      </c>
      <c r="N18" s="13">
        <f t="shared" si="6"/>
        <v>1.4405000000000143</v>
      </c>
      <c r="O18" s="9">
        <f>+IFERROR(HLOOKUP($B18,'[1]12월누계'!$D$6:$BN$259,3,),)/1000</f>
        <v>14891.505999999999</v>
      </c>
      <c r="P18" s="10">
        <f>+IFERROR(HLOOKUP($B18,'[2]12월누계'!$F$6:$CP$99,3,),)/1000</f>
        <v>14168.404607999999</v>
      </c>
      <c r="Q18" s="11">
        <f t="shared" si="7"/>
        <v>-723.10139200000049</v>
      </c>
      <c r="R18" s="12">
        <f>+IFERROR(HLOOKUP($B18,'[3]12월누계'!$F$6:$CC$57,3,),)/1000</f>
        <v>13929.268442000002</v>
      </c>
      <c r="S18" s="13">
        <f t="shared" si="8"/>
        <v>239.13616599999659</v>
      </c>
      <c r="T18" s="9">
        <f>+IFERROR(HLOOKUP($B18,'[1]12월누계'!$D$6:$BN$259,16,),)/1000</f>
        <v>1182.5189533401374</v>
      </c>
      <c r="U18" s="10">
        <f>+IFERROR(HLOOKUP($B18,'[2]12월누계'!$F$6:$CP$99,16,),)/1000</f>
        <v>1075.6327819999983</v>
      </c>
      <c r="V18" s="11">
        <f t="shared" si="9"/>
        <v>-106.88617134013907</v>
      </c>
      <c r="W18" s="12">
        <f>+IFERROR(HLOOKUP($B18,'[3]12월누계'!$F$6:$CC$57,16,),)/1000</f>
        <v>1432.4138080000007</v>
      </c>
      <c r="X18" s="13">
        <f t="shared" si="10"/>
        <v>-356.78102600000238</v>
      </c>
      <c r="Y18" s="9">
        <f>+[12]울산!$Q$85</f>
        <v>102700.04137931035</v>
      </c>
      <c r="Z18" s="10">
        <f>+[12]울산!$R$85</f>
        <v>104445.55140855194</v>
      </c>
      <c r="AA18" s="14">
        <f>+[13]울산!$Q$85</f>
        <v>103784.79314224406</v>
      </c>
      <c r="AB18" s="15">
        <f>+[12]울산!$Q$89</f>
        <v>82252.05239859072</v>
      </c>
      <c r="AC18" s="10">
        <f>+[12]울산!$R$89</f>
        <v>83402.285461730818</v>
      </c>
      <c r="AD18" s="16">
        <f>+[13]울산!$Q$89</f>
        <v>80835.204382986311</v>
      </c>
      <c r="AE18" s="15">
        <f t="shared" si="11"/>
        <v>20447.98898071963</v>
      </c>
      <c r="AF18" s="10">
        <f t="shared" si="11"/>
        <v>21043.26594682112</v>
      </c>
      <c r="AG18" s="16">
        <f t="shared" si="11"/>
        <v>22949.588759257749</v>
      </c>
      <c r="AH18" s="17"/>
      <c r="AI18" s="620" t="str">
        <f t="shared" si="1"/>
        <v>울산</v>
      </c>
      <c r="AJ18" s="495">
        <f t="shared" si="2"/>
        <v>4.3543543543543541E-2</v>
      </c>
      <c r="AK18" s="495">
        <f t="shared" si="3"/>
        <v>4.8338099896955734E-2</v>
      </c>
      <c r="AL18" s="495">
        <f t="shared" si="12"/>
        <v>4.7945563534121938E-3</v>
      </c>
      <c r="AM18" s="484">
        <f t="shared" si="4"/>
        <v>492.40113589086764</v>
      </c>
    </row>
    <row r="19" spans="2:39" s="8" customFormat="1" ht="22.5" customHeight="1" x14ac:dyDescent="0.3">
      <c r="B19" s="8" t="s">
        <v>76</v>
      </c>
      <c r="G19" s="336" t="str">
        <f t="shared" si="5"/>
        <v>아산</v>
      </c>
      <c r="H19" s="74"/>
      <c r="I19" s="75" t="s">
        <v>27</v>
      </c>
      <c r="J19" s="45">
        <f>+IFERROR(HLOOKUP($B19,'[1]12월누계'!$D$6:$BN$259,2,),)/1000</f>
        <v>270</v>
      </c>
      <c r="K19" s="46">
        <f>+IFERROR(HLOOKUP($B19,'[2]12월누계'!$F$6:$CP$99,2,),)/1000</f>
        <v>251.62200000000001</v>
      </c>
      <c r="L19" s="47">
        <f t="shared" si="0"/>
        <v>-18.377999999999986</v>
      </c>
      <c r="M19" s="48">
        <f>+IFERROR(HLOOKUP($B19,'[3]12월누계'!$F$6:$CC$57,2,),)/1000</f>
        <v>317.54450000000003</v>
      </c>
      <c r="N19" s="49">
        <f t="shared" si="6"/>
        <v>-65.922500000000014</v>
      </c>
      <c r="O19" s="45">
        <f>+IFERROR(HLOOKUP($B19,'[1]12월누계'!$D$6:$BN$259,3,),)/1000</f>
        <v>27810</v>
      </c>
      <c r="P19" s="46">
        <f>+IFERROR(HLOOKUP($B19,'[2]12월누계'!$F$6:$CP$99,3,),)/1000</f>
        <v>24500.755845</v>
      </c>
      <c r="Q19" s="47">
        <f t="shared" si="7"/>
        <v>-3309.2441550000003</v>
      </c>
      <c r="R19" s="48">
        <f>+IFERROR(HLOOKUP($B19,'[3]12월누계'!$F$6:$CC$57,3,),)/1000</f>
        <v>32020.142446000002</v>
      </c>
      <c r="S19" s="49">
        <f t="shared" si="8"/>
        <v>-7519.386601000002</v>
      </c>
      <c r="T19" s="45">
        <f>+IFERROR(HLOOKUP($B19,'[1]12월누계'!$D$6:$BN$259,16,),)/1000</f>
        <v>3587.5204190494037</v>
      </c>
      <c r="U19" s="46">
        <f>+IFERROR(HLOOKUP($B19,'[2]12월누계'!$F$6:$CP$99,16,),)/1000</f>
        <v>1088.7265860000011</v>
      </c>
      <c r="V19" s="47">
        <f t="shared" si="9"/>
        <v>-2498.7938330494026</v>
      </c>
      <c r="W19" s="48">
        <f>+IFERROR(HLOOKUP($B19,'[3]12월누계'!$F$6:$CC$57,16,),)/1000</f>
        <v>4186.6873590000041</v>
      </c>
      <c r="X19" s="49">
        <f t="shared" si="10"/>
        <v>-3097.960773000003</v>
      </c>
      <c r="Y19" s="45">
        <f>+[12]아산!$Q$85</f>
        <v>103000</v>
      </c>
      <c r="Z19" s="46">
        <f>+[12]아산!$R$85</f>
        <v>97362.970211395295</v>
      </c>
      <c r="AA19" s="50">
        <f>+[13]아산!$Q$85</f>
        <v>100779.83968661874</v>
      </c>
      <c r="AB19" s="51">
        <f>+[12]아산!$Q$89</f>
        <v>78614.589551547644</v>
      </c>
      <c r="AC19" s="46">
        <f>+[12]아산!$R$89</f>
        <v>81568.641700822933</v>
      </c>
      <c r="AD19" s="52">
        <f>+[13]아산!$Q$89</f>
        <v>77860.034638823228</v>
      </c>
      <c r="AE19" s="51">
        <f t="shared" si="11"/>
        <v>24385.410448452356</v>
      </c>
      <c r="AF19" s="46">
        <f t="shared" si="11"/>
        <v>15794.328510572363</v>
      </c>
      <c r="AG19" s="52">
        <f t="shared" si="11"/>
        <v>22919.805047795511</v>
      </c>
      <c r="AH19" s="17"/>
      <c r="AI19" s="620" t="str">
        <f t="shared" si="1"/>
        <v>아산</v>
      </c>
      <c r="AJ19" s="495">
        <f t="shared" si="2"/>
        <v>8.1081081081081086E-2</v>
      </c>
      <c r="AK19" s="495">
        <f t="shared" si="3"/>
        <v>8.9661743871494629E-2</v>
      </c>
      <c r="AL19" s="495">
        <f t="shared" si="12"/>
        <v>8.580662790413543E-3</v>
      </c>
      <c r="AM19" s="484">
        <f t="shared" si="4"/>
        <v>883.80826741259489</v>
      </c>
    </row>
    <row r="20" spans="2:39" s="8" customFormat="1" ht="22.5" customHeight="1" x14ac:dyDescent="0.3">
      <c r="B20" s="8" t="s">
        <v>72</v>
      </c>
      <c r="G20" s="336" t="str">
        <f t="shared" si="5"/>
        <v>전주</v>
      </c>
      <c r="H20" s="74"/>
      <c r="I20" s="75" t="s">
        <v>72</v>
      </c>
      <c r="J20" s="45">
        <f>+IFERROR(HLOOKUP($B20,'[1]12월누계'!$D$6:$BN$259,2,),)/1000</f>
        <v>130</v>
      </c>
      <c r="K20" s="46">
        <f>+IFERROR(HLOOKUP($B20,'[2]12월누계'!$F$6:$CP$99,2,),)/1000</f>
        <v>154.48849999999999</v>
      </c>
      <c r="L20" s="47">
        <f t="shared" si="0"/>
        <v>24.488499999999988</v>
      </c>
      <c r="M20" s="48">
        <f>+IFERROR(HLOOKUP($B20,'[3]12월누계'!$F$6:$CC$57,2,),)/1000</f>
        <v>104.5945</v>
      </c>
      <c r="N20" s="49">
        <f t="shared" si="6"/>
        <v>49.893999999999991</v>
      </c>
      <c r="O20" s="45">
        <f>+IFERROR(HLOOKUP($B20,'[1]12월누계'!$D$6:$BN$259,3,),)/1000</f>
        <v>12869.999906599998</v>
      </c>
      <c r="P20" s="46">
        <f>+IFERROR(HLOOKUP($B20,'[2]12월누계'!$F$6:$CP$99,3,),)/1000</f>
        <v>15115.211289999999</v>
      </c>
      <c r="Q20" s="47">
        <f t="shared" si="7"/>
        <v>2245.2113834000011</v>
      </c>
      <c r="R20" s="48">
        <f>+IFERROR(HLOOKUP($B20,'[3]12월누계'!$F$6:$CC$57,3,),)/1000</f>
        <v>10098.437311999998</v>
      </c>
      <c r="S20" s="49">
        <f t="shared" si="8"/>
        <v>5016.7739780000011</v>
      </c>
      <c r="T20" s="45">
        <f>+IFERROR(HLOOKUP($B20,'[1]12월누계'!$D$6:$BN$259,16,),)/1000</f>
        <v>1511.157430726061</v>
      </c>
      <c r="U20" s="46">
        <f>+IFERROR(HLOOKUP($B20,'[2]12월누계'!$F$6:$CP$99,16,),)/1000</f>
        <v>1437.3909389999992</v>
      </c>
      <c r="V20" s="47">
        <f t="shared" si="9"/>
        <v>-73.766491726061759</v>
      </c>
      <c r="W20" s="48">
        <f>+IFERROR(HLOOKUP($B20,'[3]12월누계'!$F$6:$CC$57,16,),)/1000</f>
        <v>640.01700499999981</v>
      </c>
      <c r="X20" s="49">
        <f t="shared" si="10"/>
        <v>797.37393399999939</v>
      </c>
      <c r="Y20" s="45">
        <f>+[12]전주!$Q$85</f>
        <v>98999.999281538447</v>
      </c>
      <c r="Z20" s="46">
        <f>+[12]전주!$R$85</f>
        <v>97840.744094462672</v>
      </c>
      <c r="AA20" s="50">
        <f>+[13]전주!$Q$85</f>
        <v>96550.172800765358</v>
      </c>
      <c r="AB20" s="51">
        <f>+[12]전주!$Q$89</f>
        <v>73277.628130654237</v>
      </c>
      <c r="AC20" s="46">
        <f>+[12]전주!$R$89</f>
        <v>76219.706700060182</v>
      </c>
      <c r="AD20" s="52">
        <f>+[13]전주!$Q$89</f>
        <v>72741.123442386233</v>
      </c>
      <c r="AE20" s="51">
        <f t="shared" si="11"/>
        <v>25722.37115088421</v>
      </c>
      <c r="AF20" s="46">
        <f t="shared" si="11"/>
        <v>21621.03739440249</v>
      </c>
      <c r="AG20" s="52">
        <f t="shared" si="11"/>
        <v>23809.049358379125</v>
      </c>
      <c r="AH20" s="17"/>
      <c r="AI20" s="620" t="str">
        <f t="shared" si="1"/>
        <v>전주</v>
      </c>
      <c r="AJ20" s="495">
        <f t="shared" si="2"/>
        <v>3.903903903903904E-2</v>
      </c>
      <c r="AK20" s="495">
        <f t="shared" si="3"/>
        <v>5.504967100687299E-2</v>
      </c>
      <c r="AL20" s="495">
        <f t="shared" si="12"/>
        <v>1.6010631967833949E-2</v>
      </c>
      <c r="AM20" s="484">
        <f t="shared" si="4"/>
        <v>1585.0525533125374</v>
      </c>
    </row>
    <row r="21" spans="2:39" s="8" customFormat="1" ht="22.5" customHeight="1" x14ac:dyDescent="0.3">
      <c r="B21" s="8" t="s">
        <v>73</v>
      </c>
      <c r="G21" s="336" t="str">
        <f t="shared" si="5"/>
        <v>군산</v>
      </c>
      <c r="H21" s="74"/>
      <c r="I21" s="75" t="s">
        <v>73</v>
      </c>
      <c r="J21" s="45">
        <f>+IFERROR(HLOOKUP($B21,'[1]12월누계'!$D$6:$BN$259,2,),)/1000</f>
        <v>85</v>
      </c>
      <c r="K21" s="46">
        <f>+IFERROR(HLOOKUP($B21,'[2]12월누계'!$F$6:$CP$99,2,),)/1000</f>
        <v>55.756999999999998</v>
      </c>
      <c r="L21" s="47">
        <f t="shared" si="0"/>
        <v>-29.243000000000002</v>
      </c>
      <c r="M21" s="48">
        <f>+IFERROR(HLOOKUP($B21,'[3]12월누계'!$F$6:$CC$57,2,),)/1000</f>
        <v>98.341499999999996</v>
      </c>
      <c r="N21" s="49">
        <f t="shared" si="6"/>
        <v>-42.584499999999998</v>
      </c>
      <c r="O21" s="45">
        <f>+IFERROR(HLOOKUP($B21,'[1]12월누계'!$D$6:$BN$259,3,),)/1000</f>
        <v>9434.9661830000005</v>
      </c>
      <c r="P21" s="46">
        <f>+IFERROR(HLOOKUP($B21,'[2]12월누계'!$F$6:$CP$99,3,),)/1000</f>
        <v>6145.5882359999987</v>
      </c>
      <c r="Q21" s="47">
        <f t="shared" si="7"/>
        <v>-3289.3779470000018</v>
      </c>
      <c r="R21" s="48">
        <f>+IFERROR(HLOOKUP($B21,'[3]12월누계'!$F$6:$CC$57,3,),)/1000</f>
        <v>11049.971786</v>
      </c>
      <c r="S21" s="49">
        <f t="shared" si="8"/>
        <v>-4904.3835500000014</v>
      </c>
      <c r="T21" s="45">
        <f>+IFERROR(HLOOKUP($B21,'[1]12월누계'!$D$6:$BN$259,16,),)/1000</f>
        <v>2246.8230330787801</v>
      </c>
      <c r="U21" s="46">
        <f>+IFERROR(HLOOKUP($B21,'[2]12월누계'!$F$6:$CP$99,16,),)/1000</f>
        <v>1077.326097999998</v>
      </c>
      <c r="V21" s="47">
        <f t="shared" si="9"/>
        <v>-1169.4969350787821</v>
      </c>
      <c r="W21" s="48">
        <f>+IFERROR(HLOOKUP($B21,'[3]12월누계'!$F$6:$CC$57,16,),)/1000</f>
        <v>2923.9684300000017</v>
      </c>
      <c r="X21" s="49">
        <f t="shared" si="10"/>
        <v>-1846.6423320000038</v>
      </c>
      <c r="Y21" s="45">
        <f>+[12]군산!$Q$85</f>
        <v>110999.60215294118</v>
      </c>
      <c r="Z21" s="46">
        <f>+[12]군산!$R$85</f>
        <v>110208.55999280121</v>
      </c>
      <c r="AA21" s="50">
        <f>+[13]군산!$Q$85</f>
        <v>112375.8608909858</v>
      </c>
      <c r="AB21" s="51">
        <f>+[12]군산!$Q$89</f>
        <v>72788.19988926925</v>
      </c>
      <c r="AC21" s="46">
        <f>+[12]군산!$R$89</f>
        <v>72571.115096003297</v>
      </c>
      <c r="AD21" s="52">
        <f>+[13]군산!$Q$89</f>
        <v>72449.183857095588</v>
      </c>
      <c r="AE21" s="51">
        <f t="shared" si="11"/>
        <v>38211.402263671931</v>
      </c>
      <c r="AF21" s="46">
        <f t="shared" si="11"/>
        <v>37637.444896797911</v>
      </c>
      <c r="AG21" s="52">
        <f t="shared" si="11"/>
        <v>39926.677033890213</v>
      </c>
      <c r="AH21" s="17"/>
      <c r="AI21" s="620" t="str">
        <f t="shared" si="1"/>
        <v>군산</v>
      </c>
      <c r="AJ21" s="495">
        <f t="shared" si="2"/>
        <v>2.5525525525525526E-2</v>
      </c>
      <c r="AK21" s="495">
        <f t="shared" si="3"/>
        <v>1.9868174694752151E-2</v>
      </c>
      <c r="AL21" s="495">
        <f t="shared" si="12"/>
        <v>-5.6573508307733757E-3</v>
      </c>
      <c r="AM21" s="484">
        <f t="shared" si="4"/>
        <v>-627.963691455456</v>
      </c>
    </row>
    <row r="22" spans="2:39" s="8" customFormat="1" ht="22.5" customHeight="1" x14ac:dyDescent="0.3">
      <c r="B22" s="8" t="s">
        <v>74</v>
      </c>
      <c r="G22" s="336" t="str">
        <f t="shared" si="5"/>
        <v>원주</v>
      </c>
      <c r="H22" s="74"/>
      <c r="I22" s="75" t="s">
        <v>74</v>
      </c>
      <c r="J22" s="45">
        <f>+IFERROR(HLOOKUP($B22,'[1]12월누계'!$D$6:$BN$259,2,),)/1000</f>
        <v>55</v>
      </c>
      <c r="K22" s="46">
        <f>+IFERROR(HLOOKUP($B22,'[2]12월누계'!$F$6:$CP$99,2,),)/1000</f>
        <v>34.659500000000001</v>
      </c>
      <c r="L22" s="47">
        <f t="shared" si="0"/>
        <v>-20.340499999999999</v>
      </c>
      <c r="M22" s="48">
        <f>+IFERROR(HLOOKUP($B22,'[3]12월누계'!$F$6:$CC$57,2,),)/1000</f>
        <v>64.480999999999995</v>
      </c>
      <c r="N22" s="49">
        <f t="shared" si="6"/>
        <v>-29.821499999999993</v>
      </c>
      <c r="O22" s="45">
        <f>+IFERROR(HLOOKUP($B22,'[1]12월누계'!$D$6:$BN$259,3,),)/1000</f>
        <v>6160</v>
      </c>
      <c r="P22" s="46">
        <f>+IFERROR(HLOOKUP($B22,'[2]12월누계'!$F$6:$CP$99,3,),)/1000</f>
        <v>3846.7763990000003</v>
      </c>
      <c r="Q22" s="47">
        <f t="shared" si="7"/>
        <v>-2313.2236009999997</v>
      </c>
      <c r="R22" s="48">
        <f>+IFERROR(HLOOKUP($B22,'[3]12월누계'!$F$6:$CC$57,3,),)/1000</f>
        <v>7251.5745669999997</v>
      </c>
      <c r="S22" s="49">
        <f t="shared" si="8"/>
        <v>-3404.7981679999994</v>
      </c>
      <c r="T22" s="45">
        <f>+IFERROR(HLOOKUP($B22,'[1]12월누계'!$D$6:$BN$259,16,),)/1000</f>
        <v>1009.3796795528963</v>
      </c>
      <c r="U22" s="46">
        <f>+IFERROR(HLOOKUP($B22,'[2]12월누계'!$F$6:$CP$99,16,),)/1000</f>
        <v>227.56159499999978</v>
      </c>
      <c r="V22" s="47">
        <f t="shared" si="9"/>
        <v>-781.81808455289649</v>
      </c>
      <c r="W22" s="48">
        <f>+IFERROR(HLOOKUP($B22,'[3]12월누계'!$F$6:$CC$57,16,),)/1000</f>
        <v>1368.5219359999996</v>
      </c>
      <c r="X22" s="49">
        <f t="shared" si="10"/>
        <v>-1140.960341</v>
      </c>
      <c r="Y22" s="45">
        <f>+[12]원주!$Q$85</f>
        <v>112000</v>
      </c>
      <c r="Z22" s="46">
        <f>+[12]원주!$R$85</f>
        <v>110992.74834370174</v>
      </c>
      <c r="AA22" s="50">
        <f>+[13]원주!$Q$85</f>
        <v>112465.39639709533</v>
      </c>
      <c r="AB22" s="51">
        <f>+[12]원주!$Q$89</f>
        <v>73468.292634288708</v>
      </c>
      <c r="AC22" s="46">
        <f>+[12]원주!$R$89</f>
        <v>73196.399416867527</v>
      </c>
      <c r="AD22" s="52">
        <f>+[13]원주!$Q$89</f>
        <v>74063.850592725925</v>
      </c>
      <c r="AE22" s="51">
        <f t="shared" si="11"/>
        <v>38531.707365711292</v>
      </c>
      <c r="AF22" s="46">
        <f t="shared" si="11"/>
        <v>37796.348926834209</v>
      </c>
      <c r="AG22" s="52">
        <f t="shared" si="11"/>
        <v>38401.545804369409</v>
      </c>
      <c r="AH22" s="17"/>
      <c r="AI22" s="620" t="str">
        <f t="shared" si="1"/>
        <v>원주</v>
      </c>
      <c r="AJ22" s="495">
        <f t="shared" si="2"/>
        <v>1.6516516516516516E-2</v>
      </c>
      <c r="AK22" s="495">
        <f t="shared" si="3"/>
        <v>1.2350395480975702E-2</v>
      </c>
      <c r="AL22" s="495">
        <f t="shared" si="12"/>
        <v>-4.1661210355408134E-3</v>
      </c>
      <c r="AM22" s="484">
        <f t="shared" si="4"/>
        <v>-466.60555598057113</v>
      </c>
    </row>
    <row r="23" spans="2:39" s="8" customFormat="1" ht="22.5" customHeight="1" x14ac:dyDescent="0.3">
      <c r="B23" s="8" t="s">
        <v>75</v>
      </c>
      <c r="F23" s="84">
        <f>+K27-J27</f>
        <v>-523.65261999999984</v>
      </c>
      <c r="G23" s="334" t="str">
        <f t="shared" si="5"/>
        <v>제주</v>
      </c>
      <c r="H23" s="74"/>
      <c r="I23" s="75" t="s">
        <v>75</v>
      </c>
      <c r="J23" s="45">
        <f>+IFERROR(HLOOKUP($B23,'[1]12월누계'!$D$6:$BN$259,2,),)/1000</f>
        <v>100</v>
      </c>
      <c r="K23" s="46">
        <f>+IFERROR(HLOOKUP($B23,'[2]12월누계'!$F$6:$CP$99,2,),)/1000</f>
        <v>62.708500000000001</v>
      </c>
      <c r="L23" s="47">
        <f t="shared" si="0"/>
        <v>-37.291499999999999</v>
      </c>
      <c r="M23" s="48">
        <f>+IFERROR(HLOOKUP($B23,'[3]12월누계'!$F$6:$CC$57,2,),)/1000</f>
        <v>42.994</v>
      </c>
      <c r="N23" s="49">
        <f t="shared" si="6"/>
        <v>19.714500000000001</v>
      </c>
      <c r="O23" s="45">
        <f>+IFERROR(HLOOKUP($B23,'[1]12월누계'!$D$6:$BN$259,3,),)/1000</f>
        <v>12286.2855</v>
      </c>
      <c r="P23" s="46">
        <f>+IFERROR(HLOOKUP($B23,'[2]12월누계'!$F$6:$CP$99,3,),)/1000</f>
        <v>7773.9382280000009</v>
      </c>
      <c r="Q23" s="47">
        <f t="shared" si="7"/>
        <v>-4512.3472719999991</v>
      </c>
      <c r="R23" s="48">
        <f>+IFERROR(HLOOKUP($B23,'[3]12월누계'!$F$6:$CC$57,3,),)/1000</f>
        <v>5315.1092179999996</v>
      </c>
      <c r="S23" s="49">
        <f t="shared" si="8"/>
        <v>2458.8290100000013</v>
      </c>
      <c r="T23" s="45">
        <f>+IFERROR(HLOOKUP($B23,'[1]12월누계'!$D$6:$BN$259,16,),)/1000</f>
        <v>2003.843179219745</v>
      </c>
      <c r="U23" s="46">
        <f>+IFERROR(HLOOKUP($B23,'[2]12월누계'!$F$6:$CP$99,16,),)/1000</f>
        <v>705.23831399999949</v>
      </c>
      <c r="V23" s="47">
        <f t="shared" si="9"/>
        <v>-1298.6048652197455</v>
      </c>
      <c r="W23" s="48">
        <f>+IFERROR(HLOOKUP($B23,'[3]12월누계'!$F$6:$CC$57,16,),)/1000</f>
        <v>368.059024999999</v>
      </c>
      <c r="X23" s="49">
        <f t="shared" si="10"/>
        <v>337.17928900000049</v>
      </c>
      <c r="Y23" s="45">
        <f>+[12]제주!$Q$85</f>
        <v>122862.855</v>
      </c>
      <c r="Z23" s="46">
        <f>+[12]제주!$R$85</f>
        <v>123796.87130595885</v>
      </c>
      <c r="AA23" s="50">
        <f>+[13]제주!$Q$85</f>
        <v>123624.44103828441</v>
      </c>
      <c r="AB23" s="51">
        <f>+[12]제주!$Q$89</f>
        <v>91146.151222289744</v>
      </c>
      <c r="AC23" s="46">
        <f>+[12]제주!$R$89</f>
        <v>93667.738953750348</v>
      </c>
      <c r="AD23" s="52">
        <f>+[13]제주!$Q$89</f>
        <v>89420.48065664235</v>
      </c>
      <c r="AE23" s="51">
        <f t="shared" si="11"/>
        <v>31716.703777710252</v>
      </c>
      <c r="AF23" s="46">
        <f t="shared" si="11"/>
        <v>30129.1323522085</v>
      </c>
      <c r="AG23" s="52">
        <f t="shared" si="11"/>
        <v>34203.960381642057</v>
      </c>
      <c r="AH23" s="17"/>
      <c r="AI23" s="620" t="str">
        <f t="shared" si="1"/>
        <v>제주</v>
      </c>
      <c r="AJ23" s="495">
        <f t="shared" si="2"/>
        <v>3.003003003003003E-2</v>
      </c>
      <c r="AK23" s="495">
        <f t="shared" si="3"/>
        <v>2.2345237958388459E-2</v>
      </c>
      <c r="AL23" s="495">
        <f t="shared" si="12"/>
        <v>-7.6847920716415705E-3</v>
      </c>
      <c r="AM23" s="484">
        <f t="shared" si="4"/>
        <v>-944.17549400324788</v>
      </c>
    </row>
    <row r="24" spans="2:39" s="8" customFormat="1" ht="22.5" customHeight="1" x14ac:dyDescent="0.3">
      <c r="F24" s="495">
        <f>+K24/J24</f>
        <v>0.82107736065573766</v>
      </c>
      <c r="G24" s="337" t="str">
        <f t="shared" si="5"/>
        <v>수도권</v>
      </c>
      <c r="H24" s="74"/>
      <c r="I24" s="78" t="s">
        <v>42</v>
      </c>
      <c r="J24" s="22">
        <f>SUM(J7:J10)</f>
        <v>1220</v>
      </c>
      <c r="K24" s="19">
        <f>SUM(K7:K10)</f>
        <v>1001.7143799999999</v>
      </c>
      <c r="L24" s="20">
        <f t="shared" si="0"/>
        <v>-218.28562000000011</v>
      </c>
      <c r="M24" s="24">
        <f>SUM(M7:M10)</f>
        <v>1201.567</v>
      </c>
      <c r="N24" s="21">
        <f t="shared" si="6"/>
        <v>-199.85262000000012</v>
      </c>
      <c r="O24" s="22">
        <f>SUM(O7:O10)</f>
        <v>120268.36081322459</v>
      </c>
      <c r="P24" s="19">
        <f>SUM(P7:P10)</f>
        <v>96405.834925999996</v>
      </c>
      <c r="Q24" s="20">
        <f t="shared" si="7"/>
        <v>-23862.52588722459</v>
      </c>
      <c r="R24" s="24">
        <f>SUM(R7:R10)</f>
        <v>117954.15519200001</v>
      </c>
      <c r="S24" s="21">
        <f t="shared" si="8"/>
        <v>-21548.32026600001</v>
      </c>
      <c r="T24" s="22">
        <f>SUM(T7:T10)</f>
        <v>9215.4721928648978</v>
      </c>
      <c r="U24" s="19">
        <f>SUM(U7:U10)</f>
        <v>2060.0688100199973</v>
      </c>
      <c r="V24" s="20">
        <f t="shared" si="9"/>
        <v>-7155.403382844901</v>
      </c>
      <c r="W24" s="24">
        <f>SUM(W7:W10)</f>
        <v>8135.8575080100027</v>
      </c>
      <c r="X24" s="21">
        <f t="shared" si="10"/>
        <v>-6075.7886979900049</v>
      </c>
      <c r="Y24" s="22">
        <f>+[12]수도권!$Q$85</f>
        <v>98580.623617397199</v>
      </c>
      <c r="Z24" s="19">
        <f>+[12]수도권!$R$85</f>
        <v>96282.118865216209</v>
      </c>
      <c r="AA24" s="23">
        <f>+[13]수도권!$Q$85</f>
        <v>98175.05222356382</v>
      </c>
      <c r="AB24" s="28">
        <f>+[12]수도권!$Q$89</f>
        <v>81080.865937408409</v>
      </c>
      <c r="AC24" s="19">
        <f>+[12]수도권!$R$89</f>
        <v>81744.98424752758</v>
      </c>
      <c r="AD24" s="29">
        <f>+[13]수도권!$Q$89</f>
        <v>81236.793882205311</v>
      </c>
      <c r="AE24" s="28">
        <f t="shared" si="11"/>
        <v>17499.75767998879</v>
      </c>
      <c r="AF24" s="19">
        <f t="shared" si="11"/>
        <v>14537.134617688629</v>
      </c>
      <c r="AG24" s="29">
        <f t="shared" si="11"/>
        <v>16938.258341358509</v>
      </c>
      <c r="AH24" s="17"/>
      <c r="AI24" s="620" t="str">
        <f t="shared" si="1"/>
        <v>수도권</v>
      </c>
      <c r="AJ24" s="495">
        <f t="shared" si="2"/>
        <v>0.36636636636636638</v>
      </c>
      <c r="AK24" s="495">
        <f t="shared" si="3"/>
        <v>0.35694596725227928</v>
      </c>
      <c r="AL24" s="495">
        <f t="shared" si="12"/>
        <v>-9.4203991140870968E-3</v>
      </c>
      <c r="AM24" s="484">
        <f t="shared" si="4"/>
        <v>-928.66881939148209</v>
      </c>
    </row>
    <row r="25" spans="2:39" s="8" customFormat="1" ht="22.5" customHeight="1" x14ac:dyDescent="0.3">
      <c r="F25" s="495">
        <f>+K25/J25</f>
        <v>0.84720918367346942</v>
      </c>
      <c r="G25" s="334" t="str">
        <f t="shared" si="5"/>
        <v>영남권</v>
      </c>
      <c r="H25" s="74"/>
      <c r="I25" s="78" t="s">
        <v>43</v>
      </c>
      <c r="J25" s="22">
        <f>SUM(J11:J18)</f>
        <v>1470</v>
      </c>
      <c r="K25" s="19">
        <f>SUM(K11:K18)</f>
        <v>1245.3975</v>
      </c>
      <c r="L25" s="20">
        <f t="shared" si="0"/>
        <v>-224.60249999999996</v>
      </c>
      <c r="M25" s="24">
        <f>SUM(M11:M18)</f>
        <v>1548.7055</v>
      </c>
      <c r="N25" s="21">
        <f t="shared" si="6"/>
        <v>-303.30799999999999</v>
      </c>
      <c r="O25" s="22">
        <f>SUM(O11:O18)</f>
        <v>147814.47344522446</v>
      </c>
      <c r="P25" s="19">
        <f>SUM(P11:P18)</f>
        <v>123317.80987300001</v>
      </c>
      <c r="Q25" s="20">
        <f t="shared" si="7"/>
        <v>-24496.663572224454</v>
      </c>
      <c r="R25" s="24">
        <f>SUM(R11:R18)</f>
        <v>155875.84835200003</v>
      </c>
      <c r="S25" s="21">
        <f t="shared" si="8"/>
        <v>-32558.038479000024</v>
      </c>
      <c r="T25" s="22">
        <f>SUM(T11:T18)</f>
        <v>13357.392011230344</v>
      </c>
      <c r="U25" s="19">
        <f>SUM(U11:U18)</f>
        <v>6179.8389240000051</v>
      </c>
      <c r="V25" s="20">
        <f t="shared" si="9"/>
        <v>-7177.5530872303389</v>
      </c>
      <c r="W25" s="24">
        <f>SUM(W11:W18)</f>
        <v>15414.172655999993</v>
      </c>
      <c r="X25" s="21">
        <f t="shared" si="10"/>
        <v>-9234.3337319999882</v>
      </c>
      <c r="Y25" s="22">
        <f>+[12]영남권!$Q$85</f>
        <v>100554.06356817992</v>
      </c>
      <c r="Z25" s="19">
        <f>+[12]영남권!$R$85</f>
        <v>99038.170718663561</v>
      </c>
      <c r="AA25" s="23">
        <f>+[13]영남권!$Q$85</f>
        <v>100664.51082845427</v>
      </c>
      <c r="AB25" s="28">
        <f>+[12]영남권!$Q$89</f>
        <v>79085.204525197536</v>
      </c>
      <c r="AC25" s="19">
        <f>+[12]영남권!$R$89</f>
        <v>79921.882737104126</v>
      </c>
      <c r="AD25" s="29">
        <f>+[13]영남권!$Q$89</f>
        <v>78859.643032026695</v>
      </c>
      <c r="AE25" s="28">
        <f t="shared" si="11"/>
        <v>21468.859042982382</v>
      </c>
      <c r="AF25" s="19">
        <f t="shared" si="11"/>
        <v>19116.287981559435</v>
      </c>
      <c r="AG25" s="29">
        <f t="shared" si="11"/>
        <v>21804.86779642757</v>
      </c>
      <c r="AH25" s="17"/>
      <c r="AI25" s="621" t="str">
        <f t="shared" si="1"/>
        <v>영남권</v>
      </c>
      <c r="AJ25" s="495">
        <f t="shared" si="2"/>
        <v>0.44144144144144143</v>
      </c>
      <c r="AK25" s="495">
        <f t="shared" si="3"/>
        <v>0.4437788097352367</v>
      </c>
      <c r="AL25" s="495">
        <f t="shared" si="12"/>
        <v>2.3373682937952722E-3</v>
      </c>
      <c r="AM25" s="484">
        <f t="shared" si="4"/>
        <v>235.03187999653804</v>
      </c>
    </row>
    <row r="26" spans="2:39" s="8" customFormat="1" ht="22.5" customHeight="1" x14ac:dyDescent="0.3">
      <c r="F26" s="495">
        <f>+K26/J26</f>
        <v>0.87380546874999998</v>
      </c>
      <c r="G26" s="334" t="str">
        <f t="shared" si="5"/>
        <v>중부권</v>
      </c>
      <c r="H26" s="74"/>
      <c r="I26" s="78" t="s">
        <v>106</v>
      </c>
      <c r="J26" s="22">
        <f>SUM(J19:J23)</f>
        <v>640</v>
      </c>
      <c r="K26" s="19">
        <f>SUM(K19:K23)</f>
        <v>559.2355</v>
      </c>
      <c r="L26" s="20">
        <f t="shared" si="0"/>
        <v>-80.764499999999998</v>
      </c>
      <c r="M26" s="24">
        <f>SUM(M19:M23)</f>
        <v>627.95550000000003</v>
      </c>
      <c r="N26" s="21">
        <f t="shared" si="6"/>
        <v>-68.720000000000027</v>
      </c>
      <c r="O26" s="22">
        <f>SUM(O19:O23)</f>
        <v>68561.251589599997</v>
      </c>
      <c r="P26" s="19">
        <f>SUM(P19:P23)</f>
        <v>57382.269997999996</v>
      </c>
      <c r="Q26" s="20">
        <f t="shared" si="7"/>
        <v>-11178.981591600001</v>
      </c>
      <c r="R26" s="24">
        <f>SUM(R19:R23)</f>
        <v>65735.235329000003</v>
      </c>
      <c r="S26" s="21">
        <f t="shared" si="8"/>
        <v>-8352.9653310000067</v>
      </c>
      <c r="T26" s="22">
        <f>SUM(T19:T23)</f>
        <v>10358.723741626885</v>
      </c>
      <c r="U26" s="19">
        <f>SUM(U19:U23)</f>
        <v>4536.2435319999977</v>
      </c>
      <c r="V26" s="20">
        <f t="shared" si="9"/>
        <v>-5822.4802096268877</v>
      </c>
      <c r="W26" s="24">
        <f>SUM(W19:W23)</f>
        <v>9487.2537550000034</v>
      </c>
      <c r="X26" s="21">
        <f t="shared" si="10"/>
        <v>-4951.0102230000057</v>
      </c>
      <c r="Y26" s="22">
        <f>+[12]중부권!$Q$85</f>
        <v>107126.95560875</v>
      </c>
      <c r="Z26" s="19">
        <f>+[12]중부권!$R$85</f>
        <v>102518.54897138549</v>
      </c>
      <c r="AA26" s="23">
        <f>+[13]중부권!$Q$85</f>
        <v>104665.49395355821</v>
      </c>
      <c r="AB26" s="28">
        <f>+[12]중부권!$Q$89</f>
        <v>78272.498505633848</v>
      </c>
      <c r="AC26" s="19">
        <f>+[12]중부권!$R$89</f>
        <v>79993.581548720802</v>
      </c>
      <c r="AD26" s="29">
        <f>+[13]중부권!$Q$89</f>
        <v>76562.819182250692</v>
      </c>
      <c r="AE26" s="28">
        <f t="shared" si="11"/>
        <v>28854.457103116147</v>
      </c>
      <c r="AF26" s="19">
        <f t="shared" si="11"/>
        <v>22524.967422664689</v>
      </c>
      <c r="AG26" s="29">
        <f t="shared" si="11"/>
        <v>28102.674771307516</v>
      </c>
      <c r="AH26" s="17"/>
      <c r="AI26" s="621" t="str">
        <f t="shared" si="1"/>
        <v>중부권</v>
      </c>
      <c r="AJ26" s="495">
        <f t="shared" si="2"/>
        <v>0.19219219219219219</v>
      </c>
      <c r="AK26" s="495">
        <f t="shared" si="3"/>
        <v>0.19927522301248393</v>
      </c>
      <c r="AL26" s="495">
        <f t="shared" si="12"/>
        <v>7.0830308202917414E-3</v>
      </c>
      <c r="AM26" s="484">
        <f t="shared" si="4"/>
        <v>758.7835282608014</v>
      </c>
    </row>
    <row r="27" spans="2:39" s="3" customFormat="1" ht="22.5" customHeight="1" x14ac:dyDescent="0.3">
      <c r="B27" s="25"/>
      <c r="F27" s="483">
        <f>+K27/M27</f>
        <v>0.8307158013017476</v>
      </c>
      <c r="G27" s="336">
        <f>+K27/J27</f>
        <v>0.84274696096096102</v>
      </c>
      <c r="H27" s="267" t="s">
        <v>94</v>
      </c>
      <c r="I27" s="268"/>
      <c r="J27" s="269">
        <f>SUM(J24:J26)</f>
        <v>3330</v>
      </c>
      <c r="K27" s="270">
        <f>SUM(K24:K26)</f>
        <v>2806.3473800000002</v>
      </c>
      <c r="L27" s="271">
        <f t="shared" si="0"/>
        <v>-523.65261999999984</v>
      </c>
      <c r="M27" s="272">
        <f>SUM(M24:M26)</f>
        <v>3378.2280000000001</v>
      </c>
      <c r="N27" s="273">
        <f t="shared" si="6"/>
        <v>-571.88061999999991</v>
      </c>
      <c r="O27" s="269">
        <f>SUM(O24:O26)</f>
        <v>336644.08584804903</v>
      </c>
      <c r="P27" s="270">
        <f>SUM(P24:P26)</f>
        <v>277105.914797</v>
      </c>
      <c r="Q27" s="271">
        <f t="shared" si="7"/>
        <v>-59538.171051049023</v>
      </c>
      <c r="R27" s="272">
        <f>SUM(R24:R26)</f>
        <v>339565.23887300002</v>
      </c>
      <c r="S27" s="273">
        <f t="shared" si="8"/>
        <v>-62459.324076000019</v>
      </c>
      <c r="T27" s="269">
        <f>SUM(T24:T26)</f>
        <v>32931.587945722124</v>
      </c>
      <c r="U27" s="270">
        <f>SUM(U24:U26)</f>
        <v>12776.151266019999</v>
      </c>
      <c r="V27" s="271">
        <f t="shared" si="9"/>
        <v>-20155.436679702125</v>
      </c>
      <c r="W27" s="272">
        <f>SUM(W24:W26)</f>
        <v>33037.283919009998</v>
      </c>
      <c r="X27" s="273">
        <f t="shared" si="10"/>
        <v>-20261.13265299</v>
      </c>
      <c r="Y27" s="269">
        <f>+[12]합계!$Q$85</f>
        <v>101094.32007448922</v>
      </c>
      <c r="Z27" s="270">
        <f>+[12]합계!$R$85</f>
        <v>98751.576501596952</v>
      </c>
      <c r="AA27" s="274">
        <f>+[13]합계!$Q$85</f>
        <v>100523.03337334946</v>
      </c>
      <c r="AB27" s="275">
        <f>+[12]합계!$Q$89</f>
        <v>79660.151993779073</v>
      </c>
      <c r="AC27" s="270">
        <f>+[12]합계!$R$89</f>
        <v>80583.000590933269</v>
      </c>
      <c r="AD27" s="276">
        <f>+[13]합계!$Q$89</f>
        <v>79276.382673567117</v>
      </c>
      <c r="AE27" s="275">
        <f t="shared" si="11"/>
        <v>21434.168080710151</v>
      </c>
      <c r="AF27" s="270">
        <f t="shared" si="11"/>
        <v>18168.575910663683</v>
      </c>
      <c r="AG27" s="276">
        <f t="shared" si="11"/>
        <v>21246.650699782345</v>
      </c>
      <c r="AH27" s="26"/>
      <c r="AI27" s="621" t="s">
        <v>8</v>
      </c>
      <c r="AJ27" s="495">
        <f t="shared" si="2"/>
        <v>1</v>
      </c>
      <c r="AK27" s="495">
        <f t="shared" si="3"/>
        <v>1</v>
      </c>
      <c r="AL27" s="495">
        <f t="shared" si="12"/>
        <v>0</v>
      </c>
      <c r="AM27" s="622">
        <f>SUM(AM7:AM26)</f>
        <v>180.23381233970042</v>
      </c>
    </row>
    <row r="28" spans="2:39" s="8" customFormat="1" ht="22.5" customHeight="1" x14ac:dyDescent="0.3">
      <c r="B28" s="8" t="s">
        <v>3</v>
      </c>
      <c r="E28" s="8" t="s">
        <v>123</v>
      </c>
      <c r="G28" s="334" t="s">
        <v>3</v>
      </c>
      <c r="H28" s="655" t="s">
        <v>3</v>
      </c>
      <c r="I28" s="656"/>
      <c r="J28" s="153">
        <f>+IFERROR(HLOOKUP($B28,'[1]12월누계'!$D$6:$BN$259,2,),)</f>
        <v>137600</v>
      </c>
      <c r="K28" s="154">
        <f>+IFERROR(HLOOKUP($E28,'[2]12월누계'!$F$6:$CP$99,2,),)</f>
        <v>108225.34600000001</v>
      </c>
      <c r="L28" s="155">
        <f>+K28-J28</f>
        <v>-29374.653999999995</v>
      </c>
      <c r="M28" s="156">
        <f>+IFERROR(HLOOKUP($E28,'[3]12월누계'!$F$6:$CC$57,2,),)</f>
        <v>105164.211</v>
      </c>
      <c r="N28" s="157">
        <f>+K28-M28</f>
        <v>3061.1350000000093</v>
      </c>
      <c r="O28" s="153">
        <f>+IFERROR(HLOOKUP($B28,'[1]12월누계'!$D$6:$BN$259,3,),)/1000</f>
        <v>150142.43199999997</v>
      </c>
      <c r="P28" s="154">
        <f>+IFERROR(HLOOKUP($E28,'[2]12월누계'!$F$6:$CP$99,3,),)/1000</f>
        <v>99181.146127999978</v>
      </c>
      <c r="Q28" s="155">
        <f>+P28-O28</f>
        <v>-50961.285871999993</v>
      </c>
      <c r="R28" s="156">
        <f>+IFERROR(HLOOKUP($E28,'[3]12월누계'!$F$6:$CC$57,3,),)/1000</f>
        <v>103999.84695300001</v>
      </c>
      <c r="S28" s="157">
        <f t="shared" si="8"/>
        <v>-4818.7008250000363</v>
      </c>
      <c r="T28" s="153">
        <f>+IFERROR(HLOOKUP($B28,'[1]12월누계'!$D$6:$BN$259,16,),)/1000</f>
        <v>2522.9645974239766</v>
      </c>
      <c r="U28" s="154">
        <f>+IFERROR(HLOOKUP($E28,'[2]12월누계'!$F$6:$CP$99,16,),)/1000</f>
        <v>-117.76807600001543</v>
      </c>
      <c r="V28" s="155">
        <f t="shared" si="9"/>
        <v>-2640.7326734239919</v>
      </c>
      <c r="W28" s="156">
        <f>+IFERROR(HLOOKUP($E28,'[3]12월누계'!$F$6:$CC$57,16,),)/1000</f>
        <v>500.75827499999383</v>
      </c>
      <c r="X28" s="157">
        <f t="shared" si="10"/>
        <v>-618.5263510000093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>+P28/O28</f>
        <v>0.66058038894694338</v>
      </c>
      <c r="AK28" s="483">
        <f>+P28/R28</f>
        <v>0.95366627003616922</v>
      </c>
    </row>
    <row r="29" spans="2:39" s="8" customFormat="1" ht="22.5" customHeight="1" x14ac:dyDescent="0.3">
      <c r="B29" s="8" t="s">
        <v>115</v>
      </c>
      <c r="C29" s="73" t="s">
        <v>46</v>
      </c>
      <c r="F29" s="495">
        <f>+K29/J29</f>
        <v>1.0705701614327832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+IFERROR(HLOOKUP($B29,'[1]12월누계'!$D$6:$BN$259,2,),)/1000</f>
        <v>259.99977397789297</v>
      </c>
      <c r="K29" s="56">
        <f>+IFERROR(HLOOKUP($C29,'[2]12월누계'!$F$6:$CP$99,2,),)/1000</f>
        <v>278.34800000000001</v>
      </c>
      <c r="L29" s="37">
        <f t="shared" si="0"/>
        <v>18.348226022107042</v>
      </c>
      <c r="M29" s="37">
        <f>+IFERROR(HLOOKUP($C29,'[3]12월누계'!$F$6:$CC$57,2,),)/1000</f>
        <v>238.35300000000001</v>
      </c>
      <c r="N29" s="57">
        <f t="shared" si="6"/>
        <v>39.995000000000005</v>
      </c>
      <c r="O29" s="55">
        <f>+IFERROR(HLOOKUP($B29,'[1]12월누계'!$D$6:$BN$259,3,),)/1000</f>
        <v>7457.3531898249357</v>
      </c>
      <c r="P29" s="56">
        <f>+IFERROR(HLOOKUP($C29,'[2]12월누계'!$F$6:$CP$99,3,),)/1000</f>
        <v>7928.5799530000004</v>
      </c>
      <c r="Q29" s="37">
        <f t="shared" si="7"/>
        <v>471.22676317506466</v>
      </c>
      <c r="R29" s="37">
        <f>+IFERROR(HLOOKUP($C29,'[3]12월누계'!$F$6:$CC$57,3,),)/1000</f>
        <v>6922.5480800000005</v>
      </c>
      <c r="S29" s="57">
        <f t="shared" si="8"/>
        <v>1006.0318729999999</v>
      </c>
      <c r="T29" s="55">
        <f>+IFERROR(HLOOKUP($B29,'[1]12월누계'!$D$6:$BN$259,21,),)/1000</f>
        <v>839.07689353023818</v>
      </c>
      <c r="U29" s="56">
        <f>+IFERROR(HLOOKUP($C29,'[2]12월누계'!$F$6:$CP$99,21,),)/1000</f>
        <v>132.86314722410032</v>
      </c>
      <c r="V29" s="37">
        <f t="shared" si="9"/>
        <v>-706.21374630613786</v>
      </c>
      <c r="W29" s="37">
        <f>+IFERROR(HLOOKUP($C29,'[3]12월누계'!$F$6:$CC$57,21,),)/1000</f>
        <v>339.72439163340852</v>
      </c>
      <c r="X29" s="57">
        <f t="shared" si="10"/>
        <v>-206.8612444093082</v>
      </c>
      <c r="Y29" s="497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9" s="8" customFormat="1" ht="22.5" customHeight="1" x14ac:dyDescent="0.3">
      <c r="B30" s="8" t="s">
        <v>116</v>
      </c>
      <c r="C30" s="75" t="s">
        <v>47</v>
      </c>
      <c r="F30" s="495">
        <f>+K30/J30</f>
        <v>0.50784096517799471</v>
      </c>
      <c r="G30" s="335" t="str">
        <f>+I30</f>
        <v>서부산CR</v>
      </c>
      <c r="H30" s="79"/>
      <c r="I30" s="75" t="s">
        <v>124</v>
      </c>
      <c r="J30" s="53">
        <f>+IFERROR(HLOOKUP($B30,'[1]12월누계'!$D$6:$BN$259,2,),)/1000</f>
        <v>580.0004729763441</v>
      </c>
      <c r="K30" s="58">
        <f>+IFERROR(HLOOKUP($C30,'[2]12월누계'!$F$6:$CP$99,2,),)/1000</f>
        <v>294.548</v>
      </c>
      <c r="L30" s="47">
        <f t="shared" si="0"/>
        <v>-285.4524729763441</v>
      </c>
      <c r="M30" s="47">
        <f>+IFERROR(HLOOKUP($C30,'[3]12월누계'!$F$6:$CC$57,2,),)/1000</f>
        <v>172.09200000000001</v>
      </c>
      <c r="N30" s="59">
        <f t="shared" si="6"/>
        <v>122.45599999999999</v>
      </c>
      <c r="O30" s="53">
        <f>+IFERROR(HLOOKUP($B30,'[1]12월누계'!$D$6:$BN$259,3,),)/1000</f>
        <v>8484.9984364881711</v>
      </c>
      <c r="P30" s="58">
        <f>+IFERROR(HLOOKUP($C30,'[2]12월누계'!$F$6:$CP$99,3,),)/1000</f>
        <v>4004.4859999999999</v>
      </c>
      <c r="Q30" s="47">
        <f t="shared" si="7"/>
        <v>-4480.5124364881713</v>
      </c>
      <c r="R30" s="47">
        <f>+IFERROR(HLOOKUP($C30,'[3]12월누계'!$F$6:$CC$57,3,),)/1000</f>
        <v>2413.663</v>
      </c>
      <c r="S30" s="59">
        <f t="shared" si="8"/>
        <v>1590.8229999999999</v>
      </c>
      <c r="T30" s="53">
        <f>+IFERROR(HLOOKUP($B30,'[1]12월누계'!$D$6:$BN$259,21,),)/1000</f>
        <v>1348.2154798806007</v>
      </c>
      <c r="U30" s="58">
        <f>+IFERROR(HLOOKUP($C30,'[2]12월누계'!$F$6:$CP$99,21,),)/1000</f>
        <v>3.020471791320626</v>
      </c>
      <c r="V30" s="47">
        <f t="shared" si="9"/>
        <v>-1345.19500808928</v>
      </c>
      <c r="W30" s="47">
        <f>+IFERROR(HLOOKUP($C30,'[3]12월누계'!$F$6:$CC$57,21,),)/1000</f>
        <v>-278.72642411398573</v>
      </c>
      <c r="X30" s="59">
        <f t="shared" si="10"/>
        <v>281.74689590530636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7"/>
      <c r="AL30" s="86"/>
    </row>
    <row r="31" spans="2:39" s="8" customFormat="1" ht="22.5" customHeight="1" x14ac:dyDescent="0.3">
      <c r="B31" s="8" t="s">
        <v>111</v>
      </c>
      <c r="C31" s="77" t="s">
        <v>111</v>
      </c>
      <c r="F31" s="495">
        <f>+K31/J31</f>
        <v>0.5945507510607313</v>
      </c>
      <c r="G31" s="335" t="str">
        <f>+I31</f>
        <v>부산CR</v>
      </c>
      <c r="H31" s="79"/>
      <c r="I31" s="77" t="s">
        <v>125</v>
      </c>
      <c r="J31" s="53">
        <f>+IFERROR(HLOOKUP($B31,'[1]12월누계'!$D$6:$BN$259,2,),)/1000</f>
        <v>359.99954523333327</v>
      </c>
      <c r="K31" s="58">
        <f>+IFERROR(HLOOKUP($C31,'[2]12월누계'!$F$6:$CP$99,2,),)/1000</f>
        <v>214.03800000000001</v>
      </c>
      <c r="L31" s="47">
        <f t="shared" si="0"/>
        <v>-145.96154523333325</v>
      </c>
      <c r="M31" s="47">
        <f>+IFERROR(HLOOKUP($C31,'[3]12월누계'!$F$6:$CC$57,2,),)/1000</f>
        <v>429.666</v>
      </c>
      <c r="N31" s="59">
        <f t="shared" si="6"/>
        <v>-215.62799999999999</v>
      </c>
      <c r="O31" s="53">
        <f>+IFERROR(HLOOKUP($B31,'[1]12월누계'!$D$6:$BN$259,3,),)/1000</f>
        <v>6141.6483437166662</v>
      </c>
      <c r="P31" s="58">
        <f>+IFERROR(HLOOKUP($C31,'[2]12월누계'!$F$6:$CP$99,3,),)/1000</f>
        <v>4127.2169999999996</v>
      </c>
      <c r="Q31" s="47">
        <f t="shared" si="7"/>
        <v>-2014.4313437166666</v>
      </c>
      <c r="R31" s="47">
        <f>+IFERROR(HLOOKUP($C31,'[3]12월누계'!$F$6:$CC$57,3,),)/1000</f>
        <v>7733.933</v>
      </c>
      <c r="S31" s="59">
        <f t="shared" si="8"/>
        <v>-3606.7160000000003</v>
      </c>
      <c r="T31" s="53">
        <f>+IFERROR(HLOOKUP($B31,'[1]12월누계'!$D$6:$BN$259,21,),)/1000</f>
        <v>29.965159068613691</v>
      </c>
      <c r="U31" s="58">
        <f>+IFERROR(HLOOKUP($C31,'[2]12월누계'!$F$6:$CP$99,21,),)/1000</f>
        <v>-1471.3559087599988</v>
      </c>
      <c r="V31" s="47">
        <f t="shared" si="9"/>
        <v>-1501.3210678286125</v>
      </c>
      <c r="W31" s="47">
        <f>+IFERROR(HLOOKUP($C31,'[3]12월누계'!$F$6:$CC$57,21,),)/1000</f>
        <v>-822.30434174999903</v>
      </c>
      <c r="X31" s="59">
        <f t="shared" si="10"/>
        <v>-649.05156700999976</v>
      </c>
      <c r="Y31" s="482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7"/>
      <c r="AL31" s="86"/>
    </row>
    <row r="32" spans="2:39" s="3" customFormat="1" ht="22.5" customHeight="1" x14ac:dyDescent="0.3">
      <c r="F32" s="495">
        <f>+K32/J32</f>
        <v>0.65577844689909359</v>
      </c>
      <c r="G32" s="338"/>
      <c r="H32" s="134" t="s">
        <v>33</v>
      </c>
      <c r="I32" s="135"/>
      <c r="J32" s="136">
        <f>SUM(J29:J31)</f>
        <v>1199.9997921875704</v>
      </c>
      <c r="K32" s="140">
        <f>SUM(K29:K31)</f>
        <v>786.93399999999997</v>
      </c>
      <c r="L32" s="138">
        <f t="shared" si="0"/>
        <v>-413.06579218757042</v>
      </c>
      <c r="M32" s="138">
        <f>SUM(M29:M31)</f>
        <v>840.1110000000001</v>
      </c>
      <c r="N32" s="139">
        <f t="shared" si="6"/>
        <v>-53.177000000000135</v>
      </c>
      <c r="O32" s="136">
        <f>SUM(O29:O31)</f>
        <v>22083.99997002977</v>
      </c>
      <c r="P32" s="140">
        <f>SUM(P29:P31)</f>
        <v>16060.282953000002</v>
      </c>
      <c r="Q32" s="138">
        <f t="shared" si="7"/>
        <v>-6023.7170170297686</v>
      </c>
      <c r="R32" s="138">
        <f>SUM(R29:R31)</f>
        <v>17070.144080000002</v>
      </c>
      <c r="S32" s="139">
        <f t="shared" si="8"/>
        <v>-1009.8611270000001</v>
      </c>
      <c r="T32" s="136">
        <f>SUM(T29:T31)</f>
        <v>2217.2575324794525</v>
      </c>
      <c r="U32" s="140">
        <f>SUM(U29:U31)</f>
        <v>-1335.4722897445779</v>
      </c>
      <c r="V32" s="138">
        <f t="shared" si="9"/>
        <v>-3552.7298222240306</v>
      </c>
      <c r="W32" s="138">
        <f>SUM(W29:W31)</f>
        <v>-761.30637423057624</v>
      </c>
      <c r="X32" s="139">
        <f t="shared" si="10"/>
        <v>-574.16591551400165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>+P32/O32</f>
        <v>0.72723614267322201</v>
      </c>
      <c r="AK32" s="483">
        <f>+P32/R32</f>
        <v>0.94084050361454241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(IFERROR(HLOOKUP($B33,'[1]12월누계'!$D$6:$BN$259,3,),)++IFERROR(HLOOKUP($C33,'[1]12월누계'!$D$6:$BN$259,3,),)+IFERROR(HLOOKUP($D33,'[1]12월누계'!$D$6:$BN$259,3,),))/1000</f>
        <v>872.52</v>
      </c>
      <c r="P33" s="46">
        <f>+IFERROR(HLOOKUP($E33,'[2]12월누계'!$F$6:$CP$99,3,),)/1000</f>
        <v>637.58000000000004</v>
      </c>
      <c r="Q33" s="48">
        <f t="shared" si="7"/>
        <v>-234.93999999999994</v>
      </c>
      <c r="R33" s="47">
        <f>+IFERROR(HLOOKUP($E33,'[3]12월누계'!$F$6:$CC$57,3,),)/1000</f>
        <v>1090.08</v>
      </c>
      <c r="S33" s="59">
        <f t="shared" si="8"/>
        <v>-452.49999999999989</v>
      </c>
      <c r="T33" s="45">
        <f>(IFERROR(HLOOKUP($B33,'[1]12월누계'!$D$6:$BN$259,21,),)++IFERROR(HLOOKUP($C33,'[1]12월누계'!$D$6:$BN$259,21,),)+IFERROR(HLOOKUP($D33,'[1]12월누계'!$D$6:$BN$259,21,),))/1000</f>
        <v>611.60172599999999</v>
      </c>
      <c r="U33" s="46">
        <f>+IFERROR(HLOOKUP($E33,'[2]12월누계'!$F$6:$CP$99,16,),)/1000</f>
        <v>352.04302099999995</v>
      </c>
      <c r="V33" s="48">
        <f t="shared" si="9"/>
        <v>-259.55870500000003</v>
      </c>
      <c r="W33" s="47">
        <f>+IFERROR(HLOOKUP($E33,'[3]12월누계'!$F$6:$CC$57,16,),)/1000</f>
        <v>771.41685800000005</v>
      </c>
      <c r="X33" s="59">
        <f t="shared" si="10"/>
        <v>-419.37383700000009</v>
      </c>
      <c r="Y33" s="479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3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4">+K34-M34</f>
        <v>0</v>
      </c>
      <c r="O34" s="45">
        <f>(+IFERROR(HLOOKUP($B34,'[1]12월누계'!$D$6:$BN$259,3,),)+IFERROR(HLOOKUP($C34,'[1]12월누계'!$D$6:$BN$259,3,),))/1000</f>
        <v>890.798</v>
      </c>
      <c r="P34" s="46">
        <f>+IFERROR(HLOOKUP($E34,'[2]12월누계'!$F$6:$CP$99,3,),)/1000</f>
        <v>885.19010100000003</v>
      </c>
      <c r="Q34" s="48">
        <f>+P34-O34</f>
        <v>-5.6078989999999749</v>
      </c>
      <c r="R34" s="47">
        <f>+IFERROR(HLOOKUP($E34,'[3]12월누계'!$F$6:$CC$57,3,),)/1000</f>
        <v>875.84246999999993</v>
      </c>
      <c r="S34" s="59">
        <f t="shared" si="8"/>
        <v>9.3476310000000922</v>
      </c>
      <c r="T34" s="45">
        <f>(+IFERROR(HLOOKUP($B34,'[1]12월누계'!$D$6:$BN$259,21,),)+IFERROR(HLOOKUP($C34,'[1]12월누계'!$D$6:$BN$259,21,),))/1000</f>
        <v>819.50177599999995</v>
      </c>
      <c r="U34" s="46">
        <f>+IFERROR(HLOOKUP($E34,'[2]12월누계'!$F$6:$CP$99,16,),)/1000</f>
        <v>813.49677200000008</v>
      </c>
      <c r="V34" s="48">
        <f t="shared" si="9"/>
        <v>-6.0050039999998717</v>
      </c>
      <c r="W34" s="47">
        <f>+IFERROR(HLOOKUP($E34,'[3]12월누계'!$F$6:$CC$57,16,),)/1000</f>
        <v>800.92318899999998</v>
      </c>
      <c r="X34" s="59">
        <f t="shared" si="10"/>
        <v>12.573583000000099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13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4"/>
        <v>0</v>
      </c>
      <c r="O35" s="45"/>
      <c r="P35" s="46"/>
      <c r="Q35" s="48">
        <f>+P35-O35</f>
        <v>0</v>
      </c>
      <c r="R35" s="47"/>
      <c r="S35" s="59">
        <f t="shared" si="8"/>
        <v>0</v>
      </c>
      <c r="T35" s="45">
        <f>-'[1]12월누계'!$Z$22/1000</f>
        <v>-17936.641743046304</v>
      </c>
      <c r="U35" s="46">
        <f>+-'[2]12월누계'!$Z$22/1000</f>
        <v>-18663.570334305532</v>
      </c>
      <c r="V35" s="48">
        <f t="shared" si="9"/>
        <v>-726.92859125922769</v>
      </c>
      <c r="W35" s="47">
        <f>+-'[3]12월누계'!$Z$22/1000</f>
        <v>-17443.479454768894</v>
      </c>
      <c r="X35" s="59">
        <f t="shared" si="10"/>
        <v>-1220.0908795366377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13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4"/>
        <v>0</v>
      </c>
      <c r="O36" s="45"/>
      <c r="P36" s="46"/>
      <c r="Q36" s="48">
        <f>+P36-O36</f>
        <v>0</v>
      </c>
      <c r="R36" s="47"/>
      <c r="S36" s="59">
        <f t="shared" si="8"/>
        <v>0</v>
      </c>
      <c r="T36" s="45"/>
      <c r="U36" s="46">
        <f>'[2]12월누계'!$BD$26/1000</f>
        <v>1257.4551000000001</v>
      </c>
      <c r="V36" s="48">
        <f t="shared" si="9"/>
        <v>1257.4551000000001</v>
      </c>
      <c r="W36" s="47">
        <f>'[3]12월누계'!$BD$26/1000</f>
        <v>1291.7882400000001</v>
      </c>
      <c r="X36" s="59">
        <f t="shared" si="10"/>
        <v>-34.333139999999958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7"/>
      <c r="AL36" s="86"/>
    </row>
    <row r="37" spans="2:38" s="8" customFormat="1" ht="22.5" customHeight="1" x14ac:dyDescent="0.3">
      <c r="D37"/>
      <c r="E37"/>
      <c r="F37"/>
      <c r="G37" s="334" t="str">
        <f t="shared" si="13"/>
        <v>대손</v>
      </c>
      <c r="H37" s="81"/>
      <c r="I37" s="82" t="s">
        <v>96</v>
      </c>
      <c r="J37" s="45"/>
      <c r="K37" s="46"/>
      <c r="L37" s="48"/>
      <c r="M37" s="47"/>
      <c r="N37" s="59">
        <f t="shared" si="14"/>
        <v>0</v>
      </c>
      <c r="O37" s="45"/>
      <c r="P37" s="46"/>
      <c r="Q37" s="48">
        <f>+P37-O37</f>
        <v>0</v>
      </c>
      <c r="R37" s="47"/>
      <c r="S37" s="59">
        <f t="shared" si="8"/>
        <v>0</v>
      </c>
      <c r="T37" s="45"/>
      <c r="U37" s="46">
        <f>'[2]12월누계'!$BE$26/1000</f>
        <v>-1684.3831099999998</v>
      </c>
      <c r="V37" s="48">
        <f t="shared" si="9"/>
        <v>-1684.3831099999998</v>
      </c>
      <c r="W37" s="47">
        <f>'[3]12월누계'!$BE$26/1000</f>
        <v>-254.34662400000002</v>
      </c>
      <c r="X37" s="59">
        <f t="shared" si="10"/>
        <v>-1430.0364859999997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7"/>
      <c r="AL37" s="86"/>
    </row>
    <row r="38" spans="2:38" s="8" customFormat="1" ht="22.5" customHeight="1" x14ac:dyDescent="0.3">
      <c r="D38"/>
      <c r="E38"/>
      <c r="F38"/>
      <c r="G38" s="334" t="str">
        <f t="shared" si="13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4"/>
        <v>0</v>
      </c>
      <c r="O38" s="45"/>
      <c r="P38" s="46"/>
      <c r="Q38" s="48">
        <f>+P38-O38</f>
        <v>0</v>
      </c>
      <c r="R38" s="47">
        <f>+IFERROR(HLOOKUP($I$38,'[3]12월누계'!$F$6:$BJ$50,3,),)/1000</f>
        <v>0</v>
      </c>
      <c r="S38" s="59">
        <f t="shared" si="8"/>
        <v>0</v>
      </c>
      <c r="T38" s="45">
        <f>SUM('[1]12월누계'!$AM$26:$AQ$26)/1000</f>
        <v>-318.02264400000001</v>
      </c>
      <c r="U38" s="46">
        <f>+'[2]12월누계'!$BF$26/1000</f>
        <v>-315.64204499999994</v>
      </c>
      <c r="V38" s="48">
        <f t="shared" si="9"/>
        <v>2.3805990000000747</v>
      </c>
      <c r="W38" s="47">
        <f>+'[3]12월누계'!$BF$26/1000</f>
        <v>-408.81052399999999</v>
      </c>
      <c r="X38" s="59">
        <f>+U38-W38</f>
        <v>93.168479000000048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7"/>
      <c r="AL38" s="86"/>
    </row>
    <row r="39" spans="2:38" s="8" customFormat="1" ht="22.5" customHeight="1" x14ac:dyDescent="0.3">
      <c r="B39" t="s">
        <v>30</v>
      </c>
      <c r="D39"/>
      <c r="G39" s="334" t="str">
        <f t="shared" si="13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+'[2]12월누계'!$BG$26/1000</f>
        <v>-759.34318890999998</v>
      </c>
      <c r="V39" s="48">
        <f t="shared" si="9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IFERROR(HLOOKUP($B39,'[1]12월누계'!$D$6:$BN$259,3,),)/1000</f>
        <v>21.24</v>
      </c>
      <c r="P40" s="46">
        <f>+('[2]12월누계'!$F$8-SUM('[2]12월누계'!$Z$8,'[2]12월누계'!$AH$8,'[2]12월누계'!$AN$8,'[2]12월누계'!$AO$8,'[2]12월누계'!$BA$8,'[2]12월누계'!$BD$8,'[2]12월누계'!$BE$8,'[2]12월누계'!$BF$8))/1000</f>
        <v>20.16505000001192</v>
      </c>
      <c r="Q40" s="54">
        <f>+P40-O40</f>
        <v>-1.0749499999880783</v>
      </c>
      <c r="R40" s="60">
        <f>+('[3]12월누계'!$F$8-SUM('[3]12월누계'!$Z$8,'[3]12월누계'!$AH$8,'[3]12월누계'!$AN$8,'[3]12월누계'!$AO$8,'[3]12월누계'!$BA$8,'[3]12월누계'!$BD$8,'[3]12월누계'!$BE$8,'[3]12월누계'!$BF$8))/1000</f>
        <v>20.98485000002384</v>
      </c>
      <c r="S40" s="61">
        <f>+P40-R40</f>
        <v>-0.8198000000119201</v>
      </c>
      <c r="T40" s="45">
        <f>+('[1]12월누계'!$E$26-'[1]12월누계'!$Z$26-'[1]12월누계'!$AA$26-'[1]12월누계'!$AE$26-'[1]12월누계'!$AL$26-'[1]12월누계'!$AM$26-'[1]12월누계'!$AN$26-'[1]12월누계'!$AO$26-'[1]12월누계'!$AP$26-'[1]12월누계'!$AQ$26-'[1]12월누계'!$AS$26)/1000+'[1]12월누계'!$AS$26/1000</f>
        <v>-845.16595600008782</v>
      </c>
      <c r="U40" s="46">
        <f>+('[2]12월누계'!$F$26-SUM('[2]12월누계'!$Z$26,'[2]12월누계'!$AH$26,'[2]12월누계'!$AN$26,'[2]12월누계'!$AO$26,'[2]12월누계'!$BA$26,'[2]12월누계'!$BD$26,'[2]12월누계'!$BE$26,'[2]12월누계'!$BF$26))/1000-U39</f>
        <v>-88.870117000045298</v>
      </c>
      <c r="V40" s="48">
        <f>+U40-T40</f>
        <v>756.29583900004252</v>
      </c>
      <c r="W40" s="60">
        <f>+('[3]12월누계'!$F$26-SUM('[3]12월누계'!$Z$26,'[3]12월누계'!$AH$26,'[3]12월누계'!$AN$26,'[3]12월누계'!$AO$26,'[3]12월누계'!$BA$26,'[3]12월누계'!$BD$26,'[3]12월누계'!$BE$26,'[3]12월누계'!$BF$26))/1000</f>
        <v>-216.4760410001129</v>
      </c>
      <c r="X40" s="59">
        <f>+U40-W40</f>
        <v>127.6059240000676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4"/>
        <v>0</v>
      </c>
      <c r="O41" s="136">
        <f>SUM(O33:O40)</f>
        <v>1784.558</v>
      </c>
      <c r="P41" s="137">
        <f>SUM(P33:P40)</f>
        <v>1542.935151000012</v>
      </c>
      <c r="Q41" s="141">
        <f t="shared" si="7"/>
        <v>-241.62284899998804</v>
      </c>
      <c r="R41" s="142">
        <f>SUM(R33:R40)</f>
        <v>1986.9073200000239</v>
      </c>
      <c r="S41" s="143">
        <f>+P41-R41</f>
        <v>-443.97216900001195</v>
      </c>
      <c r="T41" s="136">
        <f>SUM(T33:T40)</f>
        <v>-17668.726841046395</v>
      </c>
      <c r="U41" s="137">
        <f>SUM(U33:U40)</f>
        <v>-19088.813902215577</v>
      </c>
      <c r="V41" s="141">
        <f>+U41-T41</f>
        <v>-1420.0870611691826</v>
      </c>
      <c r="W41" s="142">
        <f>SUM(W33:W40)</f>
        <v>-15458.984356769008</v>
      </c>
      <c r="X41" s="143">
        <f>+U41-W41</f>
        <v>-3629.8295454465697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>+P41/O41</f>
        <v>0.86460353263946144</v>
      </c>
      <c r="AK41" s="483">
        <f>+P41/R41</f>
        <v>0.77655114331150255</v>
      </c>
    </row>
    <row r="42" spans="2:38" s="8" customFormat="1" ht="1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0.77134311922383336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510655.07581807877</v>
      </c>
      <c r="P43" s="280">
        <f>+P27+P32+P28+P41</f>
        <v>393890.27902899997</v>
      </c>
      <c r="Q43" s="281">
        <f t="shared" si="7"/>
        <v>-116764.7967890788</v>
      </c>
      <c r="R43" s="282">
        <f>+R27+R32+R28+R41</f>
        <v>462622.13722600002</v>
      </c>
      <c r="S43" s="283">
        <f>+P43-R43</f>
        <v>-68731.858197000052</v>
      </c>
      <c r="T43" s="279">
        <f>+T27+T32+T28+T41</f>
        <v>20003.083234579157</v>
      </c>
      <c r="U43" s="280">
        <f>+U27+U32+U28+U41</f>
        <v>-7765.9030019401707</v>
      </c>
      <c r="V43" s="281">
        <f>+U43-T43</f>
        <v>-27768.986236519326</v>
      </c>
      <c r="W43" s="282">
        <f>+W27+W32+W28+W41</f>
        <v>17317.751463010409</v>
      </c>
      <c r="X43" s="283">
        <f>+U43-W43</f>
        <v>-25083.654464950581</v>
      </c>
      <c r="Y43" s="657"/>
      <c r="Z43" s="658"/>
      <c r="AA43" s="658"/>
      <c r="AB43" s="658"/>
      <c r="AC43" s="658"/>
      <c r="AD43" s="658"/>
      <c r="AE43" s="658"/>
      <c r="AF43" s="658"/>
      <c r="AG43" s="659"/>
      <c r="AH43" s="25"/>
      <c r="AJ43" s="495">
        <f>+P43/O43</f>
        <v>0.77134311922383336</v>
      </c>
      <c r="AK43" s="483">
        <f>+P43/R43</f>
        <v>0.85142981135936613</v>
      </c>
    </row>
    <row r="44" spans="2:38" s="33" customFormat="1" x14ac:dyDescent="0.3">
      <c r="G44" s="336">
        <f>+U43/T43</f>
        <v>-0.38823529907206111</v>
      </c>
      <c r="K44" s="295">
        <f>+K28/J28</f>
        <v>0.78652140988372099</v>
      </c>
      <c r="L44" s="295"/>
      <c r="M44" s="295">
        <f>+K28/M28</f>
        <v>1.0291081440243963</v>
      </c>
      <c r="P44" s="295">
        <f>+P43/O43</f>
        <v>0.77134311922383336</v>
      </c>
      <c r="R44" s="295">
        <f>+P43/R43</f>
        <v>0.85142981135936613</v>
      </c>
      <c r="T44" s="295">
        <f>+T43/O43</f>
        <v>3.9171417619875512E-2</v>
      </c>
      <c r="U44" s="295">
        <f>+U43/P43</f>
        <v>-1.9715904188050321E-2</v>
      </c>
      <c r="V44" s="33">
        <f>+V43/100</f>
        <v>-277.68986236519328</v>
      </c>
      <c r="X44" s="33">
        <f>+X43/100</f>
        <v>-250.83654464950581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0.65577844689909359</v>
      </c>
      <c r="L45" s="295"/>
      <c r="M45" s="295">
        <f>+K32/M32</f>
        <v>0.9367024119431836</v>
      </c>
      <c r="AC45" s="34"/>
      <c r="AF45" s="34"/>
    </row>
    <row r="46" spans="2:38" s="33" customFormat="1" x14ac:dyDescent="0.3">
      <c r="G46" s="340"/>
      <c r="I46" s="654" t="s">
        <v>82</v>
      </c>
      <c r="J46" s="126">
        <f>+'[1]12월누계'!$Z$7/1000</f>
        <v>3330</v>
      </c>
      <c r="K46" s="127">
        <f>+'[2]12월누계'!$AI$7/1000</f>
        <v>2806.3473799999997</v>
      </c>
      <c r="L46" s="127"/>
      <c r="M46" s="127">
        <f>+'[3]12월누계'!$Z$7/1000</f>
        <v>3378.2280000000001</v>
      </c>
      <c r="N46" s="127"/>
      <c r="O46" s="127">
        <f>+'[1]12월누계'!$E$8/1000</f>
        <v>510655.07581807883</v>
      </c>
      <c r="P46" s="127">
        <f>+'[2]12월누계'!$F$8/1000</f>
        <v>393890.27902899997</v>
      </c>
      <c r="Q46" s="127"/>
      <c r="R46" s="127">
        <f>+'[3]12월누계'!$F$8/1000</f>
        <v>462622.13722599996</v>
      </c>
      <c r="S46" s="127"/>
      <c r="T46" s="132">
        <f>+'[1]12월누계'!$E$26/1000</f>
        <v>20003.08323457919</v>
      </c>
      <c r="U46" s="127">
        <f>+'[2]12월누계'!$F$26/1000</f>
        <v>-7765.9030019401707</v>
      </c>
      <c r="V46" s="127"/>
      <c r="W46" s="127">
        <f>+'[3]12월누계'!$F$26/1000</f>
        <v>17317.751463010401</v>
      </c>
      <c r="X46" s="128"/>
      <c r="AC46" s="34"/>
      <c r="AF46" s="34"/>
    </row>
    <row r="47" spans="2:38" s="33" customFormat="1" ht="17.25" thickBot="1" x14ac:dyDescent="0.35">
      <c r="G47" s="340"/>
      <c r="I47" s="654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3.2741809263825417E-11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360512.6438180788</v>
      </c>
      <c r="P49" s="492">
        <f>+P43-P28</f>
        <v>294709.13290099998</v>
      </c>
      <c r="Q49" s="492">
        <f>+P49-O49</f>
        <v>-65803.51091707882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3605.1264381807878</v>
      </c>
      <c r="P50" s="492">
        <f>+P49/100</f>
        <v>2947.0913290099998</v>
      </c>
      <c r="Q50" s="492">
        <f>+P50-O50</f>
        <v>-658.03510917078802</v>
      </c>
      <c r="S50" t="s">
        <v>40</v>
      </c>
      <c r="T50" s="236">
        <f>(+T27+T35)/100</f>
        <v>149.9494620267582</v>
      </c>
      <c r="U50" s="236">
        <f>(+U27+U35)/100</f>
        <v>-58.874190682855335</v>
      </c>
      <c r="V50" s="236">
        <f>+U50-T50</f>
        <v>-208.82365270961353</v>
      </c>
      <c r="W50" s="235">
        <f>+U50/T50-1</f>
        <v>-1.3926268883335462</v>
      </c>
      <c r="AC50" s="34"/>
      <c r="AD50" s="33"/>
      <c r="AE50" s="33"/>
      <c r="AF50" s="34"/>
    </row>
    <row r="51" spans="10:33" x14ac:dyDescent="0.3">
      <c r="Q51" s="235">
        <f>+P50/O50</f>
        <v>0.81747239092594914</v>
      </c>
      <c r="S51" t="s">
        <v>1</v>
      </c>
      <c r="T51" s="6">
        <f>+T32/100</f>
        <v>22.172575324794526</v>
      </c>
      <c r="U51" s="6">
        <f>+U32/100</f>
        <v>-13.354722897445779</v>
      </c>
      <c r="V51" s="236">
        <f>+U51-T51</f>
        <v>-35.527298222240304</v>
      </c>
      <c r="Y51" s="228" t="s">
        <v>216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14.311035019999998</v>
      </c>
      <c r="U52" s="6">
        <f>(U33+U34)/100</f>
        <v>11.655397929999999</v>
      </c>
      <c r="V52" s="294">
        <f>+U52-T52</f>
        <v>-2.655637089999999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-11.631886000000573</v>
      </c>
      <c r="U53" s="236">
        <f>((U46-U28)/100)-U50-U51-U52</f>
        <v>-15.90783360910044</v>
      </c>
      <c r="V53" s="236">
        <f>+U53-T53</f>
        <v>-4.275947609099866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2.679149019999425</v>
      </c>
      <c r="U54" s="236">
        <f>SUM(U52:U53)</f>
        <v>-4.2524356791004401</v>
      </c>
      <c r="V54" s="236">
        <f>SUM(V52:V53)</f>
        <v>-6.9315846990998651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174.80118637155215</v>
      </c>
      <c r="U55" s="236">
        <f>SUM(U50:U53)</f>
        <v>-76.481349259401554</v>
      </c>
      <c r="V55" s="236">
        <f>+U55-T55</f>
        <v>-251.2825356309537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1199999.7921875704</v>
      </c>
      <c r="K57" s="236">
        <f>+K32*1000</f>
        <v>786934</v>
      </c>
      <c r="L57" s="236">
        <f>+K57-J57</f>
        <v>-413065.79218757036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22.172575324794526</v>
      </c>
      <c r="K58" s="294">
        <f>+U32/100</f>
        <v>-13.354722897445779</v>
      </c>
      <c r="L58" s="294">
        <f>+K58-J58</f>
        <v>-35.527298222240304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14.311035019999998</v>
      </c>
      <c r="U58" s="294">
        <f>+(U33+U34)/100</f>
        <v>11.655397929999999</v>
      </c>
      <c r="V58" s="236">
        <f>+U58-T58</f>
        <v>-2.655637089999999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5">+T36/100</f>
        <v>0</v>
      </c>
      <c r="U59" s="236">
        <f t="shared" si="15"/>
        <v>12.574551000000001</v>
      </c>
      <c r="V59" s="236">
        <f>+U59-T59</f>
        <v>12.574551000000001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5"/>
        <v>0</v>
      </c>
      <c r="U60" s="236">
        <f t="shared" si="15"/>
        <v>-16.843831099999999</v>
      </c>
      <c r="V60" s="236">
        <f>+U60-T60</f>
        <v>-16.843831099999999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5"/>
        <v>-3.1802264400000002</v>
      </c>
      <c r="U61" s="236">
        <f t="shared" si="15"/>
        <v>-3.1564204499999993</v>
      </c>
      <c r="V61" s="236">
        <f>+U61-T61</f>
        <v>2.3805990000000943E-2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-8.4516595600008788</v>
      </c>
      <c r="U62" s="236">
        <f>+U40/100</f>
        <v>-0.88870117000045301</v>
      </c>
      <c r="V62" s="236">
        <f>+U62-T62</f>
        <v>7.5629583900004258</v>
      </c>
      <c r="AC62" s="236"/>
      <c r="AD62" s="236"/>
      <c r="AE62" s="236"/>
    </row>
    <row r="63" spans="10:33" x14ac:dyDescent="0.3">
      <c r="T63" s="6">
        <f>SUM(T58:T62)</f>
        <v>2.6791490199991195</v>
      </c>
      <c r="U63" s="6">
        <f>SUM(U58:U62)</f>
        <v>3.3409962099995481</v>
      </c>
      <c r="V63" s="6">
        <f>SUM(V58:V62)</f>
        <v>0.66184719000043035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U66" s="6"/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267.91490199991199</v>
      </c>
      <c r="U69" s="6">
        <f>SUM(U33:U34,U36,U38:U39,U40,Z37)</f>
        <v>1259.1395420899548</v>
      </c>
      <c r="V69" s="6">
        <f>+U69-T69</f>
        <v>991.22464009004284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17480.118637155181</v>
      </c>
      <c r="U71" s="492">
        <f>+U43-U28</f>
        <v>-7648.134925940155</v>
      </c>
      <c r="V71" s="492">
        <f>+U71-T71</f>
        <v>-25128.253563095335</v>
      </c>
      <c r="AC71" s="236"/>
      <c r="AE71" s="236"/>
    </row>
    <row r="72" spans="20:31" x14ac:dyDescent="0.3">
      <c r="T72" s="492">
        <f>+T71/100</f>
        <v>174.80118637155181</v>
      </c>
      <c r="U72" s="492">
        <f>+U71/100</f>
        <v>-76.481349259401554</v>
      </c>
      <c r="V72" s="492">
        <f>+U72-T72</f>
        <v>-251.28253563095336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-5204.408627030155</v>
      </c>
      <c r="AC75" s="236"/>
      <c r="AE75" s="236"/>
    </row>
    <row r="76" spans="20:31" x14ac:dyDescent="0.3">
      <c r="U76" s="492">
        <f>+U75/100</f>
        <v>-52.044086270301548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34998626667073579"/>
    <pageSetUpPr fitToPage="1"/>
  </sheetPr>
  <dimension ref="A1:AQ77"/>
  <sheetViews>
    <sheetView showGridLines="0" showZeros="0" topLeftCell="E19" zoomScale="85" zoomScaleNormal="85" zoomScaleSheetLayoutView="85" workbookViewId="0">
      <selection activeCell="I48" sqref="I48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223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51" t="s">
        <v>11</v>
      </c>
      <c r="I5" s="65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139</v>
      </c>
      <c r="G6" s="334"/>
      <c r="H6" s="653"/>
      <c r="I6" s="65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F7" s="495">
        <f>+K7/J7</f>
        <v>0.76382926829268294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+IFERROR(HLOOKUP($B7,'[1]12월'!$D$6:$BN$259,2,),)/1000</f>
        <v>41</v>
      </c>
      <c r="K7" s="36">
        <f>+IFERROR(HLOOKUP($B7,'[2]12월'!$F$6:$CP$99,2,),)/1000</f>
        <v>31.317</v>
      </c>
      <c r="L7" s="37">
        <f t="shared" ref="L7:L31" si="0">+K7-J7</f>
        <v>-9.6829999999999998</v>
      </c>
      <c r="M7" s="38">
        <f>+IFERROR(HLOOKUP($B7,'[3]12월'!$F$6:$CC$57,2,),)/1000</f>
        <v>34.67</v>
      </c>
      <c r="N7" s="39">
        <f>+K7-M7</f>
        <v>-3.3530000000000015</v>
      </c>
      <c r="O7" s="35">
        <f>+IFERROR(HLOOKUP($B7,'[1]12월'!$D$6:$BN$259,3,),)/1000</f>
        <v>4252.2907699999996</v>
      </c>
      <c r="P7" s="36">
        <f>+IFERROR(HLOOKUP($B7,'[2]12월'!$F$6:$CP$99,3,),)/1000</f>
        <v>3194.0082189999998</v>
      </c>
      <c r="Q7" s="37">
        <f>+P7-O7</f>
        <v>-1058.2825509999998</v>
      </c>
      <c r="R7" s="38">
        <f>+IFERROR(HLOOKUP($B7,'[3]12월'!$F$6:$CC$57,3,),)/1000</f>
        <v>3342.2601409999997</v>
      </c>
      <c r="S7" s="39">
        <f>+P7-R7</f>
        <v>-148.25192199999992</v>
      </c>
      <c r="T7" s="35">
        <f>+IFERROR(HLOOKUP($B7,'[1]12월'!$D$6:$BN$259,16,),)/1000</f>
        <v>565.37707908205834</v>
      </c>
      <c r="U7" s="36">
        <f>+IFERROR(HLOOKUP($B7,'[2]12월'!$F$6:$CP$99,16,),)/1000</f>
        <v>188.842555</v>
      </c>
      <c r="V7" s="40">
        <f>+U7-T7</f>
        <v>-376.53452408205834</v>
      </c>
      <c r="W7" s="41">
        <f>+IFERROR(HLOOKUP($B7,'[3]12월'!$F$6:$CC$57,16,),)/1000</f>
        <v>51.528149000000077</v>
      </c>
      <c r="X7" s="39">
        <f>+U7-W7</f>
        <v>137.31440599999993</v>
      </c>
      <c r="Y7" s="35">
        <f>+[4]안양!$Q$85</f>
        <v>103714.40902439023</v>
      </c>
      <c r="Z7" s="36">
        <f>+[4]안양!$R$85</f>
        <v>101989.59731136443</v>
      </c>
      <c r="AA7" s="42">
        <f>+[5]안양!$Q$85</f>
        <v>96402.08079030861</v>
      </c>
      <c r="AB7" s="43">
        <f>+[4]안양!$Q$89</f>
        <v>82971.278097850838</v>
      </c>
      <c r="AC7" s="36">
        <f>+[4]안양!$R$89</f>
        <v>84587.480836125746</v>
      </c>
      <c r="AD7" s="44">
        <f>+[5]안양!$Q$89</f>
        <v>82908.853609317346</v>
      </c>
      <c r="AE7" s="43">
        <f>+Y7-AB7</f>
        <v>20743.130926539394</v>
      </c>
      <c r="AF7" s="36">
        <f>+Z7-AC7</f>
        <v>17402.116475238683</v>
      </c>
      <c r="AG7" s="44">
        <f>+AA7-AD7</f>
        <v>13493.227180991264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F8" s="495">
        <f t="shared" ref="F8:F23" si="1">+K8/J8</f>
        <v>0.98359375000000004</v>
      </c>
      <c r="G8" s="336" t="str">
        <f t="shared" ref="G8:G26" si="2">+I8</f>
        <v>인천</v>
      </c>
      <c r="H8" s="74" t="s">
        <v>41</v>
      </c>
      <c r="I8" s="75" t="s">
        <v>19</v>
      </c>
      <c r="J8" s="45">
        <f>+IFERROR(HLOOKUP($B8,'[1]12월'!$D$6:$BN$259,2,),)/1000</f>
        <v>32</v>
      </c>
      <c r="K8" s="46">
        <f>+IFERROR(HLOOKUP($B8,'[2]12월'!$F$6:$CP$99,2,),)/1000</f>
        <v>31.475000000000001</v>
      </c>
      <c r="L8" s="47">
        <f t="shared" si="0"/>
        <v>-0.52499999999999858</v>
      </c>
      <c r="M8" s="48">
        <f>+IFERROR(HLOOKUP($B8,'[3]12월'!$F$6:$CC$57,2,),)/1000</f>
        <v>30.361999999999998</v>
      </c>
      <c r="N8" s="49">
        <f t="shared" ref="N8:N31" si="3">+K8-M8</f>
        <v>1.1130000000000031</v>
      </c>
      <c r="O8" s="45">
        <f>+IFERROR(HLOOKUP($B8,'[1]12월'!$D$6:$BN$259,3,),)/1000</f>
        <v>3312.3507451580795</v>
      </c>
      <c r="P8" s="46">
        <f>+IFERROR(HLOOKUP($B8,'[2]12월'!$F$6:$CP$99,3,),)/1000</f>
        <v>3110.8678020000002</v>
      </c>
      <c r="Q8" s="47">
        <f t="shared" ref="Q8:Q42" si="4">+P8-O8</f>
        <v>-201.48294315807925</v>
      </c>
      <c r="R8" s="48">
        <f>+IFERROR(HLOOKUP($B8,'[3]12월'!$F$6:$CC$57,3,),)/1000</f>
        <v>2969.3943920000002</v>
      </c>
      <c r="S8" s="49">
        <f t="shared" ref="S8:S37" si="5">+P8-R8</f>
        <v>141.47341000000006</v>
      </c>
      <c r="T8" s="45">
        <f>+IFERROR(HLOOKUP($B8,'[1]12월'!$D$6:$BN$259,16,),)/1000</f>
        <v>335.03111748068665</v>
      </c>
      <c r="U8" s="46">
        <f>+IFERROR(HLOOKUP($B8,'[2]12월'!$F$6:$CP$99,16,),)/1000</f>
        <v>-60.530204999999917</v>
      </c>
      <c r="V8" s="47">
        <f t="shared" ref="V8:V38" si="6">+U8-T8</f>
        <v>-395.56132248068656</v>
      </c>
      <c r="W8" s="48">
        <f>+IFERROR(HLOOKUP($B8,'[3]12월'!$F$6:$CC$57,16,),)/1000</f>
        <v>-49.541219999999576</v>
      </c>
      <c r="X8" s="49">
        <f t="shared" ref="X8:X36" si="7">+U8-W8</f>
        <v>-10.988985000000341</v>
      </c>
      <c r="Y8" s="45">
        <f>+[4]인천!$Q$85</f>
        <v>103510.96078618999</v>
      </c>
      <c r="Z8" s="46">
        <f>+[4]인천!$R$85</f>
        <v>98884.465245597778</v>
      </c>
      <c r="AA8" s="50">
        <f>+[5]인천!$Q$85</f>
        <v>97799.696726170863</v>
      </c>
      <c r="AB8" s="51">
        <f>+[4]인천!$Q$89</f>
        <v>84269.957085743808</v>
      </c>
      <c r="AC8" s="46">
        <f>+[4]인천!$R$89</f>
        <v>89818.638756820583</v>
      </c>
      <c r="AD8" s="52">
        <f>+[5]인천!$Q$89</f>
        <v>86503.734509778093</v>
      </c>
      <c r="AE8" s="51">
        <f t="shared" ref="AE8:AG27" si="8">+Y8-AB8</f>
        <v>19241.003700446177</v>
      </c>
      <c r="AF8" s="46">
        <f t="shared" si="8"/>
        <v>9065.8264887771948</v>
      </c>
      <c r="AG8" s="52">
        <f t="shared" si="8"/>
        <v>11295.962216392771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F9" s="495">
        <f t="shared" si="1"/>
        <v>0.65057142857142858</v>
      </c>
      <c r="G9" s="336" t="str">
        <f t="shared" si="2"/>
        <v>파주</v>
      </c>
      <c r="H9" s="74"/>
      <c r="I9" s="75" t="s">
        <v>20</v>
      </c>
      <c r="J9" s="45">
        <f>+IFERROR(HLOOKUP($B9,'[1]12월'!$D$6:$BN$259,2,),)/1000</f>
        <v>21</v>
      </c>
      <c r="K9" s="46">
        <f>+IFERROR(HLOOKUP($B9,'[2]12월'!$F$6:$CP$99,2,),)/1000</f>
        <v>13.662000000000001</v>
      </c>
      <c r="L9" s="47">
        <f t="shared" si="0"/>
        <v>-7.3379999999999992</v>
      </c>
      <c r="M9" s="48">
        <f>+IFERROR(HLOOKUP($B9,'[3]12월'!$F$6:$CC$57,2,),)/1000</f>
        <v>16.303000000000001</v>
      </c>
      <c r="N9" s="49">
        <f t="shared" si="3"/>
        <v>-2.641</v>
      </c>
      <c r="O9" s="45">
        <f>+IFERROR(HLOOKUP($B9,'[1]12월'!$D$6:$BN$259,3,),)/1000</f>
        <v>1999.4837390000009</v>
      </c>
      <c r="P9" s="46">
        <f>+IFERROR(HLOOKUP($B9,'[2]12월'!$F$6:$CP$99,3,),)/1000</f>
        <v>1345.027</v>
      </c>
      <c r="Q9" s="47">
        <f t="shared" si="4"/>
        <v>-654.45673900000088</v>
      </c>
      <c r="R9" s="48">
        <f>+IFERROR(HLOOKUP($B9,'[3]12월'!$F$6:$CC$57,3,),)/1000</f>
        <v>1513.0633400000002</v>
      </c>
      <c r="S9" s="49">
        <f t="shared" si="5"/>
        <v>-168.03634000000011</v>
      </c>
      <c r="T9" s="45">
        <f>+IFERROR(HLOOKUP($B9,'[1]12월'!$D$6:$BN$259,16,),)/1000</f>
        <v>89.794589357558166</v>
      </c>
      <c r="U9" s="46">
        <f>+IFERROR(HLOOKUP($B9,'[2]12월'!$F$6:$CP$99,16,),)/1000</f>
        <v>-96.411095999999773</v>
      </c>
      <c r="V9" s="47">
        <f t="shared" si="6"/>
        <v>-186.20568535755794</v>
      </c>
      <c r="W9" s="48">
        <f>+IFERROR(HLOOKUP($B9,'[3]12월'!$F$6:$CC$57,16,),)/1000</f>
        <v>-160.22942599999993</v>
      </c>
      <c r="X9" s="49">
        <f t="shared" si="7"/>
        <v>63.818330000000159</v>
      </c>
      <c r="Y9" s="45">
        <f>+[4]파주!$Q$85</f>
        <v>95213.511380952419</v>
      </c>
      <c r="Z9" s="46">
        <f>+[4]파주!$R$85</f>
        <v>98582.894736842092</v>
      </c>
      <c r="AA9" s="50">
        <f>+[5]파주!$Q$85</f>
        <v>92808.890388272106</v>
      </c>
      <c r="AB9" s="51">
        <f>+[4]파주!$Q$89</f>
        <v>80317.166879882265</v>
      </c>
      <c r="AC9" s="46">
        <f>+[4]파주!$R$89</f>
        <v>90468.019884683628</v>
      </c>
      <c r="AD9" s="52">
        <f>+[5]파주!$Q$89</f>
        <v>85217.768692878613</v>
      </c>
      <c r="AE9" s="51">
        <f t="shared" si="8"/>
        <v>14896.344501070154</v>
      </c>
      <c r="AF9" s="46">
        <f t="shared" si="8"/>
        <v>8114.8748521584639</v>
      </c>
      <c r="AG9" s="52">
        <f t="shared" si="8"/>
        <v>7591.1216953934927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F10" s="495">
        <f t="shared" si="1"/>
        <v>0.78820400000000002</v>
      </c>
      <c r="G10" s="336" t="str">
        <f t="shared" si="2"/>
        <v>김포</v>
      </c>
      <c r="H10" s="74"/>
      <c r="I10" s="75" t="s">
        <v>108</v>
      </c>
      <c r="J10" s="45">
        <f>+IFERROR(HLOOKUP($B10,'[1]12월'!$D$6:$BN$259,2,),)/1000</f>
        <v>15</v>
      </c>
      <c r="K10" s="46">
        <f>+IFERROR(HLOOKUP($B10,'[2]12월'!$F$6:$CP$99,2,),)/1000</f>
        <v>11.82306</v>
      </c>
      <c r="L10" s="47">
        <f t="shared" si="0"/>
        <v>-3.1769400000000001</v>
      </c>
      <c r="M10" s="48">
        <f>+IFERROR(HLOOKUP($B10,'[3]12월'!$F$6:$CC$57,2,),)/1000</f>
        <v>13.4185</v>
      </c>
      <c r="N10" s="49">
        <f t="shared" si="3"/>
        <v>-1.59544</v>
      </c>
      <c r="O10" s="45">
        <f>+IFERROR(HLOOKUP($B10,'[1]12월'!$D$6:$BN$259,3,),)/1000</f>
        <v>1430.3969999999999</v>
      </c>
      <c r="P10" s="46">
        <f>+IFERROR(HLOOKUP($B10,'[2]12월'!$F$6:$CP$99,3,),)/1000</f>
        <v>1164.7950079999998</v>
      </c>
      <c r="Q10" s="47">
        <f t="shared" si="4"/>
        <v>-265.60199200000011</v>
      </c>
      <c r="R10" s="48">
        <f>+IFERROR(HLOOKUP($B10,'[3]12월'!$F$6:$CC$57,3,),)/1000</f>
        <v>1247.6161459999998</v>
      </c>
      <c r="S10" s="49">
        <f t="shared" si="5"/>
        <v>-82.821138000000019</v>
      </c>
      <c r="T10" s="45">
        <f>+IFERROR(HLOOKUP($B10,'[1]12월'!$D$6:$BN$259,16,),)/1000</f>
        <v>122.15245846814831</v>
      </c>
      <c r="U10" s="46">
        <f>+IFERROR(HLOOKUP($B10,'[2]12월'!$F$6:$CP$99,16,),)/1000</f>
        <v>-39.531495999999969</v>
      </c>
      <c r="V10" s="47">
        <f t="shared" si="6"/>
        <v>-161.68395446814827</v>
      </c>
      <c r="W10" s="48">
        <f>+IFERROR(HLOOKUP($B10,'[3]12월'!$F$6:$CC$57,16,),)/1000</f>
        <v>-46.293550000000153</v>
      </c>
      <c r="X10" s="49">
        <f t="shared" si="7"/>
        <v>6.7620540000001839</v>
      </c>
      <c r="Y10" s="45">
        <f>+[4]김포!$Q$85</f>
        <v>95359.8</v>
      </c>
      <c r="Z10" s="46">
        <f>+[4]김포!$R$85</f>
        <v>98518.912024467441</v>
      </c>
      <c r="AA10" s="50">
        <f>+[5]김포!$Q$85</f>
        <v>93010.902870831298</v>
      </c>
      <c r="AB10" s="51">
        <f>+[4]김포!$Q$89</f>
        <v>76510.559472493798</v>
      </c>
      <c r="AC10" s="46">
        <f>+[4]김포!$R$89</f>
        <v>84962.316354649302</v>
      </c>
      <c r="AD10" s="52">
        <f>+[5]김포!$Q$89</f>
        <v>79168.533039153364</v>
      </c>
      <c r="AE10" s="51">
        <f t="shared" si="8"/>
        <v>18849.240527506205</v>
      </c>
      <c r="AF10" s="46">
        <f t="shared" si="8"/>
        <v>13556.59566981814</v>
      </c>
      <c r="AG10" s="52">
        <f t="shared" si="8"/>
        <v>13842.369831677934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F11" s="495">
        <f t="shared" si="1"/>
        <v>1.0118636363636364</v>
      </c>
      <c r="G11" s="334" t="str">
        <f t="shared" si="2"/>
        <v>부산</v>
      </c>
      <c r="H11" s="74"/>
      <c r="I11" s="76" t="s">
        <v>21</v>
      </c>
      <c r="J11" s="62">
        <f>+IFERROR(HLOOKUP($B11,'[1]12월'!$D$6:$BN$259,2,),)/1000</f>
        <v>22</v>
      </c>
      <c r="K11" s="63">
        <f>+IFERROR(HLOOKUP($B11,'[2]12월'!$F$6:$CP$99,2,),)/1000</f>
        <v>22.260999999999999</v>
      </c>
      <c r="L11" s="64">
        <f t="shared" si="0"/>
        <v>0.26099999999999923</v>
      </c>
      <c r="M11" s="65">
        <f>+IFERROR(HLOOKUP($B11,'[3]12월'!$F$6:$CC$57,2,),)/1000</f>
        <v>17.338999999999999</v>
      </c>
      <c r="N11" s="66">
        <f t="shared" si="3"/>
        <v>4.9220000000000006</v>
      </c>
      <c r="O11" s="62">
        <f>+IFERROR(HLOOKUP($B11,'[1]12월'!$D$6:$BN$259,3,),)/1000</f>
        <v>2369.3976696199998</v>
      </c>
      <c r="P11" s="63">
        <f>+IFERROR(HLOOKUP($B11,'[2]12월'!$F$6:$CP$99,3,),)/1000</f>
        <v>2428.6556</v>
      </c>
      <c r="Q11" s="64">
        <f t="shared" si="4"/>
        <v>59.257930380000289</v>
      </c>
      <c r="R11" s="65">
        <f>+IFERROR(HLOOKUP($B11,'[3]12월'!$F$6:$CC$57,3,),)/1000</f>
        <v>1980.4694</v>
      </c>
      <c r="S11" s="66">
        <f t="shared" si="5"/>
        <v>448.1862000000001</v>
      </c>
      <c r="T11" s="62">
        <f>+IFERROR(HLOOKUP($B11,'[1]12월'!$D$6:$BN$259,16,),)/1000</f>
        <v>231.81376635499586</v>
      </c>
      <c r="U11" s="63">
        <f>+IFERROR(HLOOKUP($B11,'[2]12월'!$F$6:$CP$99,16,),)/1000</f>
        <v>159.61886399999997</v>
      </c>
      <c r="V11" s="64">
        <f t="shared" si="6"/>
        <v>-72.194902354995889</v>
      </c>
      <c r="W11" s="65">
        <f>+IFERROR(HLOOKUP($B11,'[3]12월'!$F$6:$CC$57,16,),)/1000</f>
        <v>92.183808999999954</v>
      </c>
      <c r="X11" s="66">
        <f t="shared" si="7"/>
        <v>67.43505500000002</v>
      </c>
      <c r="Y11" s="62">
        <f>+[4]부산!$Q$85</f>
        <v>107699.89407363636</v>
      </c>
      <c r="Z11" s="63">
        <f>+[4]부산!$R$85</f>
        <v>109099.12402857015</v>
      </c>
      <c r="AA11" s="67">
        <f>+[5]부산!$Q$85</f>
        <v>114220.50867985465</v>
      </c>
      <c r="AB11" s="68">
        <f>+[4]부산!$Q$89</f>
        <v>85882.675514835501</v>
      </c>
      <c r="AC11" s="63">
        <f>+[4]부산!$R$89</f>
        <v>90355.72510890555</v>
      </c>
      <c r="AD11" s="69">
        <f>+[5]부산!$Q$89</f>
        <v>90394.221158835397</v>
      </c>
      <c r="AE11" s="68">
        <f t="shared" si="8"/>
        <v>21817.218558800858</v>
      </c>
      <c r="AF11" s="63">
        <f t="shared" si="8"/>
        <v>18743.3989196646</v>
      </c>
      <c r="AG11" s="69">
        <f t="shared" si="8"/>
        <v>23826.287521019258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F12" s="495">
        <f t="shared" si="1"/>
        <v>0.8288695652173913</v>
      </c>
      <c r="G12" s="334" t="str">
        <f t="shared" si="2"/>
        <v>서부산</v>
      </c>
      <c r="H12" s="74"/>
      <c r="I12" s="75" t="s">
        <v>22</v>
      </c>
      <c r="J12" s="45">
        <f>+IFERROR(HLOOKUP($B12,'[1]12월'!$D$6:$BN$259,2,),)/1000</f>
        <v>23</v>
      </c>
      <c r="K12" s="46">
        <f>+IFERROR(HLOOKUP($B12,'[2]12월'!$F$6:$CP$99,2,),)/1000</f>
        <v>19.064</v>
      </c>
      <c r="L12" s="47">
        <f t="shared" si="0"/>
        <v>-3.9359999999999999</v>
      </c>
      <c r="M12" s="48">
        <f>+IFERROR(HLOOKUP($B12,'[3]12월'!$F$6:$CC$57,2,),)/1000</f>
        <v>24.067</v>
      </c>
      <c r="N12" s="49">
        <f t="shared" si="3"/>
        <v>-5.0030000000000001</v>
      </c>
      <c r="O12" s="45">
        <f>+IFERROR(HLOOKUP($B12,'[1]12월'!$D$6:$BN$259,3,),)/1000</f>
        <v>2283.8890239999992</v>
      </c>
      <c r="P12" s="46">
        <f>+IFERROR(HLOOKUP($B12,'[2]12월'!$F$6:$CP$99,3,),)/1000</f>
        <v>1993.4114999999999</v>
      </c>
      <c r="Q12" s="47">
        <f t="shared" si="4"/>
        <v>-290.47752399999922</v>
      </c>
      <c r="R12" s="48">
        <f>+IFERROR(HLOOKUP($B12,'[3]12월'!$F$6:$CC$57,3,),)/1000</f>
        <v>2361.636</v>
      </c>
      <c r="S12" s="49">
        <f t="shared" si="5"/>
        <v>-368.22450000000003</v>
      </c>
      <c r="T12" s="45">
        <f>+IFERROR(HLOOKUP($B12,'[1]12월'!$D$6:$BN$259,16,),)/1000</f>
        <v>266.46367609336534</v>
      </c>
      <c r="U12" s="46">
        <f>+IFERROR(HLOOKUP($B12,'[2]12월'!$F$6:$CP$99,16,),)/1000</f>
        <v>119.86851599999997</v>
      </c>
      <c r="V12" s="47">
        <f t="shared" si="6"/>
        <v>-146.59516009336537</v>
      </c>
      <c r="W12" s="48">
        <f>+IFERROR(HLOOKUP($B12,'[3]12월'!$F$6:$CC$57,16,),)/1000</f>
        <v>163.09231399999985</v>
      </c>
      <c r="X12" s="49">
        <f t="shared" si="7"/>
        <v>-43.223797999999874</v>
      </c>
      <c r="Y12" s="45">
        <f>+[4]서부산!$Q$85</f>
        <v>99299.522782608663</v>
      </c>
      <c r="Z12" s="46">
        <f>+[4]서부산!$R$85</f>
        <v>104564.17855644146</v>
      </c>
      <c r="AA12" s="50">
        <f>+[5]서부산!$Q$85</f>
        <v>98127.560560103055</v>
      </c>
      <c r="AB12" s="51">
        <f>+[4]서부산!$Q$89</f>
        <v>79466.311396906778</v>
      </c>
      <c r="AC12" s="46">
        <f>+[4]서부산!$R$89</f>
        <v>85738.616601199086</v>
      </c>
      <c r="AD12" s="52">
        <f>+[5]서부산!$Q$89</f>
        <v>78950.520047080267</v>
      </c>
      <c r="AE12" s="51">
        <f t="shared" si="8"/>
        <v>19833.211385701885</v>
      </c>
      <c r="AF12" s="46">
        <f t="shared" si="8"/>
        <v>18825.561955242374</v>
      </c>
      <c r="AG12" s="52">
        <f t="shared" si="8"/>
        <v>19177.040513022788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F13" s="495">
        <f t="shared" si="1"/>
        <v>0.35668749999999999</v>
      </c>
      <c r="G13" s="334" t="str">
        <f t="shared" si="2"/>
        <v>김해</v>
      </c>
      <c r="H13" s="74"/>
      <c r="I13" s="75" t="s">
        <v>23</v>
      </c>
      <c r="J13" s="45">
        <f>+IFERROR(HLOOKUP($B13,'[1]12월'!$D$6:$BN$259,2,),)/1000</f>
        <v>16</v>
      </c>
      <c r="K13" s="46">
        <f>+IFERROR(HLOOKUP($B13,'[2]12월'!$F$6:$CP$99,2,),)/1000</f>
        <v>5.7069999999999999</v>
      </c>
      <c r="L13" s="47">
        <f t="shared" si="0"/>
        <v>-10.292999999999999</v>
      </c>
      <c r="M13" s="48">
        <f>+IFERROR(HLOOKUP($B13,'[3]12월'!$F$6:$CC$57,2,),)/1000</f>
        <v>12.183999999999999</v>
      </c>
      <c r="N13" s="49">
        <f t="shared" si="3"/>
        <v>-6.4769999999999994</v>
      </c>
      <c r="O13" s="45">
        <f>+IFERROR(HLOOKUP($B13,'[1]12월'!$D$6:$BN$259,3,),)/1000</f>
        <v>1540.7966999999999</v>
      </c>
      <c r="P13" s="46">
        <f>+IFERROR(HLOOKUP($B13,'[2]12월'!$F$6:$CP$99,3,),)/1000</f>
        <v>506.18729999999999</v>
      </c>
      <c r="Q13" s="47">
        <f t="shared" si="4"/>
        <v>-1034.6093999999998</v>
      </c>
      <c r="R13" s="48">
        <f>+IFERROR(HLOOKUP($B13,'[3]12월'!$F$6:$CC$57,3,),)/1000</f>
        <v>1145.9621</v>
      </c>
      <c r="S13" s="49">
        <f t="shared" si="5"/>
        <v>-639.77479999999991</v>
      </c>
      <c r="T13" s="45">
        <f>+IFERROR(HLOOKUP($B13,'[1]12월'!$D$6:$BN$259,16,),)/1000</f>
        <v>149.52482617907916</v>
      </c>
      <c r="U13" s="46">
        <f>+IFERROR(HLOOKUP($B13,'[2]12월'!$F$6:$CP$99,16,),)/1000</f>
        <v>-123.04864999999991</v>
      </c>
      <c r="V13" s="47">
        <f t="shared" si="6"/>
        <v>-272.57347617907908</v>
      </c>
      <c r="W13" s="48">
        <f>+IFERROR(HLOOKUP($B13,'[3]12월'!$F$6:$CC$57,16,),)/1000</f>
        <v>-58.22594600000005</v>
      </c>
      <c r="X13" s="49">
        <f t="shared" si="7"/>
        <v>-64.82270399999986</v>
      </c>
      <c r="Y13" s="45">
        <f>+[4]김해!$Q$85</f>
        <v>96299.793749999997</v>
      </c>
      <c r="Z13" s="46">
        <f>+[4]김해!$R$85</f>
        <v>88695.864727527587</v>
      </c>
      <c r="AA13" s="50">
        <f>+[5]김해!$Q$85</f>
        <v>94036.648949632989</v>
      </c>
      <c r="AB13" s="51">
        <f>+[4]김해!$Q$89</f>
        <v>77852.385523529781</v>
      </c>
      <c r="AC13" s="46">
        <f>+[4]김해!$R$89</f>
        <v>82661.357981426307</v>
      </c>
      <c r="AD13" s="52">
        <f>+[5]김해!$Q$89</f>
        <v>80796.703534970045</v>
      </c>
      <c r="AE13" s="51">
        <f t="shared" si="8"/>
        <v>18447.408226470216</v>
      </c>
      <c r="AF13" s="46">
        <f t="shared" si="8"/>
        <v>6034.5067461012804</v>
      </c>
      <c r="AG13" s="52">
        <f t="shared" si="8"/>
        <v>13239.945414662943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F14" s="495">
        <f t="shared" si="1"/>
        <v>0.81890476190476191</v>
      </c>
      <c r="G14" s="334" t="str">
        <f t="shared" si="2"/>
        <v>정관</v>
      </c>
      <c r="H14" s="74"/>
      <c r="I14" s="75" t="s">
        <v>24</v>
      </c>
      <c r="J14" s="45">
        <f>+IFERROR(HLOOKUP($B14,'[1]12월'!$D$6:$BN$259,2,),)/1000</f>
        <v>21</v>
      </c>
      <c r="K14" s="46">
        <f>+IFERROR(HLOOKUP($B14,'[2]12월'!$F$6:$CP$99,2,),)/1000</f>
        <v>17.196999999999999</v>
      </c>
      <c r="L14" s="47">
        <f t="shared" si="0"/>
        <v>-3.8030000000000008</v>
      </c>
      <c r="M14" s="48">
        <f>+IFERROR(HLOOKUP($B14,'[3]12월'!$F$6:$CC$57,2,),)/1000</f>
        <v>22.033999999999999</v>
      </c>
      <c r="N14" s="49">
        <f t="shared" si="3"/>
        <v>-4.8369999999999997</v>
      </c>
      <c r="O14" s="45">
        <f>+IFERROR(HLOOKUP($B14,'[1]12월'!$D$6:$BN$259,3,),)/1000</f>
        <v>2141.9970734000003</v>
      </c>
      <c r="P14" s="46">
        <f>+IFERROR(HLOOKUP($B14,'[2]12월'!$F$6:$CP$99,3,),)/1000</f>
        <v>1701.1391000000001</v>
      </c>
      <c r="Q14" s="47">
        <f t="shared" si="4"/>
        <v>-440.85797340000022</v>
      </c>
      <c r="R14" s="48">
        <f>+IFERROR(HLOOKUP($B14,'[3]12월'!$F$6:$CC$57,3,),)/1000</f>
        <v>2288.9944999999998</v>
      </c>
      <c r="S14" s="49">
        <f t="shared" si="5"/>
        <v>-587.85539999999969</v>
      </c>
      <c r="T14" s="45">
        <f>+IFERROR(HLOOKUP($B14,'[1]12월'!$D$6:$BN$259,16,),)/1000</f>
        <v>208.30032750253207</v>
      </c>
      <c r="U14" s="46">
        <f>+IFERROR(HLOOKUP($B14,'[2]12월'!$F$6:$CP$99,16,),)/1000</f>
        <v>0.43159100000011674</v>
      </c>
      <c r="V14" s="47">
        <f t="shared" si="6"/>
        <v>-207.86873650253196</v>
      </c>
      <c r="W14" s="48">
        <f>+IFERROR(HLOOKUP($B14,'[3]12월'!$F$6:$CC$57,16,),)/1000</f>
        <v>101.28181700000007</v>
      </c>
      <c r="X14" s="49">
        <f t="shared" si="7"/>
        <v>-100.85022599999996</v>
      </c>
      <c r="Y14" s="45">
        <f>+[4]정관!$Q$85</f>
        <v>101999.86063809524</v>
      </c>
      <c r="Z14" s="46">
        <f>+[4]정관!$R$85</f>
        <v>98920.68965517242</v>
      </c>
      <c r="AA14" s="50">
        <f>+[5]정관!$Q$85</f>
        <v>103884.65553235907</v>
      </c>
      <c r="AB14" s="51">
        <f>+[4]정관!$Q$89</f>
        <v>82449.918645911181</v>
      </c>
      <c r="AC14" s="46">
        <f>+[4]정관!$R$89</f>
        <v>85268.5728724949</v>
      </c>
      <c r="AD14" s="52">
        <f>+[5]정관!$Q$89</f>
        <v>86215.633729366935</v>
      </c>
      <c r="AE14" s="51">
        <f t="shared" si="8"/>
        <v>19549.94199218406</v>
      </c>
      <c r="AF14" s="46">
        <f t="shared" si="8"/>
        <v>13652.11678267752</v>
      </c>
      <c r="AG14" s="52">
        <f t="shared" si="8"/>
        <v>17669.021802992138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F15" s="495">
        <f t="shared" si="1"/>
        <v>0.49976923076923074</v>
      </c>
      <c r="G15" s="334" t="str">
        <f t="shared" si="2"/>
        <v>양산</v>
      </c>
      <c r="H15" s="74"/>
      <c r="I15" s="75" t="s">
        <v>25</v>
      </c>
      <c r="J15" s="45">
        <f>+IFERROR(HLOOKUP($B15,'[1]12월'!$D$6:$BN$259,2,),)/1000</f>
        <v>13</v>
      </c>
      <c r="K15" s="46">
        <f>+IFERROR(HLOOKUP($B15,'[2]12월'!$F$6:$CP$99,2,),)/1000</f>
        <v>6.4969999999999999</v>
      </c>
      <c r="L15" s="47">
        <f t="shared" si="0"/>
        <v>-6.5030000000000001</v>
      </c>
      <c r="M15" s="48">
        <f>+IFERROR(HLOOKUP($B15,'[3]12월'!$F$6:$CC$57,2,),)/1000</f>
        <v>10.173999999999999</v>
      </c>
      <c r="N15" s="49">
        <f t="shared" si="3"/>
        <v>-3.6769999999999996</v>
      </c>
      <c r="O15" s="45">
        <f>+IFERROR(HLOOKUP($B15,'[1]12월'!$D$6:$BN$259,3,),)/1000</f>
        <v>1222.6012499999999</v>
      </c>
      <c r="P15" s="46">
        <f>+IFERROR(HLOOKUP($B15,'[2]12월'!$F$6:$CP$99,3,),)/1000</f>
        <v>599.63221799999997</v>
      </c>
      <c r="Q15" s="47">
        <f t="shared" si="4"/>
        <v>-622.96903199999997</v>
      </c>
      <c r="R15" s="48">
        <f>+IFERROR(HLOOKUP($B15,'[3]12월'!$F$6:$CC$57,3,),)/1000</f>
        <v>958.23019999999997</v>
      </c>
      <c r="S15" s="49">
        <f t="shared" si="5"/>
        <v>-358.597982</v>
      </c>
      <c r="T15" s="45">
        <f>+IFERROR(HLOOKUP($B15,'[1]12월'!$D$6:$BN$259,16,),)/1000</f>
        <v>115.63862059279647</v>
      </c>
      <c r="U15" s="46">
        <f>+IFERROR(HLOOKUP($B15,'[2]12월'!$F$6:$CP$99,16,),)/1000</f>
        <v>-104.94569900000002</v>
      </c>
      <c r="V15" s="47">
        <f t="shared" si="6"/>
        <v>-220.58431959279648</v>
      </c>
      <c r="W15" s="48">
        <f>+IFERROR(HLOOKUP($B15,'[3]12월'!$F$6:$CC$57,16,),)/1000</f>
        <v>-28.828367000000028</v>
      </c>
      <c r="X15" s="49">
        <f t="shared" si="7"/>
        <v>-76.11733199999999</v>
      </c>
      <c r="Y15" s="45">
        <f>+[4]양산!$Q$85</f>
        <v>94046.25</v>
      </c>
      <c r="Z15" s="46">
        <f>+[4]양산!$R$85</f>
        <v>92293.707557334157</v>
      </c>
      <c r="AA15" s="50">
        <f>+[5]양산!$Q$85</f>
        <v>94184.214664831918</v>
      </c>
      <c r="AB15" s="51">
        <f>+[4]양산!$Q$89</f>
        <v>74732.836612519925</v>
      </c>
      <c r="AC15" s="46">
        <f>+[4]양산!$R$89</f>
        <v>80972.964291211334</v>
      </c>
      <c r="AD15" s="52">
        <f>+[5]양산!$Q$89</f>
        <v>78064.418910949476</v>
      </c>
      <c r="AE15" s="51">
        <f t="shared" si="8"/>
        <v>19313.413387480075</v>
      </c>
      <c r="AF15" s="46">
        <f t="shared" si="8"/>
        <v>11320.743266122823</v>
      </c>
      <c r="AG15" s="52">
        <f t="shared" si="8"/>
        <v>16119.795753882441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F16" s="495">
        <f t="shared" si="1"/>
        <v>0.61631578947368426</v>
      </c>
      <c r="G16" s="334" t="str">
        <f t="shared" si="2"/>
        <v>창원</v>
      </c>
      <c r="H16" s="74"/>
      <c r="I16" s="75" t="s">
        <v>26</v>
      </c>
      <c r="J16" s="45">
        <f>+IFERROR(HLOOKUP($B16,'[1]12월'!$D$6:$BN$259,2,),)/1000</f>
        <v>19</v>
      </c>
      <c r="K16" s="46">
        <f>+IFERROR(HLOOKUP($B16,'[2]12월'!$F$6:$CP$99,2,),)/1000</f>
        <v>11.71</v>
      </c>
      <c r="L16" s="47">
        <f t="shared" si="0"/>
        <v>-7.2899999999999991</v>
      </c>
      <c r="M16" s="48">
        <f>+IFERROR(HLOOKUP($B16,'[3]12월'!$F$6:$CC$57,2,),)/1000</f>
        <v>12.315</v>
      </c>
      <c r="N16" s="49">
        <f t="shared" si="3"/>
        <v>-0.60499999999999865</v>
      </c>
      <c r="O16" s="45">
        <f>+IFERROR(HLOOKUP($B16,'[1]12월'!$D$6:$BN$259,3,),)/1000</f>
        <v>1934.9141027580001</v>
      </c>
      <c r="P16" s="46">
        <f>+IFERROR(HLOOKUP($B16,'[2]12월'!$F$6:$CP$99,3,),)/1000</f>
        <v>1098.0858000000001</v>
      </c>
      <c r="Q16" s="47">
        <f t="shared" si="4"/>
        <v>-836.82830275800006</v>
      </c>
      <c r="R16" s="48">
        <f>+IFERROR(HLOOKUP($B16,'[3]12월'!$F$6:$CC$57,3,),)/1000</f>
        <v>1261.8105500000001</v>
      </c>
      <c r="S16" s="49">
        <f t="shared" si="5"/>
        <v>-163.72475000000009</v>
      </c>
      <c r="T16" s="45">
        <f>+IFERROR(HLOOKUP($B16,'[1]12월'!$D$6:$BN$259,16,),)/1000</f>
        <v>309.29623053200498</v>
      </c>
      <c r="U16" s="46">
        <f>+IFERROR(HLOOKUP($B16,'[2]12월'!$F$6:$CP$99,16,),)/1000</f>
        <v>53.035499000000065</v>
      </c>
      <c r="V16" s="47">
        <f t="shared" si="6"/>
        <v>-256.26073153200491</v>
      </c>
      <c r="W16" s="48">
        <f>+IFERROR(HLOOKUP($B16,'[3]12월'!$F$6:$CC$57,16,),)/1000</f>
        <v>72.758356999999975</v>
      </c>
      <c r="X16" s="49">
        <f t="shared" si="7"/>
        <v>-19.72285799999991</v>
      </c>
      <c r="Y16" s="45">
        <f>+[4]창원!$Q$85</f>
        <v>101837.58435568422</v>
      </c>
      <c r="Z16" s="46">
        <f>+[4]창원!$R$85</f>
        <v>93773.339026473113</v>
      </c>
      <c r="AA16" s="50">
        <f>+[5]창원!$Q$85</f>
        <v>102461.27080795777</v>
      </c>
      <c r="AB16" s="51">
        <f>+[4]창원!$Q$89</f>
        <v>76200.160534167415</v>
      </c>
      <c r="AC16" s="46">
        <f>+[4]창원!$R$89</f>
        <v>74074.05072587532</v>
      </c>
      <c r="AD16" s="52">
        <f>+[5]창원!$Q$89</f>
        <v>76573.527243199365</v>
      </c>
      <c r="AE16" s="51">
        <f t="shared" si="8"/>
        <v>25637.423821516801</v>
      </c>
      <c r="AF16" s="46">
        <f t="shared" si="8"/>
        <v>19699.288300597793</v>
      </c>
      <c r="AG16" s="52">
        <f t="shared" si="8"/>
        <v>25887.743564758406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F17" s="495">
        <f t="shared" si="1"/>
        <v>0.33916666666666667</v>
      </c>
      <c r="G17" s="334" t="str">
        <f t="shared" si="2"/>
        <v>대구</v>
      </c>
      <c r="H17" s="74"/>
      <c r="I17" s="75" t="s">
        <v>70</v>
      </c>
      <c r="J17" s="45">
        <f>+IFERROR(HLOOKUP($B17,'[1]12월'!$D$6:$BN$259,2,),)/1000</f>
        <v>12</v>
      </c>
      <c r="K17" s="46">
        <f>+IFERROR(HLOOKUP($B17,'[2]12월'!$F$6:$CP$99,2,),)/1000</f>
        <v>4.07</v>
      </c>
      <c r="L17" s="47">
        <f t="shared" si="0"/>
        <v>-7.93</v>
      </c>
      <c r="M17" s="48">
        <f>+IFERROR(HLOOKUP($B17,'[3]12월'!$F$6:$CC$57,2,),)/1000</f>
        <v>18.707999999999998</v>
      </c>
      <c r="N17" s="49">
        <f t="shared" si="3"/>
        <v>-14.637999999999998</v>
      </c>
      <c r="O17" s="45">
        <f>+IFERROR(HLOOKUP($B17,'[1]12월'!$D$6:$BN$259,3,),)/1000</f>
        <v>1167.3656645454546</v>
      </c>
      <c r="P17" s="46">
        <f>+IFERROR(HLOOKUP($B17,'[2]12월'!$F$6:$CP$99,3,),)/1000</f>
        <v>346.87933399999997</v>
      </c>
      <c r="Q17" s="47">
        <f t="shared" si="4"/>
        <v>-820.48633054545462</v>
      </c>
      <c r="R17" s="48">
        <f>+IFERROR(HLOOKUP($B17,'[3]12월'!$F$6:$CC$57,3,),)/1000</f>
        <v>1801.6907639999999</v>
      </c>
      <c r="S17" s="49">
        <f t="shared" si="5"/>
        <v>-1454.81143</v>
      </c>
      <c r="T17" s="45">
        <f>+IFERROR(HLOOKUP($B17,'[1]12월'!$D$6:$BN$259,16,),)/1000</f>
        <v>102.30373266450627</v>
      </c>
      <c r="U17" s="46">
        <f>+IFERROR(HLOOKUP($B17,'[2]12월'!$F$6:$CP$99,16,),)/1000</f>
        <v>-127.93189900000006</v>
      </c>
      <c r="V17" s="47">
        <f t="shared" si="6"/>
        <v>-230.23563166450634</v>
      </c>
      <c r="W17" s="48">
        <f>+IFERROR(HLOOKUP($B17,'[3]12월'!$F$6:$CC$57,16,),)/1000</f>
        <v>168.03998099999998</v>
      </c>
      <c r="X17" s="49">
        <f t="shared" si="7"/>
        <v>-295.97188000000006</v>
      </c>
      <c r="Y17" s="45">
        <f>+[4]대구!$Q$85</f>
        <v>97280.472045454546</v>
      </c>
      <c r="Z17" s="46">
        <f>+[4]대구!$R$85</f>
        <v>85228.337592137599</v>
      </c>
      <c r="AA17" s="50">
        <f>+[5]대구!$Q$85</f>
        <v>96305.899294419505</v>
      </c>
      <c r="AB17" s="51">
        <f>+[4]대구!$Q$89</f>
        <v>75132.541296299038</v>
      </c>
      <c r="AC17" s="46">
        <f>+[4]대구!$R$89</f>
        <v>76470.767076167089</v>
      </c>
      <c r="AD17" s="52">
        <f>+[5]대구!$Q$89</f>
        <v>73764.09594825744</v>
      </c>
      <c r="AE17" s="51">
        <f t="shared" si="8"/>
        <v>22147.930749155508</v>
      </c>
      <c r="AF17" s="46">
        <f t="shared" si="8"/>
        <v>8757.5705159705103</v>
      </c>
      <c r="AG17" s="52">
        <f t="shared" si="8"/>
        <v>22541.803346162065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F18" s="495">
        <f t="shared" si="1"/>
        <v>1.05768</v>
      </c>
      <c r="G18" s="336" t="str">
        <f t="shared" si="2"/>
        <v>울산</v>
      </c>
      <c r="H18" s="74"/>
      <c r="I18" s="77" t="s">
        <v>71</v>
      </c>
      <c r="J18" s="9">
        <f>+IFERROR(HLOOKUP($B18,'[1]12월'!$D$6:$BN$259,2,),)/1000</f>
        <v>12.5</v>
      </c>
      <c r="K18" s="10">
        <f>+IFERROR(HLOOKUP($B18,'[2]12월'!$F$6:$CP$99,2,),)/1000</f>
        <v>13.221</v>
      </c>
      <c r="L18" s="11">
        <f t="shared" si="0"/>
        <v>0.72100000000000009</v>
      </c>
      <c r="M18" s="12">
        <f>+IFERROR(HLOOKUP($B18,'[3]12월'!$F$6:$CC$57,2,),)/1000</f>
        <v>12.451000000000001</v>
      </c>
      <c r="N18" s="13">
        <f t="shared" si="3"/>
        <v>0.76999999999999957</v>
      </c>
      <c r="O18" s="9">
        <f>+IFERROR(HLOOKUP($B18,'[1]12월'!$D$6:$BN$259,3,),)/1000</f>
        <v>1297.9024999999999</v>
      </c>
      <c r="P18" s="10">
        <f>+IFERROR(HLOOKUP($B18,'[2]12월'!$F$6:$CP$99,3,),)/1000</f>
        <v>1382.73624</v>
      </c>
      <c r="Q18" s="11">
        <f t="shared" si="4"/>
        <v>84.833740000000034</v>
      </c>
      <c r="R18" s="12">
        <f>+IFERROR(HLOOKUP($B18,'[3]12월'!$F$6:$CC$57,3,),)/1000</f>
        <v>1273.3891000000001</v>
      </c>
      <c r="S18" s="13">
        <f t="shared" si="5"/>
        <v>109.34713999999985</v>
      </c>
      <c r="T18" s="9">
        <f>+IFERROR(HLOOKUP($B18,'[1]12월'!$D$6:$BN$259,16,),)/1000</f>
        <v>117.75725529229071</v>
      </c>
      <c r="U18" s="10">
        <f>+IFERROR(HLOOKUP($B18,'[2]12월'!$F$6:$CP$99,16,),)/1000</f>
        <v>66.511148999999833</v>
      </c>
      <c r="V18" s="11">
        <f t="shared" si="6"/>
        <v>-51.246106292290875</v>
      </c>
      <c r="W18" s="12">
        <f>+IFERROR(HLOOKUP($B18,'[3]12월'!$F$6:$CC$57,16,),)/1000</f>
        <v>24.366226000000118</v>
      </c>
      <c r="X18" s="13">
        <f t="shared" si="7"/>
        <v>42.144922999999714</v>
      </c>
      <c r="Y18" s="9">
        <f>+[4]울산!$Q$85</f>
        <v>103832.2</v>
      </c>
      <c r="Z18" s="10">
        <f>+[4]울산!$R$85</f>
        <v>104586.35806671206</v>
      </c>
      <c r="AA18" s="14">
        <f>+[5]울산!$Q$85</f>
        <v>102272.03437474903</v>
      </c>
      <c r="AB18" s="15">
        <f>+[4]울산!$Q$89</f>
        <v>83764.601741225706</v>
      </c>
      <c r="AC18" s="10">
        <f>+[4]울산!$R$89</f>
        <v>88415.572885966918</v>
      </c>
      <c r="AD18" s="16">
        <f>+[5]울산!$Q$89</f>
        <v>84277.211324083735</v>
      </c>
      <c r="AE18" s="15">
        <f t="shared" si="8"/>
        <v>20067.598258774291</v>
      </c>
      <c r="AF18" s="10">
        <f t="shared" si="8"/>
        <v>16170.785180745137</v>
      </c>
      <c r="AG18" s="16">
        <f t="shared" si="8"/>
        <v>17994.823050665291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F19" s="495">
        <f t="shared" si="1"/>
        <v>0.75135999999999992</v>
      </c>
      <c r="G19" s="336" t="str">
        <f t="shared" si="2"/>
        <v>아산</v>
      </c>
      <c r="H19" s="74"/>
      <c r="I19" s="75" t="s">
        <v>27</v>
      </c>
      <c r="J19" s="45">
        <f>+IFERROR(HLOOKUP($B19,'[1]12월'!$D$6:$BN$259,2,),)/1000</f>
        <v>25</v>
      </c>
      <c r="K19" s="46">
        <f>+IFERROR(HLOOKUP($B19,'[2]12월'!$F$6:$CP$99,2,),)/1000</f>
        <v>18.783999999999999</v>
      </c>
      <c r="L19" s="47">
        <f t="shared" si="0"/>
        <v>-6.2160000000000011</v>
      </c>
      <c r="M19" s="48">
        <f>+IFERROR(HLOOKUP($B19,'[3]12월'!$F$6:$CC$57,2,),)/1000</f>
        <v>22.731999999999999</v>
      </c>
      <c r="N19" s="49">
        <f t="shared" si="3"/>
        <v>-3.9480000000000004</v>
      </c>
      <c r="O19" s="45">
        <f>+IFERROR(HLOOKUP($B19,'[1]12월'!$D$6:$BN$259,3,),)/1000</f>
        <v>2575</v>
      </c>
      <c r="P19" s="46">
        <f>+IFERROR(HLOOKUP($B19,'[2]12월'!$F$6:$CP$99,3,),)/1000</f>
        <v>1949.8863230000002</v>
      </c>
      <c r="Q19" s="47">
        <f t="shared" si="4"/>
        <v>-625.11367699999983</v>
      </c>
      <c r="R19" s="48">
        <f>+IFERROR(HLOOKUP($B19,'[3]12월'!$F$6:$CC$57,3,),)/1000</f>
        <v>2299.4823020000003</v>
      </c>
      <c r="S19" s="49">
        <f t="shared" si="5"/>
        <v>-349.59597900000017</v>
      </c>
      <c r="T19" s="45">
        <f>+IFERROR(HLOOKUP($B19,'[1]12월'!$D$6:$BN$259,16,),)/1000</f>
        <v>333.50741939072418</v>
      </c>
      <c r="U19" s="46">
        <f>+IFERROR(HLOOKUP($B19,'[2]12월'!$F$6:$CP$99,16,),)/1000</f>
        <v>68.806506000000169</v>
      </c>
      <c r="V19" s="47">
        <f t="shared" si="6"/>
        <v>-264.700913390724</v>
      </c>
      <c r="W19" s="48">
        <f>+IFERROR(HLOOKUP($B19,'[3]12월'!$F$6:$CC$57,16,),)/1000</f>
        <v>58.469241000000345</v>
      </c>
      <c r="X19" s="49">
        <f t="shared" si="7"/>
        <v>10.337264999999825</v>
      </c>
      <c r="Y19" s="45">
        <f>+[4]아산!$Q$85</f>
        <v>103000</v>
      </c>
      <c r="Z19" s="46">
        <f>+[4]아산!$R$85</f>
        <v>103805.70288543441</v>
      </c>
      <c r="AA19" s="50">
        <f>+[5]아산!$Q$85</f>
        <v>101156.18080239311</v>
      </c>
      <c r="AB19" s="51">
        <f>+[4]아산!$Q$89</f>
        <v>80551.044493891561</v>
      </c>
      <c r="AC19" s="46">
        <f>+[4]아산!$R$89</f>
        <v>87355.135590517704</v>
      </c>
      <c r="AD19" s="52">
        <f>+[5]아산!$Q$89</f>
        <v>85004.173787554129</v>
      </c>
      <c r="AE19" s="51">
        <f t="shared" si="8"/>
        <v>22448.955506108439</v>
      </c>
      <c r="AF19" s="46">
        <f t="shared" si="8"/>
        <v>16450.567294916706</v>
      </c>
      <c r="AG19" s="52">
        <f t="shared" si="8"/>
        <v>16152.007014838979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F20" s="495">
        <f t="shared" si="1"/>
        <v>0.96718181818181814</v>
      </c>
      <c r="G20" s="336" t="str">
        <f t="shared" si="2"/>
        <v>전주</v>
      </c>
      <c r="H20" s="74"/>
      <c r="I20" s="75" t="s">
        <v>72</v>
      </c>
      <c r="J20" s="45">
        <f>+IFERROR(HLOOKUP($B20,'[1]12월'!$D$6:$BN$259,2,),)/1000</f>
        <v>11</v>
      </c>
      <c r="K20" s="46">
        <f>+IFERROR(HLOOKUP($B20,'[2]12월'!$F$6:$CP$99,2,),)/1000</f>
        <v>10.638999999999999</v>
      </c>
      <c r="L20" s="47">
        <f t="shared" si="0"/>
        <v>-0.36100000000000065</v>
      </c>
      <c r="M20" s="48">
        <f>+IFERROR(HLOOKUP($B20,'[3]12월'!$F$6:$CC$57,2,),)/1000</f>
        <v>10.326000000000001</v>
      </c>
      <c r="N20" s="49">
        <f t="shared" si="3"/>
        <v>0.31299999999999883</v>
      </c>
      <c r="O20" s="45">
        <f>+IFERROR(HLOOKUP($B20,'[1]12월'!$D$6:$BN$259,3,),)/1000</f>
        <v>1112.0742000000002</v>
      </c>
      <c r="P20" s="46">
        <f>+IFERROR(HLOOKUP($B20,'[2]12월'!$F$6:$CP$99,3,),)/1000</f>
        <v>1084.562316</v>
      </c>
      <c r="Q20" s="47">
        <f t="shared" si="4"/>
        <v>-27.511884000000236</v>
      </c>
      <c r="R20" s="48">
        <f>+IFERROR(HLOOKUP($B20,'[3]12월'!$F$6:$CC$57,3,),)/1000</f>
        <v>1002.051928</v>
      </c>
      <c r="S20" s="49">
        <f t="shared" si="5"/>
        <v>82.510388000000034</v>
      </c>
      <c r="T20" s="45">
        <f>+IFERROR(HLOOKUP($B20,'[1]12월'!$D$6:$BN$259,16,),)/1000</f>
        <v>158.2608418803533</v>
      </c>
      <c r="U20" s="46">
        <f>+IFERROR(HLOOKUP($B20,'[2]12월'!$F$6:$CP$99,16,),)/1000</f>
        <v>24.639246000000146</v>
      </c>
      <c r="V20" s="47">
        <f t="shared" si="6"/>
        <v>-133.62159588035314</v>
      </c>
      <c r="W20" s="48">
        <f>+IFERROR(HLOOKUP($B20,'[3]12월'!$F$6:$CC$57,16,),)/1000</f>
        <v>10.653326999999878</v>
      </c>
      <c r="X20" s="49">
        <f t="shared" si="7"/>
        <v>13.985919000000267</v>
      </c>
      <c r="Y20" s="45">
        <f>+[4]전주!$Q$85</f>
        <v>101097.65454545456</v>
      </c>
      <c r="Z20" s="46">
        <f>+[4]전주!$R$85</f>
        <v>101942.12952345145</v>
      </c>
      <c r="AA20" s="50">
        <f>+[5]전주!$Q$85</f>
        <v>97041.635483246166</v>
      </c>
      <c r="AB20" s="51">
        <f>+[4]전주!$Q$89</f>
        <v>73656.495485624488</v>
      </c>
      <c r="AC20" s="46">
        <f>+[4]전주!$R$89</f>
        <v>82680.207726290057</v>
      </c>
      <c r="AD20" s="52">
        <f>+[5]전주!$Q$89</f>
        <v>74828.152624443159</v>
      </c>
      <c r="AE20" s="51">
        <f t="shared" si="8"/>
        <v>27441.159059830068</v>
      </c>
      <c r="AF20" s="46">
        <f t="shared" si="8"/>
        <v>19261.921797161398</v>
      </c>
      <c r="AG20" s="52">
        <f t="shared" si="8"/>
        <v>22213.482858803007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F21" s="495">
        <f t="shared" si="1"/>
        <v>0.4728</v>
      </c>
      <c r="G21" s="336" t="str">
        <f t="shared" si="2"/>
        <v>군산</v>
      </c>
      <c r="H21" s="74"/>
      <c r="I21" s="75" t="s">
        <v>73</v>
      </c>
      <c r="J21" s="45">
        <f>+IFERROR(HLOOKUP($B21,'[1]12월'!$D$6:$BN$259,2,),)/1000</f>
        <v>7.5</v>
      </c>
      <c r="K21" s="46">
        <f>+IFERROR(HLOOKUP($B21,'[2]12월'!$F$6:$CP$99,2,),)/1000</f>
        <v>3.5459999999999998</v>
      </c>
      <c r="L21" s="47">
        <f t="shared" si="0"/>
        <v>-3.9540000000000002</v>
      </c>
      <c r="M21" s="48">
        <f>+IFERROR(HLOOKUP($B21,'[3]12월'!$F$6:$CC$57,2,),)/1000</f>
        <v>5.6079999999999997</v>
      </c>
      <c r="N21" s="49">
        <f t="shared" si="3"/>
        <v>-2.0619999999999998</v>
      </c>
      <c r="O21" s="45">
        <f>+IFERROR(HLOOKUP($B21,'[1]12월'!$D$6:$BN$259,3,),)/1000</f>
        <v>833.25160000000005</v>
      </c>
      <c r="P21" s="46">
        <f>+IFERROR(HLOOKUP($B21,'[2]12월'!$F$6:$CP$99,3,),)/1000</f>
        <v>395.58325500000001</v>
      </c>
      <c r="Q21" s="47">
        <f t="shared" si="4"/>
        <v>-437.66834500000004</v>
      </c>
      <c r="R21" s="48">
        <f>+IFERROR(HLOOKUP($B21,'[3]12월'!$F$6:$CC$57,3,),)/1000</f>
        <v>597.35400000000004</v>
      </c>
      <c r="S21" s="49">
        <f t="shared" si="5"/>
        <v>-201.77074500000003</v>
      </c>
      <c r="T21" s="45">
        <f>+IFERROR(HLOOKUP($B21,'[1]12월'!$D$6:$BN$259,16,),)/1000</f>
        <v>198.94578229126492</v>
      </c>
      <c r="U21" s="46">
        <f>+IFERROR(HLOOKUP($B21,'[2]12월'!$F$6:$CP$99,16,),)/1000</f>
        <v>36.294072</v>
      </c>
      <c r="V21" s="47">
        <f t="shared" si="6"/>
        <v>-162.65171029126492</v>
      </c>
      <c r="W21" s="48">
        <f>+IFERROR(HLOOKUP($B21,'[3]12월'!$F$6:$CC$57,16,),)/1000</f>
        <v>80.152253999999999</v>
      </c>
      <c r="X21" s="49">
        <f t="shared" si="7"/>
        <v>-43.858181999999999</v>
      </c>
      <c r="Y21" s="45">
        <f>+[4]군산!$Q$85</f>
        <v>111100.21333333335</v>
      </c>
      <c r="Z21" s="46">
        <f>+[4]군산!$R$85</f>
        <v>111557.60152284264</v>
      </c>
      <c r="AA21" s="50">
        <f>+[5]군산!$Q$85</f>
        <v>106518.1883024251</v>
      </c>
      <c r="AB21" s="51">
        <f>+[4]군산!$Q$89</f>
        <v>74168.25218338691</v>
      </c>
      <c r="AC21" s="46">
        <f>+[4]군산!$R$89</f>
        <v>76050.378172588826</v>
      </c>
      <c r="AD21" s="52">
        <f>+[5]군산!$Q$89</f>
        <v>73466.499821683319</v>
      </c>
      <c r="AE21" s="51">
        <f t="shared" si="8"/>
        <v>36931.961149946437</v>
      </c>
      <c r="AF21" s="46">
        <f t="shared" si="8"/>
        <v>35507.223350253815</v>
      </c>
      <c r="AG21" s="52">
        <f t="shared" si="8"/>
        <v>33051.688480741781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F22" s="495">
        <f t="shared" si="1"/>
        <v>0.76687499999999997</v>
      </c>
      <c r="G22" s="336" t="str">
        <f t="shared" si="2"/>
        <v>원주</v>
      </c>
      <c r="H22" s="74"/>
      <c r="I22" s="75" t="s">
        <v>74</v>
      </c>
      <c r="J22" s="45">
        <f>+IFERROR(HLOOKUP($B22,'[1]12월'!$D$6:$BN$259,2,),)/1000</f>
        <v>4</v>
      </c>
      <c r="K22" s="46">
        <f>+IFERROR(HLOOKUP($B22,'[2]12월'!$F$6:$CP$99,2,),)/1000</f>
        <v>3.0674999999999999</v>
      </c>
      <c r="L22" s="47">
        <f t="shared" si="0"/>
        <v>-0.93250000000000011</v>
      </c>
      <c r="M22" s="48">
        <f>+IFERROR(HLOOKUP($B22,'[3]12월'!$F$6:$CC$57,2,),)/1000</f>
        <v>4.01</v>
      </c>
      <c r="N22" s="49">
        <f t="shared" si="3"/>
        <v>-0.94249999999999989</v>
      </c>
      <c r="O22" s="45">
        <f>+IFERROR(HLOOKUP($B22,'[1]12월'!$D$6:$BN$259,3,),)/1000</f>
        <v>448</v>
      </c>
      <c r="P22" s="46">
        <f>+IFERROR(HLOOKUP($B22,'[2]12월'!$F$6:$CP$99,3,),)/1000</f>
        <v>366.23070000000001</v>
      </c>
      <c r="Q22" s="47">
        <f t="shared" si="4"/>
        <v>-81.769299999999987</v>
      </c>
      <c r="R22" s="48">
        <f>+IFERROR(HLOOKUP($B22,'[3]12월'!$F$6:$CC$57,3,),)/1000</f>
        <v>460.86700000000002</v>
      </c>
      <c r="S22" s="49">
        <f t="shared" si="5"/>
        <v>-94.636300000000006</v>
      </c>
      <c r="T22" s="45">
        <f>+IFERROR(HLOOKUP($B22,'[1]12월'!$D$6:$BN$259,16,),)/1000</f>
        <v>60.992161095369369</v>
      </c>
      <c r="U22" s="46">
        <f>+IFERROR(HLOOKUP($B22,'[2]12월'!$F$6:$CP$99,16,),)/1000</f>
        <v>1.3292569999999477</v>
      </c>
      <c r="V22" s="47">
        <f t="shared" si="6"/>
        <v>-59.66290409536942</v>
      </c>
      <c r="W22" s="48">
        <f>+IFERROR(HLOOKUP($B22,'[3]12월'!$F$6:$CC$57,16,),)/1000</f>
        <v>39.135276999999988</v>
      </c>
      <c r="X22" s="49">
        <f t="shared" si="7"/>
        <v>-37.806020000000039</v>
      </c>
      <c r="Y22" s="45">
        <f>+[4]원주!$Q$85</f>
        <v>112000</v>
      </c>
      <c r="Z22" s="46">
        <f>+[4]원주!$R$85</f>
        <v>119466.75396955313</v>
      </c>
      <c r="AA22" s="50">
        <f>+[5]원주!$Q$85</f>
        <v>114929.42643391521</v>
      </c>
      <c r="AB22" s="51">
        <f>+[4]원주!$Q$89</f>
        <v>75699.819679743247</v>
      </c>
      <c r="AC22" s="46">
        <f>+[4]원주!$R$89</f>
        <v>83044.874120150591</v>
      </c>
      <c r="AD22" s="52">
        <f>+[5]원주!$Q$89</f>
        <v>76446.968079800514</v>
      </c>
      <c r="AE22" s="51">
        <f t="shared" si="8"/>
        <v>36300.180320256753</v>
      </c>
      <c r="AF22" s="46">
        <f t="shared" si="8"/>
        <v>36421.87984940254</v>
      </c>
      <c r="AG22" s="52">
        <f t="shared" si="8"/>
        <v>38482.4583541147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495">
        <f t="shared" si="1"/>
        <v>0.45194999999999996</v>
      </c>
      <c r="G23" s="334" t="str">
        <f t="shared" si="2"/>
        <v>제주</v>
      </c>
      <c r="H23" s="74"/>
      <c r="I23" s="75" t="s">
        <v>75</v>
      </c>
      <c r="J23" s="45">
        <f>+IFERROR(HLOOKUP($B23,'[1]12월'!$D$6:$BN$259,2,),)/1000</f>
        <v>10</v>
      </c>
      <c r="K23" s="46">
        <f>+IFERROR(HLOOKUP($B23,'[2]12월'!$F$6:$CP$99,2,),)/1000</f>
        <v>4.5194999999999999</v>
      </c>
      <c r="L23" s="47">
        <f t="shared" si="0"/>
        <v>-5.4805000000000001</v>
      </c>
      <c r="M23" s="48">
        <f>+IFERROR(HLOOKUP($B23,'[3]12월'!$F$6:$CC$57,2,),)/1000</f>
        <v>5.5875000000000004</v>
      </c>
      <c r="N23" s="49">
        <f t="shared" si="3"/>
        <v>-1.0680000000000005</v>
      </c>
      <c r="O23" s="45">
        <f>+IFERROR(HLOOKUP($B23,'[1]12월'!$D$6:$BN$259,3,),)/1000</f>
        <v>1229.489</v>
      </c>
      <c r="P23" s="46">
        <f>+IFERROR(HLOOKUP($B23,'[2]12월'!$F$6:$CP$99,3,),)/1000</f>
        <v>579.66132800000003</v>
      </c>
      <c r="Q23" s="47">
        <f t="shared" si="4"/>
        <v>-649.82767200000001</v>
      </c>
      <c r="R23" s="48">
        <f>+IFERROR(HLOOKUP($B23,'[3]12월'!$F$6:$CC$57,3,),)/1000</f>
        <v>668.43715199999997</v>
      </c>
      <c r="S23" s="49">
        <f t="shared" si="5"/>
        <v>-88.775823999999943</v>
      </c>
      <c r="T23" s="45">
        <f>+IFERROR(HLOOKUP($B23,'[1]12월'!$D$6:$BN$259,16,),)/1000</f>
        <v>226.38407367099271</v>
      </c>
      <c r="U23" s="46">
        <f>+IFERROR(HLOOKUP($B23,'[2]12월'!$F$6:$CP$99,16,),)/1000</f>
        <v>42.520961999999969</v>
      </c>
      <c r="V23" s="47">
        <f t="shared" si="6"/>
        <v>-183.86311167099274</v>
      </c>
      <c r="W23" s="48">
        <f>+IFERROR(HLOOKUP($B23,'[3]12월'!$F$6:$CC$57,16,),)/1000</f>
        <v>49.681542999999991</v>
      </c>
      <c r="X23" s="49">
        <f t="shared" si="7"/>
        <v>-7.1605810000000218</v>
      </c>
      <c r="Y23" s="45">
        <f>+[4]제주!$Q$85</f>
        <v>122948.9</v>
      </c>
      <c r="Z23" s="46">
        <f>+[4]제주!$R$85</f>
        <v>127942.32550372925</v>
      </c>
      <c r="AA23" s="50">
        <f>+[5]제주!$Q$85</f>
        <v>119630.81020134229</v>
      </c>
      <c r="AB23" s="51">
        <f>+[4]제주!$Q$89</f>
        <v>91405.356970899316</v>
      </c>
      <c r="AC23" s="46">
        <f>+[4]제주!$R$89</f>
        <v>97531.988645218735</v>
      </c>
      <c r="AD23" s="52">
        <f>+[5]제주!$Q$89</f>
        <v>89066.435062036966</v>
      </c>
      <c r="AE23" s="51">
        <f t="shared" si="8"/>
        <v>31543.543029100678</v>
      </c>
      <c r="AF23" s="46">
        <f t="shared" si="8"/>
        <v>30410.33685851052</v>
      </c>
      <c r="AG23" s="52">
        <f t="shared" si="8"/>
        <v>30564.375139305324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0.8098812844036698</v>
      </c>
      <c r="G24" s="337" t="str">
        <f t="shared" si="2"/>
        <v>수도권</v>
      </c>
      <c r="H24" s="74"/>
      <c r="I24" s="78" t="s">
        <v>42</v>
      </c>
      <c r="J24" s="22">
        <f>SUM(J7:J10)</f>
        <v>109</v>
      </c>
      <c r="K24" s="19">
        <f>SUM(K7:K10)</f>
        <v>88.277060000000006</v>
      </c>
      <c r="L24" s="20">
        <f t="shared" si="0"/>
        <v>-20.722939999999994</v>
      </c>
      <c r="M24" s="24">
        <f>SUM(M7:M10)</f>
        <v>94.753499999999988</v>
      </c>
      <c r="N24" s="21">
        <f t="shared" si="3"/>
        <v>-6.4764399999999824</v>
      </c>
      <c r="O24" s="22">
        <f>SUM(O7:O10)</f>
        <v>10994.522254158081</v>
      </c>
      <c r="P24" s="19">
        <f>SUM(P7:P10)</f>
        <v>8814.6980289999992</v>
      </c>
      <c r="Q24" s="20">
        <f t="shared" si="4"/>
        <v>-2179.8242251580814</v>
      </c>
      <c r="R24" s="24">
        <f>SUM(R7:R10)</f>
        <v>9072.3340189999999</v>
      </c>
      <c r="S24" s="21">
        <f t="shared" si="5"/>
        <v>-257.63599000000067</v>
      </c>
      <c r="T24" s="22">
        <f>SUM(T7:T10)</f>
        <v>1112.3552443884514</v>
      </c>
      <c r="U24" s="19">
        <f>SUM(U7:U10)</f>
        <v>-7.6302419999996474</v>
      </c>
      <c r="V24" s="20">
        <f t="shared" si="6"/>
        <v>-1119.9854863884511</v>
      </c>
      <c r="W24" s="24">
        <f>SUM(W7:W10)</f>
        <v>-204.5360469999996</v>
      </c>
      <c r="X24" s="21">
        <f t="shared" si="7"/>
        <v>196.90580499999996</v>
      </c>
      <c r="Y24" s="22">
        <f>+[4]수도권!$Q$85</f>
        <v>100867.1766436521</v>
      </c>
      <c r="Z24" s="19">
        <f>+[4]수도권!$R$85</f>
        <v>99894.501248649074</v>
      </c>
      <c r="AA24" s="23">
        <f>+[5]수도권!$Q$85</f>
        <v>95753.182837259141</v>
      </c>
      <c r="AB24" s="28">
        <f>+[4]수도권!$Q$89</f>
        <v>81952.109406611198</v>
      </c>
      <c r="AC24" s="19">
        <f>+[4]수도권!$R$89</f>
        <v>87403.984376721812</v>
      </c>
      <c r="AD24" s="29">
        <f>+[5]수도권!$Q$89</f>
        <v>83930.890743174416</v>
      </c>
      <c r="AE24" s="28">
        <f t="shared" si="8"/>
        <v>18915.067237040901</v>
      </c>
      <c r="AF24" s="19">
        <f t="shared" si="8"/>
        <v>12490.516871927262</v>
      </c>
      <c r="AG24" s="29">
        <f t="shared" si="8"/>
        <v>11822.292094084725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0.72005054151624548</v>
      </c>
      <c r="G25" s="334" t="str">
        <f t="shared" si="2"/>
        <v>영남권</v>
      </c>
      <c r="H25" s="74"/>
      <c r="I25" s="78" t="s">
        <v>43</v>
      </c>
      <c r="J25" s="22">
        <f>SUM(J11:J18)</f>
        <v>138.5</v>
      </c>
      <c r="K25" s="19">
        <f>SUM(K11:K18)</f>
        <v>99.727000000000004</v>
      </c>
      <c r="L25" s="20">
        <f t="shared" si="0"/>
        <v>-38.772999999999996</v>
      </c>
      <c r="M25" s="24">
        <f>SUM(M11:M18)</f>
        <v>129.27199999999999</v>
      </c>
      <c r="N25" s="21">
        <f t="shared" si="3"/>
        <v>-29.544999999999987</v>
      </c>
      <c r="O25" s="22">
        <f>SUM(O11:O18)</f>
        <v>13958.863984323454</v>
      </c>
      <c r="P25" s="19">
        <f>SUM(P11:P18)</f>
        <v>10056.727091999999</v>
      </c>
      <c r="Q25" s="20">
        <f t="shared" si="4"/>
        <v>-3902.136892323455</v>
      </c>
      <c r="R25" s="24">
        <f>SUM(R11:R18)</f>
        <v>13072.182614000001</v>
      </c>
      <c r="S25" s="21">
        <f t="shared" si="5"/>
        <v>-3015.455522000002</v>
      </c>
      <c r="T25" s="22">
        <f>SUM(T11:T18)</f>
        <v>1501.0984352115706</v>
      </c>
      <c r="U25" s="19">
        <f>SUM(U11:U18)</f>
        <v>43.53937099999996</v>
      </c>
      <c r="V25" s="20">
        <f t="shared" si="6"/>
        <v>-1457.5590642115708</v>
      </c>
      <c r="W25" s="24">
        <f>SUM(W11:W18)</f>
        <v>534.66819099999987</v>
      </c>
      <c r="X25" s="21">
        <f t="shared" si="7"/>
        <v>-491.12881999999991</v>
      </c>
      <c r="Y25" s="22">
        <f>+[4]영남권!$Q$85</f>
        <v>100786.02154746176</v>
      </c>
      <c r="Z25" s="19">
        <f>+[4]영남권!$R$85</f>
        <v>100842.57113921005</v>
      </c>
      <c r="AA25" s="23">
        <f>+[5]영남권!$Q$85</f>
        <v>101138.01594527731</v>
      </c>
      <c r="AB25" s="28">
        <f>+[4]영남권!$Q$89</f>
        <v>79871.540987932851</v>
      </c>
      <c r="AC25" s="19">
        <f>+[4]영남권!$R$89</f>
        <v>84812.101492298621</v>
      </c>
      <c r="AD25" s="29">
        <f>+[5]영남권!$Q$89</f>
        <v>81325.206744175419</v>
      </c>
      <c r="AE25" s="28">
        <f t="shared" si="8"/>
        <v>20914.480559528907</v>
      </c>
      <c r="AF25" s="19">
        <f t="shared" si="8"/>
        <v>16030.469646911428</v>
      </c>
      <c r="AG25" s="29">
        <f t="shared" si="8"/>
        <v>19812.809201101889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0.70532173913043483</v>
      </c>
      <c r="G26" s="334" t="str">
        <f t="shared" si="2"/>
        <v>중부권</v>
      </c>
      <c r="H26" s="74"/>
      <c r="I26" s="78" t="s">
        <v>106</v>
      </c>
      <c r="J26" s="22">
        <f>SUM(J19:J23)</f>
        <v>57.5</v>
      </c>
      <c r="K26" s="19">
        <f>SUM(K19:K23)</f>
        <v>40.556000000000004</v>
      </c>
      <c r="L26" s="20">
        <f t="shared" si="0"/>
        <v>-16.943999999999996</v>
      </c>
      <c r="M26" s="24">
        <f>SUM(M19:M23)</f>
        <v>48.263499999999993</v>
      </c>
      <c r="N26" s="21">
        <f t="shared" si="3"/>
        <v>-7.7074999999999889</v>
      </c>
      <c r="O26" s="22">
        <f>SUM(O19:O23)</f>
        <v>6197.8148000000001</v>
      </c>
      <c r="P26" s="19">
        <f>SUM(P19:P23)</f>
        <v>4375.9239219999999</v>
      </c>
      <c r="Q26" s="20">
        <f t="shared" si="4"/>
        <v>-1821.8908780000002</v>
      </c>
      <c r="R26" s="24">
        <f>SUM(R19:R23)</f>
        <v>5028.1923820000011</v>
      </c>
      <c r="S26" s="21">
        <f t="shared" si="5"/>
        <v>-652.26846000000114</v>
      </c>
      <c r="T26" s="22">
        <f>SUM(T19:T23)</f>
        <v>978.09027832870447</v>
      </c>
      <c r="U26" s="19">
        <f>SUM(U19:U23)</f>
        <v>173.59004300000024</v>
      </c>
      <c r="V26" s="20">
        <f t="shared" si="6"/>
        <v>-804.50023532870421</v>
      </c>
      <c r="W26" s="24">
        <f>SUM(W19:W23)</f>
        <v>238.09164200000021</v>
      </c>
      <c r="X26" s="21">
        <f t="shared" si="7"/>
        <v>-64.50159899999997</v>
      </c>
      <c r="Y26" s="22">
        <f>+[4]중부권!$Q$85</f>
        <v>107788.08347826089</v>
      </c>
      <c r="Z26" s="19">
        <f>+[4]중부권!$R$85</f>
        <v>107851.31553745527</v>
      </c>
      <c r="AA26" s="23">
        <f>+[5]중부권!$Q$85</f>
        <v>104182.09168419198</v>
      </c>
      <c r="AB26" s="28">
        <f>+[4]중부권!$Q$89</f>
        <v>79949.77917378307</v>
      </c>
      <c r="AC26" s="19">
        <f>+[4]중부권!$R$89</f>
        <v>85942.394549266246</v>
      </c>
      <c r="AD26" s="29">
        <f>+[5]중부권!$Q$89</f>
        <v>81258.436457526477</v>
      </c>
      <c r="AE26" s="28">
        <f t="shared" si="8"/>
        <v>27838.304304477817</v>
      </c>
      <c r="AF26" s="19">
        <f t="shared" si="8"/>
        <v>21908.920988189027</v>
      </c>
      <c r="AG26" s="29">
        <f t="shared" si="8"/>
        <v>22923.655226665505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0.8394024731076174</v>
      </c>
      <c r="G27" s="336">
        <f>+K27/J27</f>
        <v>0.74937724590163945</v>
      </c>
      <c r="H27" s="267" t="s">
        <v>94</v>
      </c>
      <c r="I27" s="268"/>
      <c r="J27" s="269">
        <f>SUM(J24:J26)</f>
        <v>305</v>
      </c>
      <c r="K27" s="270">
        <f>SUM(K24:K26)</f>
        <v>228.56006000000002</v>
      </c>
      <c r="L27" s="271">
        <f t="shared" si="0"/>
        <v>-76.439939999999979</v>
      </c>
      <c r="M27" s="272">
        <f>SUM(M24:M26)</f>
        <v>272.28899999999999</v>
      </c>
      <c r="N27" s="273">
        <f t="shared" si="3"/>
        <v>-43.728939999999966</v>
      </c>
      <c r="O27" s="269">
        <f>SUM(O24:O26)</f>
        <v>31151.201038481537</v>
      </c>
      <c r="P27" s="270">
        <f>SUM(P24:P26)</f>
        <v>23247.349043000002</v>
      </c>
      <c r="Q27" s="271">
        <f t="shared" si="4"/>
        <v>-7903.8519954815347</v>
      </c>
      <c r="R27" s="272">
        <f>SUM(R24:R26)</f>
        <v>27172.709015</v>
      </c>
      <c r="S27" s="273">
        <f t="shared" si="5"/>
        <v>-3925.3599719999984</v>
      </c>
      <c r="T27" s="269">
        <f>SUM(T24:T26)</f>
        <v>3591.5439579287267</v>
      </c>
      <c r="U27" s="270">
        <f>SUM(U24:U26)</f>
        <v>209.49917200000056</v>
      </c>
      <c r="V27" s="271">
        <f t="shared" si="6"/>
        <v>-3382.044785928726</v>
      </c>
      <c r="W27" s="272">
        <f>SUM(W24:W26)</f>
        <v>568.22378600000047</v>
      </c>
      <c r="X27" s="273">
        <f t="shared" si="7"/>
        <v>-358.72461399999992</v>
      </c>
      <c r="Y27" s="269">
        <f>+[4]합계!$Q$85</f>
        <v>102135.08537207061</v>
      </c>
      <c r="Z27" s="270">
        <f>+[4]합계!$R$85</f>
        <v>101721.48004045202</v>
      </c>
      <c r="AA27" s="274">
        <f>+[5]합계!$Q$85</f>
        <v>99802.989779255455</v>
      </c>
      <c r="AB27" s="275">
        <f>+[4]합계!$Q$89</f>
        <v>80629.838211940471</v>
      </c>
      <c r="AC27" s="270">
        <f>+[4]합계!$R$89</f>
        <v>86010.517649032845</v>
      </c>
      <c r="AD27" s="276">
        <f>+[5]합계!$Q$89</f>
        <v>82213.021920394152</v>
      </c>
      <c r="AE27" s="275">
        <f t="shared" si="8"/>
        <v>21505.247160130137</v>
      </c>
      <c r="AF27" s="270">
        <f t="shared" si="8"/>
        <v>15710.962391419176</v>
      </c>
      <c r="AG27" s="276">
        <f t="shared" si="8"/>
        <v>17589.967858861302</v>
      </c>
      <c r="AH27" s="26"/>
      <c r="AI27" s="493">
        <f>+AF27-AE27</f>
        <v>-5794.2847687109606</v>
      </c>
      <c r="AJ27" s="494">
        <f>+AF27-AG27</f>
        <v>-1879.0054674421262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F28" s="495">
        <f>+K28/J28</f>
        <v>0.76809954697185134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+IFERROR(HLOOKUP($B28,'[1]12월'!$D$6:$BN$259,2,),)/1000</f>
        <v>26.126821815109647</v>
      </c>
      <c r="K28" s="56">
        <f>+IFERROR(HLOOKUP($C28,'[2]12월'!$F$6:$CP$99,2,),)/1000</f>
        <v>20.068000000000001</v>
      </c>
      <c r="L28" s="37">
        <f t="shared" si="0"/>
        <v>-6.0588218151096456</v>
      </c>
      <c r="M28" s="37">
        <f>+IFERROR(HLOOKUP($C28,'[3]12월'!$F$6:$CC$57,2,),)/1000</f>
        <v>23.035</v>
      </c>
      <c r="N28" s="57">
        <f t="shared" si="3"/>
        <v>-2.9669999999999987</v>
      </c>
      <c r="O28" s="55">
        <f>+IFERROR(HLOOKUP($B28,'[1]12월'!$D$6:$BN$259,3,),)/1000</f>
        <v>708.89131544459906</v>
      </c>
      <c r="P28" s="56">
        <f>+IFERROR(HLOOKUP($C28,'[2]12월'!$F$6:$CP$99,3,),)/1000</f>
        <v>576.83185300000002</v>
      </c>
      <c r="Q28" s="37">
        <f t="shared" si="4"/>
        <v>-132.05946244459903</v>
      </c>
      <c r="R28" s="37">
        <f>+IFERROR(HLOOKUP($C28,'[3]12월'!$F$6:$CC$57,3,),)/1000</f>
        <v>638.33299999999997</v>
      </c>
      <c r="S28" s="57">
        <f t="shared" si="5"/>
        <v>-61.501146999999946</v>
      </c>
      <c r="T28" s="55">
        <f>+IFERROR(HLOOKUP($B28,'[1]12월'!$D$6:$BN$259,21,),)/1000</f>
        <v>76.491102715255494</v>
      </c>
      <c r="U28" s="56">
        <f>+IFERROR(HLOOKUP($C28,'[2]12월'!$F$6:$CP$99,21,),)/1000</f>
        <v>8.5282270338085979</v>
      </c>
      <c r="V28" s="37">
        <f t="shared" si="6"/>
        <v>-67.962875681446889</v>
      </c>
      <c r="W28" s="37">
        <f>+IFERROR(HLOOKUP($C28,'[3]12월'!$F$6:$CC$57,21,),)/1000</f>
        <v>-21.304281356637599</v>
      </c>
      <c r="X28" s="57">
        <f t="shared" si="7"/>
        <v>29.832508390446197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F29" s="495">
        <f t="shared" ref="F29:F30" si="9">+K29/J29</f>
        <v>0.62748265507804313</v>
      </c>
      <c r="G29" s="335" t="str">
        <f>+I29</f>
        <v>서부산CR</v>
      </c>
      <c r="H29" s="79"/>
      <c r="I29" s="75" t="s">
        <v>124</v>
      </c>
      <c r="J29" s="53">
        <f>+IFERROR(HLOOKUP($B29,'[1]12월'!$D$6:$BN$259,2,),)/1000</f>
        <v>48.511301075268811</v>
      </c>
      <c r="K29" s="58">
        <f>+IFERROR(HLOOKUP($C29,'[2]12월'!$F$6:$CP$99,2,),)/1000</f>
        <v>30.44</v>
      </c>
      <c r="L29" s="47">
        <f t="shared" si="0"/>
        <v>-18.07130107526881</v>
      </c>
      <c r="M29" s="47">
        <f>+IFERROR(HLOOKUP($C29,'[3]12월'!$F$6:$CC$57,2,),)/1000</f>
        <v>1</v>
      </c>
      <c r="N29" s="59">
        <f t="shared" si="3"/>
        <v>29.44</v>
      </c>
      <c r="O29" s="53">
        <f>+IFERROR(HLOOKUP($B29,'[1]12월'!$D$6:$BN$259,3,),)/1000</f>
        <v>717.82161720430111</v>
      </c>
      <c r="P29" s="58">
        <f>+IFERROR(HLOOKUP($C29,'[2]12월'!$F$6:$CP$99,3,),)/1000</f>
        <v>416.928</v>
      </c>
      <c r="Q29" s="47">
        <f t="shared" si="4"/>
        <v>-300.89361720430111</v>
      </c>
      <c r="R29" s="47">
        <f>+IFERROR(HLOOKUP($C29,'[3]12월'!$F$6:$CC$57,3,),)/1000</f>
        <v>11.5</v>
      </c>
      <c r="S29" s="59">
        <f t="shared" si="5"/>
        <v>405.428</v>
      </c>
      <c r="T29" s="53">
        <f>+IFERROR(HLOOKUP($B29,'[1]12월'!$D$6:$BN$259,21,),)/1000</f>
        <v>58.392673486120955</v>
      </c>
      <c r="U29" s="58">
        <f>+IFERROR(HLOOKUP($C29,'[2]12월'!$F$6:$CP$99,21,),)/1000</f>
        <v>-199.95773400414504</v>
      </c>
      <c r="V29" s="47">
        <f t="shared" si="6"/>
        <v>-258.35040749026598</v>
      </c>
      <c r="W29" s="47">
        <f>+IFERROR(HLOOKUP($C29,'[3]12월'!$F$6:$CC$57,21,),)/1000</f>
        <v>-151.79414490851693</v>
      </c>
      <c r="X29" s="59">
        <f t="shared" si="7"/>
        <v>-48.163589095628112</v>
      </c>
      <c r="Y29" s="496"/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F30" s="495">
        <f t="shared" si="9"/>
        <v>0.43648611379314278</v>
      </c>
      <c r="G30" s="335" t="str">
        <f>+I30</f>
        <v>부산CR</v>
      </c>
      <c r="H30" s="79"/>
      <c r="I30" s="77" t="s">
        <v>125</v>
      </c>
      <c r="J30" s="53">
        <f>+IFERROR(HLOOKUP($B30,'[1]12월'!$D$6:$BN$259,2,),)/1000</f>
        <v>39.90963159999999</v>
      </c>
      <c r="K30" s="58">
        <f>+IFERROR(HLOOKUP($C30,'[2]12월'!$F$6:$CP$99,2,),)/1000</f>
        <v>17.420000000000002</v>
      </c>
      <c r="L30" s="47">
        <f t="shared" si="0"/>
        <v>-22.489631599999989</v>
      </c>
      <c r="M30" s="47">
        <f>+IFERROR(HLOOKUP($C30,'[3]12월'!$F$6:$CC$57,2,),)/1000</f>
        <v>35.645000000000003</v>
      </c>
      <c r="N30" s="59">
        <f t="shared" si="3"/>
        <v>-18.225000000000001</v>
      </c>
      <c r="O30" s="53">
        <f>+IFERROR(HLOOKUP($B30,'[1]12월'!$D$6:$BN$259,3,),)/1000</f>
        <v>683.24825779999992</v>
      </c>
      <c r="P30" s="58">
        <f>+IFERROR(HLOOKUP($C30,'[2]12월'!$F$6:$CP$99,3,),)/1000</f>
        <v>343.03559999999999</v>
      </c>
      <c r="Q30" s="47">
        <f t="shared" si="4"/>
        <v>-340.21265779999993</v>
      </c>
      <c r="R30" s="47">
        <f>+IFERROR(HLOOKUP($C30,'[3]12월'!$F$6:$CC$57,3,),)/1000</f>
        <v>630.68150000000003</v>
      </c>
      <c r="S30" s="59">
        <f t="shared" si="5"/>
        <v>-287.64590000000004</v>
      </c>
      <c r="T30" s="53">
        <f>+IFERROR(HLOOKUP($B30,'[1]12월'!$D$6:$BN$259,21,),)/1000</f>
        <v>58.198893776739439</v>
      </c>
      <c r="U30" s="58">
        <f>+IFERROR(HLOOKUP($C30,'[2]12월'!$F$6:$CP$99,21,),)/1000</f>
        <v>-138.15524448000002</v>
      </c>
      <c r="V30" s="47">
        <f t="shared" si="6"/>
        <v>-196.35413825673947</v>
      </c>
      <c r="W30" s="47">
        <f>+IFERROR(HLOOKUP($C30,'[3]12월'!$F$6:$CC$57,21,),)/1000</f>
        <v>-294.10380909999998</v>
      </c>
      <c r="X30" s="59">
        <f t="shared" si="7"/>
        <v>155.94856461999996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0.59301031523673975</v>
      </c>
      <c r="H31" s="134" t="s">
        <v>33</v>
      </c>
      <c r="I31" s="135"/>
      <c r="J31" s="136">
        <f>SUM(J28:J30)</f>
        <v>114.54775449037845</v>
      </c>
      <c r="K31" s="140">
        <f>SUM(K28:K30)</f>
        <v>67.927999999999997</v>
      </c>
      <c r="L31" s="138">
        <f t="shared" si="0"/>
        <v>-46.619754490378455</v>
      </c>
      <c r="M31" s="138">
        <f>SUM(M28:M30)</f>
        <v>59.680000000000007</v>
      </c>
      <c r="N31" s="139">
        <f t="shared" si="3"/>
        <v>8.2479999999999905</v>
      </c>
      <c r="O31" s="136">
        <f>SUM(O28:O30)</f>
        <v>2109.9611904489002</v>
      </c>
      <c r="P31" s="140">
        <f>SUM(P28:P30)</f>
        <v>1336.795453</v>
      </c>
      <c r="Q31" s="138">
        <f t="shared" si="4"/>
        <v>-773.16573744890024</v>
      </c>
      <c r="R31" s="138">
        <f>SUM(R28:R30)</f>
        <v>1280.5145</v>
      </c>
      <c r="S31" s="139">
        <f t="shared" si="5"/>
        <v>56.280952999999954</v>
      </c>
      <c r="T31" s="136">
        <f>SUM(T28:T30)</f>
        <v>193.08266997811592</v>
      </c>
      <c r="U31" s="140">
        <f>SUM(U28:U30)</f>
        <v>-329.58475145033646</v>
      </c>
      <c r="V31" s="138">
        <f t="shared" si="6"/>
        <v>-522.66742142845237</v>
      </c>
      <c r="W31" s="138">
        <f>SUM(W28:W30)</f>
        <v>-467.20223536515448</v>
      </c>
      <c r="X31" s="139">
        <f t="shared" si="7"/>
        <v>137.61748391481802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(IFERROR(HLOOKUP($B32,'[1]12월'!$D$6:$BN$259,3,),)++IFERROR(HLOOKUP($C32,'[1]12월'!$D$6:$BN$259,3,),)+IFERROR(HLOOKUP($D32,'[1]12월'!$D$6:$BN$259,3,),))/1000</f>
        <v>66.666666666666671</v>
      </c>
      <c r="P32" s="46">
        <f>+IFERROR(HLOOKUP($E32,'[2]12월'!$F$6:$CP$99,3,),)/1000</f>
        <v>43.34</v>
      </c>
      <c r="Q32" s="48">
        <f t="shared" si="4"/>
        <v>-23.326666666666668</v>
      </c>
      <c r="R32" s="47">
        <f>+IFERROR(HLOOKUP($E32,'[3]12월'!$F$6:$CC$57,3,),)/1000</f>
        <v>90.84</v>
      </c>
      <c r="S32" s="59">
        <f t="shared" si="5"/>
        <v>-47.5</v>
      </c>
      <c r="T32" s="45">
        <f>(IFERROR(HLOOKUP($B32,'[1]12월'!$D$6:$BN$259,21,),)++IFERROR(HLOOKUP($C32,'[1]12월'!$D$6:$BN$259,21,),)+IFERROR(HLOOKUP($D32,'[1]12월'!$D$6:$BN$259,21,),))/1000</f>
        <v>51.473203666666663</v>
      </c>
      <c r="U32" s="46">
        <f>+IFERROR(HLOOKUP($E32,'[2]12월'!$F$6:$CP$99,16,),)/1000</f>
        <v>26.777420999999997</v>
      </c>
      <c r="V32" s="48">
        <f t="shared" si="6"/>
        <v>-24.695782666666666</v>
      </c>
      <c r="W32" s="47">
        <f>+IFERROR(HLOOKUP($E32,'[3]12월'!$F$6:$CC$57,16,),)/1000</f>
        <v>76.068674999999999</v>
      </c>
      <c r="X32" s="59">
        <f t="shared" si="7"/>
        <v>-49.291254000000002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0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1">+K33-M33</f>
        <v>0</v>
      </c>
      <c r="O33" s="45">
        <f>(+IFERROR(HLOOKUP($B33,'[1]12월'!$D$6:$BN$259,3,),)+IFERROR(HLOOKUP($C33,'[1]12월'!$D$6:$BN$259,3,),))/1000</f>
        <v>74.091499999999996</v>
      </c>
      <c r="P33" s="46">
        <f>+IFERROR(HLOOKUP($E33,'[2]12월'!$F$6:$CP$99,3,),)/1000</f>
        <v>73.910808000000003</v>
      </c>
      <c r="Q33" s="48">
        <f>+P33-O33</f>
        <v>-0.18069199999999341</v>
      </c>
      <c r="R33" s="47">
        <f>+IFERROR(HLOOKUP($E33,'[3]12월'!$F$6:$CC$57,3,),)/1000</f>
        <v>72.691940000000002</v>
      </c>
      <c r="S33" s="59">
        <f t="shared" si="5"/>
        <v>1.2188680000000005</v>
      </c>
      <c r="T33" s="45">
        <f>(+IFERROR(HLOOKUP($B33,'[1]12월'!$D$6:$BN$259,21,),)+IFERROR(HLOOKUP($C33,'[1]12월'!$D$6:$BN$259,21,),))/1000</f>
        <v>76.533943999999991</v>
      </c>
      <c r="U33" s="46">
        <f>+IFERROR(HLOOKUP($E33,'[2]12월'!$F$6:$CP$99,16,),)/1000</f>
        <v>70.357762000000008</v>
      </c>
      <c r="V33" s="48">
        <f t="shared" si="6"/>
        <v>-6.176181999999983</v>
      </c>
      <c r="W33" s="47">
        <f>+IFERROR(HLOOKUP($E33,'[3]12월'!$F$6:$CC$57,16,),)/1000</f>
        <v>75.153125000000017</v>
      </c>
      <c r="X33" s="59">
        <f t="shared" si="7"/>
        <v>-4.7953630000000089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0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1"/>
        <v>0</v>
      </c>
      <c r="O34" s="45"/>
      <c r="P34" s="46"/>
      <c r="Q34" s="48">
        <f>+P34-O34</f>
        <v>0</v>
      </c>
      <c r="R34" s="47"/>
      <c r="S34" s="59">
        <f t="shared" si="5"/>
        <v>0</v>
      </c>
      <c r="T34" s="45">
        <f>-'[1]12월'!$Z$22/1000</f>
        <v>-1332.7152549491345</v>
      </c>
      <c r="U34" s="46">
        <f>+-'[2]12월'!$Z$22/1000</f>
        <v>-1845.4587245463063</v>
      </c>
      <c r="V34" s="48">
        <f t="shared" si="6"/>
        <v>-512.74346959717172</v>
      </c>
      <c r="W34" s="47">
        <f>+-'[3]12월'!$Z$22/1000</f>
        <v>-2089.6312006355133</v>
      </c>
      <c r="X34" s="59">
        <f t="shared" si="7"/>
        <v>244.17247608920707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0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1"/>
        <v>0</v>
      </c>
      <c r="O35" s="45"/>
      <c r="P35" s="46"/>
      <c r="Q35" s="48">
        <f>+P35-O35</f>
        <v>0</v>
      </c>
      <c r="R35" s="47"/>
      <c r="S35" s="59">
        <f t="shared" si="5"/>
        <v>0</v>
      </c>
      <c r="T35" s="45"/>
      <c r="U35" s="46">
        <f>'[2]12월'!$BD$26/1000</f>
        <v>361.91133000000002</v>
      </c>
      <c r="V35" s="48">
        <f t="shared" si="6"/>
        <v>361.91133000000002</v>
      </c>
      <c r="W35" s="47">
        <f>+'[3]12월'!$BD$26/1000</f>
        <v>300</v>
      </c>
      <c r="X35" s="59">
        <f t="shared" si="7"/>
        <v>61.911330000000021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0"/>
        <v>대손</v>
      </c>
      <c r="H36" s="81"/>
      <c r="I36" s="82" t="s">
        <v>96</v>
      </c>
      <c r="J36" s="45"/>
      <c r="K36" s="46"/>
      <c r="L36" s="48"/>
      <c r="M36" s="47"/>
      <c r="N36" s="59">
        <f t="shared" si="11"/>
        <v>0</v>
      </c>
      <c r="O36" s="45"/>
      <c r="P36" s="46"/>
      <c r="Q36" s="48">
        <f>+P36-O36</f>
        <v>0</v>
      </c>
      <c r="R36" s="47"/>
      <c r="S36" s="59">
        <f t="shared" si="5"/>
        <v>0</v>
      </c>
      <c r="T36" s="45"/>
      <c r="U36" s="46">
        <f>'[2]12월'!$BE$26/1000</f>
        <v>-441.383038</v>
      </c>
      <c r="V36" s="48">
        <f t="shared" si="6"/>
        <v>-441.383038</v>
      </c>
      <c r="W36" s="47">
        <f>'[3]12월'!$BE$26/1000</f>
        <v>319.51270899999997</v>
      </c>
      <c r="X36" s="59">
        <f t="shared" si="7"/>
        <v>-760.89574700000003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0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1"/>
        <v>0</v>
      </c>
      <c r="O37" s="45"/>
      <c r="P37" s="46"/>
      <c r="Q37" s="48">
        <f>+P37-O37</f>
        <v>0</v>
      </c>
      <c r="R37" s="47">
        <f>+IFERROR(HLOOKUP($I$37,'[3]12월'!$F$6:$BJ$50,3,),)/1000</f>
        <v>0</v>
      </c>
      <c r="S37" s="59">
        <f t="shared" si="5"/>
        <v>0</v>
      </c>
      <c r="T37" s="45">
        <f>SUM('[1]12월'!$AM$26:$AQ$26)/1000</f>
        <v>-0.18780899999999928</v>
      </c>
      <c r="U37" s="46">
        <f>+'[2]12월'!$BF$26/1000</f>
        <v>0.8370439999999999</v>
      </c>
      <c r="V37" s="48">
        <f t="shared" si="6"/>
        <v>1.0248529999999991</v>
      </c>
      <c r="W37" s="47">
        <f>+'[3]12월'!$BF$26/1000</f>
        <v>-3.6895869999999995</v>
      </c>
      <c r="X37" s="59">
        <f>+U37-W37</f>
        <v>4.5266309999999992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0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+'[2]12월'!$BG$26/1000</f>
        <v>0</v>
      </c>
      <c r="V38" s="48">
        <f t="shared" si="6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IFERROR(HLOOKUP($B38,'[1]12월'!$D$6:$BN$259,3,),)/1000</f>
        <v>1.77</v>
      </c>
      <c r="P39" s="46">
        <f>+('[2]12월'!$F$8-SUM('[2]12월'!$Z$8,'[2]12월'!$AH$8,'[2]12월'!$AN$8,'[2]12월'!$AO$8,'[2]12월'!$BA$8,'[2]12월'!$BD$8,'[2]12월'!$BE$8,'[2]12월'!$BF$8))/1000</f>
        <v>1.6413000000007452</v>
      </c>
      <c r="Q39" s="54">
        <f>+P39-O39</f>
        <v>-0.12869999999925485</v>
      </c>
      <c r="R39" s="60">
        <f>+('[3]12월'!$F$8-SUM('[3]12월'!$Z$8,'[3]12월'!$AH$8,'[3]12월'!$AN$8,'[3]12월'!$AO$8,'[3]12월'!$BA$8,'[3]12월'!$BD$8,'[3]12월'!$BE$8,'[3]12월'!$BF$8))/1000</f>
        <v>1.6798500000014902</v>
      </c>
      <c r="S39" s="61">
        <f>+P39-R39</f>
        <v>-3.8550000000745044E-2</v>
      </c>
      <c r="T39" s="45">
        <f>+('[1]12월'!$E$26-'[1]12월'!$Z$26-'[1]12월'!$AA$26-'[1]12월'!$AE$26-'[1]12월'!$AL$26-'[1]12월'!$AM$26-'[1]12월'!$AN$26-'[1]12월'!$AO$26-'[1]12월'!$AP$26-'[1]12월'!$AQ$26-'[1]12월'!$AS$26+'[1]12월'!$AS$26)/1000</f>
        <v>-75.182553999996685</v>
      </c>
      <c r="U39" s="46">
        <f>+('[2]12월'!$F$26-SUM('[2]12월'!$Z$26,'[2]12월'!$AH$26,'[2]12월'!$AN$26,'[2]12월'!$AO$26,'[2]12월'!$BA$26,'[2]12월'!$BD$26,'[2]12월'!$BE$26,'[2]12월'!$BF$26))/1000-U38</f>
        <v>6.1903039999892933</v>
      </c>
      <c r="V39" s="48">
        <f>+U39-T39</f>
        <v>81.372857999985982</v>
      </c>
      <c r="W39" s="60">
        <f>+('[3]12월'!$F$26-SUM('[3]12월'!$Z$26,'[3]12월'!$AH$26,'[3]12월'!$AN$26,'[3]12월'!$AO$26,'[3]12월'!$BA$26,'[3]12월'!$BD$26,'[3]12월'!$BE$26,'[3]12월'!$BF$26))/1000</f>
        <v>16.456465000002414</v>
      </c>
      <c r="X39" s="59">
        <f>+U39-W39</f>
        <v>-10.26616100001312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1"/>
        <v>0</v>
      </c>
      <c r="O40" s="136">
        <f>SUM(O32:O39)</f>
        <v>142.52816666666669</v>
      </c>
      <c r="P40" s="137">
        <f>SUM(P32:P39)</f>
        <v>118.89210800000075</v>
      </c>
      <c r="Q40" s="141">
        <f t="shared" si="4"/>
        <v>-23.636058666665946</v>
      </c>
      <c r="R40" s="142">
        <f>SUM(R32:R39)</f>
        <v>165.21179000000151</v>
      </c>
      <c r="S40" s="143">
        <f>+P40-R40</f>
        <v>-46.319682000000768</v>
      </c>
      <c r="T40" s="136">
        <f>SUM(T32:T39)</f>
        <v>-1280.0784702824644</v>
      </c>
      <c r="U40" s="137">
        <f>SUM(U32:U39)</f>
        <v>-1820.7679015463166</v>
      </c>
      <c r="V40" s="141">
        <f>+U40-T40</f>
        <v>-540.68943126385216</v>
      </c>
      <c r="W40" s="142">
        <f>SUM(W32:W39)</f>
        <v>-1306.129813635511</v>
      </c>
      <c r="X40" s="143">
        <f>+U40-W40</f>
        <v>-514.63808791080555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0.73953016302821672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33403.690395597099</v>
      </c>
      <c r="P42" s="280">
        <f>+P27+P31+P40</f>
        <v>24703.036604000001</v>
      </c>
      <c r="Q42" s="281">
        <f t="shared" si="4"/>
        <v>-8700.6537915970985</v>
      </c>
      <c r="R42" s="280">
        <f>+R27+R31+R40</f>
        <v>28618.435305000003</v>
      </c>
      <c r="S42" s="283">
        <f>+P42-R42</f>
        <v>-3915.3987010000019</v>
      </c>
      <c r="T42" s="280">
        <f>+T27+T31+T40</f>
        <v>2504.5481576243783</v>
      </c>
      <c r="U42" s="280">
        <f>+U27+U31+U40</f>
        <v>-1940.8534809966525</v>
      </c>
      <c r="V42" s="281">
        <f>+U42-T42</f>
        <v>-4445.4016386210305</v>
      </c>
      <c r="W42" s="280">
        <f>+W27+W31+W40</f>
        <v>-1205.1082630006649</v>
      </c>
      <c r="X42" s="283">
        <f>+U42-W42</f>
        <v>-735.74521799598756</v>
      </c>
      <c r="Y42" s="657"/>
      <c r="Z42" s="658"/>
      <c r="AA42" s="658"/>
      <c r="AB42" s="658"/>
      <c r="AC42" s="658"/>
      <c r="AD42" s="658"/>
      <c r="AE42" s="658"/>
      <c r="AF42" s="658"/>
      <c r="AG42" s="659"/>
      <c r="AH42" s="25"/>
      <c r="AJ42" s="486"/>
      <c r="AK42" s="488"/>
      <c r="AO42" s="486"/>
    </row>
    <row r="43" spans="2:43" s="33" customFormat="1" x14ac:dyDescent="0.3">
      <c r="G43" s="336">
        <f>+U42/T42</f>
        <v>-0.77493158799453743</v>
      </c>
      <c r="P43" s="295">
        <f>+P42/O42</f>
        <v>0.73953016302821672</v>
      </c>
      <c r="R43" s="295">
        <f>+P42/R42</f>
        <v>0.86318613651404164</v>
      </c>
      <c r="T43" s="295">
        <f>+T42/O42</f>
        <v>7.4978187378796315E-2</v>
      </c>
      <c r="U43" s="295">
        <f>+U42/P42</f>
        <v>-7.8567404975726049E-2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/>
      <c r="G45" s="336"/>
      <c r="I45" s="654" t="s">
        <v>82</v>
      </c>
      <c r="J45" s="126">
        <f>+'[1]12월'!$Z$7/1000</f>
        <v>305</v>
      </c>
      <c r="K45" s="127">
        <f>+'[2]12월'!$AI$7/1000</f>
        <v>228.56005999999999</v>
      </c>
      <c r="L45" s="127"/>
      <c r="M45" s="127">
        <f>+'[3]12월'!$Z$7/1000</f>
        <v>272.28899999999999</v>
      </c>
      <c r="N45" s="127"/>
      <c r="O45" s="127">
        <f>('[1]12월'!$E$8-'[1]12월'!$AA$8)/1000</f>
        <v>33403.690395597099</v>
      </c>
      <c r="P45" s="127">
        <f>('[2]12월'!$F$8-'[2]12월'!$AO$8)/1000</f>
        <v>24703.036603999994</v>
      </c>
      <c r="Q45" s="127"/>
      <c r="R45" s="127">
        <f>('[3]12월'!$F$8-'[3]12월'!$AO$8)/1000</f>
        <v>28618.435304999999</v>
      </c>
      <c r="S45" s="127"/>
      <c r="T45" s="132">
        <f>('[1]12월'!$E$26-'[1]12월'!$AA$26)/1000</f>
        <v>2504.5481576243792</v>
      </c>
      <c r="U45" s="127">
        <f>('[2]12월'!$F$26-'[2]12월'!$AO$26)/1000</f>
        <v>-1940.8534809966527</v>
      </c>
      <c r="V45" s="127"/>
      <c r="W45" s="127">
        <f>('[3]12월'!$F$26-'[3]12월'!$AO$26)/1000</f>
        <v>-1205.1082630006649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1.1382037533512062</v>
      </c>
      <c r="G46" s="336">
        <f>+K31/J31</f>
        <v>0.59301031523673975</v>
      </c>
      <c r="I46" s="654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0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36">
        <f>+(T27+T34)/100</f>
        <v>22.588287029795922</v>
      </c>
      <c r="U48" s="236">
        <f>+(U27+U34)/100</f>
        <v>-16.359595525463057</v>
      </c>
      <c r="V48" s="236">
        <f>+U48-T48</f>
        <v>-38.947882555258978</v>
      </c>
      <c r="AC48" s="34"/>
      <c r="AD48" s="33"/>
      <c r="AE48" s="33"/>
      <c r="AF48" s="34"/>
    </row>
    <row r="49" spans="7:33" x14ac:dyDescent="0.3">
      <c r="O49" s="492"/>
      <c r="P49" s="492"/>
      <c r="Q49" s="492"/>
      <c r="T49" s="236">
        <f>+T31/100</f>
        <v>1.9308266997811592</v>
      </c>
      <c r="U49" s="236">
        <f>+U31/100</f>
        <v>-3.2958475145033646</v>
      </c>
      <c r="V49" s="236">
        <f>+U49-T49</f>
        <v>-5.2266742142845235</v>
      </c>
      <c r="W49" s="235"/>
      <c r="AC49" s="34"/>
      <c r="AD49" s="33"/>
      <c r="AE49" s="33"/>
      <c r="AF49" s="34"/>
    </row>
    <row r="50" spans="7:33" x14ac:dyDescent="0.3">
      <c r="Q50" s="235"/>
      <c r="T50" s="6">
        <f>+(T32+T33)/100</f>
        <v>1.2800714766666663</v>
      </c>
      <c r="U50" s="6">
        <f>+(U32+U33)/100</f>
        <v>0.97135183000000014</v>
      </c>
      <c r="V50" s="294">
        <f>+U50-T50</f>
        <v>-0.30871964666666618</v>
      </c>
      <c r="AC50" s="34"/>
      <c r="AD50" s="33"/>
      <c r="AE50" s="33"/>
      <c r="AF50" s="34"/>
    </row>
    <row r="51" spans="7:33" x14ac:dyDescent="0.3">
      <c r="G51" s="568"/>
      <c r="I51" s="492"/>
      <c r="T51" s="6">
        <f>+T42/100-T48-T49-T50</f>
        <v>-0.7537036299999631</v>
      </c>
      <c r="U51" s="600">
        <f>+U42/100-U48-U49-U50</f>
        <v>-0.72444360000010422</v>
      </c>
      <c r="V51" s="294">
        <f>+U51-T51</f>
        <v>2.9260029999858883E-2</v>
      </c>
      <c r="AC51" s="34"/>
      <c r="AD51" s="33"/>
      <c r="AE51" s="33"/>
      <c r="AF51" s="34"/>
    </row>
    <row r="52" spans="7:33" x14ac:dyDescent="0.3">
      <c r="G52" s="568"/>
      <c r="I52" s="492"/>
      <c r="N52" s="492"/>
      <c r="S52" s="236"/>
      <c r="T52" s="236">
        <f>+SUM(T48:T51)</f>
        <v>25.045481576243787</v>
      </c>
      <c r="U52" s="236">
        <f>+SUM(U48:U51)</f>
        <v>-19.408534809966525</v>
      </c>
      <c r="V52" s="236">
        <f>+U52-T52</f>
        <v>-44.454016386210313</v>
      </c>
      <c r="AC52" s="34"/>
      <c r="AD52" s="33"/>
      <c r="AE52" s="33"/>
      <c r="AF52" s="34"/>
    </row>
    <row r="53" spans="7:33" x14ac:dyDescent="0.3">
      <c r="G53" s="568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8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8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8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8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8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8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8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8"/>
      <c r="I62" s="492"/>
      <c r="T62" s="6"/>
      <c r="U62" s="6"/>
      <c r="V62" s="6"/>
      <c r="AC62" s="236"/>
      <c r="AE62" s="236"/>
    </row>
    <row r="63" spans="7:33" x14ac:dyDescent="0.3">
      <c r="G63" s="568"/>
      <c r="AC63" s="236"/>
      <c r="AE63" s="236"/>
    </row>
    <row r="64" spans="7:33" x14ac:dyDescent="0.3">
      <c r="G64" s="568"/>
      <c r="AC64" s="236"/>
      <c r="AE64" s="236"/>
    </row>
    <row r="65" spans="7:31" x14ac:dyDescent="0.3">
      <c r="G65" s="568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8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34998626667073579"/>
    <pageSetUpPr fitToPage="1"/>
  </sheetPr>
  <dimension ref="A1:AR52"/>
  <sheetViews>
    <sheetView showGridLines="0" showZeros="0" topLeftCell="E22" zoomScale="85" zoomScaleNormal="85" zoomScaleSheetLayoutView="85" workbookViewId="0">
      <selection activeCell="T38" sqref="T38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222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51" t="s">
        <v>11</v>
      </c>
      <c r="I5" s="652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215</v>
      </c>
      <c r="G6" s="334"/>
      <c r="H6" s="653"/>
      <c r="I6" s="650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+IFERROR(HLOOKUP($B7,'[1]12월누계'!$D$6:$BN$259,2,),)/1000</f>
        <v>460</v>
      </c>
      <c r="K7" s="36">
        <f>+IFERROR(HLOOKUP($B7,'[2]12월누계'!$F$6:$CP$99,2,),)/1000</f>
        <v>384.41199999999998</v>
      </c>
      <c r="L7" s="37">
        <f t="shared" ref="L7:L31" si="0">+K7-J7</f>
        <v>-75.588000000000022</v>
      </c>
      <c r="M7" s="38">
        <f>+IFERROR(HLOOKUP($B7,'[3]12월누계'!$F$6:$CC$57,2,),)/1000</f>
        <v>446.90699999999998</v>
      </c>
      <c r="N7" s="39">
        <f>+K7-M7</f>
        <v>-62.495000000000005</v>
      </c>
      <c r="O7" s="35">
        <f>+IFERROR(HLOOKUP($B7,'[1]12월누계'!$D$6:$BN$259,3,),)/1000</f>
        <v>46000.121885999994</v>
      </c>
      <c r="P7" s="36">
        <f>+IFERROR(HLOOKUP($B7,'[2]12월누계'!$F$6:$CP$99,3,),)/1000</f>
        <v>37265.994529999996</v>
      </c>
      <c r="Q7" s="37">
        <f>+P7-O7</f>
        <v>-8734.1273559999972</v>
      </c>
      <c r="R7" s="38">
        <f>+IFERROR(HLOOKUP($B7,'[3]12월누계'!$F$6:$CC$57,3,),)/1000</f>
        <v>44168.649734000006</v>
      </c>
      <c r="S7" s="39">
        <f>+P7-R7</f>
        <v>-6902.6552040000097</v>
      </c>
      <c r="T7" s="35">
        <f>+IFERROR(HLOOKUP($B7,'[1]12월누계'!$D$6:$BN$259,16,),)/1000</f>
        <v>4666.8369213121841</v>
      </c>
      <c r="U7" s="36">
        <f>+IFERROR(HLOOKUP($B7,'[2]12월누계'!$F$6:$CP$99,16,),)/1000</f>
        <v>2559.8566429999901</v>
      </c>
      <c r="V7" s="40">
        <f>+U7-T7</f>
        <v>-2106.9802783121941</v>
      </c>
      <c r="W7" s="41">
        <f>+IFERROR(HLOOKUP($B7,'[3]12월누계'!$F$6:$CC$57,16,),)/1000</f>
        <v>3848.9544990000009</v>
      </c>
      <c r="X7" s="39">
        <f>+U7-W7</f>
        <v>-1289.0978560000108</v>
      </c>
      <c r="Y7" s="35">
        <f>+[12]안양!$Q$85</f>
        <v>100000.26496956521</v>
      </c>
      <c r="Z7" s="36">
        <f>+[12]안양!$R$85</f>
        <v>96936.553820033951</v>
      </c>
      <c r="AA7" s="42">
        <f>+[13]안양!$Q$85</f>
        <v>98828.586406819421</v>
      </c>
      <c r="AB7" s="43">
        <f>+[12]안양!$Q$89</f>
        <v>81888.667004429022</v>
      </c>
      <c r="AC7" s="36">
        <f>+[12]안양!$R$89</f>
        <v>80323.369551484517</v>
      </c>
      <c r="AD7" s="44">
        <f>+[13]안양!$Q$89</f>
        <v>81804.461806674546</v>
      </c>
      <c r="AE7" s="43">
        <f>+Y7-AB7</f>
        <v>18111.597965136185</v>
      </c>
      <c r="AF7" s="36">
        <f>+Z7-AC7</f>
        <v>16613.184268549434</v>
      </c>
      <c r="AG7" s="44">
        <f>+AA7-AD7</f>
        <v>17024.124600144874</v>
      </c>
      <c r="AH7" s="17"/>
      <c r="AI7" s="611">
        <f>+K7/J7</f>
        <v>0.8356782608695652</v>
      </c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+IFERROR(HLOOKUP($B8,'[1]12월누계'!$D$6:$BN$259,2,),)/1000</f>
        <v>340</v>
      </c>
      <c r="K8" s="46">
        <f>+IFERROR(HLOOKUP($B8,'[2]12월누계'!$F$6:$CP$99,2,),)/1000</f>
        <v>335.32749999999999</v>
      </c>
      <c r="L8" s="47">
        <f t="shared" si="0"/>
        <v>-4.6725000000000136</v>
      </c>
      <c r="M8" s="48">
        <f>+IFERROR(HLOOKUP($B8,'[3]12월누계'!$F$6:$CC$57,2,),)/1000</f>
        <v>326.94400000000002</v>
      </c>
      <c r="N8" s="49">
        <f t="shared" ref="N8:N31" si="2">+K8-M8</f>
        <v>8.3834999999999695</v>
      </c>
      <c r="O8" s="45">
        <f>+IFERROR(HLOOKUP($B8,'[1]12월누계'!$D$6:$BN$259,3,),)/1000</f>
        <v>34017.326207224585</v>
      </c>
      <c r="P8" s="46">
        <f>+IFERROR(HLOOKUP($B8,'[2]12월누계'!$F$6:$CP$99,3,),)/1000</f>
        <v>32602.900344000005</v>
      </c>
      <c r="Q8" s="47">
        <f t="shared" ref="Q8:Q42" si="3">+P8-O8</f>
        <v>-1414.4258632245801</v>
      </c>
      <c r="R8" s="48">
        <f>+IFERROR(HLOOKUP($B8,'[3]12월누계'!$F$6:$CC$57,3,),)/1000</f>
        <v>32487.435569999998</v>
      </c>
      <c r="S8" s="49">
        <f t="shared" ref="S8:S37" si="4">+P8-R8</f>
        <v>115.46477400000731</v>
      </c>
      <c r="T8" s="45">
        <f>+IFERROR(HLOOKUP($B8,'[1]12월누계'!$D$6:$BN$259,16,),)/1000</f>
        <v>2196.5596801327824</v>
      </c>
      <c r="U8" s="46">
        <f>+IFERROR(HLOOKUP($B8,'[2]12월누계'!$F$6:$CP$99,16,),)/1000</f>
        <v>111.42869702000532</v>
      </c>
      <c r="V8" s="47">
        <f t="shared" ref="V8:V38" si="5">+U8-T8</f>
        <v>-2085.1309831127769</v>
      </c>
      <c r="W8" s="48">
        <f>+IFERROR(HLOOKUP($B8,'[3]12월누계'!$F$6:$CC$57,16,),)/1000</f>
        <v>1685.1571020100014</v>
      </c>
      <c r="X8" s="49">
        <f t="shared" ref="X8:X36" si="6">+U8-W8</f>
        <v>-1573.7284049899961</v>
      </c>
      <c r="Y8" s="45">
        <f>+[12]인천!$Q$85</f>
        <v>100050.95943301349</v>
      </c>
      <c r="Z8" s="46">
        <f>+[12]인천!$R$85</f>
        <v>97294.261391949753</v>
      </c>
      <c r="AA8" s="50">
        <f>+[13]인천!$Q$85</f>
        <v>99370.183978313027</v>
      </c>
      <c r="AB8" s="51">
        <f>+[12]인천!$Q$89</f>
        <v>82988.014461764164</v>
      </c>
      <c r="AC8" s="46">
        <f>+[12]인천!$R$89</f>
        <v>85291.267240771354</v>
      </c>
      <c r="AD8" s="52">
        <f>+[13]인천!$Q$89</f>
        <v>83063.771691492002</v>
      </c>
      <c r="AE8" s="51">
        <f t="shared" ref="AE8:AG27" si="7">+Y8-AB8</f>
        <v>17062.944971249322</v>
      </c>
      <c r="AF8" s="46">
        <f t="shared" si="7"/>
        <v>12002.994151178398</v>
      </c>
      <c r="AG8" s="52">
        <f t="shared" si="7"/>
        <v>16306.412286821025</v>
      </c>
      <c r="AH8" s="17"/>
      <c r="AI8" s="611">
        <f t="shared" ref="AI8:AI27" si="8">+K8/J8</f>
        <v>0.98625735294117645</v>
      </c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+IFERROR(HLOOKUP($B9,'[1]12월누계'!$D$6:$BN$259,2,),)/1000</f>
        <v>250</v>
      </c>
      <c r="K9" s="46">
        <f>+IFERROR(HLOOKUP($B9,'[2]12월누계'!$F$6:$CP$99,2,),)/1000</f>
        <v>156.92599999999999</v>
      </c>
      <c r="L9" s="47">
        <f t="shared" si="0"/>
        <v>-93.074000000000012</v>
      </c>
      <c r="M9" s="48">
        <f>+IFERROR(HLOOKUP($B9,'[3]12월누계'!$F$6:$CC$57,2,),)/1000</f>
        <v>282.35199999999998</v>
      </c>
      <c r="N9" s="49">
        <f t="shared" si="2"/>
        <v>-125.42599999999999</v>
      </c>
      <c r="O9" s="45">
        <f>+IFERROR(HLOOKUP($B9,'[1]12월누계'!$D$6:$BN$259,3,),)/1000</f>
        <v>24100</v>
      </c>
      <c r="P9" s="46">
        <f>+IFERROR(HLOOKUP($B9,'[2]12월누계'!$F$6:$CP$99,3,),)/1000</f>
        <v>14557.317443</v>
      </c>
      <c r="Q9" s="47">
        <f t="shared" si="3"/>
        <v>-9542.6825570000001</v>
      </c>
      <c r="R9" s="48">
        <f>+IFERROR(HLOOKUP($B9,'[3]12월누계'!$F$6:$CC$57,3,),)/1000</f>
        <v>27203.180146000002</v>
      </c>
      <c r="S9" s="49">
        <f t="shared" si="4"/>
        <v>-12645.862703000003</v>
      </c>
      <c r="T9" s="45">
        <f>+IFERROR(HLOOKUP($B9,'[1]12월누계'!$D$6:$BN$259,16,),)/1000</f>
        <v>1246.0797276332651</v>
      </c>
      <c r="U9" s="46">
        <f>+IFERROR(HLOOKUP($B9,'[2]12월누계'!$F$6:$CP$99,16,),)/1000</f>
        <v>-546.10740800000031</v>
      </c>
      <c r="V9" s="47">
        <f t="shared" si="5"/>
        <v>-1792.1871356332654</v>
      </c>
      <c r="W9" s="48">
        <f>+IFERROR(HLOOKUP($B9,'[3]12월누계'!$F$6:$CC$57,16,),)/1000</f>
        <v>1613.3619469999996</v>
      </c>
      <c r="X9" s="49">
        <f t="shared" si="6"/>
        <v>-2159.4693550000002</v>
      </c>
      <c r="Y9" s="45">
        <f>+[12]파주!$Q$85</f>
        <v>96400</v>
      </c>
      <c r="Z9" s="46">
        <f>+[12]파주!$R$85</f>
        <v>92823.297857336933</v>
      </c>
      <c r="AA9" s="50">
        <f>+[13]파주!$Q$85</f>
        <v>96350.004097686557</v>
      </c>
      <c r="AB9" s="51">
        <f>+[12]파주!$Q$89</f>
        <v>80251.610860217668</v>
      </c>
      <c r="AC9" s="46">
        <f>+[12]파주!$R$89</f>
        <v>79615.938744356332</v>
      </c>
      <c r="AD9" s="52">
        <f>+[13]파주!$Q$89</f>
        <v>80693.654991312302</v>
      </c>
      <c r="AE9" s="51">
        <f t="shared" si="7"/>
        <v>16148.389139782332</v>
      </c>
      <c r="AF9" s="46">
        <f t="shared" si="7"/>
        <v>13207.359112980601</v>
      </c>
      <c r="AG9" s="52">
        <f t="shared" si="7"/>
        <v>15656.349106374255</v>
      </c>
      <c r="AH9" s="17"/>
      <c r="AI9" s="611">
        <f t="shared" si="8"/>
        <v>0.62770399999999993</v>
      </c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+IFERROR(HLOOKUP($B10,'[1]12월누계'!$D$6:$BN$259,2,),)/1000</f>
        <v>170</v>
      </c>
      <c r="K10" s="46">
        <f>+IFERROR(HLOOKUP($B10,'[2]12월누계'!$F$6:$CP$99,2,),)/1000</f>
        <v>125.04888000000001</v>
      </c>
      <c r="L10" s="47">
        <f t="shared" si="0"/>
        <v>-44.951119999999989</v>
      </c>
      <c r="M10" s="48">
        <f>+IFERROR(HLOOKUP($B10,'[3]12월누계'!$F$6:$CC$57,2,),)/1000</f>
        <v>145.364</v>
      </c>
      <c r="N10" s="49">
        <f t="shared" si="2"/>
        <v>-20.315119999999993</v>
      </c>
      <c r="O10" s="45">
        <f>+IFERROR(HLOOKUP($B10,'[1]12월누계'!$D$6:$BN$259,3,),)/1000</f>
        <v>16150.912720000002</v>
      </c>
      <c r="P10" s="46">
        <f>+IFERROR(HLOOKUP($B10,'[2]12월누계'!$F$6:$CP$99,3,),)/1000</f>
        <v>11979.622609000002</v>
      </c>
      <c r="Q10" s="47">
        <f t="shared" si="3"/>
        <v>-4171.2901110000003</v>
      </c>
      <c r="R10" s="48">
        <f>+IFERROR(HLOOKUP($B10,'[3]12월누계'!$F$6:$CC$57,3,),)/1000</f>
        <v>14094.889742000003</v>
      </c>
      <c r="S10" s="49">
        <f t="shared" si="4"/>
        <v>-2115.2671330000012</v>
      </c>
      <c r="T10" s="45">
        <f>+IFERROR(HLOOKUP($B10,'[1]12월누계'!$D$6:$BN$259,16,),)/1000</f>
        <v>1105.9958637866666</v>
      </c>
      <c r="U10" s="46">
        <f>+IFERROR(HLOOKUP($B10,'[2]12월누계'!$F$6:$CP$99,16,),)/1000</f>
        <v>-65.109121999997882</v>
      </c>
      <c r="V10" s="47">
        <f t="shared" si="5"/>
        <v>-1171.1049857866644</v>
      </c>
      <c r="W10" s="48">
        <f>+IFERROR(HLOOKUP($B10,'[3]12월누계'!$F$6:$CC$57,16,),)/1000</f>
        <v>988.38396000000091</v>
      </c>
      <c r="X10" s="49">
        <f t="shared" si="6"/>
        <v>-1053.4930819999988</v>
      </c>
      <c r="Y10" s="45">
        <f>+[12]김포!$Q$85</f>
        <v>95005.368941176479</v>
      </c>
      <c r="Z10" s="46">
        <f>+[12]김포!$R$85</f>
        <v>95854.400591598402</v>
      </c>
      <c r="AA10" s="50">
        <f>+[13]김포!$Q$85</f>
        <v>96982.545526337664</v>
      </c>
      <c r="AB10" s="51">
        <f>+[12]김포!$Q$89</f>
        <v>76300.24699733335</v>
      </c>
      <c r="AC10" s="46">
        <f>+[12]김포!$R$89</f>
        <v>79255.322461139818</v>
      </c>
      <c r="AD10" s="52">
        <f>+[13]김포!$Q$89</f>
        <v>76390.145436038045</v>
      </c>
      <c r="AE10" s="51">
        <f t="shared" si="7"/>
        <v>18705.121943843129</v>
      </c>
      <c r="AF10" s="46">
        <f t="shared" si="7"/>
        <v>16599.078130458583</v>
      </c>
      <c r="AG10" s="52">
        <f t="shared" si="7"/>
        <v>20592.400090299619</v>
      </c>
      <c r="AH10" s="17"/>
      <c r="AI10" s="611">
        <f t="shared" si="8"/>
        <v>0.73558164705882356</v>
      </c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+IFERROR(HLOOKUP($B11,'[1]12월누계'!$D$6:$BN$259,2,),)/1000</f>
        <v>240</v>
      </c>
      <c r="K11" s="63">
        <f>+IFERROR(HLOOKUP($B11,'[2]12월누계'!$F$6:$CP$99,2,),)/1000</f>
        <v>240.083</v>
      </c>
      <c r="L11" s="64">
        <f t="shared" si="0"/>
        <v>8.2999999999998408E-2</v>
      </c>
      <c r="M11" s="65">
        <f>+IFERROR(HLOOKUP($B11,'[3]12월누계'!$F$6:$CC$57,2,),)/1000</f>
        <v>233.70150000000001</v>
      </c>
      <c r="N11" s="66">
        <f t="shared" si="2"/>
        <v>6.3814999999999884</v>
      </c>
      <c r="O11" s="62">
        <f>+IFERROR(HLOOKUP($B11,'[1]12월누계'!$D$6:$BN$259,3,),)/1000</f>
        <v>25847.992420300001</v>
      </c>
      <c r="P11" s="63">
        <f>+IFERROR(HLOOKUP($B11,'[2]12월누계'!$F$6:$CP$99,3,),)/1000</f>
        <v>25935.449797000001</v>
      </c>
      <c r="Q11" s="64">
        <f t="shared" si="3"/>
        <v>87.457376700000168</v>
      </c>
      <c r="R11" s="65">
        <f>+IFERROR(HLOOKUP($B11,'[3]12월누계'!$F$6:$CC$57,3,),)/1000</f>
        <v>25325.075207000002</v>
      </c>
      <c r="S11" s="66">
        <f t="shared" si="4"/>
        <v>610.37458999999944</v>
      </c>
      <c r="T11" s="62">
        <f>+IFERROR(HLOOKUP($B11,'[1]12월누계'!$D$6:$BN$259,16,),)/1000</f>
        <v>2244.4959228301373</v>
      </c>
      <c r="U11" s="63">
        <f>+IFERROR(HLOOKUP($B11,'[2]12월누계'!$F$6:$CP$99,16,),)/1000</f>
        <v>2270.3054960000054</v>
      </c>
      <c r="V11" s="64">
        <f t="shared" si="5"/>
        <v>25.809573169868145</v>
      </c>
      <c r="W11" s="65">
        <f>+IFERROR(HLOOKUP($B11,'[3]12월누계'!$F$6:$CC$57,16,),)/1000</f>
        <v>2318.2684079999972</v>
      </c>
      <c r="X11" s="66">
        <f t="shared" si="6"/>
        <v>-47.962911999991775</v>
      </c>
      <c r="Y11" s="62">
        <f>+[12]부산!$Q$85</f>
        <v>107699.96841791667</v>
      </c>
      <c r="Z11" s="63">
        <f>+[12]부산!$R$85</f>
        <v>108027.01481154434</v>
      </c>
      <c r="AA11" s="67">
        <f>+[13]부산!$Q$85</f>
        <v>108365.05203004688</v>
      </c>
      <c r="AB11" s="68">
        <f>+[12]부산!$Q$89</f>
        <v>84994.315605026626</v>
      </c>
      <c r="AC11" s="63">
        <f>+[12]부산!$R$89</f>
        <v>85770.405811606601</v>
      </c>
      <c r="AD11" s="69">
        <f>+[13]부산!$Q$89</f>
        <v>84633.087474035186</v>
      </c>
      <c r="AE11" s="68">
        <f t="shared" si="7"/>
        <v>22705.652812890039</v>
      </c>
      <c r="AF11" s="63">
        <f t="shared" si="7"/>
        <v>22256.608999937744</v>
      </c>
      <c r="AG11" s="69">
        <f t="shared" si="7"/>
        <v>23731.964556011691</v>
      </c>
      <c r="AH11" s="17"/>
      <c r="AI11" s="611">
        <f t="shared" si="8"/>
        <v>1.0003458333333333</v>
      </c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+IFERROR(HLOOKUP($B12,'[1]12월누계'!$D$6:$BN$259,2,),)/1000</f>
        <v>240</v>
      </c>
      <c r="K12" s="46">
        <f>+IFERROR(HLOOKUP($B12,'[2]12월누계'!$F$6:$CP$99,2,),)/1000</f>
        <v>212.59399999999999</v>
      </c>
      <c r="L12" s="47">
        <f t="shared" si="0"/>
        <v>-27.406000000000006</v>
      </c>
      <c r="M12" s="48">
        <f>+IFERROR(HLOOKUP($B12,'[3]12월누계'!$F$6:$CC$57,2,),)/1000</f>
        <v>251.17099999999999</v>
      </c>
      <c r="N12" s="49">
        <f t="shared" si="2"/>
        <v>-38.576999999999998</v>
      </c>
      <c r="O12" s="45">
        <f>+IFERROR(HLOOKUP($B12,'[1]12월누계'!$D$6:$BN$259,3,),)/1000</f>
        <v>23831.984961580019</v>
      </c>
      <c r="P12" s="46">
        <f>+IFERROR(HLOOKUP($B12,'[2]12월누계'!$F$6:$CP$99,3,),)/1000</f>
        <v>21078.774517999998</v>
      </c>
      <c r="Q12" s="47">
        <f t="shared" si="3"/>
        <v>-2753.2104435800211</v>
      </c>
      <c r="R12" s="48">
        <f>+IFERROR(HLOOKUP($B12,'[3]12월누계'!$F$6:$CC$57,3,),)/1000</f>
        <v>25076.528038</v>
      </c>
      <c r="S12" s="49">
        <f t="shared" si="4"/>
        <v>-3997.753520000002</v>
      </c>
      <c r="T12" s="45">
        <f>+IFERROR(HLOOKUP($B12,'[1]12월누계'!$D$6:$BN$259,16,),)/1000</f>
        <v>2343.0767859189855</v>
      </c>
      <c r="U12" s="46">
        <f>+IFERROR(HLOOKUP($B12,'[2]12월누계'!$F$6:$CP$99,16,),)/1000</f>
        <v>1539.9346089999985</v>
      </c>
      <c r="V12" s="47">
        <f t="shared" si="5"/>
        <v>-803.14217691898693</v>
      </c>
      <c r="W12" s="48">
        <f>+IFERROR(HLOOKUP($B12,'[3]12월누계'!$F$6:$CC$57,16,),)/1000</f>
        <v>2578.5721959999987</v>
      </c>
      <c r="X12" s="49">
        <f t="shared" si="6"/>
        <v>-1038.6375870000002</v>
      </c>
      <c r="Y12" s="45">
        <f>+[12]서부산!$Q$85</f>
        <v>99299.937339916753</v>
      </c>
      <c r="Z12" s="46">
        <f>+[12]서부산!$R$85</f>
        <v>99185.886508018913</v>
      </c>
      <c r="AA12" s="50">
        <f>+[13]서부산!$Q$85</f>
        <v>99839.194770440154</v>
      </c>
      <c r="AB12" s="51">
        <f>+[12]서부산!$Q$89</f>
        <v>78291.350493958002</v>
      </c>
      <c r="AC12" s="46">
        <f>+[12]서부산!$R$89</f>
        <v>78925.363333569228</v>
      </c>
      <c r="AD12" s="52">
        <f>+[13]서부산!$Q$89</f>
        <v>78610.501796370387</v>
      </c>
      <c r="AE12" s="51">
        <f t="shared" si="7"/>
        <v>21008.586845958751</v>
      </c>
      <c r="AF12" s="46">
        <f t="shared" si="7"/>
        <v>20260.523174449685</v>
      </c>
      <c r="AG12" s="52">
        <f t="shared" si="7"/>
        <v>21228.692974069767</v>
      </c>
      <c r="AH12" s="17"/>
      <c r="AI12" s="611">
        <f t="shared" si="8"/>
        <v>0.88580833333333331</v>
      </c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+IFERROR(HLOOKUP($B13,'[1]12월누계'!$D$6:$BN$259,2,),)/1000</f>
        <v>170</v>
      </c>
      <c r="K13" s="46">
        <f>+IFERROR(HLOOKUP($B13,'[2]12월누계'!$F$6:$CP$99,2,),)/1000</f>
        <v>97.066000000000003</v>
      </c>
      <c r="L13" s="47">
        <f t="shared" si="0"/>
        <v>-72.933999999999997</v>
      </c>
      <c r="M13" s="48">
        <f>+IFERROR(HLOOKUP($B13,'[3]12월누계'!$F$6:$CC$57,2,),)/1000</f>
        <v>158.75299999999999</v>
      </c>
      <c r="N13" s="49">
        <f t="shared" si="2"/>
        <v>-61.686999999999983</v>
      </c>
      <c r="O13" s="45">
        <f>+IFERROR(HLOOKUP($B13,'[1]12월누계'!$D$6:$BN$259,3,),)/1000</f>
        <v>16370.975949999998</v>
      </c>
      <c r="P13" s="46">
        <f>+IFERROR(HLOOKUP($B13,'[2]12월누계'!$F$6:$CP$99,3,),)/1000</f>
        <v>8780.1689000000006</v>
      </c>
      <c r="Q13" s="47">
        <f t="shared" si="3"/>
        <v>-7590.8070499999976</v>
      </c>
      <c r="R13" s="48">
        <f>+IFERROR(HLOOKUP($B13,'[3]12월누계'!$F$6:$CC$57,3,),)/1000</f>
        <v>15104.725599999998</v>
      </c>
      <c r="S13" s="49">
        <f t="shared" si="4"/>
        <v>-6324.5566999999974</v>
      </c>
      <c r="T13" s="45">
        <f>+IFERROR(HLOOKUP($B13,'[1]12월누계'!$D$6:$BN$259,16,),)/1000</f>
        <v>1458.3036825061588</v>
      </c>
      <c r="U13" s="46">
        <f>+IFERROR(HLOOKUP($B13,'[2]12월누계'!$F$6:$CP$99,16,),)/1000</f>
        <v>-508.92871300000081</v>
      </c>
      <c r="V13" s="47">
        <f t="shared" si="5"/>
        <v>-1967.2323955061597</v>
      </c>
      <c r="W13" s="48">
        <f>+IFERROR(HLOOKUP($B13,'[3]12월누계'!$F$6:$CC$57,16,),)/1000</f>
        <v>746.29403399999808</v>
      </c>
      <c r="X13" s="49">
        <f t="shared" si="6"/>
        <v>-1255.2227469999989</v>
      </c>
      <c r="Y13" s="45">
        <f>+[12]김해!$Q$85</f>
        <v>96299.858529411751</v>
      </c>
      <c r="Z13" s="46">
        <f>+[12]김해!$R$85</f>
        <v>90439.33769710151</v>
      </c>
      <c r="AA13" s="50">
        <f>+[13]김해!$Q$85</f>
        <v>95215.142526545911</v>
      </c>
      <c r="AB13" s="51">
        <f>+[12]김해!$Q$89</f>
        <v>76941.150092447409</v>
      </c>
      <c r="AC13" s="46">
        <f>+[12]김해!$R$89</f>
        <v>77593.352304571497</v>
      </c>
      <c r="AD13" s="52">
        <f>+[13]김해!$Q$89</f>
        <v>78787.119126304809</v>
      </c>
      <c r="AE13" s="51">
        <f t="shared" si="7"/>
        <v>19358.708436964342</v>
      </c>
      <c r="AF13" s="46">
        <f t="shared" si="7"/>
        <v>12845.985392530012</v>
      </c>
      <c r="AG13" s="52">
        <f t="shared" si="7"/>
        <v>16428.023400241102</v>
      </c>
      <c r="AH13" s="17"/>
      <c r="AI13" s="611">
        <f t="shared" si="8"/>
        <v>0.57097647058823531</v>
      </c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+IFERROR(HLOOKUP($B14,'[1]12월누계'!$D$6:$BN$259,2,),)/1000</f>
        <v>230</v>
      </c>
      <c r="K14" s="46">
        <f>+IFERROR(HLOOKUP($B14,'[2]12월누계'!$F$6:$CP$99,2,),)/1000</f>
        <v>250.34049999999999</v>
      </c>
      <c r="L14" s="47">
        <f t="shared" si="0"/>
        <v>20.340499999999992</v>
      </c>
      <c r="M14" s="48">
        <f>+IFERROR(HLOOKUP($B14,'[3]12월누계'!$F$6:$CC$57,2,),)/1000</f>
        <v>237.28649999999999</v>
      </c>
      <c r="N14" s="49">
        <f t="shared" si="2"/>
        <v>13.054000000000002</v>
      </c>
      <c r="O14" s="45">
        <f>+IFERROR(HLOOKUP($B14,'[1]12월누계'!$D$6:$BN$259,3,),)/1000</f>
        <v>23459.983463600001</v>
      </c>
      <c r="P14" s="46">
        <f>+IFERROR(HLOOKUP($B14,'[2]12월누계'!$F$6:$CP$99,3,),)/1000</f>
        <v>24889.744350000001</v>
      </c>
      <c r="Q14" s="47">
        <f t="shared" si="3"/>
        <v>1429.7608863999994</v>
      </c>
      <c r="R14" s="48">
        <f>+IFERROR(HLOOKUP($B14,'[3]12월누계'!$F$6:$CC$57,3,),)/1000</f>
        <v>24033.941981</v>
      </c>
      <c r="S14" s="49">
        <f t="shared" si="4"/>
        <v>855.80236900000091</v>
      </c>
      <c r="T14" s="45">
        <f>+IFERROR(HLOOKUP($B14,'[1]12월누계'!$D$6:$BN$259,16,),)/1000</f>
        <v>1986.8090105482054</v>
      </c>
      <c r="U14" s="46">
        <f>+IFERROR(HLOOKUP($B14,'[2]12월누계'!$F$6:$CP$99,16,),)/1000</f>
        <v>1811.5968020000016</v>
      </c>
      <c r="V14" s="47">
        <f t="shared" si="5"/>
        <v>-175.21220854820376</v>
      </c>
      <c r="W14" s="48">
        <f>+IFERROR(HLOOKUP($B14,'[3]12월누계'!$F$6:$CC$57,16,),)/1000</f>
        <v>1985.4718679999985</v>
      </c>
      <c r="X14" s="49">
        <f t="shared" si="6"/>
        <v>-173.87506599999688</v>
      </c>
      <c r="Y14" s="45">
        <f>+[12]정관!$Q$85</f>
        <v>101999.92810260871</v>
      </c>
      <c r="Z14" s="46">
        <f>+[12]정관!$R$85</f>
        <v>99436.151224890404</v>
      </c>
      <c r="AA14" s="50">
        <f>+[13]정관!$Q$85</f>
        <v>101286.59650254018</v>
      </c>
      <c r="AB14" s="51">
        <f>+[12]정관!$Q$89</f>
        <v>82244.312232592361</v>
      </c>
      <c r="AC14" s="46">
        <f>+[12]정관!$R$89</f>
        <v>82110.312212029923</v>
      </c>
      <c r="AD14" s="52">
        <f>+[13]정관!$Q$89</f>
        <v>82252.165580415909</v>
      </c>
      <c r="AE14" s="51">
        <f t="shared" si="7"/>
        <v>19755.615870016351</v>
      </c>
      <c r="AF14" s="46">
        <f t="shared" si="7"/>
        <v>17325.839012860481</v>
      </c>
      <c r="AG14" s="52">
        <f t="shared" si="7"/>
        <v>19034.430922124273</v>
      </c>
      <c r="AH14" s="17"/>
      <c r="AI14" s="611">
        <f t="shared" si="8"/>
        <v>1.0884369565217391</v>
      </c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+IFERROR(HLOOKUP($B15,'[1]12월누계'!$D$6:$BN$259,2,),)/1000</f>
        <v>140</v>
      </c>
      <c r="K15" s="46">
        <f>+IFERROR(HLOOKUP($B15,'[2]12월누계'!$F$6:$CP$99,2,),)/1000</f>
        <v>84.262</v>
      </c>
      <c r="L15" s="47">
        <f t="shared" si="0"/>
        <v>-55.738</v>
      </c>
      <c r="M15" s="48">
        <f>+IFERROR(HLOOKUP($B15,'[3]12월누계'!$F$6:$CC$57,2,),)/1000</f>
        <v>147.18299999999999</v>
      </c>
      <c r="N15" s="49">
        <f t="shared" si="2"/>
        <v>-62.920999999999992</v>
      </c>
      <c r="O15" s="45">
        <f>+IFERROR(HLOOKUP($B15,'[1]12월누계'!$D$6:$BN$259,3,),)/1000</f>
        <v>13220.550999999999</v>
      </c>
      <c r="P15" s="46">
        <f>+IFERROR(HLOOKUP($B15,'[2]12월누계'!$F$6:$CP$99,3,),)/1000</f>
        <v>7774.0780650000006</v>
      </c>
      <c r="Q15" s="47">
        <f t="shared" si="3"/>
        <v>-5446.4729349999989</v>
      </c>
      <c r="R15" s="48">
        <f>+IFERROR(HLOOKUP($B15,'[3]12월누계'!$F$6:$CC$57,3,),)/1000</f>
        <v>13741.865217999999</v>
      </c>
      <c r="S15" s="49">
        <f t="shared" si="4"/>
        <v>-5967.7871529999984</v>
      </c>
      <c r="T15" s="45">
        <f>+IFERROR(HLOOKUP($B15,'[1]12월누계'!$D$6:$BN$259,16,),)/1000</f>
        <v>1150.7519988666256</v>
      </c>
      <c r="U15" s="46">
        <f>+IFERROR(HLOOKUP($B15,'[2]12월누계'!$F$6:$CP$99,16,),)/1000</f>
        <v>-221.93098499999897</v>
      </c>
      <c r="V15" s="47">
        <f t="shared" si="5"/>
        <v>-1372.6829838666247</v>
      </c>
      <c r="W15" s="48">
        <f>+IFERROR(HLOOKUP($B15,'[3]12월누계'!$F$6:$CC$57,16,),)/1000</f>
        <v>1156.0375940000006</v>
      </c>
      <c r="X15" s="49">
        <f t="shared" si="6"/>
        <v>-1377.9685789999996</v>
      </c>
      <c r="Y15" s="45">
        <f>+[12]양산!$Q$85</f>
        <v>94432.507142857154</v>
      </c>
      <c r="Z15" s="46">
        <f>+[12]양산!$R$85</f>
        <v>92247.020435578612</v>
      </c>
      <c r="AA15" s="50">
        <f>+[13]양산!$Q$85</f>
        <v>93365.845362575827</v>
      </c>
      <c r="AB15" s="51">
        <f>+[12]양산!$Q$89</f>
        <v>73916.615255714583</v>
      </c>
      <c r="AC15" s="46">
        <f>+[12]양산!$R$89</f>
        <v>74391.617651254026</v>
      </c>
      <c r="AD15" s="52">
        <f>+[13]양산!$Q$89</f>
        <v>73601.938359421707</v>
      </c>
      <c r="AE15" s="51">
        <f t="shared" si="7"/>
        <v>20515.89188714257</v>
      </c>
      <c r="AF15" s="46">
        <f t="shared" si="7"/>
        <v>17855.402784324586</v>
      </c>
      <c r="AG15" s="52">
        <f t="shared" si="7"/>
        <v>19763.90700315412</v>
      </c>
      <c r="AH15" s="17"/>
      <c r="AI15" s="611">
        <f t="shared" si="8"/>
        <v>0.60187142857142861</v>
      </c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+IFERROR(HLOOKUP($B16,'[1]12월누계'!$D$6:$BN$259,2,),)/1000</f>
        <v>160</v>
      </c>
      <c r="K16" s="46">
        <f>+IFERROR(HLOOKUP($B16,'[2]12월누계'!$F$6:$CP$99,2,),)/1000</f>
        <v>116.184</v>
      </c>
      <c r="L16" s="47">
        <f t="shared" si="0"/>
        <v>-43.816000000000003</v>
      </c>
      <c r="M16" s="48">
        <f>+IFERROR(HLOOKUP($B16,'[3]12월누계'!$F$6:$CC$57,2,),)/1000</f>
        <v>196.35749999999999</v>
      </c>
      <c r="N16" s="49">
        <f t="shared" si="2"/>
        <v>-80.17349999999999</v>
      </c>
      <c r="O16" s="45">
        <f>+IFERROR(HLOOKUP($B16,'[1]12월누계'!$D$6:$BN$259,3,),)/1000</f>
        <v>16111.953861842001</v>
      </c>
      <c r="P16" s="46">
        <f>+IFERROR(HLOOKUP($B16,'[2]12월누계'!$F$6:$CP$99,3,),)/1000</f>
        <v>11067.551180000002</v>
      </c>
      <c r="Q16" s="47">
        <f t="shared" si="3"/>
        <v>-5044.4026818419989</v>
      </c>
      <c r="R16" s="48">
        <f>+IFERROR(HLOOKUP($B16,'[3]12월누계'!$F$6:$CC$57,3,),)/1000</f>
        <v>19774.515350000001</v>
      </c>
      <c r="S16" s="49">
        <f t="shared" si="4"/>
        <v>-8706.9641699999993</v>
      </c>
      <c r="T16" s="45">
        <f>+IFERROR(HLOOKUP($B16,'[1]12월누계'!$D$6:$BN$259,16,),)/1000</f>
        <v>1688.4607473858252</v>
      </c>
      <c r="U16" s="46">
        <f>+IFERROR(HLOOKUP($B16,'[2]12월누계'!$F$6:$CP$99,16,),)/1000</f>
        <v>385.41136400000119</v>
      </c>
      <c r="V16" s="47">
        <f t="shared" si="5"/>
        <v>-1303.0493833858241</v>
      </c>
      <c r="W16" s="48">
        <f>+IFERROR(HLOOKUP($B16,'[3]12월누계'!$F$6:$CC$57,16,),)/1000</f>
        <v>2645.6140320000018</v>
      </c>
      <c r="X16" s="49">
        <f t="shared" si="6"/>
        <v>-2260.2026680000008</v>
      </c>
      <c r="Y16" s="45">
        <f>+[12]창원!$Q$85</f>
        <v>100699.7116365125</v>
      </c>
      <c r="Z16" s="46">
        <f>+[12]창원!$R$85</f>
        <v>95258.823762308079</v>
      </c>
      <c r="AA16" s="50">
        <f>+[13]창원!$Q$85</f>
        <v>100706.69747781471</v>
      </c>
      <c r="AB16" s="51">
        <f>+[12]창원!$Q$89</f>
        <v>76055.399483201152</v>
      </c>
      <c r="AC16" s="46">
        <f>+[12]창원!$R$89</f>
        <v>73333.741661503518</v>
      </c>
      <c r="AD16" s="52">
        <f>+[13]창원!$Q$89</f>
        <v>75043.235931424846</v>
      </c>
      <c r="AE16" s="51">
        <f t="shared" si="7"/>
        <v>24644.312153311344</v>
      </c>
      <c r="AF16" s="46">
        <f t="shared" si="7"/>
        <v>21925.08210080456</v>
      </c>
      <c r="AG16" s="52">
        <f t="shared" si="7"/>
        <v>25663.461546389866</v>
      </c>
      <c r="AH16" s="17"/>
      <c r="AI16" s="611">
        <f t="shared" si="8"/>
        <v>0.72614999999999996</v>
      </c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+IFERROR(HLOOKUP($B17,'[1]12월누계'!$D$6:$BN$259,2,),)/1000</f>
        <v>145</v>
      </c>
      <c r="K17" s="46">
        <f>+IFERROR(HLOOKUP($B17,'[2]12월누계'!$F$6:$CP$99,2,),)/1000</f>
        <v>109.2145</v>
      </c>
      <c r="L17" s="47">
        <f t="shared" si="0"/>
        <v>-35.785499999999999</v>
      </c>
      <c r="M17" s="48">
        <f>+IFERROR(HLOOKUP($B17,'[3]12월누계'!$F$6:$CC$57,2,),)/1000</f>
        <v>190.04</v>
      </c>
      <c r="N17" s="49">
        <f t="shared" si="2"/>
        <v>-80.825499999999991</v>
      </c>
      <c r="O17" s="45">
        <f>+IFERROR(HLOOKUP($B17,'[1]12월누계'!$D$6:$BN$259,3,),)/1000</f>
        <v>14079.525787902461</v>
      </c>
      <c r="P17" s="46">
        <f>+IFERROR(HLOOKUP($B17,'[2]12월누계'!$F$6:$CP$99,3,),)/1000</f>
        <v>9623.6384550000002</v>
      </c>
      <c r="Q17" s="47">
        <f t="shared" si="3"/>
        <v>-4455.8873329024609</v>
      </c>
      <c r="R17" s="48">
        <f>+IFERROR(HLOOKUP($B17,'[3]12월누계'!$F$6:$CC$57,3,),)/1000</f>
        <v>18889.928516</v>
      </c>
      <c r="S17" s="49">
        <f t="shared" si="4"/>
        <v>-9266.2900609999997</v>
      </c>
      <c r="T17" s="45">
        <f>+IFERROR(HLOOKUP($B17,'[1]12월누계'!$D$6:$BN$259,16,),)/1000</f>
        <v>1302.9749098342681</v>
      </c>
      <c r="U17" s="46">
        <f>+IFERROR(HLOOKUP($B17,'[2]12월누계'!$F$6:$CP$99,16,),)/1000</f>
        <v>-172.18243100000061</v>
      </c>
      <c r="V17" s="47">
        <f t="shared" si="5"/>
        <v>-1475.1573408342688</v>
      </c>
      <c r="W17" s="48">
        <f>+IFERROR(HLOOKUP($B17,'[3]12월누계'!$F$6:$CC$57,16,),)/1000</f>
        <v>2551.5007159999986</v>
      </c>
      <c r="X17" s="49">
        <f t="shared" si="6"/>
        <v>-2723.6831469999993</v>
      </c>
      <c r="Y17" s="45">
        <f>+[12]대구!$Q$85</f>
        <v>97100.177847603176</v>
      </c>
      <c r="Z17" s="46">
        <f>+[12]대구!$R$85</f>
        <v>88134.91056985085</v>
      </c>
      <c r="AA17" s="50">
        <f>+[13]대구!$Q$85</f>
        <v>99399.55123131971</v>
      </c>
      <c r="AB17" s="51">
        <f>+[12]대구!$Q$89</f>
        <v>73288.040056302591</v>
      </c>
      <c r="AC17" s="46">
        <f>+[12]대구!$R$89</f>
        <v>73003.184614329162</v>
      </c>
      <c r="AD17" s="52">
        <f>+[13]대구!$Q$89</f>
        <v>74512.501912362743</v>
      </c>
      <c r="AE17" s="51">
        <f t="shared" si="7"/>
        <v>23812.137791300585</v>
      </c>
      <c r="AF17" s="46">
        <f t="shared" si="7"/>
        <v>15131.725955521688</v>
      </c>
      <c r="AG17" s="52">
        <f t="shared" si="7"/>
        <v>24887.049318956968</v>
      </c>
      <c r="AH17" s="17"/>
      <c r="AI17" s="611">
        <f t="shared" si="8"/>
        <v>0.75320344827586205</v>
      </c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+IFERROR(HLOOKUP($B18,'[1]12월누계'!$D$6:$BN$259,2,),)/1000</f>
        <v>145</v>
      </c>
      <c r="K18" s="10">
        <f>+IFERROR(HLOOKUP($B18,'[2]12월누계'!$F$6:$CP$99,2,),)/1000</f>
        <v>135.65350000000001</v>
      </c>
      <c r="L18" s="11">
        <f t="shared" si="0"/>
        <v>-9.3464999999999918</v>
      </c>
      <c r="M18" s="12">
        <f>+IFERROR(HLOOKUP($B18,'[3]12월누계'!$F$6:$CC$57,2,),)/1000</f>
        <v>134.21299999999999</v>
      </c>
      <c r="N18" s="13">
        <f t="shared" si="2"/>
        <v>1.4405000000000143</v>
      </c>
      <c r="O18" s="9">
        <f>+IFERROR(HLOOKUP($B18,'[1]12월누계'!$D$6:$BN$259,3,),)/1000</f>
        <v>14891.505999999999</v>
      </c>
      <c r="P18" s="10">
        <f>+IFERROR(HLOOKUP($B18,'[2]12월누계'!$F$6:$CP$99,3,),)/1000</f>
        <v>14168.404607999999</v>
      </c>
      <c r="Q18" s="11">
        <f t="shared" si="3"/>
        <v>-723.10139200000049</v>
      </c>
      <c r="R18" s="12">
        <f>+IFERROR(HLOOKUP($B18,'[3]12월누계'!$F$6:$CC$57,3,),)/1000</f>
        <v>13929.268442000002</v>
      </c>
      <c r="S18" s="13">
        <f t="shared" si="4"/>
        <v>239.13616599999659</v>
      </c>
      <c r="T18" s="9">
        <f>+IFERROR(HLOOKUP($B18,'[1]12월누계'!$D$6:$BN$259,16,),)/1000</f>
        <v>1182.5189533401374</v>
      </c>
      <c r="U18" s="10">
        <f>+IFERROR(HLOOKUP($B18,'[2]12월누계'!$F$6:$CP$99,16,),)/1000</f>
        <v>1075.6327819999983</v>
      </c>
      <c r="V18" s="11">
        <f t="shared" si="5"/>
        <v>-106.88617134013907</v>
      </c>
      <c r="W18" s="12">
        <f>+IFERROR(HLOOKUP($B18,'[3]12월누계'!$F$6:$CC$57,16,),)/1000</f>
        <v>1432.4138080000007</v>
      </c>
      <c r="X18" s="13">
        <f t="shared" si="6"/>
        <v>-356.78102600000238</v>
      </c>
      <c r="Y18" s="9">
        <f>+[12]울산!$Q$85</f>
        <v>102700.04137931035</v>
      </c>
      <c r="Z18" s="10">
        <f>+[12]울산!$R$85</f>
        <v>104445.55140855194</v>
      </c>
      <c r="AA18" s="14">
        <f>+[13]울산!$Q$85</f>
        <v>103784.79314224406</v>
      </c>
      <c r="AB18" s="15">
        <f>+[12]울산!$Q$89</f>
        <v>82252.05239859072</v>
      </c>
      <c r="AC18" s="10">
        <f>+[12]울산!$R$89</f>
        <v>83402.285461730818</v>
      </c>
      <c r="AD18" s="16">
        <f>+[13]울산!$Q$89</f>
        <v>80835.204382986311</v>
      </c>
      <c r="AE18" s="15">
        <f t="shared" si="7"/>
        <v>20447.98898071963</v>
      </c>
      <c r="AF18" s="10">
        <f t="shared" si="7"/>
        <v>21043.26594682112</v>
      </c>
      <c r="AG18" s="16">
        <f t="shared" si="7"/>
        <v>22949.588759257749</v>
      </c>
      <c r="AH18" s="17"/>
      <c r="AI18" s="611">
        <f t="shared" si="8"/>
        <v>0.93554137931034487</v>
      </c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+IFERROR(HLOOKUP($B19,'[1]12월누계'!$D$6:$BN$259,2,),)/1000</f>
        <v>270</v>
      </c>
      <c r="K19" s="46">
        <f>+IFERROR(HLOOKUP($B19,'[2]12월누계'!$F$6:$CP$99,2,),)/1000</f>
        <v>251.62200000000001</v>
      </c>
      <c r="L19" s="47">
        <f t="shared" si="0"/>
        <v>-18.377999999999986</v>
      </c>
      <c r="M19" s="48">
        <f>+IFERROR(HLOOKUP($B19,'[3]12월누계'!$F$6:$CC$57,2,),)/1000</f>
        <v>317.54450000000003</v>
      </c>
      <c r="N19" s="49">
        <f t="shared" si="2"/>
        <v>-65.922500000000014</v>
      </c>
      <c r="O19" s="45">
        <f>+IFERROR(HLOOKUP($B19,'[1]12월누계'!$D$6:$BN$259,3,),)/1000</f>
        <v>27810</v>
      </c>
      <c r="P19" s="46">
        <f>+IFERROR(HLOOKUP($B19,'[2]12월누계'!$F$6:$CP$99,3,),)/1000</f>
        <v>24500.755845</v>
      </c>
      <c r="Q19" s="47">
        <f t="shared" si="3"/>
        <v>-3309.2441550000003</v>
      </c>
      <c r="R19" s="48">
        <f>+IFERROR(HLOOKUP($B19,'[3]12월누계'!$F$6:$CC$57,3,),)/1000</f>
        <v>32020.142446000002</v>
      </c>
      <c r="S19" s="49">
        <f t="shared" si="4"/>
        <v>-7519.386601000002</v>
      </c>
      <c r="T19" s="45">
        <f>+IFERROR(HLOOKUP($B19,'[1]12월누계'!$D$6:$BN$259,16,),)/1000</f>
        <v>3587.5204190494037</v>
      </c>
      <c r="U19" s="46">
        <f>+IFERROR(HLOOKUP($B19,'[2]12월누계'!$F$6:$CP$99,16,),)/1000</f>
        <v>1088.7265860000011</v>
      </c>
      <c r="V19" s="47">
        <f t="shared" si="5"/>
        <v>-2498.7938330494026</v>
      </c>
      <c r="W19" s="48">
        <f>+IFERROR(HLOOKUP($B19,'[3]12월누계'!$F$6:$CC$57,16,),)/1000</f>
        <v>4186.6873590000041</v>
      </c>
      <c r="X19" s="49">
        <f t="shared" si="6"/>
        <v>-3097.960773000003</v>
      </c>
      <c r="Y19" s="45">
        <f>+[12]아산!$Q$85</f>
        <v>103000</v>
      </c>
      <c r="Z19" s="46">
        <f>+[12]아산!$R$85</f>
        <v>97362.970211395295</v>
      </c>
      <c r="AA19" s="50">
        <f>+[13]아산!$Q$85</f>
        <v>100779.83968661874</v>
      </c>
      <c r="AB19" s="51">
        <f>+[12]아산!$Q$89</f>
        <v>78614.589551547644</v>
      </c>
      <c r="AC19" s="46">
        <f>+[12]아산!$R$89</f>
        <v>81568.641700822933</v>
      </c>
      <c r="AD19" s="52">
        <f>+[13]아산!$Q$89</f>
        <v>77860.034638823228</v>
      </c>
      <c r="AE19" s="51">
        <f t="shared" si="7"/>
        <v>24385.410448452356</v>
      </c>
      <c r="AF19" s="46">
        <f t="shared" si="7"/>
        <v>15794.328510572363</v>
      </c>
      <c r="AG19" s="52">
        <f t="shared" si="7"/>
        <v>22919.805047795511</v>
      </c>
      <c r="AH19" s="17"/>
      <c r="AI19" s="611">
        <f t="shared" si="8"/>
        <v>0.93193333333333339</v>
      </c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+IFERROR(HLOOKUP($B20,'[1]12월누계'!$D$6:$BN$259,2,),)/1000</f>
        <v>130</v>
      </c>
      <c r="K20" s="46">
        <f>+IFERROR(HLOOKUP($B20,'[2]12월누계'!$F$6:$CP$99,2,),)/1000</f>
        <v>154.48849999999999</v>
      </c>
      <c r="L20" s="47">
        <f t="shared" si="0"/>
        <v>24.488499999999988</v>
      </c>
      <c r="M20" s="48">
        <f>+IFERROR(HLOOKUP($B20,'[3]12월누계'!$F$6:$CC$57,2,),)/1000</f>
        <v>104.5945</v>
      </c>
      <c r="N20" s="49">
        <f t="shared" si="2"/>
        <v>49.893999999999991</v>
      </c>
      <c r="O20" s="45">
        <f>+IFERROR(HLOOKUP($B20,'[1]12월누계'!$D$6:$BN$259,3,),)/1000</f>
        <v>12869.999906599998</v>
      </c>
      <c r="P20" s="46">
        <f>+IFERROR(HLOOKUP($B20,'[2]12월누계'!$F$6:$CP$99,3,),)/1000</f>
        <v>15115.211289999999</v>
      </c>
      <c r="Q20" s="47">
        <f t="shared" si="3"/>
        <v>2245.2113834000011</v>
      </c>
      <c r="R20" s="48">
        <f>+IFERROR(HLOOKUP($B20,'[3]12월누계'!$F$6:$CC$57,3,),)/1000</f>
        <v>10098.437311999998</v>
      </c>
      <c r="S20" s="49">
        <f t="shared" si="4"/>
        <v>5016.7739780000011</v>
      </c>
      <c r="T20" s="45">
        <f>+IFERROR(HLOOKUP($B20,'[1]12월누계'!$D$6:$BN$259,16,),)/1000</f>
        <v>1511.157430726061</v>
      </c>
      <c r="U20" s="46">
        <f>+IFERROR(HLOOKUP($B20,'[2]12월누계'!$F$6:$CP$99,16,),)/1000</f>
        <v>1437.3909389999992</v>
      </c>
      <c r="V20" s="47">
        <f t="shared" si="5"/>
        <v>-73.766491726061759</v>
      </c>
      <c r="W20" s="48">
        <f>+IFERROR(HLOOKUP($B20,'[3]12월누계'!$F$6:$CC$57,16,),)/1000</f>
        <v>640.01700499999981</v>
      </c>
      <c r="X20" s="49">
        <f t="shared" si="6"/>
        <v>797.37393399999939</v>
      </c>
      <c r="Y20" s="45">
        <f>+[12]전주!$Q$85</f>
        <v>98999.999281538447</v>
      </c>
      <c r="Z20" s="46">
        <f>+[12]전주!$R$85</f>
        <v>97840.744094462672</v>
      </c>
      <c r="AA20" s="50">
        <f>+[13]전주!$Q$85</f>
        <v>96550.172800765358</v>
      </c>
      <c r="AB20" s="51">
        <f>+[12]전주!$Q$89</f>
        <v>73277.628130654237</v>
      </c>
      <c r="AC20" s="46">
        <f>+[12]전주!$R$89</f>
        <v>76219.706700060182</v>
      </c>
      <c r="AD20" s="52">
        <f>+[13]전주!$Q$89</f>
        <v>72741.123442386233</v>
      </c>
      <c r="AE20" s="51">
        <f t="shared" si="7"/>
        <v>25722.37115088421</v>
      </c>
      <c r="AF20" s="46">
        <f t="shared" si="7"/>
        <v>21621.03739440249</v>
      </c>
      <c r="AG20" s="52">
        <f t="shared" si="7"/>
        <v>23809.049358379125</v>
      </c>
      <c r="AH20" s="17"/>
      <c r="AI20" s="611">
        <f t="shared" si="8"/>
        <v>1.1883730769230769</v>
      </c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+IFERROR(HLOOKUP($B21,'[1]12월누계'!$D$6:$BN$259,2,),)/1000</f>
        <v>85</v>
      </c>
      <c r="K21" s="46">
        <f>+IFERROR(HLOOKUP($B21,'[2]12월누계'!$F$6:$CP$99,2,),)/1000</f>
        <v>55.756999999999998</v>
      </c>
      <c r="L21" s="47">
        <f t="shared" si="0"/>
        <v>-29.243000000000002</v>
      </c>
      <c r="M21" s="48">
        <f>+IFERROR(HLOOKUP($B21,'[3]12월누계'!$F$6:$CC$57,2,),)/1000</f>
        <v>98.341499999999996</v>
      </c>
      <c r="N21" s="49">
        <f t="shared" si="2"/>
        <v>-42.584499999999998</v>
      </c>
      <c r="O21" s="45">
        <f>+IFERROR(HLOOKUP($B21,'[1]12월누계'!$D$6:$BN$259,3,),)/1000</f>
        <v>9434.9661830000005</v>
      </c>
      <c r="P21" s="46">
        <f>+IFERROR(HLOOKUP($B21,'[2]12월누계'!$F$6:$CP$99,3,),)/1000</f>
        <v>6145.5882359999987</v>
      </c>
      <c r="Q21" s="47">
        <f t="shared" si="3"/>
        <v>-3289.3779470000018</v>
      </c>
      <c r="R21" s="48">
        <f>+IFERROR(HLOOKUP($B21,'[3]12월누계'!$F$6:$CC$57,3,),)/1000</f>
        <v>11049.971786</v>
      </c>
      <c r="S21" s="49">
        <f t="shared" si="4"/>
        <v>-4904.3835500000014</v>
      </c>
      <c r="T21" s="45">
        <f>+IFERROR(HLOOKUP($B21,'[1]12월누계'!$D$6:$BN$259,16,),)/1000</f>
        <v>2246.8230330787801</v>
      </c>
      <c r="U21" s="46">
        <f>+IFERROR(HLOOKUP($B21,'[2]12월누계'!$F$6:$CP$99,16,),)/1000</f>
        <v>1077.326097999998</v>
      </c>
      <c r="V21" s="47">
        <f t="shared" si="5"/>
        <v>-1169.4969350787821</v>
      </c>
      <c r="W21" s="48">
        <f>+IFERROR(HLOOKUP($B21,'[3]12월누계'!$F$6:$CC$57,16,),)/1000</f>
        <v>2923.9684300000017</v>
      </c>
      <c r="X21" s="49">
        <f t="shared" si="6"/>
        <v>-1846.6423320000038</v>
      </c>
      <c r="Y21" s="45">
        <f>+[12]군산!$Q$85</f>
        <v>110999.60215294118</v>
      </c>
      <c r="Z21" s="46">
        <f>+[12]군산!$R$85</f>
        <v>110208.55999280121</v>
      </c>
      <c r="AA21" s="50">
        <f>+[13]군산!$Q$85</f>
        <v>112375.8608909858</v>
      </c>
      <c r="AB21" s="51">
        <f>+[12]군산!$Q$89</f>
        <v>72788.19988926925</v>
      </c>
      <c r="AC21" s="46">
        <f>+[12]군산!$R$89</f>
        <v>72571.115096003297</v>
      </c>
      <c r="AD21" s="52">
        <f>+[13]군산!$Q$89</f>
        <v>72449.183857095588</v>
      </c>
      <c r="AE21" s="51">
        <f t="shared" si="7"/>
        <v>38211.402263671931</v>
      </c>
      <c r="AF21" s="46">
        <f t="shared" si="7"/>
        <v>37637.444896797911</v>
      </c>
      <c r="AG21" s="52">
        <f t="shared" si="7"/>
        <v>39926.677033890213</v>
      </c>
      <c r="AH21" s="17"/>
      <c r="AI21" s="611">
        <f t="shared" si="8"/>
        <v>0.65596470588235289</v>
      </c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+IFERROR(HLOOKUP($B22,'[1]12월누계'!$D$6:$BN$259,2,),)/1000</f>
        <v>55</v>
      </c>
      <c r="K22" s="46">
        <f>+IFERROR(HLOOKUP($B22,'[2]12월누계'!$F$6:$CP$99,2,),)/1000</f>
        <v>34.659500000000001</v>
      </c>
      <c r="L22" s="47">
        <f t="shared" si="0"/>
        <v>-20.340499999999999</v>
      </c>
      <c r="M22" s="48">
        <f>+IFERROR(HLOOKUP($B22,'[3]12월누계'!$F$6:$CC$57,2,),)/1000</f>
        <v>64.480999999999995</v>
      </c>
      <c r="N22" s="49">
        <f t="shared" si="2"/>
        <v>-29.821499999999993</v>
      </c>
      <c r="O22" s="45">
        <f>+IFERROR(HLOOKUP($B22,'[1]12월누계'!$D$6:$BN$259,3,),)/1000</f>
        <v>6160</v>
      </c>
      <c r="P22" s="46">
        <f>+IFERROR(HLOOKUP($B22,'[2]12월누계'!$F$6:$CP$99,3,),)/1000</f>
        <v>3846.7763990000003</v>
      </c>
      <c r="Q22" s="47">
        <f t="shared" si="3"/>
        <v>-2313.2236009999997</v>
      </c>
      <c r="R22" s="48">
        <f>+IFERROR(HLOOKUP($B22,'[3]12월누계'!$F$6:$CC$57,3,),)/1000</f>
        <v>7251.5745669999997</v>
      </c>
      <c r="S22" s="49">
        <f t="shared" si="4"/>
        <v>-3404.7981679999994</v>
      </c>
      <c r="T22" s="45">
        <f>+IFERROR(HLOOKUP($B22,'[1]12월누계'!$D$6:$BN$259,16,),)/1000</f>
        <v>1009.3796795528963</v>
      </c>
      <c r="U22" s="46">
        <f>+IFERROR(HLOOKUP($B22,'[2]12월누계'!$F$6:$CP$99,16,),)/1000</f>
        <v>227.56159499999978</v>
      </c>
      <c r="V22" s="47">
        <f t="shared" si="5"/>
        <v>-781.81808455289649</v>
      </c>
      <c r="W22" s="48">
        <f>+IFERROR(HLOOKUP($B22,'[3]12월누계'!$F$6:$CC$57,16,),)/1000</f>
        <v>1368.5219359999996</v>
      </c>
      <c r="X22" s="49">
        <f t="shared" si="6"/>
        <v>-1140.960341</v>
      </c>
      <c r="Y22" s="45">
        <f>+[12]원주!$Q$85</f>
        <v>112000</v>
      </c>
      <c r="Z22" s="46">
        <f>+[12]원주!$R$85</f>
        <v>110992.74834370174</v>
      </c>
      <c r="AA22" s="50">
        <f>+[13]원주!$Q$85</f>
        <v>112465.39639709533</v>
      </c>
      <c r="AB22" s="51">
        <f>+[12]원주!$Q$89</f>
        <v>73468.292634288708</v>
      </c>
      <c r="AC22" s="46">
        <f>+[12]원주!$R$89</f>
        <v>73196.399416867527</v>
      </c>
      <c r="AD22" s="52">
        <f>+[13]원주!$Q$89</f>
        <v>74063.850592725925</v>
      </c>
      <c r="AE22" s="51">
        <f t="shared" si="7"/>
        <v>38531.707365711292</v>
      </c>
      <c r="AF22" s="46">
        <f t="shared" si="7"/>
        <v>37796.348926834209</v>
      </c>
      <c r="AG22" s="52">
        <f t="shared" si="7"/>
        <v>38401.545804369409</v>
      </c>
      <c r="AH22" s="17"/>
      <c r="AI22" s="611">
        <f t="shared" si="8"/>
        <v>0.63017272727272733</v>
      </c>
      <c r="AJ22" s="494"/>
    </row>
    <row r="23" spans="2:44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+IFERROR(HLOOKUP($B23,'[1]12월누계'!$D$6:$BN$259,2,),)/1000</f>
        <v>100</v>
      </c>
      <c r="K23" s="46">
        <f>+IFERROR(HLOOKUP($B23,'[2]12월누계'!$F$6:$CP$99,2,),)/1000</f>
        <v>62.708500000000001</v>
      </c>
      <c r="L23" s="47">
        <f t="shared" si="0"/>
        <v>-37.291499999999999</v>
      </c>
      <c r="M23" s="48">
        <f>+IFERROR(HLOOKUP($B23,'[3]12월누계'!$F$6:$CC$57,2,),)/1000</f>
        <v>42.994</v>
      </c>
      <c r="N23" s="49">
        <f t="shared" si="2"/>
        <v>19.714500000000001</v>
      </c>
      <c r="O23" s="45">
        <f>+IFERROR(HLOOKUP($B23,'[1]12월누계'!$D$6:$BN$259,3,),)/1000</f>
        <v>12286.2855</v>
      </c>
      <c r="P23" s="46">
        <f>+IFERROR(HLOOKUP($B23,'[2]12월누계'!$F$6:$CP$99,3,),)/1000</f>
        <v>7773.9382280000009</v>
      </c>
      <c r="Q23" s="47">
        <f t="shared" si="3"/>
        <v>-4512.3472719999991</v>
      </c>
      <c r="R23" s="48">
        <f>+IFERROR(HLOOKUP($B23,'[3]12월누계'!$F$6:$CC$57,3,),)/1000</f>
        <v>5315.1092179999996</v>
      </c>
      <c r="S23" s="49">
        <f t="shared" si="4"/>
        <v>2458.8290100000013</v>
      </c>
      <c r="T23" s="45">
        <f>+IFERROR(HLOOKUP($B23,'[1]12월누계'!$D$6:$BN$259,16,),)/1000</f>
        <v>2003.843179219745</v>
      </c>
      <c r="U23" s="46">
        <f>+IFERROR(HLOOKUP($B23,'[2]12월누계'!$F$6:$CP$99,16,),)/1000</f>
        <v>705.23831399999949</v>
      </c>
      <c r="V23" s="47">
        <f t="shared" si="5"/>
        <v>-1298.6048652197455</v>
      </c>
      <c r="W23" s="48">
        <f>+IFERROR(HLOOKUP($B23,'[3]12월누계'!$F$6:$CC$57,16,),)/1000</f>
        <v>368.059024999999</v>
      </c>
      <c r="X23" s="49">
        <f t="shared" si="6"/>
        <v>337.17928900000049</v>
      </c>
      <c r="Y23" s="45">
        <f>+[12]제주!$Q$85</f>
        <v>122862.855</v>
      </c>
      <c r="Z23" s="46">
        <f>+[12]제주!$R$85</f>
        <v>123796.87130595885</v>
      </c>
      <c r="AA23" s="50">
        <f>+[13]제주!$Q$85</f>
        <v>123624.44103828441</v>
      </c>
      <c r="AB23" s="51">
        <f>+[12]제주!$Q$89</f>
        <v>91146.151222289744</v>
      </c>
      <c r="AC23" s="46">
        <f>+[12]제주!$R$89</f>
        <v>93667.738953750348</v>
      </c>
      <c r="AD23" s="52">
        <f>+[13]제주!$Q$89</f>
        <v>89420.48065664235</v>
      </c>
      <c r="AE23" s="51">
        <f t="shared" si="7"/>
        <v>31716.703777710252</v>
      </c>
      <c r="AF23" s="46">
        <f t="shared" si="7"/>
        <v>30129.1323522085</v>
      </c>
      <c r="AG23" s="52">
        <f t="shared" si="7"/>
        <v>34203.960381642057</v>
      </c>
      <c r="AH23" s="17"/>
      <c r="AI23" s="611">
        <f t="shared" si="8"/>
        <v>0.627085</v>
      </c>
      <c r="AJ23" s="494"/>
    </row>
    <row r="24" spans="2:44" s="8" customFormat="1" ht="22.5" customHeight="1" x14ac:dyDescent="0.3">
      <c r="F24" s="495">
        <f>+K24/J24</f>
        <v>0.82107736065573766</v>
      </c>
      <c r="G24" s="337" t="str">
        <f t="shared" si="1"/>
        <v>수도권</v>
      </c>
      <c r="H24" s="74"/>
      <c r="I24" s="78" t="s">
        <v>42</v>
      </c>
      <c r="J24" s="22">
        <f>SUM(J7:J10)</f>
        <v>1220</v>
      </c>
      <c r="K24" s="19">
        <f>SUM(K7:K10)</f>
        <v>1001.7143799999999</v>
      </c>
      <c r="L24" s="20">
        <f t="shared" si="0"/>
        <v>-218.28562000000011</v>
      </c>
      <c r="M24" s="24">
        <f>SUM(M7:M10)</f>
        <v>1201.567</v>
      </c>
      <c r="N24" s="21">
        <f t="shared" si="2"/>
        <v>-199.85262000000012</v>
      </c>
      <c r="O24" s="22">
        <f>SUM(O7:O10)</f>
        <v>120268.36081322459</v>
      </c>
      <c r="P24" s="19">
        <f>SUM(P7:P10)</f>
        <v>96405.834925999996</v>
      </c>
      <c r="Q24" s="20">
        <f t="shared" si="3"/>
        <v>-23862.52588722459</v>
      </c>
      <c r="R24" s="24">
        <f>SUM(R7:R10)</f>
        <v>117954.15519200001</v>
      </c>
      <c r="S24" s="21">
        <f t="shared" si="4"/>
        <v>-21548.32026600001</v>
      </c>
      <c r="T24" s="22">
        <f>SUM(T7:T10)</f>
        <v>9215.4721928648978</v>
      </c>
      <c r="U24" s="19">
        <f>SUM(U7:U10)</f>
        <v>2060.0688100199973</v>
      </c>
      <c r="V24" s="20">
        <f t="shared" si="5"/>
        <v>-7155.403382844901</v>
      </c>
      <c r="W24" s="24">
        <f>SUM(W7:W10)</f>
        <v>8135.8575080100027</v>
      </c>
      <c r="X24" s="21">
        <f t="shared" si="6"/>
        <v>-6075.7886979900049</v>
      </c>
      <c r="Y24" s="22">
        <f>+[12]수도권!$Q$85</f>
        <v>98580.623617397199</v>
      </c>
      <c r="Z24" s="19">
        <f>+[12]수도권!$R$85</f>
        <v>96282.118865216209</v>
      </c>
      <c r="AA24" s="23">
        <f>+[13]수도권!$Q$85</f>
        <v>98175.05222356382</v>
      </c>
      <c r="AB24" s="28">
        <f>+[12]수도권!$Q$89</f>
        <v>81080.865937408409</v>
      </c>
      <c r="AC24" s="19">
        <f>+[12]수도권!$R$89</f>
        <v>81744.98424752758</v>
      </c>
      <c r="AD24" s="29">
        <f>+[13]수도권!$Q$89</f>
        <v>81236.793882205311</v>
      </c>
      <c r="AE24" s="28">
        <f t="shared" si="7"/>
        <v>17499.75767998879</v>
      </c>
      <c r="AF24" s="19">
        <f t="shared" si="7"/>
        <v>14537.134617688629</v>
      </c>
      <c r="AG24" s="29">
        <f t="shared" si="7"/>
        <v>16938.258341358509</v>
      </c>
      <c r="AH24" s="17"/>
      <c r="AI24" s="611">
        <f t="shared" si="8"/>
        <v>0.82107736065573766</v>
      </c>
      <c r="AJ24" s="494"/>
      <c r="AK24" s="495">
        <f>+U24/T24</f>
        <v>0.22354457448366136</v>
      </c>
    </row>
    <row r="25" spans="2:44" s="8" customFormat="1" ht="22.5" customHeight="1" x14ac:dyDescent="0.3">
      <c r="F25" s="495">
        <f>+K25/J25</f>
        <v>0.84720918367346942</v>
      </c>
      <c r="G25" s="334" t="str">
        <f t="shared" si="1"/>
        <v>영남권</v>
      </c>
      <c r="H25" s="74"/>
      <c r="I25" s="78" t="s">
        <v>43</v>
      </c>
      <c r="J25" s="22">
        <f>SUM(J11:J18)</f>
        <v>1470</v>
      </c>
      <c r="K25" s="19">
        <f>SUM(K11:K18)</f>
        <v>1245.3975</v>
      </c>
      <c r="L25" s="20">
        <f t="shared" si="0"/>
        <v>-224.60249999999996</v>
      </c>
      <c r="M25" s="24">
        <f>SUM(M11:M18)</f>
        <v>1548.7055</v>
      </c>
      <c r="N25" s="21">
        <f t="shared" si="2"/>
        <v>-303.30799999999999</v>
      </c>
      <c r="O25" s="22">
        <f>SUM(O11:O18)</f>
        <v>147814.47344522446</v>
      </c>
      <c r="P25" s="19">
        <f>SUM(P11:P18)</f>
        <v>123317.80987300001</v>
      </c>
      <c r="Q25" s="20">
        <f t="shared" si="3"/>
        <v>-24496.663572224454</v>
      </c>
      <c r="R25" s="24">
        <f>SUM(R11:R18)</f>
        <v>155875.84835200003</v>
      </c>
      <c r="S25" s="21">
        <f t="shared" si="4"/>
        <v>-32558.038479000024</v>
      </c>
      <c r="T25" s="22">
        <f>SUM(T11:T18)</f>
        <v>13357.392011230344</v>
      </c>
      <c r="U25" s="19">
        <f>SUM(U11:U18)</f>
        <v>6179.8389240000051</v>
      </c>
      <c r="V25" s="20">
        <f t="shared" si="5"/>
        <v>-7177.5530872303389</v>
      </c>
      <c r="W25" s="24">
        <f>SUM(W11:W18)</f>
        <v>15414.172655999993</v>
      </c>
      <c r="X25" s="21">
        <f t="shared" si="6"/>
        <v>-9234.3337319999882</v>
      </c>
      <c r="Y25" s="22">
        <f>+[12]영남권!$Q$85</f>
        <v>100554.06356817992</v>
      </c>
      <c r="Z25" s="19">
        <f>+[12]영남권!$R$85</f>
        <v>99038.170718663561</v>
      </c>
      <c r="AA25" s="23">
        <f>+[13]영남권!$Q$85</f>
        <v>100664.51082845427</v>
      </c>
      <c r="AB25" s="28">
        <f>+[12]영남권!$Q$89</f>
        <v>79085.204525197536</v>
      </c>
      <c r="AC25" s="19">
        <f>+[12]영남권!$R$89</f>
        <v>79921.882737104126</v>
      </c>
      <c r="AD25" s="29">
        <f>+[13]영남권!$Q$89</f>
        <v>78859.643032026695</v>
      </c>
      <c r="AE25" s="28">
        <f t="shared" si="7"/>
        <v>21468.859042982382</v>
      </c>
      <c r="AF25" s="19">
        <f t="shared" si="7"/>
        <v>19116.287981559435</v>
      </c>
      <c r="AG25" s="29">
        <f t="shared" si="7"/>
        <v>21804.86779642757</v>
      </c>
      <c r="AH25" s="17"/>
      <c r="AI25" s="611">
        <f t="shared" si="8"/>
        <v>0.84720918367346942</v>
      </c>
      <c r="AJ25" s="494"/>
      <c r="AK25" s="495">
        <f>+U25/T25</f>
        <v>0.46265310764288803</v>
      </c>
    </row>
    <row r="26" spans="2:44" s="8" customFormat="1" ht="22.5" customHeight="1" x14ac:dyDescent="0.3">
      <c r="F26" s="495">
        <f>+K26/J26</f>
        <v>0.87380546874999998</v>
      </c>
      <c r="G26" s="334" t="str">
        <f t="shared" si="1"/>
        <v>중부권</v>
      </c>
      <c r="H26" s="74"/>
      <c r="I26" s="78" t="s">
        <v>106</v>
      </c>
      <c r="J26" s="22">
        <f>SUM(J19:J23)</f>
        <v>640</v>
      </c>
      <c r="K26" s="19">
        <f>SUM(K19:K23)</f>
        <v>559.2355</v>
      </c>
      <c r="L26" s="20">
        <f t="shared" si="0"/>
        <v>-80.764499999999998</v>
      </c>
      <c r="M26" s="24">
        <f>SUM(M19:M23)</f>
        <v>627.95550000000003</v>
      </c>
      <c r="N26" s="21">
        <f t="shared" si="2"/>
        <v>-68.720000000000027</v>
      </c>
      <c r="O26" s="22">
        <f>SUM(O19:O23)</f>
        <v>68561.251589599997</v>
      </c>
      <c r="P26" s="19">
        <f>SUM(P19:P23)</f>
        <v>57382.269997999996</v>
      </c>
      <c r="Q26" s="20">
        <f t="shared" si="3"/>
        <v>-11178.981591600001</v>
      </c>
      <c r="R26" s="24">
        <f>SUM(R19:R23)</f>
        <v>65735.235329000003</v>
      </c>
      <c r="S26" s="21">
        <f t="shared" si="4"/>
        <v>-8352.9653310000067</v>
      </c>
      <c r="T26" s="22">
        <f>SUM(T19:T23)</f>
        <v>10358.723741626885</v>
      </c>
      <c r="U26" s="19">
        <f>SUM(U19:U23)</f>
        <v>4536.2435319999977</v>
      </c>
      <c r="V26" s="20">
        <f t="shared" si="5"/>
        <v>-5822.4802096268877</v>
      </c>
      <c r="W26" s="24">
        <f>SUM(W19:W23)</f>
        <v>9487.2537550000034</v>
      </c>
      <c r="X26" s="21">
        <f t="shared" si="6"/>
        <v>-4951.0102230000057</v>
      </c>
      <c r="Y26" s="22">
        <f>+[12]중부권!$Q$85</f>
        <v>107126.95560875</v>
      </c>
      <c r="Z26" s="19">
        <f>+[12]중부권!$R$85</f>
        <v>102518.54897138549</v>
      </c>
      <c r="AA26" s="23">
        <f>+[13]중부권!$Q$85</f>
        <v>104665.49395355821</v>
      </c>
      <c r="AB26" s="28">
        <f>+[12]중부권!$Q$89</f>
        <v>78272.498505633848</v>
      </c>
      <c r="AC26" s="19">
        <f>+[12]중부권!$R$89</f>
        <v>79993.581548720802</v>
      </c>
      <c r="AD26" s="29">
        <f>+[13]중부권!$Q$89</f>
        <v>76562.819182250692</v>
      </c>
      <c r="AE26" s="28">
        <f t="shared" si="7"/>
        <v>28854.457103116147</v>
      </c>
      <c r="AF26" s="19">
        <f t="shared" si="7"/>
        <v>22524.967422664689</v>
      </c>
      <c r="AG26" s="29">
        <f t="shared" si="7"/>
        <v>28102.674771307516</v>
      </c>
      <c r="AH26" s="17"/>
      <c r="AI26" s="611">
        <f t="shared" si="8"/>
        <v>0.87380546874999998</v>
      </c>
      <c r="AJ26" s="494"/>
      <c r="AK26" s="495">
        <f>+U26/T26</f>
        <v>0.43791529199402701</v>
      </c>
    </row>
    <row r="27" spans="2:44" s="3" customFormat="1" ht="22.5" customHeight="1" x14ac:dyDescent="0.3">
      <c r="B27" s="25"/>
      <c r="F27" s="483">
        <f>+K27/M27</f>
        <v>0.8307158013017476</v>
      </c>
      <c r="G27" s="336">
        <f>+K27/J27</f>
        <v>0.84274696096096102</v>
      </c>
      <c r="H27" s="267" t="s">
        <v>94</v>
      </c>
      <c r="I27" s="268"/>
      <c r="J27" s="269">
        <f>SUM(J24:J26)</f>
        <v>3330</v>
      </c>
      <c r="K27" s="270">
        <f>SUM(K24:K26)</f>
        <v>2806.3473800000002</v>
      </c>
      <c r="L27" s="271">
        <f t="shared" si="0"/>
        <v>-523.65261999999984</v>
      </c>
      <c r="M27" s="272">
        <f>SUM(M24:M26)</f>
        <v>3378.2280000000001</v>
      </c>
      <c r="N27" s="273">
        <f t="shared" si="2"/>
        <v>-571.88061999999991</v>
      </c>
      <c r="O27" s="269">
        <f>SUM(O24:O26)</f>
        <v>336644.08584804903</v>
      </c>
      <c r="P27" s="270">
        <f>SUM(P24:P26)</f>
        <v>277105.914797</v>
      </c>
      <c r="Q27" s="271">
        <f t="shared" si="3"/>
        <v>-59538.171051049023</v>
      </c>
      <c r="R27" s="272">
        <f>SUM(R24:R26)</f>
        <v>339565.23887300002</v>
      </c>
      <c r="S27" s="273">
        <f t="shared" si="4"/>
        <v>-62459.324076000019</v>
      </c>
      <c r="T27" s="269">
        <f>SUM(T24:T26)</f>
        <v>32931.587945722124</v>
      </c>
      <c r="U27" s="270">
        <f>SUM(U24:U26)</f>
        <v>12776.151266019999</v>
      </c>
      <c r="V27" s="271">
        <f t="shared" si="5"/>
        <v>-20155.436679702125</v>
      </c>
      <c r="W27" s="272">
        <f>SUM(W24:W26)</f>
        <v>33037.283919009998</v>
      </c>
      <c r="X27" s="273">
        <f t="shared" si="6"/>
        <v>-20261.13265299</v>
      </c>
      <c r="Y27" s="269">
        <f>+[12]합계!$Q$85</f>
        <v>101094.32007448922</v>
      </c>
      <c r="Z27" s="270">
        <f>+[12]합계!$R$85</f>
        <v>98751.576501596952</v>
      </c>
      <c r="AA27" s="274">
        <f>+[13]합계!$Q$85</f>
        <v>100523.03337334946</v>
      </c>
      <c r="AB27" s="275">
        <f>+[12]합계!$Q$89</f>
        <v>79660.151993779073</v>
      </c>
      <c r="AC27" s="270">
        <f>+[12]합계!$R$89</f>
        <v>80583.000590933269</v>
      </c>
      <c r="AD27" s="276">
        <f>+[13]합계!$Q$89</f>
        <v>79276.382673567117</v>
      </c>
      <c r="AE27" s="275">
        <f t="shared" si="7"/>
        <v>21434.168080710151</v>
      </c>
      <c r="AF27" s="270">
        <f t="shared" si="7"/>
        <v>18168.575910663683</v>
      </c>
      <c r="AG27" s="276">
        <f t="shared" si="7"/>
        <v>21246.650699782345</v>
      </c>
      <c r="AH27" s="26"/>
      <c r="AI27" s="611">
        <f t="shared" si="8"/>
        <v>0.84274696096096102</v>
      </c>
      <c r="AJ27" s="494"/>
      <c r="AK27" s="483">
        <f>+U27/T27</f>
        <v>0.38796037673851819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+IFERROR(HLOOKUP($B28,'[1]12월누계'!$D$6:$BN$259,2,),)/1000</f>
        <v>259.99977397789297</v>
      </c>
      <c r="K28" s="56">
        <f>+IFERROR(HLOOKUP($C28,'[2]12월누계'!$F$6:$CP$99,2,),)/1000</f>
        <v>278.34800000000001</v>
      </c>
      <c r="L28" s="37">
        <f t="shared" si="0"/>
        <v>18.348226022107042</v>
      </c>
      <c r="M28" s="37">
        <f>+IFERROR(HLOOKUP($C28,'[3]12월누계'!$F$6:$CC$57,2,),)/1000</f>
        <v>238.35300000000001</v>
      </c>
      <c r="N28" s="57">
        <f t="shared" si="2"/>
        <v>39.995000000000005</v>
      </c>
      <c r="O28" s="55">
        <f>+IFERROR(HLOOKUP($B28,'[1]12월누계'!$D$6:$BN$259,3,),)/1000</f>
        <v>7457.3531898249357</v>
      </c>
      <c r="P28" s="56">
        <f>+IFERROR(HLOOKUP($C28,'[2]12월누계'!$F$6:$CP$99,3,),)/1000</f>
        <v>7928.5799530000004</v>
      </c>
      <c r="Q28" s="37">
        <f t="shared" si="3"/>
        <v>471.22676317506466</v>
      </c>
      <c r="R28" s="37">
        <f>+IFERROR(HLOOKUP($C28,'[3]12월누계'!$F$6:$CC$57,3,),)/1000</f>
        <v>6922.5480800000005</v>
      </c>
      <c r="S28" s="57">
        <f t="shared" si="4"/>
        <v>1006.0318729999999</v>
      </c>
      <c r="T28" s="55">
        <f>+IFERROR(HLOOKUP($B28,'[1]12월누계'!$D$6:$BN$259,21,),)/1000</f>
        <v>839.07689353023818</v>
      </c>
      <c r="U28" s="56">
        <f>+IFERROR(HLOOKUP($C28,'[2]12월누계'!$F$6:$CP$99,21,),)/1000</f>
        <v>132.86314722410032</v>
      </c>
      <c r="V28" s="37">
        <f t="shared" si="5"/>
        <v>-706.21374630613786</v>
      </c>
      <c r="W28" s="37">
        <f>+IFERROR(HLOOKUP($C28,'[3]12월누계'!$F$6:$CC$57,21,),)/1000</f>
        <v>339.72439163340852</v>
      </c>
      <c r="X28" s="57">
        <f t="shared" si="6"/>
        <v>-206.8612444093082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+IFERROR(HLOOKUP($B29,'[1]12월누계'!$D$6:$BN$259,2,),)/1000</f>
        <v>580.0004729763441</v>
      </c>
      <c r="K29" s="58">
        <f>+IFERROR(HLOOKUP($C29,'[2]12월누계'!$F$6:$CP$99,2,),)/1000</f>
        <v>294.548</v>
      </c>
      <c r="L29" s="47">
        <f t="shared" si="0"/>
        <v>-285.4524729763441</v>
      </c>
      <c r="M29" s="47">
        <f>+IFERROR(HLOOKUP($C29,'[3]12월누계'!$F$6:$CC$57,2,),)/1000</f>
        <v>172.09200000000001</v>
      </c>
      <c r="N29" s="59">
        <f t="shared" si="2"/>
        <v>122.45599999999999</v>
      </c>
      <c r="O29" s="53">
        <f>+IFERROR(HLOOKUP($B29,'[1]12월누계'!$D$6:$BN$259,3,),)/1000</f>
        <v>8484.9984364881711</v>
      </c>
      <c r="P29" s="58">
        <f>+IFERROR(HLOOKUP($C29,'[2]12월누계'!$F$6:$CP$99,3,),)/1000</f>
        <v>4004.4859999999999</v>
      </c>
      <c r="Q29" s="47">
        <f t="shared" si="3"/>
        <v>-4480.5124364881713</v>
      </c>
      <c r="R29" s="47">
        <f>+IFERROR(HLOOKUP($C29,'[3]12월누계'!$F$6:$CC$57,3,),)/1000</f>
        <v>2413.663</v>
      </c>
      <c r="S29" s="59">
        <f t="shared" si="4"/>
        <v>1590.8229999999999</v>
      </c>
      <c r="T29" s="53">
        <f>+IFERROR(HLOOKUP($B29,'[1]12월누계'!$D$6:$BN$259,21,),)/1000</f>
        <v>1348.2154798806007</v>
      </c>
      <c r="U29" s="58">
        <f>+IFERROR(HLOOKUP($C29,'[2]12월누계'!$F$6:$CP$99,21,),)/1000</f>
        <v>3.020471791320626</v>
      </c>
      <c r="V29" s="47">
        <f t="shared" si="5"/>
        <v>-1345.19500808928</v>
      </c>
      <c r="W29" s="47">
        <f>+IFERROR(HLOOKUP($C29,'[3]12월누계'!$F$6:$CC$57,21,),)/1000</f>
        <v>-278.72642411398573</v>
      </c>
      <c r="X29" s="59">
        <f t="shared" si="6"/>
        <v>281.74689590530636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+IFERROR(HLOOKUP($B30,'[1]12월누계'!$D$6:$BN$259,2,),)/1000</f>
        <v>359.99954523333327</v>
      </c>
      <c r="K30" s="58">
        <f>+IFERROR(HLOOKUP($C30,'[2]12월누계'!$F$6:$CP$99,2,),)/1000</f>
        <v>214.03800000000001</v>
      </c>
      <c r="L30" s="47">
        <f t="shared" si="0"/>
        <v>-145.96154523333325</v>
      </c>
      <c r="M30" s="47">
        <f>+IFERROR(HLOOKUP($C30,'[3]12월누계'!$F$6:$CC$57,2,),)/1000</f>
        <v>429.666</v>
      </c>
      <c r="N30" s="59">
        <f t="shared" si="2"/>
        <v>-215.62799999999999</v>
      </c>
      <c r="O30" s="53">
        <f>+IFERROR(HLOOKUP($B30,'[1]12월누계'!$D$6:$BN$259,3,),)/1000</f>
        <v>6141.6483437166662</v>
      </c>
      <c r="P30" s="58">
        <f>+IFERROR(HLOOKUP($C30,'[2]12월누계'!$F$6:$CP$99,3,),)/1000</f>
        <v>4127.2169999999996</v>
      </c>
      <c r="Q30" s="47">
        <f t="shared" si="3"/>
        <v>-2014.4313437166666</v>
      </c>
      <c r="R30" s="47">
        <f>+IFERROR(HLOOKUP($C30,'[3]12월누계'!$F$6:$CC$57,3,),)/1000</f>
        <v>7733.933</v>
      </c>
      <c r="S30" s="59">
        <f t="shared" si="4"/>
        <v>-3606.7160000000003</v>
      </c>
      <c r="T30" s="53">
        <f>+IFERROR(HLOOKUP($B30,'[1]12월누계'!$D$6:$BN$259,21,),)/1000</f>
        <v>29.965159068613691</v>
      </c>
      <c r="U30" s="58">
        <f>+IFERROR(HLOOKUP($C30,'[2]12월누계'!$F$6:$CP$99,21,),)/1000</f>
        <v>-1471.3559087599988</v>
      </c>
      <c r="V30" s="47">
        <f t="shared" si="5"/>
        <v>-1501.3210678286125</v>
      </c>
      <c r="W30" s="47">
        <f>+IFERROR(HLOOKUP($C30,'[3]12월누계'!$F$6:$CC$57,21,),)/1000</f>
        <v>-822.30434174999903</v>
      </c>
      <c r="X30" s="59">
        <f t="shared" si="6"/>
        <v>-649.05156700999976</v>
      </c>
      <c r="Y30" s="266" t="s">
        <v>198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1199.9997921875704</v>
      </c>
      <c r="K31" s="140">
        <f>SUM(K28:K30)</f>
        <v>786.93399999999997</v>
      </c>
      <c r="L31" s="138">
        <f t="shared" si="0"/>
        <v>-413.06579218757042</v>
      </c>
      <c r="M31" s="138">
        <f>SUM(M28:M30)</f>
        <v>840.1110000000001</v>
      </c>
      <c r="N31" s="139">
        <f t="shared" si="2"/>
        <v>-53.177000000000135</v>
      </c>
      <c r="O31" s="136">
        <f>SUM(O28:O30)</f>
        <v>22083.99997002977</v>
      </c>
      <c r="P31" s="140">
        <f>SUM(P28:P30)</f>
        <v>16060.282953000002</v>
      </c>
      <c r="Q31" s="138">
        <f t="shared" si="3"/>
        <v>-6023.7170170297686</v>
      </c>
      <c r="R31" s="138">
        <f>SUM(R28:R30)</f>
        <v>17070.144080000002</v>
      </c>
      <c r="S31" s="139">
        <f t="shared" si="4"/>
        <v>-1009.8611270000001</v>
      </c>
      <c r="T31" s="136">
        <f>SUM(T28:T30)</f>
        <v>2217.2575324794525</v>
      </c>
      <c r="U31" s="140">
        <f>SUM(U28:U30)</f>
        <v>-1335.4722897445779</v>
      </c>
      <c r="V31" s="138">
        <f t="shared" si="5"/>
        <v>-3552.7298222240306</v>
      </c>
      <c r="W31" s="138">
        <f>SUM(W28:W30)</f>
        <v>-761.30637423057624</v>
      </c>
      <c r="X31" s="139">
        <f t="shared" si="6"/>
        <v>-574.16591551400165</v>
      </c>
      <c r="Y31" s="482" t="s">
        <v>207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(IFERROR(HLOOKUP($B32,'[1]12월누계'!$D$6:$BN$259,3,),)++IFERROR(HLOOKUP($C32,'[1]12월누계'!$D$6:$BN$259,3,),)+IFERROR(HLOOKUP($D32,'[1]12월누계'!$D$6:$BN$259,3,),))/1000</f>
        <v>872.52</v>
      </c>
      <c r="P32" s="46">
        <f>+IFERROR(HLOOKUP($E32,'[2]12월누계'!$F$6:$CP$99,3,),)/1000</f>
        <v>637.58000000000004</v>
      </c>
      <c r="Q32" s="48">
        <f t="shared" si="3"/>
        <v>-234.93999999999994</v>
      </c>
      <c r="R32" s="47">
        <f>+IFERROR(HLOOKUP($E32,'[3]12월누계'!$F$6:$CC$57,3,),)/1000</f>
        <v>1090.08</v>
      </c>
      <c r="S32" s="59">
        <f t="shared" si="4"/>
        <v>-452.49999999999989</v>
      </c>
      <c r="T32" s="45">
        <f>(IFERROR(HLOOKUP($B32,'[1]12월누계'!$D$6:$BN$259,21,),)++IFERROR(HLOOKUP($C32,'[1]12월누계'!$D$6:$BN$259,21,),)+IFERROR(HLOOKUP($D32,'[1]12월누계'!$D$6:$BN$259,21,),))/1000</f>
        <v>611.60172599999999</v>
      </c>
      <c r="U32" s="46">
        <f>+IFERROR(HLOOKUP($E32,'[2]12월누계'!$F$6:$CP$99,16,),)/1000</f>
        <v>352.04302099999995</v>
      </c>
      <c r="V32" s="48">
        <f t="shared" si="5"/>
        <v>-259.55870500000003</v>
      </c>
      <c r="W32" s="47">
        <f>+IFERROR(HLOOKUP($E32,'[3]12월누계'!$F$6:$CC$57,16,),)/1000</f>
        <v>771.41685800000005</v>
      </c>
      <c r="X32" s="59">
        <f t="shared" si="6"/>
        <v>-419.37383700000009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9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0">+K33-M33</f>
        <v>0</v>
      </c>
      <c r="O33" s="45">
        <f>(+IFERROR(HLOOKUP($B33,'[1]12월누계'!$D$6:$BN$259,3,),)+IFERROR(HLOOKUP($C33,'[1]12월누계'!$D$6:$BN$259,3,),))/1000</f>
        <v>890.798</v>
      </c>
      <c r="P33" s="46">
        <f>+IFERROR(HLOOKUP($E33,'[2]12월누계'!$F$6:$CP$99,3,),)/1000</f>
        <v>885.19010100000003</v>
      </c>
      <c r="Q33" s="48">
        <f>+P33-O33</f>
        <v>-5.6078989999999749</v>
      </c>
      <c r="R33" s="47">
        <f>+IFERROR(HLOOKUP($E33,'[3]12월누계'!$F$6:$CC$57,3,),)/1000</f>
        <v>875.84246999999993</v>
      </c>
      <c r="S33" s="59">
        <f t="shared" si="4"/>
        <v>9.3476310000000922</v>
      </c>
      <c r="T33" s="45">
        <f>(+IFERROR(HLOOKUP($B33,'[1]12월누계'!$D$6:$BN$259,21,),)+IFERROR(HLOOKUP($C33,'[1]12월누계'!$D$6:$BN$259,21,),))/1000</f>
        <v>819.50177599999995</v>
      </c>
      <c r="U33" s="46">
        <f>+IFERROR(HLOOKUP($E33,'[2]12월누계'!$F$6:$CP$99,16,),)/1000</f>
        <v>813.49677200000008</v>
      </c>
      <c r="V33" s="48">
        <f t="shared" si="5"/>
        <v>-6.0050039999998717</v>
      </c>
      <c r="W33" s="47">
        <f>+IFERROR(HLOOKUP($E33,'[3]12월누계'!$F$6:$CC$57,16,),)/1000</f>
        <v>800.92318899999998</v>
      </c>
      <c r="X33" s="59">
        <f t="shared" si="6"/>
        <v>12.573583000000099</v>
      </c>
      <c r="Y33" s="479" t="s">
        <v>201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9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0"/>
        <v>0</v>
      </c>
      <c r="O34" s="45"/>
      <c r="P34" s="46"/>
      <c r="Q34" s="48">
        <f>+P34-O34</f>
        <v>0</v>
      </c>
      <c r="R34" s="47"/>
      <c r="S34" s="59">
        <f t="shared" si="4"/>
        <v>0</v>
      </c>
      <c r="T34" s="45">
        <f>-'[1]12월누계'!$Z$22/1000</f>
        <v>-17936.641743046304</v>
      </c>
      <c r="U34" s="46">
        <f>+-'[2]12월누계'!$Z$22/1000</f>
        <v>-18663.570334305532</v>
      </c>
      <c r="V34" s="48">
        <f t="shared" si="5"/>
        <v>-726.92859125922769</v>
      </c>
      <c r="W34" s="47">
        <f>+-'[3]12월누계'!$Z$22/1000</f>
        <v>-17443.479454768894</v>
      </c>
      <c r="X34" s="59">
        <f t="shared" si="6"/>
        <v>-1220.0908795366377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9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0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/>
      <c r="U35" s="46">
        <f>'[2]12월누계'!$BD$26/1000</f>
        <v>1257.4551000000001</v>
      </c>
      <c r="V35" s="48">
        <f t="shared" si="5"/>
        <v>1257.4551000000001</v>
      </c>
      <c r="W35" s="47">
        <f>'[3]12월누계'!$BD$26/1000</f>
        <v>1291.7882400000001</v>
      </c>
      <c r="X35" s="59">
        <f t="shared" si="6"/>
        <v>-34.333139999999958</v>
      </c>
      <c r="Y35" s="266" t="s">
        <v>199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9"/>
        <v>대손</v>
      </c>
      <c r="H36" s="81"/>
      <c r="I36" s="82" t="s">
        <v>96</v>
      </c>
      <c r="J36" s="45"/>
      <c r="K36" s="46"/>
      <c r="L36" s="48"/>
      <c r="M36" s="47"/>
      <c r="N36" s="59">
        <f t="shared" si="10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'[2]12월누계'!$BE$26/1000</f>
        <v>-1684.3831099999998</v>
      </c>
      <c r="V36" s="48">
        <f t="shared" si="5"/>
        <v>-1684.3831099999998</v>
      </c>
      <c r="W36" s="47">
        <f>'[3]12월누계'!$BE$26/1000</f>
        <v>-254.34662400000002</v>
      </c>
      <c r="X36" s="59">
        <f t="shared" si="6"/>
        <v>-1430.0364859999997</v>
      </c>
      <c r="Y36" s="266" t="s">
        <v>200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9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>+P37-O37</f>
        <v>0</v>
      </c>
      <c r="R37" s="47">
        <f>+IFERROR(HLOOKUP($I$37,'[3]12월누계'!$F$6:$BJ$50,3,),)/1000</f>
        <v>0</v>
      </c>
      <c r="S37" s="59">
        <f t="shared" si="4"/>
        <v>0</v>
      </c>
      <c r="T37" s="45">
        <f>SUM('[1]12월누계'!$AM$26:$AQ$26)/1000</f>
        <v>-318.02264400000001</v>
      </c>
      <c r="U37" s="46">
        <f>+'[2]12월누계'!$BF$26/1000</f>
        <v>-315.64204499999994</v>
      </c>
      <c r="V37" s="48">
        <f t="shared" si="5"/>
        <v>2.3805990000000747</v>
      </c>
      <c r="W37" s="47">
        <f>+'[3]12월누계'!$BF$26/1000</f>
        <v>-408.81052399999999</v>
      </c>
      <c r="X37" s="59">
        <f>+U37-W37</f>
        <v>93.168479000000048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9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+'[2]12월누계'!$BG$26/1000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IFERROR(HLOOKUP($B38,'[1]12월누계'!$D$6:$BN$259,3,),)/1000</f>
        <v>21.24</v>
      </c>
      <c r="P39" s="46">
        <f>+('[2]12월누계'!$F$8-SUM('[2]12월누계'!$Z$8,'[2]12월누계'!$AH$8,'[2]12월누계'!$AN$8,'[2]12월누계'!$AO$8,'[2]12월누계'!$BA$8,'[2]12월누계'!$BD$8,'[2]12월누계'!$BE$8,'[2]12월누계'!$BF$8))/1000</f>
        <v>20.16505000001192</v>
      </c>
      <c r="Q39" s="54">
        <f>+P39-O39</f>
        <v>-1.0749499999880783</v>
      </c>
      <c r="R39" s="60">
        <f>+('[3]12월누계'!$F$8-SUM('[3]12월누계'!$Z$8,'[3]12월누계'!$AH$8,'[3]12월누계'!$AN$8,'[3]12월누계'!$AO$8,'[3]12월누계'!$BA$8,'[3]12월누계'!$BD$8,'[3]12월누계'!$BE$8,'[3]12월누계'!$BF$8))/1000</f>
        <v>20.98485000002384</v>
      </c>
      <c r="S39" s="61">
        <f>+P39-R39</f>
        <v>-0.8198000000119201</v>
      </c>
      <c r="T39" s="45">
        <f>+('[1]12월누계'!$E$26-'[1]12월누계'!$Z$26-'[1]12월누계'!$AA$26-'[1]12월누계'!$AE$26-'[1]12월누계'!$AL$26-'[1]12월누계'!$AM$26-'[1]12월누계'!$AN$26-'[1]12월누계'!$AO$26-'[1]12월누계'!$AP$26-'[1]12월누계'!$AQ$26-'[1]12월누계'!$AS$26)/1000+'[1]12월누계'!$AS$26/1000</f>
        <v>-845.16595600008782</v>
      </c>
      <c r="U39" s="46">
        <f>+('[2]12월누계'!$F$26-SUM('[2]12월누계'!$Z$26,'[2]12월누계'!$AH$26,'[2]12월누계'!$AN$26,'[2]12월누계'!$AO$26,'[2]12월누계'!$BA$26,'[2]12월누계'!$BD$26,'[2]12월누계'!$BE$26,'[2]12월누계'!$BF$26))/1000-U38</f>
        <v>-88.870117000045298</v>
      </c>
      <c r="V39" s="48">
        <f>+U39-T39</f>
        <v>756.29583900004252</v>
      </c>
      <c r="W39" s="60">
        <f>+('[3]12월누계'!$F$26-SUM('[3]12월누계'!$Z$26,'[3]12월누계'!$AH$26,'[3]12월누계'!$AN$26,'[3]12월누계'!$AO$26,'[3]12월누계'!$BA$26,'[3]12월누계'!$BD$26,'[3]12월누계'!$BE$26,'[3]12월누계'!$BF$26))/1000</f>
        <v>-216.4760410001129</v>
      </c>
      <c r="X39" s="59">
        <f>+U39-W39</f>
        <v>127.6059240000676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0"/>
        <v>0</v>
      </c>
      <c r="O40" s="136">
        <f>SUM(O32:O39)</f>
        <v>1784.558</v>
      </c>
      <c r="P40" s="137">
        <f>SUM(P32:P39)</f>
        <v>1542.935151000012</v>
      </c>
      <c r="Q40" s="141">
        <f t="shared" si="3"/>
        <v>-241.62284899998804</v>
      </c>
      <c r="R40" s="142">
        <f>SUM(R32:R39)</f>
        <v>1986.9073200000239</v>
      </c>
      <c r="S40" s="143">
        <f>+P40-R40</f>
        <v>-443.97216900001195</v>
      </c>
      <c r="T40" s="136">
        <f>SUM(T32:T39)</f>
        <v>-17668.726841046395</v>
      </c>
      <c r="U40" s="137">
        <f>SUM(U32:U39)</f>
        <v>-19088.813902215577</v>
      </c>
      <c r="V40" s="141">
        <f>+U40-T40</f>
        <v>-1420.0870611691826</v>
      </c>
      <c r="W40" s="142">
        <f>SUM(W32:W39)</f>
        <v>-15458.984356769008</v>
      </c>
      <c r="X40" s="143">
        <f>+U40-W40</f>
        <v>-3629.8295454465697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0.81747239092594914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360512.6438180788</v>
      </c>
      <c r="P42" s="279">
        <f>+P27+P31+P40</f>
        <v>294709.13290099998</v>
      </c>
      <c r="Q42" s="281">
        <f t="shared" si="3"/>
        <v>-65803.51091707882</v>
      </c>
      <c r="R42" s="279">
        <f>+R27+R31+R40</f>
        <v>358622.29027300002</v>
      </c>
      <c r="S42" s="283">
        <f>+P42-R42</f>
        <v>-63913.157372000045</v>
      </c>
      <c r="T42" s="279">
        <f>+T27+T31+T40</f>
        <v>17480.118637155181</v>
      </c>
      <c r="U42" s="279">
        <f>+U27+U31+U40</f>
        <v>-7648.1349259401559</v>
      </c>
      <c r="V42" s="281">
        <f>+U42-T42</f>
        <v>-25128.253563095335</v>
      </c>
      <c r="W42" s="279">
        <f>+W27+W31+W40</f>
        <v>16816.993188010416</v>
      </c>
      <c r="X42" s="283">
        <f>+U42-W42</f>
        <v>-24465.128113950574</v>
      </c>
      <c r="Y42" s="657"/>
      <c r="Z42" s="658"/>
      <c r="AA42" s="658"/>
      <c r="AB42" s="658"/>
      <c r="AC42" s="658"/>
      <c r="AD42" s="658"/>
      <c r="AE42" s="658"/>
      <c r="AF42" s="658"/>
      <c r="AG42" s="659"/>
      <c r="AH42" s="25"/>
    </row>
    <row r="43" spans="2:44" s="33" customFormat="1" x14ac:dyDescent="0.3">
      <c r="G43" s="336">
        <f>+U42/T42</f>
        <v>-0.43753335344552668</v>
      </c>
      <c r="K43" s="295"/>
      <c r="L43" s="295"/>
      <c r="M43" s="295"/>
      <c r="P43" s="295">
        <f>+P42/O42</f>
        <v>0.81747239092594914</v>
      </c>
      <c r="R43" s="295">
        <f>+P42/R42</f>
        <v>0.82178141430264595</v>
      </c>
      <c r="T43" s="295">
        <f>+T42/O42</f>
        <v>4.8486839329762776E-2</v>
      </c>
      <c r="U43" s="295">
        <f>+U42/P42</f>
        <v>-2.5951468998109916E-2</v>
      </c>
      <c r="V43" s="33">
        <f>+V42/100</f>
        <v>-251.28253563095336</v>
      </c>
      <c r="X43" s="33">
        <f>+X42/100</f>
        <v>-244.65128113950573</v>
      </c>
      <c r="AC43" s="34"/>
      <c r="AF43" s="34"/>
    </row>
    <row r="44" spans="2:44" s="33" customFormat="1" ht="17.25" thickBot="1" x14ac:dyDescent="0.35">
      <c r="G44" s="340"/>
      <c r="K44" s="295">
        <f>+K31/J31</f>
        <v>0.65577844689909359</v>
      </c>
      <c r="L44" s="295"/>
      <c r="M44" s="295">
        <f>+K31/M31</f>
        <v>0.9367024119431836</v>
      </c>
      <c r="AC44" s="34"/>
      <c r="AF44" s="34"/>
    </row>
    <row r="45" spans="2:44" s="33" customFormat="1" x14ac:dyDescent="0.3">
      <c r="G45" s="340"/>
      <c r="I45" s="654" t="s">
        <v>82</v>
      </c>
      <c r="J45" s="126">
        <f>+'[1]12월누계'!$Z$7/1000</f>
        <v>3330</v>
      </c>
      <c r="K45" s="127">
        <f>+'[2]12월누계'!$AI$7/1000</f>
        <v>2806.3473799999997</v>
      </c>
      <c r="L45" s="127"/>
      <c r="M45" s="127">
        <f>+'[3]12월누계'!$Z$7/1000</f>
        <v>3378.2280000000001</v>
      </c>
      <c r="N45" s="127"/>
      <c r="O45" s="127">
        <f>('[1]12월누계'!$E$8-'[1]12월누계'!$AA$8)/1000</f>
        <v>360512.64381807885</v>
      </c>
      <c r="P45" s="127">
        <f>('[2]12월누계'!$F$8-'[2]12월누계'!$AO$8)/1000</f>
        <v>294709.13290100003</v>
      </c>
      <c r="Q45" s="127"/>
      <c r="R45" s="127">
        <f>('[3]12월누계'!$F$8-'[3]12월누계'!$AO$8)/1000</f>
        <v>358622.29027299996</v>
      </c>
      <c r="S45" s="127"/>
      <c r="T45" s="132">
        <f>('[1]12월누계'!$E$26-'[1]12월누계'!$AA$26)/1000</f>
        <v>17480.118637155214</v>
      </c>
      <c r="U45" s="127">
        <f>('[2]12월누계'!$F$26-'[2]12월누계'!$AO$26)/1000</f>
        <v>-7648.134925940155</v>
      </c>
      <c r="V45" s="127"/>
      <c r="W45" s="127">
        <f>('[3]12월누계'!$F$26-'[3]12월누계'!$AO$26)/1000</f>
        <v>16816.993188010405</v>
      </c>
      <c r="X45" s="128"/>
      <c r="AC45" s="34"/>
      <c r="AF45" s="34"/>
    </row>
    <row r="46" spans="2:44" s="33" customFormat="1" ht="17.25" thickBot="1" x14ac:dyDescent="0.35">
      <c r="G46" s="340"/>
      <c r="I46" s="654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3.2741809263825417E-11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236">
        <f>+(T27+T34)/100</f>
        <v>149.9494620267582</v>
      </c>
      <c r="U48" s="236">
        <f>+(U27+U34)/100</f>
        <v>-58.874190682855335</v>
      </c>
      <c r="V48" s="236">
        <f>+U48-T48</f>
        <v>-208.82365270961353</v>
      </c>
    </row>
    <row r="49" spans="20:22" x14ac:dyDescent="0.3">
      <c r="T49" s="236">
        <f>+T31/100</f>
        <v>22.172575324794526</v>
      </c>
      <c r="U49" s="236">
        <f>+U31/100</f>
        <v>-13.354722897445779</v>
      </c>
      <c r="V49" s="236">
        <f>+U49-T49</f>
        <v>-35.527298222240304</v>
      </c>
    </row>
    <row r="50" spans="20:22" x14ac:dyDescent="0.3">
      <c r="T50" s="6">
        <f>+(T32+T33)/100</f>
        <v>14.311035019999998</v>
      </c>
      <c r="U50" s="6">
        <f>+(U32+U33)/100</f>
        <v>11.655397929999999</v>
      </c>
      <c r="V50" s="236">
        <f>+U50-T50</f>
        <v>-2.655637089999999</v>
      </c>
    </row>
    <row r="51" spans="20:22" x14ac:dyDescent="0.3">
      <c r="T51" s="6">
        <f>+T42/100-T48-T49-T50</f>
        <v>-11.631886000000915</v>
      </c>
      <c r="U51" s="600">
        <f>+U42/100-U48-U49-U50</f>
        <v>-15.90783360910044</v>
      </c>
      <c r="V51" s="236">
        <f>+U51-T51</f>
        <v>-4.275947609099525</v>
      </c>
    </row>
    <row r="52" spans="20:22" x14ac:dyDescent="0.3">
      <c r="T52" s="236">
        <f>+SUM(T48:T51)</f>
        <v>174.80118637155181</v>
      </c>
      <c r="U52" s="236">
        <f>+SUM(U48:U51)</f>
        <v>-76.481349259401554</v>
      </c>
      <c r="V52" s="236">
        <f>+U52-T52</f>
        <v>-251.28253563095336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221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660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661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3591.5439579287277</v>
      </c>
      <c r="F8" s="385">
        <f>+[4]합계!$I$86/1000</f>
        <v>209.4991719999943</v>
      </c>
      <c r="G8" s="384">
        <f t="shared" ref="G8:G28" si="0">+F8-E8</f>
        <v>-3382.0447859287333</v>
      </c>
      <c r="H8" s="386">
        <f>+[4]합계!$T$5/1000</f>
        <v>305</v>
      </c>
      <c r="I8" s="385">
        <f>+[4]합계!$U$5/1000</f>
        <v>228.56005999999999</v>
      </c>
      <c r="J8" s="384">
        <f t="shared" ref="J8:J28" si="1">+I8-H8</f>
        <v>-76.439940000000007</v>
      </c>
      <c r="K8" s="387">
        <f>+[4]합계!$M$86/1000</f>
        <v>-1148.0948470416683</v>
      </c>
      <c r="L8" s="386">
        <f>+[4]합계!$Q$85</f>
        <v>102135.08537207061</v>
      </c>
      <c r="M8" s="385">
        <f>+[4]합계!$R$85</f>
        <v>101721.48004045202</v>
      </c>
      <c r="N8" s="384">
        <f t="shared" ref="N8:N28" si="2">+M8-L8</f>
        <v>-413.60533161858621</v>
      </c>
      <c r="O8" s="387">
        <f>+[4]합계!$K$86/1000</f>
        <v>-94.38517509701289</v>
      </c>
      <c r="P8" s="386">
        <f>+[4]합계!$Q$50</f>
        <v>87171.63864947691</v>
      </c>
      <c r="Q8" s="385">
        <f>+[4]합계!$R$50</f>
        <v>96139.750358087898</v>
      </c>
      <c r="R8" s="384">
        <f t="shared" ref="R8:R28" si="3">+Q8-P8</f>
        <v>8968.111708610988</v>
      </c>
      <c r="S8" s="387">
        <f>+[4]합계!$L$56/1000</f>
        <v>-1929.6353569323969</v>
      </c>
      <c r="T8" s="386">
        <f>+([4]합계!$H$80+[4]합계!$H$85)/1000</f>
        <v>972.30729246234557</v>
      </c>
      <c r="U8" s="385">
        <f>+([4]합계!$I$80+[4]합계!$I$85)/1000</f>
        <v>1182.2366993200001</v>
      </c>
      <c r="V8" s="384">
        <f t="shared" ref="V8:V28" si="4">+U8-T8</f>
        <v>209.9294068576545</v>
      </c>
      <c r="W8" s="383">
        <f>+([4]합계!$L$80+[4]합계!$L$85)/1000</f>
        <v>-209.92940685765439</v>
      </c>
      <c r="Y8" s="6">
        <f t="shared" ref="Y8:Y28" si="5">+G8-K8-O8-S8-W8</f>
        <v>-6.8212102632969618E-13</v>
      </c>
      <c r="Z8" s="6">
        <f t="shared" ref="Z8:Z28" si="6">+Y8*1000000</f>
        <v>-6.8212102632969618E-7</v>
      </c>
    </row>
    <row r="9" spans="1:26" ht="24" customHeight="1" x14ac:dyDescent="0.3">
      <c r="D9" s="382" t="s">
        <v>16</v>
      </c>
      <c r="E9" s="381">
        <f>+[4]수도권!$H$86/1000</f>
        <v>1112.355244388451</v>
      </c>
      <c r="F9" s="380">
        <f>+[4]수도권!$I$86/1000</f>
        <v>-7.6302419999994164</v>
      </c>
      <c r="G9" s="379">
        <f t="shared" si="0"/>
        <v>-1119.9854863884505</v>
      </c>
      <c r="H9" s="381">
        <f>+[4]수도권!$T$5/1000</f>
        <v>109</v>
      </c>
      <c r="I9" s="380">
        <f>+[4]수도권!$U$5/1000</f>
        <v>88.277059999999992</v>
      </c>
      <c r="J9" s="379">
        <f t="shared" si="1"/>
        <v>-20.722940000000008</v>
      </c>
      <c r="K9" s="378">
        <f>+[4]수도권!$M$86/1000</f>
        <v>-273.93835173488617</v>
      </c>
      <c r="L9" s="381">
        <f>+[4]수도권!$Q$85</f>
        <v>100867.1766436521</v>
      </c>
      <c r="M9" s="380">
        <f>+[4]수도권!$R$85</f>
        <v>99894.501248649074</v>
      </c>
      <c r="N9" s="379">
        <f t="shared" si="2"/>
        <v>-972.67539500302519</v>
      </c>
      <c r="O9" s="378">
        <f>+[4]수도권!$K$86/1000</f>
        <v>-85.555613429594786</v>
      </c>
      <c r="P9" s="381">
        <f>+[4]수도권!$Q$50</f>
        <v>87797.81036368139</v>
      </c>
      <c r="Q9" s="380">
        <f>+[4]수도권!$R$50</f>
        <v>95850.403589614143</v>
      </c>
      <c r="R9" s="379">
        <f t="shared" si="3"/>
        <v>8052.5932259327528</v>
      </c>
      <c r="S9" s="378">
        <f>+[4]수도권!$L$56/1000</f>
        <v>-708.33570628232576</v>
      </c>
      <c r="T9" s="381">
        <f>+([4]수도권!$H$80+[4]수도권!$H$85)/1000</f>
        <v>312.2056801283556</v>
      </c>
      <c r="U9" s="380">
        <f>+([4]수도권!$I$80+[4]수도권!$I$85)/1000</f>
        <v>364.36149506999993</v>
      </c>
      <c r="V9" s="379">
        <f t="shared" si="4"/>
        <v>52.155814941644337</v>
      </c>
      <c r="W9" s="378">
        <f>+([4]수도권!$L$80+[4]수도권!$L$85)/1000</f>
        <v>-52.155814941644408</v>
      </c>
      <c r="Y9" s="6">
        <f t="shared" si="5"/>
        <v>6.9633188104489818E-13</v>
      </c>
      <c r="Z9" s="6">
        <f t="shared" si="6"/>
        <v>6.9633188104489818E-7</v>
      </c>
    </row>
    <row r="10" spans="1:26" ht="24" customHeight="1" x14ac:dyDescent="0.3">
      <c r="D10" s="377" t="s">
        <v>17</v>
      </c>
      <c r="E10" s="376">
        <f>+[4]영남권!$H$86/1000</f>
        <v>1501.0984352115684</v>
      </c>
      <c r="F10" s="375">
        <f>+[4]영남권!$I$86/1000</f>
        <v>43.539371000000919</v>
      </c>
      <c r="G10" s="374">
        <f t="shared" si="0"/>
        <v>-1457.5590642115674</v>
      </c>
      <c r="H10" s="376">
        <f>+[4]영남권!$T$5/1000</f>
        <v>138.5</v>
      </c>
      <c r="I10" s="375">
        <f>+[4]영남권!$U$5/1000</f>
        <v>99.727000000000004</v>
      </c>
      <c r="J10" s="374">
        <f t="shared" si="1"/>
        <v>-38.772999999999996</v>
      </c>
      <c r="K10" s="373">
        <f>+[4]영남권!$M$86/1000</f>
        <v>-552.41127077802037</v>
      </c>
      <c r="L10" s="376">
        <f>+[4]영남권!$Q$85</f>
        <v>100786.02154746176</v>
      </c>
      <c r="M10" s="375">
        <f>+[4]영남권!$R$85</f>
        <v>100842.57113921005</v>
      </c>
      <c r="N10" s="374">
        <f t="shared" si="2"/>
        <v>56.549591748291277</v>
      </c>
      <c r="O10" s="373">
        <f>+[4]영남권!$K$86/1000</f>
        <v>5.6395211362818447</v>
      </c>
      <c r="P10" s="376">
        <f>+[4]영남권!$Q$50</f>
        <v>86538.703290478268</v>
      </c>
      <c r="Q10" s="375">
        <f>+[4]영남권!$R$50</f>
        <v>95453.712445150784</v>
      </c>
      <c r="R10" s="374">
        <f t="shared" si="3"/>
        <v>8915.0091546725162</v>
      </c>
      <c r="S10" s="373">
        <f>+[4]영남권!$L$56/1000</f>
        <v>-771.99300117047187</v>
      </c>
      <c r="T10" s="376">
        <f>+([4]영남권!$H$80+[4]영남권!$H$85)/1000</f>
        <v>472.15514338064253</v>
      </c>
      <c r="U10" s="375">
        <f>+([4]영남권!$I$80+[4]영남권!$I$85)/1000</f>
        <v>610.94945677999988</v>
      </c>
      <c r="V10" s="374">
        <f t="shared" si="4"/>
        <v>138.79431339935735</v>
      </c>
      <c r="W10" s="373">
        <f>+([4]영남권!$L$80+[4]영남권!$L$85)/1000</f>
        <v>-138.79431339935743</v>
      </c>
      <c r="Y10" s="6">
        <f t="shared" si="5"/>
        <v>4.8316906031686813E-13</v>
      </c>
      <c r="Z10" s="6">
        <f t="shared" si="6"/>
        <v>4.8316906031686813E-7</v>
      </c>
    </row>
    <row r="11" spans="1:26" ht="24" customHeight="1" x14ac:dyDescent="0.3">
      <c r="D11" s="372" t="s">
        <v>132</v>
      </c>
      <c r="E11" s="371">
        <f>+[4]중부권!$H$86/1000</f>
        <v>978.09027832870504</v>
      </c>
      <c r="F11" s="370">
        <f>+[4]중부권!$I$86/1000</f>
        <v>173.59004300000083</v>
      </c>
      <c r="G11" s="369">
        <f t="shared" si="0"/>
        <v>-804.50023532870421</v>
      </c>
      <c r="H11" s="371">
        <f>+[4]중부권!$T$5/1000</f>
        <v>57.5</v>
      </c>
      <c r="I11" s="370">
        <f>+[4]중부권!$U$5/1000</f>
        <v>40.555999999999997</v>
      </c>
      <c r="J11" s="369">
        <f t="shared" si="1"/>
        <v>-16.944000000000003</v>
      </c>
      <c r="K11" s="368">
        <f>+[4]중부권!$M$86/1000</f>
        <v>-344.40851569714209</v>
      </c>
      <c r="L11" s="371">
        <f>+[4]중부권!$Q$85</f>
        <v>107788.08347826089</v>
      </c>
      <c r="M11" s="370">
        <f>+[4]중부권!$R$85</f>
        <v>107851.31553745527</v>
      </c>
      <c r="N11" s="369">
        <f t="shared" si="2"/>
        <v>63.232059194386238</v>
      </c>
      <c r="O11" s="368">
        <f>+[4]중부권!$K$86/1000</f>
        <v>2.5618468782605586</v>
      </c>
      <c r="P11" s="371">
        <f>+[4]중부권!$Q$50</f>
        <v>87509.18352552953</v>
      </c>
      <c r="Q11" s="370">
        <f>+[4]중부권!$R$50</f>
        <v>98460.771488469603</v>
      </c>
      <c r="R11" s="369">
        <f t="shared" si="3"/>
        <v>10951.587962940073</v>
      </c>
      <c r="S11" s="368">
        <f>+[4]중부권!$L$56/1000</f>
        <v>-443.67428799317048</v>
      </c>
      <c r="T11" s="371">
        <f>+([4]중부권!$H$80+[4]중부권!$H$85)/1000</f>
        <v>187.94646895334742</v>
      </c>
      <c r="U11" s="370">
        <f>+([4]중부권!$I$80+[4]중부권!$I$85)/1000</f>
        <v>206.92574747</v>
      </c>
      <c r="V11" s="369">
        <f t="shared" si="4"/>
        <v>18.979278516652585</v>
      </c>
      <c r="W11" s="368">
        <f>+([4]중부권!$L$80+[4]중부권!$L$85)/1000</f>
        <v>-18.979278516652577</v>
      </c>
      <c r="Y11" s="6">
        <f t="shared" si="5"/>
        <v>3.907985046680551E-13</v>
      </c>
      <c r="Z11" s="6">
        <f t="shared" si="6"/>
        <v>3.907985046680551E-7</v>
      </c>
    </row>
    <row r="12" spans="1:26" ht="24" customHeight="1" x14ac:dyDescent="0.3">
      <c r="D12" s="367" t="s">
        <v>18</v>
      </c>
      <c r="E12" s="365">
        <f>+[4]안양!$H$86/1000</f>
        <v>565.37707908205834</v>
      </c>
      <c r="F12" s="364">
        <f>+[4]안양!$I$86/1000</f>
        <v>188.842555</v>
      </c>
      <c r="G12" s="366">
        <f t="shared" si="0"/>
        <v>-376.53452408205834</v>
      </c>
      <c r="H12" s="365">
        <f>+[4]안양!$T$5/1000</f>
        <v>41</v>
      </c>
      <c r="I12" s="364">
        <f>+[4]안양!$U$5/1000</f>
        <v>31.317</v>
      </c>
      <c r="J12" s="363">
        <f t="shared" si="1"/>
        <v>-9.6829999999999998</v>
      </c>
      <c r="K12" s="362">
        <f>+[4]안양!$M$86/1000</f>
        <v>-156.2532094688703</v>
      </c>
      <c r="L12" s="365">
        <f>+[4]안양!$Q$85</f>
        <v>103714.40902439023</v>
      </c>
      <c r="M12" s="364">
        <f>+[4]안양!$R$85</f>
        <v>101989.59731136443</v>
      </c>
      <c r="N12" s="363">
        <f t="shared" si="2"/>
        <v>-1724.8117130258033</v>
      </c>
      <c r="O12" s="362">
        <f>+[4]안양!$K$86/1000</f>
        <v>-54.015928416829077</v>
      </c>
      <c r="P12" s="365">
        <f>+[4]안양!$Q$50</f>
        <v>87577.54963485492</v>
      </c>
      <c r="Q12" s="364">
        <f>+[4]안양!$R$50</f>
        <v>92224.473815222591</v>
      </c>
      <c r="R12" s="363">
        <f t="shared" si="3"/>
        <v>4646.9241803676705</v>
      </c>
      <c r="S12" s="362">
        <f>+[4]안양!$L$56/1000</f>
        <v>-145.48713194524817</v>
      </c>
      <c r="T12" s="365">
        <f>+([4]안양!$H$80+[4]안양!$H$85)/1000</f>
        <v>96.234155888888864</v>
      </c>
      <c r="U12" s="364">
        <f>+([4]안양!$I$80+[4]안양!$I$85)/1000</f>
        <v>117.01241014000001</v>
      </c>
      <c r="V12" s="363">
        <f t="shared" si="4"/>
        <v>20.77825425111115</v>
      </c>
      <c r="W12" s="362">
        <f>+([4]안양!$L$80+[4]안양!$L$85)/1000</f>
        <v>-20.778254251111118</v>
      </c>
      <c r="Y12" s="6">
        <f t="shared" si="5"/>
        <v>3.0908609005564358E-13</v>
      </c>
      <c r="Z12" s="6">
        <f t="shared" si="6"/>
        <v>3.0908609005564358E-7</v>
      </c>
    </row>
    <row r="13" spans="1:26" ht="24" customHeight="1" x14ac:dyDescent="0.3">
      <c r="D13" s="354" t="s">
        <v>19</v>
      </c>
      <c r="E13" s="351">
        <f>+[4]인천!$H$86/1000</f>
        <v>335.03111748068665</v>
      </c>
      <c r="F13" s="350">
        <f>+[4]인천!$I$86/1000</f>
        <v>-60.530204999999917</v>
      </c>
      <c r="G13" s="352">
        <f t="shared" si="0"/>
        <v>-395.56132248068656</v>
      </c>
      <c r="H13" s="351">
        <f>+[4]인천!$T$5/1000</f>
        <v>32</v>
      </c>
      <c r="I13" s="350">
        <f>+[4]인천!$U$5/1000</f>
        <v>31.475000000000001</v>
      </c>
      <c r="J13" s="152">
        <f t="shared" si="1"/>
        <v>-0.52499999999999858</v>
      </c>
      <c r="K13" s="349">
        <f>+[4]인천!$M$86/1000</f>
        <v>-9.0199836007232665</v>
      </c>
      <c r="L13" s="351">
        <f>+[4]인천!$Q$85</f>
        <v>103510.96078618999</v>
      </c>
      <c r="M13" s="350">
        <f>+[4]인천!$R$85</f>
        <v>98884.465245597778</v>
      </c>
      <c r="N13" s="152">
        <f t="shared" si="2"/>
        <v>-4626.4955405922083</v>
      </c>
      <c r="O13" s="349">
        <f>+[4]인천!$K$86/1000</f>
        <v>-144.76767196067078</v>
      </c>
      <c r="P13" s="351">
        <f>+[4]인천!$Q$50</f>
        <v>90062.182787990751</v>
      </c>
      <c r="Q13" s="350">
        <f>+[4]인천!$R$50</f>
        <v>97101.504993777722</v>
      </c>
      <c r="R13" s="152">
        <f t="shared" si="3"/>
        <v>7039.3222057869716</v>
      </c>
      <c r="S13" s="349">
        <f>+[4]인천!$L$56/1000</f>
        <v>-220.33996181098144</v>
      </c>
      <c r="T13" s="351">
        <f>+([4]인천!$H$80+[4]인천!$H$85)/1000</f>
        <v>95.329778461688903</v>
      </c>
      <c r="U13" s="350">
        <f>+([4]인천!$I$80+[4]인천!$I$85)/1000</f>
        <v>116.76348356999999</v>
      </c>
      <c r="V13" s="152">
        <f t="shared" si="4"/>
        <v>21.433705108311088</v>
      </c>
      <c r="W13" s="349">
        <f>+([4]인천!$L$80+[4]인천!$L$85)/1000</f>
        <v>-21.433705108311106</v>
      </c>
      <c r="Y13" s="6">
        <f t="shared" si="5"/>
        <v>3.1974423109204508E-14</v>
      </c>
      <c r="Z13" s="6">
        <f t="shared" si="6"/>
        <v>3.1974423109204508E-8</v>
      </c>
    </row>
    <row r="14" spans="1:26" ht="24" customHeight="1" x14ac:dyDescent="0.3">
      <c r="D14" s="354" t="s">
        <v>20</v>
      </c>
      <c r="E14" s="351">
        <f>+[4]파주!$H$86/1000</f>
        <v>89.794589357558166</v>
      </c>
      <c r="F14" s="350">
        <f>+[4]파주!$I$86/1000</f>
        <v>-96.411095999999773</v>
      </c>
      <c r="G14" s="352">
        <f t="shared" si="0"/>
        <v>-186.20568535755794</v>
      </c>
      <c r="H14" s="351">
        <f>+[4]파주!$T$5/1000</f>
        <v>21</v>
      </c>
      <c r="I14" s="350">
        <f>+[4]파주!$U$5/1000</f>
        <v>13.662000000000001</v>
      </c>
      <c r="J14" s="152">
        <f t="shared" si="1"/>
        <v>-7.3379999999999992</v>
      </c>
      <c r="K14" s="349">
        <f>+[4]파주!$M$86/1000</f>
        <v>-55.67134170487337</v>
      </c>
      <c r="L14" s="351">
        <f>+[4]파주!$Q$85</f>
        <v>95213.511380952419</v>
      </c>
      <c r="M14" s="350">
        <f>+[4]파주!$R$85</f>
        <v>98582.894736842092</v>
      </c>
      <c r="N14" s="152">
        <f t="shared" si="2"/>
        <v>3369.3833558896731</v>
      </c>
      <c r="O14" s="349">
        <f>+[4]파주!$K$86/1000</f>
        <v>45.581018038475499</v>
      </c>
      <c r="P14" s="351">
        <f>+[4]파주!$Q$50</f>
        <v>87690.821109957586</v>
      </c>
      <c r="Q14" s="350">
        <f>+[4]파주!$R$50</f>
        <v>100722.29472205797</v>
      </c>
      <c r="R14" s="152">
        <f t="shared" si="3"/>
        <v>13031.473612100381</v>
      </c>
      <c r="S14" s="349">
        <f>+[4]파주!$L$56/1000</f>
        <v>-176.28980231449341</v>
      </c>
      <c r="T14" s="351">
        <f>+([4]파주!$H$80+[4]파주!$H$85)/1000</f>
        <v>68.18190633333333</v>
      </c>
      <c r="U14" s="350">
        <f>+([4]파주!$I$80+[4]파주!$I$85)/1000</f>
        <v>68.007465710000005</v>
      </c>
      <c r="V14" s="152">
        <f t="shared" si="4"/>
        <v>-0.17444062333332511</v>
      </c>
      <c r="W14" s="349">
        <f>+([4]파주!$L$80+[4]파주!$L$85)/1000</f>
        <v>0.17444062333332908</v>
      </c>
      <c r="Y14" s="6">
        <f t="shared" si="5"/>
        <v>1.0241807402167069E-14</v>
      </c>
      <c r="Z14" s="6">
        <f t="shared" si="6"/>
        <v>1.0241807402167069E-8</v>
      </c>
    </row>
    <row r="15" spans="1:26" ht="24" customHeight="1" x14ac:dyDescent="0.3">
      <c r="D15" s="354" t="s">
        <v>108</v>
      </c>
      <c r="E15" s="351">
        <f>+[4]김포!$H$86/1000</f>
        <v>122.15245846814831</v>
      </c>
      <c r="F15" s="350">
        <f>+[4]김포!$I$86/1000</f>
        <v>-39.531495999999969</v>
      </c>
      <c r="G15" s="352">
        <f t="shared" si="0"/>
        <v>-161.68395446814827</v>
      </c>
      <c r="H15" s="351">
        <f>+[4]김포!$T$5/1000</f>
        <v>15</v>
      </c>
      <c r="I15" s="350">
        <f>+[4]김포!$U$5/1000</f>
        <v>11.82306</v>
      </c>
      <c r="J15" s="152">
        <f t="shared" si="1"/>
        <v>-3.1769400000000001</v>
      </c>
      <c r="K15" s="349">
        <f>+[4]김포!$M$86/1000</f>
        <v>-36.982186248695534</v>
      </c>
      <c r="L15" s="351">
        <f>+[4]김포!$Q$85</f>
        <v>95359.8</v>
      </c>
      <c r="M15" s="350">
        <f>+[4]김포!$R$85</f>
        <v>98518.912024467441</v>
      </c>
      <c r="N15" s="152">
        <f t="shared" si="2"/>
        <v>3159.1120244674385</v>
      </c>
      <c r="O15" s="349">
        <f>+[4]김포!$K$86/1000</f>
        <v>37.350371011999997</v>
      </c>
      <c r="P15" s="351">
        <f>+[4]김포!$Q$50</f>
        <v>83718.980139160471</v>
      </c>
      <c r="Q15" s="361">
        <f>+[4]김포!$R$50</f>
        <v>96569.616664383007</v>
      </c>
      <c r="R15" s="152">
        <f t="shared" si="3"/>
        <v>12850.636525222537</v>
      </c>
      <c r="S15" s="349">
        <f>+[4]김포!$L$56/1000</f>
        <v>-151.93384302589723</v>
      </c>
      <c r="T15" s="351">
        <f>+([4]김포!$H$80+[4]김포!$H$85)/1000</f>
        <v>52.459839444444448</v>
      </c>
      <c r="U15" s="350">
        <f>+([4]김포!$I$80+[4]김포!$I$85)/1000</f>
        <v>62.578135649999993</v>
      </c>
      <c r="V15" s="152">
        <f t="shared" si="4"/>
        <v>10.118296205555545</v>
      </c>
      <c r="W15" s="349">
        <f>+([4]김포!$L$80+[4]김포!$L$85)/1000</f>
        <v>-10.118296205555554</v>
      </c>
      <c r="Y15" s="6">
        <f t="shared" si="5"/>
        <v>7.2830630415410269E-14</v>
      </c>
      <c r="Z15" s="6">
        <f t="shared" si="6"/>
        <v>7.2830630415410269E-8</v>
      </c>
    </row>
    <row r="16" spans="1:26" ht="24" customHeight="1" x14ac:dyDescent="0.3">
      <c r="D16" s="360" t="s">
        <v>21</v>
      </c>
      <c r="E16" s="358">
        <f>+[4]부산!$H$86/1000</f>
        <v>231.81376635499586</v>
      </c>
      <c r="F16" s="357">
        <f>+[4]부산!$I$86/1000</f>
        <v>159.61886399999997</v>
      </c>
      <c r="G16" s="359">
        <f t="shared" si="0"/>
        <v>-72.194902354995889</v>
      </c>
      <c r="H16" s="358">
        <f>+[4]부산!$T$5/1000</f>
        <v>22</v>
      </c>
      <c r="I16" s="357">
        <f>+[4]부산!$U$5/1000</f>
        <v>22.260999999999999</v>
      </c>
      <c r="J16" s="356">
        <f t="shared" si="1"/>
        <v>0.26099999999999923</v>
      </c>
      <c r="K16" s="355">
        <f>+[4]부산!$M$86/1000</f>
        <v>3.8524641076206319</v>
      </c>
      <c r="L16" s="358">
        <f>+[4]부산!$Q$85</f>
        <v>107699.89407363636</v>
      </c>
      <c r="M16" s="357">
        <f>+[4]부산!$R$85</f>
        <v>109099.12402857015</v>
      </c>
      <c r="N16" s="356">
        <f t="shared" si="2"/>
        <v>1399.2299549337913</v>
      </c>
      <c r="O16" s="355">
        <f>+[4]부산!$K$86/1000</f>
        <v>31.148258026781129</v>
      </c>
      <c r="P16" s="358">
        <f>+[4]부산!$Q$50</f>
        <v>92939.495193863826</v>
      </c>
      <c r="Q16" s="357">
        <f>+[4]부산!$R$50</f>
        <v>96973.925405308299</v>
      </c>
      <c r="R16" s="356">
        <f t="shared" si="3"/>
        <v>4034.4302114444727</v>
      </c>
      <c r="S16" s="355">
        <f>+[4]부산!$L$56/1000</f>
        <v>-26.889791279397532</v>
      </c>
      <c r="T16" s="358">
        <f>+([4]부산!$H$80+[4]부산!$H$85)/1000</f>
        <v>92.915008999999998</v>
      </c>
      <c r="U16" s="357">
        <f>+([4]부산!$I$80+[4]부산!$I$85)/1000</f>
        <v>173.22084220999997</v>
      </c>
      <c r="V16" s="356">
        <f t="shared" si="4"/>
        <v>80.305833209999975</v>
      </c>
      <c r="W16" s="355">
        <f>+([4]부산!$L$80+[4]부산!$L$85)/1000</f>
        <v>-80.305833210000003</v>
      </c>
      <c r="Y16" s="6">
        <f t="shared" si="5"/>
        <v>-1.2789769243681803E-13</v>
      </c>
      <c r="Z16" s="6">
        <f t="shared" si="6"/>
        <v>-1.2789769243681803E-7</v>
      </c>
    </row>
    <row r="17" spans="4:26" ht="24" customHeight="1" x14ac:dyDescent="0.3">
      <c r="D17" s="354" t="s">
        <v>22</v>
      </c>
      <c r="E17" s="351">
        <f>+[4]서부산!$H$86/1000</f>
        <v>266.46367609336534</v>
      </c>
      <c r="F17" s="350">
        <f>+[4]서부산!$I$86/1000</f>
        <v>119.86851599999997</v>
      </c>
      <c r="G17" s="352">
        <f t="shared" si="0"/>
        <v>-146.59516009336537</v>
      </c>
      <c r="H17" s="351">
        <f>+[4]서부산!$T$5/1000</f>
        <v>23</v>
      </c>
      <c r="I17" s="350">
        <f>+[4]서부산!$U$5/1000</f>
        <v>19.064</v>
      </c>
      <c r="J17" s="152">
        <f t="shared" si="1"/>
        <v>-3.9359999999999999</v>
      </c>
      <c r="K17" s="349">
        <f>+[4]서부산!$M$86/1000</f>
        <v>-53.982866657600852</v>
      </c>
      <c r="L17" s="351">
        <f>+[4]서부산!$Q$85</f>
        <v>99299.522782608663</v>
      </c>
      <c r="M17" s="350">
        <f>+[4]서부산!$R$85</f>
        <v>104564.17855644146</v>
      </c>
      <c r="N17" s="152">
        <f t="shared" si="2"/>
        <v>5264.6557738327974</v>
      </c>
      <c r="O17" s="349">
        <f>+[4]서부산!$K$86/1000</f>
        <v>100.36539767234845</v>
      </c>
      <c r="P17" s="351">
        <f>+[4]서부산!$Q$50</f>
        <v>85584.363570819842</v>
      </c>
      <c r="Q17" s="350">
        <f>+[4]서부산!$R$50</f>
        <v>94341.067190407281</v>
      </c>
      <c r="R17" s="152">
        <f t="shared" si="3"/>
        <v>8756.7036195874389</v>
      </c>
      <c r="S17" s="349">
        <f>+[4]서부산!$L$56/1000</f>
        <v>-125.10333782589092</v>
      </c>
      <c r="T17" s="351">
        <f>+([4]서부산!$H$80+[4]서부산!$H$85)/1000</f>
        <v>48.98498577777778</v>
      </c>
      <c r="U17" s="350">
        <f>+([4]서부산!$I$80+[4]서부산!$I$85)/1000</f>
        <v>116.85933906</v>
      </c>
      <c r="V17" s="152">
        <f t="shared" si="4"/>
        <v>67.874353282222216</v>
      </c>
      <c r="W17" s="349">
        <f>+([4]서부산!$L$80+[4]서부산!$L$85)/1000</f>
        <v>-67.874353282222216</v>
      </c>
      <c r="Y17" s="6">
        <f t="shared" si="5"/>
        <v>1.7053025658242404E-13</v>
      </c>
      <c r="Z17" s="6">
        <f t="shared" si="6"/>
        <v>1.7053025658242404E-7</v>
      </c>
    </row>
    <row r="18" spans="4:26" ht="24" customHeight="1" x14ac:dyDescent="0.3">
      <c r="D18" s="354" t="s">
        <v>23</v>
      </c>
      <c r="E18" s="351">
        <f>+[4]김해!$H$86/1000</f>
        <v>149.52482617907916</v>
      </c>
      <c r="F18" s="350">
        <f>+[4]김해!$I$86/1000</f>
        <v>-123.04864999999991</v>
      </c>
      <c r="G18" s="352">
        <f t="shared" si="0"/>
        <v>-272.57347617907908</v>
      </c>
      <c r="H18" s="351">
        <f>+[4]김해!$T$5/1000</f>
        <v>16</v>
      </c>
      <c r="I18" s="350">
        <f>+[4]김해!$U$5/1000</f>
        <v>5.7069999999999999</v>
      </c>
      <c r="J18" s="152">
        <f t="shared" si="1"/>
        <v>-10.292999999999999</v>
      </c>
      <c r="K18" s="349">
        <f>+[4]김해!$M$86/1000</f>
        <v>-128.51111674693308</v>
      </c>
      <c r="L18" s="351">
        <f>+[4]김해!$Q$85</f>
        <v>96299.793749999997</v>
      </c>
      <c r="M18" s="350">
        <f>+[4]김해!$R$85</f>
        <v>88695.864727527587</v>
      </c>
      <c r="N18" s="152">
        <f t="shared" si="2"/>
        <v>-7603.92902247241</v>
      </c>
      <c r="O18" s="349">
        <f>+[4]김해!$K$86/1000</f>
        <v>-43.395622931250045</v>
      </c>
      <c r="P18" s="351">
        <f>+[4]김해!$Q$50</f>
        <v>83814.501148529787</v>
      </c>
      <c r="Q18" s="350">
        <f>+[4]김해!$R$50</f>
        <v>102646.21605046434</v>
      </c>
      <c r="R18" s="152">
        <f t="shared" si="3"/>
        <v>18831.714901934552</v>
      </c>
      <c r="S18" s="349">
        <f>+[4]김해!$L$56/1000</f>
        <v>-104.70193059534047</v>
      </c>
      <c r="T18" s="351">
        <f>+([4]김해!$H$80+[4]김해!$H$85)/1000</f>
        <v>50.239855444444444</v>
      </c>
      <c r="U18" s="350">
        <f>+([4]김해!$I$80+[4]김해!$I$85)/1000</f>
        <v>46.204661350000002</v>
      </c>
      <c r="V18" s="152">
        <f t="shared" si="4"/>
        <v>-4.0351940944444422</v>
      </c>
      <c r="W18" s="349">
        <f>+([4]김해!$L$80+[4]김해!$L$85)/1000</f>
        <v>4.0351940944444431</v>
      </c>
      <c r="Y18" s="6">
        <f t="shared" si="5"/>
        <v>7.7271522513910895E-14</v>
      </c>
      <c r="Z18" s="6">
        <f t="shared" si="6"/>
        <v>7.7271522513910895E-8</v>
      </c>
    </row>
    <row r="19" spans="4:26" ht="24" customHeight="1" x14ac:dyDescent="0.3">
      <c r="D19" s="354" t="s">
        <v>24</v>
      </c>
      <c r="E19" s="351">
        <f>+[4]정관!$H$86/1000</f>
        <v>208.30032750253207</v>
      </c>
      <c r="F19" s="350">
        <f>+[4]정관!$I$86/1000</f>
        <v>0.43159100000011674</v>
      </c>
      <c r="G19" s="352">
        <f t="shared" si="0"/>
        <v>-207.86873650253196</v>
      </c>
      <c r="H19" s="351">
        <f>+[4]정관!$T$5/1000</f>
        <v>21</v>
      </c>
      <c r="I19" s="350">
        <f>+[4]정관!$U$5/1000</f>
        <v>17.196999999999999</v>
      </c>
      <c r="J19" s="152">
        <f t="shared" si="1"/>
        <v>-3.8030000000000008</v>
      </c>
      <c r="K19" s="349">
        <f>+[4]정관!$M$86/1000</f>
        <v>-50.575142960561728</v>
      </c>
      <c r="L19" s="351">
        <f>+[4]정관!$Q$85</f>
        <v>101999.86063809524</v>
      </c>
      <c r="M19" s="350">
        <f>+[4]정관!$R$85</f>
        <v>98920.68965517242</v>
      </c>
      <c r="N19" s="152">
        <f t="shared" si="2"/>
        <v>-3079.1709829228203</v>
      </c>
      <c r="O19" s="349">
        <f>+[4]정관!$K$86/1000</f>
        <v>-52.952503393323745</v>
      </c>
      <c r="P19" s="351">
        <f>+[4]정관!$Q$50</f>
        <v>88701.111503054039</v>
      </c>
      <c r="Q19" s="350">
        <f>+[4]정관!$R$50</f>
        <v>94799.997269822823</v>
      </c>
      <c r="R19" s="152">
        <f t="shared" si="3"/>
        <v>6098.8857667687844</v>
      </c>
      <c r="S19" s="349">
        <f>+[4]정관!$L$56/1000</f>
        <v>-99.164327331979578</v>
      </c>
      <c r="T19" s="351">
        <f>+([4]정관!$H$80+[4]정관!$H$85)/1000</f>
        <v>70.973404333333335</v>
      </c>
      <c r="U19" s="350">
        <f>+([4]정관!$I$80+[4]정관!$I$85)/1000</f>
        <v>76.150167150000001</v>
      </c>
      <c r="V19" s="152">
        <f t="shared" si="4"/>
        <v>5.1767628166666668</v>
      </c>
      <c r="W19" s="349">
        <f>+([4]정관!$L$80+[4]정관!$L$85)/1000</f>
        <v>-5.1767628166666686</v>
      </c>
      <c r="Y19" s="6">
        <f t="shared" si="5"/>
        <v>-2.3980817331903381E-13</v>
      </c>
      <c r="Z19" s="6">
        <f t="shared" si="6"/>
        <v>-2.3980817331903381E-7</v>
      </c>
    </row>
    <row r="20" spans="4:26" ht="24" customHeight="1" x14ac:dyDescent="0.3">
      <c r="D20" s="354" t="s">
        <v>25</v>
      </c>
      <c r="E20" s="351">
        <f>+[4]양산!$H$86/1000</f>
        <v>115.63862059279647</v>
      </c>
      <c r="F20" s="350">
        <f>+[4]양산!$I$86/1000</f>
        <v>-104.94569900000002</v>
      </c>
      <c r="G20" s="352">
        <f t="shared" si="0"/>
        <v>-220.58431959279648</v>
      </c>
      <c r="H20" s="351">
        <f>+[4]양산!$T$5/1000</f>
        <v>13</v>
      </c>
      <c r="I20" s="350">
        <f>+[4]양산!$U$5/1000</f>
        <v>6.4969999999999999</v>
      </c>
      <c r="J20" s="152">
        <f t="shared" si="1"/>
        <v>-6.5030000000000001</v>
      </c>
      <c r="K20" s="349">
        <f>+[4]양산!$M$86/1000</f>
        <v>-77.127167751090596</v>
      </c>
      <c r="L20" s="351">
        <f>+[4]양산!$Q$85</f>
        <v>94046.25</v>
      </c>
      <c r="M20" s="350">
        <f>+[4]양산!$R$85</f>
        <v>92293.707557334157</v>
      </c>
      <c r="N20" s="152">
        <f t="shared" si="2"/>
        <v>-1752.5424426658428</v>
      </c>
      <c r="O20" s="349">
        <f>+[4]양산!$K$86/1000</f>
        <v>-11.386268249999981</v>
      </c>
      <c r="P20" s="351">
        <f>+[4]양산!$Q$50</f>
        <v>82186.005843289153</v>
      </c>
      <c r="Q20" s="350">
        <f>+[4]양산!$R$50</f>
        <v>101673.16915499463</v>
      </c>
      <c r="R20" s="152">
        <f t="shared" si="3"/>
        <v>19487.163311705473</v>
      </c>
      <c r="S20" s="349">
        <f>+[4]양산!$L$56/1000</f>
        <v>-126.60810467615032</v>
      </c>
      <c r="T20" s="351">
        <f>+([4]양산!$H$80+[4]양산!$H$85)/1000</f>
        <v>38.544553444444432</v>
      </c>
      <c r="U20" s="350">
        <f>+([4]양산!$I$80+[4]양산!$I$85)/1000</f>
        <v>44.007332359999999</v>
      </c>
      <c r="V20" s="152">
        <f t="shared" si="4"/>
        <v>5.4627789155555675</v>
      </c>
      <c r="W20" s="349">
        <f>+([4]양산!$L$80+[4]양산!$L$85)/1000</f>
        <v>-5.4627789155555604</v>
      </c>
      <c r="Y20" s="6">
        <f t="shared" si="5"/>
        <v>-1.4210854715202004E-14</v>
      </c>
      <c r="Z20" s="6">
        <f t="shared" si="6"/>
        <v>-1.4210854715202004E-8</v>
      </c>
    </row>
    <row r="21" spans="4:26" ht="24" customHeight="1" x14ac:dyDescent="0.3">
      <c r="D21" s="354" t="s">
        <v>26</v>
      </c>
      <c r="E21" s="351">
        <f>+[4]창원!$H$86/1000</f>
        <v>309.29623053200498</v>
      </c>
      <c r="F21" s="350">
        <f>+[4]창원!$I$86/1000</f>
        <v>53.035499000000065</v>
      </c>
      <c r="G21" s="352">
        <f t="shared" si="0"/>
        <v>-256.26073153200491</v>
      </c>
      <c r="H21" s="351">
        <f>+[4]창원!$T$5/1000</f>
        <v>19</v>
      </c>
      <c r="I21" s="350">
        <f>+[4]창원!$U$5/1000</f>
        <v>11.71</v>
      </c>
      <c r="J21" s="152">
        <f t="shared" si="1"/>
        <v>-7.2899999999999991</v>
      </c>
      <c r="K21" s="349">
        <f>+[4]창원!$M$86/1000</f>
        <v>-144.60755388675338</v>
      </c>
      <c r="L21" s="351">
        <f>+[4]창원!$Q$85</f>
        <v>101837.58435568422</v>
      </c>
      <c r="M21" s="350">
        <f>+[4]창원!$R$85</f>
        <v>93773.339026473113</v>
      </c>
      <c r="N21" s="152">
        <f t="shared" si="2"/>
        <v>-8064.2453292111022</v>
      </c>
      <c r="O21" s="349">
        <f>+[4]창원!$K$86/1000</f>
        <v>-94.432312805062011</v>
      </c>
      <c r="P21" s="351">
        <f>+[4]창원!$Q$50</f>
        <v>82001.157210724879</v>
      </c>
      <c r="Q21" s="350">
        <f>+[4]창원!$R$50</f>
        <v>84150.391801878723</v>
      </c>
      <c r="R21" s="152">
        <f t="shared" si="3"/>
        <v>2149.2345911538432</v>
      </c>
      <c r="S21" s="349">
        <f>+[4]창원!$L$56/1000</f>
        <v>-21.023652932411512</v>
      </c>
      <c r="T21" s="351">
        <f>+([4]창원!$H$80+[4]창원!$H$85)/1000</f>
        <v>67.595885222222222</v>
      </c>
      <c r="U21" s="350">
        <f>+([4]창원!$I$80+[4]창원!$I$85)/1000</f>
        <v>63.793097130000007</v>
      </c>
      <c r="V21" s="152">
        <f t="shared" si="4"/>
        <v>-3.8027880922222153</v>
      </c>
      <c r="W21" s="349">
        <f>+([4]창원!$L$80+[4]창원!$L$85)/1000</f>
        <v>3.8027880922222193</v>
      </c>
      <c r="Y21" s="6">
        <f t="shared" si="5"/>
        <v>-2.2781776465308212E-13</v>
      </c>
      <c r="Z21" s="6">
        <f t="shared" si="6"/>
        <v>-2.2781776465308212E-7</v>
      </c>
    </row>
    <row r="22" spans="4:26" ht="24" customHeight="1" x14ac:dyDescent="0.3">
      <c r="D22" s="354" t="s">
        <v>131</v>
      </c>
      <c r="E22" s="351">
        <f>+[4]대구!$H$86/1000</f>
        <v>102.30373266450627</v>
      </c>
      <c r="F22" s="350">
        <f>+[4]대구!$I$86/1000</f>
        <v>-127.93189900000006</v>
      </c>
      <c r="G22" s="352">
        <f t="shared" si="0"/>
        <v>-230.23563166450634</v>
      </c>
      <c r="H22" s="351">
        <f>+[4]대구!$T$5/1000</f>
        <v>12</v>
      </c>
      <c r="I22" s="350">
        <f>+[4]대구!$U$5/1000</f>
        <v>4.07</v>
      </c>
      <c r="J22" s="152">
        <f t="shared" si="1"/>
        <v>-7.93</v>
      </c>
      <c r="K22" s="349">
        <f>+[4]대구!$M$86/1000</f>
        <v>-102.19453051580338</v>
      </c>
      <c r="L22" s="351">
        <f>+[4]대구!$Q$85</f>
        <v>97280.472045454546</v>
      </c>
      <c r="M22" s="350">
        <f>+[4]대구!$R$85</f>
        <v>85228.337592137599</v>
      </c>
      <c r="N22" s="152">
        <f t="shared" si="2"/>
        <v>-12052.134453316947</v>
      </c>
      <c r="O22" s="349">
        <f>+[4]대구!$K$86/1000</f>
        <v>-49.052187224999969</v>
      </c>
      <c r="P22" s="351">
        <f>+[4]대구!$Q$50</f>
        <v>84393.393796299031</v>
      </c>
      <c r="Q22" s="350">
        <f>+[4]대구!$R$50</f>
        <v>104642.50786240786</v>
      </c>
      <c r="R22" s="152">
        <f t="shared" si="3"/>
        <v>20249.114066108828</v>
      </c>
      <c r="S22" s="349">
        <f>+[4]대구!$L$56/1000</f>
        <v>-82.41389609906301</v>
      </c>
      <c r="T22" s="351">
        <f>+([4]대구!$H$80+[4]대구!$H$85)/1000</f>
        <v>52.341206325359785</v>
      </c>
      <c r="U22" s="350">
        <f>+([4]대구!$I$80+[4]대구!$I$85)/1000</f>
        <v>48.916224150000005</v>
      </c>
      <c r="V22" s="152">
        <f t="shared" si="4"/>
        <v>-3.42498217535978</v>
      </c>
      <c r="W22" s="349">
        <f>+([4]대구!$L$80+[4]대구!$L$85)/1000</f>
        <v>3.4249821753597836</v>
      </c>
      <c r="Y22" s="6">
        <f t="shared" si="5"/>
        <v>2.1671553440683056E-13</v>
      </c>
      <c r="Z22" s="6">
        <f t="shared" si="6"/>
        <v>2.1671553440683056E-7</v>
      </c>
    </row>
    <row r="23" spans="4:26" ht="24" customHeight="1" x14ac:dyDescent="0.3">
      <c r="D23" s="354" t="s">
        <v>130</v>
      </c>
      <c r="E23" s="351">
        <f>+[4]울산!$H$86/1000</f>
        <v>117.75725529229071</v>
      </c>
      <c r="F23" s="350">
        <f>+[4]울산!$I$86/1000</f>
        <v>66.511148999999833</v>
      </c>
      <c r="G23" s="352">
        <f t="shared" si="0"/>
        <v>-51.246106292290875</v>
      </c>
      <c r="H23" s="351">
        <f>+[4]울산!$T$5/1000</f>
        <v>12.5</v>
      </c>
      <c r="I23" s="350">
        <f>+[4]울산!$U$5/1000</f>
        <v>13.221</v>
      </c>
      <c r="J23" s="152">
        <f t="shared" si="1"/>
        <v>0.72100000000000009</v>
      </c>
      <c r="K23" s="349">
        <f>+[4]울산!$M$86/1000</f>
        <v>9.7085533495502609</v>
      </c>
      <c r="L23" s="351">
        <f>+[4]울산!$Q$85</f>
        <v>103832.2</v>
      </c>
      <c r="M23" s="350">
        <f>+[4]울산!$R$85</f>
        <v>104586.35806671206</v>
      </c>
      <c r="N23" s="152">
        <f t="shared" si="2"/>
        <v>754.15806671205792</v>
      </c>
      <c r="O23" s="349">
        <f>+[4]울산!$K$86/1000</f>
        <v>9.9707238000001173</v>
      </c>
      <c r="P23" s="351">
        <f>+[4]울산!$Q$50</f>
        <v>90366.800069971898</v>
      </c>
      <c r="Q23" s="350">
        <f>+[4]울산!$R$50</f>
        <v>96393.684047457122</v>
      </c>
      <c r="R23" s="152">
        <f t="shared" si="3"/>
        <v>6026.883977485224</v>
      </c>
      <c r="S23" s="349">
        <f>+[4]울산!$L$56/1000</f>
        <v>-79.68783390490178</v>
      </c>
      <c r="T23" s="351">
        <f>+([4]울산!$H$80+[4]울산!$H$85)/1000</f>
        <v>50.560243833060504</v>
      </c>
      <c r="U23" s="350">
        <f>+([4]울산!$I$80+[4]울산!$I$85)/1000</f>
        <v>41.797793370000001</v>
      </c>
      <c r="V23" s="152">
        <f t="shared" si="4"/>
        <v>-8.7624504630605031</v>
      </c>
      <c r="W23" s="349">
        <f>+([4]울산!$L$80+[4]울산!$L$85)/1000</f>
        <v>8.7624504630605031</v>
      </c>
      <c r="Y23" s="6">
        <f t="shared" si="5"/>
        <v>2.8421709430404007E-14</v>
      </c>
      <c r="Z23" s="6">
        <f t="shared" si="6"/>
        <v>2.8421709430404007E-8</v>
      </c>
    </row>
    <row r="24" spans="4:26" ht="24" customHeight="1" x14ac:dyDescent="0.3">
      <c r="D24" s="360" t="s">
        <v>27</v>
      </c>
      <c r="E24" s="358">
        <f>+[4]아산!$H$86/1000</f>
        <v>333.50741939072418</v>
      </c>
      <c r="F24" s="357">
        <f>+[4]아산!$I$86/1000</f>
        <v>68.806506000000169</v>
      </c>
      <c r="G24" s="359">
        <f t="shared" si="0"/>
        <v>-264.700913390724</v>
      </c>
      <c r="H24" s="358">
        <f>+[4]아산!$T$5/1000</f>
        <v>25</v>
      </c>
      <c r="I24" s="357">
        <f>+[4]아산!$U$5/1000</f>
        <v>18.783999999999999</v>
      </c>
      <c r="J24" s="356">
        <f t="shared" si="1"/>
        <v>-6.2160000000000011</v>
      </c>
      <c r="K24" s="355">
        <f>+[4]아산!$M$86/1000</f>
        <v>-100.32709279421624</v>
      </c>
      <c r="L24" s="358">
        <f>+[4]아산!$Q$85</f>
        <v>103000</v>
      </c>
      <c r="M24" s="357">
        <f>+[4]아산!$R$85</f>
        <v>103805.70288543441</v>
      </c>
      <c r="N24" s="356">
        <f t="shared" si="2"/>
        <v>805.70288543440984</v>
      </c>
      <c r="O24" s="355">
        <f>+[4]아산!$K$86/1000</f>
        <v>15.134322999999954</v>
      </c>
      <c r="P24" s="358">
        <f>+[4]아산!$Q$50</f>
        <v>86859.862806593243</v>
      </c>
      <c r="Q24" s="357">
        <f>+[4]아산!$R$50</f>
        <v>95830.721590305096</v>
      </c>
      <c r="R24" s="356">
        <f t="shared" si="3"/>
        <v>8970.8587837118539</v>
      </c>
      <c r="S24" s="355">
        <f>+[4]아산!$L$56/1000</f>
        <v>-168.4004080009523</v>
      </c>
      <c r="T24" s="358">
        <f>+([4]아산!$H$80+[4]아산!$H$85)/1000</f>
        <v>69.996010444444451</v>
      </c>
      <c r="U24" s="357">
        <f>+([4]아산!$I$80+[4]아산!$I$85)/1000</f>
        <v>81.103746040000004</v>
      </c>
      <c r="V24" s="356">
        <f t="shared" si="4"/>
        <v>11.107735595555553</v>
      </c>
      <c r="W24" s="355">
        <f>+([4]아산!$L$80+[4]아산!$L$85)/1000</f>
        <v>-11.107735595555551</v>
      </c>
      <c r="Y24" s="6">
        <f t="shared" si="5"/>
        <v>1.2612133559741778E-13</v>
      </c>
      <c r="Z24" s="6">
        <f t="shared" si="6"/>
        <v>1.2612133559741778E-7</v>
      </c>
    </row>
    <row r="25" spans="4:26" ht="24" customHeight="1" x14ac:dyDescent="0.3">
      <c r="D25" s="354" t="s">
        <v>129</v>
      </c>
      <c r="E25" s="351">
        <f>+[4]전주!$H$86/1000</f>
        <v>158.2608418803533</v>
      </c>
      <c r="F25" s="350">
        <f>+[4]전주!$I$86/1000</f>
        <v>24.639246000000146</v>
      </c>
      <c r="G25" s="352">
        <f t="shared" si="0"/>
        <v>-133.62159588035314</v>
      </c>
      <c r="H25" s="351">
        <f>+[4]전주!$T$5/1000</f>
        <v>11</v>
      </c>
      <c r="I25" s="350">
        <f>+[4]전주!$U$5/1000</f>
        <v>10.638999999999999</v>
      </c>
      <c r="J25" s="152">
        <f t="shared" si="1"/>
        <v>-0.36100000000000065</v>
      </c>
      <c r="K25" s="349">
        <f>+[4]전주!$M$86/1000</f>
        <v>-6.8469852524168457</v>
      </c>
      <c r="L25" s="351">
        <f>+[4]전주!$Q$85</f>
        <v>101097.65454545456</v>
      </c>
      <c r="M25" s="350">
        <f>+[4]전주!$R$85</f>
        <v>101942.12952345145</v>
      </c>
      <c r="N25" s="152">
        <f t="shared" si="2"/>
        <v>844.47497799689882</v>
      </c>
      <c r="O25" s="349">
        <f>+[4]전주!$K$86/1000</f>
        <v>8.984369290909008</v>
      </c>
      <c r="P25" s="351">
        <f>+[4]전주!$Q$50</f>
        <v>82130.936394715376</v>
      </c>
      <c r="Q25" s="350">
        <f>+[4]전주!$R$50</f>
        <v>94528.750446470527</v>
      </c>
      <c r="R25" s="152">
        <f t="shared" si="3"/>
        <v>12397.814051755151</v>
      </c>
      <c r="S25" s="349">
        <f>+[4]전주!$L$56/1000</f>
        <v>-131.90034747662304</v>
      </c>
      <c r="T25" s="351">
        <f>+([4]전주!$H$80+[4]전주!$H$85)/1000</f>
        <v>50.373057777777781</v>
      </c>
      <c r="U25" s="350">
        <f>+([4]전주!$I$80+[4]전주!$I$85)/1000</f>
        <v>54.231690220000004</v>
      </c>
      <c r="V25" s="152">
        <f t="shared" si="4"/>
        <v>3.8586324422222233</v>
      </c>
      <c r="W25" s="349">
        <f>+([4]전주!$L$80+[4]전주!$L$85)/1000</f>
        <v>-3.8586324422222278</v>
      </c>
      <c r="Y25" s="6">
        <f t="shared" si="5"/>
        <v>-4.5297099404706387E-14</v>
      </c>
      <c r="Z25" s="6">
        <f t="shared" si="6"/>
        <v>-4.5297099404706387E-8</v>
      </c>
    </row>
    <row r="26" spans="4:26" ht="24" customHeight="1" x14ac:dyDescent="0.3">
      <c r="D26" s="353" t="s">
        <v>128</v>
      </c>
      <c r="E26" s="351">
        <f>+[4]군산!$H$86/1000</f>
        <v>198.94578229126492</v>
      </c>
      <c r="F26" s="350">
        <f>+[4]군산!$I$86/1000</f>
        <v>36.294072</v>
      </c>
      <c r="G26" s="352">
        <f t="shared" si="0"/>
        <v>-162.65171029126492</v>
      </c>
      <c r="H26" s="351">
        <f>+[4]군산!$T$5/1000</f>
        <v>7.5</v>
      </c>
      <c r="I26" s="350">
        <f>+[4]군산!$U$5/1000</f>
        <v>3.5459999999999998</v>
      </c>
      <c r="J26" s="152">
        <f t="shared" si="1"/>
        <v>-3.9540000000000002</v>
      </c>
      <c r="K26" s="349">
        <f>+[4]군산!$M$86/1000</f>
        <v>-116.82355473088816</v>
      </c>
      <c r="L26" s="351">
        <f>+[4]군산!$Q$85</f>
        <v>111100.21333333335</v>
      </c>
      <c r="M26" s="350">
        <f>+[4]군산!$R$85</f>
        <v>111557.60152284264</v>
      </c>
      <c r="N26" s="152">
        <f t="shared" si="2"/>
        <v>457.38818950929272</v>
      </c>
      <c r="O26" s="349">
        <f>+[4]군산!$K$86/1000</f>
        <v>1.621898519999952</v>
      </c>
      <c r="P26" s="351">
        <f>+[4]군산!$Q$50</f>
        <v>81554.549516720246</v>
      </c>
      <c r="Q26" s="350">
        <f>+[4]군산!$R$50</f>
        <v>94811.51071630005</v>
      </c>
      <c r="R26" s="152">
        <f t="shared" si="3"/>
        <v>13256.961199579804</v>
      </c>
      <c r="S26" s="349">
        <f>+[4]군산!$L$56/1000</f>
        <v>-47.009184203710006</v>
      </c>
      <c r="T26" s="351">
        <f>+([4]군산!$H$80+[4]군산!$H$85)/1000</f>
        <v>22.646696333333335</v>
      </c>
      <c r="U26" s="350">
        <f>+([4]군산!$I$80+[4]군산!$I$85)/1000</f>
        <v>23.087566210000006</v>
      </c>
      <c r="V26" s="152">
        <f t="shared" si="4"/>
        <v>0.44086987666667099</v>
      </c>
      <c r="W26" s="349">
        <f>+([4]군산!$L$80+[4]군산!$L$85)/1000</f>
        <v>-0.44086987666666894</v>
      </c>
      <c r="Y26" s="6">
        <f t="shared" si="5"/>
        <v>-3.4028335704761048E-14</v>
      </c>
      <c r="Z26" s="6">
        <f t="shared" si="6"/>
        <v>-3.4028335704761048E-8</v>
      </c>
    </row>
    <row r="27" spans="4:26" ht="24" customHeight="1" x14ac:dyDescent="0.3">
      <c r="D27" s="353" t="s">
        <v>127</v>
      </c>
      <c r="E27" s="351">
        <f>+[4]원주!$H$86/1000</f>
        <v>60.992161095369369</v>
      </c>
      <c r="F27" s="350">
        <f>+[4]원주!$I$86/1000</f>
        <v>1.3292569999999477</v>
      </c>
      <c r="G27" s="352">
        <f t="shared" si="0"/>
        <v>-59.66290409536942</v>
      </c>
      <c r="H27" s="351">
        <f>+[4]원주!$T$5/1000</f>
        <v>4</v>
      </c>
      <c r="I27" s="350">
        <f>+[4]원주!$U$5/1000</f>
        <v>3.0674999999999999</v>
      </c>
      <c r="J27" s="152">
        <f t="shared" si="1"/>
        <v>-0.93250000000000011</v>
      </c>
      <c r="K27" s="349">
        <f>+[4]원주!$M$86/1000</f>
        <v>-18.524360023640153</v>
      </c>
      <c r="L27" s="351">
        <f>+[4]원주!$Q$85</f>
        <v>112000</v>
      </c>
      <c r="M27" s="350">
        <f>+[4]원주!$R$85</f>
        <v>119466.75396955313</v>
      </c>
      <c r="N27" s="152">
        <f t="shared" si="2"/>
        <v>7466.7539695531304</v>
      </c>
      <c r="O27" s="349">
        <f>+[4]원주!$K$86/1000</f>
        <v>22.807200000000037</v>
      </c>
      <c r="P27" s="351">
        <f>+[4]원주!$Q$50</f>
        <v>92377.620281713214</v>
      </c>
      <c r="Q27" s="350">
        <f>+[4]원주!$R$50</f>
        <v>112903.05156326731</v>
      </c>
      <c r="R27" s="152">
        <f t="shared" si="3"/>
        <v>20525.431281554091</v>
      </c>
      <c r="S27" s="349">
        <f>+[4]원주!$L$56/1000</f>
        <v>-62.694925759507036</v>
      </c>
      <c r="T27" s="351">
        <f>+([4]원주!$H$80+[4]원주!$H$85)/1000</f>
        <v>17.497357777777779</v>
      </c>
      <c r="U27" s="350">
        <f>+([4]원주!$I$80+[4]원주!$I$85)/1000</f>
        <v>18.748176090000001</v>
      </c>
      <c r="V27" s="152">
        <f t="shared" si="4"/>
        <v>1.2508183122222221</v>
      </c>
      <c r="W27" s="349">
        <f>+([4]원주!$L$80+[4]원주!$L$85)/1000</f>
        <v>-1.2508183122222223</v>
      </c>
      <c r="Y27" s="6">
        <f t="shared" si="5"/>
        <v>-4.9515946898281982E-14</v>
      </c>
      <c r="Z27" s="6">
        <f t="shared" si="6"/>
        <v>-4.9515946898281982E-8</v>
      </c>
    </row>
    <row r="28" spans="4:26" ht="24" customHeight="1" thickBot="1" x14ac:dyDescent="0.35">
      <c r="D28" s="348" t="s">
        <v>126</v>
      </c>
      <c r="E28" s="346">
        <f>+[4]제주!$H$86/1000</f>
        <v>226.38407367099271</v>
      </c>
      <c r="F28" s="345">
        <f>+[4]제주!$I$86/1000</f>
        <v>42.520961999999969</v>
      </c>
      <c r="G28" s="347">
        <f t="shared" si="0"/>
        <v>-183.86311167099274</v>
      </c>
      <c r="H28" s="346">
        <f>+[4]제주!$T$5/1000</f>
        <v>10</v>
      </c>
      <c r="I28" s="345">
        <f>+[4]제주!$U$5/1000</f>
        <v>4.5194999999999999</v>
      </c>
      <c r="J28" s="344">
        <f t="shared" si="1"/>
        <v>-5.4805000000000001</v>
      </c>
      <c r="K28" s="343">
        <f>+[4]제주!$M$86/1000</f>
        <v>-139.81532596730102</v>
      </c>
      <c r="L28" s="346">
        <f>+[4]제주!$Q$85</f>
        <v>122948.9</v>
      </c>
      <c r="M28" s="345">
        <f>+[4]제주!$R$85</f>
        <v>127942.32550372925</v>
      </c>
      <c r="N28" s="344">
        <f t="shared" si="2"/>
        <v>4993.4255037292605</v>
      </c>
      <c r="O28" s="343">
        <f>+[4]제주!$K$86/1000</f>
        <v>22.427970649999974</v>
      </c>
      <c r="P28" s="346">
        <f>+[4]제주!$Q$50</f>
        <v>97567.157970899323</v>
      </c>
      <c r="Q28" s="345">
        <f>+[4]제주!$R$50</f>
        <v>111850.70021151062</v>
      </c>
      <c r="R28" s="344">
        <f t="shared" si="3"/>
        <v>14283.542240611292</v>
      </c>
      <c r="S28" s="343">
        <f>+[4]제주!$L$56/1000</f>
        <v>-64.154534063705682</v>
      </c>
      <c r="T28" s="346">
        <f>+([4]제주!$H$80+[4]제주!$H$85)/1000</f>
        <v>27.433346620014099</v>
      </c>
      <c r="U28" s="345">
        <f>+([4]제주!$I$80+[4]제주!$I$85)/1000</f>
        <v>29.75456891</v>
      </c>
      <c r="V28" s="344">
        <f t="shared" si="4"/>
        <v>2.3212222899859007</v>
      </c>
      <c r="W28" s="343">
        <f>+([4]제주!$L$80+[4]제주!$L$85)/1000</f>
        <v>-2.3212222899859052</v>
      </c>
      <c r="Y28" s="6">
        <f t="shared" si="5"/>
        <v>-1.056932319443149E-13</v>
      </c>
      <c r="Z28" s="6">
        <f t="shared" si="6"/>
        <v>-1.056932319443149E-7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220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660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66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102135.08537207061</v>
      </c>
      <c r="F8" s="385">
        <f>+[4]합계!$R$85</f>
        <v>101721.48004045202</v>
      </c>
      <c r="G8" s="416">
        <f t="shared" ref="G8:G28" si="0">+F8-E8</f>
        <v>-413.60533161858621</v>
      </c>
      <c r="H8" s="386">
        <f>+[4]합계!$Q$20</f>
        <v>61571.160931797807</v>
      </c>
      <c r="I8" s="385">
        <f>+[4]합계!$R$20</f>
        <v>65288.308138508997</v>
      </c>
      <c r="J8" s="416">
        <f t="shared" ref="J8:J28" si="1">+I8-H8</f>
        <v>3717.1472067111899</v>
      </c>
      <c r="K8" s="386">
        <f>+[4]합계!$Q$21</f>
        <v>18784.119903093488</v>
      </c>
      <c r="L8" s="385">
        <f>+[4]합계!$R$21</f>
        <v>20400.349134049749</v>
      </c>
      <c r="M8" s="416">
        <f t="shared" ref="M8:M28" si="2">+L8-K8</f>
        <v>1616.2292309562617</v>
      </c>
      <c r="N8" s="386">
        <f>+[4]합계!$Q$22</f>
        <v>274.55737704918033</v>
      </c>
      <c r="O8" s="385">
        <f>+[4]합계!$R$22</f>
        <v>321.86037647409165</v>
      </c>
      <c r="P8" s="416">
        <f t="shared" ref="P8:P28" si="3">+O8-N8</f>
        <v>47.30299942491132</v>
      </c>
      <c r="Q8" s="386">
        <f t="shared" ref="Q8:Q28" si="4">H8+K8+N8</f>
        <v>80629.838211940471</v>
      </c>
      <c r="R8" s="385">
        <f t="shared" ref="R8:R28" si="5">I8+L8+O8</f>
        <v>86010.517649032845</v>
      </c>
      <c r="S8" s="416">
        <f t="shared" ref="S8:S28" si="6">+R8-Q8</f>
        <v>5380.6794370923744</v>
      </c>
      <c r="T8" s="386">
        <f t="shared" ref="T8:T28" si="7">+E8-Q8</f>
        <v>21505.247160130137</v>
      </c>
      <c r="U8" s="385">
        <f t="shared" ref="U8:U28" si="8">+F8-R8</f>
        <v>15710.962391419176</v>
      </c>
      <c r="V8" s="416">
        <f t="shared" ref="V8:V28" si="9">+U8-T8</f>
        <v>-5794.2847687109606</v>
      </c>
    </row>
    <row r="9" spans="1:22" ht="24" customHeight="1" x14ac:dyDescent="0.3">
      <c r="D9" s="382" t="s">
        <v>16</v>
      </c>
      <c r="E9" s="381">
        <f>+[4]수도권!$Q$85</f>
        <v>100867.1766436521</v>
      </c>
      <c r="F9" s="380">
        <f>+[4]수도권!$R$85</f>
        <v>99894.501248649074</v>
      </c>
      <c r="G9" s="415">
        <f t="shared" si="0"/>
        <v>-972.67539500302519</v>
      </c>
      <c r="H9" s="381">
        <f>+[4]수도권!$Q$20</f>
        <v>63043.392272197067</v>
      </c>
      <c r="I9" s="380">
        <f>+[4]수도권!$R$20</f>
        <v>66880.202955840083</v>
      </c>
      <c r="J9" s="415">
        <f t="shared" si="1"/>
        <v>3836.8106836430161</v>
      </c>
      <c r="K9" s="381">
        <f>+[4]수도권!$Q$21</f>
        <v>18537.79970322147</v>
      </c>
      <c r="L9" s="380">
        <f>+[4]수도권!$R$21</f>
        <v>20128.511335294745</v>
      </c>
      <c r="M9" s="415">
        <f t="shared" si="2"/>
        <v>1590.7116320732748</v>
      </c>
      <c r="N9" s="381">
        <f>+[4]수도권!$Q$22</f>
        <v>370.91743119266056</v>
      </c>
      <c r="O9" s="380">
        <f>+[4]수도권!$R$22</f>
        <v>395.27008558699083</v>
      </c>
      <c r="P9" s="415">
        <f t="shared" si="3"/>
        <v>24.352654394330273</v>
      </c>
      <c r="Q9" s="381">
        <f t="shared" si="4"/>
        <v>81952.109406611198</v>
      </c>
      <c r="R9" s="380">
        <f t="shared" si="5"/>
        <v>87403.984376721812</v>
      </c>
      <c r="S9" s="415">
        <f t="shared" si="6"/>
        <v>5451.8749701106135</v>
      </c>
      <c r="T9" s="381">
        <f t="shared" si="7"/>
        <v>18915.067237040901</v>
      </c>
      <c r="U9" s="380">
        <f t="shared" si="8"/>
        <v>12490.516871927262</v>
      </c>
      <c r="V9" s="415">
        <f t="shared" si="9"/>
        <v>-6424.5503651136387</v>
      </c>
    </row>
    <row r="10" spans="1:22" ht="24" customHeight="1" x14ac:dyDescent="0.3">
      <c r="D10" s="377" t="s">
        <v>17</v>
      </c>
      <c r="E10" s="376">
        <f>+[4]영남권!$Q$85</f>
        <v>100786.02154746176</v>
      </c>
      <c r="F10" s="375">
        <f>+[4]영남권!$R$85</f>
        <v>100842.57113921005</v>
      </c>
      <c r="G10" s="414">
        <f t="shared" si="0"/>
        <v>56.549591748291277</v>
      </c>
      <c r="H10" s="376">
        <f>+[4]영남권!$Q$20</f>
        <v>60332.290458226249</v>
      </c>
      <c r="I10" s="375">
        <f>+[4]영남권!$R$20</f>
        <v>63713.973912261237</v>
      </c>
      <c r="J10" s="414">
        <f t="shared" si="1"/>
        <v>3381.6834540349882</v>
      </c>
      <c r="K10" s="376">
        <f>+[4]영남권!$Q$21</f>
        <v>19326.542948479153</v>
      </c>
      <c r="L10" s="375">
        <f>+[4]영남권!$R$21</f>
        <v>20854.777194718481</v>
      </c>
      <c r="M10" s="414">
        <f t="shared" si="2"/>
        <v>1528.2342462393281</v>
      </c>
      <c r="N10" s="376">
        <f>+[4]영남권!$Q$22</f>
        <v>212.70758122743683</v>
      </c>
      <c r="O10" s="375">
        <f>+[4]영남권!$R$22</f>
        <v>243.35038531890009</v>
      </c>
      <c r="P10" s="414">
        <f t="shared" si="3"/>
        <v>30.642804091463262</v>
      </c>
      <c r="Q10" s="376">
        <f t="shared" si="4"/>
        <v>79871.540987932851</v>
      </c>
      <c r="R10" s="375">
        <f t="shared" si="5"/>
        <v>84812.101492298621</v>
      </c>
      <c r="S10" s="414">
        <f t="shared" si="6"/>
        <v>4940.5605043657706</v>
      </c>
      <c r="T10" s="376">
        <f t="shared" si="7"/>
        <v>20914.480559528907</v>
      </c>
      <c r="U10" s="375">
        <f t="shared" si="8"/>
        <v>16030.469646911428</v>
      </c>
      <c r="V10" s="414">
        <f t="shared" si="9"/>
        <v>-4884.0109126174793</v>
      </c>
    </row>
    <row r="11" spans="1:22" ht="24" customHeight="1" x14ac:dyDescent="0.3">
      <c r="D11" s="372" t="s">
        <v>132</v>
      </c>
      <c r="E11" s="371">
        <f>+[4]중부권!$Q$85</f>
        <v>107788.08347826089</v>
      </c>
      <c r="F11" s="370">
        <f>+[4]중부권!$R$85</f>
        <v>107851.31553745527</v>
      </c>
      <c r="G11" s="413">
        <f t="shared" si="0"/>
        <v>63.232059194386238</v>
      </c>
      <c r="H11" s="371">
        <f>+[4]중부권!$Q$20</f>
        <v>61764.384314165502</v>
      </c>
      <c r="I11" s="370">
        <f>+[4]중부권!$R$20</f>
        <v>65716.986878776661</v>
      </c>
      <c r="J11" s="413">
        <f t="shared" si="1"/>
        <v>3952.6025646111593</v>
      </c>
      <c r="K11" s="371">
        <f>+[4]중부권!$Q$21</f>
        <v>17944.525294400177</v>
      </c>
      <c r="L11" s="370">
        <f>+[4]중부권!$R$21</f>
        <v>19869.195461832533</v>
      </c>
      <c r="M11" s="413">
        <f t="shared" si="2"/>
        <v>1924.6701674323558</v>
      </c>
      <c r="N11" s="371">
        <f>+[4]중부권!$Q$22</f>
        <v>240.86956521739131</v>
      </c>
      <c r="O11" s="370">
        <f>+[4]중부권!$R$22</f>
        <v>356.21220865704771</v>
      </c>
      <c r="P11" s="413">
        <f t="shared" si="3"/>
        <v>115.3426434396564</v>
      </c>
      <c r="Q11" s="371">
        <f t="shared" si="4"/>
        <v>79949.77917378307</v>
      </c>
      <c r="R11" s="370">
        <f t="shared" si="5"/>
        <v>85942.394549266246</v>
      </c>
      <c r="S11" s="413">
        <f t="shared" si="6"/>
        <v>5992.6153754831757</v>
      </c>
      <c r="T11" s="371">
        <f t="shared" si="7"/>
        <v>27838.304304477817</v>
      </c>
      <c r="U11" s="370">
        <f t="shared" si="8"/>
        <v>21908.920988189027</v>
      </c>
      <c r="V11" s="413">
        <f t="shared" si="9"/>
        <v>-5929.3833162887895</v>
      </c>
    </row>
    <row r="12" spans="1:22" ht="24" customHeight="1" x14ac:dyDescent="0.3">
      <c r="D12" s="412" t="s">
        <v>18</v>
      </c>
      <c r="E12" s="411">
        <f>+[4]안양!$Q$85</f>
        <v>103714.40902439023</v>
      </c>
      <c r="F12" s="410">
        <f>+[4]안양!$R$85</f>
        <v>101989.59731136443</v>
      </c>
      <c r="G12" s="409">
        <f t="shared" si="0"/>
        <v>-1724.8117130258033</v>
      </c>
      <c r="H12" s="411">
        <f>+[4]안양!$Q$20</f>
        <v>64719.305806451608</v>
      </c>
      <c r="I12" s="410">
        <f>+[4]안양!$R$20</f>
        <v>65697.333237593746</v>
      </c>
      <c r="J12" s="409">
        <f t="shared" si="1"/>
        <v>978.02743114213808</v>
      </c>
      <c r="K12" s="411">
        <f>+[4]안양!$Q$21</f>
        <v>17934.899120667524</v>
      </c>
      <c r="L12" s="410">
        <f>+[4]안양!$R$21</f>
        <v>18663.0262326472</v>
      </c>
      <c r="M12" s="409">
        <f t="shared" si="2"/>
        <v>728.12711197967656</v>
      </c>
      <c r="N12" s="411">
        <f>+[4]안양!$Q$22</f>
        <v>317.07317073170731</v>
      </c>
      <c r="O12" s="410">
        <f>+[4]안양!$R$22</f>
        <v>227.12136588479336</v>
      </c>
      <c r="P12" s="409">
        <f t="shared" si="3"/>
        <v>-89.951804846913944</v>
      </c>
      <c r="Q12" s="411">
        <f t="shared" si="4"/>
        <v>82971.278097850838</v>
      </c>
      <c r="R12" s="410">
        <f t="shared" si="5"/>
        <v>84587.480836125746</v>
      </c>
      <c r="S12" s="409">
        <f t="shared" si="6"/>
        <v>1616.2027382749075</v>
      </c>
      <c r="T12" s="411">
        <f t="shared" si="7"/>
        <v>20743.130926539394</v>
      </c>
      <c r="U12" s="410">
        <f t="shared" si="8"/>
        <v>17402.116475238683</v>
      </c>
      <c r="V12" s="409">
        <f t="shared" si="9"/>
        <v>-3341.0144513007108</v>
      </c>
    </row>
    <row r="13" spans="1:22" ht="24" customHeight="1" x14ac:dyDescent="0.3">
      <c r="D13" s="353" t="s">
        <v>19</v>
      </c>
      <c r="E13" s="404">
        <f>+[4]인천!$Q$85</f>
        <v>103510.96078618999</v>
      </c>
      <c r="F13" s="403">
        <f>+[4]인천!$R$85</f>
        <v>98884.465245597778</v>
      </c>
      <c r="G13" s="402">
        <f t="shared" si="0"/>
        <v>-4626.4955405922083</v>
      </c>
      <c r="H13" s="404">
        <f>+[4]인천!$Q$20</f>
        <v>65311.191868819413</v>
      </c>
      <c r="I13" s="403">
        <f>+[4]인천!$R$20</f>
        <v>69136.388142569966</v>
      </c>
      <c r="J13" s="402">
        <f t="shared" si="1"/>
        <v>3825.1962737505528</v>
      </c>
      <c r="K13" s="404">
        <f>+[4]인천!$Q$21</f>
        <v>18365.015216924399</v>
      </c>
      <c r="L13" s="403">
        <f>+[4]인천!$R$21</f>
        <v>20073.466575193848</v>
      </c>
      <c r="M13" s="402">
        <f t="shared" si="2"/>
        <v>1708.451358269449</v>
      </c>
      <c r="N13" s="404">
        <f>+[4]인천!$Q$22</f>
        <v>593.75</v>
      </c>
      <c r="O13" s="403">
        <f>+[4]인천!$R$22</f>
        <v>608.78403905676635</v>
      </c>
      <c r="P13" s="402">
        <f t="shared" si="3"/>
        <v>15.034039056766346</v>
      </c>
      <c r="Q13" s="404">
        <f t="shared" si="4"/>
        <v>84269.957085743808</v>
      </c>
      <c r="R13" s="403">
        <f t="shared" si="5"/>
        <v>89818.638756820583</v>
      </c>
      <c r="S13" s="402">
        <f t="shared" si="6"/>
        <v>5548.6816710767744</v>
      </c>
      <c r="T13" s="404">
        <f t="shared" si="7"/>
        <v>19241.003700446177</v>
      </c>
      <c r="U13" s="403">
        <f t="shared" si="8"/>
        <v>9065.8264887771948</v>
      </c>
      <c r="V13" s="402">
        <f t="shared" si="9"/>
        <v>-10175.177211668983</v>
      </c>
    </row>
    <row r="14" spans="1:22" ht="24" customHeight="1" x14ac:dyDescent="0.3">
      <c r="D14" s="353" t="s">
        <v>20</v>
      </c>
      <c r="E14" s="404">
        <f>+[4]파주!$Q$85</f>
        <v>95213.511380952419</v>
      </c>
      <c r="F14" s="403">
        <f>+[4]파주!$R$85</f>
        <v>98582.894736842092</v>
      </c>
      <c r="G14" s="402">
        <f t="shared" si="0"/>
        <v>3369.3833558896731</v>
      </c>
      <c r="H14" s="404">
        <f>+[4]파주!$Q$20</f>
        <v>60044.877998975928</v>
      </c>
      <c r="I14" s="403">
        <f>+[4]파주!$R$20</f>
        <v>65991.291765227681</v>
      </c>
      <c r="J14" s="402">
        <f t="shared" si="1"/>
        <v>5946.4137662517533</v>
      </c>
      <c r="K14" s="404">
        <f>+[4]파주!$Q$21</f>
        <v>20012.526976144425</v>
      </c>
      <c r="L14" s="403">
        <f>+[4]파주!$R$21</f>
        <v>24227.279420461266</v>
      </c>
      <c r="M14" s="402">
        <f t="shared" si="2"/>
        <v>4214.7524443168404</v>
      </c>
      <c r="N14" s="404">
        <f>+[4]파주!$Q$22</f>
        <v>259.76190476190476</v>
      </c>
      <c r="O14" s="403">
        <f>+[4]파주!$R$22</f>
        <v>249.4486989946777</v>
      </c>
      <c r="P14" s="402">
        <f t="shared" si="3"/>
        <v>-10.313205767227061</v>
      </c>
      <c r="Q14" s="404">
        <f t="shared" si="4"/>
        <v>80317.166879882265</v>
      </c>
      <c r="R14" s="403">
        <f t="shared" si="5"/>
        <v>90468.019884683628</v>
      </c>
      <c r="S14" s="402">
        <f t="shared" si="6"/>
        <v>10150.853004801364</v>
      </c>
      <c r="T14" s="404">
        <f t="shared" si="7"/>
        <v>14896.344501070154</v>
      </c>
      <c r="U14" s="403">
        <f t="shared" si="8"/>
        <v>8114.8748521584639</v>
      </c>
      <c r="V14" s="402">
        <f t="shared" si="9"/>
        <v>-6781.4696489116905</v>
      </c>
    </row>
    <row r="15" spans="1:22" ht="24" customHeight="1" x14ac:dyDescent="0.3">
      <c r="D15" s="353" t="s">
        <v>108</v>
      </c>
      <c r="E15" s="404">
        <f>+[4]김포!$Q$85</f>
        <v>95359.8</v>
      </c>
      <c r="F15" s="403">
        <f>+[4]김포!$R$85</f>
        <v>98518.912024467441</v>
      </c>
      <c r="G15" s="402">
        <f t="shared" si="0"/>
        <v>3159.1120244674385</v>
      </c>
      <c r="H15" s="404">
        <f>+[4]김포!$Q$20</f>
        <v>57822.509454949941</v>
      </c>
      <c r="I15" s="403">
        <f>+[4]김포!$R$20</f>
        <v>65051.89671709355</v>
      </c>
      <c r="J15" s="402">
        <f t="shared" si="1"/>
        <v>7229.3872621436094</v>
      </c>
      <c r="K15" s="404">
        <f>+[4]김포!$Q$21</f>
        <v>18489.716684210525</v>
      </c>
      <c r="L15" s="403">
        <f>+[4]김포!$R$21</f>
        <v>19468.605081933107</v>
      </c>
      <c r="M15" s="402">
        <f t="shared" si="2"/>
        <v>978.88839772258143</v>
      </c>
      <c r="N15" s="404">
        <f>+[4]김포!$Q$22</f>
        <v>198.33333333333334</v>
      </c>
      <c r="O15" s="403">
        <f>+[4]김포!$R$22</f>
        <v>441.81455562265609</v>
      </c>
      <c r="P15" s="402">
        <f t="shared" si="3"/>
        <v>243.48122228932274</v>
      </c>
      <c r="Q15" s="404">
        <f t="shared" si="4"/>
        <v>76510.559472493798</v>
      </c>
      <c r="R15" s="403">
        <f t="shared" si="5"/>
        <v>84962.316354649302</v>
      </c>
      <c r="S15" s="402">
        <f t="shared" si="6"/>
        <v>8451.7568821555033</v>
      </c>
      <c r="T15" s="404">
        <f t="shared" si="7"/>
        <v>18849.240527506205</v>
      </c>
      <c r="U15" s="403">
        <f t="shared" si="8"/>
        <v>13556.59566981814</v>
      </c>
      <c r="V15" s="402">
        <f t="shared" si="9"/>
        <v>-5292.6448576880648</v>
      </c>
    </row>
    <row r="16" spans="1:22" ht="24" customHeight="1" x14ac:dyDescent="0.3">
      <c r="D16" s="408" t="s">
        <v>21</v>
      </c>
      <c r="E16" s="407">
        <f>+[4]부산!$Q$85</f>
        <v>107699.89407363636</v>
      </c>
      <c r="F16" s="406">
        <f>+[4]부산!$R$85</f>
        <v>109099.12402857015</v>
      </c>
      <c r="G16" s="405">
        <f t="shared" si="0"/>
        <v>1399.2299549337913</v>
      </c>
      <c r="H16" s="407">
        <f>+[4]부산!$Q$20</f>
        <v>64950.955464330458</v>
      </c>
      <c r="I16" s="406">
        <f>+[4]부산!$R$20</f>
        <v>68546.225445726857</v>
      </c>
      <c r="J16" s="405">
        <f t="shared" si="1"/>
        <v>3595.2699813963991</v>
      </c>
      <c r="K16" s="407">
        <f>+[4]부산!$Q$21</f>
        <v>20704.447323232322</v>
      </c>
      <c r="L16" s="406">
        <f>+[4]부산!$R$21</f>
        <v>21713.066645708896</v>
      </c>
      <c r="M16" s="405">
        <f t="shared" si="2"/>
        <v>1008.6193224765739</v>
      </c>
      <c r="N16" s="407">
        <f>+[4]부산!$Q$22</f>
        <v>227.27272727272725</v>
      </c>
      <c r="O16" s="406">
        <f>+[4]부산!$R$22</f>
        <v>96.433017469798344</v>
      </c>
      <c r="P16" s="405">
        <f t="shared" si="3"/>
        <v>-130.83970980292889</v>
      </c>
      <c r="Q16" s="407">
        <f t="shared" si="4"/>
        <v>85882.675514835501</v>
      </c>
      <c r="R16" s="406">
        <f t="shared" si="5"/>
        <v>90355.72510890555</v>
      </c>
      <c r="S16" s="405">
        <f t="shared" si="6"/>
        <v>4473.0495940700494</v>
      </c>
      <c r="T16" s="407">
        <f t="shared" si="7"/>
        <v>21817.218558800858</v>
      </c>
      <c r="U16" s="406">
        <f t="shared" si="8"/>
        <v>18743.3989196646</v>
      </c>
      <c r="V16" s="405">
        <f t="shared" si="9"/>
        <v>-3073.819639136258</v>
      </c>
    </row>
    <row r="17" spans="4:22" ht="24" customHeight="1" x14ac:dyDescent="0.3">
      <c r="D17" s="353" t="s">
        <v>22</v>
      </c>
      <c r="E17" s="404">
        <f>+[4]서부산!$Q$85</f>
        <v>99299.522782608663</v>
      </c>
      <c r="F17" s="403">
        <f>+[4]서부산!$R$85</f>
        <v>104564.17855644146</v>
      </c>
      <c r="G17" s="402">
        <f t="shared" si="0"/>
        <v>5264.6557738327974</v>
      </c>
      <c r="H17" s="404">
        <f>+[4]서부산!$Q$20</f>
        <v>61646.757478005857</v>
      </c>
      <c r="I17" s="403">
        <f>+[4]서부산!$R$20</f>
        <v>66587.583626214589</v>
      </c>
      <c r="J17" s="402">
        <f t="shared" si="1"/>
        <v>4940.8261482087328</v>
      </c>
      <c r="K17" s="404">
        <f>+[4]서부산!$Q$21</f>
        <v>17689.119136292236</v>
      </c>
      <c r="L17" s="403">
        <f>+[4]서부산!$R$21</f>
        <v>18917.572720694643</v>
      </c>
      <c r="M17" s="402">
        <f t="shared" si="2"/>
        <v>1228.4535844024067</v>
      </c>
      <c r="N17" s="404">
        <f>+[4]서부산!$Q$22</f>
        <v>130.43478260869566</v>
      </c>
      <c r="O17" s="403">
        <f>+[4]서부산!$R$22</f>
        <v>233.46025428984908</v>
      </c>
      <c r="P17" s="402">
        <f t="shared" si="3"/>
        <v>103.02547168115342</v>
      </c>
      <c r="Q17" s="404">
        <f t="shared" si="4"/>
        <v>79466.311396906778</v>
      </c>
      <c r="R17" s="403">
        <f t="shared" si="5"/>
        <v>85738.616601199086</v>
      </c>
      <c r="S17" s="402">
        <f t="shared" si="6"/>
        <v>6272.3052042923082</v>
      </c>
      <c r="T17" s="404">
        <f t="shared" si="7"/>
        <v>19833.211385701885</v>
      </c>
      <c r="U17" s="403">
        <f t="shared" si="8"/>
        <v>18825.561955242374</v>
      </c>
      <c r="V17" s="402">
        <f t="shared" si="9"/>
        <v>-1007.6494304595108</v>
      </c>
    </row>
    <row r="18" spans="4:22" ht="24" customHeight="1" x14ac:dyDescent="0.3">
      <c r="D18" s="353" t="s">
        <v>23</v>
      </c>
      <c r="E18" s="404">
        <f>+[4]김해!$Q$85</f>
        <v>96299.793749999997</v>
      </c>
      <c r="F18" s="403">
        <f>+[4]김해!$R$85</f>
        <v>88695.864727527587</v>
      </c>
      <c r="G18" s="402">
        <f t="shared" si="0"/>
        <v>-7603.92902247241</v>
      </c>
      <c r="H18" s="404">
        <f>+[4]김해!$Q$20</f>
        <v>57225.314430693514</v>
      </c>
      <c r="I18" s="403">
        <f>+[4]김해!$R$20</f>
        <v>56288.176449973711</v>
      </c>
      <c r="J18" s="402">
        <f t="shared" si="1"/>
        <v>-937.13798071980273</v>
      </c>
      <c r="K18" s="404">
        <f>+[4]김해!$Q$21</f>
        <v>20302.071092836261</v>
      </c>
      <c r="L18" s="403">
        <f>+[4]김해!$R$21</f>
        <v>25602.291922200806</v>
      </c>
      <c r="M18" s="402">
        <f t="shared" si="2"/>
        <v>5300.2208293645454</v>
      </c>
      <c r="N18" s="404">
        <f>+[4]김해!$Q$22</f>
        <v>325</v>
      </c>
      <c r="O18" s="403">
        <f>+[4]김해!$R$22</f>
        <v>770.88960925179595</v>
      </c>
      <c r="P18" s="402">
        <f t="shared" si="3"/>
        <v>445.88960925179595</v>
      </c>
      <c r="Q18" s="404">
        <f t="shared" si="4"/>
        <v>77852.385523529781</v>
      </c>
      <c r="R18" s="403">
        <f t="shared" si="5"/>
        <v>82661.357981426307</v>
      </c>
      <c r="S18" s="402">
        <f t="shared" si="6"/>
        <v>4808.9724578965252</v>
      </c>
      <c r="T18" s="404">
        <f t="shared" si="7"/>
        <v>18447.408226470216</v>
      </c>
      <c r="U18" s="403">
        <f t="shared" si="8"/>
        <v>6034.5067461012804</v>
      </c>
      <c r="V18" s="402">
        <f t="shared" si="9"/>
        <v>-12412.901480368935</v>
      </c>
    </row>
    <row r="19" spans="4:22" ht="24" customHeight="1" x14ac:dyDescent="0.3">
      <c r="D19" s="353" t="s">
        <v>24</v>
      </c>
      <c r="E19" s="404">
        <f>+[4]정관!$Q$85</f>
        <v>101999.86063809524</v>
      </c>
      <c r="F19" s="403">
        <f>+[4]정관!$R$85</f>
        <v>98920.68965517242</v>
      </c>
      <c r="G19" s="402">
        <f t="shared" si="0"/>
        <v>-3079.1709829228203</v>
      </c>
      <c r="H19" s="404">
        <f>+[4]정관!$Q$20</f>
        <v>62648.418884006431</v>
      </c>
      <c r="I19" s="403">
        <f>+[4]정관!$R$20</f>
        <v>65817.002265466159</v>
      </c>
      <c r="J19" s="402">
        <f t="shared" si="1"/>
        <v>3168.5833814597281</v>
      </c>
      <c r="K19" s="404">
        <f>+[4]정관!$Q$21</f>
        <v>19611.023571428566</v>
      </c>
      <c r="L19" s="403">
        <f>+[4]정관!$R$21</f>
        <v>19109.889747313387</v>
      </c>
      <c r="M19" s="402">
        <f t="shared" si="2"/>
        <v>-501.13382411517887</v>
      </c>
      <c r="N19" s="404">
        <f>+[4]정관!$Q$22</f>
        <v>190.47619047619045</v>
      </c>
      <c r="O19" s="403">
        <f>+[4]정관!$R$22</f>
        <v>341.68085971536448</v>
      </c>
      <c r="P19" s="402">
        <f t="shared" si="3"/>
        <v>151.20466923917402</v>
      </c>
      <c r="Q19" s="404">
        <f t="shared" si="4"/>
        <v>82449.918645911181</v>
      </c>
      <c r="R19" s="403">
        <f t="shared" si="5"/>
        <v>85268.5728724949</v>
      </c>
      <c r="S19" s="402">
        <f t="shared" si="6"/>
        <v>2818.6542265837197</v>
      </c>
      <c r="T19" s="404">
        <f t="shared" si="7"/>
        <v>19549.94199218406</v>
      </c>
      <c r="U19" s="403">
        <f t="shared" si="8"/>
        <v>13652.11678267752</v>
      </c>
      <c r="V19" s="402">
        <f t="shared" si="9"/>
        <v>-5897.82520950654</v>
      </c>
    </row>
    <row r="20" spans="4:22" ht="24" customHeight="1" x14ac:dyDescent="0.3">
      <c r="D20" s="353" t="s">
        <v>25</v>
      </c>
      <c r="E20" s="404">
        <f>+[4]양산!$Q$85</f>
        <v>94046.25</v>
      </c>
      <c r="F20" s="403">
        <f>+[4]양산!$R$85</f>
        <v>92293.707557334157</v>
      </c>
      <c r="G20" s="402">
        <f t="shared" si="0"/>
        <v>-1752.5424426658428</v>
      </c>
      <c r="H20" s="404">
        <f>+[4]양산!$Q$20</f>
        <v>56189.623038520818</v>
      </c>
      <c r="I20" s="403">
        <f>+[4]양산!$R$20</f>
        <v>54824.347391103591</v>
      </c>
      <c r="J20" s="402">
        <f t="shared" si="1"/>
        <v>-1365.2756474172274</v>
      </c>
      <c r="K20" s="404">
        <f>+[4]양산!$Q$21</f>
        <v>18435.521266306794</v>
      </c>
      <c r="L20" s="403">
        <f>+[4]양산!$R$21</f>
        <v>26048.784823764814</v>
      </c>
      <c r="M20" s="402">
        <f t="shared" si="2"/>
        <v>7613.2635574580199</v>
      </c>
      <c r="N20" s="404">
        <f>+[4]양산!$Q$22</f>
        <v>107.69230769230769</v>
      </c>
      <c r="O20" s="403">
        <f>+[4]양산!$R$22</f>
        <v>99.832076342927508</v>
      </c>
      <c r="P20" s="402">
        <f t="shared" si="3"/>
        <v>-7.8602313493801859</v>
      </c>
      <c r="Q20" s="404">
        <f t="shared" si="4"/>
        <v>74732.836612519925</v>
      </c>
      <c r="R20" s="403">
        <f t="shared" si="5"/>
        <v>80972.964291211334</v>
      </c>
      <c r="S20" s="402">
        <f t="shared" si="6"/>
        <v>6240.1276786914095</v>
      </c>
      <c r="T20" s="404">
        <f t="shared" si="7"/>
        <v>19313.413387480075</v>
      </c>
      <c r="U20" s="403">
        <f t="shared" si="8"/>
        <v>11320.743266122823</v>
      </c>
      <c r="V20" s="402">
        <f t="shared" si="9"/>
        <v>-7992.6701213572524</v>
      </c>
    </row>
    <row r="21" spans="4:22" ht="24" customHeight="1" x14ac:dyDescent="0.3">
      <c r="D21" s="353" t="s">
        <v>26</v>
      </c>
      <c r="E21" s="404">
        <f>+[4]창원!$Q$85</f>
        <v>101837.58435568422</v>
      </c>
      <c r="F21" s="403">
        <f>+[4]창원!$R$85</f>
        <v>93773.339026473113</v>
      </c>
      <c r="G21" s="402">
        <f t="shared" si="0"/>
        <v>-8064.2453292111022</v>
      </c>
      <c r="H21" s="404">
        <f>+[4]창원!$Q$20</f>
        <v>57608.748275862068</v>
      </c>
      <c r="I21" s="403">
        <f>+[4]창원!$R$20</f>
        <v>56696.540819812122</v>
      </c>
      <c r="J21" s="402">
        <f t="shared" si="1"/>
        <v>-912.2074560499459</v>
      </c>
      <c r="K21" s="404">
        <f>+[4]창원!$Q$21</f>
        <v>18433.517521463236</v>
      </c>
      <c r="L21" s="403">
        <f>+[4]창원!$R$21</f>
        <v>17288.650384286932</v>
      </c>
      <c r="M21" s="402">
        <f t="shared" si="2"/>
        <v>-1144.8671371763048</v>
      </c>
      <c r="N21" s="404">
        <f>+[4]창원!$Q$22</f>
        <v>157.89473684210526</v>
      </c>
      <c r="O21" s="403">
        <f>+[4]창원!$R$22</f>
        <v>88.859521776259612</v>
      </c>
      <c r="P21" s="402">
        <f t="shared" si="3"/>
        <v>-69.035215065845648</v>
      </c>
      <c r="Q21" s="404">
        <f t="shared" si="4"/>
        <v>76200.160534167415</v>
      </c>
      <c r="R21" s="403">
        <f t="shared" si="5"/>
        <v>74074.05072587532</v>
      </c>
      <c r="S21" s="402">
        <f t="shared" si="6"/>
        <v>-2126.1098082920944</v>
      </c>
      <c r="T21" s="404">
        <f t="shared" si="7"/>
        <v>25637.423821516801</v>
      </c>
      <c r="U21" s="403">
        <f t="shared" si="8"/>
        <v>19699.288300597793</v>
      </c>
      <c r="V21" s="402">
        <f t="shared" si="9"/>
        <v>-5938.1355209190078</v>
      </c>
    </row>
    <row r="22" spans="4:22" ht="24" customHeight="1" x14ac:dyDescent="0.3">
      <c r="D22" s="353" t="s">
        <v>131</v>
      </c>
      <c r="E22" s="404">
        <f>+[4]대구!$Q$85</f>
        <v>97280.472045454546</v>
      </c>
      <c r="F22" s="403">
        <f>+[4]대구!$R$85</f>
        <v>85228.337592137599</v>
      </c>
      <c r="G22" s="402">
        <f t="shared" si="0"/>
        <v>-12052.134453316947</v>
      </c>
      <c r="H22" s="404">
        <f>+[4]대구!$Q$20</f>
        <v>56101.464980509561</v>
      </c>
      <c r="I22" s="403">
        <f>+[4]대구!$R$20</f>
        <v>54650.438820638825</v>
      </c>
      <c r="J22" s="402">
        <f t="shared" si="1"/>
        <v>-1451.0261598707366</v>
      </c>
      <c r="K22" s="404">
        <f>+[4]대구!$Q$21</f>
        <v>18656.076315789473</v>
      </c>
      <c r="L22" s="403">
        <f>+[4]대구!$R$21</f>
        <v>21410.367076167076</v>
      </c>
      <c r="M22" s="402">
        <f t="shared" si="2"/>
        <v>2754.2907603776039</v>
      </c>
      <c r="N22" s="404">
        <f>+[4]대구!$Q$22</f>
        <v>375</v>
      </c>
      <c r="O22" s="403">
        <f>+[4]대구!$R$22</f>
        <v>409.96117936117929</v>
      </c>
      <c r="P22" s="402">
        <f t="shared" si="3"/>
        <v>34.96117936117929</v>
      </c>
      <c r="Q22" s="404">
        <f t="shared" si="4"/>
        <v>75132.541296299038</v>
      </c>
      <c r="R22" s="403">
        <f t="shared" si="5"/>
        <v>76470.767076167089</v>
      </c>
      <c r="S22" s="402">
        <f t="shared" si="6"/>
        <v>1338.2257798680512</v>
      </c>
      <c r="T22" s="404">
        <f t="shared" si="7"/>
        <v>22147.930749155508</v>
      </c>
      <c r="U22" s="403">
        <f t="shared" si="8"/>
        <v>8757.5705159705103</v>
      </c>
      <c r="V22" s="402">
        <f t="shared" si="9"/>
        <v>-13390.360233184998</v>
      </c>
    </row>
    <row r="23" spans="4:22" ht="24" customHeight="1" x14ac:dyDescent="0.3">
      <c r="D23" s="353" t="s">
        <v>130</v>
      </c>
      <c r="E23" s="404">
        <f>+[4]울산!$Q$85</f>
        <v>103832.2</v>
      </c>
      <c r="F23" s="403">
        <f>+[4]울산!$R$85</f>
        <v>104586.35806671206</v>
      </c>
      <c r="G23" s="402">
        <f t="shared" si="0"/>
        <v>754.15806671205792</v>
      </c>
      <c r="H23" s="404">
        <f>+[4]울산!$Q$20</f>
        <v>62380.404983314802</v>
      </c>
      <c r="I23" s="403">
        <f>+[4]울산!$R$20</f>
        <v>65209.906823849473</v>
      </c>
      <c r="J23" s="402">
        <f t="shared" si="1"/>
        <v>2829.5018405346709</v>
      </c>
      <c r="K23" s="404">
        <f>+[4]울산!$Q$21</f>
        <v>21115.396757910908</v>
      </c>
      <c r="L23" s="403">
        <f>+[4]울산!$R$21</f>
        <v>22900.140935539937</v>
      </c>
      <c r="M23" s="402">
        <f t="shared" si="2"/>
        <v>1784.7441776290289</v>
      </c>
      <c r="N23" s="404">
        <f>+[4]울산!$Q$22</f>
        <v>268.8</v>
      </c>
      <c r="O23" s="403">
        <f>+[4]울산!$R$22</f>
        <v>305.52512657749566</v>
      </c>
      <c r="P23" s="402">
        <f t="shared" si="3"/>
        <v>36.725126577495644</v>
      </c>
      <c r="Q23" s="404">
        <f t="shared" si="4"/>
        <v>83764.601741225706</v>
      </c>
      <c r="R23" s="403">
        <f t="shared" si="5"/>
        <v>88415.572885966918</v>
      </c>
      <c r="S23" s="402">
        <f t="shared" si="6"/>
        <v>4650.9711447412119</v>
      </c>
      <c r="T23" s="404">
        <f t="shared" si="7"/>
        <v>20067.598258774291</v>
      </c>
      <c r="U23" s="403">
        <f t="shared" si="8"/>
        <v>16170.785180745137</v>
      </c>
      <c r="V23" s="402">
        <f t="shared" si="9"/>
        <v>-3896.813078029154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103805.70288543441</v>
      </c>
      <c r="G24" s="405">
        <f t="shared" si="0"/>
        <v>805.70288543440984</v>
      </c>
      <c r="H24" s="407">
        <f>+[4]아산!$Q$20</f>
        <v>59769.534425806458</v>
      </c>
      <c r="I24" s="406">
        <f>+[4]아산!$R$20</f>
        <v>64515.150313596263</v>
      </c>
      <c r="J24" s="405">
        <f t="shared" si="1"/>
        <v>4745.6158877898051</v>
      </c>
      <c r="K24" s="407">
        <f>+[4]아산!$Q$21</f>
        <v>20601.51006808511</v>
      </c>
      <c r="L24" s="406">
        <f>+[4]아산!$R$21</f>
        <v>22560.694748591475</v>
      </c>
      <c r="M24" s="405">
        <f t="shared" si="2"/>
        <v>1959.1846805063651</v>
      </c>
      <c r="N24" s="407">
        <f>+[4]아산!$Q$22</f>
        <v>180</v>
      </c>
      <c r="O24" s="406">
        <f>+[4]아산!$R$22</f>
        <v>279.29052832996706</v>
      </c>
      <c r="P24" s="405">
        <f t="shared" si="3"/>
        <v>99.29052832996706</v>
      </c>
      <c r="Q24" s="407">
        <f t="shared" si="4"/>
        <v>80551.044493891561</v>
      </c>
      <c r="R24" s="406">
        <f t="shared" si="5"/>
        <v>87355.135590517704</v>
      </c>
      <c r="S24" s="405">
        <f t="shared" si="6"/>
        <v>6804.0910966261436</v>
      </c>
      <c r="T24" s="407">
        <f t="shared" si="7"/>
        <v>22448.955506108439</v>
      </c>
      <c r="U24" s="406">
        <f t="shared" si="8"/>
        <v>16450.567294916706</v>
      </c>
      <c r="V24" s="405">
        <f t="shared" si="9"/>
        <v>-5998.3882111917337</v>
      </c>
    </row>
    <row r="25" spans="4:22" ht="24" customHeight="1" x14ac:dyDescent="0.3">
      <c r="D25" s="353" t="s">
        <v>129</v>
      </c>
      <c r="E25" s="404">
        <f>+[4]전주!$Q$85</f>
        <v>101097.65454545456</v>
      </c>
      <c r="F25" s="403">
        <f>+[4]전주!$R$85</f>
        <v>101942.12952345145</v>
      </c>
      <c r="G25" s="402">
        <f t="shared" si="0"/>
        <v>844.47497799689882</v>
      </c>
      <c r="H25" s="404">
        <f>+[4]전주!$Q$20</f>
        <v>57358.807571375604</v>
      </c>
      <c r="I25" s="403">
        <f>+[4]전주!$R$20</f>
        <v>64137.136291004783</v>
      </c>
      <c r="J25" s="402">
        <f t="shared" si="1"/>
        <v>6778.3287196291785</v>
      </c>
      <c r="K25" s="404">
        <f>+[4]전주!$Q$21</f>
        <v>16024.960641521599</v>
      </c>
      <c r="L25" s="403">
        <f>+[4]전주!$R$21</f>
        <v>18178.242128019552</v>
      </c>
      <c r="M25" s="402">
        <f t="shared" si="2"/>
        <v>2153.2814864979537</v>
      </c>
      <c r="N25" s="404">
        <f>+[4]전주!$Q$22</f>
        <v>272.72727272727269</v>
      </c>
      <c r="O25" s="403">
        <f>+[4]전주!$R$22</f>
        <v>364.82930726572044</v>
      </c>
      <c r="P25" s="402">
        <f t="shared" si="3"/>
        <v>92.102034538447754</v>
      </c>
      <c r="Q25" s="404">
        <f t="shared" si="4"/>
        <v>73656.495485624488</v>
      </c>
      <c r="R25" s="403">
        <f t="shared" si="5"/>
        <v>82680.207726290057</v>
      </c>
      <c r="S25" s="402">
        <f t="shared" si="6"/>
        <v>9023.712240665569</v>
      </c>
      <c r="T25" s="404">
        <f t="shared" si="7"/>
        <v>27441.159059830068</v>
      </c>
      <c r="U25" s="403">
        <f t="shared" si="8"/>
        <v>19261.921797161398</v>
      </c>
      <c r="V25" s="402">
        <f t="shared" si="9"/>
        <v>-8179.2372626686702</v>
      </c>
    </row>
    <row r="26" spans="4:22" ht="24" customHeight="1" x14ac:dyDescent="0.3">
      <c r="D26" s="353" t="s">
        <v>128</v>
      </c>
      <c r="E26" s="404">
        <f>+[4]군산!$Q$85</f>
        <v>111100.21333333335</v>
      </c>
      <c r="F26" s="403">
        <f>+[4]군산!$R$85</f>
        <v>111557.60152284264</v>
      </c>
      <c r="G26" s="402">
        <f t="shared" si="0"/>
        <v>457.38818950929272</v>
      </c>
      <c r="H26" s="404">
        <f>+[4]군산!$Q$20</f>
        <v>60012.557419354838</v>
      </c>
      <c r="I26" s="403">
        <f>+[4]군산!$R$20</f>
        <v>58332.906937394248</v>
      </c>
      <c r="J26" s="402">
        <f t="shared" si="1"/>
        <v>-1679.6504819605907</v>
      </c>
      <c r="K26" s="404">
        <f>+[4]군산!$Q$21</f>
        <v>14095.694764032072</v>
      </c>
      <c r="L26" s="403">
        <f>+[4]군산!$R$21</f>
        <v>17634.925831923294</v>
      </c>
      <c r="M26" s="402">
        <f t="shared" si="2"/>
        <v>3539.2310678912218</v>
      </c>
      <c r="N26" s="404">
        <f>+[4]군산!$Q$22</f>
        <v>60</v>
      </c>
      <c r="O26" s="403">
        <f>+[4]군산!$R$22</f>
        <v>82.545403271291605</v>
      </c>
      <c r="P26" s="402">
        <f t="shared" si="3"/>
        <v>22.545403271291605</v>
      </c>
      <c r="Q26" s="404">
        <f t="shared" si="4"/>
        <v>74168.25218338691</v>
      </c>
      <c r="R26" s="403">
        <f t="shared" si="5"/>
        <v>76050.378172588826</v>
      </c>
      <c r="S26" s="402">
        <f t="shared" si="6"/>
        <v>1882.1259892019152</v>
      </c>
      <c r="T26" s="404">
        <f t="shared" si="7"/>
        <v>36931.961149946437</v>
      </c>
      <c r="U26" s="403">
        <f t="shared" si="8"/>
        <v>35507.223350253815</v>
      </c>
      <c r="V26" s="402">
        <f t="shared" si="9"/>
        <v>-1424.7377996926225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119466.75396955313</v>
      </c>
      <c r="G27" s="402">
        <f t="shared" si="0"/>
        <v>7466.7539695531304</v>
      </c>
      <c r="H27" s="404">
        <f>+[4]원주!$Q$20</f>
        <v>59673.633333333339</v>
      </c>
      <c r="I27" s="403">
        <f>+[4]원주!$R$20</f>
        <v>66427.494516287436</v>
      </c>
      <c r="J27" s="402">
        <f t="shared" si="1"/>
        <v>6753.8611829540969</v>
      </c>
      <c r="K27" s="404">
        <f>+[4]원주!$Q$21</f>
        <v>15176.186346409913</v>
      </c>
      <c r="L27" s="403">
        <f>+[4]원주!$R$21</f>
        <v>15639.238173187101</v>
      </c>
      <c r="M27" s="402">
        <f t="shared" si="2"/>
        <v>463.05182677718767</v>
      </c>
      <c r="N27" s="404">
        <f>+[4]원주!$Q$22</f>
        <v>850</v>
      </c>
      <c r="O27" s="403">
        <f>+[4]원주!$R$22</f>
        <v>978.14143067605175</v>
      </c>
      <c r="P27" s="402">
        <f t="shared" si="3"/>
        <v>128.14143067605175</v>
      </c>
      <c r="Q27" s="404">
        <f t="shared" si="4"/>
        <v>75699.819679743247</v>
      </c>
      <c r="R27" s="403">
        <f t="shared" si="5"/>
        <v>83044.874120150591</v>
      </c>
      <c r="S27" s="402">
        <f t="shared" si="6"/>
        <v>7345.0544404073444</v>
      </c>
      <c r="T27" s="404">
        <f t="shared" si="7"/>
        <v>36300.180320256753</v>
      </c>
      <c r="U27" s="403">
        <f t="shared" si="8"/>
        <v>36421.87984940254</v>
      </c>
      <c r="V27" s="402">
        <f t="shared" si="9"/>
        <v>121.69952914578607</v>
      </c>
    </row>
    <row r="28" spans="4:22" ht="24" customHeight="1" x14ac:dyDescent="0.3">
      <c r="D28" s="348" t="s">
        <v>126</v>
      </c>
      <c r="E28" s="401">
        <f>+[4]제주!$Q$85</f>
        <v>122948.9</v>
      </c>
      <c r="F28" s="400">
        <f>+[4]제주!$R$85</f>
        <v>127942.32550372925</v>
      </c>
      <c r="G28" s="399">
        <f t="shared" si="0"/>
        <v>4993.4255037292605</v>
      </c>
      <c r="H28" s="401">
        <f>+[4]제주!$Q$20</f>
        <v>73747.814015572862</v>
      </c>
      <c r="I28" s="400">
        <f>+[4]제주!$R$20</f>
        <v>79839.904708894566</v>
      </c>
      <c r="J28" s="399">
        <f t="shared" si="1"/>
        <v>6092.0906933217047</v>
      </c>
      <c r="K28" s="401">
        <f>+[4]제주!$Q$21</f>
        <v>17407.542955326458</v>
      </c>
      <c r="L28" s="400">
        <f>+[4]제주!$R$21</f>
        <v>17240.966492263167</v>
      </c>
      <c r="M28" s="399">
        <f t="shared" si="2"/>
        <v>-166.57646306329116</v>
      </c>
      <c r="N28" s="401">
        <f>+[4]제주!$Q$22</f>
        <v>250</v>
      </c>
      <c r="O28" s="400">
        <f>+[4]제주!$R$22</f>
        <v>451.11744406100411</v>
      </c>
      <c r="P28" s="399">
        <f t="shared" si="3"/>
        <v>201.11744406100411</v>
      </c>
      <c r="Q28" s="401">
        <f t="shared" si="4"/>
        <v>91405.356970899316</v>
      </c>
      <c r="R28" s="400">
        <f t="shared" si="5"/>
        <v>97531.988645218735</v>
      </c>
      <c r="S28" s="399">
        <f t="shared" si="6"/>
        <v>6126.6316743194184</v>
      </c>
      <c r="T28" s="401">
        <f t="shared" si="7"/>
        <v>31543.543029100678</v>
      </c>
      <c r="U28" s="400">
        <f t="shared" si="8"/>
        <v>30410.33685851052</v>
      </c>
      <c r="V28" s="399">
        <f t="shared" si="9"/>
        <v>-1133.2061705901579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219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660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66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100693.34389225543</v>
      </c>
      <c r="F8" s="440">
        <f>+[4]합계!$H$9</f>
        <v>100446.81009387475</v>
      </c>
      <c r="G8" s="439">
        <f t="shared" ref="G8:G28" si="0">+F8-E8</f>
        <v>-246.53379838068213</v>
      </c>
      <c r="H8" s="441">
        <f>+[4]합계!$G$10</f>
        <v>92847.976470811394</v>
      </c>
      <c r="I8" s="440">
        <f>+[4]합계!$H$10</f>
        <v>96295.652932702986</v>
      </c>
      <c r="J8" s="439">
        <f t="shared" ref="J8:J28" si="1">+I8-H8</f>
        <v>3447.6764618915913</v>
      </c>
      <c r="K8" s="441">
        <f>+[4]합계!$G$12</f>
        <v>63813.057911921591</v>
      </c>
      <c r="L8" s="440">
        <f>+[4]합계!$H$12</f>
        <v>60764.73988901815</v>
      </c>
      <c r="M8" s="439">
        <f t="shared" ref="M8:M28" si="2">+L8-K8</f>
        <v>-3048.3180229034406</v>
      </c>
      <c r="N8" s="441">
        <f>+[4]합계!$G$13</f>
        <v>40009.434202900702</v>
      </c>
      <c r="O8" s="440">
        <f>+[4]합계!$H$13</f>
        <v>34693.32606853007</v>
      </c>
      <c r="P8" s="439">
        <f t="shared" ref="P8:P28" si="3">+O8-N8</f>
        <v>-5316.1081343706319</v>
      </c>
      <c r="Q8" s="441">
        <f>+[4]합계!$G$16</f>
        <v>13186.472190582135</v>
      </c>
      <c r="R8" s="440">
        <f>+[4]합계!$H$16</f>
        <v>12971.686205169732</v>
      </c>
      <c r="S8" s="439">
        <f t="shared" ref="S8:S28" si="4">+R8-Q8</f>
        <v>-214.78598541240353</v>
      </c>
      <c r="T8" s="441">
        <f>+[4]합계!$G$17</f>
        <v>15914.67254725075</v>
      </c>
      <c r="U8" s="440">
        <f>+[4]합계!$H$17</f>
        <v>15621.936379029996</v>
      </c>
      <c r="V8" s="439">
        <f t="shared" ref="V8:V28" si="5">+U8-T8</f>
        <v>-292.73616822075383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100319.40473187991</v>
      </c>
      <c r="G9" s="436">
        <f t="shared" si="0"/>
        <v>319.40473187991302</v>
      </c>
      <c r="H9" s="438">
        <f>+[4]수도권!$G$10</f>
        <v>98000</v>
      </c>
      <c r="I9" s="437">
        <f>+[4]수도권!$H$10</f>
        <v>98354.786277106163</v>
      </c>
      <c r="J9" s="436">
        <f t="shared" si="1"/>
        <v>354.78627710616274</v>
      </c>
      <c r="K9" s="438">
        <f>+[4]수도권!$G$12</f>
        <v>64193.855846180042</v>
      </c>
      <c r="L9" s="437">
        <f>+[4]수도권!$H$12</f>
        <v>60105.238895267685</v>
      </c>
      <c r="M9" s="436">
        <f t="shared" si="2"/>
        <v>-4088.6169509123574</v>
      </c>
      <c r="N9" s="438">
        <f>+[4]수도권!$G$13</f>
        <v>47322.873157038906</v>
      </c>
      <c r="O9" s="437">
        <f>+[4]수도권!$H$13</f>
        <v>38737.072800629714</v>
      </c>
      <c r="P9" s="436">
        <f t="shared" si="3"/>
        <v>-8585.8003564091923</v>
      </c>
      <c r="Q9" s="438">
        <f>+[4]수도권!$G$16</f>
        <v>15807.611599737775</v>
      </c>
      <c r="R9" s="437">
        <f>+[4]수도권!$H$16</f>
        <v>14950.439920227585</v>
      </c>
      <c r="S9" s="436">
        <f t="shared" si="4"/>
        <v>-857.17167951018928</v>
      </c>
      <c r="T9" s="438">
        <f>+[4]수도권!$G$17</f>
        <v>14221.766777852879</v>
      </c>
      <c r="U9" s="437">
        <f>+[4]수도권!$H$17</f>
        <v>13558.622461513522</v>
      </c>
      <c r="V9" s="436">
        <f t="shared" si="5"/>
        <v>-663.14431633935783</v>
      </c>
    </row>
    <row r="10" spans="1:22" ht="24" customHeight="1" x14ac:dyDescent="0.3">
      <c r="D10" s="377" t="s">
        <v>17</v>
      </c>
      <c r="E10" s="435">
        <f>+[4]영남권!$G$9</f>
        <v>100000.00000000001</v>
      </c>
      <c r="F10" s="434">
        <f>+[4]영남권!$H$9</f>
        <v>100000.00059291704</v>
      </c>
      <c r="G10" s="433">
        <f t="shared" si="0"/>
        <v>5.929170292802155E-4</v>
      </c>
      <c r="H10" s="435">
        <f>+[4]영남권!$G$10</f>
        <v>92423.823821187034</v>
      </c>
      <c r="I10" s="434">
        <f>+[4]영남권!$H$10</f>
        <v>94315.51046024001</v>
      </c>
      <c r="J10" s="433">
        <f t="shared" si="1"/>
        <v>1891.6866390529758</v>
      </c>
      <c r="K10" s="435">
        <f>+[4]영남권!$G$12</f>
        <v>63149.758209782616</v>
      </c>
      <c r="L10" s="434">
        <f>+[4]영남권!$H$12</f>
        <v>61159.563649886142</v>
      </c>
      <c r="M10" s="433">
        <f t="shared" si="2"/>
        <v>-1990.1945598964739</v>
      </c>
      <c r="N10" s="435">
        <f>+[4]영남권!$G$13</f>
        <v>35347.205095739373</v>
      </c>
      <c r="O10" s="434">
        <f>+[4]영남권!$H$13</f>
        <v>32658.069461947016</v>
      </c>
      <c r="P10" s="433">
        <f t="shared" si="3"/>
        <v>-2689.1356337923571</v>
      </c>
      <c r="Q10" s="435">
        <f>+[4]영남권!$G$16</f>
        <v>10943.655200619407</v>
      </c>
      <c r="R10" s="434">
        <f>+[4]영남권!$H$16</f>
        <v>11170.357543020624</v>
      </c>
      <c r="S10" s="433">
        <f t="shared" si="4"/>
        <v>226.70234240121681</v>
      </c>
      <c r="T10" s="435">
        <f>+[4]영남권!$G$17</f>
        <v>17671.967149614728</v>
      </c>
      <c r="U10" s="434">
        <f>+[4]영남권!$H$17</f>
        <v>17853.792934898353</v>
      </c>
      <c r="V10" s="433">
        <f t="shared" si="5"/>
        <v>181.82578528362501</v>
      </c>
    </row>
    <row r="11" spans="1:22" ht="24" customHeight="1" x14ac:dyDescent="0.3">
      <c r="D11" s="372" t="s">
        <v>132</v>
      </c>
      <c r="E11" s="432">
        <f>+[4]중부권!$G$9</f>
        <v>103269.91396863569</v>
      </c>
      <c r="F11" s="431">
        <f>+[4]중부권!$H$9</f>
        <v>101566.64810576537</v>
      </c>
      <c r="G11" s="430">
        <f t="shared" si="0"/>
        <v>-1703.2658628703211</v>
      </c>
      <c r="H11" s="432">
        <f>+[4]중부권!$G$10</f>
        <v>94200</v>
      </c>
      <c r="I11" s="431">
        <f>+[4]중부권!$H$10</f>
        <v>110446.91038304026</v>
      </c>
      <c r="J11" s="430">
        <f t="shared" si="1"/>
        <v>16246.91038304026</v>
      </c>
      <c r="K11" s="432">
        <f>+[4]중부권!$G$12</f>
        <v>64597.421010946731</v>
      </c>
      <c r="L11" s="431">
        <f>+[4]중부권!$H$12</f>
        <v>61211.376059610709</v>
      </c>
      <c r="M11" s="430">
        <f t="shared" si="2"/>
        <v>-3386.0449513360218</v>
      </c>
      <c r="N11" s="432">
        <f>+[4]중부권!$G$13</f>
        <v>41518.493311022292</v>
      </c>
      <c r="O11" s="431">
        <f>+[4]중부권!$H$13</f>
        <v>32599.1320475865</v>
      </c>
      <c r="P11" s="430">
        <f t="shared" si="3"/>
        <v>-8919.3612634357924</v>
      </c>
      <c r="Q11" s="432">
        <f>+[4]중부권!$G$16</f>
        <v>13231.00975181879</v>
      </c>
      <c r="R11" s="431">
        <f>+[4]중부권!$H$16</f>
        <v>12970.577204981166</v>
      </c>
      <c r="S11" s="430">
        <f t="shared" si="4"/>
        <v>-260.43254683762461</v>
      </c>
      <c r="T11" s="432">
        <f>+[4]중부권!$G$17</f>
        <v>14757.023752359246</v>
      </c>
      <c r="U11" s="431">
        <f>+[4]중부권!$H$17</f>
        <v>14489.949067937467</v>
      </c>
      <c r="V11" s="430">
        <f t="shared" si="5"/>
        <v>-267.07468442177924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100878.51899741043</v>
      </c>
      <c r="G12" s="427">
        <f t="shared" si="0"/>
        <v>878.51899741042871</v>
      </c>
      <c r="H12" s="429">
        <f>+[4]안양!$G$10</f>
        <v>0</v>
      </c>
      <c r="I12" s="428">
        <f>+[4]안양!$H$10</f>
        <v>100853.61579548605</v>
      </c>
      <c r="J12" s="427">
        <f t="shared" si="1"/>
        <v>100853.61579548605</v>
      </c>
      <c r="K12" s="429">
        <f>+[4]안양!$G$12</f>
        <v>64099.999999999993</v>
      </c>
      <c r="L12" s="428">
        <f>+[4]안양!$H$12</f>
        <v>60180.010801924815</v>
      </c>
      <c r="M12" s="427">
        <f t="shared" si="2"/>
        <v>-3919.9891980751781</v>
      </c>
      <c r="N12" s="429">
        <f>+[4]안양!$G$13</f>
        <v>46100</v>
      </c>
      <c r="O12" s="428">
        <f>+[4]안양!$H$13</f>
        <v>37123.947998349649</v>
      </c>
      <c r="P12" s="427">
        <f t="shared" si="3"/>
        <v>-8976.0520016503506</v>
      </c>
      <c r="Q12" s="429">
        <f>+[4]안양!$G$16</f>
        <v>15800</v>
      </c>
      <c r="R12" s="428">
        <f>+[4]안양!$H$16</f>
        <v>14140.374857075893</v>
      </c>
      <c r="S12" s="427">
        <f t="shared" si="4"/>
        <v>-1659.6251429241074</v>
      </c>
      <c r="T12" s="429">
        <f>+[4]안양!$G$17</f>
        <v>15032.258064516132</v>
      </c>
      <c r="U12" s="428">
        <f>+[4]안양!$H$17</f>
        <v>13588.642625539314</v>
      </c>
      <c r="V12" s="427">
        <f t="shared" si="5"/>
        <v>-1443.615438976818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99922.337878649458</v>
      </c>
      <c r="G13" s="420">
        <f t="shared" si="0"/>
        <v>-77.662121350542293</v>
      </c>
      <c r="H13" s="422">
        <f>+[4]인천!$G$10</f>
        <v>98000</v>
      </c>
      <c r="I13" s="421">
        <f>+[4]인천!$H$10</f>
        <v>99487.031211198482</v>
      </c>
      <c r="J13" s="420">
        <f t="shared" si="1"/>
        <v>1487.0312111984822</v>
      </c>
      <c r="K13" s="422">
        <f>+[4]인천!$G$12</f>
        <v>64400.000000000007</v>
      </c>
      <c r="L13" s="421">
        <f>+[4]인천!$H$12</f>
        <v>60077.521245941847</v>
      </c>
      <c r="M13" s="420">
        <f t="shared" si="2"/>
        <v>-4322.4787540581601</v>
      </c>
      <c r="N13" s="422">
        <f>+[4]인천!$G$13</f>
        <v>47599.999999999993</v>
      </c>
      <c r="O13" s="421">
        <f>+[4]인천!$H$13</f>
        <v>38830.779904577328</v>
      </c>
      <c r="P13" s="420">
        <f t="shared" si="3"/>
        <v>-8769.2200954226646</v>
      </c>
      <c r="Q13" s="422">
        <f>+[4]인천!$G$16</f>
        <v>16000</v>
      </c>
      <c r="R13" s="421">
        <f>+[4]인천!$H$16</f>
        <v>15496.23560850984</v>
      </c>
      <c r="S13" s="420">
        <f t="shared" si="4"/>
        <v>-503.76439149016005</v>
      </c>
      <c r="T13" s="422">
        <f>+[4]인천!$G$17</f>
        <v>14318.131256952165</v>
      </c>
      <c r="U13" s="421">
        <f>+[4]인천!$H$17</f>
        <v>14176.27278425069</v>
      </c>
      <c r="V13" s="420">
        <f t="shared" si="5"/>
        <v>-141.85847270147497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100000.03314262787</v>
      </c>
      <c r="G14" s="420">
        <f t="shared" si="0"/>
        <v>3.3142627871711738E-2</v>
      </c>
      <c r="H14" s="422">
        <f>+[4]파주!$G$10</f>
        <v>0</v>
      </c>
      <c r="I14" s="421">
        <f>+[4]파주!$H$10</f>
        <v>0</v>
      </c>
      <c r="J14" s="420">
        <f t="shared" si="1"/>
        <v>0</v>
      </c>
      <c r="K14" s="422">
        <f>+[4]파주!$G$12</f>
        <v>64300</v>
      </c>
      <c r="L14" s="421">
        <f>+[4]파주!$H$12</f>
        <v>60140.956461457674</v>
      </c>
      <c r="M14" s="420">
        <f t="shared" si="2"/>
        <v>-4159.0435385423261</v>
      </c>
      <c r="N14" s="422">
        <f>+[4]파주!$G$13</f>
        <v>48199.999999999993</v>
      </c>
      <c r="O14" s="421">
        <f>+[4]파주!$H$13</f>
        <v>40757.71174329472</v>
      </c>
      <c r="P14" s="420">
        <f t="shared" si="3"/>
        <v>-7442.2882567052729</v>
      </c>
      <c r="Q14" s="422">
        <f>+[4]파주!$G$16</f>
        <v>16333.333333333328</v>
      </c>
      <c r="R14" s="421">
        <f>+[4]파주!$H$16</f>
        <v>15710.311451352494</v>
      </c>
      <c r="S14" s="420">
        <f t="shared" si="4"/>
        <v>-623.02188198083422</v>
      </c>
      <c r="T14" s="422">
        <f>+[4]파주!$G$17</f>
        <v>12580.645161290322</v>
      </c>
      <c r="U14" s="421">
        <f>+[4]파주!$H$17</f>
        <v>11694.447715644104</v>
      </c>
      <c r="V14" s="420">
        <f t="shared" si="5"/>
        <v>-886.1974456462176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100000.00000000003</v>
      </c>
      <c r="G15" s="420">
        <f t="shared" si="0"/>
        <v>0</v>
      </c>
      <c r="H15" s="422">
        <f>+[4]김포!$G$10</f>
        <v>0</v>
      </c>
      <c r="I15" s="421">
        <f>+[4]김포!$H$10</f>
        <v>94499.994008732756</v>
      </c>
      <c r="J15" s="420">
        <f t="shared" si="1"/>
        <v>94499.994008732756</v>
      </c>
      <c r="K15" s="422">
        <f>+[4]김포!$G$12</f>
        <v>63800</v>
      </c>
      <c r="L15" s="421">
        <f>+[4]김포!$H$12</f>
        <v>59844.946259614771</v>
      </c>
      <c r="M15" s="420">
        <f t="shared" si="2"/>
        <v>-3955.0537403852286</v>
      </c>
      <c r="N15" s="422">
        <f>+[4]김포!$G$13</f>
        <v>47600</v>
      </c>
      <c r="O15" s="421">
        <f>+[4]김포!$H$13</f>
        <v>40191.131495567744</v>
      </c>
      <c r="P15" s="420">
        <f t="shared" si="3"/>
        <v>-7408.8685044322556</v>
      </c>
      <c r="Q15" s="422">
        <f>+[4]김포!$G$16</f>
        <v>14600</v>
      </c>
      <c r="R15" s="421">
        <f>+[4]김포!$H$16</f>
        <v>14647.133601141619</v>
      </c>
      <c r="S15" s="420">
        <f t="shared" si="4"/>
        <v>47.133601141618783</v>
      </c>
      <c r="T15" s="422">
        <f>+[4]김포!$G$17</f>
        <v>14104.797292499939</v>
      </c>
      <c r="U15" s="421">
        <f>+[4]김포!$H$17</f>
        <v>14045.554733161964</v>
      </c>
      <c r="V15" s="420">
        <f t="shared" si="5"/>
        <v>-59.242559337975763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100000.00092653501</v>
      </c>
      <c r="G16" s="423">
        <f t="shared" si="0"/>
        <v>9.2653500905726105E-4</v>
      </c>
      <c r="H16" s="425">
        <f>+[4]부산!$G$10</f>
        <v>92900</v>
      </c>
      <c r="I16" s="424">
        <f>+[4]부산!$H$10</f>
        <v>95608.985337364778</v>
      </c>
      <c r="J16" s="423">
        <f t="shared" si="1"/>
        <v>2708.9853373647784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33078.315126738162</v>
      </c>
      <c r="P16" s="423">
        <f t="shared" si="3"/>
        <v>-3421.6848732618382</v>
      </c>
      <c r="Q16" s="425">
        <f>+[4]부산!$G$16</f>
        <v>11711.806666666664</v>
      </c>
      <c r="R16" s="424">
        <f>+[4]부산!$H$16</f>
        <v>11889.94156761542</v>
      </c>
      <c r="S16" s="423">
        <f t="shared" si="4"/>
        <v>178.13490094875669</v>
      </c>
      <c r="T16" s="425">
        <f>+[4]부산!$G$17</f>
        <v>18098.133220317755</v>
      </c>
      <c r="U16" s="424">
        <f>+[4]부산!$H$17</f>
        <v>18367.472318952056</v>
      </c>
      <c r="V16" s="423">
        <f t="shared" si="5"/>
        <v>269.33909863430017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100000.00134121242</v>
      </c>
      <c r="G17" s="420">
        <f t="shared" si="0"/>
        <v>1.3412124244496226E-3</v>
      </c>
      <c r="H17" s="422">
        <f>+[4]서부산!$G$10</f>
        <v>92100.000000000015</v>
      </c>
      <c r="I17" s="421">
        <f>+[4]서부산!$H$10</f>
        <v>92100.004407270171</v>
      </c>
      <c r="J17" s="420">
        <f t="shared" si="1"/>
        <v>4.4072701566619799E-3</v>
      </c>
      <c r="K17" s="422">
        <f>+[4]서부산!$G$12</f>
        <v>65000</v>
      </c>
      <c r="L17" s="421">
        <f>+[4]서부산!$H$12</f>
        <v>63000.000878621897</v>
      </c>
      <c r="M17" s="420">
        <f t="shared" si="2"/>
        <v>-1999.9991213781032</v>
      </c>
      <c r="N17" s="422">
        <f>+[4]서부산!$G$13</f>
        <v>35300</v>
      </c>
      <c r="O17" s="421">
        <f>+[4]서부산!$H$13</f>
        <v>32376.034862050525</v>
      </c>
      <c r="P17" s="420">
        <f t="shared" si="3"/>
        <v>-2923.9651379494753</v>
      </c>
      <c r="Q17" s="422">
        <f>+[4]서부산!$G$16</f>
        <v>11333.333333333334</v>
      </c>
      <c r="R17" s="421">
        <f>+[4]서부산!$H$16</f>
        <v>10808.516607946647</v>
      </c>
      <c r="S17" s="420">
        <f t="shared" si="4"/>
        <v>-524.81672538668681</v>
      </c>
      <c r="T17" s="422">
        <f>+[4]서부산!$G$17</f>
        <v>17715.725605701933</v>
      </c>
      <c r="U17" s="421">
        <f>+[4]서부산!$H$17</f>
        <v>16866.18796916986</v>
      </c>
      <c r="V17" s="420">
        <f t="shared" si="5"/>
        <v>-849.53763653207352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99999.999999999971</v>
      </c>
      <c r="G18" s="420">
        <f t="shared" si="0"/>
        <v>0</v>
      </c>
      <c r="H18" s="422">
        <f>+[4]김해!$G$10</f>
        <v>92100.000000000015</v>
      </c>
      <c r="I18" s="421">
        <f>+[4]김해!$H$10</f>
        <v>92099.987424842169</v>
      </c>
      <c r="J18" s="420">
        <f t="shared" si="1"/>
        <v>-1.2575157845276408E-2</v>
      </c>
      <c r="K18" s="422">
        <f>+[4]김해!$G$12</f>
        <v>64000</v>
      </c>
      <c r="L18" s="421">
        <f>+[4]김해!$H$12</f>
        <v>62001.362723149112</v>
      </c>
      <c r="M18" s="420">
        <f t="shared" si="2"/>
        <v>-1998.6372768508882</v>
      </c>
      <c r="N18" s="422">
        <f>+[4]김해!$G$13</f>
        <v>35000</v>
      </c>
      <c r="O18" s="421">
        <f>+[4]김해!$H$13</f>
        <v>33521.902055058432</v>
      </c>
      <c r="P18" s="420">
        <f t="shared" si="3"/>
        <v>-1478.0979449415681</v>
      </c>
      <c r="Q18" s="422">
        <f>+[4]김해!$G$16</f>
        <v>9066.6666666666679</v>
      </c>
      <c r="R18" s="421">
        <f>+[4]김해!$H$16</f>
        <v>9036.5299324481784</v>
      </c>
      <c r="S18" s="420">
        <f t="shared" si="4"/>
        <v>-30.136734218489437</v>
      </c>
      <c r="T18" s="422">
        <f>+[4]김해!$G$17</f>
        <v>15880.190628800197</v>
      </c>
      <c r="U18" s="421">
        <f>+[4]김해!$H$17</f>
        <v>16946.52245943571</v>
      </c>
      <c r="V18" s="420">
        <f t="shared" si="5"/>
        <v>1066.3318306355122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100000.00000000003</v>
      </c>
      <c r="G19" s="420">
        <f t="shared" si="0"/>
        <v>0</v>
      </c>
      <c r="H19" s="422">
        <f>+[4]정관!$G$10</f>
        <v>92100</v>
      </c>
      <c r="I19" s="421">
        <f>+[4]정관!$H$10</f>
        <v>92099.988739712251</v>
      </c>
      <c r="J19" s="420">
        <f t="shared" si="1"/>
        <v>-1.1260287748882547E-2</v>
      </c>
      <c r="K19" s="422">
        <f>+[4]정관!$G$12</f>
        <v>62000</v>
      </c>
      <c r="L19" s="421">
        <f>+[4]정관!$H$12</f>
        <v>61086.276752625519</v>
      </c>
      <c r="M19" s="420">
        <f t="shared" si="2"/>
        <v>-913.72324737448071</v>
      </c>
      <c r="N19" s="422">
        <f>+[4]정관!$G$13</f>
        <v>35500</v>
      </c>
      <c r="O19" s="421">
        <f>+[4]정관!$H$13</f>
        <v>32408.503043406869</v>
      </c>
      <c r="P19" s="420">
        <f t="shared" si="3"/>
        <v>-3091.4969565931315</v>
      </c>
      <c r="Q19" s="422">
        <f>+[4]정관!$G$16</f>
        <v>11362.369037989707</v>
      </c>
      <c r="R19" s="421">
        <f>+[4]정관!$H$16</f>
        <v>11119.006632415791</v>
      </c>
      <c r="S19" s="420">
        <f t="shared" si="4"/>
        <v>-243.36240557391648</v>
      </c>
      <c r="T19" s="422">
        <f>+[4]정관!$G$17</f>
        <v>19373.955763440932</v>
      </c>
      <c r="U19" s="421">
        <f>+[4]정관!$H$17</f>
        <v>18709.620979837538</v>
      </c>
      <c r="V19" s="420">
        <f t="shared" si="5"/>
        <v>-664.33478360339359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100000.00123838316</v>
      </c>
      <c r="G20" s="420">
        <f t="shared" si="0"/>
        <v>1.2383831635816023E-3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62199.999999999993</v>
      </c>
      <c r="L20" s="421">
        <f>+[4]양산!$H$12</f>
        <v>61017.308255369237</v>
      </c>
      <c r="M20" s="420">
        <f t="shared" si="2"/>
        <v>-1182.6917446307561</v>
      </c>
      <c r="N20" s="422">
        <f>+[4]양산!$G$13</f>
        <v>36000.000000000007</v>
      </c>
      <c r="O20" s="421">
        <f>+[4]양산!$H$13</f>
        <v>32338.293050728389</v>
      </c>
      <c r="P20" s="420">
        <f t="shared" si="3"/>
        <v>-3661.7069492716182</v>
      </c>
      <c r="Q20" s="422">
        <f>+[4]양산!$G$16</f>
        <v>9600</v>
      </c>
      <c r="R20" s="421">
        <f>+[4]양산!$H$16</f>
        <v>9348.8754927709087</v>
      </c>
      <c r="S20" s="420">
        <f t="shared" si="4"/>
        <v>-251.12450722909125</v>
      </c>
      <c r="T20" s="422">
        <f>+[4]양산!$G$17</f>
        <v>17972.687736762346</v>
      </c>
      <c r="U20" s="421">
        <f>+[4]양산!$H$17</f>
        <v>17382.319239796492</v>
      </c>
      <c r="V20" s="420">
        <f t="shared" si="5"/>
        <v>-590.36849696585341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100000.00064144361</v>
      </c>
      <c r="G21" s="420">
        <f t="shared" si="0"/>
        <v>6.4144360658247024E-4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64500.000000000015</v>
      </c>
      <c r="L21" s="421">
        <f>+[4]창원!$H$12</f>
        <v>63000.005267203036</v>
      </c>
      <c r="M21" s="420">
        <f t="shared" si="2"/>
        <v>-1499.9947327969785</v>
      </c>
      <c r="N21" s="422">
        <f>+[4]창원!$G$13</f>
        <v>33000</v>
      </c>
      <c r="O21" s="421">
        <f>+[4]창원!$H$13</f>
        <v>30512.904590731421</v>
      </c>
      <c r="P21" s="420">
        <f t="shared" si="3"/>
        <v>-2487.0954092685788</v>
      </c>
      <c r="Q21" s="422">
        <f>+[4]창원!$G$16</f>
        <v>10999.999999999998</v>
      </c>
      <c r="R21" s="421">
        <f>+[4]창원!$H$16</f>
        <v>11174.67798275592</v>
      </c>
      <c r="S21" s="420">
        <f t="shared" si="4"/>
        <v>174.67798275592213</v>
      </c>
      <c r="T21" s="422">
        <f>+[4]창원!$G$17</f>
        <v>17410.157391639812</v>
      </c>
      <c r="U21" s="421">
        <f>+[4]창원!$H$17</f>
        <v>16883.725212826495</v>
      </c>
      <c r="V21" s="420">
        <f t="shared" si="5"/>
        <v>-526.43217881331657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100000</v>
      </c>
      <c r="G22" s="420">
        <f t="shared" si="0"/>
        <v>0</v>
      </c>
      <c r="H22" s="422">
        <f>+[4]대구!$G$10</f>
        <v>0</v>
      </c>
      <c r="I22" s="421">
        <f>+[4]대구!$H$10</f>
        <v>96499.988864145227</v>
      </c>
      <c r="J22" s="420">
        <f t="shared" si="1"/>
        <v>96499.988864145227</v>
      </c>
      <c r="K22" s="422">
        <f>+[4]대구!$G$12</f>
        <v>61400.000000000007</v>
      </c>
      <c r="L22" s="421">
        <f>+[4]대구!$H$12</f>
        <v>59228.180815128813</v>
      </c>
      <c r="M22" s="420">
        <f t="shared" si="2"/>
        <v>-2171.819184871194</v>
      </c>
      <c r="N22" s="422">
        <f>+[4]대구!$G$13</f>
        <v>35300.000000000007</v>
      </c>
      <c r="O22" s="421">
        <f>+[4]대구!$H$13</f>
        <v>32280.10225595321</v>
      </c>
      <c r="P22" s="420">
        <f t="shared" si="3"/>
        <v>-3019.897744046797</v>
      </c>
      <c r="Q22" s="422">
        <f>+[4]대구!$G$16</f>
        <v>11133.333333333332</v>
      </c>
      <c r="R22" s="421">
        <f>+[4]대구!$H$16</f>
        <v>10933.359215460947</v>
      </c>
      <c r="S22" s="420">
        <f t="shared" si="4"/>
        <v>-199.97411787238525</v>
      </c>
      <c r="T22" s="422">
        <f>+[4]대구!$G$17</f>
        <v>14763.29254727475</v>
      </c>
      <c r="U22" s="421">
        <f>+[4]대구!$H$17</f>
        <v>14536.098147184908</v>
      </c>
      <c r="V22" s="420">
        <f t="shared" si="5"/>
        <v>-227.19440008984202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100000.00000000001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59199.994462653245</v>
      </c>
      <c r="M23" s="420">
        <f t="shared" si="2"/>
        <v>-1000.0055373467549</v>
      </c>
      <c r="N23" s="422">
        <f>+[4]울산!$G$13</f>
        <v>37000</v>
      </c>
      <c r="O23" s="421">
        <f>+[4]울산!$H$13</f>
        <v>33408.539590552413</v>
      </c>
      <c r="P23" s="420">
        <f t="shared" si="3"/>
        <v>-3591.4604094475872</v>
      </c>
      <c r="Q23" s="422">
        <f>+[4]울산!$G$16</f>
        <v>11533.333333333334</v>
      </c>
      <c r="R23" s="421">
        <f>+[4]울산!$H$16</f>
        <v>12266.467319588883</v>
      </c>
      <c r="S23" s="420">
        <f t="shared" si="4"/>
        <v>733.13398625554873</v>
      </c>
      <c r="T23" s="422">
        <f>+[4]울산!$G$17</f>
        <v>19460.014374794944</v>
      </c>
      <c r="U23" s="421">
        <f>+[4]울산!$H$17</f>
        <v>20128.421462094946</v>
      </c>
      <c r="V23" s="420">
        <f t="shared" si="5"/>
        <v>668.40708730000188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99822.246548360796</v>
      </c>
      <c r="G24" s="423">
        <f t="shared" si="0"/>
        <v>-177.75345163920429</v>
      </c>
      <c r="H24" s="425">
        <f>+[4]아산!$G$10</f>
        <v>0</v>
      </c>
      <c r="I24" s="424">
        <f>+[4]아산!$H$10</f>
        <v>0</v>
      </c>
      <c r="J24" s="423">
        <f t="shared" si="1"/>
        <v>0</v>
      </c>
      <c r="K24" s="425">
        <f>+[4]아산!$G$12</f>
        <v>64300</v>
      </c>
      <c r="L24" s="424">
        <f>+[4]아산!$H$12</f>
        <v>60209.951737017487</v>
      </c>
      <c r="M24" s="423">
        <f t="shared" si="2"/>
        <v>-4090.0482629825128</v>
      </c>
      <c r="N24" s="425">
        <f>+[4]아산!$G$13</f>
        <v>42900</v>
      </c>
      <c r="O24" s="424">
        <f>+[4]아산!$H$13</f>
        <v>32093.124466277837</v>
      </c>
      <c r="P24" s="423">
        <f t="shared" si="3"/>
        <v>-10806.875533722163</v>
      </c>
      <c r="Q24" s="425">
        <f>+[4]아산!$G$16</f>
        <v>11400</v>
      </c>
      <c r="R24" s="424">
        <f>+[4]아산!$H$16</f>
        <v>10862.363293401666</v>
      </c>
      <c r="S24" s="423">
        <f t="shared" si="4"/>
        <v>-537.63670659833406</v>
      </c>
      <c r="T24" s="425">
        <f>+[4]아산!$G$17</f>
        <v>13225.806451612905</v>
      </c>
      <c r="U24" s="424">
        <f>+[4]아산!$H$17</f>
        <v>12474.882187598352</v>
      </c>
      <c r="V24" s="423">
        <f t="shared" si="5"/>
        <v>-750.92426401455305</v>
      </c>
    </row>
    <row r="25" spans="4:25" ht="24" customHeight="1" x14ac:dyDescent="0.3">
      <c r="D25" s="353" t="s">
        <v>129</v>
      </c>
      <c r="E25" s="422">
        <f>+[4]전주!$G$9</f>
        <v>100000</v>
      </c>
      <c r="F25" s="421">
        <f>+[4]전주!$H$9</f>
        <v>100000</v>
      </c>
      <c r="G25" s="420">
        <f t="shared" si="0"/>
        <v>0</v>
      </c>
      <c r="H25" s="422">
        <f>+[4]전주!$G$10</f>
        <v>0</v>
      </c>
      <c r="I25" s="421">
        <f>+[4]전주!$H$10</f>
        <v>97441.110547801873</v>
      </c>
      <c r="J25" s="420">
        <f t="shared" si="1"/>
        <v>97441.110547801873</v>
      </c>
      <c r="K25" s="422">
        <f>+[4]전주!$G$12</f>
        <v>65000</v>
      </c>
      <c r="L25" s="421">
        <f>+[4]전주!$H$12</f>
        <v>60995.564439301168</v>
      </c>
      <c r="M25" s="420">
        <f t="shared" si="2"/>
        <v>-4004.435560698832</v>
      </c>
      <c r="N25" s="422">
        <f>+[4]전주!$G$13</f>
        <v>36000</v>
      </c>
      <c r="O25" s="421">
        <f>+[4]전주!$H$13</f>
        <v>33363.977682680343</v>
      </c>
      <c r="P25" s="420">
        <f t="shared" si="3"/>
        <v>-2636.0223173196573</v>
      </c>
      <c r="Q25" s="422">
        <f>+[4]전주!$G$16</f>
        <v>13333.333333333334</v>
      </c>
      <c r="R25" s="421">
        <f>+[4]전주!$H$16</f>
        <v>14033.321135752331</v>
      </c>
      <c r="S25" s="420">
        <f t="shared" si="4"/>
        <v>699.98780241899658</v>
      </c>
      <c r="T25" s="422">
        <f>+[4]전주!$G$17</f>
        <v>15309.519192471967</v>
      </c>
      <c r="U25" s="421">
        <f>+[4]전주!$H$17</f>
        <v>15954.806511495724</v>
      </c>
      <c r="V25" s="420">
        <f t="shared" si="5"/>
        <v>645.28731902375694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100000.00000000004</v>
      </c>
      <c r="G26" s="420">
        <f t="shared" si="0"/>
        <v>0</v>
      </c>
      <c r="H26" s="422">
        <f>+[4]군산!$G$10</f>
        <v>94200</v>
      </c>
      <c r="I26" s="421">
        <f>+[4]군산!$H$10</f>
        <v>0</v>
      </c>
      <c r="J26" s="420">
        <f t="shared" si="1"/>
        <v>-94200</v>
      </c>
      <c r="K26" s="422">
        <f>+[4]군산!$G$12</f>
        <v>64900.000000000007</v>
      </c>
      <c r="L26" s="421">
        <f>+[4]군산!$H$12</f>
        <v>63490.151906697676</v>
      </c>
      <c r="M26" s="420">
        <f t="shared" si="2"/>
        <v>-1409.8480933023311</v>
      </c>
      <c r="N26" s="422">
        <f>+[4]군산!$G$13</f>
        <v>39300.000000000007</v>
      </c>
      <c r="O26" s="421">
        <f>+[4]군산!$H$13</f>
        <v>28536.858505773358</v>
      </c>
      <c r="P26" s="420">
        <f t="shared" si="3"/>
        <v>-10763.141494226649</v>
      </c>
      <c r="Q26" s="422">
        <f>+[4]군산!$G$16</f>
        <v>14200</v>
      </c>
      <c r="R26" s="421">
        <f>+[4]군산!$H$16</f>
        <v>15134.700057744298</v>
      </c>
      <c r="S26" s="420">
        <f t="shared" si="4"/>
        <v>934.70005774429774</v>
      </c>
      <c r="T26" s="422">
        <f>+[4]군산!$G$17</f>
        <v>15212.903225806453</v>
      </c>
      <c r="U26" s="421">
        <f>+[4]군산!$H$17</f>
        <v>15434.692590831439</v>
      </c>
      <c r="V26" s="420">
        <f t="shared" si="5"/>
        <v>221.78936502498618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100000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60890.062574714233</v>
      </c>
      <c r="M27" s="420">
        <f t="shared" si="2"/>
        <v>-3109.9374252857669</v>
      </c>
      <c r="N27" s="422">
        <f>+[4]원주!$G$13</f>
        <v>49000</v>
      </c>
      <c r="O27" s="421">
        <f>+[4]원주!$H$13</f>
        <v>47621.188757578391</v>
      </c>
      <c r="P27" s="420">
        <f t="shared" si="3"/>
        <v>-1378.8112424216088</v>
      </c>
      <c r="Q27" s="422">
        <f>+[4]원주!$G$16</f>
        <v>13666.666666666664</v>
      </c>
      <c r="R27" s="421">
        <f>+[4]원주!$H$16</f>
        <v>12471.424684276381</v>
      </c>
      <c r="S27" s="420">
        <f t="shared" si="4"/>
        <v>-1195.2419823902837</v>
      </c>
      <c r="T27" s="422">
        <f>+[4]원주!$G$17</f>
        <v>13806.451612903224</v>
      </c>
      <c r="U27" s="421">
        <f>+[4]원주!$H$17</f>
        <v>12374.965200503444</v>
      </c>
      <c r="V27" s="420">
        <f t="shared" si="5"/>
        <v>-1431.4864123997795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116999.99391051901</v>
      </c>
      <c r="G28" s="417">
        <f t="shared" si="0"/>
        <v>-6.0894809867022559E-3</v>
      </c>
      <c r="H28" s="419">
        <f>+[4]제주!$G$10</f>
        <v>0</v>
      </c>
      <c r="I28" s="418">
        <f>+[4]제주!$H$10</f>
        <v>117000.00054990202</v>
      </c>
      <c r="J28" s="417">
        <f t="shared" si="1"/>
        <v>117000.00054990202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17925.422528365289</v>
      </c>
      <c r="S28" s="417">
        <f t="shared" si="4"/>
        <v>258.75586169862072</v>
      </c>
      <c r="T28" s="419">
        <f>+[4]제주!$G$17</f>
        <v>17557.339937050372</v>
      </c>
      <c r="U28" s="418">
        <f>+[4]제주!$H$17</f>
        <v>19693.976838343395</v>
      </c>
      <c r="V28" s="417">
        <f t="shared" si="5"/>
        <v>2136.6369012930227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218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660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661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282.65017213076129</v>
      </c>
      <c r="F8" s="385">
        <f>+[4]합계!$F$9</f>
        <v>299.46075507225925</v>
      </c>
      <c r="G8" s="416">
        <f t="shared" ref="G8:G28" si="0">+F8-E8</f>
        <v>16.810582941497955</v>
      </c>
      <c r="H8" s="386">
        <f>+[4]합계!$E$15</f>
        <v>362.80707600868328</v>
      </c>
      <c r="I8" s="385">
        <f>+[4]합계!$F$15</f>
        <v>402.04661773710149</v>
      </c>
      <c r="J8" s="416">
        <f t="shared" ref="J8:J28" si="1">+I8-H8</f>
        <v>39.239541728418203</v>
      </c>
      <c r="K8" s="478">
        <f>+([4]합계!$E$10*0.4+[4]합계!$E$11+[4]합계!$E$12+[4]합계!$E$13+[4]합계!$E$14)/[4]합계!$E$15</f>
        <v>0.17663292825885221</v>
      </c>
      <c r="L8" s="477">
        <f>+([4]합계!$F$10*0.4+[4]합계!$F$11+[4]합계!$F$12+[4]합계!$F$13+[4]합계!$F$14)/[4]합계!$F$15</f>
        <v>0.19064489011176539</v>
      </c>
      <c r="M8" s="476">
        <f t="shared" ref="M8:M28" si="2">+L8-K8</f>
        <v>1.4011961852913174E-2</v>
      </c>
      <c r="N8" s="386">
        <f>+[4]합계!$E$16</f>
        <v>824.31305139781489</v>
      </c>
      <c r="O8" s="385">
        <f>+[4]합계!$F$16</f>
        <v>810.33406518306174</v>
      </c>
      <c r="P8" s="416">
        <f t="shared" ref="P8:P28" si="3">+O8-N8</f>
        <v>-13.978986214753149</v>
      </c>
      <c r="Q8" s="386">
        <f>+[4]합계!$E$17</f>
        <v>900.08523457500303</v>
      </c>
      <c r="R8" s="385">
        <f>+[4]합계!$F$17</f>
        <v>887.79920827430828</v>
      </c>
      <c r="S8" s="416">
        <f t="shared" ref="S8:S28" si="4">+R8-Q8</f>
        <v>-12.286026300694743</v>
      </c>
      <c r="T8" s="386">
        <f>+[4]합계!$E$19</f>
        <v>3.0852886858115132</v>
      </c>
      <c r="U8" s="385">
        <f>+[4]합계!$F$19</f>
        <v>3.2888436497258788</v>
      </c>
      <c r="V8" s="416">
        <f t="shared" ref="V8:V28" si="5">+U8-T8</f>
        <v>0.20355496391436567</v>
      </c>
    </row>
    <row r="9" spans="1:22" ht="24" customHeight="1" x14ac:dyDescent="0.3">
      <c r="D9" s="382" t="s">
        <v>16</v>
      </c>
      <c r="E9" s="381">
        <f>+[4]수도권!$E$9</f>
        <v>305.38178899082567</v>
      </c>
      <c r="F9" s="380">
        <f>+[4]수도권!$F$9</f>
        <v>313.23662023064799</v>
      </c>
      <c r="G9" s="415">
        <f t="shared" si="0"/>
        <v>7.8548312398223175</v>
      </c>
      <c r="H9" s="381">
        <f>+[4]수도권!$E$15</f>
        <v>366.25399082568811</v>
      </c>
      <c r="I9" s="380">
        <f>+[4]수도권!$F$15</f>
        <v>414.83636932482636</v>
      </c>
      <c r="J9" s="415">
        <f t="shared" si="1"/>
        <v>48.582378499138258</v>
      </c>
      <c r="K9" s="475">
        <f>+([4]수도권!$E$10*0.4+[4]수도권!$E$11+[4]수도권!$E$12+[4]수도권!$E$13+[4]수도권!$E$14)/[4]수도권!$E$15</f>
        <v>0.15694402678644448</v>
      </c>
      <c r="L9" s="474">
        <f>+([4]수도권!$F$10*0.4+[4]수도권!$F$11+[4]수도권!$F$12+[4]수도권!$F$13+[4]수도권!$F$14)/[4]수도권!$F$15</f>
        <v>0.19581595866247803</v>
      </c>
      <c r="M9" s="473">
        <f t="shared" si="2"/>
        <v>3.887193187603355E-2</v>
      </c>
      <c r="N9" s="381">
        <f>+[4]수도권!$E$16</f>
        <v>862.89852423739842</v>
      </c>
      <c r="O9" s="380">
        <f>+[4]수도권!$F$16</f>
        <v>832.21635975027971</v>
      </c>
      <c r="P9" s="415">
        <f t="shared" si="3"/>
        <v>-30.682164487118712</v>
      </c>
      <c r="Q9" s="381">
        <f>+[4]수도권!$E$17</f>
        <v>871.37059612033659</v>
      </c>
      <c r="R9" s="380">
        <f>+[4]수도권!$F$17</f>
        <v>851.94344655942291</v>
      </c>
      <c r="S9" s="415">
        <f t="shared" si="4"/>
        <v>-19.427149560913676</v>
      </c>
      <c r="T9" s="381">
        <f>+[4]수도권!$E$19</f>
        <v>3.1872477064220184</v>
      </c>
      <c r="U9" s="380">
        <f>+[4]수도권!$F$19</f>
        <v>3.4314529294271443</v>
      </c>
      <c r="V9" s="415">
        <f t="shared" si="5"/>
        <v>0.24420522300512593</v>
      </c>
    </row>
    <row r="10" spans="1:22" ht="24" customHeight="1" x14ac:dyDescent="0.3">
      <c r="D10" s="377" t="s">
        <v>17</v>
      </c>
      <c r="E10" s="376">
        <f>+[4]영남권!$E$9</f>
        <v>250.12496389806648</v>
      </c>
      <c r="F10" s="375">
        <f>+[4]영남권!$F$9</f>
        <v>269.72547552650258</v>
      </c>
      <c r="G10" s="414">
        <f t="shared" si="0"/>
        <v>19.600511628436095</v>
      </c>
      <c r="H10" s="376">
        <f>+[4]영남권!$E$15</f>
        <v>360.07460781695596</v>
      </c>
      <c r="I10" s="375">
        <f>+[4]영남권!$F$15</f>
        <v>392.16374553959645</v>
      </c>
      <c r="J10" s="414">
        <f t="shared" si="1"/>
        <v>32.089137722640487</v>
      </c>
      <c r="K10" s="472">
        <f>+([4]영남권!$E$10*0.4+[4]영남권!$E$11+[4]영남권!$E$12+[4]영남권!$E$13+[4]영남권!$E$14)/[4]영남권!$E$15</f>
        <v>0.21466953530201796</v>
      </c>
      <c r="L10" s="471">
        <f>+([4]영남권!$F$10*0.4+[4]영남권!$F$11+[4]영남권!$F$12+[4]영남권!$F$13+[4]영남권!$F$14)/[4]영남권!$F$15</f>
        <v>0.2138822986541446</v>
      </c>
      <c r="M10" s="470">
        <f t="shared" si="2"/>
        <v>-7.8723664787336278E-4</v>
      </c>
      <c r="N10" s="376">
        <f>+[4]영남권!$E$16</f>
        <v>800.32593165673006</v>
      </c>
      <c r="O10" s="375">
        <f>+[4]영남권!$F$16</f>
        <v>804.14146351214924</v>
      </c>
      <c r="P10" s="414">
        <f t="shared" si="3"/>
        <v>3.8155318554191808</v>
      </c>
      <c r="Q10" s="376">
        <f>+[4]영남권!$E$17</f>
        <v>913.11647341703417</v>
      </c>
      <c r="R10" s="375">
        <f>+[4]영남권!$F$17</f>
        <v>890.22156452467357</v>
      </c>
      <c r="S10" s="414">
        <f t="shared" si="4"/>
        <v>-22.894908892360604</v>
      </c>
      <c r="T10" s="376">
        <f>+[4]영남권!$E$19</f>
        <v>3.1665779723647045</v>
      </c>
      <c r="U10" s="375">
        <f>+[4]영남권!$F$19</f>
        <v>3.2571711895409168</v>
      </c>
      <c r="V10" s="414">
        <f t="shared" si="5"/>
        <v>9.0593217176212271E-2</v>
      </c>
    </row>
    <row r="11" spans="1:22" ht="24" customHeight="1" x14ac:dyDescent="0.3">
      <c r="D11" s="372" t="s">
        <v>132</v>
      </c>
      <c r="E11" s="371">
        <f>+[4]중부권!$E$9</f>
        <v>317.90226086956523</v>
      </c>
      <c r="F11" s="370">
        <f>+[4]중부권!$F$9</f>
        <v>342.92614305093105</v>
      </c>
      <c r="G11" s="413">
        <f t="shared" si="0"/>
        <v>25.023882181365821</v>
      </c>
      <c r="H11" s="371">
        <f>+[4]중부권!$E$15</f>
        <v>362.85460869565225</v>
      </c>
      <c r="I11" s="370">
        <f>+[4]중부권!$F$15</f>
        <v>398.66600517943021</v>
      </c>
      <c r="J11" s="413">
        <f t="shared" si="1"/>
        <v>35.811396483777969</v>
      </c>
      <c r="K11" s="469">
        <f>+([4]중부권!$E$10*0.4+[4]중부권!$E$11+[4]중부권!$E$12+[4]중부권!$E$13+[4]중부권!$E$14)/[4]중부권!$E$15</f>
        <v>0.12338922188980708</v>
      </c>
      <c r="L11" s="468">
        <f>+([4]중부권!$F$10*0.4+[4]중부권!$F$11+[4]중부권!$F$12+[4]중부권!$F$13+[4]중부권!$F$14)/[4]중부권!$F$15</f>
        <v>0.12255853443033653</v>
      </c>
      <c r="M11" s="467">
        <f t="shared" si="2"/>
        <v>-8.3068745947055544E-4</v>
      </c>
      <c r="N11" s="371">
        <f>+[4]중부권!$E$16</f>
        <v>808.94608695652187</v>
      </c>
      <c r="O11" s="370">
        <f>+[4]중부권!$F$16</f>
        <v>778.10717967690232</v>
      </c>
      <c r="P11" s="413">
        <f t="shared" si="3"/>
        <v>-30.838907279619548</v>
      </c>
      <c r="Q11" s="371">
        <f>+[4]중부권!$E$17</f>
        <v>923.12991304347827</v>
      </c>
      <c r="R11" s="370">
        <f>+[4]중부권!$F$17</f>
        <v>959.6664200271307</v>
      </c>
      <c r="S11" s="413">
        <f t="shared" si="4"/>
        <v>36.53650698365243</v>
      </c>
      <c r="T11" s="371">
        <f>+[4]중부권!$E$19</f>
        <v>2.696208695652174</v>
      </c>
      <c r="U11" s="370">
        <f>+[4]중부권!$F$19</f>
        <v>3.0573858675545682</v>
      </c>
      <c r="V11" s="413">
        <f t="shared" si="5"/>
        <v>0.36117717190239418</v>
      </c>
    </row>
    <row r="12" spans="1:22" ht="24" customHeight="1" x14ac:dyDescent="0.3">
      <c r="D12" s="412" t="s">
        <v>18</v>
      </c>
      <c r="E12" s="365">
        <f>+[4]안양!$E$9</f>
        <v>320</v>
      </c>
      <c r="F12" s="364">
        <f>+[4]안양!$F$9</f>
        <v>347.16007850646241</v>
      </c>
      <c r="G12" s="366">
        <f t="shared" si="0"/>
        <v>27.160078506462412</v>
      </c>
      <c r="H12" s="365">
        <f>+[4]안양!$E$15</f>
        <v>372</v>
      </c>
      <c r="I12" s="364">
        <f>+[4]안양!$F$15</f>
        <v>421.83509877134196</v>
      </c>
      <c r="J12" s="366">
        <f t="shared" si="1"/>
        <v>49.835098771341961</v>
      </c>
      <c r="K12" s="466">
        <f>+([4]안양!$E$10*0.4+[4]안양!$E$11+[4]안양!$E$12+[4]안양!$E$13+[4]안양!$E$14)/[4]안양!$E$15</f>
        <v>0.13978494623655913</v>
      </c>
      <c r="L12" s="465">
        <f>+([4]안양!$F$10*0.4+[4]안양!$F$11+[4]안양!$F$12+[4]안양!$F$13+[4]안양!$F$14)/[4]안양!$F$15</f>
        <v>0.17259090793705953</v>
      </c>
      <c r="M12" s="464">
        <f t="shared" si="2"/>
        <v>3.2805961700500402E-2</v>
      </c>
      <c r="N12" s="365">
        <f>+[4]안양!$E$16</f>
        <v>845</v>
      </c>
      <c r="O12" s="364">
        <f>+[4]안양!$F$16</f>
        <v>795.04372107866538</v>
      </c>
      <c r="P12" s="366">
        <f t="shared" si="3"/>
        <v>-49.956278921334615</v>
      </c>
      <c r="Q12" s="365">
        <f>+[4]안양!$E$17</f>
        <v>875</v>
      </c>
      <c r="R12" s="364">
        <f>+[4]안양!$F$17</f>
        <v>795.18981969044228</v>
      </c>
      <c r="S12" s="366">
        <f t="shared" si="4"/>
        <v>-79.810180309557722</v>
      </c>
      <c r="T12" s="463">
        <f>+[4]안양!$E$19</f>
        <v>3.38</v>
      </c>
      <c r="U12" s="462">
        <f>+[4]안양!$F$19</f>
        <v>3.5601882878570317</v>
      </c>
      <c r="V12" s="461">
        <f t="shared" si="5"/>
        <v>0.18018828785703178</v>
      </c>
    </row>
    <row r="13" spans="1:22" ht="24" customHeight="1" x14ac:dyDescent="0.3">
      <c r="D13" s="353" t="s">
        <v>19</v>
      </c>
      <c r="E13" s="351">
        <f>+[4]인천!$E$9</f>
        <v>308</v>
      </c>
      <c r="F13" s="350">
        <f>+[4]인천!$F$9</f>
        <v>308.16813172085892</v>
      </c>
      <c r="G13" s="352">
        <f t="shared" si="0"/>
        <v>0.16813172085892347</v>
      </c>
      <c r="H13" s="351">
        <f>+[4]인천!$E$15</f>
        <v>385</v>
      </c>
      <c r="I13" s="350">
        <f>+[4]인천!$F$15</f>
        <v>422.24116595934771</v>
      </c>
      <c r="J13" s="352">
        <f t="shared" si="1"/>
        <v>37.241165959347711</v>
      </c>
      <c r="K13" s="454">
        <f>+([4]인천!$E$10*0.4+[4]인천!$E$11+[4]인천!$E$12+[4]인천!$E$13+[4]인천!$E$14)/[4]인천!$E$15</f>
        <v>0.17</v>
      </c>
      <c r="L13" s="453">
        <f>+([4]인천!$F$10*0.4+[4]인천!$F$11+[4]인천!$F$12+[4]인천!$F$13+[4]인천!$F$14)/[4]인천!$F$15</f>
        <v>0.17107287123780268</v>
      </c>
      <c r="M13" s="452">
        <f t="shared" si="2"/>
        <v>1.0728712378026695E-3</v>
      </c>
      <c r="N13" s="351">
        <f>+[4]인천!$E$16</f>
        <v>904.67981693363845</v>
      </c>
      <c r="O13" s="350">
        <f>+[4]인천!$F$16</f>
        <v>858.28648010466122</v>
      </c>
      <c r="P13" s="352">
        <f t="shared" si="3"/>
        <v>-46.393336828977226</v>
      </c>
      <c r="Q13" s="351">
        <f>+[4]인천!$E$17</f>
        <v>835.08906178489701</v>
      </c>
      <c r="R13" s="350">
        <f>+[4]인천!$F$17</f>
        <v>868.54909218545504</v>
      </c>
      <c r="S13" s="352">
        <f t="shared" si="4"/>
        <v>33.460030400558026</v>
      </c>
      <c r="T13" s="451">
        <f>+[4]인천!$E$19</f>
        <v>3.33</v>
      </c>
      <c r="U13" s="450">
        <f>+[4]인천!$F$19</f>
        <v>3.1669724624270108</v>
      </c>
      <c r="V13" s="449">
        <f t="shared" si="5"/>
        <v>-0.16302753757298927</v>
      </c>
    </row>
    <row r="14" spans="1:22" ht="24" customHeight="1" x14ac:dyDescent="0.3">
      <c r="D14" s="353" t="s">
        <v>20</v>
      </c>
      <c r="E14" s="351">
        <f>+[4]파주!$E$9</f>
        <v>298.12452380952379</v>
      </c>
      <c r="F14" s="350">
        <f>+[4]파주!$F$9</f>
        <v>265.41558840922528</v>
      </c>
      <c r="G14" s="352">
        <f t="shared" si="0"/>
        <v>-32.708935400298515</v>
      </c>
      <c r="H14" s="351">
        <f>+[4]파주!$E$15</f>
        <v>352.36595238095236</v>
      </c>
      <c r="I14" s="350">
        <f>+[4]파주!$F$15</f>
        <v>397.87716661738608</v>
      </c>
      <c r="J14" s="352">
        <f t="shared" si="1"/>
        <v>45.511214236433716</v>
      </c>
      <c r="K14" s="454">
        <f>+([4]파주!$E$10*0.4+[4]파주!$E$11+[4]파주!$E$12+[4]파주!$E$13+[4]파주!$E$14)/[4]파주!$E$15</f>
        <v>0.15393493101395533</v>
      </c>
      <c r="L14" s="453">
        <f>+([4]파주!$F$10*0.4+[4]파주!$F$11+[4]파주!$F$12+[4]파주!$F$13+[4]파주!$F$14)/[4]파주!$F$15</f>
        <v>0.33292078390500085</v>
      </c>
      <c r="M14" s="452">
        <f t="shared" si="2"/>
        <v>0.17898585289104552</v>
      </c>
      <c r="N14" s="351">
        <f>+[4]파주!$E$16</f>
        <v>864.81833333333338</v>
      </c>
      <c r="O14" s="350">
        <f>+[4]파주!$F$16</f>
        <v>834.66366055588423</v>
      </c>
      <c r="P14" s="352">
        <f t="shared" si="3"/>
        <v>-30.15467277744915</v>
      </c>
      <c r="Q14" s="351">
        <f>+[4]파주!$E$17</f>
        <v>870.54976190476191</v>
      </c>
      <c r="R14" s="350">
        <f>+[4]파주!$F$17</f>
        <v>902.01471023063289</v>
      </c>
      <c r="S14" s="352">
        <f t="shared" si="4"/>
        <v>31.464948325870978</v>
      </c>
      <c r="T14" s="451">
        <f>+[4]파주!$E$19</f>
        <v>2.87</v>
      </c>
      <c r="U14" s="450">
        <f>+[4]파주!$F$19</f>
        <v>3.8762825251330555</v>
      </c>
      <c r="V14" s="449">
        <f t="shared" si="5"/>
        <v>1.0062825251330554</v>
      </c>
    </row>
    <row r="15" spans="1:22" ht="24" customHeight="1" x14ac:dyDescent="0.3">
      <c r="D15" s="353" t="s">
        <v>108</v>
      </c>
      <c r="E15" s="351">
        <f>+[4]김포!$E$9</f>
        <v>270</v>
      </c>
      <c r="F15" s="350">
        <f>+[4]김포!$F$9</f>
        <v>291.48021493589636</v>
      </c>
      <c r="G15" s="352">
        <f t="shared" si="0"/>
        <v>21.480214935896356</v>
      </c>
      <c r="H15" s="351">
        <f>+[4]김포!$E$15</f>
        <v>330</v>
      </c>
      <c r="I15" s="350">
        <f>+[4]김포!$F$15</f>
        <v>396.06457803648112</v>
      </c>
      <c r="J15" s="352">
        <f t="shared" si="1"/>
        <v>66.064578036481123</v>
      </c>
      <c r="K15" s="454">
        <f>+([4]김포!$E$10*0.4+[4]김포!$E$11+[4]김포!$E$12+[4]김포!$E$13+[4]김포!$E$14)/[4]김포!$E$15</f>
        <v>0.18181818181818182</v>
      </c>
      <c r="L15" s="453">
        <f>+([4]김포!$F$10*0.4+[4]김포!$F$11+[4]김포!$F$12+[4]김포!$F$13+[4]김포!$F$14)/[4]김포!$F$15</f>
        <v>0.17370153791792653</v>
      </c>
      <c r="M15" s="452">
        <f t="shared" si="2"/>
        <v>-8.1166439002552937E-3</v>
      </c>
      <c r="N15" s="351">
        <f>+[4]김포!$E$16</f>
        <v>820</v>
      </c>
      <c r="O15" s="350">
        <f>+[4]김포!$F$16</f>
        <v>858.83265415213998</v>
      </c>
      <c r="P15" s="352">
        <f t="shared" si="3"/>
        <v>38.83265415213998</v>
      </c>
      <c r="Q15" s="351">
        <f>+[4]김포!$E$17</f>
        <v>940</v>
      </c>
      <c r="R15" s="350">
        <f>+[4]김포!$F$17</f>
        <v>901.05141985239004</v>
      </c>
      <c r="S15" s="352">
        <f t="shared" si="4"/>
        <v>-38.94858014760996</v>
      </c>
      <c r="T15" s="451">
        <f>+[4]김포!$E$19</f>
        <v>2.8</v>
      </c>
      <c r="U15" s="450">
        <f>+[4]김포!$F$19</f>
        <v>3.2823355375004435</v>
      </c>
      <c r="V15" s="449">
        <f t="shared" si="5"/>
        <v>0.48233553750044367</v>
      </c>
    </row>
    <row r="16" spans="1:22" ht="24" customHeight="1" x14ac:dyDescent="0.3">
      <c r="D16" s="408" t="s">
        <v>21</v>
      </c>
      <c r="E16" s="358">
        <f>+[4]부산!$E$9</f>
        <v>223.42812727272729</v>
      </c>
      <c r="F16" s="357">
        <f>+[4]부산!$F$9</f>
        <v>193.8815345578659</v>
      </c>
      <c r="G16" s="359">
        <f t="shared" si="0"/>
        <v>-29.54659271486139</v>
      </c>
      <c r="H16" s="358">
        <f>+[4]부산!$E$15</f>
        <v>385.22090909090912</v>
      </c>
      <c r="I16" s="357">
        <f>+[4]부산!$F$15</f>
        <v>415.09057843445453</v>
      </c>
      <c r="J16" s="359">
        <f t="shared" si="1"/>
        <v>29.869669343545411</v>
      </c>
      <c r="K16" s="460">
        <f>+([4]부산!$E$10*0.4+[4]부산!$E$11+[4]부산!$E$12+[4]부산!$E$13+[4]부산!$E$14)/[4]부산!$E$15</f>
        <v>0.20399999999999999</v>
      </c>
      <c r="L16" s="459">
        <f>+([4]부산!$F$10*0.4+[4]부산!$F$11+[4]부산!$F$12+[4]부산!$F$13+[4]부산!$F$14)/[4]부산!$F$15</f>
        <v>0.2727776744537535</v>
      </c>
      <c r="M16" s="458">
        <f t="shared" si="2"/>
        <v>6.8777674453753518E-2</v>
      </c>
      <c r="N16" s="358">
        <f>+[4]부산!$E$16</f>
        <v>820</v>
      </c>
      <c r="O16" s="357">
        <f>+[4]부산!$F$16</f>
        <v>894.04163111330706</v>
      </c>
      <c r="P16" s="359">
        <f t="shared" si="3"/>
        <v>74.041631113307062</v>
      </c>
      <c r="Q16" s="358">
        <f>+[4]부산!$E$17</f>
        <v>900.03545454545451</v>
      </c>
      <c r="R16" s="357">
        <f>+[4]부산!$F$17</f>
        <v>822.67436116225804</v>
      </c>
      <c r="S16" s="359">
        <f t="shared" si="4"/>
        <v>-77.361093383196476</v>
      </c>
      <c r="T16" s="457">
        <f>+[4]부산!$E$19</f>
        <v>3.2773716872727277</v>
      </c>
      <c r="U16" s="456">
        <f>+[4]부산!$F$19</f>
        <v>3.4129936677594657</v>
      </c>
      <c r="V16" s="455">
        <f t="shared" si="5"/>
        <v>0.13562198048673801</v>
      </c>
    </row>
    <row r="17" spans="4:22" ht="24" customHeight="1" x14ac:dyDescent="0.3">
      <c r="D17" s="353" t="s">
        <v>22</v>
      </c>
      <c r="E17" s="351">
        <f>+[4]서부산!$E$9</f>
        <v>250</v>
      </c>
      <c r="F17" s="350">
        <f>+[4]서부산!$F$9</f>
        <v>308.28778840190216</v>
      </c>
      <c r="G17" s="352">
        <f t="shared" si="0"/>
        <v>58.287788401902162</v>
      </c>
      <c r="H17" s="351">
        <f>+[4]서부산!$E$15</f>
        <v>364</v>
      </c>
      <c r="I17" s="350">
        <f>+[4]서부산!$F$15</f>
        <v>420.32046309696108</v>
      </c>
      <c r="J17" s="352">
        <f t="shared" si="1"/>
        <v>56.320463096961078</v>
      </c>
      <c r="K17" s="454">
        <f>+([4]서부산!$E$10*0.4+[4]서부산!$E$11+[4]서부산!$E$12+[4]서부산!$E$13+[4]서부산!$E$14)/[4]서부산!$E$15</f>
        <v>0.21263736263736266</v>
      </c>
      <c r="L17" s="453">
        <f>+([4]서부산!$F$10*0.4+[4]서부산!$F$11+[4]서부산!$F$12+[4]서부산!$F$13+[4]서부산!$F$14)/[4]서부산!$F$15</f>
        <v>0.16891127396578504</v>
      </c>
      <c r="M17" s="452">
        <f t="shared" si="2"/>
        <v>-4.3726088671577623E-2</v>
      </c>
      <c r="N17" s="351">
        <f>+[4]서부산!$E$16</f>
        <v>822</v>
      </c>
      <c r="O17" s="350">
        <f>+[4]서부산!$F$16</f>
        <v>838.16337605954072</v>
      </c>
      <c r="P17" s="352">
        <f t="shared" si="3"/>
        <v>16.163376059540724</v>
      </c>
      <c r="Q17" s="351">
        <f>+[4]서부산!$E$17</f>
        <v>913</v>
      </c>
      <c r="R17" s="350">
        <f>+[4]서부산!$F$17</f>
        <v>908.53085590241892</v>
      </c>
      <c r="S17" s="352">
        <f t="shared" si="4"/>
        <v>-4.4691440975810792</v>
      </c>
      <c r="T17" s="451">
        <f>+[4]서부산!$E$19</f>
        <v>3.2</v>
      </c>
      <c r="U17" s="450">
        <f>+[4]서부산!$F$19</f>
        <v>3.5319940045482756</v>
      </c>
      <c r="V17" s="449">
        <f t="shared" si="5"/>
        <v>0.33199400454827543</v>
      </c>
    </row>
    <row r="18" spans="4:22" ht="24" customHeight="1" x14ac:dyDescent="0.3">
      <c r="D18" s="353" t="s">
        <v>23</v>
      </c>
      <c r="E18" s="351">
        <f>+[4]김해!$E$9</f>
        <v>221</v>
      </c>
      <c r="F18" s="350">
        <f>+[4]김해!$F$9</f>
        <v>223.91626248466801</v>
      </c>
      <c r="G18" s="352">
        <f t="shared" si="0"/>
        <v>2.9162624846680103</v>
      </c>
      <c r="H18" s="351">
        <f>+[4]김해!$E$15</f>
        <v>340</v>
      </c>
      <c r="I18" s="350">
        <f>+[4]김해!$F$15</f>
        <v>346.65679341159978</v>
      </c>
      <c r="J18" s="352">
        <f t="shared" si="1"/>
        <v>6.6567934115997787</v>
      </c>
      <c r="K18" s="454">
        <f>+([4]김해!$E$10*0.4+[4]김해!$E$11+[4]김해!$E$12+[4]김해!$E$13+[4]김해!$E$14)/[4]김해!$E$15</f>
        <v>0.17</v>
      </c>
      <c r="L18" s="453">
        <f>+([4]김해!$F$10*0.4+[4]김해!$F$11+[4]김해!$F$12+[4]김해!$F$13+[4]김해!$F$14)/[4]김해!$F$15</f>
        <v>0.21889136509083904</v>
      </c>
      <c r="M18" s="452">
        <f t="shared" si="2"/>
        <v>4.8891365090839023E-2</v>
      </c>
      <c r="N18" s="351">
        <f>+[4]김해!$E$16</f>
        <v>770</v>
      </c>
      <c r="O18" s="350">
        <f>+[4]김해!$F$16</f>
        <v>752.2340984755557</v>
      </c>
      <c r="P18" s="352">
        <f t="shared" si="3"/>
        <v>-17.765901524444303</v>
      </c>
      <c r="Q18" s="351">
        <f>+[4]김해!$E$17</f>
        <v>950</v>
      </c>
      <c r="R18" s="350">
        <f>+[4]김해!$F$17</f>
        <v>913.82162256877587</v>
      </c>
      <c r="S18" s="352">
        <f t="shared" si="4"/>
        <v>-36.178377431224135</v>
      </c>
      <c r="T18" s="451">
        <f>+[4]김해!$E$19</f>
        <v>3.3</v>
      </c>
      <c r="U18" s="450">
        <f>+[4]김해!$F$19</f>
        <v>2.8190380234799353</v>
      </c>
      <c r="V18" s="449">
        <f t="shared" si="5"/>
        <v>-0.48096197652006456</v>
      </c>
    </row>
    <row r="19" spans="4:22" ht="24" customHeight="1" x14ac:dyDescent="0.3">
      <c r="D19" s="353" t="s">
        <v>24</v>
      </c>
      <c r="E19" s="351">
        <f>+[4]정관!$E$9</f>
        <v>240.07422065145096</v>
      </c>
      <c r="F19" s="350">
        <f>+[4]정관!$F$9</f>
        <v>311.45838629102519</v>
      </c>
      <c r="G19" s="352">
        <f t="shared" si="0"/>
        <v>71.384165639574235</v>
      </c>
      <c r="H19" s="351">
        <f>+[4]정관!$E$15</f>
        <v>363.74881916886505</v>
      </c>
      <c r="I19" s="350">
        <f>+[4]정관!$F$15</f>
        <v>397.79713040952652</v>
      </c>
      <c r="J19" s="352">
        <f t="shared" si="1"/>
        <v>34.048311240661462</v>
      </c>
      <c r="K19" s="454">
        <f>+([4]정관!$E$10*0.4+[4]정관!$E$11+[4]정관!$E$12+[4]정관!$E$13+[4]정관!$E$14)/[4]정관!$E$15</f>
        <v>0.22599999999999998</v>
      </c>
      <c r="L19" s="453">
        <f>+([4]정관!$F$10*0.4+[4]정관!$F$11+[4]정관!$F$12+[4]정관!$F$13+[4]정관!$F$14)/[4]정관!$F$15</f>
        <v>0.16343912720848844</v>
      </c>
      <c r="M19" s="452">
        <f t="shared" si="2"/>
        <v>-6.256087279151154E-2</v>
      </c>
      <c r="N19" s="351">
        <f>+[4]정관!$E$16</f>
        <v>788.70109523809526</v>
      </c>
      <c r="O19" s="350">
        <f>+[4]정관!$F$16</f>
        <v>809.86511762997293</v>
      </c>
      <c r="P19" s="352">
        <f t="shared" si="3"/>
        <v>21.164022391877666</v>
      </c>
      <c r="Q19" s="351">
        <f>+[4]정관!$E$17</f>
        <v>916.29929502889502</v>
      </c>
      <c r="R19" s="350">
        <f>+[4]정관!$F$17</f>
        <v>904.91983735114661</v>
      </c>
      <c r="S19" s="352">
        <f t="shared" si="4"/>
        <v>-11.379457677748405</v>
      </c>
      <c r="T19" s="451">
        <f>+[4]정관!$E$19</f>
        <v>3.0918649629353534</v>
      </c>
      <c r="U19" s="450">
        <f>+[4]정관!$F$19</f>
        <v>3.3791635201858861</v>
      </c>
      <c r="V19" s="449">
        <f t="shared" si="5"/>
        <v>0.28729855725053266</v>
      </c>
    </row>
    <row r="20" spans="4:22" ht="24" customHeight="1" x14ac:dyDescent="0.3">
      <c r="D20" s="353" t="s">
        <v>25</v>
      </c>
      <c r="E20" s="351">
        <f>+[4]양산!$E$9</f>
        <v>262.97538970782648</v>
      </c>
      <c r="F20" s="350">
        <f>+[4]양산!$F$9</f>
        <v>248.57765891950129</v>
      </c>
      <c r="G20" s="352">
        <f t="shared" si="0"/>
        <v>-14.397730788325191</v>
      </c>
      <c r="H20" s="351">
        <f>+[4]양산!$E$15</f>
        <v>352.81522923863457</v>
      </c>
      <c r="I20" s="350">
        <f>+[4]양산!$F$15</f>
        <v>357.97762967523471</v>
      </c>
      <c r="J20" s="352">
        <f t="shared" si="1"/>
        <v>5.1624004366001373</v>
      </c>
      <c r="K20" s="454">
        <f>+([4]양산!$E$10*0.4+[4]양산!$E$11+[4]양산!$E$12+[4]양산!$E$13+[4]양산!$E$14)/[4]양산!$E$15</f>
        <v>0.25463707937063812</v>
      </c>
      <c r="L20" s="453">
        <f>+([4]양산!$F$10*0.4+[4]양산!$F$11+[4]양산!$F$12+[4]양산!$F$13+[4]양산!$F$14)/[4]양산!$F$15</f>
        <v>0.3056056068503038</v>
      </c>
      <c r="M20" s="452">
        <f t="shared" si="2"/>
        <v>5.0968527479665682E-2</v>
      </c>
      <c r="N20" s="351">
        <f>+[4]양산!$E$16</f>
        <v>774.2</v>
      </c>
      <c r="O20" s="350">
        <f>+[4]양산!$F$16</f>
        <v>719.38202247191043</v>
      </c>
      <c r="P20" s="352">
        <f t="shared" si="3"/>
        <v>-54.817977528089614</v>
      </c>
      <c r="Q20" s="351">
        <f>+[4]양산!$E$17</f>
        <v>877.11591692307684</v>
      </c>
      <c r="R20" s="350">
        <f>+[4]양산!$F$17</f>
        <v>895.79496167461912</v>
      </c>
      <c r="S20" s="352">
        <f t="shared" si="4"/>
        <v>18.679044751542278</v>
      </c>
      <c r="T20" s="451">
        <f>+[4]양산!$E$19</f>
        <v>2.9949006023745484</v>
      </c>
      <c r="U20" s="450">
        <f>+[4]양산!$F$19</f>
        <v>3.2590651069724488</v>
      </c>
      <c r="V20" s="449">
        <f t="shared" si="5"/>
        <v>0.26416450459790042</v>
      </c>
    </row>
    <row r="21" spans="4:22" ht="24" customHeight="1" x14ac:dyDescent="0.3">
      <c r="D21" s="353" t="s">
        <v>26</v>
      </c>
      <c r="E21" s="351">
        <f>+[4]창원!$E$9</f>
        <v>254</v>
      </c>
      <c r="F21" s="350">
        <f>+[4]창원!$F$9</f>
        <v>266.26532877882153</v>
      </c>
      <c r="G21" s="352">
        <f t="shared" si="0"/>
        <v>12.265328778821527</v>
      </c>
      <c r="H21" s="351">
        <f>+[4]창원!$E$15</f>
        <v>354.09999999999997</v>
      </c>
      <c r="I21" s="350">
        <f>+[4]창원!$F$15</f>
        <v>332.9991588385995</v>
      </c>
      <c r="J21" s="352">
        <f t="shared" si="1"/>
        <v>-21.100841161400467</v>
      </c>
      <c r="K21" s="454">
        <f>+([4]창원!$E$10*0.4+[4]창원!$E$11+[4]창원!$E$12+[4]창원!$E$13+[4]창원!$E$14)/[4]창원!$E$15</f>
        <v>0.28268850607173118</v>
      </c>
      <c r="L21" s="453">
        <f>+([4]창원!$F$10*0.4+[4]창원!$F$11+[4]창원!$F$12+[4]창원!$F$13+[4]창원!$F$14)/[4]창원!$F$15</f>
        <v>0.20040239828990988</v>
      </c>
      <c r="M21" s="452">
        <f t="shared" si="2"/>
        <v>-8.2286107781821299E-2</v>
      </c>
      <c r="N21" s="351">
        <f>+[4]창원!$E$16</f>
        <v>847.30000000000007</v>
      </c>
      <c r="O21" s="350">
        <f>+[4]창원!$F$16</f>
        <v>790.87532023911206</v>
      </c>
      <c r="P21" s="352">
        <f t="shared" si="3"/>
        <v>-56.424679760888012</v>
      </c>
      <c r="Q21" s="351">
        <f>+[4]창원!$E$17</f>
        <v>884.89999999999986</v>
      </c>
      <c r="R21" s="350">
        <f>+[4]창원!$F$17</f>
        <v>919.11827497865079</v>
      </c>
      <c r="S21" s="352">
        <f t="shared" si="4"/>
        <v>34.218274978650925</v>
      </c>
      <c r="T21" s="451">
        <f>+[4]창원!$E$19</f>
        <v>3.08</v>
      </c>
      <c r="U21" s="450">
        <f>+[4]창원!$F$19</f>
        <v>2.7496797608881303</v>
      </c>
      <c r="V21" s="449">
        <f t="shared" si="5"/>
        <v>-0.33032023911186981</v>
      </c>
    </row>
    <row r="22" spans="4:22" ht="24" customHeight="1" x14ac:dyDescent="0.3">
      <c r="D22" s="353" t="s">
        <v>131</v>
      </c>
      <c r="E22" s="351">
        <f>+[4]대구!$E$9</f>
        <v>290.7</v>
      </c>
      <c r="F22" s="350">
        <f>+[4]대구!$F$9</f>
        <v>275.34546437346444</v>
      </c>
      <c r="G22" s="352">
        <f t="shared" si="0"/>
        <v>-15.354535626535551</v>
      </c>
      <c r="H22" s="351">
        <f>+[4]대구!$E$15</f>
        <v>342</v>
      </c>
      <c r="I22" s="350">
        <f>+[4]대구!$F$15</f>
        <v>336.32484275184277</v>
      </c>
      <c r="J22" s="352">
        <f t="shared" si="1"/>
        <v>-5.6751572481572339</v>
      </c>
      <c r="K22" s="454">
        <f>+([4]대구!$E$10*0.4+[4]대구!$E$11+[4]대구!$E$12+[4]대구!$E$13+[4]대구!$E$14)/[4]대구!$E$15</f>
        <v>0.15000000000000002</v>
      </c>
      <c r="L22" s="453">
        <f>+([4]대구!$F$10*0.4+[4]대구!$F$11+[4]대구!$F$12+[4]대구!$F$13+[4]대구!$F$14)/[4]대구!$F$15</f>
        <v>0.16300774382225863</v>
      </c>
      <c r="M22" s="452">
        <f t="shared" si="2"/>
        <v>1.3007743822258611E-2</v>
      </c>
      <c r="N22" s="351">
        <f>+[4]대구!$E$16</f>
        <v>736.71821120475954</v>
      </c>
      <c r="O22" s="350">
        <f>+[4]대구!$F$16</f>
        <v>632.86977886977888</v>
      </c>
      <c r="P22" s="352">
        <f t="shared" si="3"/>
        <v>-103.84843233498066</v>
      </c>
      <c r="Q22" s="351">
        <f>+[4]대구!$E$17</f>
        <v>976.57995438770445</v>
      </c>
      <c r="R22" s="350">
        <f>+[4]대구!$F$17</f>
        <v>1027.3894348894346</v>
      </c>
      <c r="S22" s="352">
        <f t="shared" si="4"/>
        <v>50.80948050173015</v>
      </c>
      <c r="T22" s="451">
        <f>+[4]대구!$E$19</f>
        <v>3.0779999999999998</v>
      </c>
      <c r="U22" s="450">
        <f>+[4]대구!$F$19</f>
        <v>2.8369066339066342</v>
      </c>
      <c r="V22" s="449">
        <f t="shared" si="5"/>
        <v>-0.24109336609336562</v>
      </c>
    </row>
    <row r="23" spans="4:22" ht="24" customHeight="1" x14ac:dyDescent="0.3">
      <c r="D23" s="353" t="s">
        <v>130</v>
      </c>
      <c r="E23" s="351">
        <f>+[4]울산!$E$9</f>
        <v>293.3</v>
      </c>
      <c r="F23" s="350">
        <f>+[4]울산!$F$9</f>
        <v>318.14660847880299</v>
      </c>
      <c r="G23" s="352">
        <f t="shared" si="0"/>
        <v>24.846608478802978</v>
      </c>
      <c r="H23" s="351">
        <f>+[4]울산!$E$15</f>
        <v>362.09999999999997</v>
      </c>
      <c r="I23" s="350">
        <f>+[4]울산!$F$15</f>
        <v>411.02797400438294</v>
      </c>
      <c r="J23" s="352">
        <f t="shared" si="1"/>
        <v>48.927974004382975</v>
      </c>
      <c r="K23" s="454">
        <f>+([4]울산!$E$10*0.4+[4]울산!$E$11+[4]울산!$E$12+[4]울산!$E$13+[4]울산!$E$14)/[4]울산!$E$15</f>
        <v>0.1900027616680475</v>
      </c>
      <c r="L23" s="453">
        <f>+([4]울산!$F$10*0.4+[4]울산!$F$11+[4]울산!$F$12+[4]울산!$F$13+[4]울산!$F$14)/[4]울산!$F$15</f>
        <v>0.22597334342160749</v>
      </c>
      <c r="M23" s="452">
        <f t="shared" si="2"/>
        <v>3.5970581753559994E-2</v>
      </c>
      <c r="N23" s="351">
        <f>+[4]울산!$E$16</f>
        <v>801</v>
      </c>
      <c r="O23" s="350">
        <f>+[4]울산!$F$16</f>
        <v>724.09491422957728</v>
      </c>
      <c r="P23" s="352">
        <f t="shared" si="3"/>
        <v>-76.905085770422716</v>
      </c>
      <c r="Q23" s="351">
        <f>+[4]울산!$E$17</f>
        <v>903.2</v>
      </c>
      <c r="R23" s="350">
        <f>+[4]울산!$F$17</f>
        <v>877.31784175923838</v>
      </c>
      <c r="S23" s="352">
        <f t="shared" si="4"/>
        <v>-25.882158240761669</v>
      </c>
      <c r="T23" s="451">
        <f>+[4]울산!$E$19</f>
        <v>3.26</v>
      </c>
      <c r="U23" s="450">
        <f>+[4]울산!$F$19</f>
        <v>3.2008161414645202</v>
      </c>
      <c r="V23" s="449">
        <f t="shared" si="5"/>
        <v>-5.9183858535479583E-2</v>
      </c>
    </row>
    <row r="24" spans="4:22" ht="24" customHeight="1" x14ac:dyDescent="0.3">
      <c r="D24" s="408" t="s">
        <v>27</v>
      </c>
      <c r="E24" s="358">
        <f>+[4]아산!$E$9</f>
        <v>328.44</v>
      </c>
      <c r="F24" s="357">
        <f>+[4]아산!$F$9</f>
        <v>373.45524875093025</v>
      </c>
      <c r="G24" s="359">
        <f t="shared" si="0"/>
        <v>45.015248750930255</v>
      </c>
      <c r="H24" s="358">
        <f>+[4]아산!$E$15</f>
        <v>386.54400000000004</v>
      </c>
      <c r="I24" s="357">
        <f>+[4]아산!$F$15</f>
        <v>426.55666950143524</v>
      </c>
      <c r="J24" s="359">
        <f t="shared" si="1"/>
        <v>40.012669501435198</v>
      </c>
      <c r="K24" s="460">
        <f>+([4]아산!$E$10*0.4+[4]아산!$E$11+[4]아산!$E$12+[4]아산!$E$13+[4]아산!$E$14)/[4]아산!$E$15</f>
        <v>0.15031665217931203</v>
      </c>
      <c r="L24" s="459">
        <f>+([4]아산!$F$10*0.4+[4]아산!$F$11+[4]아산!$F$12+[4]아산!$F$13+[4]아산!$F$14)/[4]아산!$F$15</f>
        <v>0.12448854876087284</v>
      </c>
      <c r="M24" s="458">
        <f t="shared" si="2"/>
        <v>-2.5828103418439191E-2</v>
      </c>
      <c r="N24" s="358">
        <f>+[4]아산!$E$16</f>
        <v>872</v>
      </c>
      <c r="O24" s="357">
        <f>+[4]아산!$F$16</f>
        <v>778.69910704794324</v>
      </c>
      <c r="P24" s="359">
        <f t="shared" si="3"/>
        <v>-93.300892952056756</v>
      </c>
      <c r="Q24" s="358">
        <f>+[4]아산!$E$17</f>
        <v>872</v>
      </c>
      <c r="R24" s="357">
        <f>+[4]아산!$F$17</f>
        <v>969.31115127033115</v>
      </c>
      <c r="S24" s="359">
        <f t="shared" si="4"/>
        <v>97.311151270331152</v>
      </c>
      <c r="T24" s="457">
        <f>+[4]아산!$E$19</f>
        <v>2.8</v>
      </c>
      <c r="U24" s="456">
        <f>+[4]아산!$F$19</f>
        <v>3.4895423620707962</v>
      </c>
      <c r="V24" s="455">
        <f t="shared" si="5"/>
        <v>0.68954236207079633</v>
      </c>
    </row>
    <row r="25" spans="4:22" ht="24" customHeight="1" x14ac:dyDescent="0.3">
      <c r="D25" s="353" t="s">
        <v>129</v>
      </c>
      <c r="E25" s="351">
        <f>+[4]전주!$E$9</f>
        <v>277.37999999999994</v>
      </c>
      <c r="F25" s="350">
        <f>+[4]전주!$F$9</f>
        <v>322.9449290346837</v>
      </c>
      <c r="G25" s="352">
        <f t="shared" si="0"/>
        <v>45.564929034683757</v>
      </c>
      <c r="H25" s="351">
        <f>+[4]전주!$E$15</f>
        <v>333.48999999999995</v>
      </c>
      <c r="I25" s="350">
        <f>+[4]전주!$F$15</f>
        <v>372.40757308017669</v>
      </c>
      <c r="J25" s="352">
        <f t="shared" si="1"/>
        <v>38.917573080176737</v>
      </c>
      <c r="K25" s="454">
        <f>+([4]전주!$E$10*0.4+[4]전주!$E$11+[4]전주!$E$12+[4]전주!$E$13+[4]전주!$E$14)/[4]전주!$E$15</f>
        <v>0.1682509220666287</v>
      </c>
      <c r="L25" s="453">
        <f>+([4]전주!$F$10*0.4+[4]전주!$F$11+[4]전주!$F$12+[4]전주!$F$13+[4]전주!$F$14)/[4]전주!$F$15</f>
        <v>0.10922984334119631</v>
      </c>
      <c r="M25" s="452">
        <f t="shared" si="2"/>
        <v>-5.9021078725432385E-2</v>
      </c>
      <c r="N25" s="351">
        <f>+[4]전주!$E$16</f>
        <v>739.36</v>
      </c>
      <c r="O25" s="350">
        <f>+[4]전주!$F$16</f>
        <v>696.10301720086454</v>
      </c>
      <c r="P25" s="352">
        <f t="shared" si="3"/>
        <v>-43.256982799135471</v>
      </c>
      <c r="Q25" s="351">
        <f>+[4]전주!$E$17</f>
        <v>990.13000000000011</v>
      </c>
      <c r="R25" s="350">
        <f>+[4]전주!$F$17</f>
        <v>1035.1955070965316</v>
      </c>
      <c r="S25" s="352">
        <f t="shared" si="4"/>
        <v>45.065507096531519</v>
      </c>
      <c r="T25" s="451">
        <f>+[4]전주!$E$19</f>
        <v>2.23</v>
      </c>
      <c r="U25" s="450">
        <f>+[4]전주!$F$19</f>
        <v>2.2929880627878561</v>
      </c>
      <c r="V25" s="449">
        <f t="shared" si="5"/>
        <v>6.2988062787856069E-2</v>
      </c>
    </row>
    <row r="26" spans="4:22" ht="24" customHeight="1" x14ac:dyDescent="0.3">
      <c r="D26" s="353" t="s">
        <v>128</v>
      </c>
      <c r="E26" s="351">
        <f>+[4]군산!$E$9</f>
        <v>296</v>
      </c>
      <c r="F26" s="350">
        <f>+[4]군산!$F$9</f>
        <v>268.35308516638457</v>
      </c>
      <c r="G26" s="352">
        <f t="shared" si="0"/>
        <v>-27.646914833615426</v>
      </c>
      <c r="H26" s="351">
        <f>+[4]군산!$E$15</f>
        <v>349.3</v>
      </c>
      <c r="I26" s="350">
        <f>+[4]군산!$F$15</f>
        <v>343.86269881556677</v>
      </c>
      <c r="J26" s="352">
        <f t="shared" si="1"/>
        <v>-5.4373011844332382</v>
      </c>
      <c r="K26" s="454">
        <f>+([4]군산!$E$10*0.4+[4]군산!$E$11+[4]군산!$E$12+[4]군산!$E$13+[4]군산!$E$14)/[4]군산!$E$15</f>
        <v>0.14864013741769252</v>
      </c>
      <c r="L26" s="453">
        <f>+([4]군산!$F$10*0.4+[4]군산!$F$11+[4]군산!$F$12+[4]군산!$F$13+[4]군산!$F$14)/[4]군산!$F$15</f>
        <v>0.21959233702659414</v>
      </c>
      <c r="M26" s="452">
        <f t="shared" si="2"/>
        <v>7.0952199608901617E-2</v>
      </c>
      <c r="N26" s="351">
        <f>+[4]군산!$E$16</f>
        <v>810</v>
      </c>
      <c r="O26" s="350">
        <f>+[4]군산!$F$16</f>
        <v>859.53750705019763</v>
      </c>
      <c r="P26" s="352">
        <f t="shared" si="3"/>
        <v>49.537507050197632</v>
      </c>
      <c r="Q26" s="351">
        <f>+[4]군산!$E$17</f>
        <v>905</v>
      </c>
      <c r="R26" s="350">
        <f>+[4]군산!$F$17</f>
        <v>800.63451776649754</v>
      </c>
      <c r="S26" s="352">
        <f t="shared" si="4"/>
        <v>-104.36548223350246</v>
      </c>
      <c r="T26" s="451">
        <f>+[4]군산!$E$19</f>
        <v>2.86</v>
      </c>
      <c r="U26" s="450">
        <f>+[4]군산!$F$19</f>
        <v>2.8543711223914277</v>
      </c>
      <c r="V26" s="449">
        <f t="shared" si="5"/>
        <v>-5.6288776085722247E-3</v>
      </c>
    </row>
    <row r="27" spans="4:22" ht="24" customHeight="1" x14ac:dyDescent="0.3">
      <c r="D27" s="353" t="s">
        <v>127</v>
      </c>
      <c r="E27" s="351">
        <f>+[4]원주!$E$9</f>
        <v>320.3</v>
      </c>
      <c r="F27" s="350">
        <f>+[4]원주!$F$9</f>
        <v>371.76854804386966</v>
      </c>
      <c r="G27" s="352">
        <f t="shared" si="0"/>
        <v>51.468548043869646</v>
      </c>
      <c r="H27" s="351">
        <f>+[4]원주!$E$15</f>
        <v>349.1</v>
      </c>
      <c r="I27" s="350">
        <f>+[4]원주!$F$15</f>
        <v>423.42558847601896</v>
      </c>
      <c r="J27" s="352">
        <f t="shared" si="1"/>
        <v>74.325588476018936</v>
      </c>
      <c r="K27" s="454">
        <f>+([4]원주!$E$10*0.4+[4]원주!$E$11+[4]원주!$E$12+[4]원주!$E$13+[4]원주!$E$14)/[4]원주!$E$15</f>
        <v>8.2497851618447429E-2</v>
      </c>
      <c r="L27" s="453">
        <f>+([4]원주!$F$10*0.4+[4]원주!$F$11+[4]원주!$F$12+[4]원주!$F$13+[4]원주!$F$14)/[4]원주!$F$15</f>
        <v>0.12199791849630963</v>
      </c>
      <c r="M27" s="452">
        <f t="shared" si="2"/>
        <v>3.95000668778622E-2</v>
      </c>
      <c r="N27" s="351">
        <f>+[4]원주!$E$16</f>
        <v>837.86</v>
      </c>
      <c r="O27" s="350">
        <f>+[4]원주!$F$16</f>
        <v>931.02000327385883</v>
      </c>
      <c r="P27" s="352">
        <f t="shared" si="3"/>
        <v>93.16000327385882</v>
      </c>
      <c r="Q27" s="351">
        <f>+[4]원주!$E$17</f>
        <v>921.01</v>
      </c>
      <c r="R27" s="350">
        <f>+[4]원주!$F$17</f>
        <v>785.54918972008522</v>
      </c>
      <c r="S27" s="352">
        <f t="shared" si="4"/>
        <v>-135.46081027991477</v>
      </c>
      <c r="T27" s="451">
        <f>+[4]원주!$E$19</f>
        <v>2.9380000000000002</v>
      </c>
      <c r="U27" s="450">
        <f>+[4]원주!$F$19</f>
        <v>3.3729579309215914</v>
      </c>
      <c r="V27" s="449">
        <f t="shared" si="5"/>
        <v>0.43495793092159118</v>
      </c>
    </row>
    <row r="28" spans="4:22" ht="24" customHeight="1" x14ac:dyDescent="0.3">
      <c r="D28" s="348" t="s">
        <v>126</v>
      </c>
      <c r="E28" s="346">
        <f>+[4]제주!$E$9</f>
        <v>351.6</v>
      </c>
      <c r="F28" s="445">
        <f>+[4]제주!$F$9</f>
        <v>301.63536680396288</v>
      </c>
      <c r="G28" s="347">
        <f t="shared" si="0"/>
        <v>-49.964633196037141</v>
      </c>
      <c r="H28" s="346">
        <f>+[4]제주!$E$15</f>
        <v>351.6</v>
      </c>
      <c r="I28" s="445">
        <f>+[4]제주!$F$15</f>
        <v>370.46448625180881</v>
      </c>
      <c r="J28" s="347">
        <f t="shared" si="1"/>
        <v>18.864486251808785</v>
      </c>
      <c r="K28" s="448">
        <f>+([4]제주!$E$10*0.4+[4]제주!$E$11+[4]제주!$E$12+[4]제주!$E$13+[4]제주!$E$14)/[4]제주!$E$15</f>
        <v>0</v>
      </c>
      <c r="L28" s="447">
        <f>+([4]제주!$F$10*0.4+[4]제주!$F$11+[4]제주!$F$12+[4]제주!$F$13+[4]제주!$F$14)/[4]제주!$F$15</f>
        <v>7.4316564207519767E-2</v>
      </c>
      <c r="M28" s="446">
        <f t="shared" si="2"/>
        <v>7.4316564207519767E-2</v>
      </c>
      <c r="N28" s="346">
        <f>+[4]제주!$E$16</f>
        <v>715.5</v>
      </c>
      <c r="O28" s="445">
        <f>+[4]제주!$F$16</f>
        <v>801.59189580318412</v>
      </c>
      <c r="P28" s="347">
        <f t="shared" si="3"/>
        <v>86.091895803184116</v>
      </c>
      <c r="Q28" s="346">
        <f>+[4]제주!$E$17</f>
        <v>991.7</v>
      </c>
      <c r="R28" s="445">
        <f>+[4]제주!$F$17</f>
        <v>984.32594901480581</v>
      </c>
      <c r="S28" s="347">
        <f t="shared" si="4"/>
        <v>-7.3740509851942306</v>
      </c>
      <c r="T28" s="444">
        <f>+[4]제주!$E$19</f>
        <v>2.73</v>
      </c>
      <c r="U28" s="443">
        <f>+[4]제주!$F$19</f>
        <v>3.0034643214961605</v>
      </c>
      <c r="V28" s="442">
        <f t="shared" si="5"/>
        <v>0.27346432149616051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BB55"/>
  <sheetViews>
    <sheetView showGridLines="0" topLeftCell="A4" zoomScale="70" zoomScaleNormal="70" workbookViewId="0">
      <pane ySplit="6" topLeftCell="A10" activePane="bottomLeft" state="frozenSplit"/>
      <selection activeCell="A24" sqref="A24:M25"/>
      <selection pane="bottomLeft" activeCell="A10" sqref="A10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0" customWidth="1"/>
    <col min="18" max="18" width="9" style="6"/>
    <col min="19" max="39" width="10.25" style="6" hidden="1" customWidth="1"/>
    <col min="40" max="40" width="0" style="6" hidden="1" customWidth="1"/>
    <col min="41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225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1"/>
      <c r="O7" s="397" t="s">
        <v>166</v>
      </c>
    </row>
    <row r="8" spans="4:17" ht="25.5" customHeight="1" thickTop="1" x14ac:dyDescent="0.3">
      <c r="D8" s="662" t="s">
        <v>11</v>
      </c>
      <c r="E8" s="663"/>
      <c r="F8" s="614" t="s">
        <v>210</v>
      </c>
      <c r="G8" s="615"/>
      <c r="H8" s="615"/>
      <c r="I8" s="615"/>
      <c r="J8" s="616"/>
      <c r="K8" s="121" t="s">
        <v>214</v>
      </c>
      <c r="L8" s="121"/>
      <c r="M8" s="121"/>
      <c r="N8" s="121"/>
      <c r="O8" s="122"/>
      <c r="P8" s="502"/>
      <c r="Q8" s="502"/>
    </row>
    <row r="9" spans="4:17" ht="25.5" customHeight="1" x14ac:dyDescent="0.3">
      <c r="D9" s="664"/>
      <c r="E9" s="665"/>
      <c r="F9" s="503" t="s">
        <v>36</v>
      </c>
      <c r="G9" s="504" t="s">
        <v>37</v>
      </c>
      <c r="H9" s="505" t="s">
        <v>56</v>
      </c>
      <c r="I9" s="504" t="s">
        <v>39</v>
      </c>
      <c r="J9" s="506" t="s">
        <v>57</v>
      </c>
      <c r="K9" s="505" t="s">
        <v>36</v>
      </c>
      <c r="L9" s="504" t="s">
        <v>37</v>
      </c>
      <c r="M9" s="505" t="s">
        <v>56</v>
      </c>
      <c r="N9" s="504" t="s">
        <v>39</v>
      </c>
      <c r="O9" s="507" t="s">
        <v>57</v>
      </c>
      <c r="P9" s="502"/>
      <c r="Q9" s="502"/>
    </row>
    <row r="10" spans="4:17" ht="25.5" customHeight="1" x14ac:dyDescent="0.3">
      <c r="D10" s="508" t="s">
        <v>89</v>
      </c>
      <c r="E10" s="509" t="s">
        <v>69</v>
      </c>
      <c r="F10" s="510">
        <f>+IFERROR(HLOOKUP($F$8,[14]손익!$G$5:$AI$63,2,),)</f>
        <v>13100</v>
      </c>
      <c r="G10" s="511">
        <f>+'[6]12월'!$G$8</f>
        <v>7354.4539999999997</v>
      </c>
      <c r="H10" s="512">
        <f>+G10-F10</f>
        <v>-5745.5460000000003</v>
      </c>
      <c r="I10" s="511">
        <f>+IFERROR(HLOOKUP($F$8,[7]월별!$E$2:$T$53,2,),)</f>
        <v>8003.0569999999998</v>
      </c>
      <c r="J10" s="513">
        <f>+G10-I10</f>
        <v>-648.60300000000007</v>
      </c>
      <c r="K10" s="510">
        <f>+F10+[15]건자재!K10</f>
        <v>137600</v>
      </c>
      <c r="L10" s="511">
        <f>+G10+[15]건자재!L10</f>
        <v>108225.34600000001</v>
      </c>
      <c r="M10" s="512">
        <f>+L10-K10</f>
        <v>-29374.653999999995</v>
      </c>
      <c r="N10" s="511">
        <f>+I10+[15]건자재!N10</f>
        <v>105164.211</v>
      </c>
      <c r="O10" s="513">
        <f>+L10-N10</f>
        <v>3061.1350000000093</v>
      </c>
      <c r="P10" s="514"/>
      <c r="Q10" s="514"/>
    </row>
    <row r="11" spans="4:17" ht="25.5" customHeight="1" x14ac:dyDescent="0.3">
      <c r="D11" s="515" t="s">
        <v>53</v>
      </c>
      <c r="E11" s="516" t="s">
        <v>168</v>
      </c>
      <c r="F11" s="517">
        <f>+F12/F10*1000</f>
        <v>872900.76335877855</v>
      </c>
      <c r="G11" s="518">
        <f>+G12/G10*1000</f>
        <v>717670.73803167441</v>
      </c>
      <c r="H11" s="519">
        <f t="shared" ref="H11:H28" si="0">+G11-F11</f>
        <v>-155230.02532710414</v>
      </c>
      <c r="I11" s="518">
        <f>+I12/I10*1000</f>
        <v>752238.01942182856</v>
      </c>
      <c r="J11" s="520">
        <f t="shared" ref="J11:J28" si="1">+G11-I11</f>
        <v>-34567.281390154152</v>
      </c>
      <c r="K11" s="517">
        <f>+K12/K10*1000</f>
        <v>872892.44186046522</v>
      </c>
      <c r="L11" s="518">
        <f>+L12/L10*1000</f>
        <v>767925.95994102897</v>
      </c>
      <c r="M11" s="519">
        <f t="shared" ref="M11:M28" si="2">+L11-K11</f>
        <v>-104966.48191943625</v>
      </c>
      <c r="N11" s="518">
        <f>+N12/N10*1000</f>
        <v>824691.47076090367</v>
      </c>
      <c r="O11" s="520">
        <f t="shared" ref="O11:O28" si="3">+L11-N11</f>
        <v>-56765.510819874704</v>
      </c>
      <c r="P11" s="514"/>
      <c r="Q11" s="514"/>
    </row>
    <row r="12" spans="4:17" ht="25.5" customHeight="1" x14ac:dyDescent="0.3">
      <c r="D12" s="521" t="s">
        <v>169</v>
      </c>
      <c r="E12" s="522" t="s">
        <v>168</v>
      </c>
      <c r="F12" s="523">
        <f>+IFERROR(HLOOKUP($F$8,[14]손익!$G$5:$AI$63,22,),)</f>
        <v>11435000</v>
      </c>
      <c r="G12" s="524">
        <f>+'[6]12월'!$G$9</f>
        <v>5278076.43</v>
      </c>
      <c r="H12" s="525">
        <f t="shared" si="0"/>
        <v>-6156923.5700000003</v>
      </c>
      <c r="I12" s="524">
        <f>+IFERROR(HLOOKUP($F$8,[7]월별!$E$2:$T$53,5,),)</f>
        <v>6020203.7470000004</v>
      </c>
      <c r="J12" s="526">
        <f t="shared" si="1"/>
        <v>-742127.31700000074</v>
      </c>
      <c r="K12" s="523">
        <f>+F12+[15]건자재!K12</f>
        <v>120110000</v>
      </c>
      <c r="L12" s="524">
        <f>+G12+[15]건자재!L12</f>
        <v>83109052.717000008</v>
      </c>
      <c r="M12" s="525">
        <f t="shared" si="2"/>
        <v>-37000947.282999992</v>
      </c>
      <c r="N12" s="524">
        <f>+I12+[15]건자재!N12</f>
        <v>86728027.841000006</v>
      </c>
      <c r="O12" s="526">
        <f t="shared" si="3"/>
        <v>-3618975.123999998</v>
      </c>
      <c r="P12" s="514"/>
      <c r="Q12" s="514"/>
    </row>
    <row r="13" spans="4:17" ht="25.5" customHeight="1" x14ac:dyDescent="0.3">
      <c r="D13" s="521"/>
      <c r="E13" s="527" t="s">
        <v>170</v>
      </c>
      <c r="F13" s="528">
        <f>+IFERROR(HLOOKUP($F$8,[14]손익!$G$5:$AI$63,23,),)</f>
        <v>2811035.6351999994</v>
      </c>
      <c r="G13" s="529">
        <f>+'[6]12월'!$J$9</f>
        <v>1622853.0449999999</v>
      </c>
      <c r="H13" s="530">
        <f t="shared" si="0"/>
        <v>-1188182.5901999995</v>
      </c>
      <c r="I13" s="529">
        <f>+IFERROR(HLOOKUP($F$8,[7]월별!$E$2:$T$53,6,),)</f>
        <v>1425697.8589999992</v>
      </c>
      <c r="J13" s="531">
        <f t="shared" si="1"/>
        <v>197155.18600000069</v>
      </c>
      <c r="K13" s="528">
        <f>+F13+[15]건자재!K13</f>
        <v>30032432.000000007</v>
      </c>
      <c r="L13" s="529">
        <f>+G13+[15]건자재!L13</f>
        <v>16072093.410999998</v>
      </c>
      <c r="M13" s="530">
        <f t="shared" si="2"/>
        <v>-13960338.589000009</v>
      </c>
      <c r="N13" s="529">
        <f>+I13+[15]건자재!N13</f>
        <v>17271819.111999996</v>
      </c>
      <c r="O13" s="531">
        <f t="shared" si="3"/>
        <v>-1199725.7009999976</v>
      </c>
      <c r="P13" s="514"/>
      <c r="Q13" s="514"/>
    </row>
    <row r="14" spans="4:17" ht="25.5" customHeight="1" x14ac:dyDescent="0.3">
      <c r="D14" s="521"/>
      <c r="E14" s="532" t="s">
        <v>171</v>
      </c>
      <c r="F14" s="533">
        <f>SUM(F12:F13)</f>
        <v>14246035.635199999</v>
      </c>
      <c r="G14" s="534">
        <f>SUM(G12:G13)</f>
        <v>6900929.4749999996</v>
      </c>
      <c r="H14" s="170">
        <f t="shared" si="0"/>
        <v>-7345106.1601999998</v>
      </c>
      <c r="I14" s="534">
        <f>SUM(I12:I13)</f>
        <v>7445901.6059999997</v>
      </c>
      <c r="J14" s="535">
        <f t="shared" si="1"/>
        <v>-544972.13100000005</v>
      </c>
      <c r="K14" s="533">
        <f>SUM(K12:K13)</f>
        <v>150142432</v>
      </c>
      <c r="L14" s="534">
        <f>SUM(L12:L13)</f>
        <v>99181146.128000006</v>
      </c>
      <c r="M14" s="170">
        <f t="shared" si="2"/>
        <v>-50961285.871999994</v>
      </c>
      <c r="N14" s="534">
        <f>SUM(N12:N13)</f>
        <v>103999846.95300001</v>
      </c>
      <c r="O14" s="535">
        <f t="shared" si="3"/>
        <v>-4818700.825000003</v>
      </c>
      <c r="P14" s="514"/>
      <c r="Q14" s="514"/>
    </row>
    <row r="15" spans="4:17" ht="25.5" customHeight="1" x14ac:dyDescent="0.3">
      <c r="D15" s="508" t="s">
        <v>5</v>
      </c>
      <c r="E15" s="509" t="s">
        <v>168</v>
      </c>
      <c r="F15" s="510">
        <f>+IFERROR(HLOOKUP($F$8,[14]손익!$G$5:$AI$63,25,),)</f>
        <v>11160552.5</v>
      </c>
      <c r="G15" s="511">
        <f>+'[6]12월'!$G$11</f>
        <v>5225272.7120000003</v>
      </c>
      <c r="H15" s="512">
        <f t="shared" si="0"/>
        <v>-5935279.7879999997</v>
      </c>
      <c r="I15" s="511">
        <f>+IFERROR(HLOOKUP($F$8,[7]월별!$E$2:$T$53,8,),)</f>
        <v>5934990.8200000003</v>
      </c>
      <c r="J15" s="513">
        <f t="shared" si="1"/>
        <v>-709718.10800000001</v>
      </c>
      <c r="K15" s="510">
        <f>+F15+[15]건자재!K15</f>
        <v>117227345</v>
      </c>
      <c r="L15" s="511">
        <f>+G15+[15]건자재!L15</f>
        <v>81849282.283999979</v>
      </c>
      <c r="M15" s="512">
        <f t="shared" si="2"/>
        <v>-35378062.716000021</v>
      </c>
      <c r="N15" s="511">
        <f>+I15+[15]건자재!N15</f>
        <v>84894973.444999993</v>
      </c>
      <c r="O15" s="513">
        <f t="shared" si="3"/>
        <v>-3045691.1610000134</v>
      </c>
      <c r="P15" s="514"/>
      <c r="Q15" s="514"/>
    </row>
    <row r="16" spans="4:17" ht="25.5" customHeight="1" x14ac:dyDescent="0.3">
      <c r="D16" s="521"/>
      <c r="E16" s="527" t="s">
        <v>170</v>
      </c>
      <c r="F16" s="528">
        <f>+IFERROR(HLOOKUP($F$8,[14]손익!$G$5:$AI$63,26,),)</f>
        <v>2701526.1199595146</v>
      </c>
      <c r="G16" s="529">
        <f>+'[6]12월'!$J$11</f>
        <v>1569484.551</v>
      </c>
      <c r="H16" s="530">
        <f t="shared" si="0"/>
        <v>-1132041.5689595146</v>
      </c>
      <c r="I16" s="529">
        <f>+IFERROR(HLOOKUP($F$8,[7]월별!$E$2:$T$53,9,),)</f>
        <v>1375066.2340000002</v>
      </c>
      <c r="J16" s="531">
        <f t="shared" si="1"/>
        <v>194418.31699999981</v>
      </c>
      <c r="K16" s="528">
        <f>+F16+[15]건자재!K16</f>
        <v>28862458.546576001</v>
      </c>
      <c r="L16" s="529">
        <f>+G16+[15]건자재!L16</f>
        <v>15618564.881000001</v>
      </c>
      <c r="M16" s="530">
        <f t="shared" si="2"/>
        <v>-13243893.665576</v>
      </c>
      <c r="N16" s="529">
        <f>+I16+[15]건자재!N16</f>
        <v>16808012.739000004</v>
      </c>
      <c r="O16" s="531">
        <f t="shared" si="3"/>
        <v>-1189447.8580000028</v>
      </c>
      <c r="P16" s="514"/>
      <c r="Q16" s="514"/>
    </row>
    <row r="17" spans="4:17" ht="25.5" customHeight="1" x14ac:dyDescent="0.3">
      <c r="D17" s="515"/>
      <c r="E17" s="536" t="s">
        <v>172</v>
      </c>
      <c r="F17" s="537">
        <f>SUM(F15:F16)</f>
        <v>13862078.619959515</v>
      </c>
      <c r="G17" s="538">
        <f>SUM(G15:G16)</f>
        <v>6794757.2630000003</v>
      </c>
      <c r="H17" s="539">
        <f t="shared" si="0"/>
        <v>-7067321.3569595143</v>
      </c>
      <c r="I17" s="538">
        <f>SUM(I15:I16)</f>
        <v>7310057.0540000005</v>
      </c>
      <c r="J17" s="540">
        <f t="shared" si="1"/>
        <v>-515299.7910000002</v>
      </c>
      <c r="K17" s="537">
        <f>SUM(K15:K16)</f>
        <v>146089803.54657599</v>
      </c>
      <c r="L17" s="538">
        <f>SUM(L15:L16)</f>
        <v>97467847.164999977</v>
      </c>
      <c r="M17" s="539">
        <f t="shared" si="2"/>
        <v>-48621956.381576017</v>
      </c>
      <c r="N17" s="538">
        <f>SUM(N15:N16)</f>
        <v>101702986.184</v>
      </c>
      <c r="O17" s="540">
        <f t="shared" si="3"/>
        <v>-4235139.0190000236</v>
      </c>
      <c r="P17" s="514"/>
      <c r="Q17" s="514"/>
    </row>
    <row r="18" spans="4:17" ht="25.5" customHeight="1" x14ac:dyDescent="0.3">
      <c r="D18" s="521" t="s">
        <v>15</v>
      </c>
      <c r="E18" s="522" t="s">
        <v>168</v>
      </c>
      <c r="F18" s="523">
        <f>+F12-F15</f>
        <v>274447.5</v>
      </c>
      <c r="G18" s="524">
        <f>+G12-G15</f>
        <v>52803.717999999411</v>
      </c>
      <c r="H18" s="525">
        <f t="shared" si="0"/>
        <v>-221643.78200000059</v>
      </c>
      <c r="I18" s="524">
        <f>+I12-I15</f>
        <v>85212.927000000142</v>
      </c>
      <c r="J18" s="526">
        <f t="shared" si="1"/>
        <v>-32409.20900000073</v>
      </c>
      <c r="K18" s="523">
        <f>+K12-K15</f>
        <v>2882655</v>
      </c>
      <c r="L18" s="524">
        <f>+L12-L15</f>
        <v>1259770.4330000281</v>
      </c>
      <c r="M18" s="525">
        <f t="shared" si="2"/>
        <v>-1622884.5669999719</v>
      </c>
      <c r="N18" s="524">
        <f>+N12-N15</f>
        <v>1833054.3960000128</v>
      </c>
      <c r="O18" s="526">
        <f t="shared" si="3"/>
        <v>-573283.96299998462</v>
      </c>
      <c r="P18" s="514"/>
      <c r="Q18" s="514"/>
    </row>
    <row r="19" spans="4:17" ht="25.5" customHeight="1" x14ac:dyDescent="0.3">
      <c r="D19" s="521"/>
      <c r="E19" s="541" t="s">
        <v>9</v>
      </c>
      <c r="F19" s="542">
        <f>+F18/F12</f>
        <v>2.4000655881066899E-2</v>
      </c>
      <c r="G19" s="543">
        <f>+G18/G12</f>
        <v>1.000434887601645E-2</v>
      </c>
      <c r="H19" s="544">
        <f t="shared" si="0"/>
        <v>-1.3996307005050449E-2</v>
      </c>
      <c r="I19" s="543">
        <f>+I18/I12</f>
        <v>1.4154492203434744E-2</v>
      </c>
      <c r="J19" s="545">
        <f t="shared" si="1"/>
        <v>-4.1501433274182941E-3</v>
      </c>
      <c r="K19" s="542">
        <f>+K18/K12</f>
        <v>2.4000124885521605E-2</v>
      </c>
      <c r="L19" s="543">
        <f>+L18/L12</f>
        <v>1.5158041053478899E-2</v>
      </c>
      <c r="M19" s="544">
        <f t="shared" si="2"/>
        <v>-8.8420838320427061E-3</v>
      </c>
      <c r="N19" s="543">
        <f>+N18/N12</f>
        <v>2.1135663310142175E-2</v>
      </c>
      <c r="O19" s="545">
        <f t="shared" si="3"/>
        <v>-5.9776222566632758E-3</v>
      </c>
      <c r="P19" s="514"/>
      <c r="Q19" s="514"/>
    </row>
    <row r="20" spans="4:17" ht="25.5" customHeight="1" x14ac:dyDescent="0.3">
      <c r="D20" s="521"/>
      <c r="E20" s="546" t="s">
        <v>170</v>
      </c>
      <c r="F20" s="533">
        <f>+F13-F16</f>
        <v>109509.51524048485</v>
      </c>
      <c r="G20" s="534">
        <f>+G13-G16</f>
        <v>53368.493999999948</v>
      </c>
      <c r="H20" s="170">
        <f t="shared" si="0"/>
        <v>-56141.021240484901</v>
      </c>
      <c r="I20" s="534">
        <f>+I13-I16</f>
        <v>50631.624999999069</v>
      </c>
      <c r="J20" s="535">
        <f t="shared" si="1"/>
        <v>2736.8690000008792</v>
      </c>
      <c r="K20" s="533">
        <f>+K13-K16</f>
        <v>1169973.4534240067</v>
      </c>
      <c r="L20" s="534">
        <f>+L13-L16</f>
        <v>453528.52999999747</v>
      </c>
      <c r="M20" s="170">
        <f t="shared" si="2"/>
        <v>-716444.92342400923</v>
      </c>
      <c r="N20" s="534">
        <f>+N13-N16</f>
        <v>463806.37299999222</v>
      </c>
      <c r="O20" s="535">
        <f t="shared" si="3"/>
        <v>-10277.842999994755</v>
      </c>
      <c r="P20" s="514"/>
      <c r="Q20" s="514"/>
    </row>
    <row r="21" spans="4:17" ht="25.5" customHeight="1" x14ac:dyDescent="0.3">
      <c r="D21" s="521"/>
      <c r="E21" s="547" t="s">
        <v>9</v>
      </c>
      <c r="F21" s="548">
        <f>+F20/F13</f>
        <v>3.8956999999999457E-2</v>
      </c>
      <c r="G21" s="549">
        <f>+G20/G13</f>
        <v>3.2885598708045652E-2</v>
      </c>
      <c r="H21" s="550">
        <f t="shared" si="0"/>
        <v>-6.0714012919538055E-3</v>
      </c>
      <c r="I21" s="549">
        <f>+I20/I13</f>
        <v>3.5513573005933156E-2</v>
      </c>
      <c r="J21" s="551">
        <f t="shared" si="1"/>
        <v>-2.6279742978875045E-3</v>
      </c>
      <c r="K21" s="548">
        <f>+K20/K13</f>
        <v>3.8957000000000214E-2</v>
      </c>
      <c r="L21" s="549">
        <f>+L20/L13</f>
        <v>2.8218385645369336E-2</v>
      </c>
      <c r="M21" s="550">
        <f t="shared" si="2"/>
        <v>-1.0738614354630877E-2</v>
      </c>
      <c r="N21" s="549">
        <f>+N20/N13</f>
        <v>2.6853359799128049E-2</v>
      </c>
      <c r="O21" s="551">
        <f t="shared" si="3"/>
        <v>1.3650258462412877E-3</v>
      </c>
      <c r="P21" s="514"/>
      <c r="Q21" s="514"/>
    </row>
    <row r="22" spans="4:17" ht="25.5" customHeight="1" x14ac:dyDescent="0.3">
      <c r="D22" s="521"/>
      <c r="E22" s="532" t="s">
        <v>171</v>
      </c>
      <c r="F22" s="533">
        <f>SUM(F18,F20)</f>
        <v>383957.01524048485</v>
      </c>
      <c r="G22" s="534">
        <f>SUM(G18,G20)</f>
        <v>106172.21199999936</v>
      </c>
      <c r="H22" s="170">
        <f t="shared" si="0"/>
        <v>-277784.80324048549</v>
      </c>
      <c r="I22" s="534">
        <f>SUM(I18,I20)</f>
        <v>135844.55199999921</v>
      </c>
      <c r="J22" s="535">
        <f t="shared" si="1"/>
        <v>-29672.339999999851</v>
      </c>
      <c r="K22" s="533">
        <f>SUM(K18,K20)</f>
        <v>4052628.4534240067</v>
      </c>
      <c r="L22" s="534">
        <f>SUM(L18,L20)</f>
        <v>1713298.9630000256</v>
      </c>
      <c r="M22" s="170">
        <f t="shared" si="2"/>
        <v>-2339329.4904239811</v>
      </c>
      <c r="N22" s="534">
        <f>SUM(N18,N20)</f>
        <v>2296860.769000005</v>
      </c>
      <c r="O22" s="535">
        <f t="shared" si="3"/>
        <v>-583561.80599997938</v>
      </c>
      <c r="P22" s="514"/>
      <c r="Q22" s="514"/>
    </row>
    <row r="23" spans="4:17" ht="25.5" customHeight="1" x14ac:dyDescent="0.3">
      <c r="D23" s="521"/>
      <c r="E23" s="552" t="s">
        <v>9</v>
      </c>
      <c r="F23" s="542">
        <f>+F22/F14</f>
        <v>2.6951849979357047E-2</v>
      </c>
      <c r="G23" s="543">
        <f>+G22/G14</f>
        <v>1.538520461404938E-2</v>
      </c>
      <c r="H23" s="544">
        <f t="shared" si="0"/>
        <v>-1.1566645365307666E-2</v>
      </c>
      <c r="I23" s="543">
        <f>+I22/I14</f>
        <v>1.8244204555501242E-2</v>
      </c>
      <c r="J23" s="545">
        <f t="shared" si="1"/>
        <v>-2.8589999414518619E-3</v>
      </c>
      <c r="K23" s="542">
        <f>+K22/K14</f>
        <v>2.6991892960838725E-2</v>
      </c>
      <c r="L23" s="543">
        <f>+L22/L14</f>
        <v>1.7274442067738326E-2</v>
      </c>
      <c r="M23" s="544">
        <f t="shared" si="2"/>
        <v>-9.7174508931003982E-3</v>
      </c>
      <c r="N23" s="543">
        <f>+N22/N14</f>
        <v>2.2085232202678245E-2</v>
      </c>
      <c r="O23" s="545">
        <f t="shared" si="3"/>
        <v>-4.8107901349399192E-3</v>
      </c>
      <c r="P23" s="514"/>
      <c r="Q23" s="514"/>
    </row>
    <row r="24" spans="4:17" ht="25.5" customHeight="1" x14ac:dyDescent="0.3">
      <c r="D24" s="508" t="s">
        <v>173</v>
      </c>
      <c r="E24" s="509" t="s">
        <v>174</v>
      </c>
      <c r="F24" s="510">
        <f>+IFERROR(HLOOKUP($F$8,[14]판매4!$G$4:$U$50,7,),)</f>
        <v>89090.290000000008</v>
      </c>
      <c r="G24" s="511">
        <f>+'[6]12월'!$M$19</f>
        <v>97951.26400000001</v>
      </c>
      <c r="H24" s="512">
        <f t="shared" si="0"/>
        <v>8860.974000000002</v>
      </c>
      <c r="I24" s="511">
        <f>+IFERROR(HLOOKUP($F$8,[7]월별!$E$2:$T$53,17,),)</f>
        <v>149560.27900000001</v>
      </c>
      <c r="J24" s="513">
        <f t="shared" si="1"/>
        <v>-51609.014999999999</v>
      </c>
      <c r="K24" s="510">
        <f>+F24+[15]건자재!K24</f>
        <v>1065907.4600000002</v>
      </c>
      <c r="L24" s="511">
        <f>+G24+[15]건자재!L24</f>
        <v>1148051.9280000001</v>
      </c>
      <c r="M24" s="512">
        <f t="shared" si="2"/>
        <v>82144.467999999877</v>
      </c>
      <c r="N24" s="511">
        <f>+I24+[15]건자재!N24</f>
        <v>1143789.0649999999</v>
      </c>
      <c r="O24" s="513">
        <f t="shared" si="3"/>
        <v>4262.8630000001285</v>
      </c>
      <c r="P24" s="514"/>
      <c r="Q24" s="514"/>
    </row>
    <row r="25" spans="4:17" ht="25.5" customHeight="1" x14ac:dyDescent="0.3">
      <c r="D25" s="521"/>
      <c r="E25" s="527" t="s">
        <v>175</v>
      </c>
      <c r="F25" s="528">
        <f>+IFERROR(HLOOKUP($F$8,[14]판매4!$G$4:$U$50,31,),)+IFERROR(HLOOKUP($F$8,[14]판매4!$G$4:$U$50,34,),)</f>
        <v>35027.038</v>
      </c>
      <c r="G25" s="529">
        <f>+'[6]12월'!$M$37+'[6]12월'!$M$40</f>
        <v>72230.435999999987</v>
      </c>
      <c r="H25" s="530">
        <f t="shared" si="0"/>
        <v>37203.397999999986</v>
      </c>
      <c r="I25" s="529">
        <f>+IFERROR(HLOOKUP($F$8,[7]월별!$E$2:$T$53,35,),)+IFERROR(HLOOKUP($F$8,[7]월별!$E$2:$T$53,38,),)</f>
        <v>87386.34600000002</v>
      </c>
      <c r="J25" s="531">
        <f t="shared" si="1"/>
        <v>-15155.910000000033</v>
      </c>
      <c r="K25" s="528">
        <f>+F25+[15]건자재!K25</f>
        <v>463756.39600000007</v>
      </c>
      <c r="L25" s="529">
        <f>+G25+[15]건자재!L25</f>
        <v>683015.11099999992</v>
      </c>
      <c r="M25" s="530">
        <f t="shared" si="2"/>
        <v>219258.71499999985</v>
      </c>
      <c r="N25" s="529">
        <f>+I25+[15]건자재!N25</f>
        <v>652313.429</v>
      </c>
      <c r="O25" s="531">
        <f t="shared" si="3"/>
        <v>30701.681999999913</v>
      </c>
      <c r="P25" s="514"/>
      <c r="Q25" s="514"/>
    </row>
    <row r="26" spans="4:17" ht="25.5" customHeight="1" x14ac:dyDescent="0.3">
      <c r="D26" s="515"/>
      <c r="E26" s="536" t="s">
        <v>171</v>
      </c>
      <c r="F26" s="537">
        <f>SUM(F24:F25)</f>
        <v>124117.32800000001</v>
      </c>
      <c r="G26" s="538">
        <f>SUM(G24:G25)</f>
        <v>170181.7</v>
      </c>
      <c r="H26" s="539">
        <f t="shared" si="0"/>
        <v>46064.372000000003</v>
      </c>
      <c r="I26" s="538">
        <f>SUM(I24:I25)</f>
        <v>236946.62500000003</v>
      </c>
      <c r="J26" s="540">
        <f t="shared" si="1"/>
        <v>-66764.925000000017</v>
      </c>
      <c r="K26" s="537">
        <f>SUM(K24:K25)</f>
        <v>1529663.8560000001</v>
      </c>
      <c r="L26" s="538">
        <f>SUM(L24:L25)</f>
        <v>1831067.0389999999</v>
      </c>
      <c r="M26" s="539">
        <f t="shared" si="2"/>
        <v>301403.18299999973</v>
      </c>
      <c r="N26" s="538">
        <f>SUM(N24:N25)</f>
        <v>1796102.4939999999</v>
      </c>
      <c r="O26" s="540">
        <f t="shared" si="3"/>
        <v>34964.544999999925</v>
      </c>
      <c r="P26" s="514"/>
      <c r="Q26" s="514"/>
    </row>
    <row r="27" spans="4:17" ht="25.5" customHeight="1" x14ac:dyDescent="0.3">
      <c r="D27" s="521" t="s">
        <v>7</v>
      </c>
      <c r="E27" s="552"/>
      <c r="F27" s="523">
        <f>+F22-F26</f>
        <v>259839.68724048484</v>
      </c>
      <c r="G27" s="524">
        <f>+G22-G26</f>
        <v>-64009.488000000652</v>
      </c>
      <c r="H27" s="525">
        <f t="shared" si="0"/>
        <v>-323849.17524048546</v>
      </c>
      <c r="I27" s="524">
        <f>+I22-I26</f>
        <v>-101102.07300000082</v>
      </c>
      <c r="J27" s="526">
        <f t="shared" si="1"/>
        <v>37092.585000000166</v>
      </c>
      <c r="K27" s="523">
        <f>+K22-K26</f>
        <v>2522964.5974240066</v>
      </c>
      <c r="L27" s="524">
        <f>+L22-L26</f>
        <v>-117768.07599997427</v>
      </c>
      <c r="M27" s="525">
        <f t="shared" si="2"/>
        <v>-2640732.6734239808</v>
      </c>
      <c r="N27" s="524">
        <f>+N22-N26</f>
        <v>500758.27500000503</v>
      </c>
      <c r="O27" s="526">
        <f t="shared" si="3"/>
        <v>-618526.3509999793</v>
      </c>
      <c r="P27" s="514"/>
      <c r="Q27" s="514"/>
    </row>
    <row r="28" spans="4:17" ht="25.5" customHeight="1" thickBot="1" x14ac:dyDescent="0.35">
      <c r="D28" s="521"/>
      <c r="E28" s="553" t="s">
        <v>10</v>
      </c>
      <c r="F28" s="554">
        <f>+F27/F14</f>
        <v>1.8239438247540013E-2</v>
      </c>
      <c r="G28" s="555">
        <f>+G27/G14</f>
        <v>-9.2754879225889573E-3</v>
      </c>
      <c r="H28" s="556">
        <f t="shared" si="0"/>
        <v>-2.7514926170128969E-2</v>
      </c>
      <c r="I28" s="555">
        <f>+I27/I14</f>
        <v>-1.3578217702814057E-2</v>
      </c>
      <c r="J28" s="557">
        <f t="shared" si="1"/>
        <v>4.3027297802250997E-3</v>
      </c>
      <c r="K28" s="554">
        <f>+K27/K14</f>
        <v>1.6803807982969175E-2</v>
      </c>
      <c r="L28" s="555">
        <f>+L27/L14</f>
        <v>-1.1874038625041352E-3</v>
      </c>
      <c r="M28" s="556">
        <f t="shared" si="2"/>
        <v>-1.7991211845473309E-2</v>
      </c>
      <c r="N28" s="555">
        <f>+N27/N14</f>
        <v>4.8149904992293843E-3</v>
      </c>
      <c r="O28" s="557">
        <f t="shared" si="3"/>
        <v>-6.0023943617335193E-3</v>
      </c>
      <c r="P28" s="514"/>
      <c r="Q28" s="514"/>
    </row>
    <row r="29" spans="4:17" ht="25.5" customHeight="1" thickTop="1" x14ac:dyDescent="0.3">
      <c r="D29" s="666" t="s">
        <v>204</v>
      </c>
      <c r="E29" s="667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4"/>
      <c r="Q29" s="514"/>
    </row>
    <row r="30" spans="4:17" ht="25.5" customHeight="1" x14ac:dyDescent="0.3">
      <c r="D30" s="668"/>
      <c r="E30" s="669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4"/>
      <c r="Q30" s="514"/>
    </row>
    <row r="31" spans="4:17" ht="25.5" customHeight="1" x14ac:dyDescent="0.3">
      <c r="D31" s="668"/>
      <c r="E31" s="669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4"/>
      <c r="Q31" s="514"/>
    </row>
    <row r="32" spans="4:17" ht="25.5" customHeight="1" x14ac:dyDescent="0.3">
      <c r="D32" s="668"/>
      <c r="E32" s="669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4"/>
      <c r="Q32" s="514"/>
    </row>
    <row r="33" spans="4:54" ht="25.5" customHeight="1" x14ac:dyDescent="0.3">
      <c r="D33" s="668"/>
      <c r="E33" s="669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4"/>
      <c r="Q33" s="514"/>
    </row>
    <row r="34" spans="4:54" ht="25.5" customHeight="1" x14ac:dyDescent="0.3">
      <c r="D34" s="670"/>
      <c r="E34" s="671"/>
      <c r="F34" s="344"/>
      <c r="G34" s="344"/>
      <c r="H34" s="344"/>
      <c r="I34" s="344"/>
      <c r="J34" s="344"/>
      <c r="K34" s="344"/>
      <c r="L34" s="344"/>
      <c r="M34" s="344"/>
      <c r="N34" s="558"/>
      <c r="O34" s="347"/>
      <c r="R34" s="6" t="s">
        <v>176</v>
      </c>
    </row>
    <row r="35" spans="4:54" ht="21.95" customHeight="1" x14ac:dyDescent="0.3"/>
    <row r="36" spans="4:54" ht="21.95" customHeight="1" x14ac:dyDescent="0.3">
      <c r="F36" s="6">
        <f>+IFERROR(HLOOKUP($F$8,[14]손익!$G$5:$AJ$65,17,),)</f>
        <v>259839.68724048484</v>
      </c>
      <c r="G36" s="6">
        <f>+'[6]12월'!$M$41</f>
        <v>-64009.488000000638</v>
      </c>
      <c r="I36" s="6">
        <f>+IFERROR(HLOOKUP($F$8,[7]월별!$E$2:$T$53,39,),)</f>
        <v>-101102.0730000008</v>
      </c>
      <c r="R36" s="559"/>
      <c r="S36" s="560" t="s">
        <v>177</v>
      </c>
      <c r="T36" s="560" t="s">
        <v>178</v>
      </c>
      <c r="U36" s="560" t="s">
        <v>179</v>
      </c>
      <c r="V36" s="560" t="s">
        <v>180</v>
      </c>
      <c r="W36" s="560" t="s">
        <v>167</v>
      </c>
      <c r="X36" s="560" t="s">
        <v>160</v>
      </c>
      <c r="Y36" s="560" t="s">
        <v>181</v>
      </c>
      <c r="Z36" s="560" t="s">
        <v>182</v>
      </c>
      <c r="AA36" s="560" t="s">
        <v>183</v>
      </c>
      <c r="AB36" s="560" t="s">
        <v>184</v>
      </c>
      <c r="AC36" s="560" t="s">
        <v>185</v>
      </c>
      <c r="AD36" s="560" t="s">
        <v>186</v>
      </c>
      <c r="AE36" s="560" t="s">
        <v>177</v>
      </c>
      <c r="AF36" s="560" t="s">
        <v>187</v>
      </c>
      <c r="AG36" s="560" t="s">
        <v>188</v>
      </c>
      <c r="AH36" s="560" t="s">
        <v>189</v>
      </c>
      <c r="AI36" s="560" t="s">
        <v>167</v>
      </c>
      <c r="AJ36" s="560" t="s">
        <v>160</v>
      </c>
      <c r="AK36" s="560" t="s">
        <v>181</v>
      </c>
      <c r="AL36" s="560" t="s">
        <v>190</v>
      </c>
      <c r="AM36" s="560" t="s">
        <v>183</v>
      </c>
      <c r="AN36" s="560" t="s">
        <v>184</v>
      </c>
      <c r="AO36" s="560" t="s">
        <v>191</v>
      </c>
      <c r="AP36" s="560" t="s">
        <v>192</v>
      </c>
      <c r="AQ36" s="560" t="s">
        <v>186</v>
      </c>
      <c r="AR36" s="560" t="s">
        <v>187</v>
      </c>
      <c r="AS36" s="560" t="s">
        <v>179</v>
      </c>
      <c r="AT36" s="560" t="s">
        <v>180</v>
      </c>
      <c r="AU36" s="560" t="s">
        <v>193</v>
      </c>
      <c r="AV36" s="560" t="s">
        <v>197</v>
      </c>
      <c r="AW36" s="560" t="s">
        <v>181</v>
      </c>
      <c r="AX36" s="560" t="s">
        <v>190</v>
      </c>
      <c r="AY36" s="560" t="s">
        <v>206</v>
      </c>
      <c r="AZ36" s="560" t="s">
        <v>184</v>
      </c>
      <c r="BA36" s="560" t="s">
        <v>185</v>
      </c>
      <c r="BB36" s="560" t="s">
        <v>210</v>
      </c>
    </row>
    <row r="37" spans="4:54" ht="21.95" customHeight="1" x14ac:dyDescent="0.3">
      <c r="F37" s="6" t="b">
        <f>+F27=F36</f>
        <v>1</v>
      </c>
      <c r="G37" s="6" t="b">
        <f>+G27=G36</f>
        <v>0</v>
      </c>
      <c r="I37" s="6" t="b">
        <f>+I27=I36</f>
        <v>1</v>
      </c>
      <c r="R37" s="561" t="s">
        <v>194</v>
      </c>
      <c r="S37" s="562" t="s">
        <v>177</v>
      </c>
      <c r="T37" s="562" t="s">
        <v>178</v>
      </c>
      <c r="U37" s="562">
        <v>3</v>
      </c>
      <c r="V37" s="562" t="s">
        <v>180</v>
      </c>
      <c r="W37" s="562" t="s">
        <v>167</v>
      </c>
      <c r="X37" s="562" t="s">
        <v>160</v>
      </c>
      <c r="Y37" s="562" t="s">
        <v>181</v>
      </c>
      <c r="Z37" s="562" t="str">
        <f t="shared" ref="Z37:AU37" si="4">+Z36</f>
        <v>8월</v>
      </c>
      <c r="AA37" s="562" t="str">
        <f t="shared" si="4"/>
        <v>9월</v>
      </c>
      <c r="AB37" s="562" t="str">
        <f t="shared" si="4"/>
        <v>10월</v>
      </c>
      <c r="AC37" s="562" t="str">
        <f t="shared" si="4"/>
        <v>11월</v>
      </c>
      <c r="AD37" s="562" t="str">
        <f t="shared" si="4"/>
        <v>1월</v>
      </c>
      <c r="AE37" s="562" t="str">
        <f t="shared" si="4"/>
        <v>1월</v>
      </c>
      <c r="AF37" s="562" t="str">
        <f t="shared" si="4"/>
        <v>2월</v>
      </c>
      <c r="AG37" s="562" t="str">
        <f t="shared" si="4"/>
        <v>3월</v>
      </c>
      <c r="AH37" s="562" t="str">
        <f t="shared" si="4"/>
        <v>4월</v>
      </c>
      <c r="AI37" s="562" t="str">
        <f t="shared" si="4"/>
        <v>5월</v>
      </c>
      <c r="AJ37" s="562" t="str">
        <f t="shared" si="4"/>
        <v>6월</v>
      </c>
      <c r="AK37" s="562" t="str">
        <f t="shared" si="4"/>
        <v>7월</v>
      </c>
      <c r="AL37" s="562" t="str">
        <f t="shared" si="4"/>
        <v>8월</v>
      </c>
      <c r="AM37" s="562" t="str">
        <f t="shared" si="4"/>
        <v>9월</v>
      </c>
      <c r="AN37" s="562" t="str">
        <f t="shared" si="4"/>
        <v>10월</v>
      </c>
      <c r="AO37" s="562" t="str">
        <f t="shared" si="4"/>
        <v>11월</v>
      </c>
      <c r="AP37" s="562" t="str">
        <f t="shared" si="4"/>
        <v>12월</v>
      </c>
      <c r="AQ37" s="562" t="str">
        <f t="shared" si="4"/>
        <v>1월</v>
      </c>
      <c r="AR37" s="562" t="str">
        <f t="shared" si="4"/>
        <v>2월</v>
      </c>
      <c r="AS37" s="562" t="str">
        <f t="shared" si="4"/>
        <v>3월</v>
      </c>
      <c r="AT37" s="562" t="str">
        <f t="shared" si="4"/>
        <v>4월</v>
      </c>
      <c r="AU37" s="562" t="str">
        <f t="shared" si="4"/>
        <v>5월</v>
      </c>
      <c r="AV37" s="562" t="str">
        <f t="shared" ref="AV37:BA37" si="5">+AV36</f>
        <v>6월</v>
      </c>
      <c r="AW37" s="562" t="str">
        <f t="shared" si="5"/>
        <v>7월</v>
      </c>
      <c r="AX37" s="562" t="str">
        <f t="shared" si="5"/>
        <v>8월</v>
      </c>
      <c r="AY37" s="562" t="str">
        <f t="shared" si="5"/>
        <v>9월</v>
      </c>
      <c r="AZ37" s="562" t="str">
        <f t="shared" si="5"/>
        <v>10월</v>
      </c>
      <c r="BA37" s="562" t="str">
        <f t="shared" si="5"/>
        <v>11월</v>
      </c>
      <c r="BB37" s="562" t="str">
        <f t="shared" ref="BB37" si="6">+BB36</f>
        <v>12월</v>
      </c>
    </row>
    <row r="38" spans="4:54" ht="21.95" customHeight="1" x14ac:dyDescent="0.3">
      <c r="F38" s="563">
        <f>+F27-F36</f>
        <v>0</v>
      </c>
      <c r="G38" s="563">
        <f>+G27-G36</f>
        <v>0</v>
      </c>
      <c r="I38" s="563">
        <f>+I27-I36</f>
        <v>0</v>
      </c>
      <c r="K38" s="563"/>
      <c r="L38" s="563"/>
      <c r="N38" s="86"/>
      <c r="R38" s="564" t="s">
        <v>195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  <c r="AX38" s="362">
        <f>+IFERROR(HLOOKUP(AX$36,[6]월별!$E$2:$S$67,43,),)</f>
        <v>765881.71758050087</v>
      </c>
      <c r="AY38" s="362">
        <f>+IFERROR(HLOOKUP(AY$36,[6]월별!$E$2:$S$67,43,),)</f>
        <v>791593.63411319733</v>
      </c>
      <c r="AZ38" s="362">
        <f>+IFERROR(HLOOKUP(AZ$36,[6]월별!$E$2:$S$67,43,),)</f>
        <v>809127.48025390261</v>
      </c>
      <c r="BA38" s="362">
        <f>+IFERROR(HLOOKUP(BA$36,[6]월별!$E$2:$S$67,43,),)</f>
        <v>746100.56259680667</v>
      </c>
      <c r="BB38" s="362">
        <f>+IFERROR(HLOOKUP(BB$36,[6]월별!$E$2:$S$67,43,),)</f>
        <v>717670.73803167441</v>
      </c>
    </row>
    <row r="39" spans="4:54" ht="21.95" customHeight="1" x14ac:dyDescent="0.3">
      <c r="R39" s="565" t="s">
        <v>196</v>
      </c>
      <c r="S39" s="566">
        <f>+IFERROR(HLOOKUP(S$36,[7]월별!$E$2:$S$67,43,),)</f>
        <v>0</v>
      </c>
      <c r="T39" s="566">
        <f>+IFERROR(HLOOKUP(T$36,[7]월별!$E$2:$S$67,43,),)</f>
        <v>0</v>
      </c>
      <c r="U39" s="566">
        <f>+IFERROR(HLOOKUP(U$36,[7]월별!$E$2:$S$67,43,),)</f>
        <v>0</v>
      </c>
      <c r="V39" s="566">
        <f>+IFERROR(HLOOKUP(V$36,[7]월별!$E$2:$S$67,43,),)</f>
        <v>0</v>
      </c>
      <c r="W39" s="566">
        <f>+IFERROR(HLOOKUP(W$36,[7]월별!$E$2:$S$67,43,),)</f>
        <v>0</v>
      </c>
      <c r="X39" s="566">
        <f>+IFERROR(HLOOKUP(X$36,[7]월별!$E$2:$S$67,43,),)</f>
        <v>0</v>
      </c>
      <c r="Y39" s="566">
        <f>+IFERROR(HLOOKUP(Y$36,[7]월별!$E$2:$S$67,43,),)</f>
        <v>0</v>
      </c>
      <c r="Z39" s="566">
        <f>+IFERROR(HLOOKUP(Z$36,[7]월별!$E$2:$S$67,43,),)</f>
        <v>0</v>
      </c>
      <c r="AA39" s="566">
        <f>+IFERROR(HLOOKUP(AA$36,[7]월별!$E$2:$S$67,43,),)</f>
        <v>0</v>
      </c>
      <c r="AB39" s="566">
        <f>+IFERROR(HLOOKUP(AB$36,[7]월별!$E$2:$S$67,43,),)</f>
        <v>0</v>
      </c>
      <c r="AC39" s="566">
        <f>+IFERROR(HLOOKUP(AC$36,[7]월별!$E$2:$S$67,43,),)</f>
        <v>0</v>
      </c>
      <c r="AD39" s="566">
        <f>+IFERROR(HLOOKUP(AD$36,[7]월별!$E$2:$S$67,43,),)</f>
        <v>0</v>
      </c>
      <c r="AE39" s="566">
        <f>+IFERROR(HLOOKUP(AE$36,[7]월별!$E$2:$S$67,51,),)</f>
        <v>2.7823178707229314E-2</v>
      </c>
      <c r="AF39" s="566">
        <f>+IFERROR(HLOOKUP(AF$36,[7]월별!$E$2:$S$67,51,),)</f>
        <v>2.7130154457106714E-2</v>
      </c>
      <c r="AG39" s="566">
        <f>+IFERROR(HLOOKUP(AG$36,[7]월별!$E$2:$S$67,51,),)</f>
        <v>1.8797000201944851E-2</v>
      </c>
      <c r="AH39" s="566">
        <f>+IFERROR(HLOOKUP(AH$36,[7]월별!$E$2:$S$67,51,),)</f>
        <v>1.8146921038230335E-2</v>
      </c>
      <c r="AI39" s="566">
        <f>+IFERROR(HLOOKUP(AI$36,[7]월별!$E$2:$S$67,51,),)</f>
        <v>2.5679335587291203E-2</v>
      </c>
      <c r="AJ39" s="566">
        <f>+IFERROR(HLOOKUP(AJ$36,[7]월별!$E$2:$S$67,51,),)</f>
        <v>3.7059976070507129E-2</v>
      </c>
      <c r="AK39" s="566">
        <f>+IFERROR(HLOOKUP(AK$36,[7]월별!$E$2:$S$67,51,),)</f>
        <v>8.2866316338170258E-3</v>
      </c>
      <c r="AL39" s="566">
        <f>+IFERROR(HLOOKUP(AL$36,[7]월별!$E$2:$S$67,51,),)</f>
        <v>1.8929258347069412E-2</v>
      </c>
      <c r="AM39" s="566">
        <f>+IFERROR(HLOOKUP(AM$36,[7]월별!$E$2:$S$67,51,),)</f>
        <v>1.7296509360740942E-2</v>
      </c>
      <c r="AN39" s="566">
        <f>+IFERROR(HLOOKUP(AN$36,[7]월별!$E$2:$S$67,51,),)</f>
        <v>2.3542137855523892E-2</v>
      </c>
      <c r="AO39" s="566">
        <f>+IFERROR(HLOOKUP(AO$36,[7]월별!$E$2:$S$67,51,),)</f>
        <v>2.3726716491380119E-2</v>
      </c>
      <c r="AP39" s="566">
        <f>+IFERROR(HLOOKUP(AP$36,[7]월별!$E$2:$S$67,51,),)</f>
        <v>1.4154492203434744E-2</v>
      </c>
      <c r="AQ39" s="566">
        <f>+IFERROR(HLOOKUP(AQ$36,[6]월별!$E$2:$S$67,49,),)</f>
        <v>1.7727214453804725E-2</v>
      </c>
      <c r="AR39" s="566">
        <f>+IFERROR(HLOOKUP(AR$36,[6]월별!$E$2:$S$67,49,),)</f>
        <v>1.5585145342365754E-2</v>
      </c>
      <c r="AS39" s="566">
        <f>+IFERROR(HLOOKUP(AS$36,[6]월별!$E$2:$S$67,49,),)</f>
        <v>1.4844907762880278E-3</v>
      </c>
      <c r="AT39" s="566">
        <f>+IFERROR(HLOOKUP(AT$36,[6]월별!$E$2:$S$67,49,),)</f>
        <v>1.4249312193258659E-2</v>
      </c>
      <c r="AU39" s="566">
        <f>+IFERROR(HLOOKUP(AU$36,[6]월별!$E$2:$S$67,49,),)</f>
        <v>1.6605663837480539E-2</v>
      </c>
      <c r="AV39" s="566">
        <f>+IFERROR(HLOOKUP(AV$36,[6]월별!$E$2:$S$67,49,),)</f>
        <v>2.5690430727950502E-2</v>
      </c>
      <c r="AW39" s="566">
        <f>+IFERROR(HLOOKUP(AW$36,[6]월별!$E$2:$S$67,49,),)</f>
        <v>1.3537465010160435E-2</v>
      </c>
      <c r="AX39" s="566">
        <f>+IFERROR(HLOOKUP(AX$36,[6]월별!$E$2:$S$67,49,),)</f>
        <v>2.2615170311533105E-2</v>
      </c>
      <c r="AY39" s="566">
        <f>+IFERROR(HLOOKUP(AY$36,[6]월별!$E$2:$S$67,49,),)</f>
        <v>2.4112163211421126E-2</v>
      </c>
      <c r="AZ39" s="566">
        <f>+IFERROR(HLOOKUP(AZ$36,[6]월별!$E$2:$S$67,49,),)</f>
        <v>1.5942637755550233E-2</v>
      </c>
      <c r="BA39" s="566">
        <f>+IFERROR(HLOOKUP(BA$36,[6]월별!$E$2:$S$67,49,),)</f>
        <v>1.7646523865268868E-2</v>
      </c>
      <c r="BB39" s="566">
        <f>+IFERROR(HLOOKUP(BB$36,[6]월별!$E$2:$S$67,49,),)</f>
        <v>1.000434887601645E-2</v>
      </c>
    </row>
    <row r="40" spans="4:54" ht="21.95" customHeight="1" x14ac:dyDescent="0.3"/>
    <row r="41" spans="4:54" ht="21.95" customHeight="1" x14ac:dyDescent="0.3"/>
    <row r="42" spans="4:54" ht="21.95" customHeight="1" x14ac:dyDescent="0.3"/>
    <row r="43" spans="4:54" ht="21.95" customHeight="1" x14ac:dyDescent="0.3"/>
    <row r="44" spans="4:54" ht="21.95" customHeight="1" x14ac:dyDescent="0.3"/>
    <row r="45" spans="4:54" ht="21.95" customHeight="1" x14ac:dyDescent="0.3"/>
    <row r="46" spans="4:54" ht="21.95" customHeight="1" x14ac:dyDescent="0.3"/>
    <row r="47" spans="4:54" ht="21.95" customHeight="1" x14ac:dyDescent="0.3"/>
    <row r="48" spans="4:54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2">
    <mergeCell ref="D8:E9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파워BI용</vt:lpstr>
      <vt:lpstr>표지</vt:lpstr>
      <vt:lpstr>손익총괄</vt:lpstr>
      <vt:lpstr>레미콘 영업이익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  <vt:lpstr>파워BI용!Print_Area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2026-01-20T04:38:13Z</cp:lastPrinted>
  <dcterms:created xsi:type="dcterms:W3CDTF">2018-12-20T00:38:36Z</dcterms:created>
  <dcterms:modified xsi:type="dcterms:W3CDTF">2026-04-15T07:59:02Z</dcterms:modified>
</cp:coreProperties>
</file>