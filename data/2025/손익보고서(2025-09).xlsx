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9\00_보고서\"/>
    </mc:Choice>
  </mc:AlternateContent>
  <xr:revisionPtr revIDLastSave="0" documentId="13_ncr:1_{C88E8427-D294-48CD-A63D-976A5AD5B556}" xr6:coauthVersionLast="36" xr6:coauthVersionMax="36" xr10:uidLastSave="{00000000-0000-0000-0000-000000000000}"/>
  <bookViews>
    <workbookView xWindow="480" yWindow="75" windowWidth="27975" windowHeight="12495" activeTab="7" xr2:uid="{00000000-000D-0000-FFFF-FFFF00000000}"/>
  </bookViews>
  <sheets>
    <sheet name="파워BI용" sheetId="35" r:id="rId1"/>
    <sheet name="표지" sheetId="24" r:id="rId2"/>
    <sheet name="손익총괄" sheetId="1" r:id="rId3"/>
    <sheet name="레미콘 영업이익" sheetId="37" r:id="rId4"/>
    <sheet name="사업장별(당월)" sheetId="2" r:id="rId5"/>
    <sheet name="사업장별(누계)" sheetId="31" r:id="rId6"/>
    <sheet name="사업장별(당월)_건자재제외" sheetId="32" r:id="rId7"/>
    <sheet name="사업장별(누계)_건자재제외" sheetId="33" r:id="rId8"/>
    <sheet name="영업이익" sheetId="25" r:id="rId9"/>
    <sheet name="공헌이익" sheetId="26" r:id="rId10"/>
    <sheet name="재료비단가" sheetId="27" r:id="rId11"/>
    <sheet name="원단위" sheetId="28" r:id="rId12"/>
    <sheet name="건자재" sheetId="3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2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localSheetId="11" hidden="1">{"Header",#N/A,TRUE,"Summary";"ProjectInfo",#N/A,TRUE,"Total Value"}</definedName>
    <definedName name="edsd" localSheetId="10" hidden="1">{"Header",#N/A,TRUE,"Summary";"ProjectInfo",#N/A,TRUE,"Total Value"}</definedName>
    <definedName name="edsd" hidden="1">{"Header",#N/A,TRUE,"Summary";"ProjectInfo",#N/A,TRUE,"Total Value"}</definedName>
    <definedName name="f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2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localSheetId="11" hidden="1">{"Header",#N/A,TRUE,"Summary";"ProjectInfo",#N/A,TRUE,"Total Value"}</definedName>
    <definedName name="jijk" localSheetId="10" hidden="1">{"Header",#N/A,TRUE,"Summary";"ProjectInfo",#N/A,TRUE,"Total Value"}</definedName>
    <definedName name="jijk" hidden="1">{"Header",#N/A,TRUE,"Summary";"ProjectInfo",#N/A,TRUE,"Total Value"}</definedName>
    <definedName name="jjj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2">건자재!$D$6:$O$34</definedName>
    <definedName name="_xlnm.Print_Area" localSheetId="9">공헌이익!$D$4:$V$29</definedName>
    <definedName name="_xlnm.Print_Area" localSheetId="3">'레미콘 영업이익'!$H$3:$AC$28</definedName>
    <definedName name="_xlnm.Print_Area" localSheetId="5">'사업장별(누계)'!$H$3:$AG$43</definedName>
    <definedName name="_xlnm.Print_Area" localSheetId="7">'사업장별(누계)_건자재제외'!$H$3:$AG$42</definedName>
    <definedName name="_xlnm.Print_Area" localSheetId="4">'사업장별(당월)'!$H$3:$AG$43</definedName>
    <definedName name="_xlnm.Print_Area" localSheetId="6">'사업장별(당월)_건자재제외'!$H$3:$AG$42</definedName>
    <definedName name="_xlnm.Print_Area" localSheetId="2">손익총괄!$C$3:$X$36</definedName>
    <definedName name="_xlnm.Print_Area" localSheetId="8">영업이익!$D$4:$W$29</definedName>
    <definedName name="_xlnm.Print_Area" localSheetId="11">원단위!$D$4:$V$29</definedName>
    <definedName name="_xlnm.Print_Area" localSheetId="10">재료비단가!$D$4:$V$29</definedName>
    <definedName name="_xlnm.Print_Area" localSheetId="0">파워BI용!$A$1:$X$14</definedName>
    <definedName name="sa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2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localSheetId="11" hidden="1">{"Header",#N/A,TRUE,"Summary";"ProjectInfo",#N/A,TRUE,"Total Value"}</definedName>
    <definedName name="w" localSheetId="10" hidden="1">{"Header",#N/A,TRUE,"Summary";"ProjectInfo",#N/A,TRUE,"Total Value"}</definedName>
    <definedName name="w" hidden="1">{"Header",#N/A,TRUE,"Summary";"ProjectInfo",#N/A,TRUE,"Total Value"}</definedName>
    <definedName name="wrn.iIMPRESSION._.DOC.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2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11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hidden="1">{"Header",#N/A,TRUE,"Summary";"ProjectInfo",#N/A,TRUE,"Total Value"}</definedName>
    <definedName name="ww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2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11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2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11" hidden="1">{"Header",#N/A,TRUE,"Summary";"ProjectInfo",#N/A,TRUE,"Total Value"}</definedName>
    <definedName name="ㅈㅇ" localSheetId="10" hidden="1">{"Header",#N/A,TRUE,"Summary";"ProjectInfo",#N/A,TRUE,"Total Value"}</definedName>
    <definedName name="ㅈㅇ" hidden="1">{"Header",#N/A,TRUE,"Summary";"ProjectInfo",#N/A,TRUE,"Total Value"}</definedName>
    <definedName name="차이분서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13" i="35" l="1"/>
  <c r="E13" i="35"/>
  <c r="D13" i="35"/>
  <c r="G11" i="35"/>
  <c r="E11" i="35"/>
  <c r="D11" i="35"/>
  <c r="G9" i="35"/>
  <c r="G10" i="35" s="1"/>
  <c r="E9" i="35"/>
  <c r="H9" i="35" s="1"/>
  <c r="D9" i="35"/>
  <c r="D10" i="35" s="1"/>
  <c r="G8" i="35"/>
  <c r="E8" i="35"/>
  <c r="D8" i="35"/>
  <c r="G6" i="35"/>
  <c r="E6" i="35"/>
  <c r="F6" i="35" s="1"/>
  <c r="D6" i="35"/>
  <c r="G5" i="35"/>
  <c r="G7" i="35" s="1"/>
  <c r="E5" i="35"/>
  <c r="F5" i="35" s="1"/>
  <c r="D5" i="35"/>
  <c r="D7" i="35" s="1"/>
  <c r="G4" i="35"/>
  <c r="E4" i="35"/>
  <c r="F4" i="35" s="1"/>
  <c r="D4" i="35"/>
  <c r="G3" i="35"/>
  <c r="E3" i="35"/>
  <c r="D3" i="35"/>
  <c r="F3" i="35"/>
  <c r="H3" i="35"/>
  <c r="F8" i="35"/>
  <c r="H8" i="35"/>
  <c r="F9" i="35"/>
  <c r="F11" i="35"/>
  <c r="H11" i="35"/>
  <c r="D12" i="35"/>
  <c r="E12" i="35"/>
  <c r="F12" i="35"/>
  <c r="G12" i="35"/>
  <c r="H12" i="35"/>
  <c r="F13" i="35"/>
  <c r="H13" i="35"/>
  <c r="D14" i="35"/>
  <c r="E14" i="35"/>
  <c r="F14" i="35"/>
  <c r="G14" i="35"/>
  <c r="H14" i="35"/>
  <c r="H5" i="35" l="1"/>
  <c r="H6" i="35"/>
  <c r="E7" i="35"/>
  <c r="H4" i="35"/>
  <c r="E10" i="35"/>
  <c r="N25" i="34"/>
  <c r="N24" i="34"/>
  <c r="N16" i="34"/>
  <c r="N15" i="34"/>
  <c r="N13" i="34"/>
  <c r="N12" i="34"/>
  <c r="N10" i="34"/>
  <c r="F10" i="35" l="1"/>
  <c r="H10" i="35"/>
  <c r="F7" i="35"/>
  <c r="H7" i="35"/>
  <c r="T13" i="32"/>
  <c r="AY39" i="34" l="1"/>
  <c r="AY38" i="34"/>
  <c r="AY37" i="34"/>
  <c r="G36" i="34"/>
  <c r="G25" i="34"/>
  <c r="L25" i="34" s="1"/>
  <c r="G24" i="34"/>
  <c r="L24" i="34" s="1"/>
  <c r="G16" i="34"/>
  <c r="L16" i="34" s="1"/>
  <c r="G15" i="34"/>
  <c r="L15" i="34" s="1"/>
  <c r="G13" i="34"/>
  <c r="L13" i="34" s="1"/>
  <c r="G12" i="34"/>
  <c r="L12" i="34" s="1"/>
  <c r="G10" i="34"/>
  <c r="L10" i="34" s="1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W45" i="32"/>
  <c r="T45" i="32"/>
  <c r="R45" i="32"/>
  <c r="O45" i="32"/>
  <c r="M45" i="32"/>
  <c r="J45" i="32"/>
  <c r="W39" i="32"/>
  <c r="T39" i="32"/>
  <c r="R39" i="32"/>
  <c r="O39" i="32"/>
  <c r="W37" i="32"/>
  <c r="T37" i="32"/>
  <c r="R37" i="32"/>
  <c r="W36" i="32"/>
  <c r="W35" i="32"/>
  <c r="W34" i="32"/>
  <c r="T34" i="32"/>
  <c r="W33" i="32"/>
  <c r="T33" i="32"/>
  <c r="R33" i="32"/>
  <c r="O33" i="32"/>
  <c r="W32" i="32"/>
  <c r="T32" i="32"/>
  <c r="R32" i="32"/>
  <c r="O32" i="32"/>
  <c r="W30" i="32"/>
  <c r="T30" i="32"/>
  <c r="R30" i="32"/>
  <c r="O30" i="32"/>
  <c r="M30" i="32"/>
  <c r="J30" i="32"/>
  <c r="W29" i="32"/>
  <c r="T29" i="32"/>
  <c r="R29" i="32"/>
  <c r="O29" i="32"/>
  <c r="M29" i="32"/>
  <c r="J29" i="32"/>
  <c r="W28" i="32"/>
  <c r="T28" i="32"/>
  <c r="R28" i="32"/>
  <c r="O28" i="32"/>
  <c r="M28" i="32"/>
  <c r="J28" i="32"/>
  <c r="W23" i="32"/>
  <c r="T23" i="32"/>
  <c r="R23" i="32"/>
  <c r="O23" i="32"/>
  <c r="M23" i="32"/>
  <c r="J23" i="32"/>
  <c r="W22" i="32"/>
  <c r="T22" i="32"/>
  <c r="R22" i="32"/>
  <c r="O22" i="32"/>
  <c r="M22" i="32"/>
  <c r="J22" i="32"/>
  <c r="W21" i="32"/>
  <c r="T21" i="32"/>
  <c r="R21" i="32"/>
  <c r="O21" i="32"/>
  <c r="M21" i="32"/>
  <c r="J21" i="32"/>
  <c r="W20" i="32"/>
  <c r="T20" i="32"/>
  <c r="R20" i="32"/>
  <c r="O20" i="32"/>
  <c r="M20" i="32"/>
  <c r="J20" i="32"/>
  <c r="W19" i="32"/>
  <c r="T19" i="32"/>
  <c r="R19" i="32"/>
  <c r="O19" i="32"/>
  <c r="M19" i="32"/>
  <c r="J19" i="32"/>
  <c r="W18" i="32"/>
  <c r="T18" i="32"/>
  <c r="R18" i="32"/>
  <c r="O18" i="32"/>
  <c r="M18" i="32"/>
  <c r="J18" i="32"/>
  <c r="W17" i="32"/>
  <c r="T17" i="32"/>
  <c r="R17" i="32"/>
  <c r="O17" i="32"/>
  <c r="M17" i="32"/>
  <c r="J17" i="32"/>
  <c r="W16" i="32"/>
  <c r="T16" i="32"/>
  <c r="R16" i="32"/>
  <c r="O16" i="32"/>
  <c r="M16" i="32"/>
  <c r="J16" i="32"/>
  <c r="W15" i="32"/>
  <c r="T15" i="32"/>
  <c r="R15" i="32"/>
  <c r="O15" i="32"/>
  <c r="M15" i="32"/>
  <c r="J15" i="32"/>
  <c r="W14" i="32"/>
  <c r="T14" i="32"/>
  <c r="R14" i="32"/>
  <c r="O14" i="32"/>
  <c r="M14" i="32"/>
  <c r="J14" i="32"/>
  <c r="W13" i="32"/>
  <c r="R13" i="32"/>
  <c r="O13" i="32"/>
  <c r="M13" i="32"/>
  <c r="J13" i="32"/>
  <c r="W12" i="32"/>
  <c r="T12" i="32"/>
  <c r="R12" i="32"/>
  <c r="O12" i="32"/>
  <c r="M12" i="32"/>
  <c r="J12" i="32"/>
  <c r="W11" i="32"/>
  <c r="T11" i="32"/>
  <c r="R11" i="32"/>
  <c r="O11" i="32"/>
  <c r="M11" i="32"/>
  <c r="J11" i="32"/>
  <c r="W10" i="32"/>
  <c r="T10" i="32"/>
  <c r="R10" i="32"/>
  <c r="O10" i="32"/>
  <c r="M10" i="32"/>
  <c r="J10" i="32"/>
  <c r="W9" i="32"/>
  <c r="T9" i="32"/>
  <c r="R9" i="32"/>
  <c r="O9" i="32"/>
  <c r="M9" i="32"/>
  <c r="J9" i="32"/>
  <c r="W8" i="32"/>
  <c r="T8" i="32"/>
  <c r="R8" i="32"/>
  <c r="O8" i="32"/>
  <c r="M8" i="32"/>
  <c r="J8" i="32"/>
  <c r="W7" i="32"/>
  <c r="T7" i="32"/>
  <c r="R7" i="32"/>
  <c r="O7" i="32"/>
  <c r="M7" i="32"/>
  <c r="J7" i="32"/>
  <c r="W45" i="33"/>
  <c r="T45" i="33"/>
  <c r="R45" i="33"/>
  <c r="O45" i="33"/>
  <c r="M45" i="33"/>
  <c r="J45" i="33"/>
  <c r="W39" i="33"/>
  <c r="T39" i="33"/>
  <c r="R39" i="33"/>
  <c r="O39" i="33"/>
  <c r="W37" i="33"/>
  <c r="T37" i="33"/>
  <c r="R37" i="33"/>
  <c r="W36" i="33"/>
  <c r="W35" i="33"/>
  <c r="W34" i="33"/>
  <c r="T34" i="33"/>
  <c r="W33" i="33"/>
  <c r="T33" i="33"/>
  <c r="R33" i="33"/>
  <c r="O33" i="33"/>
  <c r="W32" i="33"/>
  <c r="T32" i="33"/>
  <c r="R32" i="33"/>
  <c r="O32" i="33"/>
  <c r="W30" i="33"/>
  <c r="T30" i="33"/>
  <c r="R30" i="33"/>
  <c r="O30" i="33"/>
  <c r="M30" i="33"/>
  <c r="J30" i="33"/>
  <c r="W29" i="33"/>
  <c r="T29" i="33"/>
  <c r="R29" i="33"/>
  <c r="O29" i="33"/>
  <c r="M29" i="33"/>
  <c r="J29" i="33"/>
  <c r="W28" i="33"/>
  <c r="T28" i="33"/>
  <c r="R28" i="33"/>
  <c r="O28" i="33"/>
  <c r="M28" i="33"/>
  <c r="J28" i="33"/>
  <c r="W23" i="33"/>
  <c r="T23" i="33"/>
  <c r="R23" i="33"/>
  <c r="O23" i="33"/>
  <c r="M23" i="33"/>
  <c r="J23" i="33"/>
  <c r="W22" i="33"/>
  <c r="T22" i="33"/>
  <c r="R22" i="33"/>
  <c r="O22" i="33"/>
  <c r="M22" i="33"/>
  <c r="J22" i="33"/>
  <c r="W21" i="33"/>
  <c r="T21" i="33"/>
  <c r="R21" i="33"/>
  <c r="O21" i="33"/>
  <c r="M21" i="33"/>
  <c r="J21" i="33"/>
  <c r="W20" i="33"/>
  <c r="T20" i="33"/>
  <c r="R20" i="33"/>
  <c r="O20" i="33"/>
  <c r="M20" i="33"/>
  <c r="J20" i="33"/>
  <c r="W19" i="33"/>
  <c r="T19" i="33"/>
  <c r="R19" i="33"/>
  <c r="O19" i="33"/>
  <c r="M19" i="33"/>
  <c r="J19" i="33"/>
  <c r="W18" i="33"/>
  <c r="T18" i="33"/>
  <c r="R18" i="33"/>
  <c r="O18" i="33"/>
  <c r="M18" i="33"/>
  <c r="J18" i="33"/>
  <c r="W17" i="33"/>
  <c r="T17" i="33"/>
  <c r="R17" i="33"/>
  <c r="O17" i="33"/>
  <c r="M17" i="33"/>
  <c r="J17" i="33"/>
  <c r="W16" i="33"/>
  <c r="T16" i="33"/>
  <c r="R16" i="33"/>
  <c r="O16" i="33"/>
  <c r="M16" i="33"/>
  <c r="J16" i="33"/>
  <c r="W15" i="33"/>
  <c r="T15" i="33"/>
  <c r="R15" i="33"/>
  <c r="O15" i="33"/>
  <c r="M15" i="33"/>
  <c r="J15" i="33"/>
  <c r="W14" i="33"/>
  <c r="T14" i="33"/>
  <c r="R14" i="33"/>
  <c r="O14" i="33"/>
  <c r="M14" i="33"/>
  <c r="J14" i="33"/>
  <c r="W13" i="33"/>
  <c r="T13" i="33"/>
  <c r="R13" i="33"/>
  <c r="O13" i="33"/>
  <c r="M13" i="33"/>
  <c r="J13" i="33"/>
  <c r="W12" i="33"/>
  <c r="T12" i="33"/>
  <c r="R12" i="33"/>
  <c r="O12" i="33"/>
  <c r="M12" i="33"/>
  <c r="J12" i="33"/>
  <c r="W11" i="33"/>
  <c r="T11" i="33"/>
  <c r="R11" i="33"/>
  <c r="O11" i="33"/>
  <c r="M11" i="33"/>
  <c r="J11" i="33"/>
  <c r="W10" i="33"/>
  <c r="T10" i="33"/>
  <c r="R10" i="33"/>
  <c r="O10" i="33"/>
  <c r="M10" i="33"/>
  <c r="J10" i="33"/>
  <c r="W9" i="33"/>
  <c r="T9" i="33"/>
  <c r="R9" i="33"/>
  <c r="O9" i="33"/>
  <c r="M9" i="33"/>
  <c r="J9" i="33"/>
  <c r="W8" i="33"/>
  <c r="T8" i="33"/>
  <c r="R8" i="33"/>
  <c r="O8" i="33"/>
  <c r="M8" i="33"/>
  <c r="J8" i="33"/>
  <c r="W7" i="33"/>
  <c r="T7" i="33"/>
  <c r="R7" i="33"/>
  <c r="O7" i="33"/>
  <c r="M7" i="33"/>
  <c r="J7" i="33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AD27" i="2"/>
  <c r="AA27" i="2"/>
  <c r="AD26" i="2"/>
  <c r="AA26" i="2"/>
  <c r="AD25" i="2"/>
  <c r="AA25" i="2"/>
  <c r="AD24" i="2"/>
  <c r="AA24" i="2"/>
  <c r="AD23" i="2"/>
  <c r="AA23" i="2"/>
  <c r="AD22" i="2"/>
  <c r="AA22" i="2"/>
  <c r="AD21" i="2"/>
  <c r="AA21" i="2"/>
  <c r="AD20" i="2"/>
  <c r="AA20" i="2"/>
  <c r="AD19" i="2"/>
  <c r="AA19" i="2"/>
  <c r="AD18" i="2"/>
  <c r="AA18" i="2"/>
  <c r="AD17" i="2"/>
  <c r="AA17" i="2"/>
  <c r="AD16" i="2"/>
  <c r="AA16" i="2"/>
  <c r="AD15" i="2"/>
  <c r="AA15" i="2"/>
  <c r="AD14" i="2"/>
  <c r="AA14" i="2"/>
  <c r="AD13" i="2"/>
  <c r="AA13" i="2"/>
  <c r="AD12" i="2"/>
  <c r="AA12" i="2"/>
  <c r="AD11" i="2"/>
  <c r="AA11" i="2"/>
  <c r="AD10" i="2"/>
  <c r="AA10" i="2"/>
  <c r="AD9" i="2"/>
  <c r="AA9" i="2"/>
  <c r="AD8" i="2"/>
  <c r="AA8" i="2"/>
  <c r="AD7" i="2"/>
  <c r="AA7" i="2"/>
  <c r="AD27" i="31"/>
  <c r="AC27" i="31"/>
  <c r="AB27" i="31"/>
  <c r="AA27" i="31"/>
  <c r="Z27" i="31"/>
  <c r="Y27" i="31"/>
  <c r="AD26" i="31"/>
  <c r="AC26" i="31"/>
  <c r="AB26" i="31"/>
  <c r="AA26" i="31"/>
  <c r="Z26" i="31"/>
  <c r="Y26" i="31"/>
  <c r="AD25" i="31"/>
  <c r="AC25" i="31"/>
  <c r="AB25" i="31"/>
  <c r="AA25" i="31"/>
  <c r="Z25" i="31"/>
  <c r="Y25" i="31"/>
  <c r="AD24" i="31"/>
  <c r="AC24" i="31"/>
  <c r="AB24" i="31"/>
  <c r="AA24" i="31"/>
  <c r="Z24" i="31"/>
  <c r="Y24" i="31"/>
  <c r="AD23" i="31"/>
  <c r="AC23" i="31"/>
  <c r="AB23" i="31"/>
  <c r="AA23" i="31"/>
  <c r="Z23" i="31"/>
  <c r="Y23" i="31"/>
  <c r="AD22" i="31"/>
  <c r="AC22" i="31"/>
  <c r="AB22" i="31"/>
  <c r="AA22" i="31"/>
  <c r="Z22" i="31"/>
  <c r="Y22" i="31"/>
  <c r="AD21" i="31"/>
  <c r="AC21" i="31"/>
  <c r="AB21" i="31"/>
  <c r="AA21" i="31"/>
  <c r="Z21" i="31"/>
  <c r="Y21" i="31"/>
  <c r="AD20" i="31"/>
  <c r="AC20" i="31"/>
  <c r="AB20" i="31"/>
  <c r="AA20" i="31"/>
  <c r="Z20" i="31"/>
  <c r="Y20" i="31"/>
  <c r="AD19" i="31"/>
  <c r="AC19" i="31"/>
  <c r="AB19" i="31"/>
  <c r="AA19" i="31"/>
  <c r="Z19" i="31"/>
  <c r="Y19" i="31"/>
  <c r="AD18" i="31"/>
  <c r="AC18" i="31"/>
  <c r="AB18" i="31"/>
  <c r="AA18" i="31"/>
  <c r="Z18" i="31"/>
  <c r="Y18" i="31"/>
  <c r="AD17" i="31"/>
  <c r="AC17" i="31"/>
  <c r="AB17" i="31"/>
  <c r="AA17" i="31"/>
  <c r="Z17" i="31"/>
  <c r="Y17" i="31"/>
  <c r="AD16" i="31"/>
  <c r="AC16" i="31"/>
  <c r="AB16" i="31"/>
  <c r="AA16" i="31"/>
  <c r="Z16" i="31"/>
  <c r="Y16" i="31"/>
  <c r="AD15" i="31"/>
  <c r="AC15" i="31"/>
  <c r="AB15" i="31"/>
  <c r="AA15" i="31"/>
  <c r="Z15" i="31"/>
  <c r="Y15" i="31"/>
  <c r="AD14" i="31"/>
  <c r="AC14" i="31"/>
  <c r="AB14" i="31"/>
  <c r="AA14" i="31"/>
  <c r="Z14" i="31"/>
  <c r="Y14" i="31"/>
  <c r="AD13" i="31"/>
  <c r="AC13" i="31"/>
  <c r="AB13" i="31"/>
  <c r="AA13" i="31"/>
  <c r="Z13" i="31"/>
  <c r="Y13" i="31"/>
  <c r="AD12" i="31"/>
  <c r="AC12" i="31"/>
  <c r="AB12" i="31"/>
  <c r="AA12" i="31"/>
  <c r="Z12" i="31"/>
  <c r="Y12" i="31"/>
  <c r="AD11" i="31"/>
  <c r="AC11" i="31"/>
  <c r="AB11" i="31"/>
  <c r="AA11" i="31"/>
  <c r="Z11" i="31"/>
  <c r="Y11" i="31"/>
  <c r="AD10" i="31"/>
  <c r="AC10" i="31"/>
  <c r="AB10" i="31"/>
  <c r="AA10" i="31"/>
  <c r="Z10" i="31"/>
  <c r="Y10" i="31"/>
  <c r="AD9" i="31"/>
  <c r="AC9" i="31"/>
  <c r="AB9" i="31"/>
  <c r="AA9" i="31"/>
  <c r="Z9" i="31"/>
  <c r="Y9" i="31"/>
  <c r="AD8" i="31"/>
  <c r="AC8" i="31"/>
  <c r="AB8" i="31"/>
  <c r="AA8" i="31"/>
  <c r="Z8" i="31"/>
  <c r="Y8" i="31"/>
  <c r="AD7" i="31"/>
  <c r="AC7" i="31"/>
  <c r="AB7" i="31"/>
  <c r="AA7" i="31"/>
  <c r="Z7" i="31"/>
  <c r="Y7" i="31"/>
  <c r="AD27" i="32"/>
  <c r="AA27" i="32"/>
  <c r="AD26" i="32"/>
  <c r="AA26" i="32"/>
  <c r="AD25" i="32"/>
  <c r="AA25" i="32"/>
  <c r="AD24" i="32"/>
  <c r="AA24" i="32"/>
  <c r="AD23" i="32"/>
  <c r="AA23" i="32"/>
  <c r="AD22" i="32"/>
  <c r="AA22" i="32"/>
  <c r="AD21" i="32"/>
  <c r="AA21" i="32"/>
  <c r="AD20" i="32"/>
  <c r="AA20" i="32"/>
  <c r="AD19" i="32"/>
  <c r="AA19" i="32"/>
  <c r="AD18" i="32"/>
  <c r="AA18" i="32"/>
  <c r="AD17" i="32"/>
  <c r="AA17" i="32"/>
  <c r="AD16" i="32"/>
  <c r="AA16" i="32"/>
  <c r="AD15" i="32"/>
  <c r="AA15" i="32"/>
  <c r="AD14" i="32"/>
  <c r="AA14" i="32"/>
  <c r="AD13" i="32"/>
  <c r="AA13" i="32"/>
  <c r="AD12" i="32"/>
  <c r="AA12" i="32"/>
  <c r="AD11" i="32"/>
  <c r="AA11" i="32"/>
  <c r="AD10" i="32"/>
  <c r="AA10" i="32"/>
  <c r="AD9" i="32"/>
  <c r="AA9" i="32"/>
  <c r="AD8" i="32"/>
  <c r="AA8" i="32"/>
  <c r="AD7" i="32"/>
  <c r="AA7" i="32"/>
  <c r="AD27" i="33"/>
  <c r="AC27" i="33"/>
  <c r="AB27" i="33"/>
  <c r="AA27" i="33"/>
  <c r="Z27" i="33"/>
  <c r="Y27" i="33"/>
  <c r="AD26" i="33"/>
  <c r="AC26" i="33"/>
  <c r="AB26" i="33"/>
  <c r="AA26" i="33"/>
  <c r="Z26" i="33"/>
  <c r="Y26" i="33"/>
  <c r="AD25" i="33"/>
  <c r="AC25" i="33"/>
  <c r="AB25" i="33"/>
  <c r="AA25" i="33"/>
  <c r="Z25" i="33"/>
  <c r="Y25" i="33"/>
  <c r="AD24" i="33"/>
  <c r="AC24" i="33"/>
  <c r="AB24" i="33"/>
  <c r="AA24" i="33"/>
  <c r="Z24" i="33"/>
  <c r="Y24" i="33"/>
  <c r="AD23" i="33"/>
  <c r="AC23" i="33"/>
  <c r="AB23" i="33"/>
  <c r="AA23" i="33"/>
  <c r="Z23" i="33"/>
  <c r="Y23" i="33"/>
  <c r="AD22" i="33"/>
  <c r="AC22" i="33"/>
  <c r="AB22" i="33"/>
  <c r="AA22" i="33"/>
  <c r="Z22" i="33"/>
  <c r="Y22" i="33"/>
  <c r="AD21" i="33"/>
  <c r="AC21" i="33"/>
  <c r="AB21" i="33"/>
  <c r="AA21" i="33"/>
  <c r="Z21" i="33"/>
  <c r="Y21" i="33"/>
  <c r="AD20" i="33"/>
  <c r="AC20" i="33"/>
  <c r="AB20" i="33"/>
  <c r="AA20" i="33"/>
  <c r="Z20" i="33"/>
  <c r="Y20" i="33"/>
  <c r="AD19" i="33"/>
  <c r="AC19" i="33"/>
  <c r="AB19" i="33"/>
  <c r="AA19" i="33"/>
  <c r="Z19" i="33"/>
  <c r="Y19" i="33"/>
  <c r="AD18" i="33"/>
  <c r="AC18" i="33"/>
  <c r="AB18" i="33"/>
  <c r="AA18" i="33"/>
  <c r="Z18" i="33"/>
  <c r="Y18" i="33"/>
  <c r="AD17" i="33"/>
  <c r="AC17" i="33"/>
  <c r="AB17" i="33"/>
  <c r="AA17" i="33"/>
  <c r="Z17" i="33"/>
  <c r="Y17" i="33"/>
  <c r="AD16" i="33"/>
  <c r="AC16" i="33"/>
  <c r="AB16" i="33"/>
  <c r="AA16" i="33"/>
  <c r="Z16" i="33"/>
  <c r="Y16" i="33"/>
  <c r="AD15" i="33"/>
  <c r="AC15" i="33"/>
  <c r="AB15" i="33"/>
  <c r="AA15" i="33"/>
  <c r="Z15" i="33"/>
  <c r="Y15" i="33"/>
  <c r="AD14" i="33"/>
  <c r="AC14" i="33"/>
  <c r="AB14" i="33"/>
  <c r="AA14" i="33"/>
  <c r="Z14" i="33"/>
  <c r="Y14" i="33"/>
  <c r="AD13" i="33"/>
  <c r="AC13" i="33"/>
  <c r="AB13" i="33"/>
  <c r="AA13" i="33"/>
  <c r="Z13" i="33"/>
  <c r="Y13" i="33"/>
  <c r="AD12" i="33"/>
  <c r="AC12" i="33"/>
  <c r="AB12" i="33"/>
  <c r="AA12" i="33"/>
  <c r="Z12" i="33"/>
  <c r="Y12" i="33"/>
  <c r="AD11" i="33"/>
  <c r="AC11" i="33"/>
  <c r="AB11" i="33"/>
  <c r="AA11" i="33"/>
  <c r="Z11" i="33"/>
  <c r="Y11" i="33"/>
  <c r="AD10" i="33"/>
  <c r="AC10" i="33"/>
  <c r="AB10" i="33"/>
  <c r="AA10" i="33"/>
  <c r="Z10" i="33"/>
  <c r="Y10" i="33"/>
  <c r="AD9" i="33"/>
  <c r="AC9" i="33"/>
  <c r="AB9" i="33"/>
  <c r="AA9" i="33"/>
  <c r="Z9" i="33"/>
  <c r="Y9" i="33"/>
  <c r="AD8" i="33"/>
  <c r="AC8" i="33"/>
  <c r="AB8" i="33"/>
  <c r="AA8" i="33"/>
  <c r="Z8" i="33"/>
  <c r="Y8" i="33"/>
  <c r="AD7" i="33"/>
  <c r="AC7" i="33"/>
  <c r="AB7" i="33"/>
  <c r="AA7" i="33"/>
  <c r="Z7" i="33"/>
  <c r="Y7" i="33"/>
  <c r="O28" i="26"/>
  <c r="L28" i="26"/>
  <c r="O27" i="26"/>
  <c r="L27" i="26"/>
  <c r="O26" i="26"/>
  <c r="L26" i="26"/>
  <c r="O25" i="26"/>
  <c r="L25" i="26"/>
  <c r="O24" i="26"/>
  <c r="L24" i="26"/>
  <c r="O23" i="26"/>
  <c r="L23" i="26"/>
  <c r="O22" i="26"/>
  <c r="L22" i="26"/>
  <c r="O21" i="26"/>
  <c r="L21" i="26"/>
  <c r="O20" i="26"/>
  <c r="L20" i="26"/>
  <c r="O19" i="26"/>
  <c r="L19" i="26"/>
  <c r="O18" i="26"/>
  <c r="L18" i="26"/>
  <c r="O17" i="26"/>
  <c r="L17" i="26"/>
  <c r="O16" i="26"/>
  <c r="L16" i="26"/>
  <c r="O15" i="26"/>
  <c r="L15" i="26"/>
  <c r="O14" i="26"/>
  <c r="L14" i="26"/>
  <c r="O13" i="26"/>
  <c r="L13" i="26"/>
  <c r="O12" i="26"/>
  <c r="L12" i="26"/>
  <c r="O11" i="26"/>
  <c r="L11" i="26"/>
  <c r="O10" i="26"/>
  <c r="L10" i="26"/>
  <c r="O9" i="26"/>
  <c r="L9" i="26"/>
  <c r="O8" i="26"/>
  <c r="L8" i="26"/>
  <c r="AB24" i="37"/>
  <c r="Z24" i="37"/>
  <c r="Y24" i="37"/>
  <c r="W24" i="37"/>
  <c r="U24" i="37"/>
  <c r="T24" i="37"/>
  <c r="R24" i="37"/>
  <c r="M24" i="37"/>
  <c r="AB23" i="37"/>
  <c r="Z23" i="37"/>
  <c r="Y23" i="37"/>
  <c r="W23" i="37"/>
  <c r="U23" i="37"/>
  <c r="T23" i="37"/>
  <c r="R23" i="37"/>
  <c r="M23" i="37"/>
  <c r="AB22" i="37"/>
  <c r="Z22" i="37"/>
  <c r="Y22" i="37"/>
  <c r="W22" i="37"/>
  <c r="U22" i="37"/>
  <c r="T22" i="37"/>
  <c r="R22" i="37"/>
  <c r="M22" i="37"/>
  <c r="AB21" i="37"/>
  <c r="Z21" i="37"/>
  <c r="Y21" i="37"/>
  <c r="W21" i="37"/>
  <c r="U21" i="37"/>
  <c r="T21" i="37"/>
  <c r="R21" i="37"/>
  <c r="M21" i="37"/>
  <c r="AB20" i="37"/>
  <c r="Z20" i="37"/>
  <c r="Y20" i="37"/>
  <c r="W20" i="37"/>
  <c r="U20" i="37"/>
  <c r="T20" i="37"/>
  <c r="R20" i="37"/>
  <c r="M20" i="37"/>
  <c r="AB19" i="37"/>
  <c r="Z19" i="37"/>
  <c r="Y19" i="37"/>
  <c r="W19" i="37"/>
  <c r="U19" i="37"/>
  <c r="T19" i="37"/>
  <c r="R19" i="37"/>
  <c r="M19" i="37"/>
  <c r="AB18" i="37"/>
  <c r="Z18" i="37"/>
  <c r="Y18" i="37"/>
  <c r="W18" i="37"/>
  <c r="U18" i="37"/>
  <c r="T18" i="37"/>
  <c r="R18" i="37"/>
  <c r="M18" i="37"/>
  <c r="AB17" i="37"/>
  <c r="Z17" i="37"/>
  <c r="Y17" i="37"/>
  <c r="W17" i="37"/>
  <c r="U17" i="37"/>
  <c r="T17" i="37"/>
  <c r="R17" i="37"/>
  <c r="M17" i="37"/>
  <c r="AB16" i="37"/>
  <c r="Z16" i="37"/>
  <c r="Y16" i="37"/>
  <c r="W16" i="37"/>
  <c r="U16" i="37"/>
  <c r="T16" i="37"/>
  <c r="R16" i="37"/>
  <c r="M16" i="37"/>
  <c r="AB15" i="37"/>
  <c r="Z15" i="37"/>
  <c r="Y15" i="37"/>
  <c r="W15" i="37"/>
  <c r="U15" i="37"/>
  <c r="T15" i="37"/>
  <c r="R15" i="37"/>
  <c r="M15" i="37"/>
  <c r="AB14" i="37"/>
  <c r="Z14" i="37"/>
  <c r="Y14" i="37"/>
  <c r="W14" i="37"/>
  <c r="U14" i="37"/>
  <c r="T14" i="37"/>
  <c r="R14" i="37"/>
  <c r="M14" i="37"/>
  <c r="AB13" i="37"/>
  <c r="Z13" i="37"/>
  <c r="Y13" i="37"/>
  <c r="W13" i="37"/>
  <c r="U13" i="37"/>
  <c r="T13" i="37"/>
  <c r="R13" i="37"/>
  <c r="M13" i="37"/>
  <c r="AB12" i="37"/>
  <c r="Z12" i="37"/>
  <c r="Y12" i="37"/>
  <c r="W12" i="37"/>
  <c r="U12" i="37"/>
  <c r="T12" i="37"/>
  <c r="R12" i="37"/>
  <c r="M12" i="37"/>
  <c r="AB11" i="37"/>
  <c r="Z11" i="37"/>
  <c r="Y11" i="37"/>
  <c r="W11" i="37"/>
  <c r="U11" i="37"/>
  <c r="T11" i="37"/>
  <c r="R11" i="37"/>
  <c r="M11" i="37"/>
  <c r="AB10" i="37"/>
  <c r="Z10" i="37"/>
  <c r="Y10" i="37"/>
  <c r="W10" i="37"/>
  <c r="U10" i="37"/>
  <c r="T10" i="37"/>
  <c r="R10" i="37"/>
  <c r="M10" i="37"/>
  <c r="AB9" i="37"/>
  <c r="Z9" i="37"/>
  <c r="Y9" i="37"/>
  <c r="W9" i="37"/>
  <c r="U9" i="37"/>
  <c r="T9" i="37"/>
  <c r="R9" i="37"/>
  <c r="M9" i="37"/>
  <c r="AB8" i="37"/>
  <c r="Z8" i="37"/>
  <c r="Y8" i="37"/>
  <c r="W8" i="37"/>
  <c r="U8" i="37"/>
  <c r="T8" i="37"/>
  <c r="R8" i="37"/>
  <c r="M8" i="37"/>
  <c r="V28" i="1"/>
  <c r="V27" i="1"/>
  <c r="M38" i="1"/>
  <c r="J38" i="1"/>
  <c r="H38" i="1"/>
  <c r="E38" i="1"/>
  <c r="M27" i="1"/>
  <c r="J27" i="1"/>
  <c r="H27" i="1"/>
  <c r="E27" i="1"/>
  <c r="M26" i="1"/>
  <c r="J26" i="1"/>
  <c r="H26" i="1"/>
  <c r="E26" i="1"/>
  <c r="M25" i="1"/>
  <c r="J25" i="1"/>
  <c r="H25" i="1"/>
  <c r="E25" i="1"/>
  <c r="V24" i="1"/>
  <c r="T24" i="1"/>
  <c r="S24" i="1"/>
  <c r="V23" i="1"/>
  <c r="T23" i="1"/>
  <c r="S23" i="1"/>
  <c r="M17" i="1"/>
  <c r="J17" i="1"/>
  <c r="H17" i="1"/>
  <c r="E17" i="1"/>
  <c r="M16" i="1"/>
  <c r="J16" i="1"/>
  <c r="H16" i="1"/>
  <c r="E16" i="1"/>
  <c r="M15" i="1"/>
  <c r="J15" i="1"/>
  <c r="H15" i="1"/>
  <c r="E15" i="1"/>
  <c r="H13" i="1"/>
  <c r="M12" i="1"/>
  <c r="J12" i="1"/>
  <c r="H12" i="1"/>
  <c r="E12" i="1"/>
  <c r="M11" i="1"/>
  <c r="J11" i="1"/>
  <c r="H11" i="1"/>
  <c r="E11" i="1"/>
  <c r="M10" i="1"/>
  <c r="J10" i="1"/>
  <c r="H10" i="1"/>
  <c r="E10" i="1"/>
  <c r="M9" i="1"/>
  <c r="J9" i="1"/>
  <c r="H9" i="1"/>
  <c r="E9" i="1"/>
  <c r="M8" i="1"/>
  <c r="J8" i="1"/>
  <c r="H8" i="1"/>
  <c r="E8" i="1"/>
  <c r="M7" i="1"/>
  <c r="J7" i="1"/>
  <c r="H7" i="1"/>
  <c r="E7" i="1"/>
  <c r="T28" i="1"/>
  <c r="S28" i="1"/>
  <c r="T27" i="1"/>
  <c r="S27" i="1"/>
  <c r="V20" i="1"/>
  <c r="V19" i="1"/>
  <c r="V18" i="1"/>
  <c r="V17" i="1"/>
  <c r="V16" i="1"/>
  <c r="V15" i="1"/>
  <c r="V14" i="1"/>
  <c r="V13" i="1"/>
  <c r="V11" i="1"/>
  <c r="V10" i="1"/>
  <c r="V9" i="1"/>
  <c r="AX39" i="34"/>
  <c r="AW39" i="34"/>
  <c r="AV39" i="34"/>
  <c r="AU39" i="34"/>
  <c r="AT39" i="34"/>
  <c r="AS39" i="34"/>
  <c r="AR39" i="34"/>
  <c r="AQ39" i="34"/>
  <c r="AX38" i="34"/>
  <c r="AW38" i="34"/>
  <c r="AV38" i="34"/>
  <c r="AU38" i="34"/>
  <c r="AT38" i="34"/>
  <c r="AS38" i="34"/>
  <c r="AR38" i="34"/>
  <c r="AQ38" i="34"/>
  <c r="M28" i="1" l="1"/>
  <c r="H28" i="1"/>
  <c r="E28" i="1"/>
  <c r="E18" i="1"/>
  <c r="E13" i="1"/>
  <c r="H18" i="1"/>
  <c r="J18" i="1"/>
  <c r="J13" i="1"/>
  <c r="M18" i="1"/>
  <c r="M13" i="1"/>
  <c r="J28" i="1"/>
  <c r="M27" i="37"/>
  <c r="W25" i="37"/>
  <c r="W26" i="37" l="1"/>
  <c r="R25" i="37"/>
  <c r="AB25" i="37"/>
  <c r="R26" i="37"/>
  <c r="AB26" i="37"/>
  <c r="AB27" i="37"/>
  <c r="R27" i="37"/>
  <c r="M25" i="37"/>
  <c r="M26" i="37"/>
  <c r="W27" i="37"/>
  <c r="W28" i="37" l="1"/>
  <c r="AB28" i="37"/>
  <c r="R28" i="37"/>
  <c r="M28" i="37"/>
  <c r="T50" i="33" l="1"/>
  <c r="T50" i="32"/>
  <c r="AX37" i="34" l="1"/>
  <c r="AW37" i="34" l="1"/>
  <c r="AV37" i="34" l="1"/>
  <c r="G17" i="34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I36" i="34"/>
  <c r="F36" i="34"/>
  <c r="G26" i="34"/>
  <c r="I25" i="34"/>
  <c r="F25" i="34"/>
  <c r="K25" i="34" s="1"/>
  <c r="I24" i="34"/>
  <c r="F24" i="34"/>
  <c r="K24" i="34" s="1"/>
  <c r="I16" i="34"/>
  <c r="F16" i="34"/>
  <c r="K16" i="34" s="1"/>
  <c r="I15" i="34"/>
  <c r="F15" i="34"/>
  <c r="K15" i="34" s="1"/>
  <c r="I13" i="34"/>
  <c r="F13" i="34"/>
  <c r="K13" i="34" s="1"/>
  <c r="I12" i="34"/>
  <c r="F12" i="34"/>
  <c r="K12" i="34" s="1"/>
  <c r="I10" i="34"/>
  <c r="F10" i="34"/>
  <c r="K10" i="34" s="1"/>
  <c r="I11" i="34" l="1"/>
  <c r="I17" i="34"/>
  <c r="I18" i="34"/>
  <c r="I19" i="34" s="1"/>
  <c r="F17" i="34"/>
  <c r="H25" i="34"/>
  <c r="I14" i="34"/>
  <c r="O10" i="34"/>
  <c r="N20" i="34"/>
  <c r="N21" i="34" s="1"/>
  <c r="K17" i="34"/>
  <c r="N17" i="34"/>
  <c r="I26" i="34"/>
  <c r="J26" i="34" s="1"/>
  <c r="N26" i="34"/>
  <c r="G11" i="34"/>
  <c r="J11" i="34" s="1"/>
  <c r="G14" i="34"/>
  <c r="J14" i="34" s="1"/>
  <c r="O25" i="34"/>
  <c r="F14" i="34"/>
  <c r="H16" i="34"/>
  <c r="F18" i="34"/>
  <c r="F19" i="34" s="1"/>
  <c r="G18" i="34"/>
  <c r="J18" i="34" s="1"/>
  <c r="L11" i="34"/>
  <c r="F26" i="34"/>
  <c r="H26" i="34" s="1"/>
  <c r="K14" i="34"/>
  <c r="K11" i="34"/>
  <c r="J17" i="34"/>
  <c r="F20" i="34"/>
  <c r="F21" i="34" s="1"/>
  <c r="H15" i="34"/>
  <c r="K26" i="34"/>
  <c r="F11" i="34"/>
  <c r="J25" i="34"/>
  <c r="N11" i="34"/>
  <c r="I20" i="34"/>
  <c r="I21" i="34" s="1"/>
  <c r="J15" i="34"/>
  <c r="J12" i="34"/>
  <c r="G20" i="34"/>
  <c r="G21" i="34" s="1"/>
  <c r="H13" i="34"/>
  <c r="H24" i="34"/>
  <c r="H10" i="34"/>
  <c r="J13" i="34"/>
  <c r="J16" i="34"/>
  <c r="J24" i="34"/>
  <c r="J10" i="34"/>
  <c r="O16" i="34"/>
  <c r="H12" i="34"/>
  <c r="M10" i="34"/>
  <c r="H17" i="34"/>
  <c r="O11" i="34" l="1"/>
  <c r="M25" i="34"/>
  <c r="G22" i="34"/>
  <c r="H14" i="34"/>
  <c r="H11" i="34"/>
  <c r="K20" i="34"/>
  <c r="K21" i="34" s="1"/>
  <c r="M13" i="34"/>
  <c r="L26" i="34"/>
  <c r="O26" i="34" s="1"/>
  <c r="G19" i="34"/>
  <c r="J19" i="34" s="1"/>
  <c r="O24" i="34"/>
  <c r="J21" i="34"/>
  <c r="I22" i="34"/>
  <c r="I27" i="34" s="1"/>
  <c r="H18" i="34"/>
  <c r="O12" i="34"/>
  <c r="M24" i="34"/>
  <c r="N18" i="34"/>
  <c r="M11" i="34"/>
  <c r="L14" i="34"/>
  <c r="N14" i="34"/>
  <c r="F22" i="34"/>
  <c r="H22" i="34" s="1"/>
  <c r="K18" i="34"/>
  <c r="L17" i="34"/>
  <c r="O17" i="34" s="1"/>
  <c r="M12" i="34"/>
  <c r="O13" i="34"/>
  <c r="L20" i="34"/>
  <c r="O20" i="34" s="1"/>
  <c r="M15" i="34"/>
  <c r="O15" i="34"/>
  <c r="J20" i="34"/>
  <c r="H21" i="34"/>
  <c r="M16" i="34"/>
  <c r="L18" i="34"/>
  <c r="H20" i="34"/>
  <c r="G27" i="34"/>
  <c r="G23" i="34"/>
  <c r="M26" i="34" l="1"/>
  <c r="H19" i="34"/>
  <c r="I23" i="34"/>
  <c r="J22" i="34"/>
  <c r="O14" i="34"/>
  <c r="O18" i="34"/>
  <c r="M14" i="34"/>
  <c r="M18" i="34"/>
  <c r="L19" i="34"/>
  <c r="L22" i="34"/>
  <c r="L27" i="34" s="1"/>
  <c r="F27" i="34"/>
  <c r="H27" i="34" s="1"/>
  <c r="F23" i="34"/>
  <c r="H23" i="34" s="1"/>
  <c r="M20" i="34"/>
  <c r="L21" i="34"/>
  <c r="O21" i="34" s="1"/>
  <c r="N19" i="34"/>
  <c r="O19" i="34" s="1"/>
  <c r="N22" i="34"/>
  <c r="M17" i="34"/>
  <c r="K19" i="34"/>
  <c r="M19" i="34" s="1"/>
  <c r="K22" i="34"/>
  <c r="G37" i="34"/>
  <c r="J27" i="34"/>
  <c r="G28" i="34"/>
  <c r="G38" i="34"/>
  <c r="J23" i="34"/>
  <c r="I37" i="34"/>
  <c r="I28" i="34"/>
  <c r="I38" i="34"/>
  <c r="M22" i="34" l="1"/>
  <c r="L23" i="34"/>
  <c r="M21" i="34"/>
  <c r="K27" i="34"/>
  <c r="K28" i="34" s="1"/>
  <c r="K23" i="34"/>
  <c r="N27" i="34"/>
  <c r="N28" i="34" s="1"/>
  <c r="N23" i="34"/>
  <c r="O22" i="34"/>
  <c r="F38" i="34"/>
  <c r="F28" i="34"/>
  <c r="F37" i="34"/>
  <c r="O27" i="34"/>
  <c r="M27" i="34"/>
  <c r="L28" i="34"/>
  <c r="J28" i="34"/>
  <c r="H28" i="34"/>
  <c r="O23" i="34"/>
  <c r="M23" i="34"/>
  <c r="O28" i="34" l="1"/>
  <c r="M28" i="34"/>
  <c r="K40" i="33" l="1"/>
  <c r="J40" i="33"/>
  <c r="N39" i="33"/>
  <c r="L39" i="33"/>
  <c r="G39" i="33"/>
  <c r="G38" i="33"/>
  <c r="S37" i="33"/>
  <c r="Q37" i="33"/>
  <c r="M40" i="33"/>
  <c r="G37" i="33"/>
  <c r="S36" i="33"/>
  <c r="Q36" i="33"/>
  <c r="N36" i="33"/>
  <c r="G36" i="33"/>
  <c r="S35" i="33"/>
  <c r="Q35" i="33"/>
  <c r="N35" i="33"/>
  <c r="G35" i="33"/>
  <c r="S34" i="33"/>
  <c r="Q34" i="33"/>
  <c r="N34" i="33"/>
  <c r="L34" i="33"/>
  <c r="G34" i="33"/>
  <c r="N33" i="33"/>
  <c r="L33" i="33"/>
  <c r="G33" i="33"/>
  <c r="N32" i="33"/>
  <c r="L32" i="33"/>
  <c r="G32" i="33"/>
  <c r="G30" i="33"/>
  <c r="G29" i="33"/>
  <c r="G28" i="33"/>
  <c r="AG26" i="33"/>
  <c r="G26" i="33"/>
  <c r="G25" i="33"/>
  <c r="G24" i="33"/>
  <c r="AG23" i="33"/>
  <c r="G23" i="33"/>
  <c r="G22" i="33"/>
  <c r="G21" i="33"/>
  <c r="G20" i="33"/>
  <c r="G19" i="33"/>
  <c r="AG18" i="33"/>
  <c r="G18" i="33"/>
  <c r="G17" i="33"/>
  <c r="AG16" i="33"/>
  <c r="G16" i="33"/>
  <c r="G15" i="33"/>
  <c r="G14" i="33"/>
  <c r="AG13" i="33"/>
  <c r="G13" i="33"/>
  <c r="G12" i="33"/>
  <c r="AG11" i="33"/>
  <c r="G11" i="33"/>
  <c r="G10" i="33"/>
  <c r="G9" i="33"/>
  <c r="AG8" i="33"/>
  <c r="G8" i="33"/>
  <c r="G7" i="33"/>
  <c r="AG19" i="33" l="1"/>
  <c r="R25" i="33"/>
  <c r="AG22" i="33"/>
  <c r="AG15" i="33"/>
  <c r="AG10" i="33"/>
  <c r="AG25" i="33"/>
  <c r="W24" i="33"/>
  <c r="W25" i="33"/>
  <c r="R24" i="33"/>
  <c r="M24" i="33"/>
  <c r="R40" i="33"/>
  <c r="AG17" i="33"/>
  <c r="M26" i="33"/>
  <c r="R26" i="33"/>
  <c r="W40" i="33"/>
  <c r="M31" i="33"/>
  <c r="AG9" i="33"/>
  <c r="W26" i="33"/>
  <c r="R31" i="33"/>
  <c r="AG21" i="33"/>
  <c r="AG24" i="33"/>
  <c r="AG14" i="33"/>
  <c r="AG7" i="33"/>
  <c r="AG12" i="33"/>
  <c r="N40" i="33"/>
  <c r="L40" i="33"/>
  <c r="M25" i="33"/>
  <c r="W31" i="33"/>
  <c r="AG20" i="33"/>
  <c r="AG27" i="33"/>
  <c r="R27" i="33" l="1"/>
  <c r="W27" i="33"/>
  <c r="M27" i="33"/>
  <c r="M46" i="33" l="1"/>
  <c r="W42" i="33"/>
  <c r="R42" i="33"/>
  <c r="G45" i="32"/>
  <c r="K40" i="32"/>
  <c r="J40" i="32"/>
  <c r="N39" i="32"/>
  <c r="L39" i="32"/>
  <c r="G39" i="32"/>
  <c r="G38" i="32"/>
  <c r="S37" i="32"/>
  <c r="Q37" i="32"/>
  <c r="M37" i="32"/>
  <c r="G37" i="32"/>
  <c r="S36" i="32"/>
  <c r="Q36" i="32"/>
  <c r="N36" i="32"/>
  <c r="G36" i="32"/>
  <c r="S35" i="32"/>
  <c r="Q35" i="32"/>
  <c r="N35" i="32"/>
  <c r="G35" i="32"/>
  <c r="S34" i="32"/>
  <c r="Q34" i="32"/>
  <c r="N34" i="32"/>
  <c r="L34" i="32"/>
  <c r="G34" i="32"/>
  <c r="N33" i="32"/>
  <c r="L33" i="32"/>
  <c r="G33" i="32"/>
  <c r="N32" i="32"/>
  <c r="L32" i="32"/>
  <c r="G32" i="32"/>
  <c r="G30" i="32"/>
  <c r="G29" i="32"/>
  <c r="G28" i="32"/>
  <c r="AG27" i="32"/>
  <c r="G26" i="32"/>
  <c r="AG25" i="32"/>
  <c r="G25" i="32"/>
  <c r="G24" i="32"/>
  <c r="G23" i="32"/>
  <c r="AG22" i="32"/>
  <c r="G22" i="32"/>
  <c r="AG21" i="32"/>
  <c r="G21" i="32"/>
  <c r="G20" i="32"/>
  <c r="G19" i="32"/>
  <c r="G18" i="32"/>
  <c r="AG17" i="32"/>
  <c r="G17" i="32"/>
  <c r="AG16" i="32"/>
  <c r="G16" i="32"/>
  <c r="G15" i="32"/>
  <c r="AG14" i="32"/>
  <c r="G14" i="32"/>
  <c r="G13" i="32"/>
  <c r="G12" i="32"/>
  <c r="AG11" i="32"/>
  <c r="G11" i="32"/>
  <c r="G10" i="32"/>
  <c r="AG9" i="32"/>
  <c r="G9" i="32"/>
  <c r="G8" i="32"/>
  <c r="G7" i="32"/>
  <c r="R46" i="33" l="1"/>
  <c r="W46" i="33"/>
  <c r="AG26" i="32"/>
  <c r="AG12" i="32"/>
  <c r="AG8" i="32"/>
  <c r="AG18" i="32"/>
  <c r="M26" i="32"/>
  <c r="M24" i="32"/>
  <c r="AG24" i="32"/>
  <c r="AG19" i="32"/>
  <c r="AG10" i="32"/>
  <c r="R40" i="32"/>
  <c r="M25" i="32"/>
  <c r="AG15" i="32"/>
  <c r="AG7" i="32"/>
  <c r="R26" i="32"/>
  <c r="W26" i="32"/>
  <c r="AG20" i="32"/>
  <c r="AG13" i="32"/>
  <c r="W31" i="32"/>
  <c r="R31" i="32"/>
  <c r="N37" i="32"/>
  <c r="M40" i="32"/>
  <c r="N40" i="32" s="1"/>
  <c r="W40" i="32"/>
  <c r="R25" i="32"/>
  <c r="F45" i="32"/>
  <c r="W24" i="32"/>
  <c r="L40" i="32"/>
  <c r="M31" i="32"/>
  <c r="AG23" i="32"/>
  <c r="W25" i="32"/>
  <c r="R24" i="32"/>
  <c r="M27" i="32" l="1"/>
  <c r="R27" i="32"/>
  <c r="W27" i="32"/>
  <c r="M46" i="32" l="1"/>
  <c r="W42" i="32"/>
  <c r="R42" i="32"/>
  <c r="R46" i="32" l="1"/>
  <c r="W46" i="32"/>
  <c r="M21" i="1"/>
  <c r="M32" i="1" l="1"/>
  <c r="M29" i="1"/>
  <c r="M22" i="1"/>
  <c r="M33" i="1" s="1"/>
  <c r="M19" i="1"/>
  <c r="M14" i="1"/>
  <c r="M23" i="1"/>
  <c r="M34" i="1" s="1"/>
  <c r="M20" i="1"/>
  <c r="S62" i="31"/>
  <c r="S61" i="31"/>
  <c r="T60" i="31"/>
  <c r="S60" i="31"/>
  <c r="T59" i="31"/>
  <c r="S59" i="31"/>
  <c r="K41" i="31"/>
  <c r="J41" i="31"/>
  <c r="N40" i="31"/>
  <c r="L40" i="31"/>
  <c r="G40" i="31"/>
  <c r="G39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N33" i="31"/>
  <c r="L33" i="31"/>
  <c r="G33" i="31"/>
  <c r="G31" i="31"/>
  <c r="W32" i="31"/>
  <c r="R32" i="31"/>
  <c r="G30" i="31"/>
  <c r="G29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W25" i="31" l="1"/>
  <c r="W24" i="31"/>
  <c r="R26" i="31"/>
  <c r="M25" i="31"/>
  <c r="M32" i="31"/>
  <c r="W26" i="31"/>
  <c r="R25" i="31"/>
  <c r="R41" i="31"/>
  <c r="M24" i="31"/>
  <c r="R24" i="31"/>
  <c r="M26" i="31"/>
  <c r="M30" i="1"/>
  <c r="M24" i="1"/>
  <c r="L41" i="31"/>
  <c r="M41" i="31"/>
  <c r="N41" i="31" s="1"/>
  <c r="G39" i="2"/>
  <c r="R27" i="31" l="1"/>
  <c r="R43" i="31" s="1"/>
  <c r="W27" i="31"/>
  <c r="W43" i="31" s="1"/>
  <c r="W47" i="31" s="1"/>
  <c r="M27" i="31"/>
  <c r="M35" i="1"/>
  <c r="M31" i="1"/>
  <c r="R47" i="31" l="1"/>
  <c r="M47" i="31"/>
  <c r="M40" i="1"/>
  <c r="M39" i="1"/>
  <c r="M36" i="1"/>
  <c r="S62" i="2" l="1"/>
  <c r="S61" i="2"/>
  <c r="T60" i="2"/>
  <c r="S60" i="2"/>
  <c r="S59" i="2"/>
  <c r="K41" i="2"/>
  <c r="J41" i="2"/>
  <c r="N40" i="2"/>
  <c r="L40" i="2"/>
  <c r="G40" i="2"/>
  <c r="Q38" i="2"/>
  <c r="M38" i="2"/>
  <c r="M41" i="2" s="1"/>
  <c r="G38" i="2"/>
  <c r="S37" i="2"/>
  <c r="Q37" i="2"/>
  <c r="N37" i="2"/>
  <c r="G37" i="2"/>
  <c r="S36" i="2"/>
  <c r="Q36" i="2"/>
  <c r="N36" i="2"/>
  <c r="G36" i="2"/>
  <c r="V34" i="1"/>
  <c r="S35" i="2"/>
  <c r="Q35" i="2"/>
  <c r="N35" i="2"/>
  <c r="L35" i="2"/>
  <c r="G35" i="2"/>
  <c r="V33" i="1"/>
  <c r="N34" i="2"/>
  <c r="L34" i="2"/>
  <c r="G34" i="2"/>
  <c r="N33" i="2"/>
  <c r="L33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32" i="1"/>
  <c r="H20" i="1"/>
  <c r="H30" i="1" s="1"/>
  <c r="H31" i="1" s="1"/>
  <c r="V12" i="1"/>
  <c r="N38" i="2" l="1"/>
  <c r="N41" i="2"/>
  <c r="L41" i="2"/>
  <c r="H29" i="1"/>
  <c r="W26" i="2"/>
  <c r="H19" i="1"/>
  <c r="T59" i="2"/>
  <c r="R24" i="2"/>
  <c r="W24" i="2"/>
  <c r="H21" i="1"/>
  <c r="H32" i="1" s="1"/>
  <c r="H14" i="1"/>
  <c r="R25" i="2"/>
  <c r="R32" i="2"/>
  <c r="H22" i="1"/>
  <c r="H33" i="1" s="1"/>
  <c r="R26" i="2"/>
  <c r="W25" i="2"/>
  <c r="R41" i="2"/>
  <c r="W41" i="2"/>
  <c r="W32" i="2"/>
  <c r="S38" i="2"/>
  <c r="V36" i="1" l="1"/>
  <c r="V35" i="1" s="1"/>
  <c r="H23" i="1"/>
  <c r="W27" i="2"/>
  <c r="R27" i="2"/>
  <c r="R43" i="2" l="1"/>
  <c r="W43" i="2"/>
  <c r="H34" i="1"/>
  <c r="H35" i="1" s="1"/>
  <c r="H24" i="1"/>
  <c r="W47" i="2" l="1"/>
  <c r="R47" i="2"/>
  <c r="H39" i="1"/>
  <c r="H36" i="1"/>
  <c r="H40" i="1"/>
  <c r="M26" i="2" l="1"/>
  <c r="M24" i="2"/>
  <c r="M32" i="2"/>
  <c r="M25" i="2"/>
  <c r="M27" i="2" l="1"/>
  <c r="M47" i="2" l="1"/>
  <c r="V29" i="1" l="1"/>
  <c r="W24" i="1" l="1"/>
  <c r="W23" i="1" l="1"/>
  <c r="U23" i="1" l="1"/>
  <c r="U24" i="1"/>
  <c r="W27" i="1" l="1"/>
  <c r="W28" i="1"/>
  <c r="T29" i="1" l="1"/>
  <c r="W29" i="1" s="1"/>
  <c r="AG10" i="31" l="1"/>
  <c r="AG18" i="31" l="1"/>
  <c r="AG17" i="31" l="1"/>
  <c r="AG23" i="31" l="1"/>
  <c r="AG25" i="31" l="1"/>
  <c r="AG26" i="31"/>
  <c r="AG20" i="31" l="1"/>
  <c r="AG19" i="31"/>
  <c r="AG11" i="31"/>
  <c r="AG12" i="31"/>
  <c r="AG22" i="31"/>
  <c r="AG15" i="31" l="1"/>
  <c r="AG8" i="31"/>
  <c r="AG16" i="31"/>
  <c r="AG21" i="31"/>
  <c r="AG14" i="31"/>
  <c r="AG9" i="31"/>
  <c r="AG13" i="31" l="1"/>
  <c r="AG7" i="31" l="1"/>
  <c r="AG27" i="31" l="1"/>
  <c r="AG24" i="31"/>
  <c r="U28" i="1" l="1"/>
  <c r="S29" i="1" l="1"/>
  <c r="U29" i="1" s="1"/>
  <c r="U27" i="1"/>
  <c r="E21" i="1" l="1"/>
  <c r="J21" i="1" l="1"/>
  <c r="O41" i="2" l="1"/>
  <c r="O40" i="32"/>
  <c r="O41" i="31" l="1"/>
  <c r="O40" i="33"/>
  <c r="O24" i="2" l="1"/>
  <c r="O24" i="32"/>
  <c r="J24" i="2"/>
  <c r="J24" i="32"/>
  <c r="J24" i="31" l="1"/>
  <c r="O24" i="31"/>
  <c r="J24" i="33"/>
  <c r="O24" i="33"/>
  <c r="S33" i="1" l="1"/>
  <c r="S32" i="1" l="1"/>
  <c r="T52" i="2"/>
  <c r="T58" i="2"/>
  <c r="T52" i="31" l="1"/>
  <c r="T58" i="31"/>
  <c r="T61" i="2" l="1"/>
  <c r="T61" i="31" l="1"/>
  <c r="E32" i="1" l="1"/>
  <c r="J32" i="1"/>
  <c r="O25" i="2" l="1"/>
  <c r="O25" i="32"/>
  <c r="J25" i="2"/>
  <c r="J25" i="32"/>
  <c r="O25" i="31" l="1"/>
  <c r="J25" i="33"/>
  <c r="J25" i="31"/>
  <c r="O25" i="33"/>
  <c r="J32" i="2" l="1"/>
  <c r="J31" i="32"/>
  <c r="O32" i="2" l="1"/>
  <c r="O31" i="32"/>
  <c r="J32" i="31" l="1"/>
  <c r="J31" i="33"/>
  <c r="O32" i="31" l="1"/>
  <c r="O31" i="33"/>
  <c r="J57" i="31"/>
  <c r="E22" i="1" l="1"/>
  <c r="J22" i="1" l="1"/>
  <c r="E33" i="1" l="1"/>
  <c r="J33" i="1"/>
  <c r="T32" i="2" l="1"/>
  <c r="T31" i="32"/>
  <c r="T49" i="32" l="1"/>
  <c r="T32" i="31"/>
  <c r="T31" i="33"/>
  <c r="T49" i="33" s="1"/>
  <c r="T51" i="2"/>
  <c r="T51" i="31" l="1"/>
  <c r="J58" i="31"/>
  <c r="J26" i="2" l="1"/>
  <c r="J26" i="32"/>
  <c r="O26" i="2"/>
  <c r="O26" i="32"/>
  <c r="J27" i="32" l="1"/>
  <c r="J27" i="2"/>
  <c r="O27" i="32"/>
  <c r="O27" i="2"/>
  <c r="J26" i="33" l="1"/>
  <c r="O26" i="33"/>
  <c r="J26" i="31"/>
  <c r="J47" i="2"/>
  <c r="O43" i="2"/>
  <c r="O47" i="2" s="1"/>
  <c r="O42" i="32"/>
  <c r="O26" i="31"/>
  <c r="E14" i="1"/>
  <c r="J46" i="32"/>
  <c r="O46" i="32" l="1"/>
  <c r="O49" i="2"/>
  <c r="O27" i="31"/>
  <c r="J27" i="33"/>
  <c r="O27" i="33"/>
  <c r="J27" i="31"/>
  <c r="O50" i="2" l="1"/>
  <c r="J14" i="1"/>
  <c r="O43" i="31"/>
  <c r="O47" i="31" s="1"/>
  <c r="J46" i="33"/>
  <c r="J47" i="31"/>
  <c r="O42" i="33"/>
  <c r="O49" i="31" l="1"/>
  <c r="O46" i="33"/>
  <c r="O50" i="31" l="1"/>
  <c r="T24" i="2" l="1"/>
  <c r="T24" i="32"/>
  <c r="T24" i="33" l="1"/>
  <c r="T24" i="31"/>
  <c r="T25" i="2" l="1"/>
  <c r="T25" i="31" l="1"/>
  <c r="T25" i="33"/>
  <c r="E20" i="1" l="1"/>
  <c r="J20" i="1" l="1"/>
  <c r="T26" i="2"/>
  <c r="E30" i="1"/>
  <c r="T26" i="32"/>
  <c r="E23" i="1"/>
  <c r="E24" i="1" s="1"/>
  <c r="E19" i="1"/>
  <c r="J30" i="1" l="1"/>
  <c r="T27" i="2"/>
  <c r="E31" i="1"/>
  <c r="J31" i="1" l="1"/>
  <c r="J23" i="1"/>
  <c r="J19" i="1"/>
  <c r="T26" i="31"/>
  <c r="T26" i="33"/>
  <c r="T27" i="33" l="1"/>
  <c r="T27" i="31"/>
  <c r="J24" i="1"/>
  <c r="T48" i="33" l="1"/>
  <c r="S34" i="1"/>
  <c r="T50" i="2"/>
  <c r="E29" i="1" l="1"/>
  <c r="E34" i="1"/>
  <c r="T53" i="2"/>
  <c r="T54" i="2" l="1"/>
  <c r="T55" i="2"/>
  <c r="E35" i="1"/>
  <c r="T62" i="2"/>
  <c r="T66" i="2"/>
  <c r="T41" i="2"/>
  <c r="T50" i="31"/>
  <c r="J29" i="1"/>
  <c r="J34" i="1"/>
  <c r="T40" i="32"/>
  <c r="S36" i="1" l="1"/>
  <c r="T43" i="2"/>
  <c r="T53" i="31"/>
  <c r="T55" i="31" s="1"/>
  <c r="T62" i="31"/>
  <c r="T69" i="31"/>
  <c r="T40" i="33"/>
  <c r="T63" i="2"/>
  <c r="E36" i="1"/>
  <c r="E40" i="1"/>
  <c r="E39" i="1"/>
  <c r="T41" i="31"/>
  <c r="J35" i="1"/>
  <c r="S35" i="1" l="1"/>
  <c r="J40" i="1"/>
  <c r="J36" i="1"/>
  <c r="J39" i="1"/>
  <c r="T42" i="33"/>
  <c r="T51" i="33" s="1"/>
  <c r="T52" i="33" s="1"/>
  <c r="T54" i="31"/>
  <c r="T68" i="2"/>
  <c r="T69" i="2" s="1"/>
  <c r="T44" i="2"/>
  <c r="T47" i="2"/>
  <c r="T63" i="31"/>
  <c r="T43" i="31"/>
  <c r="T43" i="33" l="1"/>
  <c r="T46" i="33"/>
  <c r="T71" i="31"/>
  <c r="T44" i="31"/>
  <c r="T47" i="31"/>
  <c r="T72" i="31" l="1"/>
  <c r="T25" i="37" l="1"/>
  <c r="T27" i="37"/>
  <c r="T26" i="37" l="1"/>
  <c r="T28" i="37" s="1"/>
  <c r="Y25" i="37"/>
  <c r="Y27" i="37" l="1"/>
  <c r="Y26" i="37" l="1"/>
  <c r="Y28" i="37" s="1"/>
  <c r="AE11" i="31" l="1"/>
  <c r="AE11" i="33"/>
  <c r="AE17" i="31"/>
  <c r="AE17" i="33"/>
  <c r="AE18" i="33"/>
  <c r="AE18" i="31"/>
  <c r="AE20" i="33"/>
  <c r="AE20" i="31"/>
  <c r="AE16" i="31" l="1"/>
  <c r="AE16" i="33"/>
  <c r="AE13" i="31"/>
  <c r="AE13" i="33"/>
  <c r="AE15" i="33"/>
  <c r="AE15" i="31"/>
  <c r="AE12" i="33"/>
  <c r="AE12" i="31"/>
  <c r="AE14" i="33"/>
  <c r="AE14" i="31"/>
  <c r="AE22" i="31"/>
  <c r="AE22" i="33"/>
  <c r="AE9" i="31"/>
  <c r="AE9" i="33"/>
  <c r="AE21" i="31"/>
  <c r="AE21" i="33"/>
  <c r="AE19" i="31"/>
  <c r="AE19" i="33"/>
  <c r="AE8" i="33"/>
  <c r="AE8" i="31"/>
  <c r="AE10" i="33"/>
  <c r="AE10" i="31"/>
  <c r="AE23" i="33"/>
  <c r="AE23" i="31"/>
  <c r="AE7" i="33"/>
  <c r="AE7" i="31"/>
  <c r="AE26" i="31" l="1"/>
  <c r="AE26" i="33"/>
  <c r="AE25" i="33"/>
  <c r="AE25" i="31"/>
  <c r="AE27" i="33"/>
  <c r="AE27" i="31"/>
  <c r="AE24" i="33"/>
  <c r="AE24" i="31"/>
  <c r="V19" i="37" l="1"/>
  <c r="X19" i="37"/>
  <c r="V16" i="37"/>
  <c r="X16" i="37"/>
  <c r="V17" i="37"/>
  <c r="X17" i="37"/>
  <c r="V9" i="37"/>
  <c r="X9" i="37"/>
  <c r="X13" i="37"/>
  <c r="V13" i="37"/>
  <c r="X21" i="37"/>
  <c r="V21" i="37"/>
  <c r="X14" i="37"/>
  <c r="V14" i="37"/>
  <c r="X24" i="37"/>
  <c r="V24" i="37"/>
  <c r="X22" i="37"/>
  <c r="V22" i="37"/>
  <c r="X15" i="37"/>
  <c r="V15" i="37"/>
  <c r="X11" i="37"/>
  <c r="V11" i="37"/>
  <c r="X8" i="37"/>
  <c r="V8" i="37"/>
  <c r="U25" i="37"/>
  <c r="V12" i="37"/>
  <c r="X12" i="37"/>
  <c r="U26" i="37"/>
  <c r="X23" i="37"/>
  <c r="V23" i="37"/>
  <c r="V20" i="37"/>
  <c r="U27" i="37"/>
  <c r="X20" i="37"/>
  <c r="X18" i="37"/>
  <c r="V18" i="37"/>
  <c r="X10" i="37"/>
  <c r="V10" i="37"/>
  <c r="AC15" i="37" l="1"/>
  <c r="AA22" i="37"/>
  <c r="AA23" i="37"/>
  <c r="AA17" i="37"/>
  <c r="AA8" i="37"/>
  <c r="AC19" i="37"/>
  <c r="AC24" i="37"/>
  <c r="AA11" i="37"/>
  <c r="AA21" i="37"/>
  <c r="AC16" i="37"/>
  <c r="AC20" i="37"/>
  <c r="AC14" i="37"/>
  <c r="AC12" i="37"/>
  <c r="AF19" i="33"/>
  <c r="AF19" i="31"/>
  <c r="AF17" i="31"/>
  <c r="AF17" i="33"/>
  <c r="AC18" i="37"/>
  <c r="AA18" i="37"/>
  <c r="AA9" i="37"/>
  <c r="AC9" i="37"/>
  <c r="AF7" i="31"/>
  <c r="AF7" i="33"/>
  <c r="V27" i="37"/>
  <c r="X27" i="37"/>
  <c r="X26" i="37"/>
  <c r="V26" i="37"/>
  <c r="AF12" i="31"/>
  <c r="AF12" i="33"/>
  <c r="AA10" i="37"/>
  <c r="AC10" i="37"/>
  <c r="AF13" i="33"/>
  <c r="AF13" i="31"/>
  <c r="AF18" i="33"/>
  <c r="AF18" i="31"/>
  <c r="AF11" i="33"/>
  <c r="AF11" i="31"/>
  <c r="AF9" i="31"/>
  <c r="AF9" i="33"/>
  <c r="AF15" i="31"/>
  <c r="AF15" i="33"/>
  <c r="AF21" i="33"/>
  <c r="AF21" i="31"/>
  <c r="AF23" i="33"/>
  <c r="AF23" i="31"/>
  <c r="AF22" i="31"/>
  <c r="AF22" i="33"/>
  <c r="X25" i="37"/>
  <c r="U28" i="37"/>
  <c r="V25" i="37"/>
  <c r="AF16" i="33"/>
  <c r="AF16" i="31"/>
  <c r="AF14" i="31"/>
  <c r="AF14" i="33"/>
  <c r="AF20" i="33"/>
  <c r="AF20" i="31"/>
  <c r="AF8" i="33"/>
  <c r="AF8" i="31"/>
  <c r="AF10" i="33"/>
  <c r="AF10" i="31"/>
  <c r="AA12" i="37" l="1"/>
  <c r="AA14" i="37"/>
  <c r="AC11" i="37"/>
  <c r="AC8" i="37"/>
  <c r="AC23" i="37"/>
  <c r="Z26" i="37"/>
  <c r="AA15" i="37"/>
  <c r="Z25" i="37"/>
  <c r="AA25" i="37" s="1"/>
  <c r="AC13" i="37"/>
  <c r="AA13" i="37"/>
  <c r="AA16" i="37"/>
  <c r="AA19" i="37"/>
  <c r="AC17" i="37"/>
  <c r="AC22" i="37"/>
  <c r="AA24" i="37"/>
  <c r="Z27" i="37"/>
  <c r="AC27" i="37" s="1"/>
  <c r="AC21" i="37"/>
  <c r="AA20" i="37"/>
  <c r="AF25" i="31"/>
  <c r="AF25" i="33"/>
  <c r="AF26" i="33"/>
  <c r="AF26" i="31"/>
  <c r="X28" i="37"/>
  <c r="V28" i="37"/>
  <c r="AF27" i="31"/>
  <c r="AF27" i="33"/>
  <c r="AF24" i="33"/>
  <c r="AF24" i="31"/>
  <c r="AC26" i="37"/>
  <c r="AA26" i="37"/>
  <c r="AC25" i="37" l="1"/>
  <c r="AA27" i="37"/>
  <c r="Z28" i="37"/>
  <c r="AC28" i="37" s="1"/>
  <c r="AA28" i="37" l="1"/>
  <c r="T25" i="32"/>
  <c r="T27" i="32" s="1"/>
  <c r="T48" i="32" l="1"/>
  <c r="T42" i="32"/>
  <c r="T46" i="32"/>
  <c r="T43" i="32"/>
  <c r="T51" i="32" l="1"/>
  <c r="T52" i="32" s="1"/>
  <c r="K28" i="2" l="1"/>
  <c r="F8" i="1"/>
  <c r="G8" i="1" l="1"/>
  <c r="I8" i="1"/>
  <c r="G46" i="2"/>
  <c r="N28" i="2"/>
  <c r="F46" i="2"/>
  <c r="L28" i="2"/>
  <c r="U39" i="2" l="1"/>
  <c r="U38" i="32"/>
  <c r="X38" i="32" l="1"/>
  <c r="V38" i="32"/>
  <c r="X39" i="2"/>
  <c r="V39" i="2"/>
  <c r="P15" i="2" l="1"/>
  <c r="P15" i="32"/>
  <c r="P16" i="2"/>
  <c r="P16" i="32"/>
  <c r="P21" i="32"/>
  <c r="P21" i="2"/>
  <c r="K23" i="32"/>
  <c r="K23" i="2"/>
  <c r="K17" i="32"/>
  <c r="K17" i="2"/>
  <c r="K14" i="2"/>
  <c r="K14" i="32"/>
  <c r="K18" i="32"/>
  <c r="K18" i="2"/>
  <c r="K30" i="32"/>
  <c r="K31" i="2"/>
  <c r="K15" i="32"/>
  <c r="K15" i="2"/>
  <c r="K16" i="32"/>
  <c r="K16" i="2"/>
  <c r="K19" i="32"/>
  <c r="K19" i="2"/>
  <c r="K12" i="32"/>
  <c r="K12" i="2"/>
  <c r="K10" i="32"/>
  <c r="K10" i="2"/>
  <c r="K21" i="32"/>
  <c r="K21" i="2"/>
  <c r="K8" i="32"/>
  <c r="K8" i="2"/>
  <c r="K20" i="2"/>
  <c r="K20" i="32"/>
  <c r="K29" i="32"/>
  <c r="K30" i="2"/>
  <c r="K13" i="32"/>
  <c r="K13" i="2"/>
  <c r="K9" i="2"/>
  <c r="K9" i="32"/>
  <c r="F16" i="1"/>
  <c r="P14" i="2" l="1"/>
  <c r="P14" i="32"/>
  <c r="I16" i="1"/>
  <c r="G16" i="1"/>
  <c r="P29" i="32"/>
  <c r="P30" i="2"/>
  <c r="Q16" i="2"/>
  <c r="S16" i="2"/>
  <c r="P17" i="32"/>
  <c r="P17" i="2"/>
  <c r="P11" i="32"/>
  <c r="P11" i="2"/>
  <c r="P12" i="2"/>
  <c r="P12" i="32"/>
  <c r="P13" i="32"/>
  <c r="P13" i="2"/>
  <c r="P23" i="2"/>
  <c r="P23" i="32"/>
  <c r="S16" i="32"/>
  <c r="Q16" i="32"/>
  <c r="P7" i="2"/>
  <c r="P7" i="32"/>
  <c r="Q21" i="32"/>
  <c r="S21" i="32"/>
  <c r="P8" i="32"/>
  <c r="P8" i="2"/>
  <c r="F11" i="1"/>
  <c r="P28" i="2"/>
  <c r="P20" i="2"/>
  <c r="P20" i="32"/>
  <c r="P18" i="32"/>
  <c r="P18" i="2"/>
  <c r="P9" i="2"/>
  <c r="P9" i="32"/>
  <c r="P22" i="2"/>
  <c r="P22" i="32"/>
  <c r="P28" i="32"/>
  <c r="P29" i="2"/>
  <c r="P10" i="2"/>
  <c r="P10" i="32"/>
  <c r="Q21" i="2"/>
  <c r="S21" i="2"/>
  <c r="P19" i="32"/>
  <c r="P19" i="2"/>
  <c r="S15" i="32"/>
  <c r="Q15" i="32"/>
  <c r="P31" i="2"/>
  <c r="P30" i="32"/>
  <c r="Q15" i="2"/>
  <c r="S15" i="2"/>
  <c r="K22" i="2"/>
  <c r="K26" i="2" s="1"/>
  <c r="K22" i="32"/>
  <c r="K26" i="32" s="1"/>
  <c r="L13" i="2"/>
  <c r="N13" i="2"/>
  <c r="N31" i="2"/>
  <c r="L31" i="2"/>
  <c r="N13" i="32"/>
  <c r="L13" i="32"/>
  <c r="N30" i="32"/>
  <c r="L30" i="32"/>
  <c r="N15" i="32"/>
  <c r="L15" i="32"/>
  <c r="L30" i="2"/>
  <c r="N30" i="2"/>
  <c r="L18" i="2"/>
  <c r="N18" i="2"/>
  <c r="N10" i="2"/>
  <c r="L10" i="2"/>
  <c r="N12" i="2"/>
  <c r="L12" i="2"/>
  <c r="N15" i="2"/>
  <c r="L15" i="2"/>
  <c r="L29" i="32"/>
  <c r="N29" i="32"/>
  <c r="N18" i="32"/>
  <c r="L18" i="32"/>
  <c r="N20" i="32"/>
  <c r="L20" i="32"/>
  <c r="N14" i="32"/>
  <c r="L14" i="32"/>
  <c r="N20" i="2"/>
  <c r="L20" i="2"/>
  <c r="N14" i="2"/>
  <c r="L14" i="2"/>
  <c r="K7" i="32"/>
  <c r="K7" i="2"/>
  <c r="L12" i="32"/>
  <c r="N12" i="32"/>
  <c r="L16" i="2"/>
  <c r="N16" i="2"/>
  <c r="N9" i="2"/>
  <c r="L9" i="2"/>
  <c r="N8" i="2"/>
  <c r="L8" i="2"/>
  <c r="N17" i="2"/>
  <c r="L17" i="2"/>
  <c r="L19" i="32"/>
  <c r="N19" i="32"/>
  <c r="N9" i="32"/>
  <c r="L9" i="32"/>
  <c r="K11" i="2"/>
  <c r="K11" i="32"/>
  <c r="L8" i="32"/>
  <c r="N8" i="32"/>
  <c r="N17" i="32"/>
  <c r="L17" i="32"/>
  <c r="N19" i="2"/>
  <c r="L19" i="2"/>
  <c r="N16" i="32"/>
  <c r="L16" i="32"/>
  <c r="N21" i="2"/>
  <c r="L21" i="2"/>
  <c r="L23" i="2"/>
  <c r="N23" i="2"/>
  <c r="N10" i="32"/>
  <c r="L10" i="32"/>
  <c r="K28" i="32"/>
  <c r="K29" i="2"/>
  <c r="L21" i="32"/>
  <c r="N21" i="32"/>
  <c r="L23" i="32"/>
  <c r="N23" i="32"/>
  <c r="F12" i="1"/>
  <c r="F10" i="1"/>
  <c r="F7" i="1"/>
  <c r="Q11" i="32" l="1"/>
  <c r="P25" i="32"/>
  <c r="S11" i="32"/>
  <c r="P31" i="32"/>
  <c r="S28" i="32"/>
  <c r="Q28" i="32"/>
  <c r="Q12" i="32"/>
  <c r="S12" i="32"/>
  <c r="S31" i="2"/>
  <c r="Q31" i="2"/>
  <c r="I10" i="1"/>
  <c r="G10" i="1"/>
  <c r="S17" i="32"/>
  <c r="Q17" i="32"/>
  <c r="S22" i="32"/>
  <c r="Q22" i="32"/>
  <c r="S17" i="2"/>
  <c r="Q17" i="2"/>
  <c r="Q22" i="2"/>
  <c r="S22" i="2"/>
  <c r="S8" i="2"/>
  <c r="Q8" i="2"/>
  <c r="S30" i="32"/>
  <c r="Q30" i="32"/>
  <c r="Q18" i="2"/>
  <c r="S18" i="2"/>
  <c r="Q30" i="2"/>
  <c r="S30" i="2"/>
  <c r="S12" i="2"/>
  <c r="Q12" i="2"/>
  <c r="F17" i="1"/>
  <c r="F22" i="1" s="1"/>
  <c r="Q9" i="2"/>
  <c r="S9" i="2"/>
  <c r="Q19" i="2"/>
  <c r="S19" i="2"/>
  <c r="P26" i="2"/>
  <c r="F15" i="1"/>
  <c r="F20" i="1" s="1"/>
  <c r="S18" i="32"/>
  <c r="Q18" i="32"/>
  <c r="S23" i="32"/>
  <c r="Q23" i="32"/>
  <c r="Q29" i="32"/>
  <c r="S29" i="32"/>
  <c r="P34" i="2"/>
  <c r="P33" i="32"/>
  <c r="P33" i="2"/>
  <c r="P32" i="32"/>
  <c r="S23" i="2"/>
  <c r="Q23" i="2"/>
  <c r="S8" i="32"/>
  <c r="Q8" i="32"/>
  <c r="P24" i="32"/>
  <c r="S7" i="32"/>
  <c r="Q7" i="32"/>
  <c r="Q20" i="32"/>
  <c r="S20" i="32"/>
  <c r="S9" i="32"/>
  <c r="Q9" i="32"/>
  <c r="Q19" i="32"/>
  <c r="S19" i="32"/>
  <c r="P26" i="32"/>
  <c r="S10" i="32"/>
  <c r="Q10" i="32"/>
  <c r="S20" i="2"/>
  <c r="Q20" i="2"/>
  <c r="Q13" i="2"/>
  <c r="S13" i="2"/>
  <c r="I12" i="1"/>
  <c r="G12" i="1"/>
  <c r="Q10" i="2"/>
  <c r="S10" i="2"/>
  <c r="S28" i="2"/>
  <c r="Q28" i="2"/>
  <c r="S13" i="32"/>
  <c r="Q13" i="32"/>
  <c r="Q14" i="32"/>
  <c r="S14" i="32"/>
  <c r="S11" i="2"/>
  <c r="P25" i="2"/>
  <c r="Q11" i="2"/>
  <c r="S7" i="2"/>
  <c r="P24" i="2"/>
  <c r="Q7" i="2"/>
  <c r="S29" i="2"/>
  <c r="P32" i="2"/>
  <c r="Q29" i="2"/>
  <c r="I11" i="1"/>
  <c r="G11" i="1"/>
  <c r="F21" i="1"/>
  <c r="S14" i="2"/>
  <c r="Q14" i="2"/>
  <c r="U30" i="32"/>
  <c r="U31" i="2"/>
  <c r="U19" i="2"/>
  <c r="U19" i="32"/>
  <c r="U14" i="32"/>
  <c r="U14" i="2"/>
  <c r="U21" i="32"/>
  <c r="U21" i="2"/>
  <c r="U13" i="32"/>
  <c r="U13" i="2"/>
  <c r="U18" i="2"/>
  <c r="U18" i="32"/>
  <c r="U29" i="32"/>
  <c r="U30" i="2"/>
  <c r="U11" i="2"/>
  <c r="U11" i="32"/>
  <c r="N11" i="32"/>
  <c r="L11" i="32"/>
  <c r="K25" i="32"/>
  <c r="L11" i="2"/>
  <c r="K25" i="2"/>
  <c r="N11" i="2"/>
  <c r="L26" i="32"/>
  <c r="N26" i="32"/>
  <c r="F26" i="32"/>
  <c r="K24" i="2"/>
  <c r="N7" i="2"/>
  <c r="L7" i="2"/>
  <c r="F9" i="1"/>
  <c r="G7" i="1"/>
  <c r="I7" i="1"/>
  <c r="F26" i="2"/>
  <c r="L26" i="2"/>
  <c r="N26" i="2"/>
  <c r="L7" i="32"/>
  <c r="K24" i="32"/>
  <c r="N7" i="32"/>
  <c r="K32" i="2"/>
  <c r="L29" i="2"/>
  <c r="N29" i="2"/>
  <c r="N28" i="32"/>
  <c r="K31" i="32"/>
  <c r="L28" i="32"/>
  <c r="L22" i="32"/>
  <c r="N22" i="32"/>
  <c r="L22" i="2"/>
  <c r="N22" i="2"/>
  <c r="F26" i="1"/>
  <c r="I22" i="1" l="1"/>
  <c r="G22" i="1"/>
  <c r="G15" i="1"/>
  <c r="I15" i="1"/>
  <c r="S24" i="2"/>
  <c r="P27" i="2"/>
  <c r="Q24" i="2"/>
  <c r="P27" i="32"/>
  <c r="S24" i="32"/>
  <c r="Q24" i="32"/>
  <c r="U35" i="2"/>
  <c r="U34" i="32"/>
  <c r="S31" i="32"/>
  <c r="Q31" i="32"/>
  <c r="S32" i="2"/>
  <c r="Q32" i="2"/>
  <c r="S32" i="32"/>
  <c r="Q32" i="32"/>
  <c r="F18" i="1"/>
  <c r="F19" i="1" s="1"/>
  <c r="Q26" i="2"/>
  <c r="S26" i="2"/>
  <c r="S25" i="2"/>
  <c r="Q25" i="2"/>
  <c r="Q33" i="2"/>
  <c r="S33" i="2"/>
  <c r="I17" i="1"/>
  <c r="G17" i="1"/>
  <c r="S34" i="2"/>
  <c r="Q34" i="2"/>
  <c r="I20" i="1"/>
  <c r="G20" i="1"/>
  <c r="S26" i="32"/>
  <c r="Q26" i="32"/>
  <c r="G21" i="1"/>
  <c r="I21" i="1"/>
  <c r="Q25" i="32"/>
  <c r="S25" i="32"/>
  <c r="S33" i="32"/>
  <c r="Q33" i="32"/>
  <c r="V21" i="2"/>
  <c r="X21" i="2"/>
  <c r="U28" i="2"/>
  <c r="U15" i="32"/>
  <c r="U15" i="2"/>
  <c r="U20" i="32"/>
  <c r="U20" i="2"/>
  <c r="U37" i="32"/>
  <c r="U38" i="2"/>
  <c r="V21" i="32"/>
  <c r="X21" i="32"/>
  <c r="I26" i="1"/>
  <c r="G26" i="1"/>
  <c r="F32" i="1"/>
  <c r="F25" i="1"/>
  <c r="V14" i="2"/>
  <c r="X14" i="2"/>
  <c r="X11" i="2"/>
  <c r="V11" i="2"/>
  <c r="U16" i="2"/>
  <c r="U16" i="32"/>
  <c r="V14" i="32"/>
  <c r="X14" i="32"/>
  <c r="U23" i="2"/>
  <c r="U23" i="32"/>
  <c r="V18" i="32"/>
  <c r="X18" i="32"/>
  <c r="V19" i="32"/>
  <c r="X19" i="32"/>
  <c r="X13" i="32"/>
  <c r="V13" i="32"/>
  <c r="V18" i="2"/>
  <c r="X18" i="2"/>
  <c r="X19" i="2"/>
  <c r="V19" i="2"/>
  <c r="V11" i="32"/>
  <c r="X11" i="32"/>
  <c r="V30" i="2"/>
  <c r="X30" i="2"/>
  <c r="V29" i="32"/>
  <c r="X29" i="32"/>
  <c r="U36" i="32"/>
  <c r="U37" i="2"/>
  <c r="F27" i="1"/>
  <c r="U10" i="32"/>
  <c r="U10" i="2"/>
  <c r="U36" i="2"/>
  <c r="U35" i="32"/>
  <c r="V30" i="32"/>
  <c r="X30" i="32"/>
  <c r="U7" i="32"/>
  <c r="U7" i="2"/>
  <c r="V13" i="2"/>
  <c r="X13" i="2"/>
  <c r="U22" i="32"/>
  <c r="U22" i="2"/>
  <c r="U33" i="2"/>
  <c r="U32" i="32"/>
  <c r="V31" i="2"/>
  <c r="X31" i="2"/>
  <c r="U17" i="32"/>
  <c r="U17" i="2"/>
  <c r="U8" i="2"/>
  <c r="U8" i="32"/>
  <c r="U9" i="2"/>
  <c r="U9" i="32"/>
  <c r="U12" i="32"/>
  <c r="U12" i="2"/>
  <c r="N24" i="2"/>
  <c r="L24" i="2"/>
  <c r="F24" i="2"/>
  <c r="K27" i="2"/>
  <c r="K46" i="2"/>
  <c r="K45" i="32"/>
  <c r="G9" i="1"/>
  <c r="I9" i="1"/>
  <c r="N31" i="32"/>
  <c r="F46" i="32"/>
  <c r="G46" i="32"/>
  <c r="G31" i="32"/>
  <c r="L31" i="32"/>
  <c r="F25" i="2"/>
  <c r="N25" i="2"/>
  <c r="L25" i="2"/>
  <c r="N32" i="2"/>
  <c r="G47" i="2"/>
  <c r="F47" i="2"/>
  <c r="L32" i="2"/>
  <c r="F25" i="32"/>
  <c r="L25" i="32"/>
  <c r="N25" i="32"/>
  <c r="L24" i="32"/>
  <c r="F24" i="32"/>
  <c r="K27" i="32"/>
  <c r="N24" i="32"/>
  <c r="U26" i="32" l="1"/>
  <c r="I19" i="1"/>
  <c r="G19" i="1"/>
  <c r="P39" i="32"/>
  <c r="P46" i="2"/>
  <c r="P45" i="32"/>
  <c r="P40" i="2"/>
  <c r="F13" i="1"/>
  <c r="Q27" i="32"/>
  <c r="S27" i="32"/>
  <c r="X35" i="2"/>
  <c r="T34" i="1"/>
  <c r="V35" i="2"/>
  <c r="X34" i="32"/>
  <c r="V34" i="32"/>
  <c r="Q27" i="2"/>
  <c r="S27" i="2"/>
  <c r="G18" i="1"/>
  <c r="I18" i="1"/>
  <c r="X32" i="32"/>
  <c r="V32" i="32"/>
  <c r="V20" i="2"/>
  <c r="X20" i="2"/>
  <c r="F30" i="1"/>
  <c r="I25" i="1"/>
  <c r="G25" i="1"/>
  <c r="K47" i="2"/>
  <c r="X33" i="2"/>
  <c r="T32" i="1"/>
  <c r="V33" i="2"/>
  <c r="I27" i="1"/>
  <c r="F33" i="1"/>
  <c r="G27" i="1"/>
  <c r="I32" i="1"/>
  <c r="G32" i="1"/>
  <c r="X12" i="2"/>
  <c r="V12" i="2"/>
  <c r="X23" i="2"/>
  <c r="V23" i="2"/>
  <c r="X38" i="2"/>
  <c r="V38" i="2"/>
  <c r="U61" i="2"/>
  <c r="V61" i="2" s="1"/>
  <c r="X22" i="2"/>
  <c r="V22" i="2"/>
  <c r="V37" i="2"/>
  <c r="U60" i="2"/>
  <c r="V60" i="2" s="1"/>
  <c r="X37" i="2"/>
  <c r="X22" i="32"/>
  <c r="V22" i="32"/>
  <c r="X36" i="32"/>
  <c r="V36" i="32"/>
  <c r="X23" i="32"/>
  <c r="V23" i="32"/>
  <c r="V12" i="32"/>
  <c r="X12" i="32"/>
  <c r="V37" i="32"/>
  <c r="X37" i="32"/>
  <c r="X9" i="32"/>
  <c r="V9" i="32"/>
  <c r="U28" i="32"/>
  <c r="U29" i="2"/>
  <c r="X9" i="2"/>
  <c r="V9" i="2"/>
  <c r="U24" i="32"/>
  <c r="X7" i="32"/>
  <c r="V7" i="32"/>
  <c r="X16" i="32"/>
  <c r="V16" i="32"/>
  <c r="U25" i="32"/>
  <c r="V16" i="2"/>
  <c r="X16" i="2"/>
  <c r="X15" i="2"/>
  <c r="V15" i="2"/>
  <c r="V8" i="32"/>
  <c r="X8" i="32"/>
  <c r="V15" i="32"/>
  <c r="X15" i="32"/>
  <c r="X17" i="2"/>
  <c r="V17" i="2"/>
  <c r="V36" i="2"/>
  <c r="U59" i="2"/>
  <c r="V59" i="2" s="1"/>
  <c r="X36" i="2"/>
  <c r="U25" i="2"/>
  <c r="X17" i="32"/>
  <c r="V17" i="32"/>
  <c r="X10" i="2"/>
  <c r="V10" i="2"/>
  <c r="V20" i="32"/>
  <c r="X20" i="32"/>
  <c r="X8" i="2"/>
  <c r="V8" i="2"/>
  <c r="X28" i="2"/>
  <c r="V28" i="2"/>
  <c r="X10" i="32"/>
  <c r="V10" i="32"/>
  <c r="X26" i="32"/>
  <c r="V26" i="32"/>
  <c r="X7" i="2"/>
  <c r="U24" i="2"/>
  <c r="V7" i="2"/>
  <c r="X35" i="32"/>
  <c r="V35" i="32"/>
  <c r="U26" i="2"/>
  <c r="F27" i="32"/>
  <c r="L27" i="32"/>
  <c r="N27" i="32"/>
  <c r="G27" i="32"/>
  <c r="K46" i="32"/>
  <c r="G27" i="2"/>
  <c r="L27" i="2"/>
  <c r="F27" i="2"/>
  <c r="F23" i="2"/>
  <c r="N27" i="2"/>
  <c r="I13" i="1" l="1"/>
  <c r="G13" i="1"/>
  <c r="F23" i="1"/>
  <c r="F14" i="1"/>
  <c r="S40" i="2"/>
  <c r="Q40" i="2"/>
  <c r="P41" i="2"/>
  <c r="W34" i="1"/>
  <c r="U34" i="1"/>
  <c r="S39" i="32"/>
  <c r="Q39" i="32"/>
  <c r="P40" i="32"/>
  <c r="U34" i="2"/>
  <c r="U33" i="32"/>
  <c r="U50" i="32" s="1"/>
  <c r="X24" i="32"/>
  <c r="V24" i="32"/>
  <c r="U27" i="32"/>
  <c r="W32" i="1"/>
  <c r="U32" i="1"/>
  <c r="F31" i="1"/>
  <c r="I30" i="1"/>
  <c r="G30" i="1"/>
  <c r="V24" i="2"/>
  <c r="U27" i="2"/>
  <c r="X24" i="2"/>
  <c r="U32" i="2"/>
  <c r="V29" i="2"/>
  <c r="X29" i="2"/>
  <c r="X25" i="32"/>
  <c r="V25" i="32"/>
  <c r="X26" i="2"/>
  <c r="V26" i="2"/>
  <c r="X28" i="32"/>
  <c r="U31" i="32"/>
  <c r="V28" i="32"/>
  <c r="I33" i="1"/>
  <c r="G33" i="1"/>
  <c r="X25" i="2"/>
  <c r="V25" i="2"/>
  <c r="I14" i="1" l="1"/>
  <c r="G14" i="1"/>
  <c r="S41" i="2"/>
  <c r="Q41" i="2"/>
  <c r="P43" i="2"/>
  <c r="I23" i="1"/>
  <c r="G23" i="1"/>
  <c r="F24" i="1"/>
  <c r="P42" i="32"/>
  <c r="Q40" i="32"/>
  <c r="S40" i="32"/>
  <c r="X27" i="2"/>
  <c r="V27" i="2"/>
  <c r="U50" i="2"/>
  <c r="X32" i="2"/>
  <c r="U51" i="2"/>
  <c r="V51" i="2" s="1"/>
  <c r="V32" i="2"/>
  <c r="U48" i="32"/>
  <c r="X27" i="32"/>
  <c r="V27" i="32"/>
  <c r="U49" i="32"/>
  <c r="V49" i="32" s="1"/>
  <c r="X31" i="32"/>
  <c r="V31" i="32"/>
  <c r="F28" i="1"/>
  <c r="X33" i="32"/>
  <c r="V33" i="32"/>
  <c r="V50" i="32"/>
  <c r="I31" i="1"/>
  <c r="G31" i="1"/>
  <c r="X34" i="2"/>
  <c r="V34" i="2"/>
  <c r="T33" i="1"/>
  <c r="U58" i="2"/>
  <c r="U52" i="2"/>
  <c r="I24" i="1" l="1"/>
  <c r="G24" i="1"/>
  <c r="S42" i="32"/>
  <c r="G42" i="32"/>
  <c r="R43" i="32"/>
  <c r="P43" i="32"/>
  <c r="Q42" i="32"/>
  <c r="P46" i="32"/>
  <c r="P47" i="2"/>
  <c r="G43" i="2"/>
  <c r="S43" i="2"/>
  <c r="P49" i="2"/>
  <c r="Q43" i="2"/>
  <c r="R44" i="2"/>
  <c r="P44" i="2"/>
  <c r="V52" i="2"/>
  <c r="W33" i="1"/>
  <c r="U33" i="1"/>
  <c r="U39" i="31"/>
  <c r="U38" i="33"/>
  <c r="V58" i="2"/>
  <c r="W50" i="2"/>
  <c r="V50" i="2"/>
  <c r="G28" i="1"/>
  <c r="I28" i="1"/>
  <c r="F34" i="1"/>
  <c r="F29" i="1"/>
  <c r="V48" i="32"/>
  <c r="P50" i="2" l="1"/>
  <c r="Q49" i="2"/>
  <c r="X38" i="33"/>
  <c r="V38" i="33"/>
  <c r="I34" i="1"/>
  <c r="G34" i="1"/>
  <c r="F35" i="1"/>
  <c r="V39" i="31"/>
  <c r="X39" i="31"/>
  <c r="I29" i="1"/>
  <c r="G29" i="1"/>
  <c r="Q51" i="2" l="1"/>
  <c r="Q50" i="2"/>
  <c r="U46" i="2"/>
  <c r="F38" i="1"/>
  <c r="U45" i="32"/>
  <c r="U39" i="32"/>
  <c r="U40" i="2"/>
  <c r="F36" i="1"/>
  <c r="I35" i="1"/>
  <c r="G35" i="1"/>
  <c r="F40" i="1"/>
  <c r="F39" i="1"/>
  <c r="K28" i="31"/>
  <c r="K8" i="1"/>
  <c r="X40" i="2" l="1"/>
  <c r="U62" i="2"/>
  <c r="V40" i="2"/>
  <c r="U41" i="2"/>
  <c r="U66" i="2"/>
  <c r="V66" i="2" s="1"/>
  <c r="X39" i="32"/>
  <c r="V39" i="32"/>
  <c r="U40" i="32"/>
  <c r="I36" i="1"/>
  <c r="G36" i="1"/>
  <c r="U53" i="2"/>
  <c r="N8" i="1"/>
  <c r="L8" i="1"/>
  <c r="L28" i="31"/>
  <c r="N28" i="31"/>
  <c r="K44" i="31"/>
  <c r="M44" i="31"/>
  <c r="X40" i="32" l="1"/>
  <c r="V40" i="32"/>
  <c r="U42" i="32"/>
  <c r="V53" i="2"/>
  <c r="V54" i="2" s="1"/>
  <c r="U55" i="2"/>
  <c r="V55" i="2" s="1"/>
  <c r="U54" i="2"/>
  <c r="T36" i="1"/>
  <c r="V41" i="2"/>
  <c r="X41" i="2"/>
  <c r="U43" i="2"/>
  <c r="V62" i="2"/>
  <c r="V63" i="2" s="1"/>
  <c r="U63" i="2"/>
  <c r="U36" i="1" l="1"/>
  <c r="W36" i="1"/>
  <c r="T35" i="1"/>
  <c r="U68" i="2"/>
  <c r="U69" i="2" s="1"/>
  <c r="V69" i="2" s="1"/>
  <c r="X43" i="2"/>
  <c r="G44" i="2"/>
  <c r="V43" i="2"/>
  <c r="U44" i="2"/>
  <c r="U47" i="2"/>
  <c r="U51" i="32"/>
  <c r="U43" i="32"/>
  <c r="X42" i="32"/>
  <c r="V42" i="32"/>
  <c r="G43" i="32"/>
  <c r="U46" i="32"/>
  <c r="V51" i="32" l="1"/>
  <c r="U52" i="32"/>
  <c r="V52" i="32" s="1"/>
  <c r="U35" i="1"/>
  <c r="W35" i="1"/>
  <c r="K30" i="31" l="1"/>
  <c r="K29" i="33"/>
  <c r="K9" i="33"/>
  <c r="AI9" i="33" s="1"/>
  <c r="K9" i="31"/>
  <c r="K7" i="33"/>
  <c r="AI7" i="33" s="1"/>
  <c r="K7" i="31"/>
  <c r="P20" i="33" l="1"/>
  <c r="P20" i="31"/>
  <c r="P21" i="31"/>
  <c r="P21" i="33"/>
  <c r="P23" i="33"/>
  <c r="P23" i="31"/>
  <c r="P18" i="31"/>
  <c r="P18" i="33"/>
  <c r="K30" i="33"/>
  <c r="K31" i="31"/>
  <c r="K20" i="31"/>
  <c r="K20" i="33"/>
  <c r="AI20" i="33" s="1"/>
  <c r="K16" i="33"/>
  <c r="AI16" i="33" s="1"/>
  <c r="K16" i="31"/>
  <c r="N7" i="33"/>
  <c r="L7" i="33"/>
  <c r="K17" i="33"/>
  <c r="AI17" i="33" s="1"/>
  <c r="K17" i="31"/>
  <c r="N7" i="31"/>
  <c r="L7" i="31"/>
  <c r="K10" i="33"/>
  <c r="AI10" i="33" s="1"/>
  <c r="K10" i="31"/>
  <c r="L9" i="31"/>
  <c r="N9" i="31"/>
  <c r="K13" i="31"/>
  <c r="K13" i="33"/>
  <c r="AI13" i="33" s="1"/>
  <c r="K8" i="33"/>
  <c r="AI8" i="33" s="1"/>
  <c r="K8" i="31"/>
  <c r="K24" i="31" s="1"/>
  <c r="N9" i="33"/>
  <c r="L9" i="33"/>
  <c r="K23" i="33"/>
  <c r="AI23" i="33" s="1"/>
  <c r="K23" i="31"/>
  <c r="K21" i="33"/>
  <c r="AI21" i="33" s="1"/>
  <c r="K21" i="31"/>
  <c r="K14" i="33"/>
  <c r="AI14" i="33" s="1"/>
  <c r="K14" i="31"/>
  <c r="K22" i="31"/>
  <c r="K22" i="33"/>
  <c r="AI22" i="33" s="1"/>
  <c r="K18" i="33"/>
  <c r="AI18" i="33" s="1"/>
  <c r="K18" i="31"/>
  <c r="K28" i="33"/>
  <c r="K29" i="31"/>
  <c r="N29" i="33"/>
  <c r="L29" i="33"/>
  <c r="K11" i="31"/>
  <c r="K11" i="33"/>
  <c r="AI11" i="33" s="1"/>
  <c r="N30" i="31"/>
  <c r="L30" i="31"/>
  <c r="F30" i="31"/>
  <c r="K19" i="33"/>
  <c r="AI19" i="33" s="1"/>
  <c r="K19" i="31"/>
  <c r="K9" i="1"/>
  <c r="P22" i="31" l="1"/>
  <c r="P22" i="33"/>
  <c r="S18" i="33"/>
  <c r="Q18" i="33"/>
  <c r="S23" i="31"/>
  <c r="Q23" i="31"/>
  <c r="S23" i="33"/>
  <c r="Q23" i="33"/>
  <c r="S21" i="33"/>
  <c r="Q21" i="33"/>
  <c r="P31" i="31"/>
  <c r="P30" i="33"/>
  <c r="S18" i="31"/>
  <c r="Q18" i="31"/>
  <c r="Q21" i="31"/>
  <c r="S21" i="31"/>
  <c r="P19" i="31"/>
  <c r="P19" i="33"/>
  <c r="S20" i="31"/>
  <c r="Q20" i="31"/>
  <c r="Q20" i="33"/>
  <c r="S20" i="33"/>
  <c r="U18" i="31"/>
  <c r="U18" i="33"/>
  <c r="L14" i="33"/>
  <c r="N14" i="33"/>
  <c r="N14" i="31"/>
  <c r="L14" i="31"/>
  <c r="N17" i="31"/>
  <c r="L17" i="31"/>
  <c r="L11" i="33"/>
  <c r="N11" i="33"/>
  <c r="L11" i="31"/>
  <c r="N11" i="31"/>
  <c r="N29" i="31"/>
  <c r="L29" i="31"/>
  <c r="F29" i="31"/>
  <c r="K32" i="31"/>
  <c r="N8" i="31"/>
  <c r="L8" i="31"/>
  <c r="L16" i="31"/>
  <c r="N16" i="31"/>
  <c r="L21" i="31"/>
  <c r="N21" i="31"/>
  <c r="K7" i="1"/>
  <c r="K12" i="33"/>
  <c r="AI12" i="33" s="1"/>
  <c r="K12" i="31"/>
  <c r="N28" i="33"/>
  <c r="L28" i="33"/>
  <c r="K31" i="33"/>
  <c r="L8" i="33"/>
  <c r="N8" i="33"/>
  <c r="L16" i="33"/>
  <c r="N16" i="33"/>
  <c r="N18" i="31"/>
  <c r="L18" i="31"/>
  <c r="N13" i="33"/>
  <c r="L13" i="33"/>
  <c r="L20" i="33"/>
  <c r="N20" i="33"/>
  <c r="F24" i="31"/>
  <c r="L24" i="31"/>
  <c r="N24" i="31"/>
  <c r="N18" i="33"/>
  <c r="L18" i="33"/>
  <c r="L13" i="31"/>
  <c r="N13" i="31"/>
  <c r="L20" i="31"/>
  <c r="N20" i="31"/>
  <c r="N21" i="33"/>
  <c r="L21" i="33"/>
  <c r="N23" i="33"/>
  <c r="L23" i="33"/>
  <c r="L9" i="1"/>
  <c r="N9" i="1"/>
  <c r="L10" i="33"/>
  <c r="N10" i="33"/>
  <c r="N23" i="31"/>
  <c r="L23" i="31"/>
  <c r="N22" i="33"/>
  <c r="L22" i="33"/>
  <c r="K26" i="31"/>
  <c r="L19" i="31"/>
  <c r="N19" i="31"/>
  <c r="L17" i="33"/>
  <c r="N17" i="33"/>
  <c r="K24" i="33"/>
  <c r="AI24" i="33" s="1"/>
  <c r="N22" i="31"/>
  <c r="L22" i="31"/>
  <c r="L31" i="31"/>
  <c r="N31" i="31"/>
  <c r="F31" i="31"/>
  <c r="N19" i="33"/>
  <c r="K26" i="33"/>
  <c r="AI26" i="33" s="1"/>
  <c r="L19" i="33"/>
  <c r="K15" i="31"/>
  <c r="K15" i="33"/>
  <c r="AI15" i="33" s="1"/>
  <c r="N10" i="31"/>
  <c r="L10" i="31"/>
  <c r="N30" i="33"/>
  <c r="L30" i="33"/>
  <c r="Q31" i="31" l="1"/>
  <c r="S31" i="31"/>
  <c r="Q30" i="33"/>
  <c r="S30" i="33"/>
  <c r="P26" i="31"/>
  <c r="Q19" i="31"/>
  <c r="S19" i="31"/>
  <c r="S22" i="33"/>
  <c r="Q22" i="33"/>
  <c r="P26" i="33"/>
  <c r="Q19" i="33"/>
  <c r="S19" i="33"/>
  <c r="Q22" i="31"/>
  <c r="S22" i="31"/>
  <c r="U21" i="31"/>
  <c r="U21" i="33"/>
  <c r="U19" i="31"/>
  <c r="U19" i="33"/>
  <c r="U36" i="33"/>
  <c r="U37" i="31"/>
  <c r="U36" i="31"/>
  <c r="U35" i="33"/>
  <c r="U23" i="31"/>
  <c r="U23" i="33"/>
  <c r="V18" i="33"/>
  <c r="X18" i="33"/>
  <c r="V18" i="31"/>
  <c r="X18" i="31"/>
  <c r="U20" i="33"/>
  <c r="U20" i="31"/>
  <c r="K45" i="33"/>
  <c r="K46" i="31"/>
  <c r="F26" i="33"/>
  <c r="L26" i="33"/>
  <c r="N26" i="33"/>
  <c r="N15" i="33"/>
  <c r="L15" i="33"/>
  <c r="N15" i="31"/>
  <c r="L15" i="31"/>
  <c r="N31" i="33"/>
  <c r="L31" i="33"/>
  <c r="K44" i="33"/>
  <c r="M44" i="33"/>
  <c r="K25" i="33"/>
  <c r="L12" i="31"/>
  <c r="N12" i="31"/>
  <c r="K25" i="31"/>
  <c r="N12" i="33"/>
  <c r="L12" i="33"/>
  <c r="L7" i="1"/>
  <c r="N7" i="1"/>
  <c r="N32" i="31"/>
  <c r="F32" i="31"/>
  <c r="K45" i="31"/>
  <c r="M45" i="31"/>
  <c r="K57" i="31"/>
  <c r="L57" i="31" s="1"/>
  <c r="L32" i="31"/>
  <c r="N24" i="33"/>
  <c r="F24" i="33"/>
  <c r="L24" i="33"/>
  <c r="L26" i="31"/>
  <c r="N26" i="31"/>
  <c r="F26" i="31"/>
  <c r="K27" i="33" l="1"/>
  <c r="AI27" i="33" s="1"/>
  <c r="AI25" i="33"/>
  <c r="S26" i="31"/>
  <c r="Q26" i="31"/>
  <c r="S26" i="33"/>
  <c r="Q26" i="33"/>
  <c r="U22" i="33"/>
  <c r="U26" i="33" s="1"/>
  <c r="AK26" i="33" s="1"/>
  <c r="U22" i="31"/>
  <c r="X20" i="31"/>
  <c r="V20" i="31"/>
  <c r="V23" i="33"/>
  <c r="X23" i="33"/>
  <c r="X35" i="33"/>
  <c r="V35" i="33"/>
  <c r="V19" i="31"/>
  <c r="X19" i="31"/>
  <c r="U26" i="31"/>
  <c r="V23" i="31"/>
  <c r="X23" i="31"/>
  <c r="U60" i="31"/>
  <c r="V60" i="31" s="1"/>
  <c r="V37" i="31"/>
  <c r="X37" i="31"/>
  <c r="X19" i="33"/>
  <c r="V19" i="33"/>
  <c r="X21" i="33"/>
  <c r="V21" i="33"/>
  <c r="X20" i="33"/>
  <c r="V20" i="33"/>
  <c r="U59" i="31"/>
  <c r="V59" i="31" s="1"/>
  <c r="V36" i="31"/>
  <c r="X36" i="31"/>
  <c r="X36" i="33"/>
  <c r="V36" i="33"/>
  <c r="V21" i="31"/>
  <c r="X21" i="31"/>
  <c r="F27" i="33"/>
  <c r="N27" i="33"/>
  <c r="L27" i="33"/>
  <c r="G27" i="33"/>
  <c r="K27" i="31"/>
  <c r="K47" i="31" s="1"/>
  <c r="N25" i="31"/>
  <c r="F25" i="31"/>
  <c r="L25" i="31"/>
  <c r="L25" i="33"/>
  <c r="F25" i="33"/>
  <c r="N25" i="33"/>
  <c r="K46" i="33"/>
  <c r="X26" i="31" l="1"/>
  <c r="V26" i="31"/>
  <c r="X22" i="31"/>
  <c r="V22" i="31"/>
  <c r="X26" i="33"/>
  <c r="V26" i="33"/>
  <c r="V22" i="33"/>
  <c r="X22" i="33"/>
  <c r="F23" i="31"/>
  <c r="L27" i="31"/>
  <c r="G27" i="31"/>
  <c r="N27" i="31"/>
  <c r="F27" i="31"/>
  <c r="P10" i="33" l="1"/>
  <c r="P10" i="31"/>
  <c r="S10" i="31" l="1"/>
  <c r="Q10" i="31"/>
  <c r="S10" i="33"/>
  <c r="Q10" i="33"/>
  <c r="P28" i="33" l="1"/>
  <c r="P29" i="31"/>
  <c r="P15" i="31"/>
  <c r="P15" i="33"/>
  <c r="K12" i="1"/>
  <c r="N12" i="1" l="1"/>
  <c r="L12" i="1"/>
  <c r="P13" i="33"/>
  <c r="P13" i="31"/>
  <c r="P8" i="33"/>
  <c r="P8" i="31"/>
  <c r="P17" i="31"/>
  <c r="P17" i="33"/>
  <c r="P28" i="31"/>
  <c r="K11" i="1"/>
  <c r="P9" i="33"/>
  <c r="P9" i="31"/>
  <c r="Q15" i="33"/>
  <c r="S15" i="33"/>
  <c r="P16" i="33"/>
  <c r="P16" i="31"/>
  <c r="P30" i="31"/>
  <c r="P29" i="33"/>
  <c r="P31" i="33" s="1"/>
  <c r="P11" i="33"/>
  <c r="P11" i="31"/>
  <c r="S15" i="31"/>
  <c r="Q15" i="31"/>
  <c r="P7" i="31"/>
  <c r="P7" i="33"/>
  <c r="S29" i="31"/>
  <c r="Q29" i="31"/>
  <c r="P12" i="33"/>
  <c r="P12" i="31"/>
  <c r="S28" i="33"/>
  <c r="Q28" i="33"/>
  <c r="K10" i="1" l="1"/>
  <c r="Q16" i="31"/>
  <c r="S16" i="31"/>
  <c r="Q30" i="31"/>
  <c r="S30" i="31"/>
  <c r="S16" i="33"/>
  <c r="Q16" i="33"/>
  <c r="Q9" i="33"/>
  <c r="S9" i="33"/>
  <c r="N11" i="1"/>
  <c r="L11" i="1"/>
  <c r="S8" i="31"/>
  <c r="Q8" i="31"/>
  <c r="S12" i="31"/>
  <c r="Q12" i="31"/>
  <c r="S8" i="33"/>
  <c r="Q8" i="33"/>
  <c r="S17" i="31"/>
  <c r="Q17" i="31"/>
  <c r="S13" i="31"/>
  <c r="Q13" i="31"/>
  <c r="Q7" i="31"/>
  <c r="S7" i="31"/>
  <c r="P24" i="31"/>
  <c r="Q11" i="31"/>
  <c r="S11" i="31"/>
  <c r="S13" i="33"/>
  <c r="Q13" i="33"/>
  <c r="S31" i="33"/>
  <c r="Q31" i="33"/>
  <c r="P24" i="33"/>
  <c r="S7" i="33"/>
  <c r="Q7" i="33"/>
  <c r="S12" i="33"/>
  <c r="Q12" i="33"/>
  <c r="P32" i="31"/>
  <c r="S17" i="33"/>
  <c r="Q17" i="33"/>
  <c r="P14" i="31"/>
  <c r="P25" i="31" s="1"/>
  <c r="P14" i="33"/>
  <c r="P25" i="33" s="1"/>
  <c r="Q9" i="31"/>
  <c r="S9" i="31"/>
  <c r="Q28" i="31"/>
  <c r="AJ28" i="31"/>
  <c r="AK28" i="31"/>
  <c r="S28" i="31"/>
  <c r="S11" i="33"/>
  <c r="Q11" i="33"/>
  <c r="Q29" i="33"/>
  <c r="S29" i="33"/>
  <c r="AK32" i="31" l="1"/>
  <c r="S32" i="31"/>
  <c r="AJ32" i="31"/>
  <c r="Q32" i="31"/>
  <c r="Q25" i="31"/>
  <c r="S25" i="31"/>
  <c r="P33" i="31"/>
  <c r="P32" i="33"/>
  <c r="S24" i="33"/>
  <c r="Q24" i="33"/>
  <c r="P27" i="33"/>
  <c r="P27" i="31"/>
  <c r="S24" i="31"/>
  <c r="Q24" i="31"/>
  <c r="S14" i="33"/>
  <c r="Q14" i="33"/>
  <c r="S25" i="33"/>
  <c r="Q25" i="33"/>
  <c r="Q14" i="31"/>
  <c r="S14" i="31"/>
  <c r="N10" i="1"/>
  <c r="L10" i="1"/>
  <c r="P45" i="33" l="1"/>
  <c r="P40" i="31"/>
  <c r="P46" i="31"/>
  <c r="P39" i="33"/>
  <c r="K13" i="1"/>
  <c r="S27" i="33"/>
  <c r="Q27" i="33"/>
  <c r="S32" i="33"/>
  <c r="Q32" i="33"/>
  <c r="S33" i="31"/>
  <c r="Q33" i="31"/>
  <c r="AK27" i="31"/>
  <c r="S27" i="31"/>
  <c r="AJ27" i="31"/>
  <c r="Q27" i="31"/>
  <c r="P33" i="33"/>
  <c r="P40" i="33" s="1"/>
  <c r="P34" i="31"/>
  <c r="P41" i="31" s="1"/>
  <c r="P43" i="31" s="1"/>
  <c r="S40" i="33" l="1"/>
  <c r="Q40" i="33"/>
  <c r="P42" i="33"/>
  <c r="N13" i="1"/>
  <c r="L13" i="1"/>
  <c r="K14" i="1"/>
  <c r="S39" i="33"/>
  <c r="Q39" i="33"/>
  <c r="P47" i="31"/>
  <c r="S33" i="33"/>
  <c r="Q33" i="33"/>
  <c r="S40" i="31"/>
  <c r="Q40" i="31"/>
  <c r="AJ43" i="31"/>
  <c r="S43" i="31"/>
  <c r="G43" i="31"/>
  <c r="P49" i="31"/>
  <c r="Q43" i="31"/>
  <c r="AK43" i="31"/>
  <c r="R44" i="31"/>
  <c r="P44" i="31"/>
  <c r="AK41" i="31"/>
  <c r="AJ41" i="31"/>
  <c r="S41" i="31"/>
  <c r="Q41" i="31"/>
  <c r="S34" i="31"/>
  <c r="Q34" i="31"/>
  <c r="P46" i="33"/>
  <c r="N14" i="1" l="1"/>
  <c r="L14" i="1"/>
  <c r="P50" i="31"/>
  <c r="Q49" i="31"/>
  <c r="R43" i="33"/>
  <c r="P43" i="33"/>
  <c r="S42" i="33"/>
  <c r="G42" i="33"/>
  <c r="Q42" i="33"/>
  <c r="Q50" i="31" l="1"/>
  <c r="Q51" i="31"/>
  <c r="K16" i="1" l="1"/>
  <c r="K17" i="1"/>
  <c r="N17" i="1" l="1"/>
  <c r="L17" i="1"/>
  <c r="K22" i="1"/>
  <c r="N16" i="1"/>
  <c r="L16" i="1"/>
  <c r="K21" i="1"/>
  <c r="N21" i="1" l="1"/>
  <c r="L21" i="1"/>
  <c r="K15" i="1"/>
  <c r="N22" i="1"/>
  <c r="L22" i="1"/>
  <c r="K18" i="1" l="1"/>
  <c r="N15" i="1"/>
  <c r="L15" i="1"/>
  <c r="K19" i="1"/>
  <c r="K20" i="1"/>
  <c r="U33" i="33"/>
  <c r="U34" i="31"/>
  <c r="N20" i="1" l="1"/>
  <c r="L20" i="1"/>
  <c r="L18" i="1"/>
  <c r="N18" i="1"/>
  <c r="K23" i="1"/>
  <c r="K24" i="1" s="1"/>
  <c r="L19" i="1"/>
  <c r="N19" i="1"/>
  <c r="X33" i="33"/>
  <c r="V33" i="33"/>
  <c r="X34" i="31"/>
  <c r="V34" i="31"/>
  <c r="N24" i="1" l="1"/>
  <c r="L24" i="1"/>
  <c r="N23" i="1"/>
  <c r="L23" i="1"/>
  <c r="U10" i="33" l="1"/>
  <c r="U10" i="31"/>
  <c r="X10" i="31" l="1"/>
  <c r="V10" i="31"/>
  <c r="X10" i="33"/>
  <c r="V10" i="33"/>
  <c r="U7" i="33" l="1"/>
  <c r="U7" i="31"/>
  <c r="V7" i="31" l="1"/>
  <c r="X7" i="31"/>
  <c r="X7" i="33"/>
  <c r="V7" i="33"/>
  <c r="U8" i="31" l="1"/>
  <c r="U8" i="33"/>
  <c r="X8" i="33" l="1"/>
  <c r="V8" i="33"/>
  <c r="X8" i="31"/>
  <c r="V8" i="31"/>
  <c r="U9" i="33" l="1"/>
  <c r="U9" i="31"/>
  <c r="V9" i="31" l="1"/>
  <c r="X9" i="31"/>
  <c r="U24" i="31"/>
  <c r="X9" i="33"/>
  <c r="V9" i="33"/>
  <c r="U24" i="33"/>
  <c r="AK24" i="33" s="1"/>
  <c r="X24" i="33" l="1"/>
  <c r="V24" i="33"/>
  <c r="X24" i="31"/>
  <c r="V24" i="31"/>
  <c r="U17" i="33" l="1"/>
  <c r="U17" i="31"/>
  <c r="U16" i="33" l="1"/>
  <c r="U16" i="31"/>
  <c r="X17" i="31"/>
  <c r="V17" i="31"/>
  <c r="X17" i="33"/>
  <c r="V17" i="33"/>
  <c r="V16" i="31" l="1"/>
  <c r="X16" i="31"/>
  <c r="V16" i="33"/>
  <c r="X16" i="33"/>
  <c r="U12" i="33" l="1"/>
  <c r="U12" i="31"/>
  <c r="U11" i="31"/>
  <c r="U11" i="33"/>
  <c r="X11" i="33" l="1"/>
  <c r="V11" i="33"/>
  <c r="X11" i="31"/>
  <c r="V11" i="31"/>
  <c r="V12" i="31"/>
  <c r="X12" i="31"/>
  <c r="X12" i="33"/>
  <c r="V12" i="33"/>
  <c r="U15" i="33" l="1"/>
  <c r="U15" i="31"/>
  <c r="U14" i="31"/>
  <c r="U14" i="33"/>
  <c r="X14" i="33" l="1"/>
  <c r="V14" i="33"/>
  <c r="X14" i="31"/>
  <c r="V14" i="31"/>
  <c r="X15" i="31"/>
  <c r="V15" i="31"/>
  <c r="V15" i="33"/>
  <c r="X15" i="33"/>
  <c r="K25" i="1" l="1"/>
  <c r="U13" i="33"/>
  <c r="U13" i="31"/>
  <c r="V13" i="31" l="1"/>
  <c r="X13" i="31"/>
  <c r="U25" i="31"/>
  <c r="X13" i="33"/>
  <c r="V13" i="33"/>
  <c r="U25" i="33"/>
  <c r="AK25" i="33" s="1"/>
  <c r="N25" i="1"/>
  <c r="K30" i="1"/>
  <c r="L25" i="1"/>
  <c r="V25" i="31" l="1"/>
  <c r="X25" i="31"/>
  <c r="U27" i="31"/>
  <c r="K31" i="1"/>
  <c r="L30" i="1"/>
  <c r="N30" i="1"/>
  <c r="X25" i="33"/>
  <c r="V25" i="33"/>
  <c r="U27" i="33"/>
  <c r="AK27" i="33" s="1"/>
  <c r="N31" i="1" l="1"/>
  <c r="L31" i="1"/>
  <c r="V27" i="33"/>
  <c r="X27" i="33"/>
  <c r="V27" i="31"/>
  <c r="X27" i="31"/>
  <c r="U33" i="31" l="1"/>
  <c r="U32" i="33"/>
  <c r="U50" i="33" l="1"/>
  <c r="V50" i="33" s="1"/>
  <c r="X32" i="33"/>
  <c r="V32" i="33"/>
  <c r="X33" i="31"/>
  <c r="U58" i="31"/>
  <c r="U52" i="31"/>
  <c r="V33" i="31"/>
  <c r="V52" i="31" l="1"/>
  <c r="V58" i="31"/>
  <c r="U30" i="33" l="1"/>
  <c r="U31" i="31"/>
  <c r="X31" i="31" l="1"/>
  <c r="V31" i="31"/>
  <c r="X30" i="33"/>
  <c r="V30" i="33"/>
  <c r="K26" i="1"/>
  <c r="N26" i="1" l="1"/>
  <c r="L26" i="1"/>
  <c r="K32" i="1"/>
  <c r="U28" i="31" l="1"/>
  <c r="N32" i="1"/>
  <c r="L32" i="1"/>
  <c r="X28" i="31" l="1"/>
  <c r="V28" i="31"/>
  <c r="U38" i="31" l="1"/>
  <c r="U37" i="33"/>
  <c r="X37" i="33" l="1"/>
  <c r="V37" i="33"/>
  <c r="X38" i="31"/>
  <c r="V38" i="31"/>
  <c r="U61" i="31"/>
  <c r="V61" i="31" l="1"/>
  <c r="K27" i="1" l="1"/>
  <c r="U30" i="31"/>
  <c r="U29" i="33"/>
  <c r="L27" i="1" l="1"/>
  <c r="K33" i="1"/>
  <c r="N27" i="1"/>
  <c r="U29" i="31"/>
  <c r="U28" i="33"/>
  <c r="X29" i="33"/>
  <c r="V29" i="33"/>
  <c r="X30" i="31"/>
  <c r="V30" i="31"/>
  <c r="N33" i="1" l="1"/>
  <c r="L33" i="1"/>
  <c r="V28" i="33"/>
  <c r="X28" i="33"/>
  <c r="U31" i="33"/>
  <c r="U32" i="31"/>
  <c r="V29" i="31"/>
  <c r="X29" i="31"/>
  <c r="U34" i="33" l="1"/>
  <c r="U35" i="31"/>
  <c r="K28" i="1"/>
  <c r="K58" i="31"/>
  <c r="L58" i="31" s="1"/>
  <c r="V32" i="31"/>
  <c r="X32" i="31"/>
  <c r="U51" i="31"/>
  <c r="U46" i="31"/>
  <c r="U45" i="33"/>
  <c r="K38" i="1"/>
  <c r="U39" i="33"/>
  <c r="U40" i="31"/>
  <c r="U49" i="33"/>
  <c r="X31" i="33"/>
  <c r="V31" i="33"/>
  <c r="L28" i="1" l="1"/>
  <c r="N28" i="1"/>
  <c r="K34" i="1"/>
  <c r="K29" i="1"/>
  <c r="X35" i="31"/>
  <c r="V35" i="31"/>
  <c r="U50" i="31"/>
  <c r="X34" i="33"/>
  <c r="V34" i="33"/>
  <c r="U48" i="33"/>
  <c r="V48" i="33" s="1"/>
  <c r="V49" i="33"/>
  <c r="X40" i="31"/>
  <c r="V40" i="31"/>
  <c r="U62" i="31"/>
  <c r="U69" i="31"/>
  <c r="V69" i="31" s="1"/>
  <c r="U41" i="31"/>
  <c r="V51" i="31"/>
  <c r="X39" i="33"/>
  <c r="V39" i="33"/>
  <c r="U40" i="33"/>
  <c r="N29" i="1" l="1"/>
  <c r="L29" i="1"/>
  <c r="N34" i="1"/>
  <c r="L34" i="1"/>
  <c r="K35" i="1"/>
  <c r="W50" i="31"/>
  <c r="V50" i="31"/>
  <c r="U53" i="31"/>
  <c r="V53" i="31" s="1"/>
  <c r="V54" i="31" s="1"/>
  <c r="V62" i="31"/>
  <c r="V63" i="31" s="1"/>
  <c r="U63" i="31"/>
  <c r="V41" i="31"/>
  <c r="X41" i="31"/>
  <c r="U43" i="31"/>
  <c r="X40" i="33"/>
  <c r="V40" i="33"/>
  <c r="U42" i="33"/>
  <c r="U55" i="31"/>
  <c r="V55" i="31" s="1"/>
  <c r="U54" i="31" l="1"/>
  <c r="K36" i="1"/>
  <c r="N35" i="1"/>
  <c r="L35" i="1"/>
  <c r="K40" i="1"/>
  <c r="K39" i="1"/>
  <c r="U51" i="33"/>
  <c r="X42" i="33"/>
  <c r="X43" i="33" s="1"/>
  <c r="U43" i="33"/>
  <c r="V42" i="33"/>
  <c r="V43" i="33" s="1"/>
  <c r="G43" i="33"/>
  <c r="U46" i="33"/>
  <c r="X43" i="31"/>
  <c r="X44" i="31" s="1"/>
  <c r="V43" i="31"/>
  <c r="V44" i="31" s="1"/>
  <c r="G44" i="31"/>
  <c r="U44" i="31"/>
  <c r="U71" i="31"/>
  <c r="U47" i="31"/>
  <c r="L36" i="1" l="1"/>
  <c r="N36" i="1"/>
  <c r="U75" i="31"/>
  <c r="U76" i="31" s="1"/>
  <c r="V71" i="31"/>
  <c r="U72" i="31"/>
  <c r="V72" i="31" s="1"/>
  <c r="V51" i="33"/>
  <c r="U52" i="33"/>
  <c r="V52" i="33" s="1"/>
  <c r="M12" i="25" l="1"/>
  <c r="Z7" i="32"/>
  <c r="Z7" i="2"/>
  <c r="F12" i="26"/>
  <c r="Q28" i="27" l="1"/>
  <c r="N28" i="27"/>
  <c r="K28" i="27"/>
  <c r="H28" i="27"/>
  <c r="E28" i="27"/>
  <c r="Q25" i="27"/>
  <c r="H25" i="27"/>
  <c r="T26" i="27"/>
  <c r="K26" i="27"/>
  <c r="H26" i="27"/>
  <c r="N27" i="27"/>
  <c r="H27" i="27"/>
  <c r="Q24" i="27"/>
  <c r="N24" i="27"/>
  <c r="K24" i="27"/>
  <c r="E24" i="27"/>
  <c r="N24" i="28"/>
  <c r="N23" i="27"/>
  <c r="H23" i="27"/>
  <c r="H22" i="27"/>
  <c r="N21" i="27"/>
  <c r="H21" i="27"/>
  <c r="N21" i="26"/>
  <c r="P21" i="26" s="1"/>
  <c r="T19" i="27"/>
  <c r="N19" i="27"/>
  <c r="H15" i="27"/>
  <c r="Q14" i="27"/>
  <c r="N14" i="27"/>
  <c r="K14" i="27"/>
  <c r="H14" i="27"/>
  <c r="E14" i="27"/>
  <c r="E13" i="27"/>
  <c r="T12" i="27"/>
  <c r="H12" i="27"/>
  <c r="T21" i="27" l="1"/>
  <c r="N22" i="27"/>
  <c r="K17" i="27"/>
  <c r="K20" i="27"/>
  <c r="K15" i="27"/>
  <c r="E12" i="27"/>
  <c r="Q13" i="27"/>
  <c r="T14" i="27"/>
  <c r="K19" i="27"/>
  <c r="T23" i="27"/>
  <c r="Q12" i="27"/>
  <c r="T22" i="27"/>
  <c r="E25" i="27"/>
  <c r="H10" i="27"/>
  <c r="E21" i="27"/>
  <c r="E11" i="27"/>
  <c r="Q11" i="27"/>
  <c r="N12" i="27"/>
  <c r="E18" i="27"/>
  <c r="E17" i="27"/>
  <c r="H18" i="27"/>
  <c r="K22" i="27"/>
  <c r="Q18" i="27"/>
  <c r="Q21" i="27"/>
  <c r="T27" i="27"/>
  <c r="Q19" i="27"/>
  <c r="T17" i="27"/>
  <c r="K27" i="27"/>
  <c r="T18" i="28"/>
  <c r="E18" i="28"/>
  <c r="Q18" i="28"/>
  <c r="N18" i="28"/>
  <c r="Q19" i="28"/>
  <c r="N19" i="28"/>
  <c r="T19" i="28"/>
  <c r="H16" i="27"/>
  <c r="T28" i="27"/>
  <c r="K25" i="27"/>
  <c r="T25" i="27"/>
  <c r="E23" i="27"/>
  <c r="H20" i="27"/>
  <c r="Q16" i="27"/>
  <c r="H17" i="27"/>
  <c r="Q20" i="27"/>
  <c r="E13" i="28"/>
  <c r="K16" i="27"/>
  <c r="K13" i="26"/>
  <c r="M13" i="26" s="1"/>
  <c r="T18" i="27"/>
  <c r="H13" i="27"/>
  <c r="N20" i="27"/>
  <c r="K21" i="27"/>
  <c r="K23" i="27"/>
  <c r="H24" i="27"/>
  <c r="Q27" i="27"/>
  <c r="N26" i="27"/>
  <c r="K9" i="27"/>
  <c r="E16" i="27"/>
  <c r="N18" i="27"/>
  <c r="I23" i="25"/>
  <c r="E15" i="27"/>
  <c r="K12" i="27"/>
  <c r="N17" i="27"/>
  <c r="E20" i="27"/>
  <c r="N13" i="27"/>
  <c r="T24" i="27"/>
  <c r="Q15" i="27"/>
  <c r="H22" i="25"/>
  <c r="Q13" i="28"/>
  <c r="T13" i="28"/>
  <c r="N13" i="26"/>
  <c r="P13" i="26" s="1"/>
  <c r="K13" i="27"/>
  <c r="N13" i="28"/>
  <c r="H19" i="27"/>
  <c r="T13" i="27"/>
  <c r="H16" i="25"/>
  <c r="N15" i="27"/>
  <c r="Q17" i="27"/>
  <c r="Q21" i="28"/>
  <c r="E21" i="28"/>
  <c r="N21" i="28"/>
  <c r="K18" i="27"/>
  <c r="T21" i="28"/>
  <c r="T15" i="27"/>
  <c r="N18" i="26"/>
  <c r="P18" i="26" s="1"/>
  <c r="K18" i="26"/>
  <c r="M18" i="26" s="1"/>
  <c r="N16" i="27"/>
  <c r="N19" i="26"/>
  <c r="P19" i="26" s="1"/>
  <c r="K19" i="26"/>
  <c r="M19" i="26" s="1"/>
  <c r="E19" i="28"/>
  <c r="T16" i="27"/>
  <c r="K21" i="26"/>
  <c r="M21" i="26" s="1"/>
  <c r="H23" i="25"/>
  <c r="Q22" i="27"/>
  <c r="E19" i="27"/>
  <c r="N25" i="27"/>
  <c r="E27" i="27"/>
  <c r="H25" i="25"/>
  <c r="T20" i="27"/>
  <c r="E22" i="27"/>
  <c r="N27" i="28"/>
  <c r="E27" i="28"/>
  <c r="T27" i="28"/>
  <c r="N27" i="26"/>
  <c r="P27" i="26" s="1"/>
  <c r="Q27" i="28"/>
  <c r="K27" i="26"/>
  <c r="M27" i="26" s="1"/>
  <c r="Q23" i="27"/>
  <c r="E24" i="28"/>
  <c r="Q24" i="28"/>
  <c r="T24" i="28"/>
  <c r="N24" i="26"/>
  <c r="P24" i="26" s="1"/>
  <c r="E26" i="27"/>
  <c r="K24" i="26"/>
  <c r="M24" i="26" s="1"/>
  <c r="Q26" i="27"/>
  <c r="I25" i="25"/>
  <c r="I13" i="25"/>
  <c r="I28" i="25"/>
  <c r="I21" i="25"/>
  <c r="I20" i="25"/>
  <c r="I12" i="25"/>
  <c r="I18" i="25"/>
  <c r="I15" i="25"/>
  <c r="I14" i="25"/>
  <c r="I17" i="25"/>
  <c r="I19" i="25"/>
  <c r="I16" i="25"/>
  <c r="I22" i="25"/>
  <c r="I27" i="25"/>
  <c r="I24" i="25"/>
  <c r="I26" i="25"/>
  <c r="J25" i="25" l="1"/>
  <c r="J22" i="25"/>
  <c r="Y20" i="32"/>
  <c r="E25" i="26"/>
  <c r="Y20" i="2"/>
  <c r="L25" i="25"/>
  <c r="Y17" i="2"/>
  <c r="E22" i="26"/>
  <c r="Y17" i="32"/>
  <c r="L22" i="25"/>
  <c r="Y11" i="2"/>
  <c r="L16" i="25"/>
  <c r="E16" i="26"/>
  <c r="Y11" i="32"/>
  <c r="J23" i="25"/>
  <c r="Y18" i="2"/>
  <c r="E23" i="26"/>
  <c r="Y18" i="32"/>
  <c r="L23" i="25"/>
  <c r="J16" i="25"/>
  <c r="F16" i="26"/>
  <c r="Z11" i="2"/>
  <c r="M16" i="25"/>
  <c r="Z11" i="32"/>
  <c r="Z8" i="2"/>
  <c r="F13" i="26"/>
  <c r="M13" i="25"/>
  <c r="Z8" i="32"/>
  <c r="Z9" i="32"/>
  <c r="Z9" i="2"/>
  <c r="M14" i="25"/>
  <c r="F14" i="26"/>
  <c r="T16" i="1"/>
  <c r="T11" i="28"/>
  <c r="H27" i="25"/>
  <c r="J27" i="25" s="1"/>
  <c r="H13" i="25"/>
  <c r="J13" i="25" s="1"/>
  <c r="H18" i="25"/>
  <c r="J18" i="25" s="1"/>
  <c r="H8" i="27"/>
  <c r="E23" i="28"/>
  <c r="E8" i="28"/>
  <c r="Q11" i="28"/>
  <c r="Q8" i="28"/>
  <c r="K11" i="27"/>
  <c r="Q23" i="28"/>
  <c r="N23" i="26"/>
  <c r="P23" i="26" s="1"/>
  <c r="N23" i="28"/>
  <c r="T23" i="28"/>
  <c r="K23" i="26"/>
  <c r="M23" i="26" s="1"/>
  <c r="E10" i="28"/>
  <c r="N10" i="28"/>
  <c r="S15" i="25"/>
  <c r="S25" i="25"/>
  <c r="T8" i="28"/>
  <c r="S27" i="25"/>
  <c r="S26" i="25"/>
  <c r="T10" i="28"/>
  <c r="S23" i="25"/>
  <c r="K10" i="27"/>
  <c r="K8" i="26"/>
  <c r="M8" i="26" s="1"/>
  <c r="H11" i="27"/>
  <c r="E11" i="28"/>
  <c r="N11" i="26"/>
  <c r="P11" i="26" s="1"/>
  <c r="N10" i="27"/>
  <c r="T17" i="25"/>
  <c r="N11" i="28"/>
  <c r="K8" i="27"/>
  <c r="K10" i="26"/>
  <c r="M10" i="26" s="1"/>
  <c r="Q10" i="28"/>
  <c r="N10" i="26"/>
  <c r="P10" i="26" s="1"/>
  <c r="S28" i="25"/>
  <c r="K11" i="26"/>
  <c r="M11" i="26" s="1"/>
  <c r="N9" i="27"/>
  <c r="T10" i="27"/>
  <c r="H19" i="25"/>
  <c r="J19" i="25" s="1"/>
  <c r="S18" i="25"/>
  <c r="H13" i="28"/>
  <c r="N11" i="27"/>
  <c r="S19" i="25"/>
  <c r="Q9" i="27"/>
  <c r="S22" i="25"/>
  <c r="S16" i="25"/>
  <c r="H9" i="27"/>
  <c r="Q10" i="27"/>
  <c r="S13" i="25"/>
  <c r="T25" i="28"/>
  <c r="N25" i="28"/>
  <c r="N25" i="26"/>
  <c r="P25" i="26" s="1"/>
  <c r="Q25" i="28"/>
  <c r="E25" i="28"/>
  <c r="K25" i="26"/>
  <c r="M25" i="26" s="1"/>
  <c r="N8" i="28"/>
  <c r="S14" i="25"/>
  <c r="T15" i="1"/>
  <c r="N8" i="27"/>
  <c r="W15" i="25"/>
  <c r="T21" i="25"/>
  <c r="T28" i="25"/>
  <c r="T15" i="25"/>
  <c r="T25" i="25"/>
  <c r="T14" i="25"/>
  <c r="K16" i="26"/>
  <c r="M16" i="26" s="1"/>
  <c r="N16" i="28"/>
  <c r="N16" i="26"/>
  <c r="P16" i="26" s="1"/>
  <c r="Q16" i="28"/>
  <c r="T16" i="28"/>
  <c r="E16" i="28"/>
  <c r="H24" i="25"/>
  <c r="J24" i="25" s="1"/>
  <c r="S24" i="25"/>
  <c r="S21" i="25"/>
  <c r="H21" i="25"/>
  <c r="J21" i="25" s="1"/>
  <c r="T13" i="25"/>
  <c r="T24" i="25"/>
  <c r="T16" i="25"/>
  <c r="H24" i="28"/>
  <c r="N8" i="26"/>
  <c r="P8" i="26" s="1"/>
  <c r="N20" i="28"/>
  <c r="N20" i="26"/>
  <c r="P20" i="26" s="1"/>
  <c r="Q20" i="28"/>
  <c r="K20" i="26"/>
  <c r="M20" i="26" s="1"/>
  <c r="T20" i="28"/>
  <c r="E20" i="28"/>
  <c r="N9" i="26"/>
  <c r="P9" i="26" s="1"/>
  <c r="Q9" i="28"/>
  <c r="K9" i="26"/>
  <c r="M9" i="26" s="1"/>
  <c r="E9" i="28"/>
  <c r="T9" i="28"/>
  <c r="N9" i="28"/>
  <c r="H15" i="25"/>
  <c r="J15" i="25" s="1"/>
  <c r="H27" i="28"/>
  <c r="H21" i="28"/>
  <c r="H20" i="25"/>
  <c r="J20" i="25" s="1"/>
  <c r="S20" i="25"/>
  <c r="K12" i="26"/>
  <c r="M12" i="26" s="1"/>
  <c r="T12" i="28"/>
  <c r="N12" i="26"/>
  <c r="P12" i="26" s="1"/>
  <c r="Q12" i="28"/>
  <c r="N12" i="28"/>
  <c r="E12" i="28"/>
  <c r="N15" i="26"/>
  <c r="P15" i="26" s="1"/>
  <c r="N15" i="28"/>
  <c r="T15" i="28"/>
  <c r="E15" i="28"/>
  <c r="K15" i="26"/>
  <c r="M15" i="26" s="1"/>
  <c r="Q15" i="28"/>
  <c r="H28" i="25"/>
  <c r="J28" i="25" s="1"/>
  <c r="H18" i="28"/>
  <c r="H17" i="25"/>
  <c r="J17" i="25" s="1"/>
  <c r="S17" i="25"/>
  <c r="T9" i="27"/>
  <c r="E28" i="28"/>
  <c r="Q28" i="28"/>
  <c r="N28" i="28"/>
  <c r="N28" i="26"/>
  <c r="P28" i="26" s="1"/>
  <c r="K28" i="26"/>
  <c r="M28" i="26" s="1"/>
  <c r="T28" i="28"/>
  <c r="H14" i="25"/>
  <c r="J14" i="25" s="1"/>
  <c r="Q17" i="28"/>
  <c r="T17" i="28"/>
  <c r="K17" i="26"/>
  <c r="M17" i="26" s="1"/>
  <c r="N17" i="28"/>
  <c r="N17" i="26"/>
  <c r="P17" i="26" s="1"/>
  <c r="E17" i="28"/>
  <c r="N26" i="26"/>
  <c r="P26" i="26" s="1"/>
  <c r="K26" i="26"/>
  <c r="M26" i="26" s="1"/>
  <c r="E26" i="28"/>
  <c r="Q26" i="28"/>
  <c r="N26" i="28"/>
  <c r="T26" i="28"/>
  <c r="N14" i="28"/>
  <c r="T14" i="28"/>
  <c r="N14" i="26"/>
  <c r="P14" i="26" s="1"/>
  <c r="Q14" i="28"/>
  <c r="K14" i="26"/>
  <c r="M14" i="26" s="1"/>
  <c r="E14" i="28"/>
  <c r="N22" i="26"/>
  <c r="P22" i="26" s="1"/>
  <c r="K22" i="26"/>
  <c r="M22" i="26" s="1"/>
  <c r="E22" i="28"/>
  <c r="Q22" i="28"/>
  <c r="N22" i="28"/>
  <c r="T22" i="28"/>
  <c r="H26" i="25"/>
  <c r="J26" i="25" s="1"/>
  <c r="E10" i="27"/>
  <c r="E9" i="27"/>
  <c r="H12" i="25"/>
  <c r="J12" i="25" s="1"/>
  <c r="S12" i="25"/>
  <c r="H19" i="28"/>
  <c r="T18" i="25"/>
  <c r="T22" i="25"/>
  <c r="T12" i="25"/>
  <c r="E8" i="27"/>
  <c r="T11" i="27"/>
  <c r="T23" i="25"/>
  <c r="T26" i="25"/>
  <c r="T19" i="25"/>
  <c r="U23" i="25"/>
  <c r="U18" i="25"/>
  <c r="U20" i="25"/>
  <c r="U12" i="25"/>
  <c r="O16" i="25"/>
  <c r="U26" i="25"/>
  <c r="V26" i="25" s="1"/>
  <c r="T13" i="1"/>
  <c r="I8" i="25"/>
  <c r="O23" i="25"/>
  <c r="T14" i="1"/>
  <c r="O25" i="25"/>
  <c r="O22" i="25"/>
  <c r="V18" i="25" l="1"/>
  <c r="K27" i="28"/>
  <c r="V12" i="25"/>
  <c r="V23" i="25"/>
  <c r="K18" i="28"/>
  <c r="N16" i="25"/>
  <c r="L24" i="25"/>
  <c r="Y19" i="32"/>
  <c r="Y19" i="2"/>
  <c r="E24" i="26"/>
  <c r="Q8" i="27"/>
  <c r="L27" i="25"/>
  <c r="Y22" i="2"/>
  <c r="E27" i="26"/>
  <c r="Y22" i="32"/>
  <c r="K24" i="28"/>
  <c r="K21" i="28"/>
  <c r="L15" i="25"/>
  <c r="Y10" i="32"/>
  <c r="E15" i="26"/>
  <c r="Y10" i="2"/>
  <c r="K13" i="28"/>
  <c r="Y16" i="2"/>
  <c r="E21" i="26"/>
  <c r="L21" i="25"/>
  <c r="Y16" i="32"/>
  <c r="Y21" i="2"/>
  <c r="E26" i="26"/>
  <c r="L26" i="25"/>
  <c r="Y21" i="32"/>
  <c r="L19" i="25"/>
  <c r="E19" i="26"/>
  <c r="Y14" i="32"/>
  <c r="Y14" i="2"/>
  <c r="E20" i="26"/>
  <c r="Y15" i="32"/>
  <c r="L20" i="25"/>
  <c r="Y15" i="2"/>
  <c r="Y13" i="32"/>
  <c r="Y13" i="2"/>
  <c r="E18" i="26"/>
  <c r="L18" i="25"/>
  <c r="Y12" i="2"/>
  <c r="E17" i="26"/>
  <c r="Y12" i="32"/>
  <c r="L17" i="25"/>
  <c r="L12" i="25"/>
  <c r="N12" i="25" s="1"/>
  <c r="Y7" i="2"/>
  <c r="E12" i="26"/>
  <c r="G12" i="26" s="1"/>
  <c r="Y7" i="32"/>
  <c r="Y23" i="2"/>
  <c r="Y23" i="32"/>
  <c r="L28" i="25"/>
  <c r="E28" i="26"/>
  <c r="T8" i="27"/>
  <c r="K19" i="28"/>
  <c r="F18" i="26"/>
  <c r="Z13" i="32"/>
  <c r="M18" i="25"/>
  <c r="Z13" i="2"/>
  <c r="W15" i="1"/>
  <c r="Z17" i="32"/>
  <c r="Z17" i="2"/>
  <c r="M22" i="25"/>
  <c r="N22" i="25" s="1"/>
  <c r="F22" i="26"/>
  <c r="W14" i="1"/>
  <c r="W16" i="1"/>
  <c r="W13" i="1"/>
  <c r="T11" i="1"/>
  <c r="I11" i="25"/>
  <c r="Z12" i="2"/>
  <c r="Z12" i="32"/>
  <c r="M17" i="25"/>
  <c r="F17" i="26"/>
  <c r="M24" i="25"/>
  <c r="Z19" i="32"/>
  <c r="Z19" i="2"/>
  <c r="F24" i="26"/>
  <c r="M27" i="25"/>
  <c r="Z22" i="2"/>
  <c r="Z22" i="32"/>
  <c r="F27" i="26"/>
  <c r="F21" i="26"/>
  <c r="M21" i="25"/>
  <c r="Z16" i="32"/>
  <c r="Z16" i="2"/>
  <c r="F19" i="26"/>
  <c r="M19" i="25"/>
  <c r="Z14" i="2"/>
  <c r="Z14" i="32"/>
  <c r="F28" i="26"/>
  <c r="Z23" i="32"/>
  <c r="Z23" i="2"/>
  <c r="M28" i="25"/>
  <c r="Z15" i="2"/>
  <c r="F20" i="26"/>
  <c r="Z15" i="32"/>
  <c r="M20" i="25"/>
  <c r="Z18" i="2"/>
  <c r="F23" i="26"/>
  <c r="M23" i="25"/>
  <c r="N23" i="25" s="1"/>
  <c r="Z18" i="32"/>
  <c r="I10" i="25"/>
  <c r="T10" i="1"/>
  <c r="T9" i="1"/>
  <c r="I9" i="25"/>
  <c r="Z10" i="32"/>
  <c r="M15" i="25"/>
  <c r="F15" i="26"/>
  <c r="Z10" i="2"/>
  <c r="Z20" i="32"/>
  <c r="F25" i="26"/>
  <c r="M25" i="25"/>
  <c r="N25" i="25" s="1"/>
  <c r="Z20" i="2"/>
  <c r="F26" i="26"/>
  <c r="M26" i="25"/>
  <c r="Z21" i="2"/>
  <c r="Z21" i="32"/>
  <c r="G16" i="26"/>
  <c r="K16" i="25"/>
  <c r="S8" i="25"/>
  <c r="H8" i="25"/>
  <c r="J8" i="25" s="1"/>
  <c r="K22" i="25"/>
  <c r="U16" i="25"/>
  <c r="V16" i="25" s="1"/>
  <c r="U13" i="25"/>
  <c r="V13" i="25" s="1"/>
  <c r="U22" i="25"/>
  <c r="V22" i="25" s="1"/>
  <c r="W14" i="25"/>
  <c r="U25" i="25"/>
  <c r="V25" i="25" s="1"/>
  <c r="W28" i="25"/>
  <c r="H24" i="26"/>
  <c r="Q24" i="26" s="1"/>
  <c r="O15" i="25"/>
  <c r="O27" i="25"/>
  <c r="H23" i="28"/>
  <c r="T20" i="25"/>
  <c r="V20" i="25" s="1"/>
  <c r="O20" i="25"/>
  <c r="O24" i="25"/>
  <c r="H10" i="28"/>
  <c r="H19" i="26"/>
  <c r="Q19" i="26" s="1"/>
  <c r="K25" i="25"/>
  <c r="O26" i="25"/>
  <c r="H18" i="26"/>
  <c r="Q18" i="26" s="1"/>
  <c r="O12" i="25"/>
  <c r="W21" i="25"/>
  <c r="W27" i="25"/>
  <c r="W12" i="25"/>
  <c r="U17" i="25"/>
  <c r="V17" i="25" s="1"/>
  <c r="W25" i="25"/>
  <c r="H11" i="28"/>
  <c r="O21" i="25"/>
  <c r="H12" i="28"/>
  <c r="W20" i="25"/>
  <c r="H13" i="26"/>
  <c r="Q13" i="26" s="1"/>
  <c r="H25" i="28"/>
  <c r="O18" i="25"/>
  <c r="O28" i="25"/>
  <c r="O19" i="25"/>
  <c r="K23" i="25"/>
  <c r="W18" i="25"/>
  <c r="H21" i="26"/>
  <c r="Q21" i="26" s="1"/>
  <c r="W23" i="25"/>
  <c r="H27" i="26"/>
  <c r="Q27" i="26" s="1"/>
  <c r="O13" i="25"/>
  <c r="H9" i="28"/>
  <c r="W22" i="25"/>
  <c r="W17" i="25"/>
  <c r="U14" i="25"/>
  <c r="V14" i="25" s="1"/>
  <c r="T10" i="25"/>
  <c r="T9" i="25"/>
  <c r="T8" i="25"/>
  <c r="T27" i="25"/>
  <c r="H16" i="28"/>
  <c r="H17" i="28"/>
  <c r="S10" i="25"/>
  <c r="S14" i="1"/>
  <c r="U14" i="1" s="1"/>
  <c r="S9" i="25"/>
  <c r="H22" i="28"/>
  <c r="O14" i="25"/>
  <c r="H20" i="28"/>
  <c r="T11" i="25"/>
  <c r="H26" i="28"/>
  <c r="H28" i="28"/>
  <c r="W13" i="25"/>
  <c r="W26" i="25"/>
  <c r="W19" i="25"/>
  <c r="H8" i="28"/>
  <c r="S11" i="25"/>
  <c r="S15" i="1"/>
  <c r="U15" i="1" s="1"/>
  <c r="S13" i="1"/>
  <c r="U13" i="1" s="1"/>
  <c r="O17" i="25"/>
  <c r="H14" i="28"/>
  <c r="H15" i="28"/>
  <c r="S16" i="1"/>
  <c r="U16" i="1" s="1"/>
  <c r="U24" i="25"/>
  <c r="V24" i="25" s="1"/>
  <c r="W24" i="25"/>
  <c r="U15" i="25"/>
  <c r="V15" i="25" s="1"/>
  <c r="U27" i="25"/>
  <c r="W16" i="25"/>
  <c r="U21" i="25"/>
  <c r="V21" i="25" s="1"/>
  <c r="U28" i="25"/>
  <c r="V28" i="25" s="1"/>
  <c r="U19" i="25"/>
  <c r="V19" i="25" s="1"/>
  <c r="U8" i="25"/>
  <c r="N21" i="25" l="1"/>
  <c r="V27" i="25"/>
  <c r="N19" i="25"/>
  <c r="N24" i="25"/>
  <c r="K12" i="28"/>
  <c r="K20" i="28"/>
  <c r="K17" i="28"/>
  <c r="N27" i="25"/>
  <c r="N15" i="25"/>
  <c r="V8" i="25"/>
  <c r="K28" i="28"/>
  <c r="N18" i="25"/>
  <c r="K15" i="28"/>
  <c r="K22" i="28"/>
  <c r="K23" i="28"/>
  <c r="J14" i="37"/>
  <c r="E18" i="25"/>
  <c r="N20" i="25"/>
  <c r="T27" i="26"/>
  <c r="S10" i="1"/>
  <c r="U10" i="1" s="1"/>
  <c r="H10" i="25"/>
  <c r="J10" i="25" s="1"/>
  <c r="E23" i="25"/>
  <c r="J19" i="37"/>
  <c r="N26" i="25"/>
  <c r="Y9" i="32"/>
  <c r="L14" i="25"/>
  <c r="N14" i="25" s="1"/>
  <c r="E14" i="26"/>
  <c r="Y9" i="2"/>
  <c r="N28" i="25"/>
  <c r="E19" i="25"/>
  <c r="J15" i="37"/>
  <c r="K25" i="28"/>
  <c r="H11" i="25"/>
  <c r="J11" i="25" s="1"/>
  <c r="S11" i="1"/>
  <c r="U11" i="1" s="1"/>
  <c r="N17" i="25"/>
  <c r="T24" i="26"/>
  <c r="Y8" i="2"/>
  <c r="E13" i="26"/>
  <c r="Y8" i="32"/>
  <c r="L13" i="25"/>
  <c r="N13" i="25" s="1"/>
  <c r="K14" i="28"/>
  <c r="H9" i="25"/>
  <c r="J9" i="25" s="1"/>
  <c r="S9" i="1"/>
  <c r="T21" i="26"/>
  <c r="K11" i="28"/>
  <c r="K26" i="28"/>
  <c r="K10" i="28"/>
  <c r="J18" i="37"/>
  <c r="E22" i="25"/>
  <c r="E15" i="25"/>
  <c r="J11" i="37"/>
  <c r="T18" i="26"/>
  <c r="K8" i="28"/>
  <c r="E17" i="25"/>
  <c r="J13" i="37"/>
  <c r="T19" i="26"/>
  <c r="K9" i="28"/>
  <c r="K16" i="28"/>
  <c r="G26" i="26"/>
  <c r="G20" i="26"/>
  <c r="G22" i="26"/>
  <c r="G25" i="26"/>
  <c r="G17" i="26"/>
  <c r="G28" i="26"/>
  <c r="Z24" i="32"/>
  <c r="M9" i="25"/>
  <c r="Z24" i="2"/>
  <c r="F9" i="26"/>
  <c r="G15" i="26"/>
  <c r="G23" i="26"/>
  <c r="Z27" i="32"/>
  <c r="F8" i="26"/>
  <c r="Z27" i="2"/>
  <c r="M8" i="25"/>
  <c r="G27" i="26"/>
  <c r="Z25" i="2"/>
  <c r="F10" i="26"/>
  <c r="M10" i="25"/>
  <c r="Z25" i="32"/>
  <c r="F11" i="26"/>
  <c r="Z26" i="32"/>
  <c r="Z26" i="2"/>
  <c r="M11" i="25"/>
  <c r="G19" i="26"/>
  <c r="W11" i="1"/>
  <c r="U9" i="1"/>
  <c r="T12" i="1"/>
  <c r="W9" i="1"/>
  <c r="G24" i="26"/>
  <c r="W10" i="1"/>
  <c r="G21" i="26"/>
  <c r="G18" i="26"/>
  <c r="P24" i="25"/>
  <c r="P27" i="25"/>
  <c r="U10" i="25"/>
  <c r="V10" i="25" s="1"/>
  <c r="U9" i="25"/>
  <c r="V9" i="25" s="1"/>
  <c r="H23" i="26"/>
  <c r="Q23" i="26" s="1"/>
  <c r="T23" i="26" s="1"/>
  <c r="H11" i="26"/>
  <c r="Q11" i="26" s="1"/>
  <c r="P21" i="25"/>
  <c r="H10" i="26"/>
  <c r="Q10" i="26" s="1"/>
  <c r="H8" i="26"/>
  <c r="Q8" i="26" s="1"/>
  <c r="K14" i="25"/>
  <c r="K27" i="25"/>
  <c r="K18" i="25"/>
  <c r="P13" i="25"/>
  <c r="H20" i="26"/>
  <c r="Q20" i="26" s="1"/>
  <c r="T20" i="26" s="1"/>
  <c r="P18" i="25"/>
  <c r="K19" i="25"/>
  <c r="H15" i="26"/>
  <c r="Q15" i="26" s="1"/>
  <c r="T15" i="26" s="1"/>
  <c r="H25" i="26"/>
  <c r="Q25" i="26" s="1"/>
  <c r="T25" i="26" s="1"/>
  <c r="K15" i="25"/>
  <c r="W10" i="25"/>
  <c r="K13" i="25"/>
  <c r="H26" i="26"/>
  <c r="Q26" i="26" s="1"/>
  <c r="T26" i="26" s="1"/>
  <c r="K21" i="25"/>
  <c r="U11" i="25"/>
  <c r="V11" i="25" s="1"/>
  <c r="K12" i="25"/>
  <c r="K17" i="25"/>
  <c r="H22" i="26"/>
  <c r="Q22" i="26" s="1"/>
  <c r="T22" i="26" s="1"/>
  <c r="H14" i="26"/>
  <c r="Q14" i="26" s="1"/>
  <c r="W8" i="25"/>
  <c r="K28" i="25"/>
  <c r="K20" i="25"/>
  <c r="H17" i="26"/>
  <c r="Q17" i="26" s="1"/>
  <c r="T17" i="26" s="1"/>
  <c r="W9" i="25"/>
  <c r="H16" i="26"/>
  <c r="Q16" i="26" s="1"/>
  <c r="T16" i="26" s="1"/>
  <c r="H12" i="26"/>
  <c r="Q12" i="26" s="1"/>
  <c r="T12" i="26" s="1"/>
  <c r="K24" i="25"/>
  <c r="H9" i="26"/>
  <c r="Q9" i="26" s="1"/>
  <c r="O18" i="37"/>
  <c r="O13" i="37"/>
  <c r="K26" i="25"/>
  <c r="O14" i="37"/>
  <c r="O11" i="37"/>
  <c r="H28" i="26"/>
  <c r="Q28" i="26" s="1"/>
  <c r="T28" i="26" s="1"/>
  <c r="O15" i="37"/>
  <c r="O19" i="37"/>
  <c r="W11" i="25"/>
  <c r="J8" i="37" l="1"/>
  <c r="E12" i="25"/>
  <c r="AB8" i="32"/>
  <c r="AB8" i="2"/>
  <c r="J22" i="37"/>
  <c r="E26" i="25"/>
  <c r="T14" i="26"/>
  <c r="G14" i="26"/>
  <c r="E13" i="25"/>
  <c r="J9" i="37"/>
  <c r="AE8" i="2"/>
  <c r="J12" i="37"/>
  <c r="E16" i="25"/>
  <c r="AB14" i="32"/>
  <c r="AE14" i="32" s="1"/>
  <c r="AB14" i="2"/>
  <c r="AE14" i="2" s="1"/>
  <c r="J10" i="37"/>
  <c r="E14" i="25"/>
  <c r="AB16" i="2"/>
  <c r="AE16" i="2" s="1"/>
  <c r="AB16" i="32"/>
  <c r="AE16" i="32" s="1"/>
  <c r="S12" i="1"/>
  <c r="U12" i="1" s="1"/>
  <c r="J20" i="37"/>
  <c r="E24" i="25"/>
  <c r="T13" i="26"/>
  <c r="G13" i="26"/>
  <c r="E9" i="26"/>
  <c r="T9" i="26" s="1"/>
  <c r="Y24" i="32"/>
  <c r="L9" i="25"/>
  <c r="N9" i="25" s="1"/>
  <c r="Y24" i="2"/>
  <c r="E27" i="25"/>
  <c r="J23" i="37"/>
  <c r="L8" i="25"/>
  <c r="N8" i="25" s="1"/>
  <c r="Y27" i="2"/>
  <c r="E8" i="26"/>
  <c r="T8" i="26" s="1"/>
  <c r="Y27" i="32"/>
  <c r="E21" i="25"/>
  <c r="J17" i="37"/>
  <c r="AE8" i="32"/>
  <c r="L11" i="25"/>
  <c r="N11" i="25" s="1"/>
  <c r="Y26" i="2"/>
  <c r="Y26" i="32"/>
  <c r="E11" i="26"/>
  <c r="T11" i="26" s="1"/>
  <c r="J24" i="37"/>
  <c r="E28" i="25"/>
  <c r="AB19" i="32"/>
  <c r="AE19" i="32" s="1"/>
  <c r="AB19" i="2"/>
  <c r="AE19" i="2" s="1"/>
  <c r="E25" i="25"/>
  <c r="J21" i="37"/>
  <c r="E10" i="26"/>
  <c r="T10" i="26" s="1"/>
  <c r="Y25" i="32"/>
  <c r="Y25" i="2"/>
  <c r="L10" i="25"/>
  <c r="N10" i="25" s="1"/>
  <c r="AB22" i="2"/>
  <c r="AE22" i="2" s="1"/>
  <c r="AB22" i="32"/>
  <c r="AE22" i="32" s="1"/>
  <c r="AB13" i="32"/>
  <c r="AE13" i="32" s="1"/>
  <c r="AB13" i="2"/>
  <c r="AE13" i="2" s="1"/>
  <c r="K12" i="37"/>
  <c r="F16" i="25"/>
  <c r="G11" i="26"/>
  <c r="W12" i="1"/>
  <c r="O10" i="25"/>
  <c r="O11" i="25"/>
  <c r="O9" i="25"/>
  <c r="O8" i="25"/>
  <c r="P14" i="25"/>
  <c r="P25" i="25"/>
  <c r="O8" i="37"/>
  <c r="O10" i="37"/>
  <c r="O9" i="37"/>
  <c r="O21" i="37"/>
  <c r="O20" i="37"/>
  <c r="O12" i="37"/>
  <c r="O24" i="37"/>
  <c r="P11" i="25"/>
  <c r="E8" i="25"/>
  <c r="P23" i="25"/>
  <c r="P10" i="25"/>
  <c r="P20" i="25"/>
  <c r="P19" i="25"/>
  <c r="K8" i="25"/>
  <c r="P15" i="25"/>
  <c r="E9" i="25"/>
  <c r="O22" i="37"/>
  <c r="K11" i="25"/>
  <c r="K10" i="25"/>
  <c r="E11" i="25"/>
  <c r="E10" i="25"/>
  <c r="P28" i="25"/>
  <c r="P12" i="25"/>
  <c r="P16" i="25"/>
  <c r="P17" i="25"/>
  <c r="O23" i="37"/>
  <c r="K9" i="25"/>
  <c r="P9" i="25"/>
  <c r="O17" i="37" l="1"/>
  <c r="AB26" i="2"/>
  <c r="AB26" i="32"/>
  <c r="AE26" i="32" s="1"/>
  <c r="AB24" i="32"/>
  <c r="AE24" i="32" s="1"/>
  <c r="AB24" i="2"/>
  <c r="AE24" i="2" s="1"/>
  <c r="AB15" i="2"/>
  <c r="AE15" i="2" s="1"/>
  <c r="AB15" i="32"/>
  <c r="AE15" i="32" s="1"/>
  <c r="G8" i="26"/>
  <c r="AB25" i="32"/>
  <c r="AE25" i="32" s="1"/>
  <c r="AB25" i="2"/>
  <c r="AE25" i="2" s="1"/>
  <c r="AB11" i="2"/>
  <c r="AE11" i="2" s="1"/>
  <c r="AB11" i="32"/>
  <c r="AE11" i="32" s="1"/>
  <c r="O25" i="37"/>
  <c r="AB7" i="2"/>
  <c r="AE7" i="2" s="1"/>
  <c r="AB7" i="32"/>
  <c r="AE7" i="32" s="1"/>
  <c r="G9" i="26"/>
  <c r="AB12" i="2"/>
  <c r="AE12" i="2" s="1"/>
  <c r="AB12" i="32"/>
  <c r="AE12" i="32" s="1"/>
  <c r="J16" i="37"/>
  <c r="J26" i="37" s="1"/>
  <c r="E20" i="25"/>
  <c r="AB23" i="32"/>
  <c r="AE23" i="32" s="1"/>
  <c r="AB23" i="2"/>
  <c r="AE23" i="2" s="1"/>
  <c r="G10" i="26"/>
  <c r="AB17" i="2"/>
  <c r="AE17" i="2" s="1"/>
  <c r="AB17" i="32"/>
  <c r="AE17" i="32" s="1"/>
  <c r="O27" i="37"/>
  <c r="AB10" i="32"/>
  <c r="AE10" i="32" s="1"/>
  <c r="AB10" i="2"/>
  <c r="AE10" i="2" s="1"/>
  <c r="AB21" i="2"/>
  <c r="AE21" i="2" s="1"/>
  <c r="AB21" i="32"/>
  <c r="AE21" i="32" s="1"/>
  <c r="AB18" i="32"/>
  <c r="AE18" i="32" s="1"/>
  <c r="AB18" i="2"/>
  <c r="AE18" i="2" s="1"/>
  <c r="AE26" i="2"/>
  <c r="J27" i="37"/>
  <c r="G16" i="25"/>
  <c r="Y16" i="25" s="1"/>
  <c r="Z16" i="25" s="1"/>
  <c r="AB9" i="32"/>
  <c r="AE9" i="32" s="1"/>
  <c r="AB9" i="2"/>
  <c r="AE9" i="2" s="1"/>
  <c r="AB27" i="2"/>
  <c r="AE27" i="2" s="1"/>
  <c r="AB27" i="32"/>
  <c r="AE27" i="32" s="1"/>
  <c r="AB20" i="32"/>
  <c r="AE20" i="32" s="1"/>
  <c r="AB20" i="2"/>
  <c r="AE20" i="2" s="1"/>
  <c r="J25" i="37"/>
  <c r="K19" i="37"/>
  <c r="F23" i="25"/>
  <c r="G23" i="25" s="1"/>
  <c r="Y23" i="25" s="1"/>
  <c r="Z23" i="25" s="1"/>
  <c r="K14" i="37"/>
  <c r="F18" i="25"/>
  <c r="G18" i="25" s="1"/>
  <c r="Y18" i="25" s="1"/>
  <c r="Z18" i="25" s="1"/>
  <c r="F20" i="25"/>
  <c r="K16" i="37"/>
  <c r="K15" i="37"/>
  <c r="F19" i="25"/>
  <c r="G19" i="25" s="1"/>
  <c r="Y19" i="25" s="1"/>
  <c r="Z19" i="25" s="1"/>
  <c r="K18" i="37"/>
  <c r="F22" i="25"/>
  <c r="G22" i="25" s="1"/>
  <c r="Y22" i="25" s="1"/>
  <c r="Z22" i="25" s="1"/>
  <c r="F12" i="25"/>
  <c r="G12" i="25" s="1"/>
  <c r="Y12" i="25" s="1"/>
  <c r="Z12" i="25" s="1"/>
  <c r="K8" i="37"/>
  <c r="K20" i="37"/>
  <c r="F24" i="25"/>
  <c r="G24" i="25" s="1"/>
  <c r="Y24" i="25" s="1"/>
  <c r="Z24" i="25" s="1"/>
  <c r="F27" i="25"/>
  <c r="G27" i="25" s="1"/>
  <c r="Y27" i="25" s="1"/>
  <c r="Z27" i="25" s="1"/>
  <c r="K23" i="37"/>
  <c r="K9" i="37"/>
  <c r="F13" i="25"/>
  <c r="G13" i="25" s="1"/>
  <c r="Y13" i="25" s="1"/>
  <c r="Z13" i="25" s="1"/>
  <c r="K21" i="37"/>
  <c r="F25" i="25"/>
  <c r="G25" i="25" s="1"/>
  <c r="Y25" i="25" s="1"/>
  <c r="Z25" i="25" s="1"/>
  <c r="K24" i="37"/>
  <c r="F28" i="25"/>
  <c r="G28" i="25" s="1"/>
  <c r="Y28" i="25" s="1"/>
  <c r="Z28" i="25" s="1"/>
  <c r="K11" i="37"/>
  <c r="F15" i="25"/>
  <c r="G15" i="25" s="1"/>
  <c r="Y15" i="25" s="1"/>
  <c r="Z15" i="25" s="1"/>
  <c r="F14" i="25"/>
  <c r="G14" i="25" s="1"/>
  <c r="Y14" i="25" s="1"/>
  <c r="Z14" i="25" s="1"/>
  <c r="K10" i="37"/>
  <c r="L12" i="37"/>
  <c r="N12" i="37"/>
  <c r="F17" i="25"/>
  <c r="G17" i="25" s="1"/>
  <c r="Y17" i="25" s="1"/>
  <c r="Z17" i="25" s="1"/>
  <c r="K13" i="37"/>
  <c r="K17" i="37"/>
  <c r="F21" i="25"/>
  <c r="G21" i="25" s="1"/>
  <c r="Y21" i="25" s="1"/>
  <c r="Z21" i="25" s="1"/>
  <c r="K22" i="37"/>
  <c r="F26" i="25"/>
  <c r="G26" i="25" s="1"/>
  <c r="Y26" i="25" s="1"/>
  <c r="Z26" i="25" s="1"/>
  <c r="S19" i="1"/>
  <c r="S18" i="1"/>
  <c r="P8" i="25"/>
  <c r="P22" i="25"/>
  <c r="S17" i="1"/>
  <c r="O16" i="37"/>
  <c r="O26" i="37" s="1"/>
  <c r="S20" i="1"/>
  <c r="P26" i="25"/>
  <c r="F11" i="25"/>
  <c r="G11" i="25" s="1"/>
  <c r="Y11" i="25" s="1"/>
  <c r="Z11" i="25" s="1"/>
  <c r="F9" i="25"/>
  <c r="G9" i="25" s="1"/>
  <c r="Y9" i="25" s="1"/>
  <c r="Z9" i="25" s="1"/>
  <c r="F8" i="25"/>
  <c r="G8" i="25" s="1"/>
  <c r="Y8" i="25" s="1"/>
  <c r="Z8" i="25" s="1"/>
  <c r="F10" i="25"/>
  <c r="G10" i="25" s="1"/>
  <c r="Y10" i="25" s="1"/>
  <c r="Z10" i="25" s="1"/>
  <c r="G20" i="25" l="1"/>
  <c r="Y20" i="25" s="1"/>
  <c r="Z20" i="25" s="1"/>
  <c r="O28" i="37"/>
  <c r="J28" i="37"/>
  <c r="N23" i="37"/>
  <c r="L23" i="37"/>
  <c r="N20" i="37"/>
  <c r="L20" i="37"/>
  <c r="K27" i="37"/>
  <c r="N17" i="37"/>
  <c r="L17" i="37"/>
  <c r="L8" i="37"/>
  <c r="N8" i="37"/>
  <c r="K25" i="37"/>
  <c r="N13" i="37"/>
  <c r="L13" i="37"/>
  <c r="L18" i="37"/>
  <c r="N18" i="37"/>
  <c r="K26" i="37"/>
  <c r="L21" i="37"/>
  <c r="N21" i="37"/>
  <c r="N15" i="37"/>
  <c r="L15" i="37"/>
  <c r="N10" i="37"/>
  <c r="L10" i="37"/>
  <c r="N16" i="37"/>
  <c r="L16" i="37"/>
  <c r="N9" i="37"/>
  <c r="L9" i="37"/>
  <c r="N11" i="37"/>
  <c r="L11" i="37"/>
  <c r="N14" i="37"/>
  <c r="L14" i="37"/>
  <c r="N22" i="37"/>
  <c r="L22" i="37"/>
  <c r="L24" i="37"/>
  <c r="N24" i="37"/>
  <c r="N19" i="37"/>
  <c r="L19" i="37"/>
  <c r="L27" i="37" l="1"/>
  <c r="N27" i="37"/>
  <c r="N25" i="37"/>
  <c r="K28" i="37"/>
  <c r="L25" i="37"/>
  <c r="N26" i="37"/>
  <c r="L26" i="37"/>
  <c r="L28" i="37" l="1"/>
  <c r="N28" i="37"/>
  <c r="U14" i="28" l="1"/>
  <c r="V14" i="28" s="1"/>
  <c r="I14" i="27"/>
  <c r="J14" i="27" s="1"/>
  <c r="L17" i="27"/>
  <c r="M17" i="27" s="1"/>
  <c r="O20" i="27"/>
  <c r="P20" i="27" s="1"/>
  <c r="U12" i="27"/>
  <c r="V12" i="27" s="1"/>
  <c r="R8" i="28"/>
  <c r="S8" i="28" s="1"/>
  <c r="R12" i="28"/>
  <c r="S12" i="28" s="1"/>
  <c r="U15" i="28"/>
  <c r="V15" i="28" s="1"/>
  <c r="O26" i="27"/>
  <c r="P26" i="27" s="1"/>
  <c r="U13" i="27"/>
  <c r="V13" i="27" s="1"/>
  <c r="R13" i="28"/>
  <c r="S13" i="28" s="1"/>
  <c r="U24" i="28"/>
  <c r="V24" i="28" s="1"/>
  <c r="L19" i="27"/>
  <c r="M19" i="27" s="1"/>
  <c r="O25" i="27"/>
  <c r="P25" i="27" s="1"/>
  <c r="U14" i="27"/>
  <c r="V14" i="27" s="1"/>
  <c r="R14" i="28"/>
  <c r="S14" i="28" s="1"/>
  <c r="U22" i="28"/>
  <c r="V22" i="28" s="1"/>
  <c r="L20" i="27"/>
  <c r="M20" i="27" s="1"/>
  <c r="O27" i="27"/>
  <c r="P27" i="27" s="1"/>
  <c r="O12" i="28"/>
  <c r="P12" i="28" s="1"/>
  <c r="R12" i="27"/>
  <c r="S12" i="27" s="1"/>
  <c r="U15" i="27"/>
  <c r="V15" i="27" s="1"/>
  <c r="R15" i="28"/>
  <c r="S15" i="28" s="1"/>
  <c r="U21" i="28"/>
  <c r="V21" i="28" s="1"/>
  <c r="O23" i="27"/>
  <c r="P23" i="27" s="1"/>
  <c r="R13" i="27"/>
  <c r="S13" i="27" s="1"/>
  <c r="O13" i="28"/>
  <c r="P13" i="28" s="1"/>
  <c r="U24" i="27"/>
  <c r="V24" i="27" s="1"/>
  <c r="R24" i="28"/>
  <c r="S24" i="28" s="1"/>
  <c r="U16" i="28"/>
  <c r="V16" i="28" s="1"/>
  <c r="R28" i="27"/>
  <c r="S28" i="27" s="1"/>
  <c r="O28" i="28"/>
  <c r="P28" i="28" s="1"/>
  <c r="I15" i="27"/>
  <c r="J15" i="27" s="1"/>
  <c r="L25" i="27"/>
  <c r="M25" i="27" s="1"/>
  <c r="O28" i="27"/>
  <c r="P28" i="27" s="1"/>
  <c r="R14" i="27"/>
  <c r="S14" i="27" s="1"/>
  <c r="O14" i="28"/>
  <c r="P14" i="28" s="1"/>
  <c r="U22" i="27"/>
  <c r="V22" i="27" s="1"/>
  <c r="R22" i="28"/>
  <c r="S22" i="28" s="1"/>
  <c r="U17" i="28"/>
  <c r="V17" i="28" s="1"/>
  <c r="I22" i="27"/>
  <c r="J22" i="27" s="1"/>
  <c r="L27" i="27"/>
  <c r="M27" i="27" s="1"/>
  <c r="R15" i="27"/>
  <c r="S15" i="27" s="1"/>
  <c r="O15" i="28"/>
  <c r="P15" i="28" s="1"/>
  <c r="R21" i="28"/>
  <c r="S21" i="28" s="1"/>
  <c r="U18" i="28"/>
  <c r="V18" i="28" s="1"/>
  <c r="I16" i="27"/>
  <c r="J16" i="27" s="1"/>
  <c r="I18" i="27"/>
  <c r="J18" i="27" s="1"/>
  <c r="L23" i="27"/>
  <c r="M23" i="27" s="1"/>
  <c r="R24" i="27"/>
  <c r="S24" i="27" s="1"/>
  <c r="O24" i="28"/>
  <c r="P24" i="28" s="1"/>
  <c r="R16" i="28"/>
  <c r="S16" i="28" s="1"/>
  <c r="U19" i="28"/>
  <c r="V19" i="28" s="1"/>
  <c r="I24" i="27"/>
  <c r="J24" i="27" s="1"/>
  <c r="F21" i="27"/>
  <c r="G21" i="27" s="1"/>
  <c r="F21" i="28"/>
  <c r="G21" i="28" s="1"/>
  <c r="L28" i="27"/>
  <c r="M28" i="27" s="1"/>
  <c r="R22" i="27"/>
  <c r="S22" i="27" s="1"/>
  <c r="O22" i="28"/>
  <c r="P22" i="28" s="1"/>
  <c r="R17" i="28"/>
  <c r="S17" i="28" s="1"/>
  <c r="U20" i="28"/>
  <c r="V20" i="28" s="1"/>
  <c r="I13" i="27"/>
  <c r="J13" i="27" s="1"/>
  <c r="F14" i="27"/>
  <c r="G14" i="27" s="1"/>
  <c r="F14" i="28"/>
  <c r="G14" i="28" s="1"/>
  <c r="F16" i="27"/>
  <c r="G16" i="27" s="1"/>
  <c r="F16" i="28"/>
  <c r="G16" i="28" s="1"/>
  <c r="I20" i="27"/>
  <c r="J20" i="27" s="1"/>
  <c r="O12" i="27"/>
  <c r="P12" i="27" s="1"/>
  <c r="O21" i="28"/>
  <c r="P21" i="28" s="1"/>
  <c r="R18" i="28"/>
  <c r="S18" i="28" s="1"/>
  <c r="U26" i="28"/>
  <c r="V26" i="28" s="1"/>
  <c r="I26" i="27"/>
  <c r="J26" i="27" s="1"/>
  <c r="O13" i="27"/>
  <c r="P13" i="27" s="1"/>
  <c r="O16" i="28"/>
  <c r="P16" i="28" s="1"/>
  <c r="R19" i="28"/>
  <c r="S19" i="28" s="1"/>
  <c r="U25" i="28"/>
  <c r="V25" i="28" s="1"/>
  <c r="I21" i="27"/>
  <c r="J21" i="27" s="1"/>
  <c r="F18" i="27"/>
  <c r="G18" i="27" s="1"/>
  <c r="F18" i="28"/>
  <c r="G18" i="28" s="1"/>
  <c r="I25" i="27"/>
  <c r="J25" i="27" s="1"/>
  <c r="O14" i="27"/>
  <c r="P14" i="27" s="1"/>
  <c r="O17" i="28"/>
  <c r="P17" i="28" s="1"/>
  <c r="R20" i="28"/>
  <c r="S20" i="28" s="1"/>
  <c r="U27" i="28"/>
  <c r="V27" i="28" s="1"/>
  <c r="O19" i="27"/>
  <c r="P19" i="27" s="1"/>
  <c r="F15" i="27"/>
  <c r="G15" i="27" s="1"/>
  <c r="F15" i="28"/>
  <c r="G15" i="28" s="1"/>
  <c r="F17" i="27"/>
  <c r="G17" i="27" s="1"/>
  <c r="F17" i="28"/>
  <c r="G17" i="28" s="1"/>
  <c r="I27" i="27"/>
  <c r="J27" i="27" s="1"/>
  <c r="L12" i="27"/>
  <c r="M12" i="27" s="1"/>
  <c r="O15" i="27"/>
  <c r="P15" i="27" s="1"/>
  <c r="O18" i="28"/>
  <c r="P18" i="28" s="1"/>
  <c r="U26" i="27"/>
  <c r="V26" i="27" s="1"/>
  <c r="R26" i="28"/>
  <c r="S26" i="28" s="1"/>
  <c r="U23" i="28"/>
  <c r="V23" i="28" s="1"/>
  <c r="L18" i="27"/>
  <c r="M18" i="27" s="1"/>
  <c r="I17" i="27"/>
  <c r="J17" i="27" s="1"/>
  <c r="F26" i="27"/>
  <c r="G26" i="27" s="1"/>
  <c r="F26" i="28"/>
  <c r="G26" i="28" s="1"/>
  <c r="I23" i="27"/>
  <c r="J23" i="27" s="1"/>
  <c r="L13" i="27"/>
  <c r="M13" i="27" s="1"/>
  <c r="O24" i="27"/>
  <c r="P24" i="27" s="1"/>
  <c r="O19" i="28"/>
  <c r="P19" i="28" s="1"/>
  <c r="U25" i="27"/>
  <c r="V25" i="27" s="1"/>
  <c r="R25" i="28"/>
  <c r="S25" i="28" s="1"/>
  <c r="U28" i="28"/>
  <c r="V28" i="28" s="1"/>
  <c r="L26" i="27"/>
  <c r="M26" i="27" s="1"/>
  <c r="I28" i="27"/>
  <c r="J28" i="27" s="1"/>
  <c r="L14" i="27"/>
  <c r="M14" i="27" s="1"/>
  <c r="O22" i="27"/>
  <c r="P22" i="27" s="1"/>
  <c r="O20" i="28"/>
  <c r="P20" i="28" s="1"/>
  <c r="U27" i="27"/>
  <c r="V27" i="27" s="1"/>
  <c r="R27" i="28"/>
  <c r="S27" i="28" s="1"/>
  <c r="L16" i="27"/>
  <c r="M16" i="27" s="1"/>
  <c r="F24" i="27"/>
  <c r="G24" i="27" s="1"/>
  <c r="F24" i="28"/>
  <c r="G24" i="28" s="1"/>
  <c r="F25" i="27"/>
  <c r="G25" i="27" s="1"/>
  <c r="F25" i="28"/>
  <c r="G25" i="28" s="1"/>
  <c r="O21" i="27"/>
  <c r="P21" i="27" s="1"/>
  <c r="O26" i="28"/>
  <c r="P26" i="28" s="1"/>
  <c r="R26" i="27"/>
  <c r="S26" i="27" s="1"/>
  <c r="U23" i="27"/>
  <c r="V23" i="27" s="1"/>
  <c r="R23" i="28"/>
  <c r="S23" i="28" s="1"/>
  <c r="F13" i="27"/>
  <c r="G13" i="27" s="1"/>
  <c r="F13" i="28"/>
  <c r="G13" i="28" s="1"/>
  <c r="F22" i="27"/>
  <c r="G22" i="27" s="1"/>
  <c r="F22" i="28"/>
  <c r="G22" i="28" s="1"/>
  <c r="F20" i="27"/>
  <c r="G20" i="27" s="1"/>
  <c r="F20" i="28"/>
  <c r="G20" i="28" s="1"/>
  <c r="F23" i="27"/>
  <c r="G23" i="27" s="1"/>
  <c r="F23" i="28"/>
  <c r="G23" i="28" s="1"/>
  <c r="O16" i="27"/>
  <c r="P16" i="27" s="1"/>
  <c r="U28" i="27"/>
  <c r="V28" i="27" s="1"/>
  <c r="R28" i="28"/>
  <c r="S28" i="28" s="1"/>
  <c r="F12" i="27"/>
  <c r="G12" i="27" s="1"/>
  <c r="F12" i="28"/>
  <c r="G12" i="28" s="1"/>
  <c r="I19" i="27"/>
  <c r="J19" i="27" s="1"/>
  <c r="F19" i="27"/>
  <c r="G19" i="27" s="1"/>
  <c r="F19" i="28"/>
  <c r="G19" i="28" s="1"/>
  <c r="F27" i="27"/>
  <c r="G27" i="27" s="1"/>
  <c r="F27" i="28"/>
  <c r="G27" i="28" s="1"/>
  <c r="L15" i="27"/>
  <c r="M15" i="27" s="1"/>
  <c r="L24" i="27"/>
  <c r="M24" i="27" s="1"/>
  <c r="R25" i="27"/>
  <c r="S25" i="27" s="1"/>
  <c r="O25" i="28"/>
  <c r="P25" i="28" s="1"/>
  <c r="F28" i="27"/>
  <c r="G28" i="27" s="1"/>
  <c r="F28" i="28"/>
  <c r="G28" i="28" s="1"/>
  <c r="L22" i="27"/>
  <c r="M22" i="27" s="1"/>
  <c r="O17" i="27"/>
  <c r="P17" i="27" s="1"/>
  <c r="R27" i="27"/>
  <c r="S27" i="27" s="1"/>
  <c r="O27" i="28"/>
  <c r="P27" i="28" s="1"/>
  <c r="U12" i="28"/>
  <c r="V12" i="28" s="1"/>
  <c r="I12" i="27"/>
  <c r="J12" i="27" s="1"/>
  <c r="L21" i="27"/>
  <c r="M21" i="27" s="1"/>
  <c r="O18" i="27"/>
  <c r="P18" i="27" s="1"/>
  <c r="R23" i="27"/>
  <c r="S23" i="27" s="1"/>
  <c r="O23" i="28"/>
  <c r="P23" i="28" s="1"/>
  <c r="U13" i="28"/>
  <c r="V13" i="28" s="1"/>
  <c r="L13" i="28" l="1"/>
  <c r="M13" i="28" s="1"/>
  <c r="L14" i="28"/>
  <c r="M14" i="28" s="1"/>
  <c r="L16" i="28"/>
  <c r="M16" i="28" s="1"/>
  <c r="L19" i="28"/>
  <c r="M19" i="28" s="1"/>
  <c r="L12" i="28"/>
  <c r="M12" i="28" s="1"/>
  <c r="L22" i="28"/>
  <c r="M22" i="28" s="1"/>
  <c r="O10" i="27"/>
  <c r="P10" i="27" s="1"/>
  <c r="F11" i="27"/>
  <c r="G11" i="27" s="1"/>
  <c r="F11" i="28"/>
  <c r="G11" i="28" s="1"/>
  <c r="I16" i="28"/>
  <c r="J16" i="28" s="1"/>
  <c r="I10" i="27"/>
  <c r="J10" i="27" s="1"/>
  <c r="U9" i="28"/>
  <c r="V9" i="28" s="1"/>
  <c r="I12" i="28"/>
  <c r="J12" i="28" s="1"/>
  <c r="F10" i="27"/>
  <c r="G10" i="27" s="1"/>
  <c r="F10" i="28"/>
  <c r="G10" i="28" s="1"/>
  <c r="U8" i="28"/>
  <c r="V8" i="28" s="1"/>
  <c r="I23" i="28"/>
  <c r="J23" i="28" s="1"/>
  <c r="U10" i="28"/>
  <c r="V10" i="28" s="1"/>
  <c r="L11" i="27"/>
  <c r="M11" i="27" s="1"/>
  <c r="L10" i="27"/>
  <c r="M10" i="27" s="1"/>
  <c r="O8" i="28"/>
  <c r="P8" i="28" s="1"/>
  <c r="F9" i="27"/>
  <c r="G9" i="27" s="1"/>
  <c r="F9" i="28"/>
  <c r="G9" i="28" s="1"/>
  <c r="L9" i="27"/>
  <c r="M9" i="27" s="1"/>
  <c r="I14" i="28"/>
  <c r="J14" i="28" s="1"/>
  <c r="R10" i="28"/>
  <c r="S10" i="28" s="1"/>
  <c r="O9" i="28"/>
  <c r="P9" i="28" s="1"/>
  <c r="R9" i="27"/>
  <c r="S9" i="27" s="1"/>
  <c r="U11" i="27"/>
  <c r="V11" i="27" s="1"/>
  <c r="R11" i="28"/>
  <c r="S11" i="28" s="1"/>
  <c r="U9" i="27"/>
  <c r="V9" i="27" s="1"/>
  <c r="R9" i="28"/>
  <c r="S9" i="28" s="1"/>
  <c r="I9" i="27"/>
  <c r="J9" i="27" s="1"/>
  <c r="I20" i="28"/>
  <c r="J20" i="28" s="1"/>
  <c r="O11" i="27"/>
  <c r="P11" i="27" s="1"/>
  <c r="I17" i="28"/>
  <c r="J17" i="28" s="1"/>
  <c r="I21" i="28"/>
  <c r="J21" i="28" s="1"/>
  <c r="O11" i="28"/>
  <c r="P11" i="28" s="1"/>
  <c r="R11" i="27"/>
  <c r="S11" i="27" s="1"/>
  <c r="I27" i="28"/>
  <c r="J27" i="28" s="1"/>
  <c r="U11" i="28"/>
  <c r="V11" i="28" s="1"/>
  <c r="I22" i="28"/>
  <c r="J22" i="28" s="1"/>
  <c r="I15" i="28"/>
  <c r="J15" i="28" s="1"/>
  <c r="I28" i="28"/>
  <c r="J28" i="28" s="1"/>
  <c r="I19" i="28"/>
  <c r="J19" i="28" s="1"/>
  <c r="I25" i="28"/>
  <c r="J25" i="28" s="1"/>
  <c r="O9" i="27"/>
  <c r="P9" i="27" s="1"/>
  <c r="I11" i="27"/>
  <c r="J11" i="27" s="1"/>
  <c r="I13" i="28"/>
  <c r="J13" i="28" s="1"/>
  <c r="I26" i="28"/>
  <c r="J26" i="28" s="1"/>
  <c r="I24" i="28"/>
  <c r="J24" i="28" s="1"/>
  <c r="I18" i="28"/>
  <c r="J18" i="28" s="1"/>
  <c r="O10" i="28"/>
  <c r="P10" i="28" s="1"/>
  <c r="I8" i="27" l="1"/>
  <c r="J8" i="27" s="1"/>
  <c r="L18" i="28"/>
  <c r="M18" i="28" s="1"/>
  <c r="L26" i="28"/>
  <c r="M26" i="28" s="1"/>
  <c r="L24" i="28"/>
  <c r="M24" i="28" s="1"/>
  <c r="F8" i="28"/>
  <c r="G8" i="28" s="1"/>
  <c r="L21" i="28"/>
  <c r="M21" i="28" s="1"/>
  <c r="L17" i="28"/>
  <c r="M17" i="28" s="1"/>
  <c r="L8" i="27"/>
  <c r="M8" i="27" s="1"/>
  <c r="F8" i="27"/>
  <c r="G8" i="27" s="1"/>
  <c r="L28" i="28"/>
  <c r="M28" i="28" s="1"/>
  <c r="L15" i="28"/>
  <c r="M15" i="28" s="1"/>
  <c r="L27" i="28"/>
  <c r="M27" i="28" s="1"/>
  <c r="O8" i="27"/>
  <c r="P8" i="27" s="1"/>
  <c r="L25" i="28"/>
  <c r="M25" i="28" s="1"/>
  <c r="L23" i="28"/>
  <c r="M23" i="28" s="1"/>
  <c r="L20" i="28"/>
  <c r="M20" i="28" s="1"/>
  <c r="I27" i="26"/>
  <c r="I8" i="28"/>
  <c r="J8" i="28" s="1"/>
  <c r="I10" i="28"/>
  <c r="J10" i="28" s="1"/>
  <c r="I15" i="26"/>
  <c r="I11" i="28"/>
  <c r="J11" i="28" s="1"/>
  <c r="I14" i="26"/>
  <c r="I9" i="28"/>
  <c r="J9" i="28" s="1"/>
  <c r="I13" i="26"/>
  <c r="I23" i="26"/>
  <c r="I24" i="26"/>
  <c r="I22" i="26"/>
  <c r="I25" i="26"/>
  <c r="I26" i="26"/>
  <c r="I12" i="26"/>
  <c r="I28" i="26"/>
  <c r="L9" i="28" l="1"/>
  <c r="M9" i="28" s="1"/>
  <c r="L10" i="28"/>
  <c r="M10" i="28" s="1"/>
  <c r="L11" i="28"/>
  <c r="M11" i="28" s="1"/>
  <c r="L8" i="28"/>
  <c r="M8" i="28" s="1"/>
  <c r="R14" i="26"/>
  <c r="J14" i="26"/>
  <c r="J23" i="26"/>
  <c r="R23" i="26"/>
  <c r="J25" i="26"/>
  <c r="R25" i="26"/>
  <c r="J27" i="26"/>
  <c r="R27" i="26"/>
  <c r="J12" i="26"/>
  <c r="R12" i="26"/>
  <c r="R15" i="26"/>
  <c r="J15" i="26"/>
  <c r="R28" i="26"/>
  <c r="J28" i="26"/>
  <c r="R13" i="26"/>
  <c r="J13" i="26"/>
  <c r="J26" i="26"/>
  <c r="R26" i="26"/>
  <c r="J24" i="26"/>
  <c r="R24" i="26"/>
  <c r="J22" i="26"/>
  <c r="R22" i="26"/>
  <c r="I9" i="26"/>
  <c r="I11" i="26"/>
  <c r="S28" i="26" l="1"/>
  <c r="U28" i="26"/>
  <c r="V28" i="26" s="1"/>
  <c r="S13" i="26"/>
  <c r="U13" i="26"/>
  <c r="V13" i="26" s="1"/>
  <c r="S15" i="26"/>
  <c r="U15" i="26"/>
  <c r="V15" i="26" s="1"/>
  <c r="S12" i="26"/>
  <c r="U12" i="26"/>
  <c r="V12" i="26" s="1"/>
  <c r="S27" i="26"/>
  <c r="U27" i="26"/>
  <c r="V27" i="26" s="1"/>
  <c r="S25" i="26"/>
  <c r="U25" i="26"/>
  <c r="V25" i="26" s="1"/>
  <c r="R11" i="26"/>
  <c r="J11" i="26"/>
  <c r="S23" i="26"/>
  <c r="U23" i="26"/>
  <c r="V23" i="26" s="1"/>
  <c r="S26" i="26"/>
  <c r="U26" i="26"/>
  <c r="V26" i="26" s="1"/>
  <c r="S24" i="26"/>
  <c r="U24" i="26"/>
  <c r="V24" i="26" s="1"/>
  <c r="S22" i="26"/>
  <c r="U22" i="26"/>
  <c r="V22" i="26" s="1"/>
  <c r="J9" i="26"/>
  <c r="R9" i="26"/>
  <c r="S14" i="26"/>
  <c r="U14" i="26"/>
  <c r="V14" i="26" s="1"/>
  <c r="AC20" i="2" l="1"/>
  <c r="AF20" i="2" s="1"/>
  <c r="AC20" i="32"/>
  <c r="AF20" i="32" s="1"/>
  <c r="S11" i="26"/>
  <c r="U11" i="26"/>
  <c r="V11" i="26" s="1"/>
  <c r="AC8" i="2"/>
  <c r="AF8" i="2" s="1"/>
  <c r="AC8" i="32"/>
  <c r="AF8" i="32" s="1"/>
  <c r="AC22" i="32"/>
  <c r="AF22" i="32" s="1"/>
  <c r="AC22" i="2"/>
  <c r="AF22" i="2" s="1"/>
  <c r="AC19" i="32"/>
  <c r="AF19" i="32" s="1"/>
  <c r="AC19" i="2"/>
  <c r="AF19" i="2" s="1"/>
  <c r="AC10" i="2"/>
  <c r="AF10" i="2" s="1"/>
  <c r="AC10" i="32"/>
  <c r="AF10" i="32" s="1"/>
  <c r="S9" i="26"/>
  <c r="U9" i="26"/>
  <c r="V9" i="26" s="1"/>
  <c r="AC7" i="2"/>
  <c r="AF7" i="2" s="1"/>
  <c r="AC7" i="32"/>
  <c r="AF7" i="32" s="1"/>
  <c r="AC9" i="2"/>
  <c r="AF9" i="2" s="1"/>
  <c r="AC9" i="32"/>
  <c r="AF9" i="32" s="1"/>
  <c r="AC17" i="2"/>
  <c r="AF17" i="2" s="1"/>
  <c r="AC17" i="32"/>
  <c r="AF17" i="32" s="1"/>
  <c r="AC21" i="2"/>
  <c r="AF21" i="2" s="1"/>
  <c r="AC21" i="32"/>
  <c r="AF21" i="32" s="1"/>
  <c r="AC23" i="2"/>
  <c r="AF23" i="2" s="1"/>
  <c r="AC23" i="32"/>
  <c r="AF23" i="32" s="1"/>
  <c r="AC18" i="2"/>
  <c r="AF18" i="2" s="1"/>
  <c r="AC18" i="32"/>
  <c r="AF18" i="32" s="1"/>
  <c r="AC26" i="32" l="1"/>
  <c r="AF26" i="32" s="1"/>
  <c r="AC26" i="2"/>
  <c r="AF26" i="2" s="1"/>
  <c r="AC24" i="2"/>
  <c r="AF24" i="2" s="1"/>
  <c r="AC24" i="32"/>
  <c r="AF24" i="32" s="1"/>
  <c r="T19" i="1"/>
  <c r="T17" i="1"/>
  <c r="W19" i="1" l="1"/>
  <c r="U19" i="1"/>
  <c r="W17" i="1"/>
  <c r="U17" i="1"/>
  <c r="R20" i="27" l="1"/>
  <c r="S20" i="27" s="1"/>
  <c r="R19" i="27" l="1"/>
  <c r="S19" i="27" s="1"/>
  <c r="R18" i="27" l="1"/>
  <c r="S18" i="27" s="1"/>
  <c r="R17" i="27"/>
  <c r="S17" i="27" s="1"/>
  <c r="R21" i="27"/>
  <c r="S21" i="27" s="1"/>
  <c r="R16" i="27" l="1"/>
  <c r="S16" i="27" s="1"/>
  <c r="R10" i="27" l="1"/>
  <c r="S10" i="27" s="1"/>
  <c r="R8" i="27" l="1"/>
  <c r="S8" i="27" s="1"/>
  <c r="U20" i="27"/>
  <c r="V20" i="27" s="1"/>
  <c r="U21" i="27"/>
  <c r="V21" i="27" s="1"/>
  <c r="U18" i="27" l="1"/>
  <c r="V18" i="27" s="1"/>
  <c r="U19" i="27"/>
  <c r="V19" i="27" s="1"/>
  <c r="I21" i="26" l="1"/>
  <c r="I20" i="26"/>
  <c r="U17" i="27"/>
  <c r="V17" i="27" s="1"/>
  <c r="R20" i="26" l="1"/>
  <c r="J20" i="26"/>
  <c r="J21" i="26"/>
  <c r="R21" i="26"/>
  <c r="I19" i="26"/>
  <c r="I18" i="26"/>
  <c r="R18" i="26" l="1"/>
  <c r="J18" i="26"/>
  <c r="R19" i="26"/>
  <c r="J19" i="26"/>
  <c r="S21" i="26"/>
  <c r="U21" i="26"/>
  <c r="V21" i="26" s="1"/>
  <c r="S20" i="26"/>
  <c r="U20" i="26"/>
  <c r="V20" i="26" s="1"/>
  <c r="I17" i="26"/>
  <c r="AC15" i="32" l="1"/>
  <c r="AF15" i="32" s="1"/>
  <c r="AC15" i="2"/>
  <c r="AF15" i="2" s="1"/>
  <c r="AC16" i="32"/>
  <c r="AF16" i="32" s="1"/>
  <c r="AC16" i="2"/>
  <c r="AF16" i="2" s="1"/>
  <c r="R17" i="26"/>
  <c r="J17" i="26"/>
  <c r="S19" i="26"/>
  <c r="U19" i="26"/>
  <c r="V19" i="26" s="1"/>
  <c r="S18" i="26"/>
  <c r="U18" i="26"/>
  <c r="V18" i="26" s="1"/>
  <c r="AC13" i="2" l="1"/>
  <c r="AF13" i="2" s="1"/>
  <c r="AC13" i="32"/>
  <c r="AF13" i="32" s="1"/>
  <c r="AC14" i="2"/>
  <c r="AF14" i="2" s="1"/>
  <c r="AC14" i="32"/>
  <c r="AF14" i="32" s="1"/>
  <c r="S17" i="26"/>
  <c r="U17" i="26"/>
  <c r="V17" i="26" s="1"/>
  <c r="AC12" i="32" l="1"/>
  <c r="AF12" i="32" s="1"/>
  <c r="AC12" i="2"/>
  <c r="AF12" i="2" s="1"/>
  <c r="U16" i="27"/>
  <c r="V16" i="27" s="1"/>
  <c r="U10" i="27" l="1"/>
  <c r="V10" i="27" s="1"/>
  <c r="U8" i="27" l="1"/>
  <c r="V8" i="27" s="1"/>
  <c r="I16" i="26"/>
  <c r="R16" i="26" l="1"/>
  <c r="J16" i="26"/>
  <c r="I10" i="26"/>
  <c r="I8" i="26"/>
  <c r="R8" i="26" l="1"/>
  <c r="J8" i="26"/>
  <c r="R10" i="26"/>
  <c r="J10" i="26"/>
  <c r="S16" i="26"/>
  <c r="U16" i="26"/>
  <c r="V16" i="26" s="1"/>
  <c r="S10" i="26" l="1"/>
  <c r="U10" i="26"/>
  <c r="V10" i="26" s="1"/>
  <c r="AC11" i="32"/>
  <c r="AF11" i="32" s="1"/>
  <c r="AC11" i="2"/>
  <c r="AF11" i="2" s="1"/>
  <c r="S8" i="26"/>
  <c r="U8" i="26"/>
  <c r="V8" i="26" s="1"/>
  <c r="AC27" i="2" l="1"/>
  <c r="AF27" i="2" s="1"/>
  <c r="AC27" i="32"/>
  <c r="AF27" i="32" s="1"/>
  <c r="AC25" i="32"/>
  <c r="AF25" i="32" s="1"/>
  <c r="AC25" i="2"/>
  <c r="AF25" i="2" s="1"/>
  <c r="T20" i="1"/>
  <c r="T18" i="1"/>
  <c r="W18" i="1" l="1"/>
  <c r="U18" i="1"/>
  <c r="W20" i="1"/>
  <c r="U20" i="1"/>
  <c r="AJ27" i="32"/>
  <c r="AI27" i="32"/>
  <c r="AJ27" i="2"/>
  <c r="AI27" i="2"/>
  <c r="Q28" i="25" l="1"/>
  <c r="R28" i="25" s="1"/>
  <c r="Q13" i="25"/>
  <c r="R13" i="25" s="1"/>
  <c r="Q23" i="25"/>
  <c r="R23" i="25" s="1"/>
  <c r="Q17" i="25"/>
  <c r="R17" i="25" s="1"/>
  <c r="Q22" i="25"/>
  <c r="R22" i="25" s="1"/>
  <c r="Q15" i="25"/>
  <c r="R15" i="25" s="1"/>
  <c r="Q16" i="25"/>
  <c r="R16" i="25" s="1"/>
  <c r="Q19" i="25"/>
  <c r="R19" i="25" s="1"/>
  <c r="Q21" i="25"/>
  <c r="R21" i="25" s="1"/>
  <c r="Q26" i="25"/>
  <c r="R26" i="25" s="1"/>
  <c r="Q27" i="25"/>
  <c r="R27" i="25" s="1"/>
  <c r="Q24" i="25"/>
  <c r="R24" i="25" s="1"/>
  <c r="Q14" i="25"/>
  <c r="R14" i="25" s="1"/>
  <c r="Q18" i="25"/>
  <c r="R18" i="25" s="1"/>
  <c r="Q12" i="25"/>
  <c r="R12" i="25" s="1"/>
  <c r="Q20" i="25"/>
  <c r="R20" i="25" s="1"/>
  <c r="Q25" i="25"/>
  <c r="R25" i="25" s="1"/>
  <c r="Q11" i="25" l="1"/>
  <c r="R11" i="25" s="1"/>
  <c r="Q8" i="25"/>
  <c r="R8" i="25" s="1"/>
  <c r="Q10" i="25"/>
  <c r="R10" i="25" s="1"/>
  <c r="Q9" i="25"/>
  <c r="R9" i="25" s="1"/>
  <c r="P19" i="37" l="1"/>
  <c r="P23" i="37"/>
  <c r="P20" i="37"/>
  <c r="P14" i="37"/>
  <c r="P11" i="37"/>
  <c r="P17" i="37"/>
  <c r="P15" i="37"/>
  <c r="P18" i="37"/>
  <c r="P12" i="37"/>
  <c r="P9" i="37"/>
  <c r="P21" i="37"/>
  <c r="S12" i="37" l="1"/>
  <c r="Q12" i="37"/>
  <c r="S20" i="37"/>
  <c r="Q20" i="37"/>
  <c r="S18" i="37"/>
  <c r="Q18" i="37"/>
  <c r="S9" i="37"/>
  <c r="Q9" i="37"/>
  <c r="S17" i="37"/>
  <c r="Q17" i="37"/>
  <c r="S11" i="37"/>
  <c r="Q11" i="37"/>
  <c r="S23" i="37"/>
  <c r="Q23" i="37"/>
  <c r="S21" i="37"/>
  <c r="Q21" i="37"/>
  <c r="S14" i="37"/>
  <c r="Q14" i="37"/>
  <c r="S15" i="37"/>
  <c r="Q15" i="37"/>
  <c r="S19" i="37"/>
  <c r="Q19" i="37"/>
  <c r="P22" i="37"/>
  <c r="P8" i="37"/>
  <c r="P24" i="37"/>
  <c r="P10" i="37"/>
  <c r="P16" i="37"/>
  <c r="P13" i="37"/>
  <c r="S22" i="37" l="1"/>
  <c r="Q22" i="37"/>
  <c r="S24" i="37"/>
  <c r="Q24" i="37"/>
  <c r="S10" i="37"/>
  <c r="Q10" i="37"/>
  <c r="S16" i="37"/>
  <c r="Q16" i="37"/>
  <c r="P27" i="37"/>
  <c r="Q13" i="37"/>
  <c r="S13" i="37"/>
  <c r="Q8" i="37"/>
  <c r="S8" i="37"/>
  <c r="P25" i="37"/>
  <c r="P26" i="37"/>
  <c r="Q25" i="37" l="1"/>
  <c r="S25" i="37"/>
  <c r="P28" i="37"/>
  <c r="S27" i="37"/>
  <c r="Q27" i="37"/>
  <c r="S26" i="37"/>
  <c r="Q26" i="37"/>
  <c r="S28" i="37" l="1"/>
  <c r="Q28" i="37"/>
</calcChain>
</file>

<file path=xl/sharedStrings.xml><?xml version="1.0" encoding="utf-8"?>
<sst xmlns="http://schemas.openxmlformats.org/spreadsheetml/2006/main" count="939" uniqueCount="230">
  <si>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</si>
  <si>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</si>
  <si>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</si>
  <si>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</si>
  <si>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</si>
  <si>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</si>
  <si>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</si>
  <si>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</si>
  <si>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</si>
  <si>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</si>
  <si>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</si>
  <si>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</si>
  <si>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</si>
  <si>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</si>
  <si>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</si>
  <si>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</si>
  <si>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</si>
  <si>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</si>
  <si>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</si>
  <si>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</si>
  <si>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</si>
  <si>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</si>
  <si>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</si>
  <si>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</si>
  <si>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</si>
  <si>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</si>
  <si>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</si>
  <si>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</si>
  <si>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</si>
  <si>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</si>
  <si>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</si>
  <si>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</si>
  <si>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</si>
  <si>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</si>
  <si>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</si>
  <si>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</si>
  <si>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</si>
  <si>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</si>
  <si>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</si>
  <si>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</si>
  <si>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</si>
  <si>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</si>
  <si>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</si>
  <si>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</si>
  <si>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</si>
  <si>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</si>
  <si>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</si>
  <si>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</si>
  <si>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</si>
  <si>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</si>
  <si>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</si>
  <si>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</si>
  <si>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</si>
  <si>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</si>
  <si>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</si>
  <si>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</si>
  <si>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</si>
  <si>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</si>
  <si>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</si>
  <si>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</si>
  <si>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</si>
  <si>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</si>
  <si>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</si>
  <si>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</si>
  <si>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</si>
  <si>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</si>
  <si>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</si>
  <si>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</si>
  <si>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</si>
  <si>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</si>
  <si>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</si>
  <si>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</si>
  <si>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</si>
  <si>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</si>
  <si>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</si>
  <si>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</si>
  <si>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</si>
  <si>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</si>
  <si>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</si>
  <si>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</si>
  <si>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</si>
  <si>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</si>
  <si>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</si>
  <si>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</si>
  <si>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</si>
  <si>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</si>
  <si>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</si>
  <si>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</si>
  <si>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</si>
  <si>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</si>
  <si>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</si>
  <si>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</si>
  <si>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</si>
  <si>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</si>
  <si>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</si>
  <si>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</si>
  <si>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</si>
  <si>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</si>
  <si>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</si>
  <si>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</si>
  <si>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</si>
  <si>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</si>
  <si>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</si>
  <si>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</si>
  <si>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</si>
  <si>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</si>
  <si>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</si>
  <si>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</si>
  <si>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</si>
  <si>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</si>
  <si>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</si>
  <si>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</si>
  <si>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</si>
  <si>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</si>
  <si>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</si>
  <si>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</si>
  <si>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</si>
  <si>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</si>
  <si>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</si>
  <si>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</si>
  <si>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</si>
  <si>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</si>
  <si>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</si>
  <si>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</si>
  <si>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</si>
  <si>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</si>
  <si>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</si>
  <si>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</si>
  <si>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</si>
  <si>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</si>
  <si>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</si>
  <si>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</si>
  <si>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</si>
  <si>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</si>
  <si>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</si>
  <si>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</si>
  <si>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</si>
  <si>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</si>
  <si>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</si>
  <si>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</si>
  <si>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</si>
  <si>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</si>
  <si>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</si>
  <si>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</si>
  <si>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</si>
  <si>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</si>
  <si>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</si>
  <si>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</si>
  <si>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</si>
  <si>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</si>
  <si>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</si>
  <si>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</si>
  <si>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</si>
  <si>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</si>
  <si>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</si>
  <si>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</si>
  <si>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</si>
  <si>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</si>
  <si>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</si>
  <si>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</si>
  <si>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6월</t>
  </si>
  <si>
    <t xml:space="preserve">   · 집합대손 2.2억 // 개별대손 3억(삼정이앤시) → 안양 2.9억, 양산 0.1억</t>
    <phoneticPr fontId="1" type="noConversion"/>
  </si>
  <si>
    <t>퇴직위로금</t>
  </si>
  <si>
    <t>퇴직위로금</t>
    <phoneticPr fontId="1" type="noConversion"/>
  </si>
  <si>
    <t xml:space="preserve"> - 1군 판매단가 인하</t>
    <phoneticPr fontId="1" type="noConversion"/>
  </si>
  <si>
    <t xml:space="preserve">   · 부산권 4천원, 창원 3.5천원 / 제주 협상完 500원/㎥ 인상</t>
    <phoneticPr fontId="1" type="noConversion"/>
  </si>
  <si>
    <t>[단위 : 톤, 천원]</t>
    <phoneticPr fontId="1" type="noConversion"/>
  </si>
  <si>
    <t>5월</t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</si>
  <si>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</si>
  <si>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</si>
  <si>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</si>
  <si>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</si>
  <si>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</si>
  <si>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</si>
  <si>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</si>
  <si>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</si>
  <si>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</si>
  <si>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</si>
  <si>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</si>
  <si>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</si>
  <si>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</si>
  <si>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</si>
  <si>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</si>
  <si>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</si>
  <si>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</si>
  <si>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</si>
  <si>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1월</t>
  </si>
  <si>
    <t>2월</t>
    <phoneticPr fontId="1" type="noConversion"/>
  </si>
  <si>
    <t>3월</t>
  </si>
  <si>
    <t>4월</t>
  </si>
  <si>
    <t>8월</t>
  </si>
  <si>
    <t>11월</t>
    <phoneticPr fontId="1" type="noConversion"/>
  </si>
  <si>
    <t>12월</t>
    <phoneticPr fontId="1" type="noConversion"/>
  </si>
  <si>
    <t>5월</t>
    <phoneticPr fontId="1" type="noConversion"/>
  </si>
  <si>
    <t>구분</t>
  </si>
  <si>
    <t>판매단가</t>
  </si>
  <si>
    <t>마진률</t>
  </si>
  <si>
    <t>6월</t>
    <phoneticPr fontId="1" type="noConversion"/>
  </si>
  <si>
    <t xml:space="preserve">  · 천안 아산지역 2,600원/㎥↓, 창원 2,900원/㎥↓(4/1), 울산 ,1900원/㎥↓(7/1)</t>
    <phoneticPr fontId="1" type="noConversion"/>
  </si>
  <si>
    <t xml:space="preserve">     원주 2천원/회(1년), 군산 2개년 합의, 7/15 (25년 2.5천원. 26년 3.5천원)</t>
    <phoneticPr fontId="1" type="noConversion"/>
  </si>
  <si>
    <t xml:space="preserve">     인천, 김포3,300원/회 ↑, 군산 25년 2.5천원. 26년 3.5천원</t>
    <phoneticPr fontId="1" type="noConversion"/>
  </si>
  <si>
    <t xml:space="preserve"> - 운반비 협상</t>
    <phoneticPr fontId="1" type="noConversion"/>
  </si>
  <si>
    <t>캡쳐도구 사용 → PNG 저장 → 파워BI 삽입 → 이미지</t>
    <phoneticPr fontId="1" type="noConversion"/>
  </si>
  <si>
    <t>(%)</t>
    <phoneticPr fontId="1" type="noConversion"/>
  </si>
  <si>
    <t>철강재 단가</t>
    <phoneticPr fontId="1" type="noConversion"/>
  </si>
  <si>
    <t>영업이익(공통비 배부후)</t>
    <phoneticPr fontId="1" type="noConversion"/>
  </si>
  <si>
    <t>2025년 9월 마감 손익</t>
    <phoneticPr fontId="1" type="noConversion"/>
  </si>
  <si>
    <t>□ 건재사업본부 손익실적(2025-09)</t>
  </si>
  <si>
    <t>9월</t>
  </si>
  <si>
    <t>9월 누계</t>
  </si>
  <si>
    <t>9월 주요지표</t>
  </si>
  <si>
    <t>□ 레미콘 원재료 원단위(2025-09)</t>
  </si>
  <si>
    <t>□ 레미콘 원재료단가(2025-09)</t>
  </si>
  <si>
    <t>□ 레미콘 단위당 공헌이익(2025-09)</t>
  </si>
  <si>
    <t>□ 레미콘 영업이익 차이분석(2025-09)</t>
  </si>
  <si>
    <t>□ 사업장별 손익실적(2025-09누계)_건자재 제외</t>
  </si>
  <si>
    <t>□ 사업장별 손익실적(2025-09)_건자재 제외</t>
  </si>
  <si>
    <t>□ 사업장별 손익실적(2025-09누계)</t>
  </si>
  <si>
    <t>□ 사업장별 손익실적(2025-09)</t>
  </si>
  <si>
    <t>2024년 9월 마감 손익</t>
  </si>
  <si>
    <t>□ 레미콘 영업이익(9월)</t>
  </si>
  <si>
    <t>9월누계</t>
  </si>
  <si>
    <t>2024년 9월누계 마감 손익</t>
  </si>
  <si>
    <t xml:space="preserve">  - OPC 소급분 : 삼표 2.5억(총 9.9억 中 1회차) → 8~9월누계 총 4회 소급예정</t>
  </si>
  <si>
    <t>□ 건자재 손익실적(2025-09)</t>
  </si>
  <si>
    <t>9월</t>
    <phoneticPr fontId="1" type="noConversion"/>
  </si>
  <si>
    <t xml:space="preserve"> - 1군 판가 소급분(마이너스 계산서) : 11.7억(559원/㎥)</t>
    <phoneticPr fontId="1" type="noConversion"/>
  </si>
  <si>
    <t xml:space="preserve"> - 판매단가 소급 2.5억(단위당 1,021원/㎥)</t>
    <phoneticPr fontId="1" type="noConversion"/>
  </si>
  <si>
    <t xml:space="preserve"> - 건재 임금인상 소급분 255백만원</t>
    <phoneticPr fontId="1" type="noConversion"/>
  </si>
  <si>
    <t xml:space="preserve"> - 경비 복리후생(학자금) 120백만원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</si>
</sst>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"/>
    <numFmt numFmtId="184" formatCode="0.0"/>
    <numFmt numFmtId="185" formatCode="#,##0.000000_ "/>
    <numFmt numFmtId="186" formatCode="0_);[Red]\(0\)"/>
    <numFmt numFmtId="187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KoPubWorld돋움체 Medium"/>
      <family val="3"/>
      <charset val="129"/>
    </font>
    <font>
      <sz val="16"/>
      <color theme="0"/>
      <name val="KoPubWorld돋움체 Bold"/>
      <family val="3"/>
      <charset val="129"/>
    </font>
    <font>
      <sz val="16"/>
      <color theme="1"/>
      <name val="KoPubWorld돋움체 Medium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666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0" fillId="0" borderId="0" xfId="0" applyNumberFormat="1" applyFont="1">
      <alignment vertical="center"/>
    </xf>
    <xf numFmtId="178" fontId="20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3" fontId="0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6" fontId="6" fillId="0" borderId="0" xfId="1" applyNumberFormat="1" applyFont="1">
      <alignment vertical="center"/>
    </xf>
    <xf numFmtId="186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0" fillId="9" borderId="4" xfId="1" quotePrefix="1" applyNumberFormat="1" applyFont="1" applyFill="1" applyBorder="1" applyAlignment="1">
      <alignment vertical="center"/>
    </xf>
    <xf numFmtId="178" fontId="6" fillId="0" borderId="2" xfId="1" applyNumberFormat="1" applyFont="1" applyFill="1" applyBorder="1" applyAlignment="1">
      <alignment vertical="center"/>
    </xf>
    <xf numFmtId="179" fontId="6" fillId="0" borderId="2" xfId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1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7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9" fontId="0" fillId="0" borderId="0" xfId="1" applyNumberFormat="1" applyFont="1">
      <alignment vertical="center"/>
    </xf>
    <xf numFmtId="3" fontId="0" fillId="0" borderId="0" xfId="0" applyNumberFormat="1" applyAlignment="1">
      <alignment horizontal="right" vertical="center"/>
    </xf>
    <xf numFmtId="0" fontId="22" fillId="0" borderId="0" xfId="0" applyFont="1" applyFill="1" applyBorder="1" applyAlignment="1">
      <alignment horizontal="left" vertical="center"/>
    </xf>
    <xf numFmtId="0" fontId="23" fillId="15" borderId="48" xfId="0" applyFont="1" applyFill="1" applyBorder="1" applyAlignment="1">
      <alignment horizontal="center" vertical="center"/>
    </xf>
    <xf numFmtId="0" fontId="23" fillId="15" borderId="65" xfId="0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178" fontId="24" fillId="0" borderId="1" xfId="0" applyNumberFormat="1" applyFont="1" applyBorder="1">
      <alignment vertical="center"/>
    </xf>
    <xf numFmtId="178" fontId="24" fillId="0" borderId="3" xfId="0" applyNumberFormat="1" applyFont="1" applyBorder="1">
      <alignment vertical="center"/>
    </xf>
    <xf numFmtId="178" fontId="24" fillId="0" borderId="68" xfId="0" applyNumberFormat="1" applyFont="1" applyBorder="1">
      <alignment vertical="center"/>
    </xf>
    <xf numFmtId="0" fontId="24" fillId="0" borderId="70" xfId="0" applyFont="1" applyBorder="1" applyAlignment="1">
      <alignment horizontal="center" vertical="center"/>
    </xf>
    <xf numFmtId="178" fontId="24" fillId="0" borderId="6" xfId="0" applyNumberFormat="1" applyFont="1" applyBorder="1">
      <alignment vertical="center"/>
    </xf>
    <xf numFmtId="178" fontId="24" fillId="0" borderId="8" xfId="0" applyNumberFormat="1" applyFont="1" applyBorder="1">
      <alignment vertical="center"/>
    </xf>
    <xf numFmtId="178" fontId="24" fillId="0" borderId="70" xfId="0" applyNumberFormat="1" applyFont="1" applyBorder="1">
      <alignment vertical="center"/>
    </xf>
    <xf numFmtId="0" fontId="24" fillId="0" borderId="69" xfId="0" applyFont="1" applyBorder="1" applyAlignment="1">
      <alignment horizontal="center" vertical="center"/>
    </xf>
    <xf numFmtId="178" fontId="24" fillId="0" borderId="4" xfId="0" applyNumberFormat="1" applyFont="1" applyBorder="1">
      <alignment vertical="center"/>
    </xf>
    <xf numFmtId="178" fontId="24" fillId="0" borderId="5" xfId="0" applyNumberFormat="1" applyFont="1" applyBorder="1">
      <alignment vertical="center"/>
    </xf>
    <xf numFmtId="178" fontId="24" fillId="0" borderId="69" xfId="0" applyNumberFormat="1" applyFont="1" applyBorder="1">
      <alignment vertical="center"/>
    </xf>
    <xf numFmtId="0" fontId="24" fillId="0" borderId="55" xfId="0" applyFont="1" applyBorder="1" applyAlignment="1">
      <alignment horizontal="center" vertical="center"/>
    </xf>
    <xf numFmtId="178" fontId="24" fillId="0" borderId="48" xfId="0" applyNumberFormat="1" applyFont="1" applyBorder="1">
      <alignment vertical="center"/>
    </xf>
    <xf numFmtId="178" fontId="24" fillId="0" borderId="55" xfId="0" applyNumberFormat="1" applyFont="1" applyBorder="1">
      <alignment vertical="center"/>
    </xf>
    <xf numFmtId="178" fontId="24" fillId="0" borderId="65" xfId="0" applyNumberFormat="1" applyFont="1" applyBorder="1">
      <alignment vertical="center"/>
    </xf>
    <xf numFmtId="9" fontId="24" fillId="0" borderId="3" xfId="0" applyNumberFormat="1" applyFont="1" applyBorder="1">
      <alignment vertical="center"/>
    </xf>
    <xf numFmtId="9" fontId="24" fillId="0" borderId="8" xfId="0" applyNumberFormat="1" applyFont="1" applyBorder="1">
      <alignment vertical="center"/>
    </xf>
    <xf numFmtId="9" fontId="24" fillId="0" borderId="1" xfId="0" applyNumberFormat="1" applyFont="1" applyBorder="1">
      <alignment vertical="center"/>
    </xf>
    <xf numFmtId="9" fontId="24" fillId="0" borderId="6" xfId="0" applyNumberFormat="1" applyFont="1" applyBorder="1">
      <alignment vertical="center"/>
    </xf>
    <xf numFmtId="177" fontId="24" fillId="0" borderId="4" xfId="0" applyNumberFormat="1" applyFont="1" applyBorder="1">
      <alignment vertical="center"/>
    </xf>
    <xf numFmtId="177" fontId="24" fillId="0" borderId="5" xfId="0" applyNumberFormat="1" applyFont="1" applyBorder="1">
      <alignment vertical="center"/>
    </xf>
    <xf numFmtId="177" fontId="24" fillId="0" borderId="69" xfId="0" applyNumberFormat="1" applyFont="1" applyBorder="1">
      <alignment vertical="center"/>
    </xf>
    <xf numFmtId="3" fontId="0" fillId="0" borderId="7" xfId="0" applyNumberFormat="1" applyBorder="1">
      <alignment vertical="center"/>
    </xf>
    <xf numFmtId="3" fontId="24" fillId="0" borderId="8" xfId="0" applyNumberFormat="1" applyFont="1" applyBorder="1" applyAlignment="1">
      <alignment horizontal="center" vertical="center"/>
    </xf>
    <xf numFmtId="177" fontId="24" fillId="0" borderId="6" xfId="0" applyNumberFormat="1" applyFont="1" applyBorder="1">
      <alignment vertical="center"/>
    </xf>
    <xf numFmtId="177" fontId="24" fillId="0" borderId="8" xfId="0" applyNumberFormat="1" applyFont="1" applyBorder="1">
      <alignment vertical="center"/>
    </xf>
    <xf numFmtId="177" fontId="24" fillId="0" borderId="70" xfId="0" applyNumberFormat="1" applyFont="1" applyBorder="1">
      <alignment vertical="center"/>
    </xf>
    <xf numFmtId="179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6" fillId="10" borderId="48" xfId="0" applyFont="1" applyFill="1" applyBorder="1" applyAlignment="1">
      <alignment horizontal="centerContinuous" vertical="center"/>
    </xf>
    <xf numFmtId="0" fontId="16" fillId="10" borderId="67" xfId="0" applyFont="1" applyFill="1" applyBorder="1" applyAlignment="1">
      <alignment horizontal="centerContinuous" vertical="center"/>
    </xf>
    <xf numFmtId="0" fontId="16" fillId="10" borderId="55" xfId="0" applyFont="1" applyFill="1" applyBorder="1" applyAlignment="1">
      <alignment horizontal="centerContinuous" vertical="center"/>
    </xf>
    <xf numFmtId="9" fontId="6" fillId="0" borderId="0" xfId="1" applyNumberFormat="1" applyFont="1">
      <alignment vertical="center"/>
    </xf>
    <xf numFmtId="0" fontId="24" fillId="0" borderId="3" xfId="0" applyFont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15" borderId="67" xfId="0" applyFont="1" applyFill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건자재!$AM$37:$AY$37</c:f>
              <c:strCache>
                <c:ptCount val="13"/>
                <c:pt idx="0">
                  <c:v>9월</c:v>
                </c:pt>
                <c:pt idx="1">
                  <c:v>10월</c:v>
                </c:pt>
                <c:pt idx="2">
                  <c:v>11월</c:v>
                </c:pt>
                <c:pt idx="3">
                  <c:v>12월</c:v>
                </c:pt>
                <c:pt idx="4">
                  <c:v>1월</c:v>
                </c:pt>
                <c:pt idx="5">
                  <c:v>2월</c:v>
                </c:pt>
                <c:pt idx="6">
                  <c:v>3월</c:v>
                </c:pt>
                <c:pt idx="7">
                  <c:v>4월</c:v>
                </c:pt>
                <c:pt idx="8">
                  <c:v>5월</c:v>
                </c:pt>
                <c:pt idx="9">
                  <c:v>6월</c:v>
                </c:pt>
                <c:pt idx="10">
                  <c:v>7월</c:v>
                </c:pt>
                <c:pt idx="11">
                  <c:v>8월</c:v>
                </c:pt>
                <c:pt idx="12">
                  <c:v>9월</c:v>
                </c:pt>
              </c:strCache>
            </c:strRef>
          </c:cat>
          <c:val>
            <c:numRef>
              <c:f>건자재!$AM$38:$AY$38</c:f>
              <c:numCache>
                <c:formatCode>#,##0_);[Red]\(#,##0\)</c:formatCode>
                <c:ptCount val="13"/>
                <c:pt idx="0">
                  <c:v>879572.42936012533</c:v>
                </c:pt>
                <c:pt idx="1">
                  <c:v>818946.47731031897</c:v>
                </c:pt>
                <c:pt idx="2">
                  <c:v>798803.69146262086</c:v>
                </c:pt>
                <c:pt idx="3">
                  <c:v>752238.01942182856</c:v>
                </c:pt>
                <c:pt idx="4">
                  <c:v>756420.01123690419</c:v>
                </c:pt>
                <c:pt idx="5">
                  <c:v>744684.72993482568</c:v>
                </c:pt>
                <c:pt idx="6">
                  <c:v>736140.83983969816</c:v>
                </c:pt>
                <c:pt idx="7">
                  <c:v>800210.93236806407</c:v>
                </c:pt>
                <c:pt idx="8">
                  <c:v>798001.52569848381</c:v>
                </c:pt>
                <c:pt idx="9">
                  <c:v>779915.72567572771</c:v>
                </c:pt>
                <c:pt idx="10">
                  <c:v>794077.93162643479</c:v>
                </c:pt>
                <c:pt idx="11">
                  <c:v>765881.71758050087</c:v>
                </c:pt>
                <c:pt idx="12">
                  <c:v>791593.63411319733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6FC-8FC4-288C49F9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4D714-984C-4AB0-97A8-547DE6A63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1_&#47112;&#48120;&#53080;/&#47112;&#48120;&#53080;&#50896;&#44032;&#49552;&#51061;(2025-09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1_&#47112;&#48120;&#53080;/&#47112;&#48120;&#53080;&#50896;&#44032;&#49552;&#51061;(2025-09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3_&#44264;&#51116;/&#48512;&#49328;&#47784;&#47000;&#51109;&#50896;&#44032;&#49552;&#51061;(2025-09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3_&#44264;&#51116;/&#48512;&#49328;&#53356;&#46972;&#49380;&#50896;&#44032;&#49552;&#51061;(2025-09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3_&#44264;&#51116;/&#49436;&#48512;&#49328;&#53356;&#46972;&#49380;&#50896;&#44032;&#49552;&#51061;(2025-09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3_&#44264;&#51116;/&#44264;&#51116;&#50896;&#44032;&#49552;&#51061;(2024-09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1_&#47112;&#48120;&#53080;/&#47112;&#48120;&#53080;&#50896;&#44032;&#49552;&#51061;(2025-09&#45572;&#44228;)&#44228;&#54925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9/01_&#47112;&#48120;&#53080;/&#47112;&#48120;&#53080;&#50896;&#44032;&#49552;&#51061;(2025-09&#45572;&#44228;)&#51204;&#45380;&#45824;&#4870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 refreshError="1"/>
      <sheetData sheetId="1" refreshError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7">
          <cell r="Z7">
            <v>273000</v>
          </cell>
        </row>
      </sheetData>
      <sheetData sheetId="5">
        <row r="7">
          <cell r="Z7">
            <v>295500</v>
          </cell>
        </row>
      </sheetData>
      <sheetData sheetId="6">
        <row r="7">
          <cell r="Z7">
            <v>290500</v>
          </cell>
        </row>
      </sheetData>
      <sheetData sheetId="7">
        <row r="7">
          <cell r="Z7">
            <v>290000</v>
          </cell>
        </row>
      </sheetData>
      <sheetData sheetId="8">
        <row r="7">
          <cell r="Z7">
            <v>284000</v>
          </cell>
        </row>
      </sheetData>
      <sheetData sheetId="9">
        <row r="7">
          <cell r="Z7">
            <v>271500</v>
          </cell>
        </row>
      </sheetData>
      <sheetData sheetId="10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41000</v>
          </cell>
          <cell r="G7">
            <v>32000</v>
          </cell>
          <cell r="H7">
            <v>24000</v>
          </cell>
          <cell r="I7">
            <v>16000</v>
          </cell>
          <cell r="J7">
            <v>21000</v>
          </cell>
          <cell r="K7">
            <v>21000</v>
          </cell>
          <cell r="L7">
            <v>14000</v>
          </cell>
          <cell r="M7">
            <v>19000</v>
          </cell>
          <cell r="N7">
            <v>12000</v>
          </cell>
          <cell r="O7">
            <v>13000</v>
          </cell>
          <cell r="P7">
            <v>12000</v>
          </cell>
          <cell r="Q7">
            <v>14000</v>
          </cell>
          <cell r="R7">
            <v>26000</v>
          </cell>
          <cell r="S7">
            <v>12000</v>
          </cell>
          <cell r="T7">
            <v>8000</v>
          </cell>
          <cell r="U7">
            <v>6000</v>
          </cell>
          <cell r="V7">
            <v>9000</v>
          </cell>
          <cell r="W7">
            <v>0</v>
          </cell>
          <cell r="X7">
            <v>0</v>
          </cell>
          <cell r="Y7">
            <v>0</v>
          </cell>
          <cell r="Z7">
            <v>300000</v>
          </cell>
          <cell r="AA7">
            <v>12600</v>
          </cell>
          <cell r="AB7">
            <v>43768.423655913983</v>
          </cell>
          <cell r="AC7">
            <v>38403.928399999997</v>
          </cell>
          <cell r="AD7">
            <v>22823.312596588261</v>
          </cell>
          <cell r="AE7">
            <v>104995.66465250224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46349454.45032721</v>
          </cell>
          <cell r="F8">
            <v>4162500.1900000004</v>
          </cell>
          <cell r="G8">
            <v>3318654.4751580795</v>
          </cell>
          <cell r="H8">
            <v>2313438.4547999999</v>
          </cell>
          <cell r="I8">
            <v>1523049.9500000002</v>
          </cell>
          <cell r="J8">
            <v>2261697.361732</v>
          </cell>
          <cell r="K8">
            <v>2085297.0700000003</v>
          </cell>
          <cell r="L8">
            <v>1348198.6</v>
          </cell>
          <cell r="M8">
            <v>1938001.79324</v>
          </cell>
          <cell r="N8">
            <v>1131660</v>
          </cell>
          <cell r="O8">
            <v>1314304.9431960001</v>
          </cell>
          <cell r="P8">
            <v>1154796.2369565216</v>
          </cell>
          <cell r="Q8">
            <v>1458865</v>
          </cell>
          <cell r="R8">
            <v>2678000</v>
          </cell>
          <cell r="S8">
            <v>1208707.0966000003</v>
          </cell>
          <cell r="T8">
            <v>894386.15000000014</v>
          </cell>
          <cell r="U8">
            <v>672000</v>
          </cell>
          <cell r="V8">
            <v>1106960</v>
          </cell>
          <cell r="W8">
            <v>0</v>
          </cell>
          <cell r="X8">
            <v>0</v>
          </cell>
          <cell r="Y8">
            <v>0</v>
          </cell>
          <cell r="Z8">
            <v>30570517.321682598</v>
          </cell>
          <cell r="AA8">
            <v>13712918.880000001</v>
          </cell>
          <cell r="AB8">
            <v>649349.17849462363</v>
          </cell>
          <cell r="AC8">
            <v>654284.94799999997</v>
          </cell>
          <cell r="AD8">
            <v>619855.95548332285</v>
          </cell>
          <cell r="AE8">
            <v>1923490.0819779467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68570</v>
          </cell>
          <cell r="AJ8">
            <v>5521.5</v>
          </cell>
          <cell r="AK8">
            <v>0</v>
          </cell>
          <cell r="AL8">
            <v>140758.16666666669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101524.3948780488</v>
          </cell>
          <cell r="G9">
            <v>103707.95234868999</v>
          </cell>
          <cell r="H9">
            <v>96393.268949999998</v>
          </cell>
          <cell r="I9">
            <v>95190.621875000012</v>
          </cell>
          <cell r="J9">
            <v>107699.87436819047</v>
          </cell>
          <cell r="K9">
            <v>99299.860476190486</v>
          </cell>
          <cell r="L9">
            <v>96299.900000000009</v>
          </cell>
          <cell r="M9">
            <v>102000.09438105264</v>
          </cell>
          <cell r="N9">
            <v>94305</v>
          </cell>
          <cell r="O9">
            <v>101100.38024584616</v>
          </cell>
          <cell r="P9">
            <v>96233.019746376798</v>
          </cell>
          <cell r="Q9">
            <v>104204.64285714286</v>
          </cell>
          <cell r="R9">
            <v>103000</v>
          </cell>
          <cell r="S9">
            <v>100725.59138333335</v>
          </cell>
          <cell r="T9">
            <v>111798.26875000002</v>
          </cell>
          <cell r="U9">
            <v>112000</v>
          </cell>
          <cell r="V9">
            <v>122995.55555555556</v>
          </cell>
          <cell r="W9">
            <v>0</v>
          </cell>
          <cell r="X9">
            <v>0</v>
          </cell>
          <cell r="Y9">
            <v>0</v>
          </cell>
          <cell r="Z9">
            <v>101901.72440560866</v>
          </cell>
          <cell r="AA9">
            <v>1088326.8952380954</v>
          </cell>
          <cell r="AB9">
            <v>14836.019309251127</v>
          </cell>
          <cell r="AC9">
            <v>17036.927607645473</v>
          </cell>
          <cell r="AD9">
            <v>27158.89522434977</v>
          </cell>
          <cell r="AE9">
            <v>18319.709564618737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40890567.745157458</v>
          </cell>
          <cell r="F10">
            <v>3533397.8550290526</v>
          </cell>
          <cell r="G10">
            <v>2827439.6445981064</v>
          </cell>
          <cell r="H10">
            <v>2108861.2892736066</v>
          </cell>
          <cell r="I10">
            <v>1357564.8427941378</v>
          </cell>
          <cell r="J10">
            <v>1943206.3343565294</v>
          </cell>
          <cell r="K10">
            <v>1769928.1354997756</v>
          </cell>
          <cell r="L10">
            <v>1180676.2385794171</v>
          </cell>
          <cell r="M10">
            <v>1692733.9376499767</v>
          </cell>
          <cell r="N10">
            <v>984297.37924044975</v>
          </cell>
          <cell r="O10">
            <v>1098902.8545982237</v>
          </cell>
          <cell r="P10">
            <v>993399.19409045216</v>
          </cell>
          <cell r="Q10">
            <v>1249628.7475310306</v>
          </cell>
          <cell r="R10">
            <v>2204509.1649554968</v>
          </cell>
          <cell r="S10">
            <v>975508.1483685181</v>
          </cell>
          <cell r="T10">
            <v>637850.81346709526</v>
          </cell>
          <cell r="U10">
            <v>522811.96048633935</v>
          </cell>
          <cell r="V10">
            <v>887615.13068025175</v>
          </cell>
          <cell r="W10">
            <v>0</v>
          </cell>
          <cell r="X10">
            <v>0</v>
          </cell>
          <cell r="Y10">
            <v>0</v>
          </cell>
          <cell r="Z10">
            <v>25968331.671198461</v>
          </cell>
          <cell r="AA10">
            <v>13342736.269191843</v>
          </cell>
          <cell r="AB10">
            <v>490744.43499999988</v>
          </cell>
          <cell r="AC10">
            <v>537329.01725760009</v>
          </cell>
          <cell r="AD10">
            <v>510060.03250955709</v>
          </cell>
          <cell r="AE10">
            <v>1538133.4847671571</v>
          </cell>
          <cell r="AF10">
            <v>110</v>
          </cell>
          <cell r="AG10">
            <v>628</v>
          </cell>
          <cell r="AH10">
            <v>443</v>
          </cell>
          <cell r="AI10">
            <v>197</v>
          </cell>
          <cell r="AJ10">
            <v>151</v>
          </cell>
          <cell r="AK10">
            <v>0</v>
          </cell>
          <cell r="AL10">
            <v>1529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</row>
        <row r="11">
          <cell r="D11" t="str">
            <v xml:space="preserve"> - 단  위  당</v>
          </cell>
          <cell r="F11">
            <v>86180.435488513482</v>
          </cell>
          <cell r="G11">
            <v>88357.488893690825</v>
          </cell>
          <cell r="H11">
            <v>87869.220386400266</v>
          </cell>
          <cell r="I11">
            <v>84847.802674633611</v>
          </cell>
          <cell r="J11">
            <v>92533.634969358551</v>
          </cell>
          <cell r="K11">
            <v>84282.292166655985</v>
          </cell>
          <cell r="L11">
            <v>84334.017041386949</v>
          </cell>
          <cell r="M11">
            <v>89091.259876314565</v>
          </cell>
          <cell r="N11">
            <v>82024.781603370808</v>
          </cell>
          <cell r="O11">
            <v>84530.988815247983</v>
          </cell>
          <cell r="P11">
            <v>82783.266174204342</v>
          </cell>
          <cell r="Q11">
            <v>89259.196252216469</v>
          </cell>
          <cell r="R11">
            <v>84788.814036749885</v>
          </cell>
          <cell r="S11">
            <v>81292.345697376499</v>
          </cell>
          <cell r="T11">
            <v>79731.351683386907</v>
          </cell>
          <cell r="U11">
            <v>87135.326747723229</v>
          </cell>
          <cell r="V11">
            <v>98623.903408916856</v>
          </cell>
          <cell r="W11">
            <v>0</v>
          </cell>
          <cell r="X11">
            <v>0</v>
          </cell>
          <cell r="Y11">
            <v>0</v>
          </cell>
          <cell r="Z11">
            <v>86561.105570661544</v>
          </cell>
          <cell r="AA11">
            <v>1058947.3229517334</v>
          </cell>
          <cell r="AB11">
            <v>11212.29402406615</v>
          </cell>
          <cell r="AC11">
            <v>13991.511796944193</v>
          </cell>
          <cell r="AD11">
            <v>22348.203414862895</v>
          </cell>
          <cell r="AE11">
            <v>14649.495194471352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5458886.7051697522</v>
          </cell>
          <cell r="F12">
            <v>629102.33497094782</v>
          </cell>
          <cell r="G12">
            <v>491214.83055997314</v>
          </cell>
          <cell r="H12">
            <v>204577.16552639334</v>
          </cell>
          <cell r="I12">
            <v>165485.10720586241</v>
          </cell>
          <cell r="J12">
            <v>318491.02737547061</v>
          </cell>
          <cell r="K12">
            <v>315368.93450022466</v>
          </cell>
          <cell r="L12">
            <v>167522.36142058298</v>
          </cell>
          <cell r="M12">
            <v>245267.85559002333</v>
          </cell>
          <cell r="N12">
            <v>147362.62075955025</v>
          </cell>
          <cell r="O12">
            <v>215402.08859777637</v>
          </cell>
          <cell r="P12">
            <v>161397.04286606947</v>
          </cell>
          <cell r="Q12">
            <v>209236.25246896944</v>
          </cell>
          <cell r="R12">
            <v>473490.83504450321</v>
          </cell>
          <cell r="S12">
            <v>233198.94823148218</v>
          </cell>
          <cell r="T12">
            <v>256535.33653290488</v>
          </cell>
          <cell r="U12">
            <v>149188.03951366065</v>
          </cell>
          <cell r="V12">
            <v>219344.86931974825</v>
          </cell>
          <cell r="W12">
            <v>0</v>
          </cell>
          <cell r="X12">
            <v>0</v>
          </cell>
          <cell r="Y12">
            <v>0</v>
          </cell>
          <cell r="Z12">
            <v>4602185.6504841372</v>
          </cell>
          <cell r="AA12">
            <v>370182.61080815829</v>
          </cell>
          <cell r="AB12">
            <v>158604.74349462375</v>
          </cell>
          <cell r="AC12">
            <v>116955.93074239988</v>
          </cell>
          <cell r="AD12">
            <v>109795.92297376576</v>
          </cell>
          <cell r="AE12">
            <v>385356.59721078956</v>
          </cell>
          <cell r="AF12">
            <v>12390</v>
          </cell>
          <cell r="AG12">
            <v>24372</v>
          </cell>
          <cell r="AH12">
            <v>28723.666666666668</v>
          </cell>
          <cell r="AI12">
            <v>68373</v>
          </cell>
          <cell r="AJ12">
            <v>5370.5</v>
          </cell>
          <cell r="AK12">
            <v>0</v>
          </cell>
          <cell r="AL12">
            <v>139229.16666666669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</row>
        <row r="13">
          <cell r="D13" t="str">
            <v>판 관 비</v>
          </cell>
          <cell r="E13">
            <v>882339.55</v>
          </cell>
          <cell r="F13">
            <v>74695.37</v>
          </cell>
          <cell r="G13">
            <v>67807.460000000006</v>
          </cell>
          <cell r="H13">
            <v>52777.32</v>
          </cell>
          <cell r="I13">
            <v>36328.26</v>
          </cell>
          <cell r="J13">
            <v>48430.44</v>
          </cell>
          <cell r="K13">
            <v>50953.14</v>
          </cell>
          <cell r="L13">
            <v>39233.67</v>
          </cell>
          <cell r="M13">
            <v>55996.520000000004</v>
          </cell>
          <cell r="N13">
            <v>29028.299999999996</v>
          </cell>
          <cell r="O13">
            <v>38324.47</v>
          </cell>
          <cell r="P13">
            <v>46299.740000000005</v>
          </cell>
          <cell r="Q13">
            <v>37435.71</v>
          </cell>
          <cell r="R13">
            <v>48088.639999999999</v>
          </cell>
          <cell r="S13">
            <v>36008.949999999997</v>
          </cell>
          <cell r="T13">
            <v>12037.019999999999</v>
          </cell>
          <cell r="U13">
            <v>14511.25</v>
          </cell>
          <cell r="V13">
            <v>16419.560000000001</v>
          </cell>
          <cell r="W13">
            <v>0</v>
          </cell>
          <cell r="X13">
            <v>0</v>
          </cell>
          <cell r="Y13">
            <v>0</v>
          </cell>
          <cell r="Z13">
            <v>704375.82000000007</v>
          </cell>
          <cell r="AA13">
            <v>140361.42000000001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479</v>
          </cell>
          <cell r="AN13">
            <v>267</v>
          </cell>
          <cell r="AO13">
            <v>217</v>
          </cell>
          <cell r="AP13">
            <v>166</v>
          </cell>
          <cell r="AQ13">
            <v>7975</v>
          </cell>
          <cell r="AR13">
            <v>0</v>
          </cell>
          <cell r="AS13">
            <v>28498.31</v>
          </cell>
          <cell r="AT13">
            <v>0</v>
          </cell>
          <cell r="AU13">
            <v>37602.31</v>
          </cell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</row>
        <row r="15">
          <cell r="D15" t="str">
            <v xml:space="preserve"> - 경        비</v>
          </cell>
          <cell r="E15">
            <v>294346.43999999994</v>
          </cell>
          <cell r="F15">
            <v>25058.9</v>
          </cell>
          <cell r="G15">
            <v>24478.7</v>
          </cell>
          <cell r="H15">
            <v>15612.07</v>
          </cell>
          <cell r="I15">
            <v>10056.35</v>
          </cell>
          <cell r="J15">
            <v>15281.619999999999</v>
          </cell>
          <cell r="K15">
            <v>14590.65</v>
          </cell>
          <cell r="L15">
            <v>11079.58</v>
          </cell>
          <cell r="M15">
            <v>20744.990000000002</v>
          </cell>
          <cell r="N15">
            <v>8714.74</v>
          </cell>
          <cell r="O15">
            <v>11020</v>
          </cell>
          <cell r="P15">
            <v>18890.93</v>
          </cell>
          <cell r="Q15">
            <v>10389.61</v>
          </cell>
          <cell r="R15">
            <v>14806.630000000001</v>
          </cell>
          <cell r="S15">
            <v>13798.74</v>
          </cell>
          <cell r="T15">
            <v>4469.6499999999996</v>
          </cell>
          <cell r="U15">
            <v>7163.75</v>
          </cell>
          <cell r="V15">
            <v>5612.5300000000007</v>
          </cell>
          <cell r="W15">
            <v>0</v>
          </cell>
          <cell r="X15">
            <v>0</v>
          </cell>
          <cell r="Y15">
            <v>0</v>
          </cell>
          <cell r="Z15">
            <v>231769.43999999994</v>
          </cell>
          <cell r="AA15">
            <v>51271.130000000005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479</v>
          </cell>
          <cell r="AN15">
            <v>267</v>
          </cell>
          <cell r="AO15">
            <v>217</v>
          </cell>
          <cell r="AP15">
            <v>166</v>
          </cell>
          <cell r="AQ15">
            <v>7975</v>
          </cell>
          <cell r="AR15">
            <v>0</v>
          </cell>
          <cell r="AS15">
            <v>2201.87</v>
          </cell>
          <cell r="AT15">
            <v>0</v>
          </cell>
          <cell r="AU15">
            <v>11305.869999999999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4576547.1551697524</v>
          </cell>
          <cell r="F17">
            <v>554406.96497094783</v>
          </cell>
          <cell r="G17">
            <v>423407.37055997312</v>
          </cell>
          <cell r="H17">
            <v>151799.84552639333</v>
          </cell>
          <cell r="I17">
            <v>129156.8472058624</v>
          </cell>
          <cell r="J17">
            <v>270060.58737547061</v>
          </cell>
          <cell r="K17">
            <v>264415.79450022464</v>
          </cell>
          <cell r="L17">
            <v>128288.69142058298</v>
          </cell>
          <cell r="M17">
            <v>189271.33559002331</v>
          </cell>
          <cell r="N17">
            <v>118334.32075955026</v>
          </cell>
          <cell r="O17">
            <v>177077.61859777637</v>
          </cell>
          <cell r="P17">
            <v>115097.30286606947</v>
          </cell>
          <cell r="Q17">
            <v>171800.54246896945</v>
          </cell>
          <cell r="R17">
            <v>425402.1950445032</v>
          </cell>
          <cell r="S17">
            <v>197189.99823148217</v>
          </cell>
          <cell r="T17">
            <v>244498.31653290489</v>
          </cell>
          <cell r="U17">
            <v>134676.78951366065</v>
          </cell>
          <cell r="V17">
            <v>202925.30931974825</v>
          </cell>
          <cell r="W17">
            <v>0</v>
          </cell>
          <cell r="X17">
            <v>0</v>
          </cell>
          <cell r="Y17">
            <v>0</v>
          </cell>
          <cell r="Z17">
            <v>3897809.8304841369</v>
          </cell>
          <cell r="AA17">
            <v>229821.19080815828</v>
          </cell>
          <cell r="AB17">
            <v>158604.74349462375</v>
          </cell>
          <cell r="AC17">
            <v>116955.93074239988</v>
          </cell>
          <cell r="AD17">
            <v>109795.92297376576</v>
          </cell>
          <cell r="AE17">
            <v>385356.59721078956</v>
          </cell>
          <cell r="AF17">
            <v>12390</v>
          </cell>
          <cell r="AG17">
            <v>24372</v>
          </cell>
          <cell r="AH17">
            <v>28723.666666666668</v>
          </cell>
          <cell r="AI17">
            <v>68373</v>
          </cell>
          <cell r="AJ17">
            <v>5370.5</v>
          </cell>
          <cell r="AK17">
            <v>0</v>
          </cell>
          <cell r="AL17">
            <v>139229.16666666669</v>
          </cell>
          <cell r="AM17">
            <v>-479</v>
          </cell>
          <cell r="AN17">
            <v>-267</v>
          </cell>
          <cell r="AO17">
            <v>-217</v>
          </cell>
          <cell r="AP17">
            <v>-166</v>
          </cell>
          <cell r="AQ17">
            <v>-7975</v>
          </cell>
          <cell r="AR17">
            <v>0</v>
          </cell>
          <cell r="AS17">
            <v>-68335.63</v>
          </cell>
          <cell r="AT17">
            <v>1770</v>
          </cell>
          <cell r="AU17">
            <v>-75669.63</v>
          </cell>
        </row>
        <row r="18">
          <cell r="D18" t="str">
            <v>감가상각비</v>
          </cell>
          <cell r="E18">
            <v>475551.64590679004</v>
          </cell>
          <cell r="F18">
            <v>29994.295888888886</v>
          </cell>
          <cell r="G18">
            <v>35794.468461688899</v>
          </cell>
          <cell r="H18">
            <v>19204.586333333333</v>
          </cell>
          <cell r="I18">
            <v>18531.579444444447</v>
          </cell>
          <cell r="J18">
            <v>47915.124555555558</v>
          </cell>
          <cell r="K18">
            <v>1731.8457777777787</v>
          </cell>
          <cell r="L18">
            <v>13106.185444444443</v>
          </cell>
          <cell r="M18">
            <v>25164.07433333333</v>
          </cell>
          <cell r="N18">
            <v>11516.253444444443</v>
          </cell>
          <cell r="O18">
            <v>31871.415222222218</v>
          </cell>
          <cell r="P18">
            <v>16056.936325359782</v>
          </cell>
          <cell r="Q18">
            <v>15024.533833060506</v>
          </cell>
          <cell r="R18">
            <v>25607.370444444445</v>
          </cell>
          <cell r="S18">
            <v>21587.247777777779</v>
          </cell>
          <cell r="T18">
            <v>11605.509666666669</v>
          </cell>
          <cell r="U18">
            <v>6057.137777777777</v>
          </cell>
          <cell r="V18">
            <v>12413.786620014094</v>
          </cell>
          <cell r="W18">
            <v>0</v>
          </cell>
          <cell r="X18">
            <v>0</v>
          </cell>
          <cell r="Y18">
            <v>0</v>
          </cell>
          <cell r="Z18">
            <v>343182.35135123442</v>
          </cell>
          <cell r="AA18">
            <v>5475.768</v>
          </cell>
          <cell r="AB18">
            <v>23534.010555555556</v>
          </cell>
          <cell r="AC18">
            <v>58123.188333333339</v>
          </cell>
          <cell r="AD18">
            <v>34313.575666666664</v>
          </cell>
          <cell r="AE18">
            <v>115970.77455555557</v>
          </cell>
          <cell r="AF18">
            <v>3075.8240000000001</v>
          </cell>
          <cell r="AG18">
            <v>5302.2790000000005</v>
          </cell>
          <cell r="AH18">
            <v>5634.36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11222.019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-14097.802</v>
          </cell>
          <cell r="AR18">
            <v>855.83600000000001</v>
          </cell>
          <cell r="AS18">
            <v>0</v>
          </cell>
          <cell r="AT18">
            <v>7761.0880000000006</v>
          </cell>
          <cell r="AU18">
            <v>-299.26699999999983</v>
          </cell>
        </row>
        <row r="19">
          <cell r="D19" t="str">
            <v xml:space="preserve"> - 제        조</v>
          </cell>
          <cell r="E19">
            <v>448780.51790679002</v>
          </cell>
          <cell r="F19">
            <v>27666.673888888887</v>
          </cell>
          <cell r="G19">
            <v>33849.333461688897</v>
          </cell>
          <cell r="H19">
            <v>17902.125333333333</v>
          </cell>
          <cell r="I19">
            <v>17339.591444444446</v>
          </cell>
          <cell r="J19">
            <v>46039.058555555559</v>
          </cell>
          <cell r="K19">
            <v>167.44377777777868</v>
          </cell>
          <cell r="L19">
            <v>11912.586444444443</v>
          </cell>
          <cell r="M19">
            <v>23600.76933333333</v>
          </cell>
          <cell r="N19">
            <v>10766.217444444443</v>
          </cell>
          <cell r="O19">
            <v>30652.649222222219</v>
          </cell>
          <cell r="P19">
            <v>14851.548325359781</v>
          </cell>
          <cell r="Q19">
            <v>13922.378833060506</v>
          </cell>
          <cell r="R19">
            <v>24019.169444444444</v>
          </cell>
          <cell r="S19">
            <v>20460.383777777777</v>
          </cell>
          <cell r="T19">
            <v>11162.640666666668</v>
          </cell>
          <cell r="U19">
            <v>5686.7377777777774</v>
          </cell>
          <cell r="V19">
            <v>11588.416620014093</v>
          </cell>
          <cell r="W19">
            <v>0</v>
          </cell>
          <cell r="X19">
            <v>0</v>
          </cell>
          <cell r="Y19">
            <v>0</v>
          </cell>
          <cell r="Z19">
            <v>321587.72435123444</v>
          </cell>
          <cell r="AA19">
            <v>0</v>
          </cell>
          <cell r="AB19">
            <v>23534.010555555556</v>
          </cell>
          <cell r="AC19">
            <v>58123.188333333339</v>
          </cell>
          <cell r="AD19">
            <v>34313.575666666664</v>
          </cell>
          <cell r="AE19">
            <v>115970.77455555557</v>
          </cell>
          <cell r="AF19">
            <v>3075.8240000000001</v>
          </cell>
          <cell r="AG19">
            <v>5302.2790000000005</v>
          </cell>
          <cell r="AH19">
            <v>5634.36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11222.019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26771.128000000004</v>
          </cell>
          <cell r="F20">
            <v>2327.6220000000003</v>
          </cell>
          <cell r="G20">
            <v>1945.135</v>
          </cell>
          <cell r="H20">
            <v>1302.461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21594.627000000004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-14097.802</v>
          </cell>
          <cell r="AR20">
            <v>855.83600000000001</v>
          </cell>
          <cell r="AS20">
            <v>0</v>
          </cell>
          <cell r="AT20">
            <v>7761.0880000000006</v>
          </cell>
          <cell r="AU20">
            <v>-299.26699999999983</v>
          </cell>
        </row>
        <row r="21">
          <cell r="D21" t="str">
            <v>영업이익 I</v>
          </cell>
          <cell r="E21">
            <v>4100995.5092629623</v>
          </cell>
          <cell r="F21">
            <v>524412.66908205894</v>
          </cell>
          <cell r="G21">
            <v>387612.90209828422</v>
          </cell>
          <cell r="H21">
            <v>132595.25919305999</v>
          </cell>
          <cell r="I21">
            <v>110625.26776141796</v>
          </cell>
          <cell r="J21">
            <v>222145.46281991506</v>
          </cell>
          <cell r="K21">
            <v>262683.94872244686</v>
          </cell>
          <cell r="L21">
            <v>115182.50597613853</v>
          </cell>
          <cell r="M21">
            <v>164107.26125668999</v>
          </cell>
          <cell r="N21">
            <v>106818.06731510581</v>
          </cell>
          <cell r="O21">
            <v>145206.20337555415</v>
          </cell>
          <cell r="P21">
            <v>99040.366540709685</v>
          </cell>
          <cell r="Q21">
            <v>156776.00863590895</v>
          </cell>
          <cell r="R21">
            <v>399794.82460005872</v>
          </cell>
          <cell r="S21">
            <v>175602.75045370439</v>
          </cell>
          <cell r="T21">
            <v>232892.80686623821</v>
          </cell>
          <cell r="U21">
            <v>128619.65173588287</v>
          </cell>
          <cell r="V21">
            <v>190511.52269973417</v>
          </cell>
          <cell r="W21">
            <v>0</v>
          </cell>
          <cell r="X21">
            <v>0</v>
          </cell>
          <cell r="Y21">
            <v>0</v>
          </cell>
          <cell r="Z21">
            <v>3554627.4791329023</v>
          </cell>
          <cell r="AA21">
            <v>224345.42280815827</v>
          </cell>
          <cell r="AB21">
            <v>135070.7329390682</v>
          </cell>
          <cell r="AC21">
            <v>58832.742409066544</v>
          </cell>
          <cell r="AD21">
            <v>75482.347307099088</v>
          </cell>
          <cell r="AE21">
            <v>269385.82265523402</v>
          </cell>
          <cell r="AF21">
            <v>9314.1759999999995</v>
          </cell>
          <cell r="AG21">
            <v>19069.720999999998</v>
          </cell>
          <cell r="AH21">
            <v>23089.306666666667</v>
          </cell>
          <cell r="AI21">
            <v>72476.335999999996</v>
          </cell>
          <cell r="AJ21">
            <v>4057.6080000000002</v>
          </cell>
          <cell r="AK21">
            <v>0</v>
          </cell>
          <cell r="AL21">
            <v>128007.14766666669</v>
          </cell>
          <cell r="AM21">
            <v>-4166.2199999999993</v>
          </cell>
          <cell r="AN21">
            <v>-1166.5140000000001</v>
          </cell>
          <cell r="AO21">
            <v>-570.67200000000003</v>
          </cell>
          <cell r="AP21">
            <v>-407.20500000000004</v>
          </cell>
          <cell r="AQ21">
            <v>6122.8019999999997</v>
          </cell>
          <cell r="AR21">
            <v>-855.83600000000001</v>
          </cell>
          <cell r="AS21">
            <v>-68335.63</v>
          </cell>
          <cell r="AT21">
            <v>-5991.0880000000006</v>
          </cell>
          <cell r="AU21">
            <v>-75370.363000000012</v>
          </cell>
        </row>
        <row r="22">
          <cell r="D22" t="str">
            <v>공    통    비</v>
          </cell>
          <cell r="E22">
            <v>1330334.9379380113</v>
          </cell>
          <cell r="F22">
            <v>172515.76318973547</v>
          </cell>
          <cell r="G22">
            <v>137542.38640525492</v>
          </cell>
          <cell r="H22">
            <v>95880.980757938232</v>
          </cell>
          <cell r="I22">
            <v>63123.150151817397</v>
          </cell>
          <cell r="J22">
            <v>97908.849673661389</v>
          </cell>
          <cell r="K22">
            <v>90272.483315453239</v>
          </cell>
          <cell r="L22">
            <v>58363.500038110826</v>
          </cell>
          <cell r="M22">
            <v>83896.072680702666</v>
          </cell>
          <cell r="N22">
            <v>48989.546831697116</v>
          </cell>
          <cell r="O22">
            <v>56896.244071391993</v>
          </cell>
          <cell r="P22">
            <v>49991.114231703097</v>
          </cell>
          <cell r="Q22">
            <v>63154.24706945887</v>
          </cell>
          <cell r="R22">
            <v>106565.78646601347</v>
          </cell>
          <cell r="S22">
            <v>48098.141283133213</v>
          </cell>
          <cell r="T22">
            <v>35590.352307341265</v>
          </cell>
          <cell r="U22">
            <v>26740.929240164696</v>
          </cell>
          <cell r="V22">
            <v>44049.314035257012</v>
          </cell>
          <cell r="W22">
            <v>0</v>
          </cell>
          <cell r="X22">
            <v>0</v>
          </cell>
          <cell r="Y22">
            <v>0</v>
          </cell>
          <cell r="Z22">
            <v>1279578.8617488348</v>
          </cell>
          <cell r="AA22">
            <v>0</v>
          </cell>
          <cell r="AB22">
            <v>17134.695253099886</v>
          </cell>
          <cell r="AC22">
            <v>17264.937823838532</v>
          </cell>
          <cell r="AD22">
            <v>16356.443112237994</v>
          </cell>
          <cell r="AE22">
            <v>50756.076189176412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287303.26333333337</v>
          </cell>
          <cell r="F23">
            <v>30495.937419936312</v>
          </cell>
          <cell r="G23">
            <v>24313.627525098651</v>
          </cell>
          <cell r="H23">
            <v>16949.062131443396</v>
          </cell>
          <cell r="I23">
            <v>11158.398520730669</v>
          </cell>
          <cell r="J23">
            <v>20742.278960017036</v>
          </cell>
          <cell r="K23">
            <v>19124.492194359089</v>
          </cell>
          <cell r="L23">
            <v>12364.479849456578</v>
          </cell>
          <cell r="M23">
            <v>17773.630769774347</v>
          </cell>
          <cell r="N23">
            <v>10378.580178347635</v>
          </cell>
          <cell r="O23">
            <v>12053.637339623492</v>
          </cell>
          <cell r="P23">
            <v>10590.765189992926</v>
          </cell>
          <cell r="Q23">
            <v>13379.41375668056</v>
          </cell>
          <cell r="R23">
            <v>15195.437865135182</v>
          </cell>
          <cell r="S23">
            <v>6858.4143329101016</v>
          </cell>
          <cell r="T23">
            <v>5074.9026025998792</v>
          </cell>
          <cell r="U23">
            <v>3813.0449011840337</v>
          </cell>
          <cell r="V23">
            <v>6281.0836068670806</v>
          </cell>
          <cell r="W23">
            <v>0</v>
          </cell>
          <cell r="X23">
            <v>0</v>
          </cell>
          <cell r="Y23">
            <v>0</v>
          </cell>
          <cell r="Z23">
            <v>236547.18714415695</v>
          </cell>
          <cell r="AA23">
            <v>0</v>
          </cell>
          <cell r="AB23">
            <v>17134.695253099886</v>
          </cell>
          <cell r="AC23">
            <v>17264.937823838532</v>
          </cell>
          <cell r="AD23">
            <v>16356.443112237994</v>
          </cell>
          <cell r="AE23">
            <v>50756.076189176412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375395.34500000009</v>
          </cell>
          <cell r="F24">
            <v>51114.057980933489</v>
          </cell>
          <cell r="G24">
            <v>40751.925409981654</v>
          </cell>
          <cell r="H24">
            <v>28408.221481418925</v>
          </cell>
          <cell r="I24">
            <v>18702.524900583332</v>
          </cell>
          <cell r="J24">
            <v>27772.8588122644</v>
          </cell>
          <cell r="K24">
            <v>25606.724439200741</v>
          </cell>
          <cell r="L24">
            <v>16555.410994518981</v>
          </cell>
          <cell r="M24">
            <v>23797.989550799859</v>
          </cell>
          <cell r="N24">
            <v>13896.392123576859</v>
          </cell>
          <cell r="O24">
            <v>16139.208649777342</v>
          </cell>
          <cell r="P24">
            <v>14180.497085324927</v>
          </cell>
          <cell r="Q24">
            <v>17914.355986216669</v>
          </cell>
          <cell r="R24">
            <v>32884.910756710349</v>
          </cell>
          <cell r="S24">
            <v>14842.503735135728</v>
          </cell>
          <cell r="T24">
            <v>10982.751577590649</v>
          </cell>
          <cell r="U24">
            <v>8251.9268216987875</v>
          </cell>
          <cell r="V24">
            <v>13593.084694267396</v>
          </cell>
          <cell r="W24">
            <v>0</v>
          </cell>
          <cell r="X24">
            <v>0</v>
          </cell>
          <cell r="Y24">
            <v>0</v>
          </cell>
          <cell r="Z24">
            <v>375395.34500000009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667636.32960467786</v>
          </cell>
          <cell r="F25">
            <v>90905.767788865676</v>
          </cell>
          <cell r="G25">
            <v>72476.833470174621</v>
          </cell>
          <cell r="H25">
            <v>50523.697145075923</v>
          </cell>
          <cell r="I25">
            <v>33262.226730503397</v>
          </cell>
          <cell r="J25">
            <v>49393.711901379953</v>
          </cell>
          <cell r="K25">
            <v>45541.266681893409</v>
          </cell>
          <cell r="L25">
            <v>29443.609194135264</v>
          </cell>
          <cell r="M25">
            <v>42324.452360128467</v>
          </cell>
          <cell r="N25">
            <v>24714.574529772624</v>
          </cell>
          <cell r="O25">
            <v>28703.398081991163</v>
          </cell>
          <cell r="P25">
            <v>25219.851956385246</v>
          </cell>
          <cell r="Q25">
            <v>31860.477326561635</v>
          </cell>
          <cell r="R25">
            <v>58485.437844167944</v>
          </cell>
          <cell r="S25">
            <v>26397.223215087382</v>
          </cell>
          <cell r="T25">
            <v>19532.698127150736</v>
          </cell>
          <cell r="U25">
            <v>14675.957517281873</v>
          </cell>
          <cell r="V25">
            <v>24175.145734122536</v>
          </cell>
          <cell r="W25">
            <v>0</v>
          </cell>
          <cell r="X25">
            <v>0</v>
          </cell>
          <cell r="Y25">
            <v>0</v>
          </cell>
          <cell r="Z25">
            <v>667636.32960467786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2770660.571324951</v>
          </cell>
          <cell r="F26">
            <v>351896.90589232347</v>
          </cell>
          <cell r="G26">
            <v>250070.5156930293</v>
          </cell>
          <cell r="H26">
            <v>36714.278435121756</v>
          </cell>
          <cell r="I26">
            <v>47502.117609600558</v>
          </cell>
          <cell r="J26">
            <v>124236.61314625367</v>
          </cell>
          <cell r="K26">
            <v>172411.46540699364</v>
          </cell>
          <cell r="L26">
            <v>56819.005938027709</v>
          </cell>
          <cell r="M26">
            <v>80211.188575987326</v>
          </cell>
          <cell r="N26">
            <v>57828.520483408698</v>
          </cell>
          <cell r="O26">
            <v>88309.959304162156</v>
          </cell>
          <cell r="P26">
            <v>49049.252309006588</v>
          </cell>
          <cell r="Q26">
            <v>93621.761566450077</v>
          </cell>
          <cell r="R26">
            <v>293229.03813404526</v>
          </cell>
          <cell r="S26">
            <v>127504.60917057117</v>
          </cell>
          <cell r="T26">
            <v>197302.45455889695</v>
          </cell>
          <cell r="U26">
            <v>101878.72249571818</v>
          </cell>
          <cell r="V26">
            <v>146462.20866447716</v>
          </cell>
          <cell r="W26">
            <v>0</v>
          </cell>
          <cell r="X26">
            <v>0</v>
          </cell>
          <cell r="Y26">
            <v>0</v>
          </cell>
          <cell r="Z26">
            <v>2275048.6173840677</v>
          </cell>
          <cell r="AA26">
            <v>224345.42280815827</v>
          </cell>
          <cell r="AB26">
            <v>117936.03768596832</v>
          </cell>
          <cell r="AC26">
            <v>41567.804585228012</v>
          </cell>
          <cell r="AD26">
            <v>59125.904194861097</v>
          </cell>
          <cell r="AE26">
            <v>218629.74646605761</v>
          </cell>
          <cell r="AF26">
            <v>9314.1759999999995</v>
          </cell>
          <cell r="AG26">
            <v>19069.720999999998</v>
          </cell>
          <cell r="AH26">
            <v>23089.306666666667</v>
          </cell>
          <cell r="AI26">
            <v>72476.335999999996</v>
          </cell>
          <cell r="AJ26">
            <v>4057.6080000000002</v>
          </cell>
          <cell r="AK26">
            <v>0</v>
          </cell>
          <cell r="AL26">
            <v>128007.14766666669</v>
          </cell>
          <cell r="AM26">
            <v>-4166.2199999999993</v>
          </cell>
          <cell r="AN26">
            <v>-1166.5140000000001</v>
          </cell>
          <cell r="AO26">
            <v>-570.67200000000003</v>
          </cell>
          <cell r="AP26">
            <v>-407.20500000000004</v>
          </cell>
          <cell r="AQ26">
            <v>6122.8019999999997</v>
          </cell>
          <cell r="AR26">
            <v>-855.83600000000001</v>
          </cell>
          <cell r="AS26">
            <v>-68335.63</v>
          </cell>
          <cell r="AT26">
            <v>-5991.0880000000006</v>
          </cell>
          <cell r="AU26">
            <v>-75370.363000000012</v>
          </cell>
        </row>
        <row r="27">
          <cell r="E27">
            <v>2770660.5713249571</v>
          </cell>
          <cell r="F27">
            <v>351896.90589232347</v>
          </cell>
          <cell r="G27">
            <v>250070.5156930293</v>
          </cell>
          <cell r="H27">
            <v>36714.278435121756</v>
          </cell>
          <cell r="I27">
            <v>47502.117609600573</v>
          </cell>
          <cell r="J27">
            <v>124236.61314625364</v>
          </cell>
          <cell r="K27">
            <v>172411.46540699364</v>
          </cell>
          <cell r="L27">
            <v>56819.005938027709</v>
          </cell>
          <cell r="M27">
            <v>80211.188575987355</v>
          </cell>
          <cell r="N27">
            <v>57828.520483408698</v>
          </cell>
          <cell r="O27">
            <v>88309.959304162156</v>
          </cell>
          <cell r="P27">
            <v>49049.252309006588</v>
          </cell>
          <cell r="Q27">
            <v>93621.761566450077</v>
          </cell>
          <cell r="R27">
            <v>293229.03813404532</v>
          </cell>
          <cell r="S27">
            <v>127504.60917057117</v>
          </cell>
          <cell r="T27">
            <v>197302.45455889695</v>
          </cell>
          <cell r="U27">
            <v>101878.72249571818</v>
          </cell>
          <cell r="V27">
            <v>146462.20866447716</v>
          </cell>
          <cell r="W27">
            <v>0</v>
          </cell>
          <cell r="X27">
            <v>0</v>
          </cell>
          <cell r="Y27">
            <v>0</v>
          </cell>
          <cell r="Z27">
            <v>2275048.6173840743</v>
          </cell>
          <cell r="AA27">
            <v>224345.42280815827</v>
          </cell>
          <cell r="AB27">
            <v>117936.03768596832</v>
          </cell>
          <cell r="AC27">
            <v>41567.804585228012</v>
          </cell>
          <cell r="AD27">
            <v>59125.904194861097</v>
          </cell>
          <cell r="AE27">
            <v>218629.74646605743</v>
          </cell>
          <cell r="AF27">
            <v>9314.1759999999995</v>
          </cell>
          <cell r="AG27">
            <v>19069.720999999998</v>
          </cell>
          <cell r="AH27">
            <v>23089.306666666667</v>
          </cell>
          <cell r="AI27">
            <v>72476.335999999996</v>
          </cell>
          <cell r="AJ27">
            <v>4057.6080000000002</v>
          </cell>
          <cell r="AK27">
            <v>0</v>
          </cell>
          <cell r="AL27">
            <v>128007.14766666666</v>
          </cell>
          <cell r="AM27">
            <v>-4166.2199999999993</v>
          </cell>
          <cell r="AN27">
            <v>-1166.5140000000001</v>
          </cell>
          <cell r="AO27">
            <v>-570.67200000000003</v>
          </cell>
          <cell r="AP27">
            <v>-407.20500000000004</v>
          </cell>
          <cell r="AQ27">
            <v>6122.8019999999997</v>
          </cell>
          <cell r="AR27">
            <v>-855.83600000000001</v>
          </cell>
          <cell r="AS27">
            <v>-68335.63</v>
          </cell>
          <cell r="AT27">
            <v>-5991.0880000000006</v>
          </cell>
          <cell r="AU27">
            <v>-75370.363000000012</v>
          </cell>
        </row>
        <row r="28">
          <cell r="E28">
            <v>-6.0535967350006104E-9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-6.5192580223083496E-9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417595.66465250222</v>
          </cell>
          <cell r="F30">
            <v>41000</v>
          </cell>
          <cell r="G30">
            <v>32000</v>
          </cell>
          <cell r="H30">
            <v>24000</v>
          </cell>
          <cell r="I30">
            <v>16000</v>
          </cell>
          <cell r="J30">
            <v>21000</v>
          </cell>
          <cell r="K30">
            <v>21000</v>
          </cell>
          <cell r="L30">
            <v>14000</v>
          </cell>
          <cell r="M30">
            <v>19000</v>
          </cell>
          <cell r="N30">
            <v>12000</v>
          </cell>
          <cell r="O30">
            <v>13000</v>
          </cell>
          <cell r="P30">
            <v>12000</v>
          </cell>
          <cell r="Q30">
            <v>14000</v>
          </cell>
          <cell r="R30">
            <v>26000</v>
          </cell>
          <cell r="S30">
            <v>12000</v>
          </cell>
          <cell r="T30">
            <v>8000</v>
          </cell>
          <cell r="U30">
            <v>6000</v>
          </cell>
          <cell r="V30">
            <v>9000</v>
          </cell>
          <cell r="W30">
            <v>0</v>
          </cell>
          <cell r="X30">
            <v>0</v>
          </cell>
          <cell r="Y30">
            <v>0</v>
          </cell>
          <cell r="Z30">
            <v>300000</v>
          </cell>
          <cell r="AA30">
            <v>12600</v>
          </cell>
          <cell r="AB30">
            <v>43768.423655913983</v>
          </cell>
          <cell r="AC30">
            <v>38403.928399999997</v>
          </cell>
          <cell r="AD30">
            <v>22823.312596588261</v>
          </cell>
          <cell r="AE30">
            <v>104995.66465250224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46349454.45032721</v>
          </cell>
          <cell r="F31">
            <v>4162500.1900000004</v>
          </cell>
          <cell r="G31">
            <v>3318654.4751580795</v>
          </cell>
          <cell r="H31">
            <v>2313438.4547999999</v>
          </cell>
          <cell r="I31">
            <v>1523049.9500000002</v>
          </cell>
          <cell r="J31">
            <v>2261697.361732</v>
          </cell>
          <cell r="K31">
            <v>2085297.0700000003</v>
          </cell>
          <cell r="L31">
            <v>1348198.6</v>
          </cell>
          <cell r="M31">
            <v>1938001.79324</v>
          </cell>
          <cell r="N31">
            <v>1131660</v>
          </cell>
          <cell r="O31">
            <v>1314304.9431960001</v>
          </cell>
          <cell r="P31">
            <v>1154796.2369565216</v>
          </cell>
          <cell r="Q31">
            <v>1458865</v>
          </cell>
          <cell r="R31">
            <v>2678000</v>
          </cell>
          <cell r="S31">
            <v>1208707.0966000003</v>
          </cell>
          <cell r="T31">
            <v>894386.15000000014</v>
          </cell>
          <cell r="U31">
            <v>672000</v>
          </cell>
          <cell r="V31">
            <v>1106960</v>
          </cell>
          <cell r="W31">
            <v>0</v>
          </cell>
          <cell r="X31">
            <v>0</v>
          </cell>
          <cell r="Y31">
            <v>0</v>
          </cell>
          <cell r="Z31">
            <v>30570517.321682598</v>
          </cell>
          <cell r="AA31">
            <v>13712918.880000001</v>
          </cell>
          <cell r="AB31">
            <v>649349.17849462363</v>
          </cell>
          <cell r="AC31">
            <v>654284.94799999997</v>
          </cell>
          <cell r="AD31">
            <v>619855.95548332285</v>
          </cell>
          <cell r="AE31">
            <v>1923490.0819779467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68570</v>
          </cell>
          <cell r="AJ31">
            <v>5521.5</v>
          </cell>
          <cell r="AK31">
            <v>0</v>
          </cell>
          <cell r="AL31">
            <v>140758.16666666669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41339348.26306425</v>
          </cell>
          <cell r="F32">
            <v>3561064.5289179413</v>
          </cell>
          <cell r="G32">
            <v>2861288.9780597952</v>
          </cell>
          <cell r="H32">
            <v>2126763.41460694</v>
          </cell>
          <cell r="I32">
            <v>1374904.4342385822</v>
          </cell>
          <cell r="J32">
            <v>1989245.3929120849</v>
          </cell>
          <cell r="K32">
            <v>1770095.5792775534</v>
          </cell>
          <cell r="L32">
            <v>1192588.8250238616</v>
          </cell>
          <cell r="M32">
            <v>1716334.7069833099</v>
          </cell>
          <cell r="N32">
            <v>995063.59668489418</v>
          </cell>
          <cell r="O32">
            <v>1129555.5038204459</v>
          </cell>
          <cell r="P32">
            <v>1008250.742415812</v>
          </cell>
          <cell r="Q32">
            <v>1263551.1263640912</v>
          </cell>
          <cell r="R32">
            <v>2228528.3343999414</v>
          </cell>
          <cell r="S32">
            <v>995968.53214629588</v>
          </cell>
          <cell r="T32">
            <v>649013.45413376193</v>
          </cell>
          <cell r="U32">
            <v>528498.69826411712</v>
          </cell>
          <cell r="V32">
            <v>899203.54730026587</v>
          </cell>
          <cell r="W32">
            <v>0</v>
          </cell>
          <cell r="X32">
            <v>0</v>
          </cell>
          <cell r="Y32">
            <v>0</v>
          </cell>
          <cell r="Z32">
            <v>26289919.395549696</v>
          </cell>
          <cell r="AA32">
            <v>13342736.269191843</v>
          </cell>
          <cell r="AB32">
            <v>514278.44555555546</v>
          </cell>
          <cell r="AC32">
            <v>595452.20559093344</v>
          </cell>
          <cell r="AD32">
            <v>544373.6081762237</v>
          </cell>
          <cell r="AE32">
            <v>1654104.2593227127</v>
          </cell>
          <cell r="AF32">
            <v>3185.8240000000001</v>
          </cell>
          <cell r="AG32">
            <v>5930.2790000000005</v>
          </cell>
          <cell r="AH32">
            <v>6077.36</v>
          </cell>
          <cell r="AI32">
            <v>-3906.3359999999993</v>
          </cell>
          <cell r="AJ32">
            <v>1463.8920000000001</v>
          </cell>
          <cell r="AK32">
            <v>0</v>
          </cell>
          <cell r="AL32">
            <v>12751.019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5010106.1872629616</v>
          </cell>
          <cell r="F33">
            <v>601435.66108205914</v>
          </cell>
          <cell r="G33">
            <v>457365.49709828431</v>
          </cell>
          <cell r="H33">
            <v>186675.04019305995</v>
          </cell>
          <cell r="I33">
            <v>148145.51576141804</v>
          </cell>
          <cell r="J33">
            <v>272451.96881991508</v>
          </cell>
          <cell r="K33">
            <v>315201.49072244694</v>
          </cell>
          <cell r="L33">
            <v>155609.77497613849</v>
          </cell>
          <cell r="M33">
            <v>221667.08625669009</v>
          </cell>
          <cell r="N33">
            <v>136596.40331510582</v>
          </cell>
          <cell r="O33">
            <v>184749.43937555421</v>
          </cell>
          <cell r="P33">
            <v>146545.49454070965</v>
          </cell>
          <cell r="Q33">
            <v>195313.87363590882</v>
          </cell>
          <cell r="R33">
            <v>449471.66560005862</v>
          </cell>
          <cell r="S33">
            <v>212738.5644537044</v>
          </cell>
          <cell r="T33">
            <v>245372.69586623821</v>
          </cell>
          <cell r="U33">
            <v>143501.30173588288</v>
          </cell>
          <cell r="V33">
            <v>207756.45269973413</v>
          </cell>
          <cell r="W33">
            <v>0</v>
          </cell>
          <cell r="X33">
            <v>0</v>
          </cell>
          <cell r="Y33">
            <v>0</v>
          </cell>
          <cell r="Z33">
            <v>4280597.9261329025</v>
          </cell>
          <cell r="AA33">
            <v>370182.61080815829</v>
          </cell>
          <cell r="AB33">
            <v>135070.73293906817</v>
          </cell>
          <cell r="AC33">
            <v>58832.74240906653</v>
          </cell>
          <cell r="AD33">
            <v>75482.347307099146</v>
          </cell>
          <cell r="AE33">
            <v>269385.82265523402</v>
          </cell>
          <cell r="AF33">
            <v>9314.1759999999995</v>
          </cell>
          <cell r="AG33">
            <v>19069.720999999998</v>
          </cell>
          <cell r="AH33">
            <v>23089.306666666667</v>
          </cell>
          <cell r="AI33">
            <v>72476.335999999996</v>
          </cell>
          <cell r="AJ33">
            <v>4057.6080000000002</v>
          </cell>
          <cell r="AK33">
            <v>0</v>
          </cell>
          <cell r="AL33">
            <v>128007.14766666669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2239445.6159380111</v>
          </cell>
          <cell r="F34">
            <v>249538.75518973547</v>
          </cell>
          <cell r="G34">
            <v>207294.98140525492</v>
          </cell>
          <cell r="H34">
            <v>149960.76175793825</v>
          </cell>
          <cell r="I34">
            <v>100643.3981518174</v>
          </cell>
          <cell r="J34">
            <v>148215.3556736614</v>
          </cell>
          <cell r="K34">
            <v>142790.02531545324</v>
          </cell>
          <cell r="L34">
            <v>98790.769038110826</v>
          </cell>
          <cell r="M34">
            <v>141455.89768070268</v>
          </cell>
          <cell r="N34">
            <v>78767.882831697105</v>
          </cell>
          <cell r="O34">
            <v>96439.480071391998</v>
          </cell>
          <cell r="P34">
            <v>97496.242231703101</v>
          </cell>
          <cell r="Q34">
            <v>101692.11206945888</v>
          </cell>
          <cell r="R34">
            <v>156242.62746601348</v>
          </cell>
          <cell r="S34">
            <v>85233.955283133211</v>
          </cell>
          <cell r="T34">
            <v>48070.241307341261</v>
          </cell>
          <cell r="U34">
            <v>41622.579240164698</v>
          </cell>
          <cell r="V34">
            <v>61294.244035257019</v>
          </cell>
          <cell r="W34">
            <v>0</v>
          </cell>
          <cell r="X34">
            <v>0</v>
          </cell>
          <cell r="Y34">
            <v>0</v>
          </cell>
          <cell r="Z34">
            <v>2005549.308748835</v>
          </cell>
          <cell r="AA34">
            <v>145837.18800000002</v>
          </cell>
          <cell r="AB34">
            <v>17134.695253099886</v>
          </cell>
          <cell r="AC34">
            <v>17264.937823838532</v>
          </cell>
          <cell r="AD34">
            <v>16356.443112237994</v>
          </cell>
          <cell r="AE34">
            <v>50756.076189176412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4166.2199999999993</v>
          </cell>
          <cell r="AN34">
            <v>1166.5140000000001</v>
          </cell>
          <cell r="AO34">
            <v>570.67200000000003</v>
          </cell>
          <cell r="AP34">
            <v>407.20500000000004</v>
          </cell>
          <cell r="AQ34">
            <v>-6122.8019999999997</v>
          </cell>
          <cell r="AR34">
            <v>855.83600000000001</v>
          </cell>
          <cell r="AS34">
            <v>28498.31</v>
          </cell>
          <cell r="AT34">
            <v>7761.0880000000006</v>
          </cell>
          <cell r="AU34">
            <v>37303.042999999998</v>
          </cell>
        </row>
        <row r="35">
          <cell r="D35" t="str">
            <v>영업이익</v>
          </cell>
          <cell r="E35">
            <v>2770660.5713249501</v>
          </cell>
          <cell r="F35">
            <v>351896.9058923237</v>
          </cell>
          <cell r="G35">
            <v>250070.51569302939</v>
          </cell>
          <cell r="H35">
            <v>36714.278435121698</v>
          </cell>
          <cell r="I35">
            <v>47502.117609600638</v>
          </cell>
          <cell r="J35">
            <v>124236.61314625369</v>
          </cell>
          <cell r="K35">
            <v>172411.4654069937</v>
          </cell>
          <cell r="L35">
            <v>56819.005938027665</v>
          </cell>
          <cell r="M35">
            <v>80211.188575987413</v>
          </cell>
          <cell r="N35">
            <v>57828.52048340872</v>
          </cell>
          <cell r="O35">
            <v>88309.959304162214</v>
          </cell>
          <cell r="P35">
            <v>49049.252309006552</v>
          </cell>
          <cell r="Q35">
            <v>93621.761566449946</v>
          </cell>
          <cell r="R35">
            <v>293229.03813404514</v>
          </cell>
          <cell r="S35">
            <v>127504.60917057119</v>
          </cell>
          <cell r="T35">
            <v>197302.45455889695</v>
          </cell>
          <cell r="U35">
            <v>101878.72249571819</v>
          </cell>
          <cell r="V35">
            <v>146462.2086644771</v>
          </cell>
          <cell r="W35">
            <v>0</v>
          </cell>
          <cell r="X35">
            <v>0</v>
          </cell>
          <cell r="Y35">
            <v>0</v>
          </cell>
          <cell r="Z35">
            <v>2275048.6173840677</v>
          </cell>
          <cell r="AA35">
            <v>224345.42280815827</v>
          </cell>
          <cell r="AB35">
            <v>117936.03768596829</v>
          </cell>
          <cell r="AC35">
            <v>41567.804585227997</v>
          </cell>
          <cell r="AD35">
            <v>59125.904194861156</v>
          </cell>
          <cell r="AE35">
            <v>218629.74646605761</v>
          </cell>
          <cell r="AF35">
            <v>9314.1759999999995</v>
          </cell>
          <cell r="AG35">
            <v>19069.720999999998</v>
          </cell>
          <cell r="AH35">
            <v>23089.306666666667</v>
          </cell>
          <cell r="AI35">
            <v>72476.335999999996</v>
          </cell>
          <cell r="AJ35">
            <v>4057.6080000000002</v>
          </cell>
          <cell r="AK35">
            <v>0</v>
          </cell>
          <cell r="AL35">
            <v>128007.14766666669</v>
          </cell>
          <cell r="AM35">
            <v>-4166.2199999999993</v>
          </cell>
          <cell r="AN35">
            <v>-1166.5140000000001</v>
          </cell>
          <cell r="AO35">
            <v>-570.67200000000003</v>
          </cell>
          <cell r="AP35">
            <v>-407.20500000000004</v>
          </cell>
          <cell r="AQ35">
            <v>6122.8019999999997</v>
          </cell>
          <cell r="AR35">
            <v>-855.83600000000001</v>
          </cell>
          <cell r="AS35">
            <v>-68335.63</v>
          </cell>
          <cell r="AT35">
            <v>-5991.0880000000006</v>
          </cell>
          <cell r="AU35">
            <v>-75370.362999999998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343000</v>
          </cell>
          <cell r="G7">
            <v>250000</v>
          </cell>
          <cell r="H7">
            <v>185000</v>
          </cell>
          <cell r="I7">
            <v>125000</v>
          </cell>
          <cell r="J7">
            <v>178000</v>
          </cell>
          <cell r="K7">
            <v>175000</v>
          </cell>
          <cell r="L7">
            <v>122000</v>
          </cell>
          <cell r="M7">
            <v>170000</v>
          </cell>
          <cell r="N7">
            <v>102000</v>
          </cell>
          <cell r="O7">
            <v>104000</v>
          </cell>
          <cell r="P7">
            <v>109000</v>
          </cell>
          <cell r="Q7">
            <v>107000</v>
          </cell>
          <cell r="R7">
            <v>198000</v>
          </cell>
          <cell r="S7">
            <v>95000</v>
          </cell>
          <cell r="T7">
            <v>62500</v>
          </cell>
          <cell r="U7">
            <v>40000</v>
          </cell>
          <cell r="V7">
            <v>73000</v>
          </cell>
          <cell r="W7">
            <v>0</v>
          </cell>
          <cell r="X7">
            <v>0</v>
          </cell>
          <cell r="Y7">
            <v>0</v>
          </cell>
          <cell r="Z7">
            <v>2438500</v>
          </cell>
          <cell r="AA7">
            <v>100900</v>
          </cell>
          <cell r="AB7">
            <v>436347.92243870971</v>
          </cell>
          <cell r="AC7">
            <v>241110.28549999997</v>
          </cell>
          <cell r="AD7">
            <v>185787.87891473473</v>
          </cell>
          <cell r="AE7">
            <v>863246.08685344434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373258551.4991945</v>
          </cell>
          <cell r="F8">
            <v>33933586.825999998</v>
          </cell>
          <cell r="G8">
            <v>24695039.648967493</v>
          </cell>
          <cell r="H8">
            <v>17869378.936000001</v>
          </cell>
          <cell r="I8">
            <v>11860931.220000003</v>
          </cell>
          <cell r="J8">
            <v>19170595.118836001</v>
          </cell>
          <cell r="K8">
            <v>17377498.749580018</v>
          </cell>
          <cell r="L8">
            <v>11748585.85</v>
          </cell>
          <cell r="M8">
            <v>17339981.661600001</v>
          </cell>
          <cell r="N8">
            <v>9642788.5</v>
          </cell>
          <cell r="O8">
            <v>10475229.055788001</v>
          </cell>
          <cell r="P8">
            <v>10578096.758139616</v>
          </cell>
          <cell r="Q8">
            <v>10942672</v>
          </cell>
          <cell r="R8">
            <v>20394000</v>
          </cell>
          <cell r="S8">
            <v>9337691.9565999992</v>
          </cell>
          <cell r="T8">
            <v>6935609.1830000011</v>
          </cell>
          <cell r="U8">
            <v>4480000</v>
          </cell>
          <cell r="V8">
            <v>8968928.5</v>
          </cell>
          <cell r="W8">
            <v>0</v>
          </cell>
          <cell r="X8">
            <v>0</v>
          </cell>
          <cell r="Y8">
            <v>0</v>
          </cell>
          <cell r="Z8">
            <v>245750613.96451113</v>
          </cell>
          <cell r="AA8">
            <v>110204908.87039998</v>
          </cell>
          <cell r="AB8">
            <v>6380376.4278860213</v>
          </cell>
          <cell r="AC8">
            <v>4119451.1161166662</v>
          </cell>
          <cell r="AD8">
            <v>5446727.620280724</v>
          </cell>
          <cell r="AE8">
            <v>15946555.164283412</v>
          </cell>
          <cell r="AF8">
            <v>112500</v>
          </cell>
          <cell r="AG8">
            <v>300000</v>
          </cell>
          <cell r="AH8">
            <v>260019.99999999997</v>
          </cell>
          <cell r="AI8">
            <v>618330</v>
          </cell>
          <cell r="AJ8">
            <v>49693.5</v>
          </cell>
          <cell r="AK8">
            <v>0</v>
          </cell>
          <cell r="AL8">
            <v>1340543.5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15930</v>
          </cell>
          <cell r="AU8">
            <v>15930</v>
          </cell>
        </row>
        <row r="9">
          <cell r="D9" t="str">
            <v xml:space="preserve"> - 단  위  당</v>
          </cell>
          <cell r="F9">
            <v>98931.740017492702</v>
          </cell>
          <cell r="G9">
            <v>98780.158595869972</v>
          </cell>
          <cell r="H9">
            <v>96591.237491891894</v>
          </cell>
          <cell r="I9">
            <v>94887.449760000018</v>
          </cell>
          <cell r="J9">
            <v>107699.97257773034</v>
          </cell>
          <cell r="K9">
            <v>99299.992854742974</v>
          </cell>
          <cell r="L9">
            <v>96299.884016393436</v>
          </cell>
          <cell r="M9">
            <v>101999.89212705883</v>
          </cell>
          <cell r="N9">
            <v>94537.142156862741</v>
          </cell>
          <cell r="O9">
            <v>100723.35630565386</v>
          </cell>
          <cell r="P9">
            <v>97046.759248987306</v>
          </cell>
          <cell r="Q9">
            <v>102267.96261682243</v>
          </cell>
          <cell r="R9">
            <v>103000</v>
          </cell>
          <cell r="S9">
            <v>98291.494279999999</v>
          </cell>
          <cell r="T9">
            <v>110969.74692800002</v>
          </cell>
          <cell r="U9">
            <v>112000</v>
          </cell>
          <cell r="V9">
            <v>122862.03424657535</v>
          </cell>
          <cell r="W9">
            <v>0</v>
          </cell>
          <cell r="X9">
            <v>0</v>
          </cell>
          <cell r="Y9">
            <v>0</v>
          </cell>
          <cell r="Z9">
            <v>100779.41930059918</v>
          </cell>
          <cell r="AA9">
            <v>1092219.1166541129</v>
          </cell>
          <cell r="AB9">
            <v>14622.222542568015</v>
          </cell>
          <cell r="AC9">
            <v>17085.339630260885</v>
          </cell>
          <cell r="AD9">
            <v>29316.915894068843</v>
          </cell>
          <cell r="AE9">
            <v>18472.780134352004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334525980.30784655</v>
          </cell>
          <cell r="F10">
            <v>29937658.968470298</v>
          </cell>
          <cell r="G10">
            <v>22566418.363939684</v>
          </cell>
          <cell r="H10">
            <v>16306260.351958875</v>
          </cell>
          <cell r="I10">
            <v>10604512.626697011</v>
          </cell>
          <cell r="J10">
            <v>16694405.789958403</v>
          </cell>
          <cell r="K10">
            <v>15125557.409644388</v>
          </cell>
          <cell r="L10">
            <v>10276546.053919965</v>
          </cell>
          <cell r="M10">
            <v>15244098.156431809</v>
          </cell>
          <cell r="N10">
            <v>8482890.8576008976</v>
          </cell>
          <cell r="O10">
            <v>9009095.1705308184</v>
          </cell>
          <cell r="P10">
            <v>9118557.8486262597</v>
          </cell>
          <cell r="Q10">
            <v>9667272.4179794956</v>
          </cell>
          <cell r="R10">
            <v>17103825.615452826</v>
          </cell>
          <cell r="S10">
            <v>7870714.0755122788</v>
          </cell>
          <cell r="T10">
            <v>5092346.8164616823</v>
          </cell>
          <cell r="U10">
            <v>3616150.3513606484</v>
          </cell>
          <cell r="V10">
            <v>7273201.8426131355</v>
          </cell>
          <cell r="W10">
            <v>0</v>
          </cell>
          <cell r="X10">
            <v>0</v>
          </cell>
          <cell r="Y10">
            <v>0</v>
          </cell>
          <cell r="Z10">
            <v>213989512.71715847</v>
          </cell>
          <cell r="AA10">
            <v>107229381.94053583</v>
          </cell>
          <cell r="AB10">
            <v>4937509.7590099992</v>
          </cell>
          <cell r="AC10">
            <v>3683200.0312720002</v>
          </cell>
          <cell r="AD10">
            <v>4340849.4298702627</v>
          </cell>
          <cell r="AE10">
            <v>12961559.220152263</v>
          </cell>
          <cell r="AF10">
            <v>1223.4000000000001</v>
          </cell>
          <cell r="AG10">
            <v>40206.229999999996</v>
          </cell>
          <cell r="AH10">
            <v>22241.559999999998</v>
          </cell>
          <cell r="AI10">
            <v>1695</v>
          </cell>
          <cell r="AJ10">
            <v>1299</v>
          </cell>
          <cell r="AK10">
            <v>0</v>
          </cell>
          <cell r="AL10">
            <v>66665.19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278861.24</v>
          </cell>
          <cell r="AT10">
            <v>0</v>
          </cell>
          <cell r="AU10">
            <v>278861.24</v>
          </cell>
        </row>
        <row r="11">
          <cell r="D11" t="str">
            <v xml:space="preserve"> - 단  위  당</v>
          </cell>
          <cell r="F11">
            <v>87281.804572799694</v>
          </cell>
          <cell r="G11">
            <v>90265.673455758733</v>
          </cell>
          <cell r="H11">
            <v>88141.947848426353</v>
          </cell>
          <cell r="I11">
            <v>84836.101013576088</v>
          </cell>
          <cell r="J11">
            <v>93788.796572800013</v>
          </cell>
          <cell r="K11">
            <v>86431.756626539354</v>
          </cell>
          <cell r="L11">
            <v>84233.984048524304</v>
          </cell>
          <cell r="M11">
            <v>89671.165626069473</v>
          </cell>
          <cell r="N11">
            <v>83165.596643146055</v>
          </cell>
          <cell r="O11">
            <v>86625.91510125788</v>
          </cell>
          <cell r="P11">
            <v>83656.494024094136</v>
          </cell>
          <cell r="Q11">
            <v>90348.340354948567</v>
          </cell>
          <cell r="R11">
            <v>86382.95765380215</v>
          </cell>
          <cell r="S11">
            <v>82849.621847497678</v>
          </cell>
          <cell r="T11">
            <v>81477.549063386919</v>
          </cell>
          <cell r="U11">
            <v>90403.758784016201</v>
          </cell>
          <cell r="V11">
            <v>99632.901953604596</v>
          </cell>
          <cell r="W11">
            <v>0</v>
          </cell>
          <cell r="X11">
            <v>0</v>
          </cell>
          <cell r="Y11">
            <v>0</v>
          </cell>
          <cell r="Z11">
            <v>87754.567446035857</v>
          </cell>
          <cell r="AA11">
            <v>1062729.2561004541</v>
          </cell>
          <cell r="AB11">
            <v>11315.534015642143</v>
          </cell>
          <cell r="AC11">
            <v>15275.997138131217</v>
          </cell>
          <cell r="AD11">
            <v>23364.545928544925</v>
          </cell>
          <cell r="AE11">
            <v>15014.906429981631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38732571.191347957</v>
          </cell>
          <cell r="F12">
            <v>3995927.8575296998</v>
          </cell>
          <cell r="G12">
            <v>2128621.2850278094</v>
          </cell>
          <cell r="H12">
            <v>1563118.5840411261</v>
          </cell>
          <cell r="I12">
            <v>1256418.5933029912</v>
          </cell>
          <cell r="J12">
            <v>2476189.328877598</v>
          </cell>
          <cell r="K12">
            <v>2251941.3399356306</v>
          </cell>
          <cell r="L12">
            <v>1472039.7960800342</v>
          </cell>
          <cell r="M12">
            <v>2095883.5051681921</v>
          </cell>
          <cell r="N12">
            <v>1159897.6423991024</v>
          </cell>
          <cell r="O12">
            <v>1466133.8852571826</v>
          </cell>
          <cell r="P12">
            <v>1459538.9095133562</v>
          </cell>
          <cell r="Q12">
            <v>1275399.5820205044</v>
          </cell>
          <cell r="R12">
            <v>3290174.384547174</v>
          </cell>
          <cell r="S12">
            <v>1466977.8810877204</v>
          </cell>
          <cell r="T12">
            <v>1843262.3665383188</v>
          </cell>
          <cell r="U12">
            <v>863849.6486393516</v>
          </cell>
          <cell r="V12">
            <v>1695726.6573868645</v>
          </cell>
          <cell r="W12">
            <v>0</v>
          </cell>
          <cell r="X12">
            <v>0</v>
          </cell>
          <cell r="Y12">
            <v>0</v>
          </cell>
          <cell r="Z12">
            <v>31761101.24735266</v>
          </cell>
          <cell r="AA12">
            <v>2975526.9298641533</v>
          </cell>
          <cell r="AB12">
            <v>1442866.6688760221</v>
          </cell>
          <cell r="AC12">
            <v>436251.08484466607</v>
          </cell>
          <cell r="AD12">
            <v>1105878.1904104613</v>
          </cell>
          <cell r="AE12">
            <v>2984995.944131149</v>
          </cell>
          <cell r="AF12">
            <v>111276.6</v>
          </cell>
          <cell r="AG12">
            <v>259793.77000000002</v>
          </cell>
          <cell r="AH12">
            <v>237778.43999999997</v>
          </cell>
          <cell r="AI12">
            <v>616635</v>
          </cell>
          <cell r="AJ12">
            <v>48394.5</v>
          </cell>
          <cell r="AK12">
            <v>0</v>
          </cell>
          <cell r="AL12">
            <v>1273878.31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-278861.24</v>
          </cell>
          <cell r="AT12">
            <v>15930</v>
          </cell>
          <cell r="AU12">
            <v>-262931.24</v>
          </cell>
        </row>
        <row r="13">
          <cell r="D13" t="str">
            <v>판 관 비</v>
          </cell>
          <cell r="E13">
            <v>7343533.8699999992</v>
          </cell>
          <cell r="F13">
            <v>617489.85999999987</v>
          </cell>
          <cell r="G13">
            <v>560814.94999999995</v>
          </cell>
          <cell r="H13">
            <v>452296.9</v>
          </cell>
          <cell r="I13">
            <v>318545.12</v>
          </cell>
          <cell r="J13">
            <v>415536.5</v>
          </cell>
          <cell r="K13">
            <v>440183.18999999994</v>
          </cell>
          <cell r="L13">
            <v>340959.62</v>
          </cell>
          <cell r="M13">
            <v>445803.32000000007</v>
          </cell>
          <cell r="N13">
            <v>251714.17999999996</v>
          </cell>
          <cell r="O13">
            <v>328726.15000000002</v>
          </cell>
          <cell r="P13">
            <v>350653.27999999997</v>
          </cell>
          <cell r="Q13">
            <v>326559.71000000002</v>
          </cell>
          <cell r="R13">
            <v>409823.72000000009</v>
          </cell>
          <cell r="S13">
            <v>276874.62999999995</v>
          </cell>
          <cell r="T13">
            <v>106095.25999999998</v>
          </cell>
          <cell r="U13">
            <v>110658.02</v>
          </cell>
          <cell r="V13">
            <v>141378.93</v>
          </cell>
          <cell r="W13">
            <v>0</v>
          </cell>
          <cell r="X13">
            <v>0</v>
          </cell>
          <cell r="Y13">
            <v>0</v>
          </cell>
          <cell r="Z13">
            <v>5894113.3399999989</v>
          </cell>
          <cell r="AA13">
            <v>1111072.9200000002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45540.47</v>
          </cell>
          <cell r="AN13">
            <v>8707.66</v>
          </cell>
          <cell r="AO13">
            <v>2496.12</v>
          </cell>
          <cell r="AP13">
            <v>10484.19</v>
          </cell>
          <cell r="AQ13">
            <v>71631</v>
          </cell>
          <cell r="AR13">
            <v>0</v>
          </cell>
          <cell r="AS13">
            <v>199488.17</v>
          </cell>
          <cell r="AT13">
            <v>0</v>
          </cell>
          <cell r="AU13">
            <v>338347.61</v>
          </cell>
        </row>
        <row r="14">
          <cell r="D14" t="str">
            <v xml:space="preserve"> - 노   무   비</v>
          </cell>
          <cell r="E14">
            <v>5218707.6499999994</v>
          </cell>
          <cell r="F14">
            <v>445698.48999999987</v>
          </cell>
          <cell r="G14">
            <v>388927.02</v>
          </cell>
          <cell r="H14">
            <v>334487.25</v>
          </cell>
          <cell r="I14">
            <v>235433.03000000003</v>
          </cell>
          <cell r="J14">
            <v>297685.88</v>
          </cell>
          <cell r="K14">
            <v>325183.92999999993</v>
          </cell>
          <cell r="L14">
            <v>250959.38999999998</v>
          </cell>
          <cell r="M14">
            <v>315849.45000000007</v>
          </cell>
          <cell r="N14">
            <v>182822.03999999998</v>
          </cell>
          <cell r="O14">
            <v>244039.25000000003</v>
          </cell>
          <cell r="P14">
            <v>245419.91</v>
          </cell>
          <cell r="Q14">
            <v>241697.00000000003</v>
          </cell>
          <cell r="R14">
            <v>297452.91000000003</v>
          </cell>
          <cell r="S14">
            <v>199209.08999999997</v>
          </cell>
          <cell r="T14">
            <v>67740.569999999978</v>
          </cell>
          <cell r="U14">
            <v>66127.5</v>
          </cell>
          <cell r="V14">
            <v>97263.27</v>
          </cell>
          <cell r="W14">
            <v>0</v>
          </cell>
          <cell r="X14">
            <v>0</v>
          </cell>
          <cell r="Y14">
            <v>0</v>
          </cell>
          <cell r="Z14">
            <v>4235995.9799999995</v>
          </cell>
          <cell r="AA14">
            <v>798636.5900000002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184075.08000000002</v>
          </cell>
          <cell r="AT14">
            <v>0</v>
          </cell>
          <cell r="AU14">
            <v>184075.08000000002</v>
          </cell>
        </row>
        <row r="15">
          <cell r="D15" t="str">
            <v xml:space="preserve"> - 경        비</v>
          </cell>
          <cell r="E15">
            <v>2124826.2199999997</v>
          </cell>
          <cell r="F15">
            <v>171791.37</v>
          </cell>
          <cell r="G15">
            <v>171887.93</v>
          </cell>
          <cell r="H15">
            <v>117809.65000000002</v>
          </cell>
          <cell r="I15">
            <v>83112.09</v>
          </cell>
          <cell r="J15">
            <v>117850.61999999997</v>
          </cell>
          <cell r="K15">
            <v>114999.25999999998</v>
          </cell>
          <cell r="L15">
            <v>90000.23000000001</v>
          </cell>
          <cell r="M15">
            <v>129953.87000000001</v>
          </cell>
          <cell r="N15">
            <v>68892.139999999985</v>
          </cell>
          <cell r="O15">
            <v>84686.9</v>
          </cell>
          <cell r="P15">
            <v>105233.36999999997</v>
          </cell>
          <cell r="Q15">
            <v>84862.71</v>
          </cell>
          <cell r="R15">
            <v>112370.81000000003</v>
          </cell>
          <cell r="S15">
            <v>77665.539999999994</v>
          </cell>
          <cell r="T15">
            <v>38354.69</v>
          </cell>
          <cell r="U15">
            <v>44530.520000000004</v>
          </cell>
          <cell r="V15">
            <v>44115.659999999996</v>
          </cell>
          <cell r="W15">
            <v>0</v>
          </cell>
          <cell r="X15">
            <v>0</v>
          </cell>
          <cell r="Y15">
            <v>0</v>
          </cell>
          <cell r="Z15">
            <v>1658117.3599999996</v>
          </cell>
          <cell r="AA15">
            <v>312436.33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45540.47</v>
          </cell>
          <cell r="AN15">
            <v>8707.66</v>
          </cell>
          <cell r="AO15">
            <v>2496.12</v>
          </cell>
          <cell r="AP15">
            <v>10484.19</v>
          </cell>
          <cell r="AQ15">
            <v>71631</v>
          </cell>
          <cell r="AR15">
            <v>0</v>
          </cell>
          <cell r="AS15">
            <v>15413.089999999997</v>
          </cell>
          <cell r="AT15">
            <v>0</v>
          </cell>
          <cell r="AU15">
            <v>154272.53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31389037.321347959</v>
          </cell>
          <cell r="F17">
            <v>3378437.9975296999</v>
          </cell>
          <cell r="G17">
            <v>1567806.3350278095</v>
          </cell>
          <cell r="H17">
            <v>1110821.6840411262</v>
          </cell>
          <cell r="I17">
            <v>937873.47330299125</v>
          </cell>
          <cell r="J17">
            <v>2060652.828877598</v>
          </cell>
          <cell r="K17">
            <v>1811758.1499356306</v>
          </cell>
          <cell r="L17">
            <v>1131080.1760800341</v>
          </cell>
          <cell r="M17">
            <v>1650080.185168192</v>
          </cell>
          <cell r="N17">
            <v>908183.46239910251</v>
          </cell>
          <cell r="O17">
            <v>1137407.7352571827</v>
          </cell>
          <cell r="P17">
            <v>1108885.6295133561</v>
          </cell>
          <cell r="Q17">
            <v>948839.87202050444</v>
          </cell>
          <cell r="R17">
            <v>2880350.6645471738</v>
          </cell>
          <cell r="S17">
            <v>1190103.2510877205</v>
          </cell>
          <cell r="T17">
            <v>1737167.1065383188</v>
          </cell>
          <cell r="U17">
            <v>753191.62863935158</v>
          </cell>
          <cell r="V17">
            <v>1554347.7273868646</v>
          </cell>
          <cell r="W17">
            <v>0</v>
          </cell>
          <cell r="X17">
            <v>0</v>
          </cell>
          <cell r="Y17">
            <v>0</v>
          </cell>
          <cell r="Z17">
            <v>25866987.90735266</v>
          </cell>
          <cell r="AA17">
            <v>1864454.0098641531</v>
          </cell>
          <cell r="AB17">
            <v>1442866.6688760221</v>
          </cell>
          <cell r="AC17">
            <v>436251.08484466607</v>
          </cell>
          <cell r="AD17">
            <v>1105878.1904104613</v>
          </cell>
          <cell r="AE17">
            <v>2984995.944131149</v>
          </cell>
          <cell r="AF17">
            <v>111276.6</v>
          </cell>
          <cell r="AG17">
            <v>259793.77000000002</v>
          </cell>
          <cell r="AH17">
            <v>237778.43999999997</v>
          </cell>
          <cell r="AI17">
            <v>616635</v>
          </cell>
          <cell r="AJ17">
            <v>48394.5</v>
          </cell>
          <cell r="AK17">
            <v>0</v>
          </cell>
          <cell r="AL17">
            <v>1273878.31</v>
          </cell>
          <cell r="AM17">
            <v>-45540.47</v>
          </cell>
          <cell r="AN17">
            <v>-8707.66</v>
          </cell>
          <cell r="AO17">
            <v>-2496.12</v>
          </cell>
          <cell r="AP17">
            <v>-10484.19</v>
          </cell>
          <cell r="AQ17">
            <v>-71631</v>
          </cell>
          <cell r="AR17">
            <v>0</v>
          </cell>
          <cell r="AS17">
            <v>-478349.41000000003</v>
          </cell>
          <cell r="AT17">
            <v>15930</v>
          </cell>
          <cell r="AU17">
            <v>-601278.85</v>
          </cell>
        </row>
        <row r="18">
          <cell r="D18" t="str">
            <v>감가상각비</v>
          </cell>
          <cell r="E18">
            <v>4860926.9676055536</v>
          </cell>
          <cell r="F18">
            <v>267007.60677777778</v>
          </cell>
          <cell r="G18">
            <v>319790.35504408897</v>
          </cell>
          <cell r="H18">
            <v>185993.90433333331</v>
          </cell>
          <cell r="I18">
            <v>166367.54833333334</v>
          </cell>
          <cell r="J18">
            <v>430337.17077777785</v>
          </cell>
          <cell r="K18">
            <v>178132.68644444444</v>
          </cell>
          <cell r="L18">
            <v>121847.86077777778</v>
          </cell>
          <cell r="M18">
            <v>229764.88855555552</v>
          </cell>
          <cell r="N18">
            <v>104253.32899999998</v>
          </cell>
          <cell r="O18">
            <v>285714.95922222215</v>
          </cell>
          <cell r="P18">
            <v>143804.89159490468</v>
          </cell>
          <cell r="Q18">
            <v>137422.69605310011</v>
          </cell>
          <cell r="R18">
            <v>297522.60088888888</v>
          </cell>
          <cell r="S18">
            <v>193528.28555555554</v>
          </cell>
          <cell r="T18">
            <v>102357.92033333334</v>
          </cell>
          <cell r="U18">
            <v>54097.573333333334</v>
          </cell>
          <cell r="V18">
            <v>111297.60669123798</v>
          </cell>
          <cell r="W18">
            <v>0</v>
          </cell>
          <cell r="X18">
            <v>0</v>
          </cell>
          <cell r="Y18">
            <v>0</v>
          </cell>
          <cell r="Z18">
            <v>3329241.8837166652</v>
          </cell>
          <cell r="AA18">
            <v>49281.911999999997</v>
          </cell>
          <cell r="AB18">
            <v>200106.78944444441</v>
          </cell>
          <cell r="AC18">
            <v>520608.69500000001</v>
          </cell>
          <cell r="AD18">
            <v>314790.31144444441</v>
          </cell>
          <cell r="AE18">
            <v>1035505.7958888889</v>
          </cell>
          <cell r="AF18">
            <v>28999.727999999999</v>
          </cell>
          <cell r="AG18">
            <v>49921.173000000003</v>
          </cell>
          <cell r="AH18">
            <v>66357.161999999997</v>
          </cell>
          <cell r="AI18">
            <v>38627.64</v>
          </cell>
          <cell r="AJ18">
            <v>11816.028</v>
          </cell>
          <cell r="AK18">
            <v>0</v>
          </cell>
          <cell r="AL18">
            <v>195721.73099999997</v>
          </cell>
          <cell r="AM18">
            <v>33184.980000000003</v>
          </cell>
          <cell r="AN18">
            <v>8095.6260000000002</v>
          </cell>
          <cell r="AO18">
            <v>3183.0480000000002</v>
          </cell>
          <cell r="AP18">
            <v>2170.8449999999998</v>
          </cell>
          <cell r="AQ18">
            <v>67253.90400000001</v>
          </cell>
          <cell r="AR18">
            <v>7702.5240000000013</v>
          </cell>
          <cell r="AS18">
            <v>0</v>
          </cell>
          <cell r="AT18">
            <v>129584.71800000001</v>
          </cell>
          <cell r="AU18">
            <v>251175.64500000002</v>
          </cell>
        </row>
        <row r="19">
          <cell r="D19" t="str">
            <v xml:space="preserve"> - 제        조</v>
          </cell>
          <cell r="E19">
            <v>4363305.0516055534</v>
          </cell>
          <cell r="F19">
            <v>246059.00877777775</v>
          </cell>
          <cell r="G19">
            <v>302284.14004408894</v>
          </cell>
          <cell r="H19">
            <v>171459.03933333332</v>
          </cell>
          <cell r="I19">
            <v>155639.65633333335</v>
          </cell>
          <cell r="J19">
            <v>413452.57677777787</v>
          </cell>
          <cell r="K19">
            <v>164053.06844444445</v>
          </cell>
          <cell r="L19">
            <v>111105.46977777778</v>
          </cell>
          <cell r="M19">
            <v>215695.14355555552</v>
          </cell>
          <cell r="N19">
            <v>97503.00499999999</v>
          </cell>
          <cell r="O19">
            <v>274746.06522222218</v>
          </cell>
          <cell r="P19">
            <v>132956.39959490468</v>
          </cell>
          <cell r="Q19">
            <v>127503.30105310012</v>
          </cell>
          <cell r="R19">
            <v>283228.79188888887</v>
          </cell>
          <cell r="S19">
            <v>183386.50955555553</v>
          </cell>
          <cell r="T19">
            <v>98372.099333333346</v>
          </cell>
          <cell r="U19">
            <v>50763.973333333335</v>
          </cell>
          <cell r="V19">
            <v>103869.27669123797</v>
          </cell>
          <cell r="W19">
            <v>0</v>
          </cell>
          <cell r="X19">
            <v>0</v>
          </cell>
          <cell r="Y19">
            <v>0</v>
          </cell>
          <cell r="Z19">
            <v>3132077.524716665</v>
          </cell>
          <cell r="AA19">
            <v>0</v>
          </cell>
          <cell r="AB19">
            <v>200106.78944444441</v>
          </cell>
          <cell r="AC19">
            <v>520608.69500000001</v>
          </cell>
          <cell r="AD19">
            <v>314790.31144444441</v>
          </cell>
          <cell r="AE19">
            <v>1035505.7958888889</v>
          </cell>
          <cell r="AF19">
            <v>28999.727999999999</v>
          </cell>
          <cell r="AG19">
            <v>49921.173000000003</v>
          </cell>
          <cell r="AH19">
            <v>66357.161999999997</v>
          </cell>
          <cell r="AI19">
            <v>38627.64</v>
          </cell>
          <cell r="AJ19">
            <v>11816.028</v>
          </cell>
          <cell r="AK19">
            <v>0</v>
          </cell>
          <cell r="AL19">
            <v>195721.73099999997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497621.91599999997</v>
          </cell>
          <cell r="F20">
            <v>20948.597999999998</v>
          </cell>
          <cell r="G20">
            <v>17506.215</v>
          </cell>
          <cell r="H20">
            <v>14534.864999999996</v>
          </cell>
          <cell r="I20">
            <v>10727.892</v>
          </cell>
          <cell r="J20">
            <v>16884.594000000001</v>
          </cell>
          <cell r="K20">
            <v>14079.618</v>
          </cell>
          <cell r="L20">
            <v>10742.391000000001</v>
          </cell>
          <cell r="M20">
            <v>14069.745000000001</v>
          </cell>
          <cell r="N20">
            <v>6750.3239999999996</v>
          </cell>
          <cell r="O20">
            <v>10968.893999999998</v>
          </cell>
          <cell r="P20">
            <v>10848.492000000002</v>
          </cell>
          <cell r="Q20">
            <v>9919.3950000000004</v>
          </cell>
          <cell r="R20">
            <v>14293.809000000001</v>
          </cell>
          <cell r="S20">
            <v>10141.775999999998</v>
          </cell>
          <cell r="T20">
            <v>3985.8210000000008</v>
          </cell>
          <cell r="U20">
            <v>3333.6000000000004</v>
          </cell>
          <cell r="V20">
            <v>7428.33</v>
          </cell>
          <cell r="W20">
            <v>0</v>
          </cell>
          <cell r="X20">
            <v>0</v>
          </cell>
          <cell r="Y20">
            <v>0</v>
          </cell>
          <cell r="Z20">
            <v>197164.35899999994</v>
          </cell>
          <cell r="AA20">
            <v>49281.911999999997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33184.980000000003</v>
          </cell>
          <cell r="AN20">
            <v>8095.6260000000002</v>
          </cell>
          <cell r="AO20">
            <v>3183.0480000000002</v>
          </cell>
          <cell r="AP20">
            <v>2170.8449999999998</v>
          </cell>
          <cell r="AQ20">
            <v>67253.90400000001</v>
          </cell>
          <cell r="AR20">
            <v>7702.5240000000013</v>
          </cell>
          <cell r="AS20">
            <v>0</v>
          </cell>
          <cell r="AT20">
            <v>129584.71800000001</v>
          </cell>
          <cell r="AU20">
            <v>251175.64500000002</v>
          </cell>
        </row>
        <row r="21">
          <cell r="D21" t="str">
            <v>영업이익 I</v>
          </cell>
          <cell r="E21">
            <v>26528110.353742406</v>
          </cell>
          <cell r="F21">
            <v>3111430.390751922</v>
          </cell>
          <cell r="G21">
            <v>1248015.9799837205</v>
          </cell>
          <cell r="H21">
            <v>924827.77970779291</v>
          </cell>
          <cell r="I21">
            <v>771505.92496965791</v>
          </cell>
          <cell r="J21">
            <v>1630315.6580998201</v>
          </cell>
          <cell r="K21">
            <v>1633625.4634911863</v>
          </cell>
          <cell r="L21">
            <v>1009232.3153022564</v>
          </cell>
          <cell r="M21">
            <v>1420315.2966126364</v>
          </cell>
          <cell r="N21">
            <v>803930.13339910249</v>
          </cell>
          <cell r="O21">
            <v>851692.77603496052</v>
          </cell>
          <cell r="P21">
            <v>965080.73791845143</v>
          </cell>
          <cell r="Q21">
            <v>811417.17596740439</v>
          </cell>
          <cell r="R21">
            <v>2582828.063658285</v>
          </cell>
          <cell r="S21">
            <v>996574.96553216502</v>
          </cell>
          <cell r="T21">
            <v>1634809.1862049855</v>
          </cell>
          <cell r="U21">
            <v>699094.05530601821</v>
          </cell>
          <cell r="V21">
            <v>1443050.1206956266</v>
          </cell>
          <cell r="W21">
            <v>0</v>
          </cell>
          <cell r="X21">
            <v>0</v>
          </cell>
          <cell r="Y21">
            <v>0</v>
          </cell>
          <cell r="Z21">
            <v>22537746.023635995</v>
          </cell>
          <cell r="AA21">
            <v>1815172.0978641531</v>
          </cell>
          <cell r="AB21">
            <v>1242759.8794315776</v>
          </cell>
          <cell r="AC21">
            <v>-84357.610155333939</v>
          </cell>
          <cell r="AD21">
            <v>791087.87896601693</v>
          </cell>
          <cell r="AE21">
            <v>1949490.1482422601</v>
          </cell>
          <cell r="AF21">
            <v>82276.872000000003</v>
          </cell>
          <cell r="AG21">
            <v>209872.59700000001</v>
          </cell>
          <cell r="AH21">
            <v>171421.27799999999</v>
          </cell>
          <cell r="AI21">
            <v>578007.36</v>
          </cell>
          <cell r="AJ21">
            <v>36578.472000000002</v>
          </cell>
          <cell r="AK21">
            <v>0</v>
          </cell>
          <cell r="AL21">
            <v>1078156.5790000001</v>
          </cell>
          <cell r="AM21">
            <v>-78725.450000000012</v>
          </cell>
          <cell r="AN21">
            <v>-16803.286</v>
          </cell>
          <cell r="AO21">
            <v>-5679.1679999999997</v>
          </cell>
          <cell r="AP21">
            <v>-12655.035</v>
          </cell>
          <cell r="AQ21">
            <v>-138884.90400000001</v>
          </cell>
          <cell r="AR21">
            <v>-7702.5240000000013</v>
          </cell>
          <cell r="AS21">
            <v>-478349.41000000003</v>
          </cell>
          <cell r="AT21">
            <v>-113654.71800000001</v>
          </cell>
          <cell r="AU21">
            <v>-852454.495</v>
          </cell>
        </row>
        <row r="22">
          <cell r="D22" t="str">
            <v>공    통    비</v>
          </cell>
          <cell r="E22">
            <v>14369114.759214951</v>
          </cell>
          <cell r="F22">
            <v>1927095.0378042054</v>
          </cell>
          <cell r="G22">
            <v>1390875.311018117</v>
          </cell>
          <cell r="H22">
            <v>1005864.2508596638</v>
          </cell>
          <cell r="I22">
            <v>662784.30315196631</v>
          </cell>
          <cell r="J22">
            <v>1112227.4760978785</v>
          </cell>
          <cell r="K22">
            <v>1003881.6050545127</v>
          </cell>
          <cell r="L22">
            <v>687594.25115137594</v>
          </cell>
          <cell r="M22">
            <v>1013088.8904365839</v>
          </cell>
          <cell r="N22">
            <v>561628.52885115042</v>
          </cell>
          <cell r="O22">
            <v>603569.01707060263</v>
          </cell>
          <cell r="P22">
            <v>615415.39430319634</v>
          </cell>
          <cell r="Q22">
            <v>629880.73483316333</v>
          </cell>
          <cell r="R22">
            <v>1102506.4824544503</v>
          </cell>
          <cell r="S22">
            <v>506443.61026341515</v>
          </cell>
          <cell r="T22">
            <v>373321.31342917931</v>
          </cell>
          <cell r="U22">
            <v>242959.74327020443</v>
          </cell>
          <cell r="V22">
            <v>494847.66306153487</v>
          </cell>
          <cell r="W22">
            <v>0</v>
          </cell>
          <cell r="X22">
            <v>0</v>
          </cell>
          <cell r="Y22">
            <v>0</v>
          </cell>
          <cell r="Z22">
            <v>13933983.613111202</v>
          </cell>
          <cell r="AA22">
            <v>0</v>
          </cell>
          <cell r="AB22">
            <v>179591.56678458053</v>
          </cell>
          <cell r="AC22">
            <v>107382.89978564711</v>
          </cell>
          <cell r="AD22">
            <v>148156.67953352185</v>
          </cell>
          <cell r="AE22">
            <v>435131.14610374952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2560100.4600000009</v>
          </cell>
          <cell r="F23">
            <v>289142.29370819894</v>
          </cell>
          <cell r="G23">
            <v>212546.01109398034</v>
          </cell>
          <cell r="H23">
            <v>150943.95233967784</v>
          </cell>
          <cell r="I23">
            <v>98849.365908218271</v>
          </cell>
          <cell r="J23">
            <v>187848.87657391874</v>
          </cell>
          <cell r="K23">
            <v>169309.69807368383</v>
          </cell>
          <cell r="L23">
            <v>114960.63693317075</v>
          </cell>
          <cell r="M23">
            <v>170808.17046983624</v>
          </cell>
          <cell r="N23">
            <v>94339.001475217781</v>
          </cell>
          <cell r="O23">
            <v>100164.94925268114</v>
          </cell>
          <cell r="P23">
            <v>103236.74950936524</v>
          </cell>
          <cell r="Q23">
            <v>105420.70920280518</v>
          </cell>
          <cell r="R23">
            <v>132778.09060331635</v>
          </cell>
          <cell r="S23">
            <v>60881.519298233776</v>
          </cell>
          <cell r="T23">
            <v>45472.236104581389</v>
          </cell>
          <cell r="U23">
            <v>28461.352180620575</v>
          </cell>
          <cell r="V23">
            <v>59805.701168744323</v>
          </cell>
          <cell r="W23">
            <v>0</v>
          </cell>
          <cell r="X23">
            <v>0</v>
          </cell>
          <cell r="Y23">
            <v>0</v>
          </cell>
          <cell r="Z23">
            <v>2124969.3138962514</v>
          </cell>
          <cell r="AA23">
            <v>0</v>
          </cell>
          <cell r="AB23">
            <v>179591.56678458053</v>
          </cell>
          <cell r="AC23">
            <v>107382.89978564711</v>
          </cell>
          <cell r="AD23">
            <v>148156.67953352185</v>
          </cell>
          <cell r="AE23">
            <v>435131.14610374952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5112507.7073333338</v>
          </cell>
          <cell r="F24">
            <v>711712.08222794253</v>
          </cell>
          <cell r="G24">
            <v>499551.85019543424</v>
          </cell>
          <cell r="H24">
            <v>371903.04236349656</v>
          </cell>
          <cell r="I24">
            <v>245806.88611011364</v>
          </cell>
          <cell r="J24">
            <v>398403.52186134324</v>
          </cell>
          <cell r="K24">
            <v>359564.08392734034</v>
          </cell>
          <cell r="L24">
            <v>249271.60064569584</v>
          </cell>
          <cell r="M24">
            <v>362984.0514423867</v>
          </cell>
          <cell r="N24">
            <v>202365.1852288302</v>
          </cell>
          <cell r="O24">
            <v>221239.58772961464</v>
          </cell>
          <cell r="P24">
            <v>222592.31200242176</v>
          </cell>
          <cell r="Q24">
            <v>228617.76022422066</v>
          </cell>
          <cell r="R24">
            <v>420175.67835445714</v>
          </cell>
          <cell r="S24">
            <v>193921.36348681131</v>
          </cell>
          <cell r="T24">
            <v>138779.05954297143</v>
          </cell>
          <cell r="U24">
            <v>95619.522454314312</v>
          </cell>
          <cell r="V24">
            <v>190000.11953593892</v>
          </cell>
          <cell r="W24">
            <v>0</v>
          </cell>
          <cell r="X24">
            <v>0</v>
          </cell>
          <cell r="Y24">
            <v>0</v>
          </cell>
          <cell r="Z24">
            <v>5112507.7073333338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6696506.591881616</v>
          </cell>
          <cell r="F25">
            <v>926240.66186806385</v>
          </cell>
          <cell r="G25">
            <v>678777.44972870243</v>
          </cell>
          <cell r="H25">
            <v>483017.25615648937</v>
          </cell>
          <cell r="I25">
            <v>318128.05113363446</v>
          </cell>
          <cell r="J25">
            <v>525975.0776626165</v>
          </cell>
          <cell r="K25">
            <v>475007.82305348862</v>
          </cell>
          <cell r="L25">
            <v>323362.0135725094</v>
          </cell>
          <cell r="M25">
            <v>479296.66852436092</v>
          </cell>
          <cell r="N25">
            <v>264924.34214710246</v>
          </cell>
          <cell r="O25">
            <v>282164.48008830682</v>
          </cell>
          <cell r="P25">
            <v>289586.33279140934</v>
          </cell>
          <cell r="Q25">
            <v>295842.26540613745</v>
          </cell>
          <cell r="R25">
            <v>549552.71349667676</v>
          </cell>
          <cell r="S25">
            <v>251640.7274783701</v>
          </cell>
          <cell r="T25">
            <v>189070.01778162649</v>
          </cell>
          <cell r="U25">
            <v>118878.86863526955</v>
          </cell>
          <cell r="V25">
            <v>245041.84235685164</v>
          </cell>
          <cell r="W25">
            <v>0</v>
          </cell>
          <cell r="X25">
            <v>0</v>
          </cell>
          <cell r="Y25">
            <v>0</v>
          </cell>
          <cell r="Z25">
            <v>6696506.591881616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12158995.594527455</v>
          </cell>
          <cell r="F26">
            <v>1184335.3529477166</v>
          </cell>
          <cell r="G26">
            <v>-142859.33103439654</v>
          </cell>
          <cell r="H26">
            <v>-81036.471151870908</v>
          </cell>
          <cell r="I26">
            <v>108721.6218176916</v>
          </cell>
          <cell r="J26">
            <v>518088.1820019416</v>
          </cell>
          <cell r="K26">
            <v>629743.85843667353</v>
          </cell>
          <cell r="L26">
            <v>321638.06415088044</v>
          </cell>
          <cell r="M26">
            <v>407226.40617605252</v>
          </cell>
          <cell r="N26">
            <v>242301.60454795207</v>
          </cell>
          <cell r="O26">
            <v>248123.7589643579</v>
          </cell>
          <cell r="P26">
            <v>349665.34361525509</v>
          </cell>
          <cell r="Q26">
            <v>181536.44113424106</v>
          </cell>
          <cell r="R26">
            <v>1480321.5812038346</v>
          </cell>
          <cell r="S26">
            <v>490131.35526874987</v>
          </cell>
          <cell r="T26">
            <v>1261487.8727758061</v>
          </cell>
          <cell r="U26">
            <v>456134.31203581381</v>
          </cell>
          <cell r="V26">
            <v>948202.45763409173</v>
          </cell>
          <cell r="W26">
            <v>0</v>
          </cell>
          <cell r="X26">
            <v>0</v>
          </cell>
          <cell r="Y26">
            <v>0</v>
          </cell>
          <cell r="Z26">
            <v>8603762.410524793</v>
          </cell>
          <cell r="AA26">
            <v>1815172.0978641531</v>
          </cell>
          <cell r="AB26">
            <v>1063168.3126469972</v>
          </cell>
          <cell r="AC26">
            <v>-191740.50994098105</v>
          </cell>
          <cell r="AD26">
            <v>642931.19943249505</v>
          </cell>
          <cell r="AE26">
            <v>1514359.0021385106</v>
          </cell>
          <cell r="AF26">
            <v>82276.872000000003</v>
          </cell>
          <cell r="AG26">
            <v>209872.59700000001</v>
          </cell>
          <cell r="AH26">
            <v>171421.27799999999</v>
          </cell>
          <cell r="AI26">
            <v>578007.36</v>
          </cell>
          <cell r="AJ26">
            <v>36578.472000000002</v>
          </cell>
          <cell r="AK26">
            <v>0</v>
          </cell>
          <cell r="AL26">
            <v>1078156.5790000001</v>
          </cell>
          <cell r="AM26">
            <v>-78725.450000000012</v>
          </cell>
          <cell r="AN26">
            <v>-16803.286</v>
          </cell>
          <cell r="AO26">
            <v>-5679.1679999999997</v>
          </cell>
          <cell r="AP26">
            <v>-12655.035</v>
          </cell>
          <cell r="AQ26">
            <v>-138884.90400000001</v>
          </cell>
          <cell r="AR26">
            <v>-7702.5240000000013</v>
          </cell>
          <cell r="AS26">
            <v>-478349.41000000003</v>
          </cell>
          <cell r="AT26">
            <v>-113654.71800000001</v>
          </cell>
          <cell r="AU26">
            <v>-852454.495</v>
          </cell>
        </row>
        <row r="27">
          <cell r="E27" t="e">
            <v>#REF!</v>
          </cell>
          <cell r="F27">
            <v>1184335.3529477187</v>
          </cell>
          <cell r="G27">
            <v>-142859.33103439756</v>
          </cell>
          <cell r="H27">
            <v>-81036.471151870821</v>
          </cell>
          <cell r="I27">
            <v>108721.62181768764</v>
          </cell>
          <cell r="J27">
            <v>518088.18200194277</v>
          </cell>
          <cell r="K27">
            <v>629743.8584366719</v>
          </cell>
          <cell r="L27">
            <v>321638.06415088003</v>
          </cell>
          <cell r="M27">
            <v>407226.40617605275</v>
          </cell>
          <cell r="N27">
            <v>242301.60454795219</v>
          </cell>
          <cell r="O27">
            <v>248123.75896435676</v>
          </cell>
          <cell r="P27">
            <v>349665.34361525561</v>
          </cell>
          <cell r="Q27">
            <v>181536.44113423891</v>
          </cell>
          <cell r="R27">
            <v>1480321.5812038393</v>
          </cell>
          <cell r="S27">
            <v>490131.35526875046</v>
          </cell>
          <cell r="T27">
            <v>1261487.8727758056</v>
          </cell>
          <cell r="U27">
            <v>456134.31203581346</v>
          </cell>
          <cell r="V27">
            <v>948202.45763409114</v>
          </cell>
          <cell r="W27">
            <v>0</v>
          </cell>
          <cell r="X27">
            <v>0</v>
          </cell>
          <cell r="Y27">
            <v>0</v>
          </cell>
          <cell r="Z27">
            <v>8603762.4105247911</v>
          </cell>
          <cell r="AA27">
            <v>1815172.0978641736</v>
          </cell>
          <cell r="AB27">
            <v>1063168.3126469965</v>
          </cell>
          <cell r="AC27">
            <v>-191740.50994098053</v>
          </cell>
          <cell r="AD27">
            <v>642931.19943249505</v>
          </cell>
          <cell r="AE27">
            <v>1514359.002138511</v>
          </cell>
          <cell r="AF27">
            <v>82276.871999999974</v>
          </cell>
          <cell r="AG27">
            <v>209872.59699999995</v>
          </cell>
          <cell r="AH27">
            <v>171421.27800000005</v>
          </cell>
          <cell r="AI27">
            <v>578007.36</v>
          </cell>
          <cell r="AJ27">
            <v>36578.472000000002</v>
          </cell>
          <cell r="AK27">
            <v>0</v>
          </cell>
          <cell r="AL27">
            <v>1078156.5789999999</v>
          </cell>
          <cell r="AM27">
            <v>-78725.450000000012</v>
          </cell>
          <cell r="AN27">
            <v>-16803.285999999996</v>
          </cell>
          <cell r="AO27">
            <v>-5679.1680000000015</v>
          </cell>
          <cell r="AP27">
            <v>-12655.035</v>
          </cell>
          <cell r="AQ27">
            <v>-138884.90400000004</v>
          </cell>
          <cell r="AR27">
            <v>-7702.5240000000013</v>
          </cell>
          <cell r="AS27">
            <v>-478349.41000000003</v>
          </cell>
          <cell r="AT27">
            <v>-113654.71800000001</v>
          </cell>
          <cell r="AU27">
            <v>-852454.49500000011</v>
          </cell>
        </row>
        <row r="28">
          <cell r="E28" t="e">
            <v>#REF!</v>
          </cell>
          <cell r="F28">
            <v>-2.0954757928848267E-9</v>
          </cell>
          <cell r="G28">
            <v>1.0186340659856796E-9</v>
          </cell>
          <cell r="H28">
            <v>0</v>
          </cell>
          <cell r="I28">
            <v>3.9581209421157837E-9</v>
          </cell>
          <cell r="J28">
            <v>-1.1641532182693481E-9</v>
          </cell>
          <cell r="K28">
            <v>1.6298145055770874E-9</v>
          </cell>
          <cell r="L28">
            <v>0</v>
          </cell>
          <cell r="M28">
            <v>0</v>
          </cell>
          <cell r="N28">
            <v>0</v>
          </cell>
          <cell r="O28">
            <v>1.1350493878126144E-9</v>
          </cell>
          <cell r="P28">
            <v>-5.2386894822120667E-10</v>
          </cell>
          <cell r="Q28">
            <v>2.1536834537982941E-9</v>
          </cell>
          <cell r="R28">
            <v>-4.6566128730773926E-9</v>
          </cell>
          <cell r="S28">
            <v>-5.8207660913467407E-10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-2.0489096641540527E-8</v>
          </cell>
          <cell r="AB28">
            <v>0</v>
          </cell>
          <cell r="AC28">
            <v>-5.2386894822120667E-10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3402646.0868534446</v>
          </cell>
          <cell r="F30">
            <v>343000</v>
          </cell>
          <cell r="G30">
            <v>250000</v>
          </cell>
          <cell r="H30">
            <v>185000</v>
          </cell>
          <cell r="I30">
            <v>125000</v>
          </cell>
          <cell r="J30">
            <v>178000</v>
          </cell>
          <cell r="K30">
            <v>175000</v>
          </cell>
          <cell r="L30">
            <v>122000</v>
          </cell>
          <cell r="M30">
            <v>170000</v>
          </cell>
          <cell r="N30">
            <v>102000</v>
          </cell>
          <cell r="O30">
            <v>104000</v>
          </cell>
          <cell r="P30">
            <v>109000</v>
          </cell>
          <cell r="Q30">
            <v>107000</v>
          </cell>
          <cell r="R30">
            <v>198000</v>
          </cell>
          <cell r="S30">
            <v>95000</v>
          </cell>
          <cell r="T30">
            <v>62500</v>
          </cell>
          <cell r="U30">
            <v>40000</v>
          </cell>
          <cell r="V30">
            <v>73000</v>
          </cell>
          <cell r="W30">
            <v>0</v>
          </cell>
          <cell r="X30">
            <v>0</v>
          </cell>
          <cell r="Y30">
            <v>0</v>
          </cell>
          <cell r="Z30">
            <v>2438500</v>
          </cell>
          <cell r="AA30">
            <v>100900</v>
          </cell>
          <cell r="AB30">
            <v>436347.92243870971</v>
          </cell>
          <cell r="AC30">
            <v>241110.28549999997</v>
          </cell>
          <cell r="AD30">
            <v>185787.87891473473</v>
          </cell>
          <cell r="AE30">
            <v>863246.08685344434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373258551.4991945</v>
          </cell>
          <cell r="F31">
            <v>33933586.825999998</v>
          </cell>
          <cell r="G31">
            <v>24695039.648967493</v>
          </cell>
          <cell r="H31">
            <v>17869378.936000001</v>
          </cell>
          <cell r="I31">
            <v>11860931.220000003</v>
          </cell>
          <cell r="J31">
            <v>19170595.118836001</v>
          </cell>
          <cell r="K31">
            <v>17377498.749580018</v>
          </cell>
          <cell r="L31">
            <v>11748585.85</v>
          </cell>
          <cell r="M31">
            <v>17339981.661600001</v>
          </cell>
          <cell r="N31">
            <v>9642788.5</v>
          </cell>
          <cell r="O31">
            <v>10475229.055788001</v>
          </cell>
          <cell r="P31">
            <v>10578096.758139616</v>
          </cell>
          <cell r="Q31">
            <v>10942672</v>
          </cell>
          <cell r="R31">
            <v>20394000</v>
          </cell>
          <cell r="S31">
            <v>9337691.9565999992</v>
          </cell>
          <cell r="T31">
            <v>6935609.1830000011</v>
          </cell>
          <cell r="U31">
            <v>4480000</v>
          </cell>
          <cell r="V31">
            <v>8968928.5</v>
          </cell>
          <cell r="W31">
            <v>0</v>
          </cell>
          <cell r="X31">
            <v>0</v>
          </cell>
          <cell r="Y31">
            <v>0</v>
          </cell>
          <cell r="Z31">
            <v>245750613.96451113</v>
          </cell>
          <cell r="AA31">
            <v>110204908.87039998</v>
          </cell>
          <cell r="AB31">
            <v>6380376.4278860213</v>
          </cell>
          <cell r="AC31">
            <v>4119451.1161166662</v>
          </cell>
          <cell r="AD31">
            <v>5446727.620280724</v>
          </cell>
          <cell r="AE31">
            <v>15946555.164283412</v>
          </cell>
          <cell r="AF31">
            <v>112500</v>
          </cell>
          <cell r="AG31">
            <v>300000</v>
          </cell>
          <cell r="AH31">
            <v>260019.99999999997</v>
          </cell>
          <cell r="AI31">
            <v>618330</v>
          </cell>
          <cell r="AJ31">
            <v>49693.5</v>
          </cell>
          <cell r="AK31">
            <v>0</v>
          </cell>
          <cell r="AL31">
            <v>1340543.5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15930</v>
          </cell>
          <cell r="AU31">
            <v>15930</v>
          </cell>
        </row>
        <row r="32">
          <cell r="D32" t="str">
            <v>매출원가</v>
          </cell>
          <cell r="E32">
            <v>338889285.35945213</v>
          </cell>
          <cell r="F32">
            <v>30183717.977248076</v>
          </cell>
          <cell r="G32">
            <v>22868702.503983773</v>
          </cell>
          <cell r="H32">
            <v>16477719.391292209</v>
          </cell>
          <cell r="I32">
            <v>10760152.283030344</v>
          </cell>
          <cell r="J32">
            <v>17107858.366736181</v>
          </cell>
          <cell r="K32">
            <v>15289610.478088832</v>
          </cell>
          <cell r="L32">
            <v>10387651.523697743</v>
          </cell>
          <cell r="M32">
            <v>15459793.299987365</v>
          </cell>
          <cell r="N32">
            <v>8580393.8626008984</v>
          </cell>
          <cell r="O32">
            <v>9283841.2357530408</v>
          </cell>
          <cell r="P32">
            <v>9251514.2482211646</v>
          </cell>
          <cell r="Q32">
            <v>9794775.7190325949</v>
          </cell>
          <cell r="R32">
            <v>17387054.407341715</v>
          </cell>
          <cell r="S32">
            <v>8054100.5850678347</v>
          </cell>
          <cell r="T32">
            <v>5190718.9157950161</v>
          </cell>
          <cell r="U32">
            <v>3666914.3246939816</v>
          </cell>
          <cell r="V32">
            <v>7377071.1193043739</v>
          </cell>
          <cell r="W32">
            <v>0</v>
          </cell>
          <cell r="X32">
            <v>0</v>
          </cell>
          <cell r="Y32">
            <v>0</v>
          </cell>
          <cell r="Z32">
            <v>217121590.24187514</v>
          </cell>
          <cell r="AA32">
            <v>107229381.94053583</v>
          </cell>
          <cell r="AB32">
            <v>5137616.5484544439</v>
          </cell>
          <cell r="AC32">
            <v>4203808.726272</v>
          </cell>
          <cell r="AD32">
            <v>4655639.7413147073</v>
          </cell>
          <cell r="AE32">
            <v>13997065.016041152</v>
          </cell>
          <cell r="AF32">
            <v>30223.128000000001</v>
          </cell>
          <cell r="AG32">
            <v>90127.402999999991</v>
          </cell>
          <cell r="AH32">
            <v>88598.721999999994</v>
          </cell>
          <cell r="AI32">
            <v>40322.639999999999</v>
          </cell>
          <cell r="AJ32">
            <v>13115.028</v>
          </cell>
          <cell r="AK32">
            <v>0</v>
          </cell>
          <cell r="AL32">
            <v>262386.92099999997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278861.24</v>
          </cell>
          <cell r="AT32">
            <v>0</v>
          </cell>
          <cell r="AU32">
            <v>278861.24</v>
          </cell>
        </row>
        <row r="33">
          <cell r="D33" t="str">
            <v>매출이익</v>
          </cell>
          <cell r="E33">
            <v>34369266.139742397</v>
          </cell>
          <cell r="F33">
            <v>3749868.8487519212</v>
          </cell>
          <cell r="G33">
            <v>1826337.14498372</v>
          </cell>
          <cell r="H33">
            <v>1391659.5447077919</v>
          </cell>
          <cell r="I33">
            <v>1100778.9369696584</v>
          </cell>
          <cell r="J33">
            <v>2062736.7520998195</v>
          </cell>
          <cell r="K33">
            <v>2087888.2714911867</v>
          </cell>
          <cell r="L33">
            <v>1360934.3263022564</v>
          </cell>
          <cell r="M33">
            <v>1880188.3616126366</v>
          </cell>
          <cell r="N33">
            <v>1062394.6373991016</v>
          </cell>
          <cell r="O33">
            <v>1191387.8200349603</v>
          </cell>
          <cell r="P33">
            <v>1326582.5099184513</v>
          </cell>
          <cell r="Q33">
            <v>1147896.2809674051</v>
          </cell>
          <cell r="R33">
            <v>3006945.5926582851</v>
          </cell>
          <cell r="S33">
            <v>1283591.3715321645</v>
          </cell>
          <cell r="T33">
            <v>1744890.267204985</v>
          </cell>
          <cell r="U33">
            <v>813085.67530601844</v>
          </cell>
          <cell r="V33">
            <v>1591857.3806956261</v>
          </cell>
          <cell r="W33">
            <v>0</v>
          </cell>
          <cell r="X33">
            <v>0</v>
          </cell>
          <cell r="Y33">
            <v>0</v>
          </cell>
          <cell r="Z33">
            <v>28629023.722635984</v>
          </cell>
          <cell r="AA33">
            <v>2975526.9298641533</v>
          </cell>
          <cell r="AB33">
            <v>1242759.8794315774</v>
          </cell>
          <cell r="AC33">
            <v>-84357.610155333765</v>
          </cell>
          <cell r="AD33">
            <v>791087.87896601669</v>
          </cell>
          <cell r="AE33">
            <v>1949490.1482422594</v>
          </cell>
          <cell r="AF33">
            <v>82276.872000000003</v>
          </cell>
          <cell r="AG33">
            <v>209872.59700000001</v>
          </cell>
          <cell r="AH33">
            <v>171421.27799999999</v>
          </cell>
          <cell r="AI33">
            <v>578007.36</v>
          </cell>
          <cell r="AJ33">
            <v>36578.472000000002</v>
          </cell>
          <cell r="AK33">
            <v>0</v>
          </cell>
          <cell r="AL33">
            <v>1078156.5789999999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-278861.24</v>
          </cell>
          <cell r="AT33">
            <v>15930</v>
          </cell>
          <cell r="AU33">
            <v>-262931.24</v>
          </cell>
        </row>
        <row r="34">
          <cell r="D34" t="str">
            <v>판관비</v>
          </cell>
          <cell r="E34">
            <v>22210270.545214951</v>
          </cell>
          <cell r="F34">
            <v>2565533.4958042055</v>
          </cell>
          <cell r="G34">
            <v>1969196.476018117</v>
          </cell>
          <cell r="H34">
            <v>1472696.0158596637</v>
          </cell>
          <cell r="I34">
            <v>992057.31515196629</v>
          </cell>
          <cell r="J34">
            <v>1544648.5700978786</v>
          </cell>
          <cell r="K34">
            <v>1458144.4130545126</v>
          </cell>
          <cell r="L34">
            <v>1039296.2621513759</v>
          </cell>
          <cell r="M34">
            <v>1472961.9554365841</v>
          </cell>
          <cell r="N34">
            <v>820093.03285115038</v>
          </cell>
          <cell r="O34">
            <v>943264.06107060262</v>
          </cell>
          <cell r="P34">
            <v>976917.16630319634</v>
          </cell>
          <cell r="Q34">
            <v>966359.83983316342</v>
          </cell>
          <cell r="R34">
            <v>1526624.0114544504</v>
          </cell>
          <cell r="S34">
            <v>793460.01626341499</v>
          </cell>
          <cell r="T34">
            <v>483402.39442917926</v>
          </cell>
          <cell r="U34">
            <v>356951.3632702044</v>
          </cell>
          <cell r="V34">
            <v>643654.92306153488</v>
          </cell>
          <cell r="W34">
            <v>0</v>
          </cell>
          <cell r="X34">
            <v>0</v>
          </cell>
          <cell r="Y34">
            <v>0</v>
          </cell>
          <cell r="Z34">
            <v>20025261.312111203</v>
          </cell>
          <cell r="AA34">
            <v>1160354.8320000002</v>
          </cell>
          <cell r="AB34">
            <v>179591.56678458053</v>
          </cell>
          <cell r="AC34">
            <v>107382.89978564711</v>
          </cell>
          <cell r="AD34">
            <v>148156.67953352185</v>
          </cell>
          <cell r="AE34">
            <v>435131.14610374952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78725.450000000012</v>
          </cell>
          <cell r="AN34">
            <v>16803.286</v>
          </cell>
          <cell r="AO34">
            <v>5679.1679999999997</v>
          </cell>
          <cell r="AP34">
            <v>12655.035</v>
          </cell>
          <cell r="AQ34">
            <v>138884.90400000001</v>
          </cell>
          <cell r="AR34">
            <v>7702.5240000000013</v>
          </cell>
          <cell r="AS34">
            <v>199488.17</v>
          </cell>
          <cell r="AT34">
            <v>129584.71800000001</v>
          </cell>
          <cell r="AU34">
            <v>589523.255</v>
          </cell>
        </row>
        <row r="35">
          <cell r="D35" t="str">
            <v>영업이익</v>
          </cell>
          <cell r="E35">
            <v>12158995.594527446</v>
          </cell>
          <cell r="F35">
            <v>1184335.3529477157</v>
          </cell>
          <cell r="G35">
            <v>-142859.33103439701</v>
          </cell>
          <cell r="H35">
            <v>-81036.47115187184</v>
          </cell>
          <cell r="I35">
            <v>108721.62181769207</v>
          </cell>
          <cell r="J35">
            <v>518088.18200194091</v>
          </cell>
          <cell r="K35">
            <v>629743.85843667411</v>
          </cell>
          <cell r="L35">
            <v>321638.06415088056</v>
          </cell>
          <cell r="M35">
            <v>407226.40617605252</v>
          </cell>
          <cell r="N35">
            <v>242301.60454795125</v>
          </cell>
          <cell r="O35">
            <v>248123.75896435766</v>
          </cell>
          <cell r="P35">
            <v>349665.34361525497</v>
          </cell>
          <cell r="Q35">
            <v>181536.44113424164</v>
          </cell>
          <cell r="R35">
            <v>1480321.5812038346</v>
          </cell>
          <cell r="S35">
            <v>490131.35526874952</v>
          </cell>
          <cell r="T35">
            <v>1261487.8727758056</v>
          </cell>
          <cell r="U35">
            <v>456134.31203581404</v>
          </cell>
          <cell r="V35">
            <v>948202.45763409126</v>
          </cell>
          <cell r="W35">
            <v>0</v>
          </cell>
          <cell r="X35">
            <v>0</v>
          </cell>
          <cell r="Y35">
            <v>0</v>
          </cell>
          <cell r="Z35">
            <v>8603762.4105247818</v>
          </cell>
          <cell r="AA35">
            <v>1815172.0978641531</v>
          </cell>
          <cell r="AB35">
            <v>1063168.3126469969</v>
          </cell>
          <cell r="AC35">
            <v>-191740.50994098088</v>
          </cell>
          <cell r="AD35">
            <v>642931.19943249482</v>
          </cell>
          <cell r="AE35">
            <v>1514359.0021385099</v>
          </cell>
          <cell r="AF35">
            <v>82276.872000000003</v>
          </cell>
          <cell r="AG35">
            <v>209872.59700000001</v>
          </cell>
          <cell r="AH35">
            <v>171421.27799999999</v>
          </cell>
          <cell r="AI35">
            <v>578007.36</v>
          </cell>
          <cell r="AJ35">
            <v>36578.472000000002</v>
          </cell>
          <cell r="AK35">
            <v>0</v>
          </cell>
          <cell r="AL35">
            <v>1078156.5789999999</v>
          </cell>
          <cell r="AM35">
            <v>-78725.450000000012</v>
          </cell>
          <cell r="AN35">
            <v>-16803.286</v>
          </cell>
          <cell r="AO35">
            <v>-5679.1679999999997</v>
          </cell>
          <cell r="AP35">
            <v>-12655.035</v>
          </cell>
          <cell r="AQ35">
            <v>-138884.90400000001</v>
          </cell>
          <cell r="AR35">
            <v>-7702.5240000000013</v>
          </cell>
          <cell r="AS35">
            <v>-478349.41000000003</v>
          </cell>
          <cell r="AT35">
            <v>-113654.71800000001</v>
          </cell>
          <cell r="AU35">
            <v>-852454.495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31877</v>
          </cell>
          <cell r="H7">
            <v>30290</v>
          </cell>
          <cell r="I7">
            <v>16448</v>
          </cell>
          <cell r="J7">
            <v>10288</v>
          </cell>
          <cell r="K7">
            <v>20199</v>
          </cell>
          <cell r="L7">
            <v>19618</v>
          </cell>
          <cell r="M7">
            <v>7988</v>
          </cell>
          <cell r="N7">
            <v>23440.5</v>
          </cell>
          <cell r="O7">
            <v>6061</v>
          </cell>
          <cell r="P7">
            <v>6546</v>
          </cell>
          <cell r="Q7">
            <v>13338.5</v>
          </cell>
          <cell r="R7">
            <v>13179</v>
          </cell>
          <cell r="S7">
            <v>23459</v>
          </cell>
          <cell r="T7">
            <v>3358.5</v>
          </cell>
          <cell r="U7">
            <v>4398.5</v>
          </cell>
          <cell r="V7">
            <v>15058</v>
          </cell>
          <cell r="W7">
            <v>4794</v>
          </cell>
          <cell r="Z7">
            <v>250341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250341</v>
          </cell>
          <cell r="AJ7">
            <v>25944</v>
          </cell>
          <cell r="AK7">
            <v>34028</v>
          </cell>
          <cell r="AL7">
            <v>14301</v>
          </cell>
          <cell r="AN7">
            <v>74273</v>
          </cell>
          <cell r="AO7">
            <v>7943.9050000000007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33691734.729999997</v>
          </cell>
          <cell r="G8">
            <v>3143558.1320000002</v>
          </cell>
          <cell r="H8">
            <v>2910515.5869999998</v>
          </cell>
          <cell r="I8">
            <v>1510748.0999999999</v>
          </cell>
          <cell r="J8">
            <v>951190.71299999999</v>
          </cell>
          <cell r="K8">
            <v>2164686.5269999998</v>
          </cell>
          <cell r="L8">
            <v>1904036.5</v>
          </cell>
          <cell r="M8">
            <v>706910.5</v>
          </cell>
          <cell r="N8">
            <v>2350140</v>
          </cell>
          <cell r="O8">
            <v>570887.9</v>
          </cell>
          <cell r="P8">
            <v>598348.4</v>
          </cell>
          <cell r="Q8">
            <v>1132322.3500000001</v>
          </cell>
          <cell r="R8">
            <v>1435189.1</v>
          </cell>
          <cell r="S8">
            <v>2198681.5109999999</v>
          </cell>
          <cell r="T8">
            <v>376372.14500000002</v>
          </cell>
          <cell r="U8">
            <v>485680.6</v>
          </cell>
          <cell r="V8">
            <v>1481330.7</v>
          </cell>
          <cell r="W8">
            <v>607318.96799999999</v>
          </cell>
          <cell r="Z8">
            <v>24527917.733000003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24571257.733000003</v>
          </cell>
          <cell r="AJ8">
            <v>725697</v>
          </cell>
          <cell r="AK8">
            <v>417920</v>
          </cell>
          <cell r="AL8">
            <v>291147.5</v>
          </cell>
          <cell r="AN8">
            <v>1434764.5</v>
          </cell>
          <cell r="AO8">
            <v>7610207.7719999999</v>
          </cell>
          <cell r="AP8">
            <v>0</v>
          </cell>
          <cell r="AS8">
            <v>7610207.7719999999</v>
          </cell>
          <cell r="AT8">
            <v>5788.1</v>
          </cell>
          <cell r="AU8">
            <v>5940</v>
          </cell>
          <cell r="AV8">
            <v>62079.324999999997</v>
          </cell>
          <cell r="BA8">
            <v>73807.425000000003</v>
          </cell>
          <cell r="BB8">
            <v>0</v>
          </cell>
          <cell r="BC8">
            <v>1697.3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1697.3</v>
          </cell>
        </row>
        <row r="9">
          <cell r="G9">
            <v>98615.243969005867</v>
          </cell>
          <cell r="H9">
            <v>96088.332353912177</v>
          </cell>
          <cell r="I9">
            <v>91849.957441634237</v>
          </cell>
          <cell r="J9">
            <v>92456.329024105755</v>
          </cell>
          <cell r="K9">
            <v>107168.00470320313</v>
          </cell>
          <cell r="L9">
            <v>97055.586706086251</v>
          </cell>
          <cell r="M9">
            <v>88496.557336004</v>
          </cell>
          <cell r="N9">
            <v>100259.80674473668</v>
          </cell>
          <cell r="O9">
            <v>94190.381125226864</v>
          </cell>
          <cell r="P9">
            <v>91406.721662083728</v>
          </cell>
          <cell r="Q9">
            <v>84891.280878659527</v>
          </cell>
          <cell r="R9">
            <v>108899.69648683512</v>
          </cell>
          <cell r="S9">
            <v>93724.434588004602</v>
          </cell>
          <cell r="T9">
            <v>112065.54860800953</v>
          </cell>
          <cell r="U9">
            <v>110419.59759008752</v>
          </cell>
          <cell r="V9">
            <v>98374.996679505915</v>
          </cell>
          <cell r="W9">
            <v>126683.13892365457</v>
          </cell>
          <cell r="Z9">
            <v>97978.028900579622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98151.152759635865</v>
          </cell>
          <cell r="AJ9">
            <v>27971.669750231267</v>
          </cell>
          <cell r="AK9">
            <v>12281.650405548373</v>
          </cell>
          <cell r="AL9">
            <v>20358.541360744002</v>
          </cell>
          <cell r="AO9">
            <v>957993.30077587778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31032497.556960005</v>
          </cell>
          <cell r="G10">
            <v>2776776.1004599999</v>
          </cell>
          <cell r="H10">
            <v>2856559.9693300002</v>
          </cell>
          <cell r="I10">
            <v>1467948.5120599999</v>
          </cell>
          <cell r="J10">
            <v>963681.92637999996</v>
          </cell>
          <cell r="K10">
            <v>1836638.1088599998</v>
          </cell>
          <cell r="L10">
            <v>1667039.0451300002</v>
          </cell>
          <cell r="M10">
            <v>733343.17858000007</v>
          </cell>
          <cell r="N10">
            <v>2098730.0252499999</v>
          </cell>
          <cell r="O10">
            <v>558301.49254000001</v>
          </cell>
          <cell r="P10">
            <v>596494.55829999992</v>
          </cell>
          <cell r="Q10">
            <v>1034984.1033300001</v>
          </cell>
          <cell r="R10">
            <v>1206915.5197600001</v>
          </cell>
          <cell r="S10">
            <v>2036009.1395699999</v>
          </cell>
          <cell r="T10">
            <v>318746.26754999999</v>
          </cell>
          <cell r="U10">
            <v>388315.43070000003</v>
          </cell>
          <cell r="V10">
            <v>1246668.2639500001</v>
          </cell>
          <cell r="W10">
            <v>540361.68958000001</v>
          </cell>
          <cell r="Z10">
            <v>22327513.331330001</v>
          </cell>
          <cell r="AA10">
            <v>0</v>
          </cell>
          <cell r="AB10">
            <v>0</v>
          </cell>
          <cell r="AC10">
            <v>186.54599999999999</v>
          </cell>
          <cell r="AD10">
            <v>559.29600000000005</v>
          </cell>
          <cell r="AH10">
            <v>745.8420000000001</v>
          </cell>
          <cell r="AI10">
            <v>22328259.173330002</v>
          </cell>
          <cell r="AJ10">
            <v>652521.24439999997</v>
          </cell>
          <cell r="AK10">
            <v>292531.01373999997</v>
          </cell>
          <cell r="AL10">
            <v>331009.64449000004</v>
          </cell>
          <cell r="AN10">
            <v>1276061.9026299999</v>
          </cell>
          <cell r="AO10">
            <v>7426488.3939999994</v>
          </cell>
          <cell r="AP10">
            <v>0</v>
          </cell>
          <cell r="AS10">
            <v>7426488.3939999994</v>
          </cell>
          <cell r="AT10">
            <v>167.67400000000001</v>
          </cell>
          <cell r="AU10">
            <v>231.49600000000001</v>
          </cell>
          <cell r="AV10">
            <v>0</v>
          </cell>
          <cell r="BA10">
            <v>399.17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112.94</v>
          </cell>
          <cell r="BG10">
            <v>0</v>
          </cell>
          <cell r="BH10">
            <v>1175.9770000000001</v>
          </cell>
          <cell r="BJ10">
            <v>1288.9170000000001</v>
          </cell>
        </row>
        <row r="11">
          <cell r="G11">
            <v>87109.078660476196</v>
          </cell>
          <cell r="H11">
            <v>94307.031011224841</v>
          </cell>
          <cell r="I11">
            <v>89247.842416099214</v>
          </cell>
          <cell r="J11">
            <v>93670.482735225509</v>
          </cell>
          <cell r="K11">
            <v>90927.18000198029</v>
          </cell>
          <cell r="L11">
            <v>84974.974264960765</v>
          </cell>
          <cell r="M11">
            <v>91805.605731096643</v>
          </cell>
          <cell r="N11">
            <v>89534.354013352946</v>
          </cell>
          <cell r="O11">
            <v>92113.758874773135</v>
          </cell>
          <cell r="P11">
            <v>91123.519446990511</v>
          </cell>
          <cell r="Q11">
            <v>77593.740175432031</v>
          </cell>
          <cell r="R11">
            <v>91578.687287351087</v>
          </cell>
          <cell r="S11">
            <v>86790.107829404486</v>
          </cell>
          <cell r="T11">
            <v>94907.329924073245</v>
          </cell>
          <cell r="U11">
            <v>88283.603660338762</v>
          </cell>
          <cell r="V11">
            <v>82791.092040775664</v>
          </cell>
          <cell r="W11">
            <v>112716.24730496453</v>
          </cell>
          <cell r="Z11">
            <v>89188.400347246352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89191.379651475392</v>
          </cell>
          <cell r="AJ11">
            <v>25151.142630280603</v>
          </cell>
          <cell r="AK11">
            <v>8596.773649347595</v>
          </cell>
          <cell r="AL11">
            <v>23145.908991678905</v>
          </cell>
          <cell r="AO11">
            <v>934866.21428629861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2659237.1730399914</v>
          </cell>
          <cell r="G12">
            <v>366782.03154000035</v>
          </cell>
          <cell r="H12">
            <v>53955.617669999599</v>
          </cell>
          <cell r="I12">
            <v>42799.587939999998</v>
          </cell>
          <cell r="J12">
            <v>-12491.213379999972</v>
          </cell>
          <cell r="K12">
            <v>328048.41813999997</v>
          </cell>
          <cell r="L12">
            <v>236997.45486999978</v>
          </cell>
          <cell r="M12">
            <v>-26432.678580000065</v>
          </cell>
          <cell r="N12">
            <v>251409.97475000005</v>
          </cell>
          <cell r="O12">
            <v>12586.407460000017</v>
          </cell>
          <cell r="P12">
            <v>1853.8417000001064</v>
          </cell>
          <cell r="Q12">
            <v>97338.246670000022</v>
          </cell>
          <cell r="R12">
            <v>228273.58024000004</v>
          </cell>
          <cell r="S12">
            <v>162672.37143000006</v>
          </cell>
          <cell r="T12">
            <v>57625.877450000029</v>
          </cell>
          <cell r="U12">
            <v>97365.16929999995</v>
          </cell>
          <cell r="V12">
            <v>234662.4360499999</v>
          </cell>
          <cell r="W12">
            <v>66957.278419999988</v>
          </cell>
          <cell r="Z12">
            <v>2200404.4016699996</v>
          </cell>
          <cell r="AA12">
            <v>0</v>
          </cell>
          <cell r="AB12">
            <v>0</v>
          </cell>
          <cell r="AC12">
            <v>12313.454</v>
          </cell>
          <cell r="AD12">
            <v>30280.704000000002</v>
          </cell>
          <cell r="AH12">
            <v>42594.158000000003</v>
          </cell>
          <cell r="AI12">
            <v>2242998.5596700013</v>
          </cell>
          <cell r="AJ12">
            <v>73175.755600000033</v>
          </cell>
          <cell r="AK12">
            <v>125388.98626000003</v>
          </cell>
          <cell r="AL12">
            <v>-39862.144490000035</v>
          </cell>
          <cell r="AN12">
            <v>158702.59737000009</v>
          </cell>
          <cell r="AO12">
            <v>183719.37800000049</v>
          </cell>
          <cell r="AP12">
            <v>0</v>
          </cell>
          <cell r="AS12">
            <v>183719.37800000049</v>
          </cell>
          <cell r="AT12">
            <v>5620.4260000000004</v>
          </cell>
          <cell r="AU12">
            <v>5708.5039999999999</v>
          </cell>
          <cell r="AV12">
            <v>62079.324999999997</v>
          </cell>
          <cell r="BA12">
            <v>73408.255000000005</v>
          </cell>
          <cell r="BB12">
            <v>0</v>
          </cell>
          <cell r="BC12">
            <v>1697.3</v>
          </cell>
          <cell r="BD12">
            <v>0</v>
          </cell>
          <cell r="BE12">
            <v>0</v>
          </cell>
          <cell r="BF12">
            <v>-112.94</v>
          </cell>
          <cell r="BG12">
            <v>0</v>
          </cell>
          <cell r="BH12">
            <v>-1175.9770000000001</v>
          </cell>
          <cell r="BJ12">
            <v>408.38299999999981</v>
          </cell>
        </row>
        <row r="13">
          <cell r="F13">
            <v>975609.3870000001</v>
          </cell>
          <cell r="G13">
            <v>83402.863000000012</v>
          </cell>
          <cell r="H13">
            <v>84371.792000000001</v>
          </cell>
          <cell r="I13">
            <v>63121.773000000001</v>
          </cell>
          <cell r="J13">
            <v>48548.415999999997</v>
          </cell>
          <cell r="K13">
            <v>72717.911999999997</v>
          </cell>
          <cell r="L13">
            <v>61787.570999999996</v>
          </cell>
          <cell r="M13">
            <v>37043.476999999999</v>
          </cell>
          <cell r="N13">
            <v>53673.08</v>
          </cell>
          <cell r="O13">
            <v>35898.053</v>
          </cell>
          <cell r="P13">
            <v>33384.585000000006</v>
          </cell>
          <cell r="Q13">
            <v>39168.601999999999</v>
          </cell>
          <cell r="R13">
            <v>34677.115000000005</v>
          </cell>
          <cell r="S13">
            <v>57933.738000000005</v>
          </cell>
          <cell r="T13">
            <v>18752.800999999999</v>
          </cell>
          <cell r="U13">
            <v>16889.339</v>
          </cell>
          <cell r="V13">
            <v>38429.849000000002</v>
          </cell>
          <cell r="W13">
            <v>18644.392</v>
          </cell>
          <cell r="Z13">
            <v>798445.35800000001</v>
          </cell>
          <cell r="AA13">
            <v>2530.6590000000001</v>
          </cell>
          <cell r="AB13">
            <v>188.565</v>
          </cell>
          <cell r="AC13">
            <v>0</v>
          </cell>
          <cell r="AD13">
            <v>0</v>
          </cell>
          <cell r="AH13">
            <v>2719.2240000000002</v>
          </cell>
          <cell r="AI13">
            <v>801164.58199999994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164860.47500000001</v>
          </cell>
          <cell r="AP13">
            <v>0</v>
          </cell>
          <cell r="AS13">
            <v>164860.47500000001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9584.33</v>
          </cell>
          <cell r="BG13">
            <v>0</v>
          </cell>
          <cell r="BH13">
            <v>0</v>
          </cell>
          <cell r="BJ13">
            <v>9584.33</v>
          </cell>
        </row>
        <row r="14">
          <cell r="F14">
            <v>636111.34400000004</v>
          </cell>
          <cell r="G14">
            <v>54583.906000000003</v>
          </cell>
          <cell r="H14">
            <v>55019.824000000001</v>
          </cell>
          <cell r="I14">
            <v>41605.428</v>
          </cell>
          <cell r="J14">
            <v>32102.707999999999</v>
          </cell>
          <cell r="K14">
            <v>46377.953000000001</v>
          </cell>
          <cell r="L14">
            <v>43643.64</v>
          </cell>
          <cell r="M14">
            <v>26292.885999999999</v>
          </cell>
          <cell r="N14">
            <v>39538.440999999999</v>
          </cell>
          <cell r="O14">
            <v>22857.467000000004</v>
          </cell>
          <cell r="P14">
            <v>23077.412000000004</v>
          </cell>
          <cell r="Q14">
            <v>25391.888999999999</v>
          </cell>
          <cell r="R14">
            <v>23143.787000000004</v>
          </cell>
          <cell r="S14">
            <v>38856.283000000003</v>
          </cell>
          <cell r="T14">
            <v>8539.98</v>
          </cell>
          <cell r="U14">
            <v>10185.335999999999</v>
          </cell>
          <cell r="V14">
            <v>25918.112999999998</v>
          </cell>
          <cell r="W14">
            <v>12824.503999999999</v>
          </cell>
          <cell r="Z14">
            <v>529959.55700000003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529959.55700000003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106151.787</v>
          </cell>
          <cell r="AP14">
            <v>0</v>
          </cell>
          <cell r="AS14">
            <v>106151.787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339498.04300000001</v>
          </cell>
          <cell r="G15">
            <v>28818.957000000002</v>
          </cell>
          <cell r="H15">
            <v>29351.968000000004</v>
          </cell>
          <cell r="I15">
            <v>21516.345000000001</v>
          </cell>
          <cell r="J15">
            <v>16445.707999999999</v>
          </cell>
          <cell r="K15">
            <v>26339.958999999999</v>
          </cell>
          <cell r="L15">
            <v>18143.930999999997</v>
          </cell>
          <cell r="M15">
            <v>10750.590999999999</v>
          </cell>
          <cell r="N15">
            <v>14134.639000000001</v>
          </cell>
          <cell r="O15">
            <v>13040.585999999999</v>
          </cell>
          <cell r="P15">
            <v>10307.173000000001</v>
          </cell>
          <cell r="Q15">
            <v>13776.713000000002</v>
          </cell>
          <cell r="R15">
            <v>11533.328</v>
          </cell>
          <cell r="S15">
            <v>19077.455000000002</v>
          </cell>
          <cell r="T15">
            <v>10212.821</v>
          </cell>
          <cell r="U15">
            <v>6704.0029999999997</v>
          </cell>
          <cell r="V15">
            <v>12511.736000000001</v>
          </cell>
          <cell r="W15">
            <v>5819.8879999999999</v>
          </cell>
          <cell r="Z15">
            <v>268485.80099999998</v>
          </cell>
          <cell r="AA15">
            <v>2530.6590000000001</v>
          </cell>
          <cell r="AB15">
            <v>188.565</v>
          </cell>
          <cell r="AC15">
            <v>0</v>
          </cell>
          <cell r="AD15">
            <v>0</v>
          </cell>
          <cell r="AH15">
            <v>2719.2240000000002</v>
          </cell>
          <cell r="AI15">
            <v>271205.02499999997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58708.688000000002</v>
          </cell>
          <cell r="AP15">
            <v>0</v>
          </cell>
          <cell r="AS15">
            <v>58708.688000000002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9584.33</v>
          </cell>
          <cell r="BG15">
            <v>0</v>
          </cell>
          <cell r="BH15">
            <v>0</v>
          </cell>
          <cell r="BJ15">
            <v>9584.33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1683627.7860399913</v>
          </cell>
          <cell r="G17">
            <v>283379.16854000033</v>
          </cell>
          <cell r="H17">
            <v>-30416.174330000402</v>
          </cell>
          <cell r="I17">
            <v>-20322.185060000003</v>
          </cell>
          <cell r="J17">
            <v>-61039.629379999969</v>
          </cell>
          <cell r="K17">
            <v>255330.50613999995</v>
          </cell>
          <cell r="L17">
            <v>175209.88386999979</v>
          </cell>
          <cell r="M17">
            <v>-63476.155580000064</v>
          </cell>
          <cell r="N17">
            <v>197736.89475000004</v>
          </cell>
          <cell r="O17">
            <v>-23311.645539999983</v>
          </cell>
          <cell r="P17">
            <v>-31530.7432999999</v>
          </cell>
          <cell r="Q17">
            <v>58169.644670000023</v>
          </cell>
          <cell r="R17">
            <v>193596.46524000005</v>
          </cell>
          <cell r="S17">
            <v>104738.63343000005</v>
          </cell>
          <cell r="T17">
            <v>38873.07645000003</v>
          </cell>
          <cell r="U17">
            <v>80475.830299999943</v>
          </cell>
          <cell r="V17">
            <v>196232.58704999991</v>
          </cell>
          <cell r="W17">
            <v>48312.886419999988</v>
          </cell>
          <cell r="Z17">
            <v>1401959.0436699996</v>
          </cell>
          <cell r="AA17">
            <v>-2530.6590000000001</v>
          </cell>
          <cell r="AB17">
            <v>-188.565</v>
          </cell>
          <cell r="AC17">
            <v>12313.454</v>
          </cell>
          <cell r="AD17">
            <v>30280.704000000002</v>
          </cell>
          <cell r="AH17">
            <v>39874.934000000001</v>
          </cell>
          <cell r="AI17">
            <v>1441833.9776700013</v>
          </cell>
          <cell r="AJ17">
            <v>73175.755600000033</v>
          </cell>
          <cell r="AK17">
            <v>125388.98626000003</v>
          </cell>
          <cell r="AL17">
            <v>-39862.144490000035</v>
          </cell>
          <cell r="AN17">
            <v>158702.59737000009</v>
          </cell>
          <cell r="AO17">
            <v>18858.903000000486</v>
          </cell>
          <cell r="AP17">
            <v>0</v>
          </cell>
          <cell r="AS17">
            <v>18858.903000000486</v>
          </cell>
          <cell r="AT17">
            <v>5620.4260000000004</v>
          </cell>
          <cell r="AU17">
            <v>5708.5039999999999</v>
          </cell>
          <cell r="AV17">
            <v>62079.324999999997</v>
          </cell>
          <cell r="BA17">
            <v>73408.255000000005</v>
          </cell>
          <cell r="BB17">
            <v>0</v>
          </cell>
          <cell r="BC17">
            <v>1697.3</v>
          </cell>
          <cell r="BD17">
            <v>0</v>
          </cell>
          <cell r="BE17">
            <v>0</v>
          </cell>
          <cell r="BF17">
            <v>-9697.27</v>
          </cell>
          <cell r="BG17">
            <v>0</v>
          </cell>
          <cell r="BH17">
            <v>-1175.9770000000001</v>
          </cell>
          <cell r="BJ17">
            <v>-9175.9470000000001</v>
          </cell>
        </row>
        <row r="18">
          <cell r="F18">
            <v>535067.92303000006</v>
          </cell>
          <cell r="G18">
            <v>30830.270539999998</v>
          </cell>
          <cell r="H18">
            <v>35910.378669999998</v>
          </cell>
          <cell r="I18">
            <v>23167.130939999999</v>
          </cell>
          <cell r="J18">
            <v>18450.162620000003</v>
          </cell>
          <cell r="K18">
            <v>100247.06714</v>
          </cell>
          <cell r="L18">
            <v>25358.71487</v>
          </cell>
          <cell r="M18">
            <v>14845.985420000001</v>
          </cell>
          <cell r="N18">
            <v>24042.604749999999</v>
          </cell>
          <cell r="O18">
            <v>11948.200460000002</v>
          </cell>
          <cell r="P18">
            <v>31828.4647</v>
          </cell>
          <cell r="Q18">
            <v>15485.54767</v>
          </cell>
          <cell r="R18">
            <v>15164.80524</v>
          </cell>
          <cell r="S18">
            <v>25211.40943</v>
          </cell>
          <cell r="T18">
            <v>6300.98045</v>
          </cell>
          <cell r="U18">
            <v>10333.300300000001</v>
          </cell>
          <cell r="V18">
            <v>21506.655050000001</v>
          </cell>
          <cell r="W18">
            <v>12635.24742</v>
          </cell>
          <cell r="Z18">
            <v>423266.92567000003</v>
          </cell>
          <cell r="AA18">
            <v>5364.7719999999999</v>
          </cell>
          <cell r="AB18">
            <v>0</v>
          </cell>
          <cell r="AC18">
            <v>3007.2640000000001</v>
          </cell>
          <cell r="AD18">
            <v>5614.2780000000002</v>
          </cell>
          <cell r="AH18">
            <v>13986.314</v>
          </cell>
          <cell r="AI18">
            <v>437253.23966999998</v>
          </cell>
          <cell r="AJ18">
            <v>30506.936590000001</v>
          </cell>
          <cell r="AK18">
            <v>15086.23625</v>
          </cell>
          <cell r="AL18">
            <v>47014.178520000001</v>
          </cell>
          <cell r="AN18">
            <v>92607.351360000001</v>
          </cell>
          <cell r="AO18">
            <v>5186.2629999999999</v>
          </cell>
          <cell r="AP18">
            <v>0</v>
          </cell>
          <cell r="AS18">
            <v>5186.2629999999999</v>
          </cell>
          <cell r="AT18">
            <v>1312.8920000000001</v>
          </cell>
          <cell r="AU18">
            <v>1827.6760000000002</v>
          </cell>
          <cell r="AV18">
            <v>0</v>
          </cell>
          <cell r="BA18">
            <v>3140.5680000000002</v>
          </cell>
          <cell r="BB18">
            <v>0</v>
          </cell>
          <cell r="BC18">
            <v>7110.2709999999997</v>
          </cell>
          <cell r="BD18">
            <v>0</v>
          </cell>
          <cell r="BE18">
            <v>0</v>
          </cell>
          <cell r="BF18">
            <v>-10229.77</v>
          </cell>
          <cell r="BG18">
            <v>0</v>
          </cell>
          <cell r="BH18">
            <v>0</v>
          </cell>
          <cell r="BJ18">
            <v>-3119.4990000000007</v>
          </cell>
        </row>
        <row r="19">
          <cell r="F19">
            <v>506712.55803000001</v>
          </cell>
          <cell r="G19">
            <v>28535.401539999999</v>
          </cell>
          <cell r="H19">
            <v>33985.909670000001</v>
          </cell>
          <cell r="I19">
            <v>21421.799940000001</v>
          </cell>
          <cell r="J19">
            <v>17258.174620000002</v>
          </cell>
          <cell r="K19">
            <v>98381.334140000006</v>
          </cell>
          <cell r="L19">
            <v>23804.64587</v>
          </cell>
          <cell r="M19">
            <v>13652.386420000001</v>
          </cell>
          <cell r="N19">
            <v>22108.89975</v>
          </cell>
          <cell r="O19">
            <v>11568.564460000001</v>
          </cell>
          <cell r="P19">
            <v>30990.431700000001</v>
          </cell>
          <cell r="Q19">
            <v>14672.27867</v>
          </cell>
          <cell r="R19">
            <v>13979.48324</v>
          </cell>
          <cell r="S19">
            <v>23647.41043</v>
          </cell>
          <cell r="T19">
            <v>5930.5804500000004</v>
          </cell>
          <cell r="U19">
            <v>9890.4313000000002</v>
          </cell>
          <cell r="V19">
            <v>20693.386050000001</v>
          </cell>
          <cell r="W19">
            <v>11821.978419999999</v>
          </cell>
          <cell r="Z19">
            <v>402343.09666999994</v>
          </cell>
          <cell r="AA19">
            <v>0</v>
          </cell>
          <cell r="AB19">
            <v>0</v>
          </cell>
          <cell r="AC19">
            <v>3007.2640000000001</v>
          </cell>
          <cell r="AD19">
            <v>5614.2780000000002</v>
          </cell>
          <cell r="AH19">
            <v>8621.5420000000013</v>
          </cell>
          <cell r="AI19">
            <v>410964.63866999996</v>
          </cell>
          <cell r="AJ19">
            <v>30506.936590000001</v>
          </cell>
          <cell r="AK19">
            <v>15086.23625</v>
          </cell>
          <cell r="AL19">
            <v>47014.178520000001</v>
          </cell>
          <cell r="AN19">
            <v>92607.351360000001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1827.6760000000002</v>
          </cell>
          <cell r="AV19">
            <v>0</v>
          </cell>
          <cell r="BA19">
            <v>3140.5680000000002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28355.364999999998</v>
          </cell>
          <cell r="G20">
            <v>2294.8690000000001</v>
          </cell>
          <cell r="H20">
            <v>1924.4690000000001</v>
          </cell>
          <cell r="I20">
            <v>1745.3309999999999</v>
          </cell>
          <cell r="J20">
            <v>1191.9880000000001</v>
          </cell>
          <cell r="K20">
            <v>1865.7329999999999</v>
          </cell>
          <cell r="L20">
            <v>1554.069</v>
          </cell>
          <cell r="M20">
            <v>1193.5989999999999</v>
          </cell>
          <cell r="N20">
            <v>1933.7049999999999</v>
          </cell>
          <cell r="O20">
            <v>379.63600000000002</v>
          </cell>
          <cell r="P20">
            <v>838.03300000000002</v>
          </cell>
          <cell r="Q20">
            <v>813.26900000000001</v>
          </cell>
          <cell r="R20">
            <v>1185.3219999999999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Z20">
            <v>20923.828999999998</v>
          </cell>
          <cell r="AA20">
            <v>5364.7719999999999</v>
          </cell>
          <cell r="AB20">
            <v>0</v>
          </cell>
          <cell r="AC20">
            <v>0</v>
          </cell>
          <cell r="AD20">
            <v>0</v>
          </cell>
          <cell r="AH20">
            <v>5364.7719999999999</v>
          </cell>
          <cell r="AI20">
            <v>26288.600999999999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5186.2629999999999</v>
          </cell>
          <cell r="AP20">
            <v>0</v>
          </cell>
          <cell r="AS20">
            <v>5186.2629999999999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7110.2709999999997</v>
          </cell>
          <cell r="BD20">
            <v>0</v>
          </cell>
          <cell r="BE20">
            <v>0</v>
          </cell>
          <cell r="BF20">
            <v>-10229.77</v>
          </cell>
          <cell r="BG20">
            <v>0</v>
          </cell>
          <cell r="BH20">
            <v>0</v>
          </cell>
          <cell r="BJ20">
            <v>-3119.4990000000007</v>
          </cell>
        </row>
        <row r="21">
          <cell r="F21">
            <v>1148559.8630099911</v>
          </cell>
          <cell r="G21">
            <v>252548.89800000034</v>
          </cell>
          <cell r="H21">
            <v>-66326.553000000393</v>
          </cell>
          <cell r="I21">
            <v>-43489.316000000006</v>
          </cell>
          <cell r="J21">
            <v>-79489.791999999972</v>
          </cell>
          <cell r="K21">
            <v>155083.43899999995</v>
          </cell>
          <cell r="L21">
            <v>149851.16899999979</v>
          </cell>
          <cell r="M21">
            <v>-78322.141000000061</v>
          </cell>
          <cell r="N21">
            <v>173694.29000000004</v>
          </cell>
          <cell r="O21">
            <v>-35259.845999999983</v>
          </cell>
          <cell r="P21">
            <v>-63359.207999999897</v>
          </cell>
          <cell r="Q21">
            <v>42684.097000000023</v>
          </cell>
          <cell r="R21">
            <v>178431.66000000006</v>
          </cell>
          <cell r="S21">
            <v>79527.224000000046</v>
          </cell>
          <cell r="T21">
            <v>32572.09600000003</v>
          </cell>
          <cell r="U21">
            <v>70142.529999999941</v>
          </cell>
          <cell r="V21">
            <v>174725.93199999991</v>
          </cell>
          <cell r="W21">
            <v>35677.638999999988</v>
          </cell>
          <cell r="Z21">
            <v>978692.11799999955</v>
          </cell>
          <cell r="AA21">
            <v>-7895.4310000000005</v>
          </cell>
          <cell r="AB21">
            <v>-188.565</v>
          </cell>
          <cell r="AC21">
            <v>9306.1899999999987</v>
          </cell>
          <cell r="AD21">
            <v>24666.425999999999</v>
          </cell>
          <cell r="AH21">
            <v>25888.620000000003</v>
          </cell>
          <cell r="AI21">
            <v>1004580.7380000013</v>
          </cell>
          <cell r="AJ21">
            <v>42668.819010000036</v>
          </cell>
          <cell r="AK21">
            <v>110302.75001000003</v>
          </cell>
          <cell r="AL21">
            <v>-86876.323010000036</v>
          </cell>
          <cell r="AN21">
            <v>66095.24601000009</v>
          </cell>
          <cell r="AO21">
            <v>13672.640000000487</v>
          </cell>
          <cell r="AP21">
            <v>0</v>
          </cell>
          <cell r="AS21">
            <v>13672.640000000487</v>
          </cell>
          <cell r="AT21">
            <v>4307.5340000000006</v>
          </cell>
          <cell r="AU21">
            <v>3880.8279999999995</v>
          </cell>
          <cell r="AV21">
            <v>62079.324999999997</v>
          </cell>
          <cell r="BA21">
            <v>70267.687000000005</v>
          </cell>
          <cell r="BB21">
            <v>0</v>
          </cell>
          <cell r="BC21">
            <v>-5412.9709999999995</v>
          </cell>
          <cell r="BD21">
            <v>0</v>
          </cell>
          <cell r="BE21">
            <v>0</v>
          </cell>
          <cell r="BF21">
            <v>532.5</v>
          </cell>
          <cell r="BG21">
            <v>0</v>
          </cell>
          <cell r="BH21">
            <v>-1175.9770000000001</v>
          </cell>
          <cell r="BJ21">
            <v>-6056.4479999999994</v>
          </cell>
        </row>
        <row r="22">
          <cell r="F22">
            <v>1851956.9820027649</v>
          </cell>
          <cell r="G22">
            <v>172049.13743063208</v>
          </cell>
          <cell r="H22">
            <v>159294.55578515757</v>
          </cell>
          <cell r="I22">
            <v>82684.301217168089</v>
          </cell>
          <cell r="J22">
            <v>52059.333669633539</v>
          </cell>
          <cell r="K22">
            <v>126116.04874495577</v>
          </cell>
          <cell r="L22">
            <v>110930.40819123415</v>
          </cell>
          <cell r="M22">
            <v>41185.0667356794</v>
          </cell>
          <cell r="N22">
            <v>136920.68902384333</v>
          </cell>
          <cell r="O22">
            <v>33260.301353695933</v>
          </cell>
          <cell r="P22">
            <v>34860.16799182781</v>
          </cell>
          <cell r="Q22">
            <v>65969.838545404738</v>
          </cell>
          <cell r="R22">
            <v>83615.052912383762</v>
          </cell>
          <cell r="S22">
            <v>120335.3784367773</v>
          </cell>
          <cell r="T22">
            <v>20599.111001318928</v>
          </cell>
          <cell r="U22">
            <v>26581.639272447159</v>
          </cell>
          <cell r="V22">
            <v>81074.26631947342</v>
          </cell>
          <cell r="W22">
            <v>33238.992314477626</v>
          </cell>
          <cell r="Z22">
            <v>1380774.2889461105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1380774.2889461105</v>
          </cell>
          <cell r="AJ22">
            <v>28775.88021277521</v>
          </cell>
          <cell r="AK22">
            <v>16571.676413879366</v>
          </cell>
          <cell r="AL22">
            <v>11544.798429999999</v>
          </cell>
          <cell r="AN22">
            <v>56892.355056654575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414290.33799999999</v>
          </cell>
          <cell r="BF22">
            <v>0</v>
          </cell>
          <cell r="BG22">
            <v>0</v>
          </cell>
          <cell r="BH22">
            <v>0</v>
          </cell>
          <cell r="BJ22">
            <v>414290.33799999999</v>
          </cell>
        </row>
        <row r="23">
          <cell r="F23">
            <v>210577.13500276522</v>
          </cell>
          <cell r="G23">
            <v>14782.334487998558</v>
          </cell>
          <cell r="H23">
            <v>13686.47027761326</v>
          </cell>
          <cell r="I23">
            <v>7104.1739339809637</v>
          </cell>
          <cell r="J23">
            <v>4472.8993996678655</v>
          </cell>
          <cell r="K23">
            <v>17820.507457258449</v>
          </cell>
          <cell r="L23">
            <v>15674.739147643006</v>
          </cell>
          <cell r="M23">
            <v>5819.5510896087826</v>
          </cell>
          <cell r="N23">
            <v>19347.229667310337</v>
          </cell>
          <cell r="O23">
            <v>4699.7622761148268</v>
          </cell>
          <cell r="P23">
            <v>4925.8273617178866</v>
          </cell>
          <cell r="Q23">
            <v>9321.7002233392741</v>
          </cell>
          <cell r="R23">
            <v>11815.012354038663</v>
          </cell>
          <cell r="S23">
            <v>10339.126608580265</v>
          </cell>
          <cell r="T23">
            <v>1769.8603638723782</v>
          </cell>
          <cell r="U23">
            <v>2283.874762947069</v>
          </cell>
          <cell r="V23">
            <v>6965.8409277799365</v>
          </cell>
          <cell r="W23">
            <v>2855.8696066391344</v>
          </cell>
          <cell r="Z23">
            <v>153684.77994611065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153684.77994611065</v>
          </cell>
          <cell r="AJ23">
            <v>28775.88021277521</v>
          </cell>
          <cell r="AK23">
            <v>16571.676413879366</v>
          </cell>
          <cell r="AL23">
            <v>11544.798429999999</v>
          </cell>
          <cell r="AN23">
            <v>56892.355056654575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400328.40500000003</v>
          </cell>
          <cell r="G24">
            <v>51307.070853193793</v>
          </cell>
          <cell r="H24">
            <v>47503.50500008947</v>
          </cell>
          <cell r="I24">
            <v>24657.428478573427</v>
          </cell>
          <cell r="J24">
            <v>15524.703936599866</v>
          </cell>
          <cell r="K24">
            <v>35330.577756830549</v>
          </cell>
          <cell r="L24">
            <v>31076.42089329338</v>
          </cell>
          <cell r="M24">
            <v>11537.724319827099</v>
          </cell>
          <cell r="N24">
            <v>38357.426340390273</v>
          </cell>
          <cell r="O24">
            <v>9317.6536601522002</v>
          </cell>
          <cell r="P24">
            <v>9765.8457278674377</v>
          </cell>
          <cell r="Q24">
            <v>18481.014379442342</v>
          </cell>
          <cell r="R24">
            <v>23424.204595377731</v>
          </cell>
          <cell r="S24">
            <v>35885.42133837154</v>
          </cell>
          <cell r="T24">
            <v>6142.8965203826956</v>
          </cell>
          <cell r="U24">
            <v>7926.9566236294659</v>
          </cell>
          <cell r="V24">
            <v>24177.297186979828</v>
          </cell>
          <cell r="W24">
            <v>9912.2573889988853</v>
          </cell>
          <cell r="Z24">
            <v>400328.40500000003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400328.40500000003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1241051.4419999998</v>
          </cell>
          <cell r="G25">
            <v>105959.73208943973</v>
          </cell>
          <cell r="H25">
            <v>98104.580507454841</v>
          </cell>
          <cell r="I25">
            <v>50922.698804613698</v>
          </cell>
          <cell r="J25">
            <v>32061.730333365806</v>
          </cell>
          <cell r="K25">
            <v>72964.963530866778</v>
          </cell>
          <cell r="L25">
            <v>64179.248150297761</v>
          </cell>
          <cell r="M25">
            <v>23827.791326243518</v>
          </cell>
          <cell r="N25">
            <v>79216.033016142697</v>
          </cell>
          <cell r="O25">
            <v>19242.885417428908</v>
          </cell>
          <cell r="P25">
            <v>20168.494902242488</v>
          </cell>
          <cell r="Q25">
            <v>38167.123942623119</v>
          </cell>
          <cell r="R25">
            <v>48375.835962967365</v>
          </cell>
          <cell r="S25">
            <v>74110.830489825501</v>
          </cell>
          <cell r="T25">
            <v>12686.354117063855</v>
          </cell>
          <cell r="U25">
            <v>16370.807885870625</v>
          </cell>
          <cell r="V25">
            <v>49931.128204713663</v>
          </cell>
          <cell r="W25">
            <v>20470.865318839606</v>
          </cell>
          <cell r="Z25">
            <v>826761.10399999982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826761.10399999982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414290.33799999999</v>
          </cell>
          <cell r="BF25">
            <v>0</v>
          </cell>
          <cell r="BG25">
            <v>0</v>
          </cell>
          <cell r="BH25">
            <v>0</v>
          </cell>
          <cell r="BJ25">
            <v>414290.33799999999</v>
          </cell>
        </row>
        <row r="26">
          <cell r="F26">
            <v>-703397.11899277382</v>
          </cell>
          <cell r="G26">
            <v>80499.760569368256</v>
          </cell>
          <cell r="H26">
            <v>-225621.10878515797</v>
          </cell>
          <cell r="I26">
            <v>-126173.6172171681</v>
          </cell>
          <cell r="J26">
            <v>-131549.1256696335</v>
          </cell>
          <cell r="K26">
            <v>28967.390255044185</v>
          </cell>
          <cell r="L26">
            <v>38920.760808765641</v>
          </cell>
          <cell r="M26">
            <v>-119507.20773567946</v>
          </cell>
          <cell r="N26">
            <v>36773.600976156711</v>
          </cell>
          <cell r="O26">
            <v>-68520.147353695909</v>
          </cell>
          <cell r="P26">
            <v>-98219.375991827706</v>
          </cell>
          <cell r="Q26">
            <v>-23285.741545404715</v>
          </cell>
          <cell r="R26">
            <v>94816.607087616299</v>
          </cell>
          <cell r="S26">
            <v>-40808.154436777259</v>
          </cell>
          <cell r="T26">
            <v>11972.984998681102</v>
          </cell>
          <cell r="U26">
            <v>43560.890727552782</v>
          </cell>
          <cell r="V26">
            <v>93651.665680526494</v>
          </cell>
          <cell r="W26">
            <v>2438.6466855223625</v>
          </cell>
          <cell r="Z26">
            <v>-402082.17094611097</v>
          </cell>
          <cell r="AA26">
            <v>-7895.4310000000005</v>
          </cell>
          <cell r="AB26">
            <v>-188.565</v>
          </cell>
          <cell r="AC26">
            <v>9306.1899999999987</v>
          </cell>
          <cell r="AD26">
            <v>24666.425999999999</v>
          </cell>
          <cell r="AH26">
            <v>25888.620000000003</v>
          </cell>
          <cell r="AI26">
            <v>-376193.55094610923</v>
          </cell>
          <cell r="AJ26">
            <v>13892.938797224826</v>
          </cell>
          <cell r="AK26">
            <v>93731.073596120666</v>
          </cell>
          <cell r="AL26">
            <v>-98421.121440000032</v>
          </cell>
          <cell r="AN26">
            <v>9202.8909533455153</v>
          </cell>
          <cell r="AO26">
            <v>13672.640000000487</v>
          </cell>
          <cell r="AP26">
            <v>0</v>
          </cell>
          <cell r="AS26">
            <v>13672.640000000487</v>
          </cell>
          <cell r="AT26">
            <v>4307.5340000000006</v>
          </cell>
          <cell r="AU26">
            <v>3880.8279999999995</v>
          </cell>
          <cell r="AV26">
            <v>62079.324999999997</v>
          </cell>
          <cell r="BA26">
            <v>70267.687000000005</v>
          </cell>
          <cell r="BB26">
            <v>0</v>
          </cell>
          <cell r="BC26">
            <v>-5412.9709999999995</v>
          </cell>
          <cell r="BD26">
            <v>0</v>
          </cell>
          <cell r="BE26">
            <v>-414290.33799999999</v>
          </cell>
          <cell r="BF26">
            <v>532.5</v>
          </cell>
          <cell r="BG26">
            <v>0</v>
          </cell>
          <cell r="BH26">
            <v>-1175.9770000000001</v>
          </cell>
          <cell r="BJ26">
            <v>-420346.78599999996</v>
          </cell>
        </row>
        <row r="27">
          <cell r="F27">
            <v>-703397.11899276474</v>
          </cell>
          <cell r="G27">
            <v>80499.760569368256</v>
          </cell>
          <cell r="H27">
            <v>-225621.10878515797</v>
          </cell>
          <cell r="I27">
            <v>-126173.6172171681</v>
          </cell>
          <cell r="J27">
            <v>-131549.1256696335</v>
          </cell>
          <cell r="K27">
            <v>28967.390255044207</v>
          </cell>
          <cell r="L27">
            <v>38920.760808765634</v>
          </cell>
          <cell r="M27">
            <v>-119507.20773567946</v>
          </cell>
          <cell r="N27">
            <v>36773.60097615674</v>
          </cell>
          <cell r="O27">
            <v>-68520.147353695924</v>
          </cell>
          <cell r="P27">
            <v>-98219.375991827706</v>
          </cell>
          <cell r="Q27">
            <v>-23285.741545404708</v>
          </cell>
          <cell r="R27">
            <v>94816.60708761627</v>
          </cell>
          <cell r="S27">
            <v>-40808.154436777251</v>
          </cell>
          <cell r="T27">
            <v>11972.984998681104</v>
          </cell>
          <cell r="U27">
            <v>43560.890727552796</v>
          </cell>
          <cell r="V27">
            <v>93651.665680526465</v>
          </cell>
          <cell r="W27">
            <v>2438.6466855223625</v>
          </cell>
          <cell r="Z27">
            <v>-402082.17094611074</v>
          </cell>
          <cell r="AA27">
            <v>-7895.4310000000005</v>
          </cell>
          <cell r="AB27">
            <v>-188.565</v>
          </cell>
          <cell r="AC27">
            <v>9306.1899999999987</v>
          </cell>
          <cell r="AD27">
            <v>24666.425999999999</v>
          </cell>
          <cell r="AH27">
            <v>25888.62</v>
          </cell>
          <cell r="AI27">
            <v>-376193.55094611074</v>
          </cell>
          <cell r="AJ27">
            <v>13892.938797224819</v>
          </cell>
          <cell r="AK27">
            <v>93731.073596120666</v>
          </cell>
          <cell r="AL27">
            <v>-98421.121440000032</v>
          </cell>
          <cell r="AN27">
            <v>9202.8909533454571</v>
          </cell>
          <cell r="AO27">
            <v>13672.640000000494</v>
          </cell>
          <cell r="AP27">
            <v>0</v>
          </cell>
          <cell r="AS27">
            <v>13672.640000000494</v>
          </cell>
          <cell r="AT27">
            <v>4307.5340000000006</v>
          </cell>
          <cell r="AU27">
            <v>3880.8279999999995</v>
          </cell>
          <cell r="AV27">
            <v>62079.324999999997</v>
          </cell>
          <cell r="BA27">
            <v>70267.686999999991</v>
          </cell>
          <cell r="BB27">
            <v>0</v>
          </cell>
          <cell r="BC27">
            <v>-5412.9709999999995</v>
          </cell>
          <cell r="BD27">
            <v>0</v>
          </cell>
          <cell r="BE27">
            <v>-414290.33799999999</v>
          </cell>
          <cell r="BF27">
            <v>532.5</v>
          </cell>
          <cell r="BG27">
            <v>0</v>
          </cell>
          <cell r="BH27">
            <v>-1175.9770000000001</v>
          </cell>
          <cell r="BJ27">
            <v>-420346.78600000002</v>
          </cell>
        </row>
        <row r="28">
          <cell r="F28">
            <v>-9.0803951025009155E-9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1.5133991837501526E-9</v>
          </cell>
          <cell r="AJ28">
            <v>0</v>
          </cell>
          <cell r="AK28">
            <v>0</v>
          </cell>
          <cell r="AL28">
            <v>0</v>
          </cell>
          <cell r="AN28">
            <v>5.8207660913467407E-11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31877</v>
          </cell>
          <cell r="H31">
            <v>30290</v>
          </cell>
          <cell r="I31">
            <v>16448</v>
          </cell>
          <cell r="J31">
            <v>10288</v>
          </cell>
          <cell r="K31">
            <v>20199</v>
          </cell>
          <cell r="L31">
            <v>19618</v>
          </cell>
          <cell r="M31">
            <v>7988</v>
          </cell>
          <cell r="N31">
            <v>23440.5</v>
          </cell>
          <cell r="O31">
            <v>6061</v>
          </cell>
          <cell r="P31">
            <v>6546</v>
          </cell>
          <cell r="Q31">
            <v>13338.5</v>
          </cell>
          <cell r="R31">
            <v>13179</v>
          </cell>
          <cell r="S31">
            <v>23459</v>
          </cell>
          <cell r="T31">
            <v>3358.5</v>
          </cell>
          <cell r="U31">
            <v>4398.5</v>
          </cell>
          <cell r="V31">
            <v>15058</v>
          </cell>
          <cell r="W31">
            <v>4794</v>
          </cell>
          <cell r="X31">
            <v>0</v>
          </cell>
          <cell r="Y31">
            <v>0</v>
          </cell>
          <cell r="Z31">
            <v>250341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250341</v>
          </cell>
          <cell r="AJ31">
            <v>25944</v>
          </cell>
          <cell r="AK31">
            <v>34028</v>
          </cell>
          <cell r="AL31">
            <v>14301</v>
          </cell>
          <cell r="AN31">
            <v>74273</v>
          </cell>
          <cell r="AO31">
            <v>7943.9050000000007</v>
          </cell>
          <cell r="AP31">
            <v>0</v>
          </cell>
          <cell r="AS31">
            <v>7943.9050000000007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33691734.729999997</v>
          </cell>
          <cell r="G32">
            <v>3143558.1320000002</v>
          </cell>
          <cell r="H32">
            <v>2910515.5869999998</v>
          </cell>
          <cell r="I32">
            <v>1510748.0999999999</v>
          </cell>
          <cell r="J32">
            <v>951190.71299999999</v>
          </cell>
          <cell r="K32">
            <v>2164686.5269999998</v>
          </cell>
          <cell r="L32">
            <v>1904036.5</v>
          </cell>
          <cell r="M32">
            <v>706910.5</v>
          </cell>
          <cell r="N32">
            <v>2350140</v>
          </cell>
          <cell r="O32">
            <v>570887.9</v>
          </cell>
          <cell r="P32">
            <v>598348.4</v>
          </cell>
          <cell r="Q32">
            <v>1132322.3500000001</v>
          </cell>
          <cell r="R32">
            <v>1435189.1</v>
          </cell>
          <cell r="S32">
            <v>2198681.5109999999</v>
          </cell>
          <cell r="T32">
            <v>376372.14500000002</v>
          </cell>
          <cell r="U32">
            <v>485680.6</v>
          </cell>
          <cell r="V32">
            <v>1481330.7</v>
          </cell>
          <cell r="W32">
            <v>607318.96799999999</v>
          </cell>
          <cell r="X32">
            <v>0</v>
          </cell>
          <cell r="Y32">
            <v>0</v>
          </cell>
          <cell r="Z32">
            <v>24527917.733000003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24571257.733000003</v>
          </cell>
          <cell r="AJ32">
            <v>725697</v>
          </cell>
          <cell r="AK32">
            <v>417920</v>
          </cell>
          <cell r="AL32">
            <v>291147.5</v>
          </cell>
          <cell r="AN32">
            <v>1434764.5</v>
          </cell>
          <cell r="AO32">
            <v>7610207.7719999999</v>
          </cell>
          <cell r="AP32">
            <v>0</v>
          </cell>
          <cell r="AS32">
            <v>7610207.7719999999</v>
          </cell>
          <cell r="AT32">
            <v>5788.1</v>
          </cell>
          <cell r="AU32">
            <v>5940</v>
          </cell>
          <cell r="AV32">
            <v>62079.324999999997</v>
          </cell>
          <cell r="BA32">
            <v>73807.425000000003</v>
          </cell>
          <cell r="BB32">
            <v>0</v>
          </cell>
          <cell r="BC32">
            <v>1697.3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1697.3</v>
          </cell>
        </row>
        <row r="33">
          <cell r="F33">
            <v>31539210.114990003</v>
          </cell>
          <cell r="G33">
            <v>2805311.5019999999</v>
          </cell>
          <cell r="H33">
            <v>2890545.8790000002</v>
          </cell>
          <cell r="I33">
            <v>1489370.3119999999</v>
          </cell>
          <cell r="J33">
            <v>980940.10099999991</v>
          </cell>
          <cell r="K33">
            <v>1935019.4429999997</v>
          </cell>
          <cell r="L33">
            <v>1690843.6910000001</v>
          </cell>
          <cell r="M33">
            <v>746995.56500000006</v>
          </cell>
          <cell r="N33">
            <v>2120838.9249999998</v>
          </cell>
          <cell r="O33">
            <v>569870.05700000003</v>
          </cell>
          <cell r="P33">
            <v>627484.98999999987</v>
          </cell>
          <cell r="Q33">
            <v>1049656.382</v>
          </cell>
          <cell r="R33">
            <v>1220895.003</v>
          </cell>
          <cell r="S33">
            <v>2059656.5499999998</v>
          </cell>
          <cell r="T33">
            <v>324676.848</v>
          </cell>
          <cell r="U33">
            <v>398205.86200000002</v>
          </cell>
          <cell r="V33">
            <v>1267361.6500000001</v>
          </cell>
          <cell r="W33">
            <v>552183.66800000006</v>
          </cell>
          <cell r="X33">
            <v>0</v>
          </cell>
          <cell r="Y33">
            <v>0</v>
          </cell>
          <cell r="Z33">
            <v>22729856.427999999</v>
          </cell>
          <cell r="AA33">
            <v>0</v>
          </cell>
          <cell r="AB33">
            <v>0</v>
          </cell>
          <cell r="AC33">
            <v>3193.81</v>
          </cell>
          <cell r="AD33">
            <v>6173.5740000000005</v>
          </cell>
          <cell r="AH33">
            <v>9367.384</v>
          </cell>
          <cell r="AI33">
            <v>22739223.811999999</v>
          </cell>
          <cell r="AJ33">
            <v>683028.18099000002</v>
          </cell>
          <cell r="AK33">
            <v>307617.24998999998</v>
          </cell>
          <cell r="AL33">
            <v>378023.82301000005</v>
          </cell>
          <cell r="AN33">
            <v>1368669.2539900001</v>
          </cell>
          <cell r="AO33">
            <v>7426488.3939999994</v>
          </cell>
          <cell r="AP33">
            <v>0</v>
          </cell>
          <cell r="AS33">
            <v>7426488.3939999994</v>
          </cell>
          <cell r="AT33">
            <v>1480.566</v>
          </cell>
          <cell r="AU33">
            <v>2059.172</v>
          </cell>
          <cell r="AV33">
            <v>0</v>
          </cell>
          <cell r="BA33">
            <v>3539.7380000000003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112.94</v>
          </cell>
          <cell r="BG33">
            <v>0</v>
          </cell>
          <cell r="BH33">
            <v>1175.9770000000001</v>
          </cell>
          <cell r="BJ33">
            <v>1288.9170000000001</v>
          </cell>
        </row>
        <row r="34">
          <cell r="F34">
            <v>2152524.6150099933</v>
          </cell>
          <cell r="G34">
            <v>338246.63000000035</v>
          </cell>
          <cell r="H34">
            <v>19969.707999999635</v>
          </cell>
          <cell r="I34">
            <v>21377.787999999942</v>
          </cell>
          <cell r="J34">
            <v>-29749.387999999919</v>
          </cell>
          <cell r="K34">
            <v>229667.08400000003</v>
          </cell>
          <cell r="L34">
            <v>213192.80899999989</v>
          </cell>
          <cell r="M34">
            <v>-40085.065000000061</v>
          </cell>
          <cell r="N34">
            <v>229301.07500000019</v>
          </cell>
          <cell r="O34">
            <v>1017.8429999999935</v>
          </cell>
          <cell r="P34">
            <v>-29136.589999999851</v>
          </cell>
          <cell r="Q34">
            <v>82665.96800000011</v>
          </cell>
          <cell r="R34">
            <v>214294.09700000007</v>
          </cell>
          <cell r="S34">
            <v>139024.96100000013</v>
          </cell>
          <cell r="T34">
            <v>51695.29700000002</v>
          </cell>
          <cell r="U34">
            <v>87474.737999999954</v>
          </cell>
          <cell r="V34">
            <v>213969.04999999981</v>
          </cell>
          <cell r="W34">
            <v>55135.29999999993</v>
          </cell>
          <cell r="X34">
            <v>0</v>
          </cell>
          <cell r="Y34">
            <v>0</v>
          </cell>
          <cell r="Z34">
            <v>1798061.3050000034</v>
          </cell>
          <cell r="AA34">
            <v>0</v>
          </cell>
          <cell r="AB34">
            <v>0</v>
          </cell>
          <cell r="AC34">
            <v>9306.19</v>
          </cell>
          <cell r="AD34">
            <v>24666.425999999999</v>
          </cell>
          <cell r="AH34">
            <v>33972.616000000002</v>
          </cell>
          <cell r="AI34">
            <v>1832033.9210000038</v>
          </cell>
          <cell r="AJ34">
            <v>42668.819009999977</v>
          </cell>
          <cell r="AK34">
            <v>110302.75001000002</v>
          </cell>
          <cell r="AL34">
            <v>-86876.323010000051</v>
          </cell>
          <cell r="AN34">
            <v>66095.246009999886</v>
          </cell>
          <cell r="AO34">
            <v>183719.37800000049</v>
          </cell>
          <cell r="AP34">
            <v>0</v>
          </cell>
          <cell r="AS34">
            <v>183719.37800000049</v>
          </cell>
          <cell r="AT34">
            <v>4307.5340000000006</v>
          </cell>
          <cell r="AU34">
            <v>3880.828</v>
          </cell>
          <cell r="AV34">
            <v>62079.324999999997</v>
          </cell>
          <cell r="BA34">
            <v>70267.687000000005</v>
          </cell>
          <cell r="BB34">
            <v>0</v>
          </cell>
          <cell r="BC34">
            <v>1697.3</v>
          </cell>
          <cell r="BD34">
            <v>0</v>
          </cell>
          <cell r="BE34">
            <v>0</v>
          </cell>
          <cell r="BF34">
            <v>-112.94</v>
          </cell>
          <cell r="BG34">
            <v>0</v>
          </cell>
          <cell r="BH34">
            <v>-1175.9770000000001</v>
          </cell>
          <cell r="BJ34">
            <v>408.38299999999981</v>
          </cell>
        </row>
        <row r="35">
          <cell r="F35">
            <v>2855921.7340027653</v>
          </cell>
          <cell r="G35">
            <v>257746.8694306321</v>
          </cell>
          <cell r="H35">
            <v>245590.81678515757</v>
          </cell>
          <cell r="I35">
            <v>147551.4052171681</v>
          </cell>
          <cell r="J35">
            <v>101799.73766963354</v>
          </cell>
          <cell r="K35">
            <v>200699.69374495576</v>
          </cell>
          <cell r="L35">
            <v>174272.04819123415</v>
          </cell>
          <cell r="M35">
            <v>79422.142735679401</v>
          </cell>
          <cell r="N35">
            <v>192527.47402384333</v>
          </cell>
          <cell r="O35">
            <v>69537.990353695932</v>
          </cell>
          <cell r="P35">
            <v>69082.785991827812</v>
          </cell>
          <cell r="Q35">
            <v>105951.70954540474</v>
          </cell>
          <cell r="R35">
            <v>119477.48991238377</v>
          </cell>
          <cell r="S35">
            <v>179833.11543677733</v>
          </cell>
          <cell r="T35">
            <v>39722.312001318925</v>
          </cell>
          <cell r="U35">
            <v>43913.847272447158</v>
          </cell>
          <cell r="V35">
            <v>120317.38431947342</v>
          </cell>
          <cell r="W35">
            <v>52696.653314477626</v>
          </cell>
          <cell r="X35">
            <v>0</v>
          </cell>
          <cell r="Y35">
            <v>0</v>
          </cell>
          <cell r="Z35">
            <v>2200143.4759461107</v>
          </cell>
          <cell r="AA35">
            <v>7895.4310000000005</v>
          </cell>
          <cell r="AB35">
            <v>188.565</v>
          </cell>
          <cell r="AC35">
            <v>0</v>
          </cell>
          <cell r="AD35">
            <v>0</v>
          </cell>
          <cell r="AH35">
            <v>8083.9960000000001</v>
          </cell>
          <cell r="AI35">
            <v>2208227.4719461105</v>
          </cell>
          <cell r="AJ35">
            <v>28775.88021277521</v>
          </cell>
          <cell r="AK35">
            <v>16571.676413879366</v>
          </cell>
          <cell r="AL35">
            <v>11544.798429999999</v>
          </cell>
          <cell r="AN35">
            <v>56892.355056654575</v>
          </cell>
          <cell r="AO35">
            <v>170046.73800000001</v>
          </cell>
          <cell r="AP35">
            <v>0</v>
          </cell>
          <cell r="AS35">
            <v>170046.73800000001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7110.2709999999997</v>
          </cell>
          <cell r="BD35">
            <v>0</v>
          </cell>
          <cell r="BE35">
            <v>414290.33799999999</v>
          </cell>
          <cell r="BF35">
            <v>-645.44000000000051</v>
          </cell>
          <cell r="BG35">
            <v>0</v>
          </cell>
          <cell r="BH35">
            <v>0</v>
          </cell>
          <cell r="BJ35">
            <v>420755.16899999999</v>
          </cell>
        </row>
        <row r="36">
          <cell r="F36">
            <v>-703397.11899277195</v>
          </cell>
          <cell r="G36">
            <v>80499.760569368256</v>
          </cell>
          <cell r="H36">
            <v>-225621.10878515794</v>
          </cell>
          <cell r="I36">
            <v>-126173.61721716815</v>
          </cell>
          <cell r="J36">
            <v>-131549.12566963345</v>
          </cell>
          <cell r="K36">
            <v>28967.390255044273</v>
          </cell>
          <cell r="L36">
            <v>38920.760808765743</v>
          </cell>
          <cell r="M36">
            <v>-119507.20773567946</v>
          </cell>
          <cell r="N36">
            <v>36773.600976156857</v>
          </cell>
          <cell r="O36">
            <v>-68520.147353695938</v>
          </cell>
          <cell r="P36">
            <v>-98219.375991827663</v>
          </cell>
          <cell r="Q36">
            <v>-23285.741545404628</v>
          </cell>
          <cell r="R36">
            <v>94816.607087616299</v>
          </cell>
          <cell r="S36">
            <v>-40808.1544367772</v>
          </cell>
          <cell r="T36">
            <v>11972.984998681095</v>
          </cell>
          <cell r="U36">
            <v>43560.890727552796</v>
          </cell>
          <cell r="V36">
            <v>93651.665680526392</v>
          </cell>
          <cell r="W36">
            <v>2438.6466855223043</v>
          </cell>
          <cell r="X36">
            <v>0</v>
          </cell>
          <cell r="Y36">
            <v>0</v>
          </cell>
          <cell r="Z36">
            <v>-402082.17094610725</v>
          </cell>
          <cell r="AA36">
            <v>-7895.4310000000005</v>
          </cell>
          <cell r="AB36">
            <v>-188.565</v>
          </cell>
          <cell r="AC36">
            <v>9306.19</v>
          </cell>
          <cell r="AD36">
            <v>24666.425999999999</v>
          </cell>
          <cell r="AH36">
            <v>25888.620000000003</v>
          </cell>
          <cell r="AI36">
            <v>-376193.55094610667</v>
          </cell>
          <cell r="AJ36">
            <v>13892.938797224768</v>
          </cell>
          <cell r="AK36">
            <v>93731.073596120652</v>
          </cell>
          <cell r="AL36">
            <v>-98421.121440000046</v>
          </cell>
          <cell r="AN36">
            <v>9202.8909533453116</v>
          </cell>
          <cell r="AO36">
            <v>13672.64000000048</v>
          </cell>
          <cell r="AP36">
            <v>0</v>
          </cell>
          <cell r="AS36">
            <v>13672.64000000048</v>
          </cell>
          <cell r="AT36">
            <v>4307.5340000000006</v>
          </cell>
          <cell r="AU36">
            <v>3880.828</v>
          </cell>
          <cell r="AV36">
            <v>62079.324999999997</v>
          </cell>
          <cell r="BA36">
            <v>70267.687000000005</v>
          </cell>
          <cell r="BB36">
            <v>0</v>
          </cell>
          <cell r="BC36">
            <v>-5412.9709999999995</v>
          </cell>
          <cell r="BD36">
            <v>0</v>
          </cell>
          <cell r="BE36">
            <v>-414290.33799999999</v>
          </cell>
          <cell r="BF36">
            <v>532.50000000000045</v>
          </cell>
          <cell r="BG36">
            <v>0</v>
          </cell>
          <cell r="BH36">
            <v>-1175.9770000000001</v>
          </cell>
          <cell r="BJ36">
            <v>-420346.78600000002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-16696</v>
          </cell>
          <cell r="AK38">
            <v>-17452</v>
          </cell>
          <cell r="AL38">
            <v>-14285</v>
          </cell>
          <cell r="AN38">
            <v>-48433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-1042179.5</v>
          </cell>
          <cell r="Z39">
            <v>0</v>
          </cell>
          <cell r="AH39">
            <v>0</v>
          </cell>
          <cell r="AI39">
            <v>0</v>
          </cell>
          <cell r="AJ39">
            <v>-482240</v>
          </cell>
          <cell r="AK39">
            <v>-269096</v>
          </cell>
          <cell r="AL39">
            <v>-290843.5</v>
          </cell>
          <cell r="AN39">
            <v>-1042179.5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-1042179.4999999999</v>
          </cell>
          <cell r="K40">
            <v>54046.449000000001</v>
          </cell>
          <cell r="L40">
            <v>-74191.104000000007</v>
          </cell>
          <cell r="M40">
            <v>-2359.2959999999998</v>
          </cell>
          <cell r="N40">
            <v>-6527.88</v>
          </cell>
          <cell r="O40">
            <v>0</v>
          </cell>
          <cell r="P40">
            <v>469.83199999999999</v>
          </cell>
          <cell r="Z40">
            <v>-28561.999000000007</v>
          </cell>
          <cell r="AH40">
            <v>0</v>
          </cell>
          <cell r="AI40">
            <v>-28561.999000000007</v>
          </cell>
          <cell r="AJ40">
            <v>-439361</v>
          </cell>
          <cell r="AK40">
            <v>-196655.74400000001</v>
          </cell>
          <cell r="AL40">
            <v>-377600.75699999998</v>
          </cell>
          <cell r="AN40">
            <v>-1013617.5009999999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-54046.449000000001</v>
          </cell>
          <cell r="L41">
            <v>74191.104000000007</v>
          </cell>
          <cell r="M41">
            <v>2359.2959999999998</v>
          </cell>
          <cell r="N41">
            <v>6527.88</v>
          </cell>
          <cell r="O41">
            <v>0</v>
          </cell>
          <cell r="P41">
            <v>-469.83199999999999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28561.999000000007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28561.999000000007</v>
          </cell>
          <cell r="AJ41">
            <v>-42879</v>
          </cell>
          <cell r="AK41">
            <v>-72440.255999999994</v>
          </cell>
          <cell r="AL41">
            <v>86757.256999999983</v>
          </cell>
          <cell r="AN41">
            <v>-28561.999000000069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-54046.449000000001</v>
          </cell>
          <cell r="L43">
            <v>74191.104000000007</v>
          </cell>
          <cell r="M43">
            <v>2359.2959999999998</v>
          </cell>
          <cell r="N43">
            <v>6527.88</v>
          </cell>
          <cell r="O43">
            <v>0</v>
          </cell>
          <cell r="P43">
            <v>-469.83199999999999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28561.999000000007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28561.999000000007</v>
          </cell>
          <cell r="AJ43">
            <v>-42879</v>
          </cell>
          <cell r="AK43">
            <v>-72440.255999999994</v>
          </cell>
          <cell r="AL43">
            <v>86757.256999999983</v>
          </cell>
          <cell r="AN43">
            <v>-28561.999000000069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31877</v>
          </cell>
          <cell r="H45">
            <v>30290</v>
          </cell>
          <cell r="I45">
            <v>16448</v>
          </cell>
          <cell r="J45">
            <v>10288</v>
          </cell>
          <cell r="K45">
            <v>20199</v>
          </cell>
          <cell r="L45">
            <v>19618</v>
          </cell>
          <cell r="M45">
            <v>7988</v>
          </cell>
          <cell r="N45">
            <v>23440.5</v>
          </cell>
          <cell r="O45">
            <v>6061</v>
          </cell>
          <cell r="P45">
            <v>6546</v>
          </cell>
          <cell r="Q45">
            <v>13338.5</v>
          </cell>
          <cell r="R45">
            <v>13179</v>
          </cell>
          <cell r="S45">
            <v>23459</v>
          </cell>
          <cell r="T45">
            <v>3358.5</v>
          </cell>
          <cell r="U45">
            <v>4398.5</v>
          </cell>
          <cell r="V45">
            <v>15058</v>
          </cell>
          <cell r="W45">
            <v>4794</v>
          </cell>
          <cell r="X45">
            <v>0</v>
          </cell>
          <cell r="Y45">
            <v>0</v>
          </cell>
          <cell r="Z45">
            <v>250341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250341</v>
          </cell>
          <cell r="AJ45">
            <v>9248</v>
          </cell>
          <cell r="AK45">
            <v>16576</v>
          </cell>
          <cell r="AL45">
            <v>16</v>
          </cell>
          <cell r="AN45">
            <v>25840</v>
          </cell>
          <cell r="AO45">
            <v>7943.9050000000007</v>
          </cell>
          <cell r="AP45">
            <v>0</v>
          </cell>
          <cell r="AS45">
            <v>7943.9050000000007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32649555.230000004</v>
          </cell>
          <cell r="G46">
            <v>3143558.1320000002</v>
          </cell>
          <cell r="H46">
            <v>2910515.5869999998</v>
          </cell>
          <cell r="I46">
            <v>1510748.0999999999</v>
          </cell>
          <cell r="J46">
            <v>951190.71299999999</v>
          </cell>
          <cell r="K46">
            <v>2164686.5269999998</v>
          </cell>
          <cell r="L46">
            <v>1904036.5</v>
          </cell>
          <cell r="M46">
            <v>706910.5</v>
          </cell>
          <cell r="N46">
            <v>2350140</v>
          </cell>
          <cell r="O46">
            <v>570887.9</v>
          </cell>
          <cell r="P46">
            <v>598348.4</v>
          </cell>
          <cell r="Q46">
            <v>1132322.3500000001</v>
          </cell>
          <cell r="R46">
            <v>1435189.1</v>
          </cell>
          <cell r="S46">
            <v>2198681.5109999999</v>
          </cell>
          <cell r="T46">
            <v>376372.14500000002</v>
          </cell>
          <cell r="U46">
            <v>485680.6</v>
          </cell>
          <cell r="V46">
            <v>1481330.7</v>
          </cell>
          <cell r="W46">
            <v>607318.96799999999</v>
          </cell>
          <cell r="X46">
            <v>0</v>
          </cell>
          <cell r="Y46">
            <v>0</v>
          </cell>
          <cell r="Z46">
            <v>24527917.733000003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24571257.733000003</v>
          </cell>
          <cell r="AJ46">
            <v>243457</v>
          </cell>
          <cell r="AK46">
            <v>148824</v>
          </cell>
          <cell r="AL46">
            <v>304</v>
          </cell>
          <cell r="AN46">
            <v>392585</v>
          </cell>
          <cell r="AO46">
            <v>7610207.7719999999</v>
          </cell>
          <cell r="AP46">
            <v>0</v>
          </cell>
          <cell r="AS46">
            <v>7610207.7719999999</v>
          </cell>
          <cell r="AT46">
            <v>5788.1</v>
          </cell>
          <cell r="AU46">
            <v>5940</v>
          </cell>
          <cell r="AV46">
            <v>62079.324999999997</v>
          </cell>
          <cell r="BA46">
            <v>73807.425000000003</v>
          </cell>
          <cell r="BB46">
            <v>0</v>
          </cell>
          <cell r="BC46">
            <v>1697.3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1697.3</v>
          </cell>
        </row>
        <row r="47">
          <cell r="F47">
            <v>30497030.614989996</v>
          </cell>
          <cell r="G47">
            <v>2805311.5019999999</v>
          </cell>
          <cell r="H47">
            <v>2890545.8790000002</v>
          </cell>
          <cell r="I47">
            <v>1489370.3119999999</v>
          </cell>
          <cell r="J47">
            <v>980940.10099999991</v>
          </cell>
          <cell r="K47">
            <v>1989065.8919999998</v>
          </cell>
          <cell r="L47">
            <v>1616652.5870000001</v>
          </cell>
          <cell r="M47">
            <v>744636.26900000009</v>
          </cell>
          <cell r="N47">
            <v>2114311.0449999999</v>
          </cell>
          <cell r="O47">
            <v>569870.05700000003</v>
          </cell>
          <cell r="P47">
            <v>627954.82199999993</v>
          </cell>
          <cell r="Q47">
            <v>1049656.382</v>
          </cell>
          <cell r="R47">
            <v>1220895.003</v>
          </cell>
          <cell r="S47">
            <v>2059656.5499999998</v>
          </cell>
          <cell r="T47">
            <v>324676.848</v>
          </cell>
          <cell r="U47">
            <v>398205.86200000002</v>
          </cell>
          <cell r="V47">
            <v>1267361.6500000001</v>
          </cell>
          <cell r="W47">
            <v>552183.66800000006</v>
          </cell>
          <cell r="X47">
            <v>0</v>
          </cell>
          <cell r="Y47">
            <v>0</v>
          </cell>
          <cell r="Z47">
            <v>22701294.428999998</v>
          </cell>
          <cell r="AA47">
            <v>0</v>
          </cell>
          <cell r="AB47">
            <v>0</v>
          </cell>
          <cell r="AC47">
            <v>3193.81</v>
          </cell>
          <cell r="AD47">
            <v>6173.5740000000005</v>
          </cell>
          <cell r="AH47">
            <v>9367.384</v>
          </cell>
          <cell r="AI47">
            <v>22710661.812999997</v>
          </cell>
          <cell r="AJ47">
            <v>243667.18099000002</v>
          </cell>
          <cell r="AK47">
            <v>110961.50598999998</v>
          </cell>
          <cell r="AL47">
            <v>423.06601000006776</v>
          </cell>
          <cell r="AN47">
            <v>355051.75299000007</v>
          </cell>
          <cell r="AO47">
            <v>7426488.3939999994</v>
          </cell>
          <cell r="AP47">
            <v>0</v>
          </cell>
          <cell r="AS47">
            <v>7426488.3939999994</v>
          </cell>
          <cell r="AT47">
            <v>1480.566</v>
          </cell>
          <cell r="AU47">
            <v>2059.172</v>
          </cell>
          <cell r="AV47">
            <v>0</v>
          </cell>
          <cell r="BA47">
            <v>3539.7380000000003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112.94</v>
          </cell>
          <cell r="BG47">
            <v>0</v>
          </cell>
          <cell r="BH47">
            <v>1175.9770000000001</v>
          </cell>
          <cell r="BJ47">
            <v>1288.9170000000001</v>
          </cell>
        </row>
        <row r="48">
          <cell r="F48">
            <v>2152524.6150100082</v>
          </cell>
          <cell r="G48">
            <v>338246.63000000035</v>
          </cell>
          <cell r="H48">
            <v>19969.707999999635</v>
          </cell>
          <cell r="I48">
            <v>21377.787999999942</v>
          </cell>
          <cell r="J48">
            <v>-29749.387999999919</v>
          </cell>
          <cell r="K48">
            <v>175620.63500000001</v>
          </cell>
          <cell r="L48">
            <v>287383.91299999994</v>
          </cell>
          <cell r="M48">
            <v>-37725.769000000088</v>
          </cell>
          <cell r="N48">
            <v>235828.95500000007</v>
          </cell>
          <cell r="O48">
            <v>1017.8429999999935</v>
          </cell>
          <cell r="P48">
            <v>-29606.421999999904</v>
          </cell>
          <cell r="Q48">
            <v>82665.96800000011</v>
          </cell>
          <cell r="R48">
            <v>214294.09700000007</v>
          </cell>
          <cell r="S48">
            <v>139024.96100000013</v>
          </cell>
          <cell r="T48">
            <v>51695.29700000002</v>
          </cell>
          <cell r="U48">
            <v>87474.737999999954</v>
          </cell>
          <cell r="V48">
            <v>213969.04999999981</v>
          </cell>
          <cell r="W48">
            <v>55135.29999999993</v>
          </cell>
          <cell r="X48">
            <v>0</v>
          </cell>
          <cell r="Y48">
            <v>0</v>
          </cell>
          <cell r="Z48">
            <v>1826623.3040000051</v>
          </cell>
          <cell r="AA48">
            <v>0</v>
          </cell>
          <cell r="AB48">
            <v>0</v>
          </cell>
          <cell r="AC48">
            <v>9306.19</v>
          </cell>
          <cell r="AD48">
            <v>24666.425999999999</v>
          </cell>
          <cell r="AH48">
            <v>33972.616000000002</v>
          </cell>
          <cell r="AI48">
            <v>1860595.9200000055</v>
          </cell>
          <cell r="AJ48">
            <v>-210.18099000002258</v>
          </cell>
          <cell r="AK48">
            <v>37862.494010000024</v>
          </cell>
          <cell r="AL48">
            <v>-119.06601000006776</v>
          </cell>
          <cell r="AN48">
            <v>37533.247009999934</v>
          </cell>
          <cell r="AO48">
            <v>183719.37800000049</v>
          </cell>
          <cell r="AP48">
            <v>0</v>
          </cell>
          <cell r="AS48">
            <v>183719.37800000049</v>
          </cell>
          <cell r="AT48">
            <v>4307.5340000000006</v>
          </cell>
          <cell r="AU48">
            <v>3880.828</v>
          </cell>
          <cell r="AV48">
            <v>62079.324999999997</v>
          </cell>
          <cell r="BA48">
            <v>70267.687000000005</v>
          </cell>
          <cell r="BB48">
            <v>0</v>
          </cell>
          <cell r="BC48">
            <v>1697.3</v>
          </cell>
          <cell r="BD48">
            <v>0</v>
          </cell>
          <cell r="BE48">
            <v>0</v>
          </cell>
          <cell r="BF48">
            <v>-112.94</v>
          </cell>
          <cell r="BG48">
            <v>0</v>
          </cell>
          <cell r="BH48">
            <v>-1175.9770000000001</v>
          </cell>
          <cell r="BJ48">
            <v>408.38299999999981</v>
          </cell>
        </row>
        <row r="49">
          <cell r="F49">
            <v>2855921.7340027653</v>
          </cell>
          <cell r="G49">
            <v>257746.8694306321</v>
          </cell>
          <cell r="H49">
            <v>245590.81678515757</v>
          </cell>
          <cell r="I49">
            <v>147551.4052171681</v>
          </cell>
          <cell r="J49">
            <v>101799.73766963354</v>
          </cell>
          <cell r="K49">
            <v>200699.69374495576</v>
          </cell>
          <cell r="L49">
            <v>174272.04819123415</v>
          </cell>
          <cell r="M49">
            <v>79422.142735679401</v>
          </cell>
          <cell r="N49">
            <v>192527.47402384333</v>
          </cell>
          <cell r="O49">
            <v>69537.990353695932</v>
          </cell>
          <cell r="P49">
            <v>69082.785991827812</v>
          </cell>
          <cell r="Q49">
            <v>105951.70954540474</v>
          </cell>
          <cell r="R49">
            <v>119477.48991238377</v>
          </cell>
          <cell r="S49">
            <v>179833.11543677733</v>
          </cell>
          <cell r="T49">
            <v>39722.312001318925</v>
          </cell>
          <cell r="U49">
            <v>43913.847272447158</v>
          </cell>
          <cell r="V49">
            <v>120317.38431947342</v>
          </cell>
          <cell r="W49">
            <v>52696.653314477626</v>
          </cell>
          <cell r="X49">
            <v>0</v>
          </cell>
          <cell r="Y49">
            <v>0</v>
          </cell>
          <cell r="Z49">
            <v>2200143.4759461107</v>
          </cell>
          <cell r="AA49">
            <v>7895.4310000000005</v>
          </cell>
          <cell r="AB49">
            <v>188.565</v>
          </cell>
          <cell r="AC49">
            <v>0</v>
          </cell>
          <cell r="AD49">
            <v>0</v>
          </cell>
          <cell r="AH49">
            <v>8083.9960000000001</v>
          </cell>
          <cell r="AI49">
            <v>2208227.4719461105</v>
          </cell>
          <cell r="AJ49">
            <v>28775.88021277521</v>
          </cell>
          <cell r="AK49">
            <v>16571.676413879366</v>
          </cell>
          <cell r="AL49">
            <v>11544.798429999999</v>
          </cell>
          <cell r="AN49">
            <v>56892.355056654575</v>
          </cell>
          <cell r="AO49">
            <v>170046.73800000001</v>
          </cell>
          <cell r="AP49">
            <v>0</v>
          </cell>
          <cell r="AS49">
            <v>170046.73800000001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7110.2709999999997</v>
          </cell>
          <cell r="BD49">
            <v>0</v>
          </cell>
          <cell r="BE49">
            <v>414290.33799999999</v>
          </cell>
          <cell r="BF49">
            <v>-645.44000000000051</v>
          </cell>
          <cell r="BG49">
            <v>0</v>
          </cell>
          <cell r="BH49">
            <v>0</v>
          </cell>
          <cell r="BJ49">
            <v>420755.16899999999</v>
          </cell>
        </row>
        <row r="50">
          <cell r="F50">
            <v>-703397.11899275705</v>
          </cell>
          <cell r="G50">
            <v>80499.760569368256</v>
          </cell>
          <cell r="H50">
            <v>-225621.10878515794</v>
          </cell>
          <cell r="I50">
            <v>-126173.61721716815</v>
          </cell>
          <cell r="J50">
            <v>-131549.12566963345</v>
          </cell>
          <cell r="K50">
            <v>-25079.05874495575</v>
          </cell>
          <cell r="L50">
            <v>113111.86480876579</v>
          </cell>
          <cell r="M50">
            <v>-117147.91173567949</v>
          </cell>
          <cell r="N50">
            <v>43301.480976156745</v>
          </cell>
          <cell r="O50">
            <v>-68520.147353695938</v>
          </cell>
          <cell r="P50">
            <v>-98689.207991827716</v>
          </cell>
          <cell r="Q50">
            <v>-23285.741545404628</v>
          </cell>
          <cell r="R50">
            <v>94816.607087616299</v>
          </cell>
          <cell r="S50">
            <v>-40808.1544367772</v>
          </cell>
          <cell r="T50">
            <v>11972.984998681095</v>
          </cell>
          <cell r="U50">
            <v>43560.890727552796</v>
          </cell>
          <cell r="V50">
            <v>93651.665680526392</v>
          </cell>
          <cell r="W50">
            <v>2438.6466855223043</v>
          </cell>
          <cell r="X50">
            <v>0</v>
          </cell>
          <cell r="Y50">
            <v>0</v>
          </cell>
          <cell r="Z50">
            <v>-373520.17194610555</v>
          </cell>
          <cell r="AA50">
            <v>-7895.4310000000005</v>
          </cell>
          <cell r="AB50">
            <v>-188.565</v>
          </cell>
          <cell r="AC50">
            <v>9306.19</v>
          </cell>
          <cell r="AD50">
            <v>24666.425999999999</v>
          </cell>
          <cell r="AH50">
            <v>25888.620000000003</v>
          </cell>
          <cell r="AI50">
            <v>-347631.55194610497</v>
          </cell>
          <cell r="AJ50">
            <v>-28986.061202775232</v>
          </cell>
          <cell r="AK50">
            <v>21290.817596120658</v>
          </cell>
          <cell r="AL50">
            <v>-11663.864440000067</v>
          </cell>
          <cell r="AN50">
            <v>-19359.108046654641</v>
          </cell>
          <cell r="AO50">
            <v>13672.64000000048</v>
          </cell>
          <cell r="AP50">
            <v>0</v>
          </cell>
          <cell r="AS50">
            <v>13672.64000000048</v>
          </cell>
          <cell r="AT50">
            <v>4307.5340000000006</v>
          </cell>
          <cell r="AU50">
            <v>3880.828</v>
          </cell>
          <cell r="AV50">
            <v>62079.324999999997</v>
          </cell>
          <cell r="BA50">
            <v>70267.687000000005</v>
          </cell>
          <cell r="BB50">
            <v>0</v>
          </cell>
          <cell r="BC50">
            <v>-5412.9709999999995</v>
          </cell>
          <cell r="BD50">
            <v>0</v>
          </cell>
          <cell r="BE50">
            <v>-414290.33799999999</v>
          </cell>
          <cell r="BF50">
            <v>532.50000000000045</v>
          </cell>
          <cell r="BG50">
            <v>0</v>
          </cell>
          <cell r="BH50">
            <v>-1175.9770000000001</v>
          </cell>
          <cell r="BJ50">
            <v>-420346.78600000002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2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293433</v>
          </cell>
          <cell r="H7">
            <v>245794</v>
          </cell>
          <cell r="I7">
            <v>112679</v>
          </cell>
          <cell r="J7">
            <v>89800.320000000007</v>
          </cell>
          <cell r="K7">
            <v>177587</v>
          </cell>
          <cell r="L7">
            <v>150448</v>
          </cell>
          <cell r="M7">
            <v>77292</v>
          </cell>
          <cell r="N7">
            <v>195262</v>
          </cell>
          <cell r="O7">
            <v>64524</v>
          </cell>
          <cell r="P7">
            <v>84364</v>
          </cell>
          <cell r="Q7">
            <v>91383</v>
          </cell>
          <cell r="R7">
            <v>100359.5</v>
          </cell>
          <cell r="S7">
            <v>188081</v>
          </cell>
          <cell r="T7">
            <v>23686</v>
          </cell>
          <cell r="U7">
            <v>44545.5</v>
          </cell>
          <cell r="V7">
            <v>113888.5</v>
          </cell>
          <cell r="W7">
            <v>50282</v>
          </cell>
          <cell r="Z7">
            <v>2103408.8200000003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2103408.8200000003</v>
          </cell>
          <cell r="AJ7">
            <v>219141</v>
          </cell>
          <cell r="AK7">
            <v>204122</v>
          </cell>
          <cell r="AL7">
            <v>160180</v>
          </cell>
          <cell r="AN7">
            <v>583443</v>
          </cell>
          <cell r="AO7">
            <v>84893.854999999996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297019225.84700006</v>
          </cell>
          <cell r="G8">
            <v>28252418.752999999</v>
          </cell>
          <cell r="H8">
            <v>23901609.151000001</v>
          </cell>
          <cell r="I8">
            <v>10469360.843</v>
          </cell>
          <cell r="J8">
            <v>8567537.574000001</v>
          </cell>
          <cell r="K8">
            <v>19085782.846999999</v>
          </cell>
          <cell r="L8">
            <v>14719934.818</v>
          </cell>
          <cell r="M8">
            <v>6932471.6000000006</v>
          </cell>
          <cell r="N8">
            <v>19447451.25</v>
          </cell>
          <cell r="O8">
            <v>5974348.0470000003</v>
          </cell>
          <cell r="P8">
            <v>8071303.6800000006</v>
          </cell>
          <cell r="Q8">
            <v>8113867.6889999993</v>
          </cell>
          <cell r="R8">
            <v>10464858.467999998</v>
          </cell>
          <cell r="S8">
            <v>18111734.785</v>
          </cell>
          <cell r="T8">
            <v>2579135.8989999997</v>
          </cell>
          <cell r="U8">
            <v>4899092.7219999991</v>
          </cell>
          <cell r="V8">
            <v>11077996.586999999</v>
          </cell>
          <cell r="W8">
            <v>6189556.9120000014</v>
          </cell>
          <cell r="Z8">
            <v>206858461.62500003</v>
          </cell>
          <cell r="AA8">
            <v>125000</v>
          </cell>
          <cell r="AB8">
            <v>0</v>
          </cell>
          <cell r="AC8">
            <v>112500</v>
          </cell>
          <cell r="AD8">
            <v>270060</v>
          </cell>
          <cell r="AH8">
            <v>507560</v>
          </cell>
          <cell r="AI8">
            <v>207366021.62500003</v>
          </cell>
          <cell r="AJ8">
            <v>6231505</v>
          </cell>
          <cell r="AK8">
            <v>2775958</v>
          </cell>
          <cell r="AL8">
            <v>3069826</v>
          </cell>
          <cell r="AN8">
            <v>12077289</v>
          </cell>
          <cell r="AO8">
            <v>76897590.006999984</v>
          </cell>
          <cell r="AP8">
            <v>0</v>
          </cell>
          <cell r="AS8">
            <v>76897590.006999984</v>
          </cell>
          <cell r="AT8">
            <v>50990.499999999993</v>
          </cell>
          <cell r="AU8">
            <v>52740</v>
          </cell>
          <cell r="AV8">
            <v>559455.16500000004</v>
          </cell>
          <cell r="BA8">
            <v>663185.66500000004</v>
          </cell>
          <cell r="BB8">
            <v>0</v>
          </cell>
          <cell r="BC8">
            <v>15139.549999999997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15139.549999999997</v>
          </cell>
        </row>
        <row r="9">
          <cell r="G9">
            <v>96282.349814097252</v>
          </cell>
          <cell r="H9">
            <v>97242.443472989573</v>
          </cell>
          <cell r="I9">
            <v>92913.150125577973</v>
          </cell>
          <cell r="J9">
            <v>95406.537237283788</v>
          </cell>
          <cell r="K9">
            <v>107472.86032761408</v>
          </cell>
          <cell r="L9">
            <v>97840.681285228115</v>
          </cell>
          <cell r="M9">
            <v>89691.968120892212</v>
          </cell>
          <cell r="N9">
            <v>99596.702123301002</v>
          </cell>
          <cell r="O9">
            <v>92591.09861446904</v>
          </cell>
          <cell r="P9">
            <v>95672.368308757301</v>
          </cell>
          <cell r="Q9">
            <v>88789.683956534573</v>
          </cell>
          <cell r="R9">
            <v>104273.72065424797</v>
          </cell>
          <cell r="S9">
            <v>96297.524922772631</v>
          </cell>
          <cell r="T9">
            <v>108888.62192856538</v>
          </cell>
          <cell r="U9">
            <v>109979.52031069355</v>
          </cell>
          <cell r="V9">
            <v>97270.546077962208</v>
          </cell>
          <cell r="W9">
            <v>123096.87188258226</v>
          </cell>
          <cell r="Z9">
            <v>98344.392045004352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98585.695587698458</v>
          </cell>
          <cell r="AJ9">
            <v>28436.052587147089</v>
          </cell>
          <cell r="AK9">
            <v>13599.504218065666</v>
          </cell>
          <cell r="AL9">
            <v>19164.852041453363</v>
          </cell>
          <cell r="AO9">
            <v>905808.67139323556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273614592.41065997</v>
          </cell>
          <cell r="G10">
            <v>25416519.822980002</v>
          </cell>
          <cell r="H10">
            <v>22700166.399409998</v>
          </cell>
          <cell r="I10">
            <v>10138603.77217</v>
          </cell>
          <cell r="J10">
            <v>8105044.9119299995</v>
          </cell>
          <cell r="K10">
            <v>15879356.23215</v>
          </cell>
          <cell r="L10">
            <v>12908947.081040001</v>
          </cell>
          <cell r="M10">
            <v>6781107.2580500003</v>
          </cell>
          <cell r="N10">
            <v>17185137.785289999</v>
          </cell>
          <cell r="O10">
            <v>5618862.9929899992</v>
          </cell>
          <cell r="P10">
            <v>7239518.2241899995</v>
          </cell>
          <cell r="Q10">
            <v>7612062.8547700001</v>
          </cell>
          <cell r="R10">
            <v>9188669.9418599997</v>
          </cell>
          <cell r="S10">
            <v>16603454.186349999</v>
          </cell>
          <cell r="T10">
            <v>2329644.29703</v>
          </cell>
          <cell r="U10">
            <v>3775270.2570799999</v>
          </cell>
          <cell r="V10">
            <v>9488950.8142900001</v>
          </cell>
          <cell r="W10">
            <v>5297629.161150001</v>
          </cell>
          <cell r="Z10">
            <v>186268945.99272996</v>
          </cell>
          <cell r="AA10">
            <v>5838.259</v>
          </cell>
          <cell r="AB10">
            <v>0</v>
          </cell>
          <cell r="AC10">
            <v>27933.277999999995</v>
          </cell>
          <cell r="AD10">
            <v>74135.683000000005</v>
          </cell>
          <cell r="AH10">
            <v>107907.22</v>
          </cell>
          <cell r="AI10">
            <v>186376853.21272996</v>
          </cell>
          <cell r="AJ10">
            <v>5613172.6927700005</v>
          </cell>
          <cell r="AK10">
            <v>2158693.4433999998</v>
          </cell>
          <cell r="AL10">
            <v>3610803.1967599997</v>
          </cell>
          <cell r="AN10">
            <v>11382669.332929999</v>
          </cell>
          <cell r="AO10">
            <v>75591089.328999996</v>
          </cell>
          <cell r="AP10">
            <v>0</v>
          </cell>
          <cell r="AS10">
            <v>75591089.328999996</v>
          </cell>
          <cell r="AT10">
            <v>1372.5889999999999</v>
          </cell>
          <cell r="AU10">
            <v>1838.393</v>
          </cell>
          <cell r="AV10">
            <v>0</v>
          </cell>
          <cell r="BA10">
            <v>3210.982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112.94</v>
          </cell>
          <cell r="BG10">
            <v>302804.88</v>
          </cell>
          <cell r="BH10">
            <v>-42148.265999999996</v>
          </cell>
          <cell r="BJ10">
            <v>260769.554</v>
          </cell>
        </row>
        <row r="11">
          <cell r="G11">
            <v>86617.796304369316</v>
          </cell>
          <cell r="H11">
            <v>92354.436639665742</v>
          </cell>
          <cell r="I11">
            <v>89977.75780908599</v>
          </cell>
          <cell r="J11">
            <v>90256.30322842946</v>
          </cell>
          <cell r="K11">
            <v>89417.334783233004</v>
          </cell>
          <cell r="L11">
            <v>85803.381108688729</v>
          </cell>
          <cell r="M11">
            <v>87733.623894452205</v>
          </cell>
          <cell r="N11">
            <v>88010.661497321533</v>
          </cell>
          <cell r="O11">
            <v>87081.752417550044</v>
          </cell>
          <cell r="P11">
            <v>85812.884929472275</v>
          </cell>
          <cell r="Q11">
            <v>83298.456548482762</v>
          </cell>
          <cell r="R11">
            <v>91557.550026255616</v>
          </cell>
          <cell r="S11">
            <v>88278.21091099047</v>
          </cell>
          <cell r="T11">
            <v>98355.327916490758</v>
          </cell>
          <cell r="U11">
            <v>84750.878474368903</v>
          </cell>
          <cell r="V11">
            <v>83317.901406112112</v>
          </cell>
          <cell r="W11">
            <v>105358.36206097611</v>
          </cell>
          <cell r="Z11">
            <v>88555.750181141644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88607.051297203332</v>
          </cell>
          <cell r="AJ11">
            <v>25614.434052824439</v>
          </cell>
          <cell r="AK11">
            <v>10575.506037565769</v>
          </cell>
          <cell r="AL11">
            <v>22542.160049694092</v>
          </cell>
          <cell r="AO11">
            <v>890418.85692433221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23404633.436340094</v>
          </cell>
          <cell r="G12">
            <v>2835898.9300199971</v>
          </cell>
          <cell r="H12">
            <v>1201442.7515900023</v>
          </cell>
          <cell r="I12">
            <v>330757.07083000056</v>
          </cell>
          <cell r="J12">
            <v>462492.66207000148</v>
          </cell>
          <cell r="K12">
            <v>3206426.6148499995</v>
          </cell>
          <cell r="L12">
            <v>1810987.7369599994</v>
          </cell>
          <cell r="M12">
            <v>151364.34195000026</v>
          </cell>
          <cell r="N12">
            <v>2262313.4647100009</v>
          </cell>
          <cell r="O12">
            <v>355485.05401000101</v>
          </cell>
          <cell r="P12">
            <v>831785.45581000112</v>
          </cell>
          <cell r="Q12">
            <v>501804.83422999922</v>
          </cell>
          <cell r="R12">
            <v>1276188.5261399988</v>
          </cell>
          <cell r="S12">
            <v>1508280.598650001</v>
          </cell>
          <cell r="T12">
            <v>249491.60196999973</v>
          </cell>
          <cell r="U12">
            <v>1123822.4649199992</v>
          </cell>
          <cell r="V12">
            <v>1589045.7727099992</v>
          </cell>
          <cell r="W12">
            <v>891927.75085000042</v>
          </cell>
          <cell r="Z12">
            <v>20589515.632270001</v>
          </cell>
          <cell r="AA12">
            <v>119161.74099999999</v>
          </cell>
          <cell r="AB12">
            <v>0</v>
          </cell>
          <cell r="AC12">
            <v>84566.722000000009</v>
          </cell>
          <cell r="AD12">
            <v>195924.31699999998</v>
          </cell>
          <cell r="AH12">
            <v>399652.78</v>
          </cell>
          <cell r="AI12">
            <v>20989168.412270069</v>
          </cell>
          <cell r="AJ12">
            <v>618332.30722999945</v>
          </cell>
          <cell r="AK12">
            <v>617264.55660000024</v>
          </cell>
          <cell r="AL12">
            <v>-540977.19675999973</v>
          </cell>
          <cell r="AN12">
            <v>694619.66707000136</v>
          </cell>
          <cell r="AO12">
            <v>1306500.6779999882</v>
          </cell>
          <cell r="AP12">
            <v>0</v>
          </cell>
          <cell r="AS12">
            <v>1306500.6779999882</v>
          </cell>
          <cell r="AT12">
            <v>49617.910999999993</v>
          </cell>
          <cell r="AU12">
            <v>50901.607000000004</v>
          </cell>
          <cell r="AV12">
            <v>559455.16500000004</v>
          </cell>
          <cell r="BA12">
            <v>659974.68300000008</v>
          </cell>
          <cell r="BB12">
            <v>0</v>
          </cell>
          <cell r="BC12">
            <v>15139.549999999997</v>
          </cell>
          <cell r="BD12">
            <v>0</v>
          </cell>
          <cell r="BE12">
            <v>0</v>
          </cell>
          <cell r="BF12">
            <v>-112.94</v>
          </cell>
          <cell r="BG12">
            <v>-302804.88</v>
          </cell>
          <cell r="BH12">
            <v>42148.265999999996</v>
          </cell>
          <cell r="BJ12">
            <v>-245630.00400000002</v>
          </cell>
        </row>
        <row r="13">
          <cell r="F13">
            <v>7728966.0249999994</v>
          </cell>
          <cell r="G13">
            <v>618080.80499999993</v>
          </cell>
          <cell r="H13">
            <v>632967.26500000001</v>
          </cell>
          <cell r="I13">
            <v>489162.91899999999</v>
          </cell>
          <cell r="J13">
            <v>348208.01199999999</v>
          </cell>
          <cell r="K13">
            <v>496312.946</v>
          </cell>
          <cell r="L13">
            <v>499902.55499999999</v>
          </cell>
          <cell r="M13">
            <v>322674.05199999997</v>
          </cell>
          <cell r="N13">
            <v>413050.57899999997</v>
          </cell>
          <cell r="O13">
            <v>276985.625</v>
          </cell>
          <cell r="P13">
            <v>267947.40000000002</v>
          </cell>
          <cell r="Q13">
            <v>276829.08799999999</v>
          </cell>
          <cell r="R13">
            <v>255045.61700000003</v>
          </cell>
          <cell r="S13">
            <v>441353.78899999999</v>
          </cell>
          <cell r="T13">
            <v>110471.35100000001</v>
          </cell>
          <cell r="U13">
            <v>114233.65199999999</v>
          </cell>
          <cell r="V13">
            <v>287620.88500000001</v>
          </cell>
          <cell r="W13">
            <v>143838.59400000001</v>
          </cell>
          <cell r="Z13">
            <v>5994685.1339999996</v>
          </cell>
          <cell r="AA13">
            <v>49046.835999999996</v>
          </cell>
          <cell r="AB13">
            <v>2248.8469999999998</v>
          </cell>
          <cell r="AC13">
            <v>0</v>
          </cell>
          <cell r="AD13">
            <v>0</v>
          </cell>
          <cell r="AH13">
            <v>51295.682999999997</v>
          </cell>
          <cell r="AI13">
            <v>6045980.8169999989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1296451.8700000001</v>
          </cell>
          <cell r="AP13">
            <v>0</v>
          </cell>
          <cell r="AS13">
            <v>1296451.8700000001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148146.43799999997</v>
          </cell>
          <cell r="BG13">
            <v>238386.9</v>
          </cell>
          <cell r="BH13">
            <v>0</v>
          </cell>
          <cell r="BJ13">
            <v>386533.33799999999</v>
          </cell>
        </row>
        <row r="14">
          <cell r="F14">
            <v>5208855.1989999991</v>
          </cell>
          <cell r="G14">
            <v>415978.17199999996</v>
          </cell>
          <cell r="H14">
            <v>425884.071</v>
          </cell>
          <cell r="I14">
            <v>326857.24699999997</v>
          </cell>
          <cell r="J14">
            <v>247399.45799999998</v>
          </cell>
          <cell r="K14">
            <v>333955.93899999995</v>
          </cell>
          <cell r="L14">
            <v>342409.81599999999</v>
          </cell>
          <cell r="M14">
            <v>227704.27799999996</v>
          </cell>
          <cell r="N14">
            <v>286210.52499999997</v>
          </cell>
          <cell r="O14">
            <v>186322.85700000002</v>
          </cell>
          <cell r="P14">
            <v>188505.82600000003</v>
          </cell>
          <cell r="Q14">
            <v>192920.30099999998</v>
          </cell>
          <cell r="R14">
            <v>178808.78400000001</v>
          </cell>
          <cell r="S14">
            <v>309288.04899999994</v>
          </cell>
          <cell r="T14">
            <v>68238.710000000006</v>
          </cell>
          <cell r="U14">
            <v>76506.738999999987</v>
          </cell>
          <cell r="V14">
            <v>204409.97100000002</v>
          </cell>
          <cell r="W14">
            <v>99142.07</v>
          </cell>
          <cell r="Z14">
            <v>4110542.8129999992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4110542.8129999992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859925.48600000003</v>
          </cell>
          <cell r="AP14">
            <v>0</v>
          </cell>
          <cell r="AS14">
            <v>859925.48600000003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2520110.8260000004</v>
          </cell>
          <cell r="G15">
            <v>202102.63299999997</v>
          </cell>
          <cell r="H15">
            <v>207083.19399999999</v>
          </cell>
          <cell r="I15">
            <v>162305.67199999999</v>
          </cell>
          <cell r="J15">
            <v>100808.55399999999</v>
          </cell>
          <cell r="K15">
            <v>162357.00700000001</v>
          </cell>
          <cell r="L15">
            <v>157492.739</v>
          </cell>
          <cell r="M15">
            <v>94969.774000000019</v>
          </cell>
          <cell r="N15">
            <v>126840.05399999999</v>
          </cell>
          <cell r="O15">
            <v>90662.767999999996</v>
          </cell>
          <cell r="P15">
            <v>79441.574000000008</v>
          </cell>
          <cell r="Q15">
            <v>83908.786999999997</v>
          </cell>
          <cell r="R15">
            <v>76236.832999999999</v>
          </cell>
          <cell r="S15">
            <v>132065.74000000002</v>
          </cell>
          <cell r="T15">
            <v>42232.641000000003</v>
          </cell>
          <cell r="U15">
            <v>37726.913</v>
          </cell>
          <cell r="V15">
            <v>83210.914000000004</v>
          </cell>
          <cell r="W15">
            <v>44696.524000000005</v>
          </cell>
          <cell r="Z15">
            <v>1884142.321</v>
          </cell>
          <cell r="AA15">
            <v>49046.835999999996</v>
          </cell>
          <cell r="AB15">
            <v>2248.8469999999998</v>
          </cell>
          <cell r="AC15">
            <v>0</v>
          </cell>
          <cell r="AD15">
            <v>0</v>
          </cell>
          <cell r="AH15">
            <v>51295.682999999997</v>
          </cell>
          <cell r="AI15">
            <v>1935438.004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436526.38400000008</v>
          </cell>
          <cell r="AP15">
            <v>0</v>
          </cell>
          <cell r="AS15">
            <v>436526.38400000008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148146.43799999997</v>
          </cell>
          <cell r="BG15">
            <v>0</v>
          </cell>
          <cell r="BH15">
            <v>0</v>
          </cell>
          <cell r="BJ15">
            <v>148146.43799999997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15675667.411340095</v>
          </cell>
          <cell r="G17">
            <v>2217818.1250199974</v>
          </cell>
          <cell r="H17">
            <v>568475.48659000231</v>
          </cell>
          <cell r="I17">
            <v>-158405.84816999943</v>
          </cell>
          <cell r="J17">
            <v>114284.65007000149</v>
          </cell>
          <cell r="K17">
            <v>2710113.6688499996</v>
          </cell>
          <cell r="L17">
            <v>1311085.1819599995</v>
          </cell>
          <cell r="M17">
            <v>-171309.7100499997</v>
          </cell>
          <cell r="N17">
            <v>1849262.885710001</v>
          </cell>
          <cell r="O17">
            <v>78499.429010001011</v>
          </cell>
          <cell r="P17">
            <v>563838.0558100011</v>
          </cell>
          <cell r="Q17">
            <v>224975.74622999923</v>
          </cell>
          <cell r="R17">
            <v>1021142.9091399987</v>
          </cell>
          <cell r="S17">
            <v>1066926.8096500011</v>
          </cell>
          <cell r="T17">
            <v>139020.2509699997</v>
          </cell>
          <cell r="U17">
            <v>1009588.8129199992</v>
          </cell>
          <cell r="V17">
            <v>1301424.8877099992</v>
          </cell>
          <cell r="W17">
            <v>748089.15685000038</v>
          </cell>
          <cell r="Z17">
            <v>14594830.498270001</v>
          </cell>
          <cell r="AA17">
            <v>70114.904999999999</v>
          </cell>
          <cell r="AB17">
            <v>-2248.8469999999998</v>
          </cell>
          <cell r="AC17">
            <v>84566.722000000009</v>
          </cell>
          <cell r="AD17">
            <v>195924.31699999998</v>
          </cell>
          <cell r="AH17">
            <v>348357.09700000001</v>
          </cell>
          <cell r="AI17">
            <v>14943187.595270071</v>
          </cell>
          <cell r="AJ17">
            <v>618332.30722999945</v>
          </cell>
          <cell r="AK17">
            <v>617264.55660000024</v>
          </cell>
          <cell r="AL17">
            <v>-540977.19675999973</v>
          </cell>
          <cell r="AN17">
            <v>694619.66707000136</v>
          </cell>
          <cell r="AO17">
            <v>10048.807999988087</v>
          </cell>
          <cell r="AP17">
            <v>0</v>
          </cell>
          <cell r="AS17">
            <v>10048.807999988087</v>
          </cell>
          <cell r="AT17">
            <v>49617.910999999993</v>
          </cell>
          <cell r="AU17">
            <v>50901.607000000004</v>
          </cell>
          <cell r="AV17">
            <v>559455.16500000004</v>
          </cell>
          <cell r="BA17">
            <v>659974.68300000008</v>
          </cell>
          <cell r="BB17">
            <v>0</v>
          </cell>
          <cell r="BC17">
            <v>15139.549999999997</v>
          </cell>
          <cell r="BD17">
            <v>0</v>
          </cell>
          <cell r="BE17">
            <v>0</v>
          </cell>
          <cell r="BF17">
            <v>-148259.37799999997</v>
          </cell>
          <cell r="BG17">
            <v>-541191.78</v>
          </cell>
          <cell r="BH17">
            <v>42148.265999999996</v>
          </cell>
          <cell r="BJ17">
            <v>-632163.34199999995</v>
          </cell>
        </row>
        <row r="18">
          <cell r="F18">
            <v>5318762.9092899999</v>
          </cell>
          <cell r="G18">
            <v>274257.36301999999</v>
          </cell>
          <cell r="H18">
            <v>320144.11557999998</v>
          </cell>
          <cell r="I18">
            <v>184827.09183000002</v>
          </cell>
          <cell r="J18">
            <v>164693.21507000001</v>
          </cell>
          <cell r="K18">
            <v>934435.40084999998</v>
          </cell>
          <cell r="L18">
            <v>303027.92596000002</v>
          </cell>
          <cell r="M18">
            <v>137122.25795</v>
          </cell>
          <cell r="N18">
            <v>211817.41371000002</v>
          </cell>
          <cell r="O18">
            <v>111340.92400999999</v>
          </cell>
          <cell r="P18">
            <v>284667.79981</v>
          </cell>
          <cell r="Q18">
            <v>140196.54523000002</v>
          </cell>
          <cell r="R18">
            <v>136542.27214000002</v>
          </cell>
          <cell r="S18">
            <v>290988.28565000003</v>
          </cell>
          <cell r="T18">
            <v>56157.339970000001</v>
          </cell>
          <cell r="U18">
            <v>96736.725919999997</v>
          </cell>
          <cell r="V18">
            <v>191937.25871000002</v>
          </cell>
          <cell r="W18">
            <v>115464.96685</v>
          </cell>
          <cell r="Z18">
            <v>3954356.9022600004</v>
          </cell>
          <cell r="AA18">
            <v>50171.144999999997</v>
          </cell>
          <cell r="AB18">
            <v>0</v>
          </cell>
          <cell r="AC18">
            <v>6225.7669999999998</v>
          </cell>
          <cell r="AD18">
            <v>13836.543</v>
          </cell>
          <cell r="AH18">
            <v>70233.455000000002</v>
          </cell>
          <cell r="AI18">
            <v>4024590.35726</v>
          </cell>
          <cell r="AJ18">
            <v>315643.16221999994</v>
          </cell>
          <cell r="AK18">
            <v>140386.76056999998</v>
          </cell>
          <cell r="AL18">
            <v>509022.36223999999</v>
          </cell>
          <cell r="AN18">
            <v>965052.28502999991</v>
          </cell>
          <cell r="AO18">
            <v>49712.156999999999</v>
          </cell>
          <cell r="AP18">
            <v>0</v>
          </cell>
          <cell r="AS18">
            <v>49712.156999999999</v>
          </cell>
          <cell r="AT18">
            <v>11816.028</v>
          </cell>
          <cell r="AU18">
            <v>38627.64</v>
          </cell>
          <cell r="AV18">
            <v>0</v>
          </cell>
          <cell r="BA18">
            <v>50443.667999999998</v>
          </cell>
          <cell r="BB18">
            <v>0</v>
          </cell>
          <cell r="BC18">
            <v>125221.197</v>
          </cell>
          <cell r="BD18">
            <v>0</v>
          </cell>
          <cell r="BE18">
            <v>0</v>
          </cell>
          <cell r="BF18">
            <v>103743.245</v>
          </cell>
          <cell r="BG18">
            <v>0</v>
          </cell>
          <cell r="BH18">
            <v>0</v>
          </cell>
          <cell r="BJ18">
            <v>228964.44199999998</v>
          </cell>
        </row>
        <row r="19">
          <cell r="F19">
            <v>4817516.1782900002</v>
          </cell>
          <cell r="G19">
            <v>254583.74201999998</v>
          </cell>
          <cell r="H19">
            <v>301630.04358</v>
          </cell>
          <cell r="I19">
            <v>168963.63083000001</v>
          </cell>
          <cell r="J19">
            <v>153965.33107000001</v>
          </cell>
          <cell r="K19">
            <v>917602.48184999998</v>
          </cell>
          <cell r="L19">
            <v>288999.98295999999</v>
          </cell>
          <cell r="M19">
            <v>126750.27495000001</v>
          </cell>
          <cell r="N19">
            <v>195895.68271000002</v>
          </cell>
          <cell r="O19">
            <v>106072.20600999999</v>
          </cell>
          <cell r="P19">
            <v>275232.17481</v>
          </cell>
          <cell r="Q19">
            <v>132771.81523000001</v>
          </cell>
          <cell r="R19">
            <v>127439.15714000001</v>
          </cell>
          <cell r="S19">
            <v>276815.48865000001</v>
          </cell>
          <cell r="T19">
            <v>52823.743970000003</v>
          </cell>
          <cell r="U19">
            <v>92750.904920000001</v>
          </cell>
          <cell r="V19">
            <v>184556.94571000003</v>
          </cell>
          <cell r="W19">
            <v>108097.14085</v>
          </cell>
          <cell r="Z19">
            <v>3764950.7472600001</v>
          </cell>
          <cell r="AA19">
            <v>17007.167999999998</v>
          </cell>
          <cell r="AB19">
            <v>0</v>
          </cell>
          <cell r="AC19">
            <v>6225.7669999999998</v>
          </cell>
          <cell r="AD19">
            <v>13836.543</v>
          </cell>
          <cell r="AH19">
            <v>37069.477999999996</v>
          </cell>
          <cell r="AI19">
            <v>3802020.2252600002</v>
          </cell>
          <cell r="AJ19">
            <v>315643.16221999994</v>
          </cell>
          <cell r="AK19">
            <v>140386.76056999998</v>
          </cell>
          <cell r="AL19">
            <v>509022.36223999999</v>
          </cell>
          <cell r="AN19">
            <v>965052.28502999991</v>
          </cell>
          <cell r="AO19">
            <v>0</v>
          </cell>
          <cell r="AP19">
            <v>0</v>
          </cell>
          <cell r="AS19">
            <v>0</v>
          </cell>
          <cell r="AT19">
            <v>11816.028</v>
          </cell>
          <cell r="AU19">
            <v>38627.64</v>
          </cell>
          <cell r="AV19">
            <v>0</v>
          </cell>
          <cell r="BA19">
            <v>50443.667999999998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501246.73099999997</v>
          </cell>
          <cell r="G20">
            <v>19673.620999999999</v>
          </cell>
          <cell r="H20">
            <v>18514.072000000004</v>
          </cell>
          <cell r="I20">
            <v>15863.460999999999</v>
          </cell>
          <cell r="J20">
            <v>10727.884</v>
          </cell>
          <cell r="K20">
            <v>16832.918999999998</v>
          </cell>
          <cell r="L20">
            <v>14027.942999999999</v>
          </cell>
          <cell r="M20">
            <v>10371.983</v>
          </cell>
          <cell r="N20">
            <v>15921.730999999998</v>
          </cell>
          <cell r="O20">
            <v>5268.7180000000008</v>
          </cell>
          <cell r="P20">
            <v>9435.625</v>
          </cell>
          <cell r="Q20">
            <v>7424.73</v>
          </cell>
          <cell r="R20">
            <v>9103.1149999999998</v>
          </cell>
          <cell r="S20">
            <v>14172.796999999999</v>
          </cell>
          <cell r="T20">
            <v>3333.596</v>
          </cell>
          <cell r="U20">
            <v>3985.8210000000008</v>
          </cell>
          <cell r="V20">
            <v>7380.3130000000001</v>
          </cell>
          <cell r="W20">
            <v>7367.8260000000009</v>
          </cell>
          <cell r="Z20">
            <v>189406.15499999997</v>
          </cell>
          <cell r="AA20">
            <v>33163.976999999999</v>
          </cell>
          <cell r="AB20">
            <v>0</v>
          </cell>
          <cell r="AC20">
            <v>0</v>
          </cell>
          <cell r="AD20">
            <v>0</v>
          </cell>
          <cell r="AH20">
            <v>33163.976999999999</v>
          </cell>
          <cell r="AI20">
            <v>222570.13199999998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49712.156999999999</v>
          </cell>
          <cell r="AP20">
            <v>0</v>
          </cell>
          <cell r="AS20">
            <v>49712.156999999999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125221.197</v>
          </cell>
          <cell r="BD20">
            <v>0</v>
          </cell>
          <cell r="BE20">
            <v>0</v>
          </cell>
          <cell r="BF20">
            <v>103743.245</v>
          </cell>
          <cell r="BG20">
            <v>0</v>
          </cell>
          <cell r="BH20">
            <v>0</v>
          </cell>
          <cell r="BJ20">
            <v>228964.44199999998</v>
          </cell>
        </row>
        <row r="21">
          <cell r="F21">
            <v>10356904.502050094</v>
          </cell>
          <cell r="G21">
            <v>1943560.7619999973</v>
          </cell>
          <cell r="H21">
            <v>248331.37101000233</v>
          </cell>
          <cell r="I21">
            <v>-343232.93999999948</v>
          </cell>
          <cell r="J21">
            <v>-50408.564999998518</v>
          </cell>
          <cell r="K21">
            <v>1775678.2679999997</v>
          </cell>
          <cell r="L21">
            <v>1008057.2559999995</v>
          </cell>
          <cell r="M21">
            <v>-308431.9679999997</v>
          </cell>
          <cell r="N21">
            <v>1637445.472000001</v>
          </cell>
          <cell r="O21">
            <v>-32841.494999998977</v>
          </cell>
          <cell r="P21">
            <v>279170.2560000011</v>
          </cell>
          <cell r="Q21">
            <v>84779.200999999215</v>
          </cell>
          <cell r="R21">
            <v>884600.63699999871</v>
          </cell>
          <cell r="S21">
            <v>775938.52400000114</v>
          </cell>
          <cell r="T21">
            <v>82862.910999999702</v>
          </cell>
          <cell r="U21">
            <v>912852.08699999924</v>
          </cell>
          <cell r="V21">
            <v>1109487.6289999993</v>
          </cell>
          <cell r="W21">
            <v>632624.19000000041</v>
          </cell>
          <cell r="Z21">
            <v>10640473.596010001</v>
          </cell>
          <cell r="AA21">
            <v>19943.760000000002</v>
          </cell>
          <cell r="AB21">
            <v>-2248.8469999999998</v>
          </cell>
          <cell r="AC21">
            <v>78340.955000000016</v>
          </cell>
          <cell r="AD21">
            <v>182087.77399999998</v>
          </cell>
          <cell r="AH21">
            <v>278123.64199999999</v>
          </cell>
          <cell r="AI21">
            <v>10918597.238010071</v>
          </cell>
          <cell r="AJ21">
            <v>302689.14500999951</v>
          </cell>
          <cell r="AK21">
            <v>476877.79603000026</v>
          </cell>
          <cell r="AL21">
            <v>-1049999.5589999997</v>
          </cell>
          <cell r="AN21">
            <v>-270432.61795999855</v>
          </cell>
          <cell r="AO21">
            <v>-39663.349000011913</v>
          </cell>
          <cell r="AP21">
            <v>0</v>
          </cell>
          <cell r="AS21">
            <v>-39663.349000011913</v>
          </cell>
          <cell r="AT21">
            <v>37801.882999999994</v>
          </cell>
          <cell r="AU21">
            <v>12273.967000000004</v>
          </cell>
          <cell r="AV21">
            <v>559455.16500000004</v>
          </cell>
          <cell r="BA21">
            <v>609531.01500000013</v>
          </cell>
          <cell r="BB21">
            <v>0</v>
          </cell>
          <cell r="BC21">
            <v>-110081.647</v>
          </cell>
          <cell r="BD21">
            <v>0</v>
          </cell>
          <cell r="BE21">
            <v>0</v>
          </cell>
          <cell r="BF21">
            <v>-252002.62299999996</v>
          </cell>
          <cell r="BG21">
            <v>-541191.78</v>
          </cell>
          <cell r="BH21">
            <v>42148.265999999996</v>
          </cell>
          <cell r="BJ21">
            <v>-861127.78399999999</v>
          </cell>
        </row>
        <row r="22">
          <cell r="F22">
            <v>16067030.317000424</v>
          </cell>
          <cell r="G22">
            <v>1893870.9335111778</v>
          </cell>
          <cell r="H22">
            <v>1592218.6151153527</v>
          </cell>
          <cell r="I22">
            <v>717684.5693190957</v>
          </cell>
          <cell r="J22">
            <v>576629.31890883518</v>
          </cell>
          <cell r="K22">
            <v>1348625.3727980321</v>
          </cell>
          <cell r="L22">
            <v>1016252.8569186047</v>
          </cell>
          <cell r="M22">
            <v>494554.55832589715</v>
          </cell>
          <cell r="N22">
            <v>1385232.9606825486</v>
          </cell>
          <cell r="O22">
            <v>424895.31380963721</v>
          </cell>
          <cell r="P22">
            <v>567330.39816303086</v>
          </cell>
          <cell r="Q22">
            <v>572435.25838263112</v>
          </cell>
          <cell r="R22">
            <v>716503.93122604117</v>
          </cell>
          <cell r="S22">
            <v>1214773.1479769147</v>
          </cell>
          <cell r="T22">
            <v>180692.46993075719</v>
          </cell>
          <cell r="U22">
            <v>324756.42353275663</v>
          </cell>
          <cell r="V22">
            <v>730605.63720358885</v>
          </cell>
          <cell r="W22">
            <v>415340.06890022277</v>
          </cell>
          <cell r="Z22">
            <v>14172401.834705126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14172401.834705126</v>
          </cell>
          <cell r="AJ22">
            <v>224136.92055361817</v>
          </cell>
          <cell r="AK22">
            <v>96994.817901680493</v>
          </cell>
          <cell r="AL22">
            <v>112345.26293</v>
          </cell>
          <cell r="AN22">
            <v>433477.00138529867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1243000.0719999999</v>
          </cell>
          <cell r="BF22">
            <v>0</v>
          </cell>
          <cell r="BG22">
            <v>218151.40891</v>
          </cell>
          <cell r="BH22">
            <v>0</v>
          </cell>
          <cell r="BJ22">
            <v>1461151.4809099999</v>
          </cell>
        </row>
        <row r="23">
          <cell r="F23">
            <v>1832943.8870004234</v>
          </cell>
          <cell r="G23">
            <v>148747.0039912877</v>
          </cell>
          <cell r="H23">
            <v>121410.63279880222</v>
          </cell>
          <cell r="I23">
            <v>53092.716701634832</v>
          </cell>
          <cell r="J23">
            <v>42942.934328187213</v>
          </cell>
          <cell r="K23">
            <v>164066.16723764202</v>
          </cell>
          <cell r="L23">
            <v>128168.43661301103</v>
          </cell>
          <cell r="M23">
            <v>59027.745709397095</v>
          </cell>
          <cell r="N23">
            <v>168625.32931048932</v>
          </cell>
          <cell r="O23">
            <v>52182.515005029796</v>
          </cell>
          <cell r="P23">
            <v>72026.949769578991</v>
          </cell>
          <cell r="Q23">
            <v>72024.716698303004</v>
          </cell>
          <cell r="R23">
            <v>92024.953637224971</v>
          </cell>
          <cell r="S23">
            <v>94704.164560809906</v>
          </cell>
          <cell r="T23">
            <v>13264.677906007064</v>
          </cell>
          <cell r="U23">
            <v>24683.890772396873</v>
          </cell>
          <cell r="V23">
            <v>59232.698490057774</v>
          </cell>
          <cell r="W23">
            <v>33241.352085264327</v>
          </cell>
          <cell r="Z23">
            <v>1399466.8856151246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1399466.8856151246</v>
          </cell>
          <cell r="AJ23">
            <v>224136.92055361817</v>
          </cell>
          <cell r="AK23">
            <v>96994.817901680493</v>
          </cell>
          <cell r="AL23">
            <v>112345.26293</v>
          </cell>
          <cell r="AN23">
            <v>433477.00138529867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5178369.1569999997</v>
          </cell>
          <cell r="G24">
            <v>709611.20145477843</v>
          </cell>
          <cell r="H24">
            <v>598568.84557761671</v>
          </cell>
          <cell r="I24">
            <v>277200.74725667865</v>
          </cell>
          <cell r="J24">
            <v>219637.52848765565</v>
          </cell>
          <cell r="K24">
            <v>486435.08629294822</v>
          </cell>
          <cell r="L24">
            <v>348391.40313759819</v>
          </cell>
          <cell r="M24">
            <v>181829.50269442989</v>
          </cell>
          <cell r="N24">
            <v>497397.08415826148</v>
          </cell>
          <cell r="O24">
            <v>157118.54159682742</v>
          </cell>
          <cell r="P24">
            <v>197881.26509303713</v>
          </cell>
          <cell r="Q24">
            <v>199202.57807880256</v>
          </cell>
          <cell r="R24">
            <v>240143.59360432718</v>
          </cell>
          <cell r="S24">
            <v>454553.56341395975</v>
          </cell>
          <cell r="T24">
            <v>71148.926300999505</v>
          </cell>
          <cell r="U24">
            <v>120836.84554378196</v>
          </cell>
          <cell r="V24">
            <v>266945.33766410407</v>
          </cell>
          <cell r="W24">
            <v>151467.10664419306</v>
          </cell>
          <cell r="Z24">
            <v>5178369.1569999997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5178369.1569999997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9055717.2730000019</v>
          </cell>
          <cell r="G25">
            <v>1035512.7280651117</v>
          </cell>
          <cell r="H25">
            <v>872239.13673893374</v>
          </cell>
          <cell r="I25">
            <v>387391.10536078224</v>
          </cell>
          <cell r="J25">
            <v>314048.8560929923</v>
          </cell>
          <cell r="K25">
            <v>698124.1192674418</v>
          </cell>
          <cell r="L25">
            <v>539693.01716799545</v>
          </cell>
          <cell r="M25">
            <v>253697.30992207016</v>
          </cell>
          <cell r="N25">
            <v>719210.54721379769</v>
          </cell>
          <cell r="O25">
            <v>215594.25720777997</v>
          </cell>
          <cell r="P25">
            <v>297422.18330041465</v>
          </cell>
          <cell r="Q25">
            <v>301207.96360552555</v>
          </cell>
          <cell r="R25">
            <v>384335.38398448902</v>
          </cell>
          <cell r="S25">
            <v>665515.42000214499</v>
          </cell>
          <cell r="T25">
            <v>96278.865723750627</v>
          </cell>
          <cell r="U25">
            <v>179235.68721657782</v>
          </cell>
          <cell r="V25">
            <v>404427.60104942694</v>
          </cell>
          <cell r="W25">
            <v>230631.61017076537</v>
          </cell>
          <cell r="Z25">
            <v>7594565.7920900015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7594565.7920900015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1243000.0719999999</v>
          </cell>
          <cell r="BF25">
            <v>0</v>
          </cell>
          <cell r="BG25">
            <v>218151.40891</v>
          </cell>
          <cell r="BH25">
            <v>0</v>
          </cell>
          <cell r="BJ25">
            <v>1461151.4809099999</v>
          </cell>
        </row>
        <row r="26">
          <cell r="F26">
            <v>-5710125.8149503302</v>
          </cell>
          <cell r="G26">
            <v>49689.828488819534</v>
          </cell>
          <cell r="H26">
            <v>-1343887.2441053502</v>
          </cell>
          <cell r="I26">
            <v>-1060917.5093190952</v>
          </cell>
          <cell r="J26">
            <v>-627037.88390883373</v>
          </cell>
          <cell r="K26">
            <v>427052.89520196756</v>
          </cell>
          <cell r="L26">
            <v>-8195.6009186052252</v>
          </cell>
          <cell r="M26">
            <v>-802986.52632589685</v>
          </cell>
          <cell r="N26">
            <v>252212.51131745242</v>
          </cell>
          <cell r="O26">
            <v>-457736.80880963616</v>
          </cell>
          <cell r="P26">
            <v>-288160.14216302976</v>
          </cell>
          <cell r="Q26">
            <v>-487656.05738263193</v>
          </cell>
          <cell r="R26">
            <v>168096.70577395754</v>
          </cell>
          <cell r="S26">
            <v>-438834.62397691351</v>
          </cell>
          <cell r="T26">
            <v>-97829.558930757485</v>
          </cell>
          <cell r="U26">
            <v>588095.66346724262</v>
          </cell>
          <cell r="V26">
            <v>378881.99179641041</v>
          </cell>
          <cell r="W26">
            <v>217284.12109977764</v>
          </cell>
          <cell r="Z26">
            <v>-3531928.2386951242</v>
          </cell>
          <cell r="AA26">
            <v>19943.760000000002</v>
          </cell>
          <cell r="AB26">
            <v>-2248.8469999999998</v>
          </cell>
          <cell r="AC26">
            <v>78340.955000000016</v>
          </cell>
          <cell r="AD26">
            <v>182087.77399999998</v>
          </cell>
          <cell r="AH26">
            <v>278123.64199999999</v>
          </cell>
          <cell r="AI26">
            <v>-3253804.5966950543</v>
          </cell>
          <cell r="AJ26">
            <v>78552.224456381344</v>
          </cell>
          <cell r="AK26">
            <v>379882.97812831978</v>
          </cell>
          <cell r="AL26">
            <v>-1162344.8219299996</v>
          </cell>
          <cell r="AN26">
            <v>-703909.61934529722</v>
          </cell>
          <cell r="AO26">
            <v>-39663.349000011913</v>
          </cell>
          <cell r="AP26">
            <v>0</v>
          </cell>
          <cell r="AS26">
            <v>-39663.349000011913</v>
          </cell>
          <cell r="AT26">
            <v>37801.882999999994</v>
          </cell>
          <cell r="AU26">
            <v>12273.967000000004</v>
          </cell>
          <cell r="AV26">
            <v>559455.16500000004</v>
          </cell>
          <cell r="BA26">
            <v>609531.01500000013</v>
          </cell>
          <cell r="BB26">
            <v>0</v>
          </cell>
          <cell r="BC26">
            <v>-110081.647</v>
          </cell>
          <cell r="BD26">
            <v>0</v>
          </cell>
          <cell r="BE26">
            <v>-1243000.0719999999</v>
          </cell>
          <cell r="BF26">
            <v>-252002.62299999996</v>
          </cell>
          <cell r="BG26">
            <v>-759343.18891000003</v>
          </cell>
          <cell r="BH26">
            <v>42148.265999999996</v>
          </cell>
          <cell r="BJ26">
            <v>-2322279.2649099999</v>
          </cell>
        </row>
        <row r="27">
          <cell r="F27">
            <v>-5710125.8149504187</v>
          </cell>
          <cell r="G27">
            <v>49689.828488824322</v>
          </cell>
          <cell r="H27">
            <v>-1343887.244105353</v>
          </cell>
          <cell r="I27">
            <v>-1060917.5093190954</v>
          </cell>
          <cell r="J27">
            <v>-627037.88390883524</v>
          </cell>
          <cell r="K27">
            <v>427052.89520196785</v>
          </cell>
          <cell r="L27">
            <v>-8195.6009186052906</v>
          </cell>
          <cell r="M27">
            <v>-802986.52632589696</v>
          </cell>
          <cell r="N27">
            <v>252212.51131745224</v>
          </cell>
          <cell r="O27">
            <v>-457736.80880963721</v>
          </cell>
          <cell r="P27">
            <v>-288160.1421630308</v>
          </cell>
          <cell r="Q27">
            <v>-487656.05738263123</v>
          </cell>
          <cell r="R27">
            <v>168096.70577395905</v>
          </cell>
          <cell r="S27">
            <v>-438834.62397691468</v>
          </cell>
          <cell r="T27">
            <v>-97829.558930757237</v>
          </cell>
          <cell r="U27">
            <v>588095.66346724343</v>
          </cell>
          <cell r="V27">
            <v>378881.99179641076</v>
          </cell>
          <cell r="W27">
            <v>217284.12109977726</v>
          </cell>
          <cell r="Z27">
            <v>-3531928.2386951228</v>
          </cell>
          <cell r="AA27">
            <v>19943.760000000006</v>
          </cell>
          <cell r="AB27">
            <v>-2248.8469999999998</v>
          </cell>
          <cell r="AC27">
            <v>78340.955000000016</v>
          </cell>
          <cell r="AD27">
            <v>182087.774</v>
          </cell>
          <cell r="AH27">
            <v>278123.64199999999</v>
          </cell>
          <cell r="AI27">
            <v>-3253804.5966951228</v>
          </cell>
          <cell r="AJ27">
            <v>78552.224456381737</v>
          </cell>
          <cell r="AK27">
            <v>379882.97812831961</v>
          </cell>
          <cell r="AL27">
            <v>-1162344.8219300001</v>
          </cell>
          <cell r="AN27">
            <v>-703909.61934529874</v>
          </cell>
          <cell r="AO27">
            <v>-39663.348999998765</v>
          </cell>
          <cell r="AP27">
            <v>0</v>
          </cell>
          <cell r="AS27">
            <v>-39663.348999998765</v>
          </cell>
          <cell r="AT27">
            <v>37801.883000000002</v>
          </cell>
          <cell r="AU27">
            <v>12273.966999999997</v>
          </cell>
          <cell r="AV27">
            <v>559455.16500000004</v>
          </cell>
          <cell r="BA27">
            <v>609531.01500000001</v>
          </cell>
          <cell r="BB27">
            <v>0</v>
          </cell>
          <cell r="BC27">
            <v>-110081.647</v>
          </cell>
          <cell r="BD27">
            <v>0</v>
          </cell>
          <cell r="BE27">
            <v>-1243000.0719999999</v>
          </cell>
          <cell r="BF27">
            <v>-252002.62300000002</v>
          </cell>
          <cell r="BG27">
            <v>-759343.18891000003</v>
          </cell>
          <cell r="BH27">
            <v>42148.265999999996</v>
          </cell>
          <cell r="BJ27">
            <v>-2322279.2649100004</v>
          </cell>
        </row>
        <row r="28">
          <cell r="F28">
            <v>8.8475644588470459E-8</v>
          </cell>
          <cell r="G28">
            <v>-4.7875801101326942E-9</v>
          </cell>
          <cell r="H28">
            <v>2.7939677238464355E-9</v>
          </cell>
          <cell r="I28">
            <v>0</v>
          </cell>
          <cell r="J28">
            <v>1.5133991837501526E-9</v>
          </cell>
          <cell r="K28">
            <v>0</v>
          </cell>
          <cell r="L28">
            <v>6.5483618527650833E-11</v>
          </cell>
          <cell r="M28">
            <v>0</v>
          </cell>
          <cell r="N28">
            <v>0</v>
          </cell>
          <cell r="O28">
            <v>1.0477378964424133E-9</v>
          </cell>
          <cell r="P28">
            <v>1.0477378964424133E-9</v>
          </cell>
          <cell r="Q28">
            <v>-6.9849193096160889E-10</v>
          </cell>
          <cell r="R28">
            <v>-1.5133991837501526E-9</v>
          </cell>
          <cell r="S28">
            <v>1.1641532182693481E-9</v>
          </cell>
          <cell r="T28">
            <v>-2.4738255888223648E-10</v>
          </cell>
          <cell r="U28">
            <v>0</v>
          </cell>
          <cell r="V28">
            <v>0</v>
          </cell>
          <cell r="W28">
            <v>3.7834979593753815E-10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6.8452209234237671E-8</v>
          </cell>
          <cell r="AJ28">
            <v>-3.92901711165905E-10</v>
          </cell>
          <cell r="AK28">
            <v>0</v>
          </cell>
          <cell r="AL28">
            <v>0</v>
          </cell>
          <cell r="AN28">
            <v>1.5133991837501526E-9</v>
          </cell>
          <cell r="AO28">
            <v>-1.3147655408829451E-8</v>
          </cell>
          <cell r="AP28">
            <v>0</v>
          </cell>
          <cell r="AS28">
            <v>-1.3147655408829451E-8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293433</v>
          </cell>
          <cell r="H31">
            <v>245794</v>
          </cell>
          <cell r="I31">
            <v>112679</v>
          </cell>
          <cell r="J31">
            <v>89800.320000000007</v>
          </cell>
          <cell r="K31">
            <v>177587</v>
          </cell>
          <cell r="L31">
            <v>150448</v>
          </cell>
          <cell r="M31">
            <v>77292</v>
          </cell>
          <cell r="N31">
            <v>195262</v>
          </cell>
          <cell r="O31">
            <v>64524</v>
          </cell>
          <cell r="P31">
            <v>84364</v>
          </cell>
          <cell r="Q31">
            <v>91383</v>
          </cell>
          <cell r="R31">
            <v>100359.5</v>
          </cell>
          <cell r="S31">
            <v>188081</v>
          </cell>
          <cell r="T31">
            <v>23686</v>
          </cell>
          <cell r="U31">
            <v>44545.5</v>
          </cell>
          <cell r="V31">
            <v>113888.5</v>
          </cell>
          <cell r="W31">
            <v>50282</v>
          </cell>
          <cell r="Z31">
            <v>2103408.8200000003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2103408.8200000003</v>
          </cell>
          <cell r="AJ31">
            <v>219141</v>
          </cell>
          <cell r="AK31">
            <v>204122</v>
          </cell>
          <cell r="AL31">
            <v>160180</v>
          </cell>
          <cell r="AN31">
            <v>583443</v>
          </cell>
          <cell r="AO31">
            <v>84893.854999999996</v>
          </cell>
          <cell r="AP31">
            <v>0</v>
          </cell>
          <cell r="AS31">
            <v>84893.854999999996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297019225.84700006</v>
          </cell>
          <cell r="G32">
            <v>28252418.752999999</v>
          </cell>
          <cell r="H32">
            <v>23901609.151000001</v>
          </cell>
          <cell r="I32">
            <v>10469360.843</v>
          </cell>
          <cell r="J32">
            <v>8567537.574000001</v>
          </cell>
          <cell r="K32">
            <v>19085782.846999999</v>
          </cell>
          <cell r="L32">
            <v>14719934.818</v>
          </cell>
          <cell r="M32">
            <v>6932471.6000000006</v>
          </cell>
          <cell r="N32">
            <v>19447451.25</v>
          </cell>
          <cell r="O32">
            <v>5974348.0470000003</v>
          </cell>
          <cell r="P32">
            <v>8071303.6800000006</v>
          </cell>
          <cell r="Q32">
            <v>8113867.6889999993</v>
          </cell>
          <cell r="R32">
            <v>10464858.467999998</v>
          </cell>
          <cell r="S32">
            <v>18111734.785</v>
          </cell>
          <cell r="T32">
            <v>2579135.8989999997</v>
          </cell>
          <cell r="U32">
            <v>4899092.7219999991</v>
          </cell>
          <cell r="V32">
            <v>11077996.586999999</v>
          </cell>
          <cell r="W32">
            <v>6189556.9120000014</v>
          </cell>
          <cell r="Z32">
            <v>206858461.62500003</v>
          </cell>
          <cell r="AA32">
            <v>125000</v>
          </cell>
          <cell r="AB32">
            <v>0</v>
          </cell>
          <cell r="AC32">
            <v>112500</v>
          </cell>
          <cell r="AD32">
            <v>270060</v>
          </cell>
          <cell r="AH32">
            <v>507560</v>
          </cell>
          <cell r="AI32">
            <v>207366021.62500003</v>
          </cell>
          <cell r="AJ32">
            <v>6231505</v>
          </cell>
          <cell r="AK32">
            <v>2775958</v>
          </cell>
          <cell r="AL32">
            <v>3069826</v>
          </cell>
          <cell r="AN32">
            <v>12077289</v>
          </cell>
          <cell r="AO32">
            <v>76897590.006999984</v>
          </cell>
          <cell r="AP32">
            <v>0</v>
          </cell>
          <cell r="AS32">
            <v>76897590.006999984</v>
          </cell>
          <cell r="AT32">
            <v>50990.499999999993</v>
          </cell>
          <cell r="AU32">
            <v>52740</v>
          </cell>
          <cell r="AV32">
            <v>559455.16500000004</v>
          </cell>
          <cell r="BA32">
            <v>663185.66500000004</v>
          </cell>
          <cell r="BB32">
            <v>0</v>
          </cell>
          <cell r="BC32">
            <v>15139.549999999997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15139.549999999997</v>
          </cell>
        </row>
        <row r="33">
          <cell r="F33">
            <v>278432108.58895004</v>
          </cell>
          <cell r="G33">
            <v>25671103.565000001</v>
          </cell>
          <cell r="H33">
            <v>23001796.442989998</v>
          </cell>
          <cell r="I33">
            <v>10307567.402999999</v>
          </cell>
          <cell r="J33">
            <v>8259010.2429999998</v>
          </cell>
          <cell r="K33">
            <v>16796958.713999998</v>
          </cell>
          <cell r="L33">
            <v>13197947.064000001</v>
          </cell>
          <cell r="M33">
            <v>6907857.5330000008</v>
          </cell>
          <cell r="N33">
            <v>17381033.467999998</v>
          </cell>
          <cell r="O33">
            <v>5724935.1989999991</v>
          </cell>
          <cell r="P33">
            <v>7514750.3989999993</v>
          </cell>
          <cell r="Q33">
            <v>7744834.6699999999</v>
          </cell>
          <cell r="R33">
            <v>9316109.0989999995</v>
          </cell>
          <cell r="S33">
            <v>16880269.675000001</v>
          </cell>
          <cell r="T33">
            <v>2382468.0410000002</v>
          </cell>
          <cell r="U33">
            <v>3868021.162</v>
          </cell>
          <cell r="V33">
            <v>9673507.7599999998</v>
          </cell>
          <cell r="W33">
            <v>5405726.3020000011</v>
          </cell>
          <cell r="Z33">
            <v>190033896.73999</v>
          </cell>
          <cell r="AA33">
            <v>22845.426999999996</v>
          </cell>
          <cell r="AB33">
            <v>0</v>
          </cell>
          <cell r="AC33">
            <v>34159.044999999998</v>
          </cell>
          <cell r="AD33">
            <v>87972.22600000001</v>
          </cell>
          <cell r="AH33">
            <v>144976.698</v>
          </cell>
          <cell r="AI33">
            <v>190178873.43799001</v>
          </cell>
          <cell r="AJ33">
            <v>5928815.8549900008</v>
          </cell>
          <cell r="AK33">
            <v>2299080.2039699997</v>
          </cell>
          <cell r="AL33">
            <v>4119825.5589999999</v>
          </cell>
          <cell r="AN33">
            <v>12347721.61796</v>
          </cell>
          <cell r="AO33">
            <v>75591089.328999996</v>
          </cell>
          <cell r="AP33">
            <v>0</v>
          </cell>
          <cell r="AS33">
            <v>75591089.328999996</v>
          </cell>
          <cell r="AT33">
            <v>13188.617</v>
          </cell>
          <cell r="AU33">
            <v>40466.032999999996</v>
          </cell>
          <cell r="AV33">
            <v>0</v>
          </cell>
          <cell r="BA33">
            <v>53654.649999999994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112.94</v>
          </cell>
          <cell r="BG33">
            <v>302804.88</v>
          </cell>
          <cell r="BH33">
            <v>-42148.265999999996</v>
          </cell>
          <cell r="BJ33">
            <v>260769.554</v>
          </cell>
        </row>
        <row r="34">
          <cell r="F34">
            <v>18587117.258050025</v>
          </cell>
          <cell r="G34">
            <v>2581315.1879999973</v>
          </cell>
          <cell r="H34">
            <v>899812.70801000297</v>
          </cell>
          <cell r="I34">
            <v>161793.44000000134</v>
          </cell>
          <cell r="J34">
            <v>308527.33100000117</v>
          </cell>
          <cell r="K34">
            <v>2288824.1330000013</v>
          </cell>
          <cell r="L34">
            <v>1521987.7539999988</v>
          </cell>
          <cell r="M34">
            <v>24614.066999999806</v>
          </cell>
          <cell r="N34">
            <v>2066417.7820000015</v>
          </cell>
          <cell r="O34">
            <v>249412.84800000116</v>
          </cell>
          <cell r="P34">
            <v>556553.28100000136</v>
          </cell>
          <cell r="Q34">
            <v>369033.01899999939</v>
          </cell>
          <cell r="R34">
            <v>1148749.368999999</v>
          </cell>
          <cell r="S34">
            <v>1231465.1099999994</v>
          </cell>
          <cell r="T34">
            <v>196667.85799999954</v>
          </cell>
          <cell r="U34">
            <v>1031071.5599999991</v>
          </cell>
          <cell r="V34">
            <v>1404488.8269999996</v>
          </cell>
          <cell r="W34">
            <v>783830.61000000034</v>
          </cell>
          <cell r="Z34">
            <v>16824564.885010034</v>
          </cell>
          <cell r="AA34">
            <v>102154.573</v>
          </cell>
          <cell r="AB34">
            <v>0</v>
          </cell>
          <cell r="AC34">
            <v>78340.955000000002</v>
          </cell>
          <cell r="AD34">
            <v>182087.77399999998</v>
          </cell>
          <cell r="AH34">
            <v>362583.30200000003</v>
          </cell>
          <cell r="AI34">
            <v>17187148.18701002</v>
          </cell>
          <cell r="AJ34">
            <v>302689.14500999916</v>
          </cell>
          <cell r="AK34">
            <v>476877.79603000032</v>
          </cell>
          <cell r="AL34">
            <v>-1049999.5589999999</v>
          </cell>
          <cell r="AN34">
            <v>-270432.61796000041</v>
          </cell>
          <cell r="AO34">
            <v>1306500.6779999882</v>
          </cell>
          <cell r="AP34">
            <v>0</v>
          </cell>
          <cell r="AS34">
            <v>1306500.6779999882</v>
          </cell>
          <cell r="AT34">
            <v>37801.882999999994</v>
          </cell>
          <cell r="AU34">
            <v>12273.967000000004</v>
          </cell>
          <cell r="AV34">
            <v>559455.16500000004</v>
          </cell>
          <cell r="BA34">
            <v>609531.01500000001</v>
          </cell>
          <cell r="BB34">
            <v>0</v>
          </cell>
          <cell r="BC34">
            <v>15139.549999999997</v>
          </cell>
          <cell r="BD34">
            <v>0</v>
          </cell>
          <cell r="BE34">
            <v>0</v>
          </cell>
          <cell r="BF34">
            <v>-112.94</v>
          </cell>
          <cell r="BG34">
            <v>-302804.88</v>
          </cell>
          <cell r="BH34">
            <v>42148.265999999996</v>
          </cell>
          <cell r="BJ34">
            <v>-245630.00400000002</v>
          </cell>
        </row>
        <row r="35">
          <cell r="F35">
            <v>24297243.07300042</v>
          </cell>
          <cell r="G35">
            <v>2531625.3595111775</v>
          </cell>
          <cell r="H35">
            <v>2243699.9521153527</v>
          </cell>
          <cell r="I35">
            <v>1222710.9493190956</v>
          </cell>
          <cell r="J35">
            <v>935565.21490883513</v>
          </cell>
          <cell r="K35">
            <v>1861771.2377980321</v>
          </cell>
          <cell r="L35">
            <v>1530183.3549186047</v>
          </cell>
          <cell r="M35">
            <v>827600.59332589712</v>
          </cell>
          <cell r="N35">
            <v>1814205.2706825484</v>
          </cell>
          <cell r="O35">
            <v>707149.65680963721</v>
          </cell>
          <cell r="P35">
            <v>844713.42316303088</v>
          </cell>
          <cell r="Q35">
            <v>856689.07638263109</v>
          </cell>
          <cell r="R35">
            <v>980652.66322604124</v>
          </cell>
          <cell r="S35">
            <v>1670299.7339769148</v>
          </cell>
          <cell r="T35">
            <v>294497.41693075723</v>
          </cell>
          <cell r="U35">
            <v>442975.89653275663</v>
          </cell>
          <cell r="V35">
            <v>1025606.8352035888</v>
          </cell>
          <cell r="W35">
            <v>566546.48890022282</v>
          </cell>
          <cell r="Z35">
            <v>20356493.123705123</v>
          </cell>
          <cell r="AA35">
            <v>82210.812999999995</v>
          </cell>
          <cell r="AB35">
            <v>2248.8469999999998</v>
          </cell>
          <cell r="AC35">
            <v>0</v>
          </cell>
          <cell r="AD35">
            <v>0</v>
          </cell>
          <cell r="AH35">
            <v>84459.659999999989</v>
          </cell>
          <cell r="AI35">
            <v>20440952.783705123</v>
          </cell>
          <cell r="AJ35">
            <v>224136.92055361817</v>
          </cell>
          <cell r="AK35">
            <v>96994.817901680493</v>
          </cell>
          <cell r="AL35">
            <v>112345.26293</v>
          </cell>
          <cell r="AN35">
            <v>433477.00138529867</v>
          </cell>
          <cell r="AO35">
            <v>1346164.027</v>
          </cell>
          <cell r="AP35">
            <v>0</v>
          </cell>
          <cell r="AS35">
            <v>1346164.027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125221.197</v>
          </cell>
          <cell r="BD35">
            <v>0</v>
          </cell>
          <cell r="BE35">
            <v>1243000.0719999999</v>
          </cell>
          <cell r="BF35">
            <v>251889.68299999996</v>
          </cell>
          <cell r="BG35">
            <v>456538.30891000002</v>
          </cell>
          <cell r="BH35">
            <v>0</v>
          </cell>
          <cell r="BJ35">
            <v>2076649.2609099997</v>
          </cell>
        </row>
        <row r="36">
          <cell r="F36">
            <v>-5710125.8149503954</v>
          </cell>
          <cell r="G36">
            <v>49689.828488819767</v>
          </cell>
          <cell r="H36">
            <v>-1343887.2441053498</v>
          </cell>
          <cell r="I36">
            <v>-1060917.5093190942</v>
          </cell>
          <cell r="J36">
            <v>-627037.88390883396</v>
          </cell>
          <cell r="K36">
            <v>427052.89520196919</v>
          </cell>
          <cell r="L36">
            <v>-8195.6009186059237</v>
          </cell>
          <cell r="M36">
            <v>-802986.52632589731</v>
          </cell>
          <cell r="N36">
            <v>252212.51131745311</v>
          </cell>
          <cell r="O36">
            <v>-457736.80880963604</v>
          </cell>
          <cell r="P36">
            <v>-288160.14216302952</v>
          </cell>
          <cell r="Q36">
            <v>-487656.0573826317</v>
          </cell>
          <cell r="R36">
            <v>168096.70577395777</v>
          </cell>
          <cell r="S36">
            <v>-438834.62397691538</v>
          </cell>
          <cell r="T36">
            <v>-97829.558930757688</v>
          </cell>
          <cell r="U36">
            <v>588095.6634672425</v>
          </cell>
          <cell r="V36">
            <v>378881.99179641076</v>
          </cell>
          <cell r="W36">
            <v>217284.12109977752</v>
          </cell>
          <cell r="Z36">
            <v>-3531928.2386950888</v>
          </cell>
          <cell r="AA36">
            <v>19943.760000000009</v>
          </cell>
          <cell r="AB36">
            <v>-2248.8469999999998</v>
          </cell>
          <cell r="AC36">
            <v>78340.955000000002</v>
          </cell>
          <cell r="AD36">
            <v>182087.77399999998</v>
          </cell>
          <cell r="AH36">
            <v>278123.64200000005</v>
          </cell>
          <cell r="AI36">
            <v>-3253804.5966951028</v>
          </cell>
          <cell r="AJ36">
            <v>78552.224456380995</v>
          </cell>
          <cell r="AK36">
            <v>379882.97812831984</v>
          </cell>
          <cell r="AL36">
            <v>-1162344.8219299999</v>
          </cell>
          <cell r="AN36">
            <v>-703909.61934529908</v>
          </cell>
          <cell r="AO36">
            <v>-39663.349000011804</v>
          </cell>
          <cell r="AP36">
            <v>0</v>
          </cell>
          <cell r="AS36">
            <v>-39663.349000011804</v>
          </cell>
          <cell r="AT36">
            <v>37801.882999999994</v>
          </cell>
          <cell r="AU36">
            <v>12273.967000000004</v>
          </cell>
          <cell r="AV36">
            <v>559455.16500000004</v>
          </cell>
          <cell r="BA36">
            <v>609531.01500000001</v>
          </cell>
          <cell r="BB36">
            <v>0</v>
          </cell>
          <cell r="BC36">
            <v>-110081.647</v>
          </cell>
          <cell r="BD36">
            <v>0</v>
          </cell>
          <cell r="BE36">
            <v>-1243000.0719999999</v>
          </cell>
          <cell r="BF36">
            <v>-252002.62299999996</v>
          </cell>
          <cell r="BG36">
            <v>-759343.18891000003</v>
          </cell>
          <cell r="BH36">
            <v>42148.265999999996</v>
          </cell>
          <cell r="BJ36">
            <v>-2322279.2649099999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0</v>
          </cell>
          <cell r="AI38">
            <v>0</v>
          </cell>
          <cell r="AJ38">
            <v>-66649</v>
          </cell>
          <cell r="AK38">
            <v>-59504</v>
          </cell>
          <cell r="AL38">
            <v>-84994</v>
          </cell>
          <cell r="AN38">
            <v>-211147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J38">
            <v>0</v>
          </cell>
        </row>
        <row r="39">
          <cell r="F39">
            <v>-4549807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0</v>
          </cell>
          <cell r="AI39">
            <v>0</v>
          </cell>
          <cell r="AJ39">
            <v>-1934312</v>
          </cell>
          <cell r="AK39">
            <v>-952984</v>
          </cell>
          <cell r="AL39">
            <v>-1662511</v>
          </cell>
          <cell r="AN39">
            <v>-4549807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J39">
            <v>0</v>
          </cell>
        </row>
        <row r="40">
          <cell r="F40">
            <v>-4549806.9999999991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298109.93099999998</v>
          </cell>
          <cell r="L40">
            <v>-149443.587</v>
          </cell>
          <cell r="M40">
            <v>-6868.0759999999991</v>
          </cell>
          <cell r="N40">
            <v>-8479.0990000000002</v>
          </cell>
          <cell r="O40">
            <v>0</v>
          </cell>
          <cell r="P40">
            <v>1587.7240000000002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Z40">
            <v>134906.89299999998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H40">
            <v>0</v>
          </cell>
          <cell r="AI40">
            <v>134906.89299999998</v>
          </cell>
          <cell r="AJ40">
            <v>-1815173.1229999999</v>
          </cell>
          <cell r="AK40">
            <v>-741635.14700000011</v>
          </cell>
          <cell r="AL40">
            <v>-2127905.6229999997</v>
          </cell>
          <cell r="AN40">
            <v>-4684713.8929999992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-298109.93099999998</v>
          </cell>
          <cell r="L41">
            <v>149443.587</v>
          </cell>
          <cell r="M41">
            <v>6868.0759999999991</v>
          </cell>
          <cell r="N41">
            <v>8479.0990000000002</v>
          </cell>
          <cell r="O41">
            <v>0</v>
          </cell>
          <cell r="P41">
            <v>-1587.7240000000002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Z41">
            <v>-134906.89299999998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-134906.89299999998</v>
          </cell>
          <cell r="AJ41">
            <v>-119138.87700000009</v>
          </cell>
          <cell r="AK41">
            <v>-211348.85299999989</v>
          </cell>
          <cell r="AL41">
            <v>465394.62299999967</v>
          </cell>
          <cell r="AN41">
            <v>134906.89299999923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-298109.93099999998</v>
          </cell>
          <cell r="L43">
            <v>149443.587</v>
          </cell>
          <cell r="M43">
            <v>6868.0759999999991</v>
          </cell>
          <cell r="N43">
            <v>8479.0990000000002</v>
          </cell>
          <cell r="O43">
            <v>0</v>
          </cell>
          <cell r="P43">
            <v>-1587.7240000000002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Z43">
            <v>-134906.89299999998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-134906.89299999998</v>
          </cell>
          <cell r="AJ43">
            <v>-119138.87700000009</v>
          </cell>
          <cell r="AK43">
            <v>-211348.85299999989</v>
          </cell>
          <cell r="AL43">
            <v>465394.62299999967</v>
          </cell>
          <cell r="AN43">
            <v>134906.89299999923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293433</v>
          </cell>
          <cell r="H45">
            <v>245794</v>
          </cell>
          <cell r="I45">
            <v>112679</v>
          </cell>
          <cell r="J45">
            <v>89800.320000000007</v>
          </cell>
          <cell r="K45">
            <v>177587</v>
          </cell>
          <cell r="L45">
            <v>150448</v>
          </cell>
          <cell r="M45">
            <v>77292</v>
          </cell>
          <cell r="N45">
            <v>195262</v>
          </cell>
          <cell r="O45">
            <v>64524</v>
          </cell>
          <cell r="P45">
            <v>84364</v>
          </cell>
          <cell r="Q45">
            <v>91383</v>
          </cell>
          <cell r="R45">
            <v>100359.5</v>
          </cell>
          <cell r="S45">
            <v>188081</v>
          </cell>
          <cell r="T45">
            <v>23686</v>
          </cell>
          <cell r="U45">
            <v>44545.5</v>
          </cell>
          <cell r="V45">
            <v>113888.5</v>
          </cell>
          <cell r="W45">
            <v>50282</v>
          </cell>
          <cell r="Z45">
            <v>2103408.8200000003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2103408.8200000003</v>
          </cell>
          <cell r="AJ45">
            <v>152492</v>
          </cell>
          <cell r="AK45">
            <v>144618</v>
          </cell>
          <cell r="AL45">
            <v>75186</v>
          </cell>
          <cell r="AN45">
            <v>372296</v>
          </cell>
          <cell r="AO45">
            <v>84893.854999999996</v>
          </cell>
          <cell r="AP45">
            <v>0</v>
          </cell>
          <cell r="AS45">
            <v>84893.854999999996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292469418.84700006</v>
          </cell>
          <cell r="G46">
            <v>28252418.752999999</v>
          </cell>
          <cell r="H46">
            <v>23901609.151000001</v>
          </cell>
          <cell r="I46">
            <v>10469360.843</v>
          </cell>
          <cell r="J46">
            <v>8567537.574000001</v>
          </cell>
          <cell r="K46">
            <v>19085782.846999999</v>
          </cell>
          <cell r="L46">
            <v>14719934.818</v>
          </cell>
          <cell r="M46">
            <v>6932471.6000000006</v>
          </cell>
          <cell r="N46">
            <v>19447451.25</v>
          </cell>
          <cell r="O46">
            <v>5974348.0470000003</v>
          </cell>
          <cell r="P46">
            <v>8071303.6800000006</v>
          </cell>
          <cell r="Q46">
            <v>8113867.6889999993</v>
          </cell>
          <cell r="R46">
            <v>10464858.467999998</v>
          </cell>
          <cell r="S46">
            <v>18111734.785</v>
          </cell>
          <cell r="T46">
            <v>2579135.8989999997</v>
          </cell>
          <cell r="U46">
            <v>4899092.7219999991</v>
          </cell>
          <cell r="V46">
            <v>11077996.586999999</v>
          </cell>
          <cell r="W46">
            <v>6189556.9120000014</v>
          </cell>
          <cell r="Z46">
            <v>206858461.62500003</v>
          </cell>
          <cell r="AA46">
            <v>125000</v>
          </cell>
          <cell r="AB46">
            <v>0</v>
          </cell>
          <cell r="AC46">
            <v>112500</v>
          </cell>
          <cell r="AD46">
            <v>270060</v>
          </cell>
          <cell r="AH46">
            <v>507560</v>
          </cell>
          <cell r="AI46">
            <v>207366021.62500003</v>
          </cell>
          <cell r="AJ46">
            <v>4297193</v>
          </cell>
          <cell r="AK46">
            <v>1822974</v>
          </cell>
          <cell r="AL46">
            <v>1407315</v>
          </cell>
          <cell r="AN46">
            <v>7527482</v>
          </cell>
          <cell r="AO46">
            <v>76897590.006999984</v>
          </cell>
          <cell r="AP46">
            <v>0</v>
          </cell>
          <cell r="AS46">
            <v>76897590.006999984</v>
          </cell>
          <cell r="AT46">
            <v>50990.499999999993</v>
          </cell>
          <cell r="AU46">
            <v>52740</v>
          </cell>
          <cell r="AV46">
            <v>559455.16500000004</v>
          </cell>
          <cell r="BA46">
            <v>663185.66500000004</v>
          </cell>
          <cell r="BB46">
            <v>0</v>
          </cell>
          <cell r="BC46">
            <v>15139.549999999997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15139.549999999997</v>
          </cell>
        </row>
        <row r="47">
          <cell r="F47">
            <v>273882301.58895004</v>
          </cell>
          <cell r="G47">
            <v>25671103.565000001</v>
          </cell>
          <cell r="H47">
            <v>23001796.442989998</v>
          </cell>
          <cell r="I47">
            <v>10307567.402999999</v>
          </cell>
          <cell r="J47">
            <v>8259010.2429999998</v>
          </cell>
          <cell r="K47">
            <v>17095068.645</v>
          </cell>
          <cell r="L47">
            <v>13048503.477000002</v>
          </cell>
          <cell r="M47">
            <v>6900989.4570000004</v>
          </cell>
          <cell r="N47">
            <v>17372554.368999999</v>
          </cell>
          <cell r="O47">
            <v>5724935.1989999991</v>
          </cell>
          <cell r="P47">
            <v>7516338.1229999997</v>
          </cell>
          <cell r="Q47">
            <v>7744834.6699999999</v>
          </cell>
          <cell r="R47">
            <v>9316109.0989999995</v>
          </cell>
          <cell r="S47">
            <v>16880269.675000001</v>
          </cell>
          <cell r="T47">
            <v>2382468.0410000002</v>
          </cell>
          <cell r="U47">
            <v>3868021.162</v>
          </cell>
          <cell r="V47">
            <v>9673507.7599999998</v>
          </cell>
          <cell r="W47">
            <v>5405726.3020000011</v>
          </cell>
          <cell r="Z47">
            <v>190168803.63299</v>
          </cell>
          <cell r="AA47">
            <v>22845.426999999996</v>
          </cell>
          <cell r="AB47">
            <v>0</v>
          </cell>
          <cell r="AC47">
            <v>34159.044999999998</v>
          </cell>
          <cell r="AD47">
            <v>87972.22600000001</v>
          </cell>
          <cell r="AH47">
            <v>144976.698</v>
          </cell>
          <cell r="AI47">
            <v>190313780.33099002</v>
          </cell>
          <cell r="AJ47">
            <v>4113642.7319900012</v>
          </cell>
          <cell r="AK47">
            <v>1557445.0569699996</v>
          </cell>
          <cell r="AL47">
            <v>1991919.9360000002</v>
          </cell>
          <cell r="AN47">
            <v>7663007.7249600012</v>
          </cell>
          <cell r="AO47">
            <v>75591089.328999996</v>
          </cell>
          <cell r="AP47">
            <v>0</v>
          </cell>
          <cell r="AS47">
            <v>75591089.328999996</v>
          </cell>
          <cell r="AT47">
            <v>13188.617</v>
          </cell>
          <cell r="AU47">
            <v>40466.032999999996</v>
          </cell>
          <cell r="AV47">
            <v>0</v>
          </cell>
          <cell r="BA47">
            <v>53654.649999999994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112.94</v>
          </cell>
          <cell r="BG47">
            <v>302804.88</v>
          </cell>
          <cell r="BH47">
            <v>-42148.265999999996</v>
          </cell>
          <cell r="BJ47">
            <v>260769.554</v>
          </cell>
        </row>
        <row r="48">
          <cell r="F48">
            <v>18587117.258050025</v>
          </cell>
          <cell r="G48">
            <v>2581315.1879999973</v>
          </cell>
          <cell r="H48">
            <v>899812.70801000297</v>
          </cell>
          <cell r="I48">
            <v>161793.44000000134</v>
          </cell>
          <cell r="J48">
            <v>308527.33100000117</v>
          </cell>
          <cell r="K48">
            <v>1990714.2019999996</v>
          </cell>
          <cell r="L48">
            <v>1671431.3409999982</v>
          </cell>
          <cell r="M48">
            <v>31482.143000000156</v>
          </cell>
          <cell r="N48">
            <v>2074896.881000001</v>
          </cell>
          <cell r="O48">
            <v>249412.84800000116</v>
          </cell>
          <cell r="P48">
            <v>554965.55700000096</v>
          </cell>
          <cell r="Q48">
            <v>369033.01899999939</v>
          </cell>
          <cell r="R48">
            <v>1148749.368999999</v>
          </cell>
          <cell r="S48">
            <v>1231465.1099999994</v>
          </cell>
          <cell r="T48">
            <v>196667.85799999954</v>
          </cell>
          <cell r="U48">
            <v>1031071.5599999991</v>
          </cell>
          <cell r="V48">
            <v>1404488.8269999996</v>
          </cell>
          <cell r="W48">
            <v>783830.61000000034</v>
          </cell>
          <cell r="Z48">
            <v>16689657.992010027</v>
          </cell>
          <cell r="AA48">
            <v>102154.573</v>
          </cell>
          <cell r="AB48">
            <v>0</v>
          </cell>
          <cell r="AC48">
            <v>78340.955000000002</v>
          </cell>
          <cell r="AD48">
            <v>182087.77399999998</v>
          </cell>
          <cell r="AH48">
            <v>362583.30200000003</v>
          </cell>
          <cell r="AI48">
            <v>17052241.294010013</v>
          </cell>
          <cell r="AJ48">
            <v>183550.26800999884</v>
          </cell>
          <cell r="AK48">
            <v>265528.94303000043</v>
          </cell>
          <cell r="AL48">
            <v>-584604.93600000022</v>
          </cell>
          <cell r="AN48">
            <v>-135525.72496000119</v>
          </cell>
          <cell r="AO48">
            <v>1306500.6779999882</v>
          </cell>
          <cell r="AP48">
            <v>0</v>
          </cell>
          <cell r="AS48">
            <v>1306500.6779999882</v>
          </cell>
          <cell r="AT48">
            <v>37801.882999999994</v>
          </cell>
          <cell r="AU48">
            <v>12273.967000000004</v>
          </cell>
          <cell r="AV48">
            <v>559455.16500000004</v>
          </cell>
          <cell r="BA48">
            <v>609531.01500000001</v>
          </cell>
          <cell r="BB48">
            <v>0</v>
          </cell>
          <cell r="BC48">
            <v>15139.549999999997</v>
          </cell>
          <cell r="BD48">
            <v>0</v>
          </cell>
          <cell r="BE48">
            <v>0</v>
          </cell>
          <cell r="BF48">
            <v>-112.94</v>
          </cell>
          <cell r="BG48">
            <v>-302804.88</v>
          </cell>
          <cell r="BH48">
            <v>42148.265999999996</v>
          </cell>
          <cell r="BJ48">
            <v>-245630.00400000002</v>
          </cell>
        </row>
        <row r="49">
          <cell r="F49">
            <v>24297243.07300042</v>
          </cell>
          <cell r="G49">
            <v>2531625.3595111775</v>
          </cell>
          <cell r="H49">
            <v>2243699.9521153527</v>
          </cell>
          <cell r="I49">
            <v>1222710.9493190956</v>
          </cell>
          <cell r="J49">
            <v>935565.21490883513</v>
          </cell>
          <cell r="K49">
            <v>1861771.2377980321</v>
          </cell>
          <cell r="L49">
            <v>1530183.3549186047</v>
          </cell>
          <cell r="M49">
            <v>827600.59332589712</v>
          </cell>
          <cell r="N49">
            <v>1814205.2706825484</v>
          </cell>
          <cell r="O49">
            <v>707149.65680963721</v>
          </cell>
          <cell r="P49">
            <v>844713.42316303088</v>
          </cell>
          <cell r="Q49">
            <v>856689.07638263109</v>
          </cell>
          <cell r="R49">
            <v>980652.66322604124</v>
          </cell>
          <cell r="S49">
            <v>1670299.7339769148</v>
          </cell>
          <cell r="T49">
            <v>294497.41693075723</v>
          </cell>
          <cell r="U49">
            <v>442975.89653275663</v>
          </cell>
          <cell r="V49">
            <v>1025606.8352035888</v>
          </cell>
          <cell r="W49">
            <v>566546.48890022282</v>
          </cell>
          <cell r="Z49">
            <v>20356493.123705123</v>
          </cell>
          <cell r="AA49">
            <v>82210.812999999995</v>
          </cell>
          <cell r="AB49">
            <v>2248.8469999999998</v>
          </cell>
          <cell r="AC49">
            <v>0</v>
          </cell>
          <cell r="AD49">
            <v>0</v>
          </cell>
          <cell r="AH49">
            <v>84459.659999999989</v>
          </cell>
          <cell r="AI49">
            <v>20440952.783705123</v>
          </cell>
          <cell r="AJ49">
            <v>224136.92055361817</v>
          </cell>
          <cell r="AK49">
            <v>96994.817901680493</v>
          </cell>
          <cell r="AL49">
            <v>112345.26293</v>
          </cell>
          <cell r="AN49">
            <v>433477.00138529867</v>
          </cell>
          <cell r="AO49">
            <v>1346164.027</v>
          </cell>
          <cell r="AP49">
            <v>0</v>
          </cell>
          <cell r="AS49">
            <v>1346164.027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125221.197</v>
          </cell>
          <cell r="BD49">
            <v>0</v>
          </cell>
          <cell r="BE49">
            <v>1243000.0719999999</v>
          </cell>
          <cell r="BF49">
            <v>251889.68299999996</v>
          </cell>
          <cell r="BG49">
            <v>456538.30891000002</v>
          </cell>
          <cell r="BH49">
            <v>0</v>
          </cell>
          <cell r="BJ49">
            <v>2076649.2609099997</v>
          </cell>
        </row>
        <row r="50">
          <cell r="F50">
            <v>-5710125.8149503954</v>
          </cell>
          <cell r="G50">
            <v>49689.828488819767</v>
          </cell>
          <cell r="H50">
            <v>-1343887.2441053498</v>
          </cell>
          <cell r="I50">
            <v>-1060917.5093190942</v>
          </cell>
          <cell r="J50">
            <v>-627037.88390883396</v>
          </cell>
          <cell r="K50">
            <v>128942.96420196746</v>
          </cell>
          <cell r="L50">
            <v>141247.98608139344</v>
          </cell>
          <cell r="M50">
            <v>-796118.45032589696</v>
          </cell>
          <cell r="N50">
            <v>260691.61031745258</v>
          </cell>
          <cell r="O50">
            <v>-457736.80880963604</v>
          </cell>
          <cell r="P50">
            <v>-289747.86616302992</v>
          </cell>
          <cell r="Q50">
            <v>-487656.0573826317</v>
          </cell>
          <cell r="R50">
            <v>168096.70577395777</v>
          </cell>
          <cell r="S50">
            <v>-438834.62397691538</v>
          </cell>
          <cell r="T50">
            <v>-97829.558930757688</v>
          </cell>
          <cell r="U50">
            <v>588095.6634672425</v>
          </cell>
          <cell r="V50">
            <v>378881.99179641076</v>
          </cell>
          <cell r="W50">
            <v>217284.12109977752</v>
          </cell>
          <cell r="Z50">
            <v>-3666835.1316950954</v>
          </cell>
          <cell r="AA50">
            <v>19943.760000000009</v>
          </cell>
          <cell r="AB50">
            <v>-2248.8469999999998</v>
          </cell>
          <cell r="AC50">
            <v>78340.955000000002</v>
          </cell>
          <cell r="AD50">
            <v>182087.77399999998</v>
          </cell>
          <cell r="AH50">
            <v>278123.64200000005</v>
          </cell>
          <cell r="AI50">
            <v>-3388711.4896951094</v>
          </cell>
          <cell r="AJ50">
            <v>-40586.652543619333</v>
          </cell>
          <cell r="AK50">
            <v>168534.12512831995</v>
          </cell>
          <cell r="AL50">
            <v>-696950.19893000019</v>
          </cell>
          <cell r="AN50">
            <v>-569002.72634529986</v>
          </cell>
          <cell r="AO50">
            <v>-39663.349000011804</v>
          </cell>
          <cell r="AP50">
            <v>0</v>
          </cell>
          <cell r="AS50">
            <v>-39663.349000011804</v>
          </cell>
          <cell r="AT50">
            <v>37801.882999999994</v>
          </cell>
          <cell r="AU50">
            <v>12273.967000000004</v>
          </cell>
          <cell r="AV50">
            <v>559455.16500000004</v>
          </cell>
          <cell r="BA50">
            <v>609531.01500000001</v>
          </cell>
          <cell r="BB50">
            <v>0</v>
          </cell>
          <cell r="BC50">
            <v>-110081.647</v>
          </cell>
          <cell r="BD50">
            <v>0</v>
          </cell>
          <cell r="BE50">
            <v>-1243000.0719999999</v>
          </cell>
          <cell r="BF50">
            <v>-252002.62299999996</v>
          </cell>
          <cell r="BG50">
            <v>-759343.18891000003</v>
          </cell>
          <cell r="BH50">
            <v>42148.265999999996</v>
          </cell>
          <cell r="BJ50">
            <v>-2322279.2649099999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28400</v>
          </cell>
          <cell r="H7">
            <v>18327</v>
          </cell>
          <cell r="I7">
            <v>19107.8</v>
          </cell>
          <cell r="J7">
            <v>9800</v>
          </cell>
          <cell r="K7">
            <v>15517</v>
          </cell>
          <cell r="L7">
            <v>13004</v>
          </cell>
          <cell r="M7">
            <v>12705</v>
          </cell>
          <cell r="N7">
            <v>16976</v>
          </cell>
          <cell r="O7">
            <v>12518</v>
          </cell>
          <cell r="P7">
            <v>14953</v>
          </cell>
          <cell r="Q7">
            <v>14191</v>
          </cell>
          <cell r="R7">
            <v>11980</v>
          </cell>
          <cell r="S7">
            <v>23352</v>
          </cell>
          <cell r="T7">
            <v>5359</v>
          </cell>
          <cell r="U7">
            <v>7883</v>
          </cell>
          <cell r="V7">
            <v>10103</v>
          </cell>
          <cell r="W7">
            <v>2108.5</v>
          </cell>
          <cell r="Z7">
            <v>236284.3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236284.3</v>
          </cell>
          <cell r="AJ7">
            <v>9143</v>
          </cell>
          <cell r="AK7">
            <v>1050</v>
          </cell>
          <cell r="AL7">
            <v>36758</v>
          </cell>
          <cell r="AN7">
            <v>46951</v>
          </cell>
          <cell r="AO7">
            <v>7354.6280000000006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32391918.422000002</v>
          </cell>
          <cell r="G8">
            <v>2850383.9180000001</v>
          </cell>
          <cell r="H8">
            <v>1795814.6939999999</v>
          </cell>
          <cell r="I8">
            <v>1803396.3</v>
          </cell>
          <cell r="J8">
            <v>943503.09400000004</v>
          </cell>
          <cell r="K8">
            <v>1769742.8</v>
          </cell>
          <cell r="L8">
            <v>1314970.3</v>
          </cell>
          <cell r="M8">
            <v>1134828.7</v>
          </cell>
          <cell r="N8">
            <v>1722999.7</v>
          </cell>
          <cell r="O8">
            <v>1127996.8999999999</v>
          </cell>
          <cell r="P8">
            <v>1507345.4</v>
          </cell>
          <cell r="Q8">
            <v>1379972.75</v>
          </cell>
          <cell r="R8">
            <v>1176186.55</v>
          </cell>
          <cell r="S8">
            <v>2315037.7599999998</v>
          </cell>
          <cell r="T8">
            <v>606961</v>
          </cell>
          <cell r="U8">
            <v>917560.2</v>
          </cell>
          <cell r="V8">
            <v>1007174.3959999999</v>
          </cell>
          <cell r="W8">
            <v>245498.21799999999</v>
          </cell>
          <cell r="Z8">
            <v>23619372.680000003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23710212.680000003</v>
          </cell>
          <cell r="AJ8">
            <v>251085.5</v>
          </cell>
          <cell r="AK8">
            <v>12075</v>
          </cell>
          <cell r="AL8">
            <v>622585</v>
          </cell>
          <cell r="AN8">
            <v>885745.5</v>
          </cell>
          <cell r="AO8">
            <v>7720825.8609999996</v>
          </cell>
          <cell r="AP8">
            <v>0</v>
          </cell>
          <cell r="AS8">
            <v>7720825.8609999996</v>
          </cell>
          <cell r="AT8">
            <v>5512.5</v>
          </cell>
          <cell r="AU8">
            <v>6650</v>
          </cell>
          <cell r="AV8">
            <v>61155.680999999997</v>
          </cell>
          <cell r="BA8">
            <v>73318.180999999997</v>
          </cell>
          <cell r="BB8">
            <v>0</v>
          </cell>
          <cell r="BC8">
            <v>1816.2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1816.2</v>
          </cell>
        </row>
        <row r="9">
          <cell r="G9">
            <v>100365.63091549296</v>
          </cell>
          <cell r="H9">
            <v>97987.378949091493</v>
          </cell>
          <cell r="I9">
            <v>94380.111786809575</v>
          </cell>
          <cell r="J9">
            <v>96275.825918367351</v>
          </cell>
          <cell r="K9">
            <v>114051.86569568861</v>
          </cell>
          <cell r="L9">
            <v>101120.44755459859</v>
          </cell>
          <cell r="M9">
            <v>89321.424635970092</v>
          </cell>
          <cell r="N9">
            <v>101496.21229971724</v>
          </cell>
          <cell r="O9">
            <v>90109.993609202749</v>
          </cell>
          <cell r="P9">
            <v>100805.5507256069</v>
          </cell>
          <cell r="Q9">
            <v>97242.812345853017</v>
          </cell>
          <cell r="R9">
            <v>98179.177796327203</v>
          </cell>
          <cell r="S9">
            <v>99136.594724220617</v>
          </cell>
          <cell r="T9">
            <v>113260.12315730547</v>
          </cell>
          <cell r="U9">
            <v>116397.33603957883</v>
          </cell>
          <cell r="V9">
            <v>99690.626150648313</v>
          </cell>
          <cell r="W9">
            <v>116432.63836850841</v>
          </cell>
          <cell r="Z9">
            <v>99961.667702847815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100346.11982260355</v>
          </cell>
          <cell r="AJ9">
            <v>27462.04746800831</v>
          </cell>
          <cell r="AK9">
            <v>11500</v>
          </cell>
          <cell r="AL9">
            <v>16937.401382012082</v>
          </cell>
          <cell r="AO9">
            <v>1049791.4865306576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28947684.51946</v>
          </cell>
          <cell r="G10">
            <v>2529764.54061</v>
          </cell>
          <cell r="H10">
            <v>1747776.3546499999</v>
          </cell>
          <cell r="I10">
            <v>1617438.1311700002</v>
          </cell>
          <cell r="J10">
            <v>850470.92554999993</v>
          </cell>
          <cell r="K10">
            <v>1463783.99926</v>
          </cell>
          <cell r="L10">
            <v>1142041.4417300001</v>
          </cell>
          <cell r="M10">
            <v>1070963.76997</v>
          </cell>
          <cell r="N10">
            <v>1514563.1808599997</v>
          </cell>
          <cell r="O10">
            <v>1012250.8071399999</v>
          </cell>
          <cell r="P10">
            <v>1262886.77923</v>
          </cell>
          <cell r="Q10">
            <v>1169770.6398199999</v>
          </cell>
          <cell r="R10">
            <v>1043143.72341</v>
          </cell>
          <cell r="S10">
            <v>1978900.5405299999</v>
          </cell>
          <cell r="T10">
            <v>476580.95704000001</v>
          </cell>
          <cell r="U10">
            <v>638270.27237000002</v>
          </cell>
          <cell r="V10">
            <v>842602.51361999998</v>
          </cell>
          <cell r="W10">
            <v>256221.11383000002</v>
          </cell>
          <cell r="Z10">
            <v>20617429.690790001</v>
          </cell>
          <cell r="AA10">
            <v>930.42600000000004</v>
          </cell>
          <cell r="AB10">
            <v>0</v>
          </cell>
          <cell r="AC10">
            <v>3247.4059999999999</v>
          </cell>
          <cell r="AD10">
            <v>4830.6580000000004</v>
          </cell>
          <cell r="AH10">
            <v>9008.4900000000016</v>
          </cell>
          <cell r="AI10">
            <v>20626438.18079</v>
          </cell>
          <cell r="AJ10">
            <v>198770.87384000001</v>
          </cell>
          <cell r="AK10">
            <v>54398.826099999998</v>
          </cell>
          <cell r="AL10">
            <v>743108.60372999997</v>
          </cell>
          <cell r="AN10">
            <v>996278.30367000005</v>
          </cell>
          <cell r="AO10">
            <v>7575195.2439999999</v>
          </cell>
          <cell r="AP10">
            <v>0</v>
          </cell>
          <cell r="AS10">
            <v>7575195.2439999999</v>
          </cell>
          <cell r="AT10">
            <v>138.39099999999999</v>
          </cell>
          <cell r="AU10">
            <v>180.244</v>
          </cell>
          <cell r="AV10">
            <v>0</v>
          </cell>
          <cell r="BA10">
            <v>318.63499999999999</v>
          </cell>
          <cell r="BB10">
            <v>0</v>
          </cell>
          <cell r="BC10">
            <v>0</v>
          </cell>
          <cell r="BD10">
            <v>-250000</v>
          </cell>
          <cell r="BE10">
            <v>0</v>
          </cell>
          <cell r="BF10">
            <v>0</v>
          </cell>
          <cell r="BG10">
            <v>-545.84400000000005</v>
          </cell>
          <cell r="BJ10">
            <v>-250545.84400000001</v>
          </cell>
        </row>
        <row r="11">
          <cell r="G11">
            <v>89076.216218661968</v>
          </cell>
          <cell r="H11">
            <v>95366.200395591193</v>
          </cell>
          <cell r="I11">
            <v>84648.056352379674</v>
          </cell>
          <cell r="J11">
            <v>86782.74750510203</v>
          </cell>
          <cell r="K11">
            <v>94334.214040085062</v>
          </cell>
          <cell r="L11">
            <v>87822.319419409425</v>
          </cell>
          <cell r="M11">
            <v>84294.669025580471</v>
          </cell>
          <cell r="N11">
            <v>89217.906506833155</v>
          </cell>
          <cell r="O11">
            <v>80863.620957021878</v>
          </cell>
          <cell r="P11">
            <v>84457.084145656394</v>
          </cell>
          <cell r="Q11">
            <v>82430.458728771759</v>
          </cell>
          <cell r="R11">
            <v>87073.766561769618</v>
          </cell>
          <cell r="S11">
            <v>84742.22938206578</v>
          </cell>
          <cell r="T11">
            <v>88930.949251726081</v>
          </cell>
          <cell r="U11">
            <v>80967.940171254595</v>
          </cell>
          <cell r="V11">
            <v>83401.21880827476</v>
          </cell>
          <cell r="W11">
            <v>121518.19484467631</v>
          </cell>
          <cell r="Z11">
            <v>87256.875259126406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87295.000898451573</v>
          </cell>
          <cell r="AJ11">
            <v>21740.224635240076</v>
          </cell>
          <cell r="AK11">
            <v>51808.405809523807</v>
          </cell>
          <cell r="AL11">
            <v>20216.241463899012</v>
          </cell>
          <cell r="AO11">
            <v>1029990.2651772461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3444233.902540002</v>
          </cell>
          <cell r="G12">
            <v>320619.37739000004</v>
          </cell>
          <cell r="H12">
            <v>48038.339350000024</v>
          </cell>
          <cell r="I12">
            <v>185958.16882999986</v>
          </cell>
          <cell r="J12">
            <v>93032.168450000114</v>
          </cell>
          <cell r="K12">
            <v>305958.80074000009</v>
          </cell>
          <cell r="L12">
            <v>172928.85826999997</v>
          </cell>
          <cell r="M12">
            <v>63864.93002999993</v>
          </cell>
          <cell r="N12">
            <v>208436.51914000022</v>
          </cell>
          <cell r="O12">
            <v>115746.09285999998</v>
          </cell>
          <cell r="P12">
            <v>244458.62076999992</v>
          </cell>
          <cell r="Q12">
            <v>210202.11018000008</v>
          </cell>
          <cell r="R12">
            <v>133042.82659000007</v>
          </cell>
          <cell r="S12">
            <v>336137.21946999989</v>
          </cell>
          <cell r="T12">
            <v>130380.04295999999</v>
          </cell>
          <cell r="U12">
            <v>279289.92762999993</v>
          </cell>
          <cell r="V12">
            <v>164571.88237999997</v>
          </cell>
          <cell r="W12">
            <v>-10722.895830000023</v>
          </cell>
          <cell r="Z12">
            <v>3001942.9892099998</v>
          </cell>
          <cell r="AA12">
            <v>49069.574000000001</v>
          </cell>
          <cell r="AB12">
            <v>0</v>
          </cell>
          <cell r="AC12">
            <v>9252.594000000001</v>
          </cell>
          <cell r="AD12">
            <v>23509.342000000001</v>
          </cell>
          <cell r="AH12">
            <v>81831.509999999995</v>
          </cell>
          <cell r="AI12">
            <v>3083774.4992100038</v>
          </cell>
          <cell r="AJ12">
            <v>52314.626159999985</v>
          </cell>
          <cell r="AK12">
            <v>-42323.826099999998</v>
          </cell>
          <cell r="AL12">
            <v>-120523.60372999997</v>
          </cell>
          <cell r="AN12">
            <v>-110532.80367000005</v>
          </cell>
          <cell r="AO12">
            <v>145630.61699999962</v>
          </cell>
          <cell r="AP12">
            <v>0</v>
          </cell>
          <cell r="AS12">
            <v>145630.61699999962</v>
          </cell>
          <cell r="AT12">
            <v>5374.1090000000004</v>
          </cell>
          <cell r="AU12">
            <v>6469.7560000000003</v>
          </cell>
          <cell r="AV12">
            <v>61155.680999999997</v>
          </cell>
          <cell r="BA12">
            <v>72999.546000000002</v>
          </cell>
          <cell r="BB12">
            <v>0</v>
          </cell>
          <cell r="BC12">
            <v>1816.2</v>
          </cell>
          <cell r="BD12">
            <v>250000</v>
          </cell>
          <cell r="BE12">
            <v>0</v>
          </cell>
          <cell r="BF12">
            <v>0</v>
          </cell>
          <cell r="BG12">
            <v>545.84400000000005</v>
          </cell>
          <cell r="BJ12">
            <v>252362.04400000002</v>
          </cell>
        </row>
        <row r="13">
          <cell r="F13">
            <v>1066205.2010000001</v>
          </cell>
          <cell r="G13">
            <v>88953.674999999988</v>
          </cell>
          <cell r="H13">
            <v>81603.025999999998</v>
          </cell>
          <cell r="I13">
            <v>61724.567999999999</v>
          </cell>
          <cell r="J13">
            <v>46465.675999999999</v>
          </cell>
          <cell r="K13">
            <v>57035.590000000004</v>
          </cell>
          <cell r="L13">
            <v>67538.234999999986</v>
          </cell>
          <cell r="M13">
            <v>47729.662000000004</v>
          </cell>
          <cell r="N13">
            <v>67648.728000000003</v>
          </cell>
          <cell r="O13">
            <v>35509.570999999996</v>
          </cell>
          <cell r="P13">
            <v>60703.040999999997</v>
          </cell>
          <cell r="Q13">
            <v>57870.334999999999</v>
          </cell>
          <cell r="R13">
            <v>40554.173999999999</v>
          </cell>
          <cell r="S13">
            <v>54539.885999999999</v>
          </cell>
          <cell r="T13">
            <v>17304.272999999997</v>
          </cell>
          <cell r="U13">
            <v>16511.871999999999</v>
          </cell>
          <cell r="V13">
            <v>45519.494000000006</v>
          </cell>
          <cell r="W13">
            <v>17822.421000000002</v>
          </cell>
          <cell r="Z13">
            <v>865034.22700000007</v>
          </cell>
          <cell r="AA13">
            <v>0</v>
          </cell>
          <cell r="AB13">
            <v>171.33199999999999</v>
          </cell>
          <cell r="AC13">
            <v>0</v>
          </cell>
          <cell r="AD13">
            <v>0</v>
          </cell>
          <cell r="AH13">
            <v>171.33199999999999</v>
          </cell>
          <cell r="AI13">
            <v>865205.55900000012</v>
          </cell>
          <cell r="AJ13">
            <v>1009.999</v>
          </cell>
          <cell r="AK13">
            <v>31935.563999999998</v>
          </cell>
          <cell r="AL13">
            <v>0</v>
          </cell>
          <cell r="AN13">
            <v>32945.563000000002</v>
          </cell>
          <cell r="AO13">
            <v>155734.05099999998</v>
          </cell>
          <cell r="AP13">
            <v>0</v>
          </cell>
          <cell r="AS13">
            <v>155734.05099999998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12320.028</v>
          </cell>
          <cell r="BG13">
            <v>0</v>
          </cell>
          <cell r="BJ13">
            <v>12320.028</v>
          </cell>
        </row>
        <row r="14">
          <cell r="F14">
            <v>667307.21000000008</v>
          </cell>
          <cell r="G14">
            <v>59454.600999999995</v>
          </cell>
          <cell r="H14">
            <v>50360.849000000002</v>
          </cell>
          <cell r="I14">
            <v>43106.989000000001</v>
          </cell>
          <cell r="J14">
            <v>31738.364000000001</v>
          </cell>
          <cell r="K14">
            <v>39555.97</v>
          </cell>
          <cell r="L14">
            <v>43155.484999999993</v>
          </cell>
          <cell r="M14">
            <v>32744.79</v>
          </cell>
          <cell r="N14">
            <v>41992.29</v>
          </cell>
          <cell r="O14">
            <v>24869.042999999998</v>
          </cell>
          <cell r="P14">
            <v>40615.696000000004</v>
          </cell>
          <cell r="Q14">
            <v>32514.976999999999</v>
          </cell>
          <cell r="R14">
            <v>23558.152999999998</v>
          </cell>
          <cell r="S14">
            <v>38551.341</v>
          </cell>
          <cell r="T14">
            <v>9116.2319999999982</v>
          </cell>
          <cell r="U14">
            <v>9282.9850000000006</v>
          </cell>
          <cell r="V14">
            <v>26924.856</v>
          </cell>
          <cell r="W14">
            <v>12907.557000000001</v>
          </cell>
          <cell r="Z14">
            <v>560450.17800000007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560450.17800000007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106849.64499999999</v>
          </cell>
          <cell r="AP14">
            <v>0</v>
          </cell>
          <cell r="AS14">
            <v>106849.64499999999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7.3869999999999996</v>
          </cell>
          <cell r="BG14">
            <v>0</v>
          </cell>
          <cell r="BJ14">
            <v>7.3869999999999996</v>
          </cell>
        </row>
        <row r="15">
          <cell r="F15">
            <v>398897.99100000004</v>
          </cell>
          <cell r="G15">
            <v>29499.074000000001</v>
          </cell>
          <cell r="H15">
            <v>31242.177</v>
          </cell>
          <cell r="I15">
            <v>18617.578999999998</v>
          </cell>
          <cell r="J15">
            <v>14727.311999999998</v>
          </cell>
          <cell r="K15">
            <v>17479.620000000003</v>
          </cell>
          <cell r="L15">
            <v>24382.75</v>
          </cell>
          <cell r="M15">
            <v>14984.872000000001</v>
          </cell>
          <cell r="N15">
            <v>25656.438000000002</v>
          </cell>
          <cell r="O15">
            <v>10640.528</v>
          </cell>
          <cell r="P15">
            <v>20087.344999999998</v>
          </cell>
          <cell r="Q15">
            <v>25355.358</v>
          </cell>
          <cell r="R15">
            <v>16996.021000000001</v>
          </cell>
          <cell r="S15">
            <v>15988.545</v>
          </cell>
          <cell r="T15">
            <v>8188.0410000000002</v>
          </cell>
          <cell r="U15">
            <v>7228.8869999999997</v>
          </cell>
          <cell r="V15">
            <v>18594.638000000003</v>
          </cell>
          <cell r="W15">
            <v>4914.8639999999996</v>
          </cell>
          <cell r="Z15">
            <v>304584.049</v>
          </cell>
          <cell r="AA15">
            <v>0</v>
          </cell>
          <cell r="AB15">
            <v>171.33199999999999</v>
          </cell>
          <cell r="AC15">
            <v>0</v>
          </cell>
          <cell r="AD15">
            <v>0</v>
          </cell>
          <cell r="AH15">
            <v>171.33199999999999</v>
          </cell>
          <cell r="AI15">
            <v>304755.38099999999</v>
          </cell>
          <cell r="AJ15">
            <v>1009.999</v>
          </cell>
          <cell r="AK15">
            <v>31935.563999999998</v>
          </cell>
          <cell r="AL15">
            <v>0</v>
          </cell>
          <cell r="AN15">
            <v>32945.563000000002</v>
          </cell>
          <cell r="AO15">
            <v>48884.406000000003</v>
          </cell>
          <cell r="AP15">
            <v>0</v>
          </cell>
          <cell r="AS15">
            <v>48884.406000000003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12312.641</v>
          </cell>
          <cell r="BG15">
            <v>0</v>
          </cell>
          <cell r="BJ15">
            <v>12312.641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2378028.7015400017</v>
          </cell>
          <cell r="G17">
            <v>231665.70239000005</v>
          </cell>
          <cell r="H17">
            <v>-33564.686649999974</v>
          </cell>
          <cell r="I17">
            <v>124233.60082999986</v>
          </cell>
          <cell r="J17">
            <v>46566.492450000114</v>
          </cell>
          <cell r="K17">
            <v>248923.2107400001</v>
          </cell>
          <cell r="L17">
            <v>105390.62326999998</v>
          </cell>
          <cell r="M17">
            <v>16135.268029999927</v>
          </cell>
          <cell r="N17">
            <v>140787.79114000022</v>
          </cell>
          <cell r="O17">
            <v>80236.521859999979</v>
          </cell>
          <cell r="P17">
            <v>183755.57976999992</v>
          </cell>
          <cell r="Q17">
            <v>152331.77518000008</v>
          </cell>
          <cell r="R17">
            <v>92488.652590000071</v>
          </cell>
          <cell r="S17">
            <v>281597.3334699999</v>
          </cell>
          <cell r="T17">
            <v>113075.76995999999</v>
          </cell>
          <cell r="U17">
            <v>262778.05562999996</v>
          </cell>
          <cell r="V17">
            <v>119052.38837999996</v>
          </cell>
          <cell r="W17">
            <v>-28545.316830000025</v>
          </cell>
          <cell r="Z17">
            <v>2136908.7622099998</v>
          </cell>
          <cell r="AA17">
            <v>49069.574000000001</v>
          </cell>
          <cell r="AB17">
            <v>-171.33199999999999</v>
          </cell>
          <cell r="AC17">
            <v>9252.594000000001</v>
          </cell>
          <cell r="AD17">
            <v>23509.342000000001</v>
          </cell>
          <cell r="AH17">
            <v>81660.178</v>
          </cell>
          <cell r="AI17">
            <v>2218568.9402100034</v>
          </cell>
          <cell r="AJ17">
            <v>51304.627159999982</v>
          </cell>
          <cell r="AK17">
            <v>-74259.39009999999</v>
          </cell>
          <cell r="AL17">
            <v>-120523.60372999997</v>
          </cell>
          <cell r="AN17">
            <v>-143478.36667000005</v>
          </cell>
          <cell r="AO17">
            <v>-10103.434000000358</v>
          </cell>
          <cell r="AP17">
            <v>0</v>
          </cell>
          <cell r="AS17">
            <v>-10103.434000000358</v>
          </cell>
          <cell r="AT17">
            <v>5374.1090000000004</v>
          </cell>
          <cell r="AU17">
            <v>6469.7560000000003</v>
          </cell>
          <cell r="AV17">
            <v>61155.680999999997</v>
          </cell>
          <cell r="BA17">
            <v>72999.546000000002</v>
          </cell>
          <cell r="BB17">
            <v>0</v>
          </cell>
          <cell r="BC17">
            <v>1816.2</v>
          </cell>
          <cell r="BD17">
            <v>250000</v>
          </cell>
          <cell r="BE17">
            <v>0</v>
          </cell>
          <cell r="BF17">
            <v>-12320.028</v>
          </cell>
          <cell r="BG17">
            <v>545.84400000000005</v>
          </cell>
          <cell r="BJ17">
            <v>240042.01600000003</v>
          </cell>
        </row>
        <row r="18">
          <cell r="F18">
            <v>526827.33753999998</v>
          </cell>
          <cell r="G18">
            <v>29633.301390000001</v>
          </cell>
          <cell r="H18">
            <v>34832.353350000005</v>
          </cell>
          <cell r="I18">
            <v>17983.770830000001</v>
          </cell>
          <cell r="J18">
            <v>17524.635449999998</v>
          </cell>
          <cell r="K18">
            <v>81701.659740000003</v>
          </cell>
          <cell r="L18">
            <v>20717.129269999998</v>
          </cell>
          <cell r="M18">
            <v>18864.79103</v>
          </cell>
          <cell r="N18">
            <v>37242.390140000003</v>
          </cell>
          <cell r="O18">
            <v>10634.31386</v>
          </cell>
          <cell r="P18">
            <v>31500.912769999999</v>
          </cell>
          <cell r="Q18">
            <v>14677.051179999999</v>
          </cell>
          <cell r="R18">
            <v>14028.704590000001</v>
          </cell>
          <cell r="S18">
            <v>24945.14847</v>
          </cell>
          <cell r="T18">
            <v>5937.0669599999992</v>
          </cell>
          <cell r="U18">
            <v>10763.841630000001</v>
          </cell>
          <cell r="V18">
            <v>21050.289380000002</v>
          </cell>
          <cell r="W18">
            <v>12136.01217</v>
          </cell>
          <cell r="Z18">
            <v>404173.37221000006</v>
          </cell>
          <cell r="AA18">
            <v>5302.2790000000005</v>
          </cell>
          <cell r="AB18">
            <v>353.67200000000003</v>
          </cell>
          <cell r="AC18">
            <v>0</v>
          </cell>
          <cell r="AD18">
            <v>0</v>
          </cell>
          <cell r="AH18">
            <v>5655.9510000000009</v>
          </cell>
          <cell r="AI18">
            <v>409829.32321</v>
          </cell>
          <cell r="AJ18">
            <v>39510.939159999994</v>
          </cell>
          <cell r="AK18">
            <v>12575.9139</v>
          </cell>
          <cell r="AL18">
            <v>62878.777270000006</v>
          </cell>
          <cell r="AN18">
            <v>114965.63033</v>
          </cell>
          <cell r="AO18">
            <v>5475.768</v>
          </cell>
          <cell r="AP18">
            <v>855.83600000000001</v>
          </cell>
          <cell r="AS18">
            <v>6331.6040000000003</v>
          </cell>
          <cell r="AT18">
            <v>1312.8920000000001</v>
          </cell>
          <cell r="AU18">
            <v>-4103.3360000000002</v>
          </cell>
          <cell r="AV18">
            <v>0</v>
          </cell>
          <cell r="BA18">
            <v>-2790.4440000000004</v>
          </cell>
          <cell r="BB18">
            <v>0</v>
          </cell>
          <cell r="BC18">
            <v>7761.0870000000004</v>
          </cell>
          <cell r="BD18">
            <v>0</v>
          </cell>
          <cell r="BE18">
            <v>0</v>
          </cell>
          <cell r="BF18">
            <v>-9269.8630000000012</v>
          </cell>
          <cell r="BG18">
            <v>0</v>
          </cell>
          <cell r="BJ18">
            <v>-1508.7760000000007</v>
          </cell>
        </row>
        <row r="19">
          <cell r="F19">
            <v>500056.20954000001</v>
          </cell>
          <cell r="G19">
            <v>27305.679390000001</v>
          </cell>
          <cell r="H19">
            <v>32887.218350000003</v>
          </cell>
          <cell r="I19">
            <v>16681.308830000002</v>
          </cell>
          <cell r="J19">
            <v>16332.647449999999</v>
          </cell>
          <cell r="K19">
            <v>79825.593739999997</v>
          </cell>
          <cell r="L19">
            <v>19152.727269999999</v>
          </cell>
          <cell r="M19">
            <v>17671.192030000002</v>
          </cell>
          <cell r="N19">
            <v>35679.085140000003</v>
          </cell>
          <cell r="O19">
            <v>9884.2778600000001</v>
          </cell>
          <cell r="P19">
            <v>30282.146769999999</v>
          </cell>
          <cell r="Q19">
            <v>13471.66318</v>
          </cell>
          <cell r="R19">
            <v>12926.549590000001</v>
          </cell>
          <cell r="S19">
            <v>23356.947469999999</v>
          </cell>
          <cell r="T19">
            <v>5566.6669599999996</v>
          </cell>
          <cell r="U19">
            <v>10320.97263</v>
          </cell>
          <cell r="V19">
            <v>19923.425380000001</v>
          </cell>
          <cell r="W19">
            <v>11310.642169999999</v>
          </cell>
          <cell r="Z19">
            <v>382578.74421000003</v>
          </cell>
          <cell r="AA19">
            <v>5302.2790000000005</v>
          </cell>
          <cell r="AB19">
            <v>0</v>
          </cell>
          <cell r="AC19">
            <v>0</v>
          </cell>
          <cell r="AD19">
            <v>0</v>
          </cell>
          <cell r="AH19">
            <v>5302.2790000000005</v>
          </cell>
          <cell r="AI19">
            <v>387881.02321000001</v>
          </cell>
          <cell r="AJ19">
            <v>39510.939159999994</v>
          </cell>
          <cell r="AK19">
            <v>12575.9139</v>
          </cell>
          <cell r="AL19">
            <v>62878.777270000006</v>
          </cell>
          <cell r="AN19">
            <v>114965.63033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26771.127999999997</v>
          </cell>
          <cell r="G20">
            <v>2327.6219999999998</v>
          </cell>
          <cell r="H20">
            <v>1945.135</v>
          </cell>
          <cell r="I20">
            <v>1302.462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21594.628000000001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21948.3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5475.768</v>
          </cell>
          <cell r="AP20">
            <v>855.83600000000001</v>
          </cell>
          <cell r="AS20">
            <v>6331.6040000000003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7761.0870000000004</v>
          </cell>
          <cell r="BD20">
            <v>0</v>
          </cell>
          <cell r="BE20">
            <v>0</v>
          </cell>
          <cell r="BF20">
            <v>-9269.8630000000012</v>
          </cell>
          <cell r="BG20">
            <v>0</v>
          </cell>
          <cell r="BJ20">
            <v>-1508.7760000000007</v>
          </cell>
        </row>
        <row r="21">
          <cell r="F21">
            <v>1851201.3640000017</v>
          </cell>
          <cell r="G21">
            <v>202032.40100000004</v>
          </cell>
          <cell r="H21">
            <v>-68397.039999999979</v>
          </cell>
          <cell r="I21">
            <v>106249.82999999987</v>
          </cell>
          <cell r="J21">
            <v>29041.857000000116</v>
          </cell>
          <cell r="K21">
            <v>167221.55100000009</v>
          </cell>
          <cell r="L21">
            <v>84673.493999999977</v>
          </cell>
          <cell r="M21">
            <v>-2729.5230000000738</v>
          </cell>
          <cell r="N21">
            <v>103545.40100000022</v>
          </cell>
          <cell r="O21">
            <v>69602.207999999984</v>
          </cell>
          <cell r="P21">
            <v>152254.66699999993</v>
          </cell>
          <cell r="Q21">
            <v>137654.72400000007</v>
          </cell>
          <cell r="R21">
            <v>78459.948000000062</v>
          </cell>
          <cell r="S21">
            <v>256652.18499999988</v>
          </cell>
          <cell r="T21">
            <v>107138.70299999999</v>
          </cell>
          <cell r="U21">
            <v>252014.21399999995</v>
          </cell>
          <cell r="V21">
            <v>98002.098999999958</v>
          </cell>
          <cell r="W21">
            <v>-40681.329000000027</v>
          </cell>
          <cell r="Z21">
            <v>1732735.3899999997</v>
          </cell>
          <cell r="AA21">
            <v>43767.294999999998</v>
          </cell>
          <cell r="AB21">
            <v>-525.00400000000002</v>
          </cell>
          <cell r="AC21">
            <v>9252.594000000001</v>
          </cell>
          <cell r="AD21">
            <v>23509.342000000001</v>
          </cell>
          <cell r="AH21">
            <v>76004.226999999999</v>
          </cell>
          <cell r="AI21">
            <v>1808739.6170000033</v>
          </cell>
          <cell r="AJ21">
            <v>11793.687999999987</v>
          </cell>
          <cell r="AK21">
            <v>-86835.303999999989</v>
          </cell>
          <cell r="AL21">
            <v>-183402.38099999999</v>
          </cell>
          <cell r="AN21">
            <v>-258443.99700000003</v>
          </cell>
          <cell r="AO21">
            <v>-15579.202000000358</v>
          </cell>
          <cell r="AP21">
            <v>-855.83600000000001</v>
          </cell>
          <cell r="AS21">
            <v>-16435.038000000357</v>
          </cell>
          <cell r="AT21">
            <v>4061.2170000000006</v>
          </cell>
          <cell r="AU21">
            <v>10573.092000000001</v>
          </cell>
          <cell r="AV21">
            <v>61155.680999999997</v>
          </cell>
          <cell r="BA21">
            <v>75789.990000000005</v>
          </cell>
          <cell r="BB21">
            <v>0</v>
          </cell>
          <cell r="BC21">
            <v>-5944.8870000000006</v>
          </cell>
          <cell r="BD21">
            <v>250000</v>
          </cell>
          <cell r="BE21">
            <v>0</v>
          </cell>
          <cell r="BF21">
            <v>-3050.1649999999991</v>
          </cell>
          <cell r="BG21">
            <v>545.84400000000005</v>
          </cell>
          <cell r="BJ21">
            <v>241550.79200000004</v>
          </cell>
        </row>
        <row r="22">
          <cell r="F22">
            <v>1021534.2010026759</v>
          </cell>
          <cell r="G22">
            <v>164247.2062594528</v>
          </cell>
          <cell r="H22">
            <v>103479.9363645491</v>
          </cell>
          <cell r="I22">
            <v>103916.81000693675</v>
          </cell>
          <cell r="J22">
            <v>54367.324453396628</v>
          </cell>
          <cell r="K22">
            <v>105153.14013796758</v>
          </cell>
          <cell r="L22">
            <v>78131.8371421911</v>
          </cell>
          <cell r="M22">
            <v>67428.329881431127</v>
          </cell>
          <cell r="N22">
            <v>102375.796591333</v>
          </cell>
          <cell r="O22">
            <v>67022.40353846502</v>
          </cell>
          <cell r="P22">
            <v>89562.224568745689</v>
          </cell>
          <cell r="Q22">
            <v>81994.099915155195</v>
          </cell>
          <cell r="R22">
            <v>69885.697017974948</v>
          </cell>
          <cell r="S22">
            <v>127785.58089235109</v>
          </cell>
          <cell r="T22">
            <v>33503.066474389736</v>
          </cell>
          <cell r="U22">
            <v>50647.53810352616</v>
          </cell>
          <cell r="V22">
            <v>55594.067395584454</v>
          </cell>
          <cell r="W22">
            <v>13551.02406414617</v>
          </cell>
          <cell r="Z22">
            <v>1368646.0828075965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1368646.0828075965</v>
          </cell>
          <cell r="AJ22">
            <v>15459.660160914926</v>
          </cell>
          <cell r="AK22">
            <v>743.47342416446884</v>
          </cell>
          <cell r="AL22">
            <v>38333.366609999997</v>
          </cell>
          <cell r="AN22">
            <v>54536.500195079396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-401648.38199999998</v>
          </cell>
          <cell r="BF22">
            <v>0</v>
          </cell>
          <cell r="BG22">
            <v>0</v>
          </cell>
          <cell r="BJ22">
            <v>-401648.38199999998</v>
          </cell>
        </row>
        <row r="23">
          <cell r="F23">
            <v>300094.96800267615</v>
          </cell>
          <cell r="G23">
            <v>28713.086887533256</v>
          </cell>
          <cell r="H23">
            <v>18089.978341903818</v>
          </cell>
          <cell r="I23">
            <v>18166.350970324267</v>
          </cell>
          <cell r="J23">
            <v>9504.293841121249</v>
          </cell>
          <cell r="K23">
            <v>21002.885711505751</v>
          </cell>
          <cell r="L23">
            <v>15605.754081849878</v>
          </cell>
          <cell r="M23">
            <v>13467.876511907067</v>
          </cell>
          <cell r="N23">
            <v>20448.149742470316</v>
          </cell>
          <cell r="O23">
            <v>13386.798337946497</v>
          </cell>
          <cell r="P23">
            <v>17888.815913794886</v>
          </cell>
          <cell r="Q23">
            <v>16377.18766435569</v>
          </cell>
          <cell r="R23">
            <v>13958.701617579824</v>
          </cell>
          <cell r="S23">
            <v>17706.864080582582</v>
          </cell>
          <cell r="T23">
            <v>4642.4192792494596</v>
          </cell>
          <cell r="U23">
            <v>7018.077211471561</v>
          </cell>
          <cell r="V23">
            <v>7703.5029162612263</v>
          </cell>
          <cell r="W23">
            <v>1877.7246977393715</v>
          </cell>
          <cell r="Z23">
            <v>245558.46780759672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245558.46780759672</v>
          </cell>
          <cell r="AJ23">
            <v>15459.660160914926</v>
          </cell>
          <cell r="AK23">
            <v>743.47342416446884</v>
          </cell>
          <cell r="AL23">
            <v>38333.366609999997</v>
          </cell>
          <cell r="AN23">
            <v>54536.500195079396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380353.43899999995</v>
          </cell>
          <cell r="G24">
            <v>45901.021181634271</v>
          </cell>
          <cell r="H24">
            <v>28918.816088964501</v>
          </cell>
          <cell r="I24">
            <v>29040.906118801951</v>
          </cell>
          <cell r="J24">
            <v>15193.656976923583</v>
          </cell>
          <cell r="K24">
            <v>28498.968590112829</v>
          </cell>
          <cell r="L24">
            <v>21175.56137345565</v>
          </cell>
          <cell r="M24">
            <v>18274.659728215072</v>
          </cell>
          <cell r="N24">
            <v>27746.243313476869</v>
          </cell>
          <cell r="O24">
            <v>18164.644163459594</v>
          </cell>
          <cell r="P24">
            <v>24273.464601212705</v>
          </cell>
          <cell r="Q24">
            <v>22222.325220061146</v>
          </cell>
          <cell r="R24">
            <v>18940.663888878753</v>
          </cell>
          <cell r="S24">
            <v>37280.099914611979</v>
          </cell>
          <cell r="T24">
            <v>9774.1674521424666</v>
          </cell>
          <cell r="U24">
            <v>14775.886823406005</v>
          </cell>
          <cell r="V24">
            <v>16218.984745336929</v>
          </cell>
          <cell r="W24">
            <v>3953.3688193056487</v>
          </cell>
          <cell r="Z24">
            <v>380353.43899999995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380353.43899999995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341085.79399999988</v>
          </cell>
          <cell r="G25">
            <v>89633.098190285265</v>
          </cell>
          <cell r="H25">
            <v>56471.141933680767</v>
          </cell>
          <cell r="I25">
            <v>56709.552917810543</v>
          </cell>
          <cell r="J25">
            <v>29669.373635351796</v>
          </cell>
          <cell r="K25">
            <v>55651.285836349001</v>
          </cell>
          <cell r="L25">
            <v>41350.521686885579</v>
          </cell>
          <cell r="M25">
            <v>35685.793641308985</v>
          </cell>
          <cell r="N25">
            <v>54181.403535385813</v>
          </cell>
          <cell r="O25">
            <v>35470.961037058929</v>
          </cell>
          <cell r="P25">
            <v>47399.944053738102</v>
          </cell>
          <cell r="Q25">
            <v>43394.587030738359</v>
          </cell>
          <cell r="R25">
            <v>36986.331511516364</v>
          </cell>
          <cell r="S25">
            <v>72798.616897156535</v>
          </cell>
          <cell r="T25">
            <v>19086.47974299781</v>
          </cell>
          <cell r="U25">
            <v>28853.574068648595</v>
          </cell>
          <cell r="V25">
            <v>31671.579733986295</v>
          </cell>
          <cell r="W25">
            <v>7719.9305471011494</v>
          </cell>
          <cell r="Z25">
            <v>742734.17599999986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742734.17599999986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-401648.38199999998</v>
          </cell>
          <cell r="BF25">
            <v>0</v>
          </cell>
          <cell r="BG25">
            <v>0</v>
          </cell>
          <cell r="BJ25">
            <v>-401648.38199999998</v>
          </cell>
        </row>
        <row r="26">
          <cell r="F26">
            <v>829667.16299732577</v>
          </cell>
          <cell r="G26">
            <v>37785.194740547246</v>
          </cell>
          <cell r="H26">
            <v>-171876.97636454907</v>
          </cell>
          <cell r="I26">
            <v>2333.0199930631206</v>
          </cell>
          <cell r="J26">
            <v>-25325.467453396512</v>
          </cell>
          <cell r="K26">
            <v>62068.410862032513</v>
          </cell>
          <cell r="L26">
            <v>6541.6568578088772</v>
          </cell>
          <cell r="M26">
            <v>-70157.852881431201</v>
          </cell>
          <cell r="N26">
            <v>1169.6044086672191</v>
          </cell>
          <cell r="O26">
            <v>2579.8044615349645</v>
          </cell>
          <cell r="P26">
            <v>62692.44243125424</v>
          </cell>
          <cell r="Q26">
            <v>55660.62408484488</v>
          </cell>
          <cell r="R26">
            <v>8574.2509820251144</v>
          </cell>
          <cell r="S26">
            <v>128866.60410764879</v>
          </cell>
          <cell r="T26">
            <v>73635.636525610258</v>
          </cell>
          <cell r="U26">
            <v>201366.67589647378</v>
          </cell>
          <cell r="V26">
            <v>42408.031604415504</v>
          </cell>
          <cell r="W26">
            <v>-54232.353064146198</v>
          </cell>
          <cell r="Z26">
            <v>364089.30719240312</v>
          </cell>
          <cell r="AA26">
            <v>43767.294999999998</v>
          </cell>
          <cell r="AB26">
            <v>-525.00400000000002</v>
          </cell>
          <cell r="AC26">
            <v>9252.594000000001</v>
          </cell>
          <cell r="AD26">
            <v>23509.342000000001</v>
          </cell>
          <cell r="AH26">
            <v>76004.226999999999</v>
          </cell>
          <cell r="AI26">
            <v>440093.53419240681</v>
          </cell>
          <cell r="AJ26">
            <v>-3665.9721609149383</v>
          </cell>
          <cell r="AK26">
            <v>-87578.777424164451</v>
          </cell>
          <cell r="AL26">
            <v>-221735.74760999999</v>
          </cell>
          <cell r="AN26">
            <v>-312980.49719507946</v>
          </cell>
          <cell r="AO26">
            <v>-15579.202000000358</v>
          </cell>
          <cell r="AP26">
            <v>-855.83600000000001</v>
          </cell>
          <cell r="AS26">
            <v>-16435.038000000357</v>
          </cell>
          <cell r="AT26">
            <v>4061.2170000000006</v>
          </cell>
          <cell r="AU26">
            <v>10573.092000000001</v>
          </cell>
          <cell r="AV26">
            <v>61155.680999999997</v>
          </cell>
          <cell r="BA26">
            <v>75789.990000000005</v>
          </cell>
          <cell r="BB26">
            <v>0</v>
          </cell>
          <cell r="BC26">
            <v>-5944.8870000000006</v>
          </cell>
          <cell r="BD26">
            <v>250000</v>
          </cell>
          <cell r="BE26">
            <v>401648.38199999998</v>
          </cell>
          <cell r="BF26">
            <v>-3050.1649999999991</v>
          </cell>
          <cell r="BG26">
            <v>545.84400000000005</v>
          </cell>
          <cell r="BJ26">
            <v>643199.174</v>
          </cell>
        </row>
        <row r="27">
          <cell r="F27">
            <v>829667.16299732367</v>
          </cell>
          <cell r="G27">
            <v>37785.194740547246</v>
          </cell>
          <cell r="H27">
            <v>-171876.97636454907</v>
          </cell>
          <cell r="I27">
            <v>2333.0199930630911</v>
          </cell>
          <cell r="J27">
            <v>-25325.467453396512</v>
          </cell>
          <cell r="K27">
            <v>62068.410862032535</v>
          </cell>
          <cell r="L27">
            <v>6541.6568578088682</v>
          </cell>
          <cell r="M27">
            <v>-70157.852881431201</v>
          </cell>
          <cell r="N27">
            <v>1169.6044086672266</v>
          </cell>
          <cell r="O27">
            <v>2579.8044615349372</v>
          </cell>
          <cell r="P27">
            <v>62692.442431254232</v>
          </cell>
          <cell r="Q27">
            <v>55660.624084844872</v>
          </cell>
          <cell r="R27">
            <v>8574.2509820251289</v>
          </cell>
          <cell r="S27">
            <v>128866.60410764879</v>
          </cell>
          <cell r="T27">
            <v>73635.636525610258</v>
          </cell>
          <cell r="U27">
            <v>201366.67589647378</v>
          </cell>
          <cell r="V27">
            <v>42408.031604415504</v>
          </cell>
          <cell r="W27">
            <v>-54232.353064146198</v>
          </cell>
          <cell r="Z27">
            <v>364089.30719240347</v>
          </cell>
          <cell r="AA27">
            <v>43767.294999999998</v>
          </cell>
          <cell r="AB27">
            <v>-525.00400000000002</v>
          </cell>
          <cell r="AC27">
            <v>9252.594000000001</v>
          </cell>
          <cell r="AD27">
            <v>23509.342000000001</v>
          </cell>
          <cell r="AH27">
            <v>76004.226999999999</v>
          </cell>
          <cell r="AI27">
            <v>440093.53419240349</v>
          </cell>
          <cell r="AJ27">
            <v>-3665.9721609149419</v>
          </cell>
          <cell r="AK27">
            <v>-87578.777424164451</v>
          </cell>
          <cell r="AL27">
            <v>-221735.74760999996</v>
          </cell>
          <cell r="AN27">
            <v>-312980.49719507934</v>
          </cell>
          <cell r="AO27">
            <v>-15579.202000000372</v>
          </cell>
          <cell r="AP27">
            <v>-855.83600000000001</v>
          </cell>
          <cell r="AS27">
            <v>-16435.038000000372</v>
          </cell>
          <cell r="AT27">
            <v>4061.2170000000006</v>
          </cell>
          <cell r="AU27">
            <v>10573.092000000001</v>
          </cell>
          <cell r="AV27">
            <v>61155.680999999997</v>
          </cell>
          <cell r="BA27">
            <v>75789.989999999991</v>
          </cell>
          <cell r="BB27">
            <v>0</v>
          </cell>
          <cell r="BC27">
            <v>-5944.8870000000006</v>
          </cell>
          <cell r="BD27">
            <v>250000</v>
          </cell>
          <cell r="BE27">
            <v>401648.38199999998</v>
          </cell>
          <cell r="BF27">
            <v>-3050.1650000000018</v>
          </cell>
          <cell r="BG27">
            <v>545.84400000000005</v>
          </cell>
          <cell r="BJ27">
            <v>643199.174</v>
          </cell>
        </row>
        <row r="28">
          <cell r="F28">
            <v>2.0954757928848267E-9</v>
          </cell>
          <cell r="G28">
            <v>0</v>
          </cell>
          <cell r="H28">
            <v>0</v>
          </cell>
          <cell r="I28">
            <v>2.9558577807620168E-11</v>
          </cell>
          <cell r="J28">
            <v>0</v>
          </cell>
          <cell r="K28">
            <v>0</v>
          </cell>
          <cell r="L28">
            <v>9.0949470177292824E-12</v>
          </cell>
          <cell r="M28">
            <v>0</v>
          </cell>
          <cell r="N28">
            <v>-7.503331289626658E-12</v>
          </cell>
          <cell r="O28">
            <v>2.7284841053187847E-11</v>
          </cell>
          <cell r="P28">
            <v>0</v>
          </cell>
          <cell r="Q28">
            <v>0</v>
          </cell>
          <cell r="R28">
            <v>-1.4551915228366852E-11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3.3178366720676422E-9</v>
          </cell>
          <cell r="AJ28">
            <v>3.637978807091713E-12</v>
          </cell>
          <cell r="AK28">
            <v>0</v>
          </cell>
          <cell r="AL28">
            <v>0</v>
          </cell>
          <cell r="AN28">
            <v>0</v>
          </cell>
          <cell r="AO28">
            <v>1.4551915228366852E-11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28400</v>
          </cell>
          <cell r="H31">
            <v>18327</v>
          </cell>
          <cell r="I31">
            <v>19107.8</v>
          </cell>
          <cell r="J31">
            <v>9800</v>
          </cell>
          <cell r="K31">
            <v>15517</v>
          </cell>
          <cell r="L31">
            <v>13004</v>
          </cell>
          <cell r="M31">
            <v>12705</v>
          </cell>
          <cell r="N31">
            <v>16976</v>
          </cell>
          <cell r="O31">
            <v>12518</v>
          </cell>
          <cell r="P31">
            <v>14953</v>
          </cell>
          <cell r="Q31">
            <v>14191</v>
          </cell>
          <cell r="R31">
            <v>11980</v>
          </cell>
          <cell r="S31">
            <v>23352</v>
          </cell>
          <cell r="T31">
            <v>5359</v>
          </cell>
          <cell r="U31">
            <v>7883</v>
          </cell>
          <cell r="V31">
            <v>10103</v>
          </cell>
          <cell r="W31">
            <v>2108.5</v>
          </cell>
          <cell r="X31">
            <v>0</v>
          </cell>
          <cell r="Y31">
            <v>0</v>
          </cell>
          <cell r="Z31">
            <v>236284.3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236284.3</v>
          </cell>
          <cell r="AJ31">
            <v>9143</v>
          </cell>
          <cell r="AK31">
            <v>1050</v>
          </cell>
          <cell r="AL31">
            <v>36758</v>
          </cell>
          <cell r="AN31">
            <v>46951</v>
          </cell>
          <cell r="AO31">
            <v>7354.6280000000006</v>
          </cell>
          <cell r="AP31">
            <v>0</v>
          </cell>
          <cell r="AS31">
            <v>7354.6280000000006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32391918.422000002</v>
          </cell>
          <cell r="G32">
            <v>2850383.9180000001</v>
          </cell>
          <cell r="H32">
            <v>1795814.6939999999</v>
          </cell>
          <cell r="I32">
            <v>1803396.3</v>
          </cell>
          <cell r="J32">
            <v>943503.09400000004</v>
          </cell>
          <cell r="K32">
            <v>1769742.8</v>
          </cell>
          <cell r="L32">
            <v>1314970.3</v>
          </cell>
          <cell r="M32">
            <v>1134828.7</v>
          </cell>
          <cell r="N32">
            <v>1722999.7</v>
          </cell>
          <cell r="O32">
            <v>1127996.8999999999</v>
          </cell>
          <cell r="P32">
            <v>1507345.4</v>
          </cell>
          <cell r="Q32">
            <v>1379972.75</v>
          </cell>
          <cell r="R32">
            <v>1176186.55</v>
          </cell>
          <cell r="S32">
            <v>2315037.7599999998</v>
          </cell>
          <cell r="T32">
            <v>606961</v>
          </cell>
          <cell r="U32">
            <v>917560.2</v>
          </cell>
          <cell r="V32">
            <v>1007174.3959999999</v>
          </cell>
          <cell r="W32">
            <v>245498.21799999999</v>
          </cell>
          <cell r="X32">
            <v>0</v>
          </cell>
          <cell r="Y32">
            <v>0</v>
          </cell>
          <cell r="Z32">
            <v>23619372.680000003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23710212.680000003</v>
          </cell>
          <cell r="AJ32">
            <v>251085.5</v>
          </cell>
          <cell r="AK32">
            <v>12075</v>
          </cell>
          <cell r="AL32">
            <v>622585</v>
          </cell>
          <cell r="AN32">
            <v>885745.5</v>
          </cell>
          <cell r="AO32">
            <v>7720825.8609999996</v>
          </cell>
          <cell r="AP32">
            <v>0</v>
          </cell>
          <cell r="AS32">
            <v>7720825.8609999996</v>
          </cell>
          <cell r="AT32">
            <v>5512.5</v>
          </cell>
          <cell r="AU32">
            <v>6650</v>
          </cell>
          <cell r="AV32">
            <v>61155.680999999997</v>
          </cell>
          <cell r="BA32">
            <v>73318.180999999997</v>
          </cell>
          <cell r="BB32">
            <v>0</v>
          </cell>
          <cell r="BC32">
            <v>1816.2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1816.2</v>
          </cell>
        </row>
        <row r="33">
          <cell r="F33">
            <v>29447740.729000002</v>
          </cell>
          <cell r="G33">
            <v>2557070.2200000002</v>
          </cell>
          <cell r="H33">
            <v>1780663.5729999999</v>
          </cell>
          <cell r="I33">
            <v>1634119.4400000002</v>
          </cell>
          <cell r="J33">
            <v>866803.57299999997</v>
          </cell>
          <cell r="K33">
            <v>1543609.5929999999</v>
          </cell>
          <cell r="L33">
            <v>1161194.169</v>
          </cell>
          <cell r="M33">
            <v>1088634.9620000001</v>
          </cell>
          <cell r="N33">
            <v>1550242.2659999998</v>
          </cell>
          <cell r="O33">
            <v>1022135.085</v>
          </cell>
          <cell r="P33">
            <v>1293168.926</v>
          </cell>
          <cell r="Q33">
            <v>1183242.3029999998</v>
          </cell>
          <cell r="R33">
            <v>1056070.273</v>
          </cell>
          <cell r="S33">
            <v>2002257.4879999999</v>
          </cell>
          <cell r="T33">
            <v>482147.62400000001</v>
          </cell>
          <cell r="U33">
            <v>648591.245</v>
          </cell>
          <cell r="V33">
            <v>862525.93900000001</v>
          </cell>
          <cell r="W33">
            <v>267531.75599999999</v>
          </cell>
          <cell r="X33">
            <v>0</v>
          </cell>
          <cell r="Y33">
            <v>0</v>
          </cell>
          <cell r="Z33">
            <v>21000008.435000002</v>
          </cell>
          <cell r="AA33">
            <v>6232.7050000000008</v>
          </cell>
          <cell r="AB33">
            <v>0</v>
          </cell>
          <cell r="AC33">
            <v>3247.4059999999999</v>
          </cell>
          <cell r="AD33">
            <v>4830.6580000000004</v>
          </cell>
          <cell r="AH33">
            <v>14310.769</v>
          </cell>
          <cell r="AI33">
            <v>21014319.204000004</v>
          </cell>
          <cell r="AJ33">
            <v>238281.81300000002</v>
          </cell>
          <cell r="AK33">
            <v>66974.739999999991</v>
          </cell>
          <cell r="AL33">
            <v>805987.38099999994</v>
          </cell>
          <cell r="AN33">
            <v>1111243.9339999999</v>
          </cell>
          <cell r="AO33">
            <v>7575195.2439999999</v>
          </cell>
          <cell r="AP33">
            <v>0</v>
          </cell>
          <cell r="AS33">
            <v>7575195.2439999999</v>
          </cell>
          <cell r="AT33">
            <v>1451.2830000000001</v>
          </cell>
          <cell r="AU33">
            <v>-3923.0920000000001</v>
          </cell>
          <cell r="AV33">
            <v>0</v>
          </cell>
          <cell r="BA33">
            <v>-2471.8090000000002</v>
          </cell>
          <cell r="BB33">
            <v>0</v>
          </cell>
          <cell r="BC33">
            <v>0</v>
          </cell>
          <cell r="BD33">
            <v>-250000</v>
          </cell>
          <cell r="BE33">
            <v>0</v>
          </cell>
          <cell r="BF33">
            <v>0</v>
          </cell>
          <cell r="BG33">
            <v>-545.84400000000005</v>
          </cell>
          <cell r="BJ33">
            <v>-250545.84400000001</v>
          </cell>
        </row>
        <row r="34">
          <cell r="F34">
            <v>2944177.693</v>
          </cell>
          <cell r="G34">
            <v>293313.69799999986</v>
          </cell>
          <cell r="H34">
            <v>15151.121000000043</v>
          </cell>
          <cell r="I34">
            <v>169276.85999999987</v>
          </cell>
          <cell r="J34">
            <v>76699.521000000066</v>
          </cell>
          <cell r="K34">
            <v>226133.20700000017</v>
          </cell>
          <cell r="L34">
            <v>153776.13100000005</v>
          </cell>
          <cell r="M34">
            <v>46193.737999999896</v>
          </cell>
          <cell r="N34">
            <v>172757.43400000012</v>
          </cell>
          <cell r="O34">
            <v>105861.81499999994</v>
          </cell>
          <cell r="P34">
            <v>214176.47399999993</v>
          </cell>
          <cell r="Q34">
            <v>196730.44700000016</v>
          </cell>
          <cell r="R34">
            <v>120116.277</v>
          </cell>
          <cell r="S34">
            <v>312780.27199999988</v>
          </cell>
          <cell r="T34">
            <v>124813.37599999999</v>
          </cell>
          <cell r="U34">
            <v>268968.95499999996</v>
          </cell>
          <cell r="V34">
            <v>144648.45699999994</v>
          </cell>
          <cell r="W34">
            <v>-22033.538</v>
          </cell>
          <cell r="X34">
            <v>0</v>
          </cell>
          <cell r="Y34">
            <v>0</v>
          </cell>
          <cell r="Z34">
            <v>2619364.245000001</v>
          </cell>
          <cell r="AA34">
            <v>43767.294999999998</v>
          </cell>
          <cell r="AB34">
            <v>0</v>
          </cell>
          <cell r="AC34">
            <v>9252.594000000001</v>
          </cell>
          <cell r="AD34">
            <v>23509.342000000001</v>
          </cell>
          <cell r="AH34">
            <v>76529.231</v>
          </cell>
          <cell r="AI34">
            <v>2695893.4759999998</v>
          </cell>
          <cell r="AJ34">
            <v>12803.686999999976</v>
          </cell>
          <cell r="AK34">
            <v>-54899.739999999991</v>
          </cell>
          <cell r="AL34">
            <v>-183402.38099999994</v>
          </cell>
          <cell r="AN34">
            <v>-225498.43399999989</v>
          </cell>
          <cell r="AO34">
            <v>145630.61699999962</v>
          </cell>
          <cell r="AP34">
            <v>0</v>
          </cell>
          <cell r="AS34">
            <v>145630.61699999962</v>
          </cell>
          <cell r="AT34">
            <v>4061.2169999999996</v>
          </cell>
          <cell r="AU34">
            <v>10573.092000000001</v>
          </cell>
          <cell r="AV34">
            <v>61155.680999999997</v>
          </cell>
          <cell r="BA34">
            <v>75789.989999999991</v>
          </cell>
          <cell r="BB34">
            <v>0</v>
          </cell>
          <cell r="BC34">
            <v>1816.2</v>
          </cell>
          <cell r="BD34">
            <v>250000</v>
          </cell>
          <cell r="BE34">
            <v>0</v>
          </cell>
          <cell r="BF34">
            <v>0</v>
          </cell>
          <cell r="BG34">
            <v>545.84400000000005</v>
          </cell>
          <cell r="BJ34">
            <v>252362.04400000002</v>
          </cell>
        </row>
        <row r="35">
          <cell r="F35">
            <v>2114510.5300026764</v>
          </cell>
          <cell r="G35">
            <v>255528.50325945279</v>
          </cell>
          <cell r="H35">
            <v>187028.09736454912</v>
          </cell>
          <cell r="I35">
            <v>166943.84000693675</v>
          </cell>
          <cell r="J35">
            <v>102024.98845339663</v>
          </cell>
          <cell r="K35">
            <v>164064.79613796758</v>
          </cell>
          <cell r="L35">
            <v>147234.47414219109</v>
          </cell>
          <cell r="M35">
            <v>116351.59088143114</v>
          </cell>
          <cell r="N35">
            <v>171587.82959133299</v>
          </cell>
          <cell r="O35">
            <v>103282.01053846501</v>
          </cell>
          <cell r="P35">
            <v>151484.03156874568</v>
          </cell>
          <cell r="Q35">
            <v>141069.82291515521</v>
          </cell>
          <cell r="R35">
            <v>111542.02601797495</v>
          </cell>
          <cell r="S35">
            <v>183913.66789235111</v>
          </cell>
          <cell r="T35">
            <v>51177.739474389738</v>
          </cell>
          <cell r="U35">
            <v>67602.279103526162</v>
          </cell>
          <cell r="V35">
            <v>102240.42539558446</v>
          </cell>
          <cell r="W35">
            <v>32198.815064146173</v>
          </cell>
          <cell r="X35">
            <v>0</v>
          </cell>
          <cell r="Y35">
            <v>0</v>
          </cell>
          <cell r="Z35">
            <v>2255274.9378075968</v>
          </cell>
          <cell r="AA35">
            <v>0</v>
          </cell>
          <cell r="AB35">
            <v>525.00400000000002</v>
          </cell>
          <cell r="AC35">
            <v>0</v>
          </cell>
          <cell r="AD35">
            <v>0</v>
          </cell>
          <cell r="AH35">
            <v>525.00400000000002</v>
          </cell>
          <cell r="AI35">
            <v>2255799.9418075969</v>
          </cell>
          <cell r="AJ35">
            <v>16469.659160914925</v>
          </cell>
          <cell r="AK35">
            <v>32679.037424164468</v>
          </cell>
          <cell r="AL35">
            <v>38333.366609999997</v>
          </cell>
          <cell r="AN35">
            <v>87482.06319507939</v>
          </cell>
          <cell r="AO35">
            <v>161209.81899999999</v>
          </cell>
          <cell r="AP35">
            <v>855.83600000000001</v>
          </cell>
          <cell r="AS35">
            <v>162065.655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7761.0870000000004</v>
          </cell>
          <cell r="BD35">
            <v>0</v>
          </cell>
          <cell r="BE35">
            <v>-401648.38199999998</v>
          </cell>
          <cell r="BF35">
            <v>3050.1649999999991</v>
          </cell>
          <cell r="BG35">
            <v>0</v>
          </cell>
          <cell r="BJ35">
            <v>-390837.13</v>
          </cell>
        </row>
        <row r="36">
          <cell r="F36">
            <v>829667.16299732355</v>
          </cell>
          <cell r="G36">
            <v>37785.194740547071</v>
          </cell>
          <cell r="H36">
            <v>-171876.97636454907</v>
          </cell>
          <cell r="I36">
            <v>2333.0199930631206</v>
          </cell>
          <cell r="J36">
            <v>-25325.467453396559</v>
          </cell>
          <cell r="K36">
            <v>62068.410862032586</v>
          </cell>
          <cell r="L36">
            <v>6541.6568578089646</v>
          </cell>
          <cell r="M36">
            <v>-70157.852881431245</v>
          </cell>
          <cell r="N36">
            <v>1169.6044086671318</v>
          </cell>
          <cell r="O36">
            <v>2579.8044615349354</v>
          </cell>
          <cell r="P36">
            <v>62692.442431254254</v>
          </cell>
          <cell r="Q36">
            <v>55660.624084844952</v>
          </cell>
          <cell r="R36">
            <v>8574.2509820250561</v>
          </cell>
          <cell r="S36">
            <v>128866.60410764877</v>
          </cell>
          <cell r="T36">
            <v>73635.636525610258</v>
          </cell>
          <cell r="U36">
            <v>201366.67589647381</v>
          </cell>
          <cell r="V36">
            <v>42408.031604415475</v>
          </cell>
          <cell r="W36">
            <v>-54232.353064146169</v>
          </cell>
          <cell r="X36">
            <v>0</v>
          </cell>
          <cell r="Y36">
            <v>0</v>
          </cell>
          <cell r="Z36">
            <v>364089.30719240429</v>
          </cell>
          <cell r="AA36">
            <v>43767.294999999998</v>
          </cell>
          <cell r="AB36">
            <v>-525.00400000000002</v>
          </cell>
          <cell r="AC36">
            <v>9252.594000000001</v>
          </cell>
          <cell r="AD36">
            <v>23509.342000000001</v>
          </cell>
          <cell r="AH36">
            <v>76004.226999999999</v>
          </cell>
          <cell r="AI36">
            <v>440093.53419240285</v>
          </cell>
          <cell r="AJ36">
            <v>-3665.9721609149492</v>
          </cell>
          <cell r="AK36">
            <v>-87578.777424164466</v>
          </cell>
          <cell r="AL36">
            <v>-221735.74760999993</v>
          </cell>
          <cell r="AN36">
            <v>-312980.49719507928</v>
          </cell>
          <cell r="AO36">
            <v>-15579.202000000369</v>
          </cell>
          <cell r="AP36">
            <v>-855.83600000000001</v>
          </cell>
          <cell r="AS36">
            <v>-16435.038000000379</v>
          </cell>
          <cell r="AT36">
            <v>4061.2169999999996</v>
          </cell>
          <cell r="AU36">
            <v>10573.092000000001</v>
          </cell>
          <cell r="AV36">
            <v>61155.680999999997</v>
          </cell>
          <cell r="BA36">
            <v>75789.989999999991</v>
          </cell>
          <cell r="BB36">
            <v>0</v>
          </cell>
          <cell r="BC36">
            <v>-5944.8870000000006</v>
          </cell>
          <cell r="BD36">
            <v>250000</v>
          </cell>
          <cell r="BE36">
            <v>401648.38199999998</v>
          </cell>
          <cell r="BF36">
            <v>-3050.1649999999991</v>
          </cell>
          <cell r="BG36">
            <v>545.84400000000005</v>
          </cell>
          <cell r="BJ36">
            <v>643199.174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-8956</v>
          </cell>
          <cell r="AK38">
            <v>0</v>
          </cell>
          <cell r="AL38">
            <v>-23222</v>
          </cell>
          <cell r="AN38">
            <v>-32178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-651313</v>
          </cell>
          <cell r="Z39">
            <v>0</v>
          </cell>
          <cell r="AH39">
            <v>0</v>
          </cell>
          <cell r="AI39">
            <v>0</v>
          </cell>
          <cell r="AJ39">
            <v>-245688</v>
          </cell>
          <cell r="AK39">
            <v>0</v>
          </cell>
          <cell r="AL39">
            <v>-405625</v>
          </cell>
          <cell r="AN39">
            <v>-651313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-651313</v>
          </cell>
          <cell r="K40">
            <v>19510.003000000001</v>
          </cell>
          <cell r="L40">
            <v>73993.31</v>
          </cell>
          <cell r="M40">
            <v>-2630.6819999999998</v>
          </cell>
          <cell r="N40">
            <v>181.239</v>
          </cell>
          <cell r="O40">
            <v>0</v>
          </cell>
          <cell r="P40">
            <v>0</v>
          </cell>
          <cell r="Z40">
            <v>91053.87</v>
          </cell>
          <cell r="AH40">
            <v>0</v>
          </cell>
          <cell r="AI40">
            <v>91053.87</v>
          </cell>
          <cell r="AJ40">
            <v>-233050.75700000001</v>
          </cell>
          <cell r="AK40">
            <v>0</v>
          </cell>
          <cell r="AL40">
            <v>-509316.11300000001</v>
          </cell>
          <cell r="AN40">
            <v>-742366.87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-19510.003000000001</v>
          </cell>
          <cell r="L41">
            <v>-73993.31</v>
          </cell>
          <cell r="M41">
            <v>2630.6819999999998</v>
          </cell>
          <cell r="N41">
            <v>-181.239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-91053.87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-91053.87</v>
          </cell>
          <cell r="AJ41">
            <v>-12637.242999999988</v>
          </cell>
          <cell r="AK41">
            <v>0</v>
          </cell>
          <cell r="AL41">
            <v>103691.11300000001</v>
          </cell>
          <cell r="AN41">
            <v>91053.87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-19510.003000000001</v>
          </cell>
          <cell r="L43">
            <v>-73993.31</v>
          </cell>
          <cell r="M43">
            <v>2630.6819999999998</v>
          </cell>
          <cell r="N43">
            <v>-181.239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-91053.87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-91053.87</v>
          </cell>
          <cell r="AJ43">
            <v>-12637.242999999988</v>
          </cell>
          <cell r="AK43">
            <v>0</v>
          </cell>
          <cell r="AL43">
            <v>103691.11300000001</v>
          </cell>
          <cell r="AN43">
            <v>91053.87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28400</v>
          </cell>
          <cell r="H45">
            <v>18327</v>
          </cell>
          <cell r="I45">
            <v>19107.8</v>
          </cell>
          <cell r="J45">
            <v>9800</v>
          </cell>
          <cell r="K45">
            <v>15517</v>
          </cell>
          <cell r="L45">
            <v>13004</v>
          </cell>
          <cell r="M45">
            <v>12705</v>
          </cell>
          <cell r="N45">
            <v>16976</v>
          </cell>
          <cell r="O45">
            <v>12518</v>
          </cell>
          <cell r="P45">
            <v>14953</v>
          </cell>
          <cell r="Q45">
            <v>14191</v>
          </cell>
          <cell r="R45">
            <v>11980</v>
          </cell>
          <cell r="S45">
            <v>23352</v>
          </cell>
          <cell r="T45">
            <v>5359</v>
          </cell>
          <cell r="U45">
            <v>7883</v>
          </cell>
          <cell r="V45">
            <v>10103</v>
          </cell>
          <cell r="W45">
            <v>2108.5</v>
          </cell>
          <cell r="X45">
            <v>0</v>
          </cell>
          <cell r="Y45">
            <v>0</v>
          </cell>
          <cell r="Z45">
            <v>236284.3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236284.3</v>
          </cell>
          <cell r="AJ45">
            <v>187</v>
          </cell>
          <cell r="AK45">
            <v>1050</v>
          </cell>
          <cell r="AL45">
            <v>13536</v>
          </cell>
          <cell r="AN45">
            <v>14773</v>
          </cell>
          <cell r="AO45">
            <v>7354.6280000000006</v>
          </cell>
          <cell r="AP45">
            <v>0</v>
          </cell>
          <cell r="AS45">
            <v>7354.6280000000006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31740605.422000002</v>
          </cell>
          <cell r="G46">
            <v>2850383.9180000001</v>
          </cell>
          <cell r="H46">
            <v>1795814.6939999999</v>
          </cell>
          <cell r="I46">
            <v>1803396.3</v>
          </cell>
          <cell r="J46">
            <v>943503.09400000004</v>
          </cell>
          <cell r="K46">
            <v>1769742.8</v>
          </cell>
          <cell r="L46">
            <v>1314970.3</v>
          </cell>
          <cell r="M46">
            <v>1134828.7</v>
          </cell>
          <cell r="N46">
            <v>1722999.7</v>
          </cell>
          <cell r="O46">
            <v>1127996.8999999999</v>
          </cell>
          <cell r="P46">
            <v>1507345.4</v>
          </cell>
          <cell r="Q46">
            <v>1379972.75</v>
          </cell>
          <cell r="R46">
            <v>1176186.55</v>
          </cell>
          <cell r="S46">
            <v>2315037.7599999998</v>
          </cell>
          <cell r="T46">
            <v>606961</v>
          </cell>
          <cell r="U46">
            <v>917560.2</v>
          </cell>
          <cell r="V46">
            <v>1007174.3959999999</v>
          </cell>
          <cell r="W46">
            <v>245498.21799999999</v>
          </cell>
          <cell r="X46">
            <v>0</v>
          </cell>
          <cell r="Y46">
            <v>0</v>
          </cell>
          <cell r="Z46">
            <v>23619372.680000003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23710212.680000003</v>
          </cell>
          <cell r="AJ46">
            <v>5397.5</v>
          </cell>
          <cell r="AK46">
            <v>12075</v>
          </cell>
          <cell r="AL46">
            <v>216960</v>
          </cell>
          <cell r="AN46">
            <v>234432.5</v>
          </cell>
          <cell r="AO46">
            <v>7720825.8609999996</v>
          </cell>
          <cell r="AP46">
            <v>0</v>
          </cell>
          <cell r="AS46">
            <v>7720825.8609999996</v>
          </cell>
          <cell r="AT46">
            <v>5512.5</v>
          </cell>
          <cell r="AU46">
            <v>6650</v>
          </cell>
          <cell r="AV46">
            <v>61155.680999999997</v>
          </cell>
          <cell r="BA46">
            <v>73318.180999999997</v>
          </cell>
          <cell r="BB46">
            <v>0</v>
          </cell>
          <cell r="BC46">
            <v>1816.2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1816.2</v>
          </cell>
        </row>
        <row r="47">
          <cell r="F47">
            <v>28796427.728999998</v>
          </cell>
          <cell r="G47">
            <v>2557070.2200000002</v>
          </cell>
          <cell r="H47">
            <v>1780663.5729999999</v>
          </cell>
          <cell r="I47">
            <v>1634119.4400000002</v>
          </cell>
          <cell r="J47">
            <v>866803.57299999997</v>
          </cell>
          <cell r="K47">
            <v>1563119.5959999999</v>
          </cell>
          <cell r="L47">
            <v>1235187.4790000001</v>
          </cell>
          <cell r="M47">
            <v>1086004.28</v>
          </cell>
          <cell r="N47">
            <v>1550423.5049999999</v>
          </cell>
          <cell r="O47">
            <v>1022135.085</v>
          </cell>
          <cell r="P47">
            <v>1293168.926</v>
          </cell>
          <cell r="Q47">
            <v>1183242.3029999998</v>
          </cell>
          <cell r="R47">
            <v>1056070.273</v>
          </cell>
          <cell r="S47">
            <v>2002257.4879999999</v>
          </cell>
          <cell r="T47">
            <v>482147.62400000001</v>
          </cell>
          <cell r="U47">
            <v>648591.245</v>
          </cell>
          <cell r="V47">
            <v>862525.93900000001</v>
          </cell>
          <cell r="W47">
            <v>267531.75599999999</v>
          </cell>
          <cell r="X47">
            <v>0</v>
          </cell>
          <cell r="Y47">
            <v>0</v>
          </cell>
          <cell r="Z47">
            <v>21091062.305</v>
          </cell>
          <cell r="AA47">
            <v>6232.7050000000008</v>
          </cell>
          <cell r="AB47">
            <v>0</v>
          </cell>
          <cell r="AC47">
            <v>3247.4059999999999</v>
          </cell>
          <cell r="AD47">
            <v>4830.6580000000004</v>
          </cell>
          <cell r="AH47">
            <v>14310.769</v>
          </cell>
          <cell r="AI47">
            <v>21105373.074000001</v>
          </cell>
          <cell r="AJ47">
            <v>5231.0560000000114</v>
          </cell>
          <cell r="AK47">
            <v>66974.739999999991</v>
          </cell>
          <cell r="AL47">
            <v>296671.26799999992</v>
          </cell>
          <cell r="AN47">
            <v>368877.0639999999</v>
          </cell>
          <cell r="AO47">
            <v>7575195.2439999999</v>
          </cell>
          <cell r="AP47">
            <v>0</v>
          </cell>
          <cell r="AS47">
            <v>7575195.2439999999</v>
          </cell>
          <cell r="AT47">
            <v>1451.2830000000001</v>
          </cell>
          <cell r="AU47">
            <v>-3923.0920000000001</v>
          </cell>
          <cell r="AV47">
            <v>0</v>
          </cell>
          <cell r="BA47">
            <v>-2471.8090000000002</v>
          </cell>
          <cell r="BB47">
            <v>0</v>
          </cell>
          <cell r="BC47">
            <v>0</v>
          </cell>
          <cell r="BD47">
            <v>-250000</v>
          </cell>
          <cell r="BE47">
            <v>0</v>
          </cell>
          <cell r="BF47">
            <v>0</v>
          </cell>
          <cell r="BG47">
            <v>-545.84400000000005</v>
          </cell>
          <cell r="BJ47">
            <v>-250545.84400000001</v>
          </cell>
        </row>
        <row r="48">
          <cell r="F48">
            <v>2944177.6930000037</v>
          </cell>
          <cell r="G48">
            <v>293313.69799999986</v>
          </cell>
          <cell r="H48">
            <v>15151.121000000043</v>
          </cell>
          <cell r="I48">
            <v>169276.85999999987</v>
          </cell>
          <cell r="J48">
            <v>76699.521000000066</v>
          </cell>
          <cell r="K48">
            <v>206623.20400000014</v>
          </cell>
          <cell r="L48">
            <v>79782.820999999996</v>
          </cell>
          <cell r="M48">
            <v>48824.419999999925</v>
          </cell>
          <cell r="N48">
            <v>172576.19500000007</v>
          </cell>
          <cell r="O48">
            <v>105861.81499999994</v>
          </cell>
          <cell r="P48">
            <v>214176.47399999993</v>
          </cell>
          <cell r="Q48">
            <v>196730.44700000016</v>
          </cell>
          <cell r="R48">
            <v>120116.277</v>
          </cell>
          <cell r="S48">
            <v>312780.27199999988</v>
          </cell>
          <cell r="T48">
            <v>124813.37599999999</v>
          </cell>
          <cell r="U48">
            <v>268968.95499999996</v>
          </cell>
          <cell r="V48">
            <v>144648.45699999994</v>
          </cell>
          <cell r="W48">
            <v>-22033.538</v>
          </cell>
          <cell r="X48">
            <v>0</v>
          </cell>
          <cell r="Y48">
            <v>0</v>
          </cell>
          <cell r="Z48">
            <v>2528310.3750000037</v>
          </cell>
          <cell r="AA48">
            <v>43767.294999999998</v>
          </cell>
          <cell r="AB48">
            <v>0</v>
          </cell>
          <cell r="AC48">
            <v>9252.594000000001</v>
          </cell>
          <cell r="AD48">
            <v>23509.342000000001</v>
          </cell>
          <cell r="AH48">
            <v>76529.231</v>
          </cell>
          <cell r="AI48">
            <v>2604839.6060000025</v>
          </cell>
          <cell r="AJ48">
            <v>166.44399999998859</v>
          </cell>
          <cell r="AK48">
            <v>-54899.739999999991</v>
          </cell>
          <cell r="AL48">
            <v>-79711.267999999924</v>
          </cell>
          <cell r="AN48">
            <v>-134444.5639999999</v>
          </cell>
          <cell r="AO48">
            <v>145630.61699999962</v>
          </cell>
          <cell r="AP48">
            <v>0</v>
          </cell>
          <cell r="AS48">
            <v>145630.61699999962</v>
          </cell>
          <cell r="AT48">
            <v>4061.2169999999996</v>
          </cell>
          <cell r="AU48">
            <v>10573.092000000001</v>
          </cell>
          <cell r="AV48">
            <v>61155.680999999997</v>
          </cell>
          <cell r="BA48">
            <v>75789.989999999991</v>
          </cell>
          <cell r="BB48">
            <v>0</v>
          </cell>
          <cell r="BC48">
            <v>1816.2</v>
          </cell>
          <cell r="BD48">
            <v>250000</v>
          </cell>
          <cell r="BE48">
            <v>0</v>
          </cell>
          <cell r="BF48">
            <v>0</v>
          </cell>
          <cell r="BG48">
            <v>545.84400000000005</v>
          </cell>
          <cell r="BJ48">
            <v>252362.04400000002</v>
          </cell>
        </row>
        <row r="49">
          <cell r="F49">
            <v>2114510.5300026764</v>
          </cell>
          <cell r="G49">
            <v>255528.50325945279</v>
          </cell>
          <cell r="H49">
            <v>187028.09736454912</v>
          </cell>
          <cell r="I49">
            <v>166943.84000693675</v>
          </cell>
          <cell r="J49">
            <v>102024.98845339663</v>
          </cell>
          <cell r="K49">
            <v>164064.79613796758</v>
          </cell>
          <cell r="L49">
            <v>147234.47414219109</v>
          </cell>
          <cell r="M49">
            <v>116351.59088143114</v>
          </cell>
          <cell r="N49">
            <v>171587.82959133299</v>
          </cell>
          <cell r="O49">
            <v>103282.01053846501</v>
          </cell>
          <cell r="P49">
            <v>151484.03156874568</v>
          </cell>
          <cell r="Q49">
            <v>141069.82291515521</v>
          </cell>
          <cell r="R49">
            <v>111542.02601797495</v>
          </cell>
          <cell r="S49">
            <v>183913.66789235111</v>
          </cell>
          <cell r="T49">
            <v>51177.739474389738</v>
          </cell>
          <cell r="U49">
            <v>67602.279103526162</v>
          </cell>
          <cell r="V49">
            <v>102240.42539558446</v>
          </cell>
          <cell r="W49">
            <v>32198.815064146173</v>
          </cell>
          <cell r="X49">
            <v>0</v>
          </cell>
          <cell r="Y49">
            <v>0</v>
          </cell>
          <cell r="Z49">
            <v>2255274.9378075968</v>
          </cell>
          <cell r="AA49">
            <v>0</v>
          </cell>
          <cell r="AB49">
            <v>525.00400000000002</v>
          </cell>
          <cell r="AC49">
            <v>0</v>
          </cell>
          <cell r="AD49">
            <v>0</v>
          </cell>
          <cell r="AH49">
            <v>525.00400000000002</v>
          </cell>
          <cell r="AI49">
            <v>2255799.9418075969</v>
          </cell>
          <cell r="AJ49">
            <v>16469.659160914925</v>
          </cell>
          <cell r="AK49">
            <v>32679.037424164468</v>
          </cell>
          <cell r="AL49">
            <v>38333.366609999997</v>
          </cell>
          <cell r="AN49">
            <v>87482.06319507939</v>
          </cell>
          <cell r="AO49">
            <v>161209.81899999999</v>
          </cell>
          <cell r="AP49">
            <v>855.83600000000001</v>
          </cell>
          <cell r="AS49">
            <v>162065.655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7761.0870000000004</v>
          </cell>
          <cell r="BD49">
            <v>0</v>
          </cell>
          <cell r="BE49">
            <v>-401648.38199999998</v>
          </cell>
          <cell r="BF49">
            <v>3050.1649999999991</v>
          </cell>
          <cell r="BG49">
            <v>0</v>
          </cell>
          <cell r="BJ49">
            <v>-390837.13</v>
          </cell>
        </row>
        <row r="50">
          <cell r="F50">
            <v>829667.16299732728</v>
          </cell>
          <cell r="G50">
            <v>37785.194740547071</v>
          </cell>
          <cell r="H50">
            <v>-171876.97636454907</v>
          </cell>
          <cell r="I50">
            <v>2333.0199930631206</v>
          </cell>
          <cell r="J50">
            <v>-25325.467453396559</v>
          </cell>
          <cell r="K50">
            <v>42558.40786203256</v>
          </cell>
          <cell r="L50">
            <v>-67451.653142191091</v>
          </cell>
          <cell r="M50">
            <v>-67527.170881431215</v>
          </cell>
          <cell r="N50">
            <v>988.36540866707219</v>
          </cell>
          <cell r="O50">
            <v>2579.8044615349354</v>
          </cell>
          <cell r="P50">
            <v>62692.442431254254</v>
          </cell>
          <cell r="Q50">
            <v>55660.624084844952</v>
          </cell>
          <cell r="R50">
            <v>8574.2509820250561</v>
          </cell>
          <cell r="S50">
            <v>128866.60410764877</v>
          </cell>
          <cell r="T50">
            <v>73635.636525610258</v>
          </cell>
          <cell r="U50">
            <v>201366.67589647381</v>
          </cell>
          <cell r="V50">
            <v>42408.031604415475</v>
          </cell>
          <cell r="W50">
            <v>-54232.353064146169</v>
          </cell>
          <cell r="X50">
            <v>0</v>
          </cell>
          <cell r="Y50">
            <v>0</v>
          </cell>
          <cell r="Z50">
            <v>273035.43719240697</v>
          </cell>
          <cell r="AA50">
            <v>43767.294999999998</v>
          </cell>
          <cell r="AB50">
            <v>-525.00400000000002</v>
          </cell>
          <cell r="AC50">
            <v>9252.594000000001</v>
          </cell>
          <cell r="AD50">
            <v>23509.342000000001</v>
          </cell>
          <cell r="AH50">
            <v>76004.226999999999</v>
          </cell>
          <cell r="AI50">
            <v>349039.66419240553</v>
          </cell>
          <cell r="AJ50">
            <v>-16303.215160914937</v>
          </cell>
          <cell r="AK50">
            <v>-87578.777424164466</v>
          </cell>
          <cell r="AL50">
            <v>-118044.63460999992</v>
          </cell>
          <cell r="AN50">
            <v>-221926.62719507929</v>
          </cell>
          <cell r="AO50">
            <v>-15579.202000000369</v>
          </cell>
          <cell r="AP50">
            <v>-855.83600000000001</v>
          </cell>
          <cell r="AS50">
            <v>-16435.038000000379</v>
          </cell>
          <cell r="AT50">
            <v>4061.2169999999996</v>
          </cell>
          <cell r="AU50">
            <v>10573.092000000001</v>
          </cell>
          <cell r="AV50">
            <v>61155.680999999997</v>
          </cell>
          <cell r="BA50">
            <v>75789.989999999991</v>
          </cell>
          <cell r="BB50">
            <v>0</v>
          </cell>
          <cell r="BC50">
            <v>-5944.8870000000006</v>
          </cell>
          <cell r="BD50">
            <v>250000</v>
          </cell>
          <cell r="BE50">
            <v>401648.38199999998</v>
          </cell>
          <cell r="BF50">
            <v>-3050.1649999999991</v>
          </cell>
          <cell r="BG50">
            <v>545.84400000000005</v>
          </cell>
          <cell r="BJ50">
            <v>643199.174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0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334616</v>
          </cell>
          <cell r="H7">
            <v>240614</v>
          </cell>
          <cell r="I7">
            <v>217430</v>
          </cell>
          <cell r="J7">
            <v>102597.5</v>
          </cell>
          <cell r="K7">
            <v>180490.5</v>
          </cell>
          <cell r="L7">
            <v>187509</v>
          </cell>
          <cell r="M7">
            <v>120628</v>
          </cell>
          <cell r="N7">
            <v>175433.5</v>
          </cell>
          <cell r="O7">
            <v>112781</v>
          </cell>
          <cell r="P7">
            <v>156069.5</v>
          </cell>
          <cell r="Q7">
            <v>140243</v>
          </cell>
          <cell r="R7">
            <v>94507</v>
          </cell>
          <cell r="S7">
            <v>231919</v>
          </cell>
          <cell r="T7">
            <v>50373</v>
          </cell>
          <cell r="U7">
            <v>76563.5</v>
          </cell>
          <cell r="V7">
            <v>75480.5</v>
          </cell>
          <cell r="W7">
            <v>31458.5</v>
          </cell>
          <cell r="Z7">
            <v>2528713.5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2528713.5</v>
          </cell>
          <cell r="AJ7">
            <v>169707</v>
          </cell>
          <cell r="AK7">
            <v>168530</v>
          </cell>
          <cell r="AL7">
            <v>315978</v>
          </cell>
          <cell r="AN7">
            <v>654215</v>
          </cell>
          <cell r="AO7">
            <v>77967.343999999997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348346361.16399992</v>
          </cell>
          <cell r="G8">
            <v>33357438.02</v>
          </cell>
          <cell r="H8">
            <v>24052030.667999998</v>
          </cell>
          <cell r="I8">
            <v>21232172.844999999</v>
          </cell>
          <cell r="J8">
            <v>10047479.192000002</v>
          </cell>
          <cell r="K8">
            <v>19514874.641000003</v>
          </cell>
          <cell r="L8">
            <v>18965681.831</v>
          </cell>
          <cell r="M8">
            <v>11543274.899999999</v>
          </cell>
          <cell r="N8">
            <v>17795158.350000001</v>
          </cell>
          <cell r="O8">
            <v>10439652.218</v>
          </cell>
          <cell r="P8">
            <v>15834131.000000002</v>
          </cell>
          <cell r="Q8">
            <v>14137288.452</v>
          </cell>
          <cell r="R8">
            <v>9827789.5420000013</v>
          </cell>
          <cell r="S8">
            <v>23496461.101000004</v>
          </cell>
          <cell r="T8">
            <v>5665309.3899999997</v>
          </cell>
          <cell r="U8">
            <v>8684711.5360000003</v>
          </cell>
          <cell r="V8">
            <v>7271548.9369999999</v>
          </cell>
          <cell r="W8">
            <v>3929306.5629999996</v>
          </cell>
          <cell r="Z8">
            <v>255794309.18599999</v>
          </cell>
          <cell r="AA8">
            <v>450000</v>
          </cell>
          <cell r="AB8">
            <v>0</v>
          </cell>
          <cell r="AC8">
            <v>112500</v>
          </cell>
          <cell r="AD8">
            <v>255060</v>
          </cell>
          <cell r="AH8">
            <v>817560</v>
          </cell>
          <cell r="AI8">
            <v>256611869.18599999</v>
          </cell>
          <cell r="AJ8">
            <v>5011763.58</v>
          </cell>
          <cell r="AK8">
            <v>2372099</v>
          </cell>
          <cell r="AL8">
            <v>5745923</v>
          </cell>
          <cell r="AN8">
            <v>13129785.58</v>
          </cell>
          <cell r="AO8">
            <v>77932391.056999996</v>
          </cell>
          <cell r="AP8">
            <v>0</v>
          </cell>
          <cell r="AS8">
            <v>77932391.056999996</v>
          </cell>
          <cell r="AT8">
            <v>48562.5</v>
          </cell>
          <cell r="AU8">
            <v>55850</v>
          </cell>
          <cell r="AV8">
            <v>552236.64100000006</v>
          </cell>
          <cell r="BA8">
            <v>656649.14100000006</v>
          </cell>
          <cell r="BB8">
            <v>0</v>
          </cell>
          <cell r="BC8">
            <v>15666.200000000003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15666.200000000003</v>
          </cell>
        </row>
        <row r="9">
          <cell r="G9">
            <v>99688.711896621797</v>
          </cell>
          <cell r="H9">
            <v>99961.060736283005</v>
          </cell>
          <cell r="I9">
            <v>97650.613277836543</v>
          </cell>
          <cell r="J9">
            <v>97931.033329272163</v>
          </cell>
          <cell r="K9">
            <v>108121.3395774293</v>
          </cell>
          <cell r="L9">
            <v>101145.44811715705</v>
          </cell>
          <cell r="M9">
            <v>95693.163278840715</v>
          </cell>
          <cell r="N9">
            <v>101435.34929189694</v>
          </cell>
          <cell r="O9">
            <v>92565.700055860478</v>
          </cell>
          <cell r="P9">
            <v>101455.63995527635</v>
          </cell>
          <cell r="Q9">
            <v>100805.66197243356</v>
          </cell>
          <cell r="R9">
            <v>103990.06996307154</v>
          </cell>
          <cell r="S9">
            <v>101313.2218619432</v>
          </cell>
          <cell r="T9">
            <v>112467.18261767217</v>
          </cell>
          <cell r="U9">
            <v>113431.4854467207</v>
          </cell>
          <cell r="V9">
            <v>96336.788137333482</v>
          </cell>
          <cell r="W9">
            <v>124904.44754199976</v>
          </cell>
          <cell r="Z9">
            <v>101155.9076131005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101479.21826098528</v>
          </cell>
          <cell r="AJ9">
            <v>29531.861266771553</v>
          </cell>
          <cell r="AK9">
            <v>14075.232896220257</v>
          </cell>
          <cell r="AL9">
            <v>18184.566647045049</v>
          </cell>
          <cell r="AO9">
            <v>999551.69765690621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305527964.42509991</v>
          </cell>
          <cell r="G10">
            <v>29098545.595540002</v>
          </cell>
          <cell r="H10">
            <v>21567316.016149998</v>
          </cell>
          <cell r="I10">
            <v>19002553.294379998</v>
          </cell>
          <cell r="J10">
            <v>8700985.344560001</v>
          </cell>
          <cell r="K10">
            <v>16372073.22639</v>
          </cell>
          <cell r="L10">
            <v>16017567.077190001</v>
          </cell>
          <cell r="M10">
            <v>10341759.21521</v>
          </cell>
          <cell r="N10">
            <v>15488534.651150001</v>
          </cell>
          <cell r="O10">
            <v>9155320.869789999</v>
          </cell>
          <cell r="P10">
            <v>12775262.161659999</v>
          </cell>
          <cell r="Q10">
            <v>11545396.744250001</v>
          </cell>
          <cell r="R10">
            <v>8373892.58923</v>
          </cell>
          <cell r="S10">
            <v>19423865.511659998</v>
          </cell>
          <cell r="T10">
            <v>4376513.5787300002</v>
          </cell>
          <cell r="U10">
            <v>6063895.0052999994</v>
          </cell>
          <cell r="V10">
            <v>6280665.6935600005</v>
          </cell>
          <cell r="W10">
            <v>3369507.2670900002</v>
          </cell>
          <cell r="Z10">
            <v>217953653.84183994</v>
          </cell>
          <cell r="AA10">
            <v>40991.296000000002</v>
          </cell>
          <cell r="AB10">
            <v>0</v>
          </cell>
          <cell r="AC10">
            <v>73071.381999999998</v>
          </cell>
          <cell r="AD10">
            <v>88925.198000000004</v>
          </cell>
          <cell r="AH10">
            <v>202987.87599999999</v>
          </cell>
          <cell r="AI10">
            <v>218156641.71783993</v>
          </cell>
          <cell r="AJ10">
            <v>4251533.1132300003</v>
          </cell>
          <cell r="AK10">
            <v>2049647.88735</v>
          </cell>
          <cell r="AL10">
            <v>5250630.235679999</v>
          </cell>
          <cell r="AN10">
            <v>11551811.236259999</v>
          </cell>
          <cell r="AO10">
            <v>76231984.156000003</v>
          </cell>
          <cell r="AP10">
            <v>0</v>
          </cell>
          <cell r="AS10">
            <v>76231984.156000003</v>
          </cell>
          <cell r="AT10">
            <v>1182.057</v>
          </cell>
          <cell r="AU10">
            <v>1621.8499999999997</v>
          </cell>
          <cell r="AV10">
            <v>0</v>
          </cell>
          <cell r="BA10">
            <v>2803.9069999999997</v>
          </cell>
          <cell r="BB10">
            <v>0</v>
          </cell>
          <cell r="BC10">
            <v>0</v>
          </cell>
          <cell r="BD10">
            <v>-500000</v>
          </cell>
          <cell r="BE10">
            <v>0</v>
          </cell>
          <cell r="BF10">
            <v>0</v>
          </cell>
          <cell r="BG10">
            <v>84723.40800000001</v>
          </cell>
          <cell r="BJ10">
            <v>-415276.592</v>
          </cell>
        </row>
        <row r="11">
          <cell r="G11">
            <v>86961.010816996204</v>
          </cell>
          <cell r="H11">
            <v>89634.50180018619</v>
          </cell>
          <cell r="I11">
            <v>87396.1886325714</v>
          </cell>
          <cell r="J11">
            <v>84806.991832744476</v>
          </cell>
          <cell r="K11">
            <v>90708.780940769735</v>
          </cell>
          <cell r="L11">
            <v>85422.92411132266</v>
          </cell>
          <cell r="M11">
            <v>85732.659210216545</v>
          </cell>
          <cell r="N11">
            <v>88287.212255071005</v>
          </cell>
          <cell r="O11">
            <v>81177.865684734119</v>
          </cell>
          <cell r="P11">
            <v>81856.238160947512</v>
          </cell>
          <cell r="Q11">
            <v>82324.22826272971</v>
          </cell>
          <cell r="R11">
            <v>88606.056580253309</v>
          </cell>
          <cell r="S11">
            <v>83752.799519056207</v>
          </cell>
          <cell r="T11">
            <v>86882.130878248281</v>
          </cell>
          <cell r="U11">
            <v>79200.859486569971</v>
          </cell>
          <cell r="V11">
            <v>83209.116176495925</v>
          </cell>
          <cell r="W11">
            <v>107109.59731360365</v>
          </cell>
          <cell r="Z11">
            <v>86191.517481849936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86271.79066265907</v>
          </cell>
          <cell r="AJ11">
            <v>25052.196510633035</v>
          </cell>
          <cell r="AK11">
            <v>12161.917091022369</v>
          </cell>
          <cell r="AL11">
            <v>16617.07535233465</v>
          </cell>
          <cell r="AO11">
            <v>977742.47838941403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42818396.738900006</v>
          </cell>
          <cell r="G12">
            <v>4258892.4244599976</v>
          </cell>
          <cell r="H12">
            <v>2484714.65185</v>
          </cell>
          <cell r="I12">
            <v>2229619.5506200008</v>
          </cell>
          <cell r="J12">
            <v>1346493.8474400006</v>
          </cell>
          <cell r="K12">
            <v>3142801.4146100022</v>
          </cell>
          <cell r="L12">
            <v>2948114.7538099997</v>
          </cell>
          <cell r="M12">
            <v>1201515.6847899985</v>
          </cell>
          <cell r="N12">
            <v>2306623.6988500003</v>
          </cell>
          <cell r="O12">
            <v>1284331.3482100014</v>
          </cell>
          <cell r="P12">
            <v>3058868.838340003</v>
          </cell>
          <cell r="Q12">
            <v>2591891.7077499982</v>
          </cell>
          <cell r="R12">
            <v>1453896.9527700013</v>
          </cell>
          <cell r="S12">
            <v>4072595.5893400051</v>
          </cell>
          <cell r="T12">
            <v>1288795.8112699995</v>
          </cell>
          <cell r="U12">
            <v>2620816.5307000009</v>
          </cell>
          <cell r="V12">
            <v>990883.24343999941</v>
          </cell>
          <cell r="W12">
            <v>559799.2959099994</v>
          </cell>
          <cell r="Z12">
            <v>37840655.344160005</v>
          </cell>
          <cell r="AA12">
            <v>409008.70400000003</v>
          </cell>
          <cell r="AB12">
            <v>0</v>
          </cell>
          <cell r="AC12">
            <v>39428.618000000002</v>
          </cell>
          <cell r="AD12">
            <v>166134.802</v>
          </cell>
          <cell r="AH12">
            <v>614572.12400000007</v>
          </cell>
          <cell r="AI12">
            <v>38455227.468160063</v>
          </cell>
          <cell r="AJ12">
            <v>760230.46676999982</v>
          </cell>
          <cell r="AK12">
            <v>322451.11265000002</v>
          </cell>
          <cell r="AL12">
            <v>495292.76432000101</v>
          </cell>
          <cell r="AN12">
            <v>1577974.3437400013</v>
          </cell>
          <cell r="AO12">
            <v>1700406.9009999931</v>
          </cell>
          <cell r="AP12">
            <v>0</v>
          </cell>
          <cell r="AS12">
            <v>1700406.9009999931</v>
          </cell>
          <cell r="AT12">
            <v>47380.442999999999</v>
          </cell>
          <cell r="AU12">
            <v>54228.15</v>
          </cell>
          <cell r="AV12">
            <v>552236.64100000006</v>
          </cell>
          <cell r="BA12">
            <v>653845.23400000005</v>
          </cell>
          <cell r="BB12">
            <v>0</v>
          </cell>
          <cell r="BC12">
            <v>15666.200000000003</v>
          </cell>
          <cell r="BD12">
            <v>500000</v>
          </cell>
          <cell r="BE12">
            <v>0</v>
          </cell>
          <cell r="BF12">
            <v>0</v>
          </cell>
          <cell r="BG12">
            <v>-84723.40800000001</v>
          </cell>
          <cell r="BJ12">
            <v>430942.79200000002</v>
          </cell>
        </row>
        <row r="13">
          <cell r="F13">
            <v>7533764.8299999991</v>
          </cell>
          <cell r="G13">
            <v>649042.07099999988</v>
          </cell>
          <cell r="H13">
            <v>577887.26300000004</v>
          </cell>
          <cell r="I13">
            <v>440877.86199999996</v>
          </cell>
          <cell r="J13">
            <v>313503.21600000001</v>
          </cell>
          <cell r="K13">
            <v>422203.04599999997</v>
          </cell>
          <cell r="L13">
            <v>463110.18199999997</v>
          </cell>
          <cell r="M13">
            <v>341149.94699999999</v>
          </cell>
          <cell r="N13">
            <v>425400.26899999997</v>
          </cell>
          <cell r="O13">
            <v>253074.23600000003</v>
          </cell>
          <cell r="P13">
            <v>414413.27500000002</v>
          </cell>
          <cell r="Q13">
            <v>344445.43700000003</v>
          </cell>
          <cell r="R13">
            <v>256370.34199999998</v>
          </cell>
          <cell r="S13">
            <v>421362.71200000006</v>
          </cell>
          <cell r="T13">
            <v>108045.70599999999</v>
          </cell>
          <cell r="U13">
            <v>105405.70499999999</v>
          </cell>
          <cell r="V13">
            <v>289426.56799999997</v>
          </cell>
          <cell r="W13">
            <v>134564.524</v>
          </cell>
          <cell r="Z13">
            <v>5960282.3609999996</v>
          </cell>
          <cell r="AA13">
            <v>2089.6999999999998</v>
          </cell>
          <cell r="AB13">
            <v>2286.5390000000002</v>
          </cell>
          <cell r="AC13">
            <v>275.39999999999998</v>
          </cell>
          <cell r="AD13">
            <v>0</v>
          </cell>
          <cell r="AH13">
            <v>4651.6389999999992</v>
          </cell>
          <cell r="AI13">
            <v>5964933.9999999991</v>
          </cell>
          <cell r="AJ13">
            <v>7689.9989999999998</v>
          </cell>
          <cell r="AK13">
            <v>125085.06499999999</v>
          </cell>
          <cell r="AL13">
            <v>0</v>
          </cell>
          <cell r="AN13">
            <v>132775.06399999998</v>
          </cell>
          <cell r="AO13">
            <v>1211890.2890000001</v>
          </cell>
          <cell r="AP13">
            <v>0</v>
          </cell>
          <cell r="AS13">
            <v>1211890.2890000001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224165.47699999996</v>
          </cell>
          <cell r="BG13">
            <v>0</v>
          </cell>
          <cell r="BJ13">
            <v>224165.47699999996</v>
          </cell>
        </row>
        <row r="14">
          <cell r="F14">
            <v>4873252.1999999993</v>
          </cell>
          <cell r="G14">
            <v>431450.68999999994</v>
          </cell>
          <cell r="H14">
            <v>375639.50700000004</v>
          </cell>
          <cell r="I14">
            <v>299947.88199999998</v>
          </cell>
          <cell r="J14">
            <v>225022.22399999999</v>
          </cell>
          <cell r="K14">
            <v>288330.53599999996</v>
          </cell>
          <cell r="L14">
            <v>312306.60499999998</v>
          </cell>
          <cell r="M14">
            <v>237208.114</v>
          </cell>
          <cell r="N14">
            <v>302766.24099999998</v>
          </cell>
          <cell r="O14">
            <v>176358.33800000002</v>
          </cell>
          <cell r="P14">
            <v>293071.20199999999</v>
          </cell>
          <cell r="Q14">
            <v>236992.34899999999</v>
          </cell>
          <cell r="R14">
            <v>170759.52699999997</v>
          </cell>
          <cell r="S14">
            <v>282180.65400000004</v>
          </cell>
          <cell r="T14">
            <v>65652.087999999989</v>
          </cell>
          <cell r="U14">
            <v>65497.214999999997</v>
          </cell>
          <cell r="V14">
            <v>198252.28999999998</v>
          </cell>
          <cell r="W14">
            <v>95913.024999999994</v>
          </cell>
          <cell r="Z14">
            <v>4057348.4869999993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4057348.4869999993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815896.326</v>
          </cell>
          <cell r="AP14">
            <v>0</v>
          </cell>
          <cell r="AS14">
            <v>815896.326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7.3869999999999996</v>
          </cell>
          <cell r="BG14">
            <v>0</v>
          </cell>
          <cell r="BJ14">
            <v>7.3869999999999996</v>
          </cell>
        </row>
        <row r="15">
          <cell r="F15">
            <v>2660512.63</v>
          </cell>
          <cell r="G15">
            <v>217591.38099999996</v>
          </cell>
          <cell r="H15">
            <v>202247.75600000002</v>
          </cell>
          <cell r="I15">
            <v>140929.97999999998</v>
          </cell>
          <cell r="J15">
            <v>88480.991999999998</v>
          </cell>
          <cell r="K15">
            <v>133872.51</v>
          </cell>
          <cell r="L15">
            <v>150803.57699999999</v>
          </cell>
          <cell r="M15">
            <v>103941.833</v>
          </cell>
          <cell r="N15">
            <v>122634.02799999999</v>
          </cell>
          <cell r="O15">
            <v>76715.898000000001</v>
          </cell>
          <cell r="P15">
            <v>121342.073</v>
          </cell>
          <cell r="Q15">
            <v>107453.08800000002</v>
          </cell>
          <cell r="R15">
            <v>85610.815000000002</v>
          </cell>
          <cell r="S15">
            <v>139182.05800000002</v>
          </cell>
          <cell r="T15">
            <v>42393.618000000002</v>
          </cell>
          <cell r="U15">
            <v>39908.49</v>
          </cell>
          <cell r="V15">
            <v>91174.27800000002</v>
          </cell>
          <cell r="W15">
            <v>38651.499000000003</v>
          </cell>
          <cell r="Z15">
            <v>1902933.8740000001</v>
          </cell>
          <cell r="AA15">
            <v>2089.6999999999998</v>
          </cell>
          <cell r="AB15">
            <v>2286.5390000000002</v>
          </cell>
          <cell r="AC15">
            <v>275.39999999999998</v>
          </cell>
          <cell r="AD15">
            <v>0</v>
          </cell>
          <cell r="AH15">
            <v>4651.6389999999992</v>
          </cell>
          <cell r="AI15">
            <v>1907585.513</v>
          </cell>
          <cell r="AJ15">
            <v>7689.9989999999998</v>
          </cell>
          <cell r="AK15">
            <v>125085.06499999999</v>
          </cell>
          <cell r="AL15">
            <v>0</v>
          </cell>
          <cell r="AN15">
            <v>132775.06399999998</v>
          </cell>
          <cell r="AO15">
            <v>395993.96300000005</v>
          </cell>
          <cell r="AP15">
            <v>0</v>
          </cell>
          <cell r="AS15">
            <v>395993.96300000005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224158.08999999997</v>
          </cell>
          <cell r="BG15">
            <v>0</v>
          </cell>
          <cell r="BJ15">
            <v>224158.08999999997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35284631.908900008</v>
          </cell>
          <cell r="G17">
            <v>3609850.3534599976</v>
          </cell>
          <cell r="H17">
            <v>1906827.38885</v>
          </cell>
          <cell r="I17">
            <v>1788741.6886200008</v>
          </cell>
          <cell r="J17">
            <v>1032990.6314400006</v>
          </cell>
          <cell r="K17">
            <v>2720598.3686100021</v>
          </cell>
          <cell r="L17">
            <v>2485004.5718099996</v>
          </cell>
          <cell r="M17">
            <v>860365.73778999853</v>
          </cell>
          <cell r="N17">
            <v>1881223.4298500004</v>
          </cell>
          <cell r="O17">
            <v>1031257.1122100013</v>
          </cell>
          <cell r="P17">
            <v>2644455.5633400031</v>
          </cell>
          <cell r="Q17">
            <v>2247446.2707499983</v>
          </cell>
          <cell r="R17">
            <v>1197526.6107700013</v>
          </cell>
          <cell r="S17">
            <v>3651232.8773400048</v>
          </cell>
          <cell r="T17">
            <v>1180750.1052699995</v>
          </cell>
          <cell r="U17">
            <v>2515410.8257000009</v>
          </cell>
          <cell r="V17">
            <v>701456.67543999944</v>
          </cell>
          <cell r="W17">
            <v>425234.77190999943</v>
          </cell>
          <cell r="Z17">
            <v>31880372.983160004</v>
          </cell>
          <cell r="AA17">
            <v>406919.00400000002</v>
          </cell>
          <cell r="AB17">
            <v>-2286.5390000000002</v>
          </cell>
          <cell r="AC17">
            <v>39153.218000000001</v>
          </cell>
          <cell r="AD17">
            <v>166134.802</v>
          </cell>
          <cell r="AH17">
            <v>609920.4850000001</v>
          </cell>
          <cell r="AI17">
            <v>32490293.468160063</v>
          </cell>
          <cell r="AJ17">
            <v>752540.46776999987</v>
          </cell>
          <cell r="AK17">
            <v>197366.04765000002</v>
          </cell>
          <cell r="AL17">
            <v>495292.76432000101</v>
          </cell>
          <cell r="AN17">
            <v>1445199.2797400013</v>
          </cell>
          <cell r="AO17">
            <v>488516.61199999298</v>
          </cell>
          <cell r="AP17">
            <v>0</v>
          </cell>
          <cell r="AS17">
            <v>488516.61199999298</v>
          </cell>
          <cell r="AT17">
            <v>47380.442999999999</v>
          </cell>
          <cell r="AU17">
            <v>54228.15</v>
          </cell>
          <cell r="AV17">
            <v>552236.64100000006</v>
          </cell>
          <cell r="BA17">
            <v>653845.23400000005</v>
          </cell>
          <cell r="BB17">
            <v>0</v>
          </cell>
          <cell r="BC17">
            <v>15666.200000000003</v>
          </cell>
          <cell r="BD17">
            <v>500000</v>
          </cell>
          <cell r="BE17">
            <v>0</v>
          </cell>
          <cell r="BF17">
            <v>-224165.47699999996</v>
          </cell>
          <cell r="BG17">
            <v>-84723.40800000001</v>
          </cell>
          <cell r="BJ17">
            <v>206777.31500000006</v>
          </cell>
        </row>
        <row r="18">
          <cell r="F18">
            <v>5049703.7508900007</v>
          </cell>
          <cell r="G18">
            <v>266120.43345999997</v>
          </cell>
          <cell r="H18">
            <v>308359.38383999997</v>
          </cell>
          <cell r="I18">
            <v>168221.70262</v>
          </cell>
          <cell r="J18">
            <v>171853.43843999997</v>
          </cell>
          <cell r="K18">
            <v>727344.05361000006</v>
          </cell>
          <cell r="L18">
            <v>327006.54381</v>
          </cell>
          <cell r="M18">
            <v>150708.12679000001</v>
          </cell>
          <cell r="N18">
            <v>280972.47684999998</v>
          </cell>
          <cell r="O18">
            <v>97456.800210000001</v>
          </cell>
          <cell r="P18">
            <v>282264.37134000001</v>
          </cell>
          <cell r="Q18">
            <v>131376.57074999998</v>
          </cell>
          <cell r="R18">
            <v>117107.26176999998</v>
          </cell>
          <cell r="S18">
            <v>286707.04034000001</v>
          </cell>
          <cell r="T18">
            <v>52047.325270000001</v>
          </cell>
          <cell r="U18">
            <v>93333.5147</v>
          </cell>
          <cell r="V18">
            <v>187635.28144000002</v>
          </cell>
          <cell r="W18">
            <v>99993.355909999998</v>
          </cell>
          <cell r="Z18">
            <v>3748507.6811499991</v>
          </cell>
          <cell r="AA18">
            <v>49949.451999999997</v>
          </cell>
          <cell r="AB18">
            <v>3183.0480000000002</v>
          </cell>
          <cell r="AC18">
            <v>0</v>
          </cell>
          <cell r="AD18">
            <v>0</v>
          </cell>
          <cell r="AH18">
            <v>53132.5</v>
          </cell>
          <cell r="AI18">
            <v>3801640.1811500005</v>
          </cell>
          <cell r="AJ18">
            <v>298995.17277</v>
          </cell>
          <cell r="AK18">
            <v>104693.32665</v>
          </cell>
          <cell r="AL18">
            <v>499183.16132000001</v>
          </cell>
          <cell r="AN18">
            <v>902871.66073999996</v>
          </cell>
          <cell r="AO18">
            <v>49018.241999999998</v>
          </cell>
          <cell r="AP18">
            <v>7702.5240000000013</v>
          </cell>
          <cell r="AS18">
            <v>56720.766000000003</v>
          </cell>
          <cell r="AT18">
            <v>11816.028</v>
          </cell>
          <cell r="AU18">
            <v>38627.64</v>
          </cell>
          <cell r="AV18">
            <v>0</v>
          </cell>
          <cell r="BA18">
            <v>50443.667999999998</v>
          </cell>
          <cell r="BB18">
            <v>0</v>
          </cell>
          <cell r="BC18">
            <v>122672.54899999998</v>
          </cell>
          <cell r="BD18">
            <v>0</v>
          </cell>
          <cell r="BE18">
            <v>0</v>
          </cell>
          <cell r="BF18">
            <v>115354.92599999999</v>
          </cell>
          <cell r="BG18">
            <v>0</v>
          </cell>
          <cell r="BJ18">
            <v>238027.47499999998</v>
          </cell>
        </row>
        <row r="19">
          <cell r="F19">
            <v>4554608.2158900006</v>
          </cell>
          <cell r="G19">
            <v>245171.85045999999</v>
          </cell>
          <cell r="H19">
            <v>290853.18083999999</v>
          </cell>
          <cell r="I19">
            <v>153686.84562000001</v>
          </cell>
          <cell r="J19">
            <v>161125.55243999997</v>
          </cell>
          <cell r="K19">
            <v>710459.4686100001</v>
          </cell>
          <cell r="L19">
            <v>312926.93481000001</v>
          </cell>
          <cell r="M19">
            <v>139965.74179</v>
          </cell>
          <cell r="N19">
            <v>266902.74085</v>
          </cell>
          <cell r="O19">
            <v>90706.482210000002</v>
          </cell>
          <cell r="P19">
            <v>271295.48334000004</v>
          </cell>
          <cell r="Q19">
            <v>120528.08474999998</v>
          </cell>
          <cell r="R19">
            <v>107187.86976999999</v>
          </cell>
          <cell r="S19">
            <v>272413.24034000002</v>
          </cell>
          <cell r="T19">
            <v>48713.72827</v>
          </cell>
          <cell r="U19">
            <v>89347.693700000003</v>
          </cell>
          <cell r="V19">
            <v>177493.50844000003</v>
          </cell>
          <cell r="W19">
            <v>92565.028909999994</v>
          </cell>
          <cell r="Z19">
            <v>3551343.4351500007</v>
          </cell>
          <cell r="AA19">
            <v>49949.451999999997</v>
          </cell>
          <cell r="AB19">
            <v>0</v>
          </cell>
          <cell r="AC19">
            <v>0</v>
          </cell>
          <cell r="AD19">
            <v>0</v>
          </cell>
          <cell r="AH19">
            <v>49949.451999999997</v>
          </cell>
          <cell r="AI19">
            <v>3601292.8871500008</v>
          </cell>
          <cell r="AJ19">
            <v>298995.17277</v>
          </cell>
          <cell r="AK19">
            <v>104693.32665</v>
          </cell>
          <cell r="AL19">
            <v>499183.16132000001</v>
          </cell>
          <cell r="AN19">
            <v>902871.66073999996</v>
          </cell>
          <cell r="AO19">
            <v>0</v>
          </cell>
          <cell r="AP19">
            <v>0</v>
          </cell>
          <cell r="AS19">
            <v>0</v>
          </cell>
          <cell r="AT19">
            <v>11816.028</v>
          </cell>
          <cell r="AU19">
            <v>38627.64</v>
          </cell>
          <cell r="AV19">
            <v>0</v>
          </cell>
          <cell r="BA19">
            <v>50443.667999999998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495095.53499999997</v>
          </cell>
          <cell r="G20">
            <v>20948.582999999999</v>
          </cell>
          <cell r="H20">
            <v>17506.202999999998</v>
          </cell>
          <cell r="I20">
            <v>14534.857</v>
          </cell>
          <cell r="J20">
            <v>10727.886</v>
          </cell>
          <cell r="K20">
            <v>16884.585000000003</v>
          </cell>
          <cell r="L20">
            <v>14079.608999999999</v>
          </cell>
          <cell r="M20">
            <v>10742.384999999998</v>
          </cell>
          <cell r="N20">
            <v>14069.736000000001</v>
          </cell>
          <cell r="O20">
            <v>6750.3179999999993</v>
          </cell>
          <cell r="P20">
            <v>10968.887999999999</v>
          </cell>
          <cell r="Q20">
            <v>10848.486000000001</v>
          </cell>
          <cell r="R20">
            <v>9919.3919999999998</v>
          </cell>
          <cell r="S20">
            <v>14293.800000000003</v>
          </cell>
          <cell r="T20">
            <v>3333.5969999999998</v>
          </cell>
          <cell r="U20">
            <v>3985.8210000000008</v>
          </cell>
          <cell r="V20">
            <v>10141.772999999999</v>
          </cell>
          <cell r="W20">
            <v>7428.3269999999993</v>
          </cell>
          <cell r="Z20">
            <v>197164.24599999998</v>
          </cell>
          <cell r="AA20">
            <v>0</v>
          </cell>
          <cell r="AB20">
            <v>3183.0480000000002</v>
          </cell>
          <cell r="AC20">
            <v>0</v>
          </cell>
          <cell r="AD20">
            <v>0</v>
          </cell>
          <cell r="AH20">
            <v>3183.0480000000002</v>
          </cell>
          <cell r="AI20">
            <v>200347.29399999999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49018.241999999998</v>
          </cell>
          <cell r="AP20">
            <v>7702.5240000000013</v>
          </cell>
          <cell r="AS20">
            <v>56720.766000000003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122672.54899999998</v>
          </cell>
          <cell r="BD20">
            <v>0</v>
          </cell>
          <cell r="BE20">
            <v>0</v>
          </cell>
          <cell r="BF20">
            <v>115354.92599999999</v>
          </cell>
          <cell r="BG20">
            <v>0</v>
          </cell>
          <cell r="BJ20">
            <v>238027.47499999998</v>
          </cell>
        </row>
        <row r="21">
          <cell r="F21">
            <v>30234928.158010006</v>
          </cell>
          <cell r="G21">
            <v>3343729.9199999976</v>
          </cell>
          <cell r="H21">
            <v>1598468.00501</v>
          </cell>
          <cell r="I21">
            <v>1620519.986000001</v>
          </cell>
          <cell r="J21">
            <v>861137.19300000067</v>
          </cell>
          <cell r="K21">
            <v>1993254.315000002</v>
          </cell>
          <cell r="L21">
            <v>2157998.0279999995</v>
          </cell>
          <cell r="M21">
            <v>709657.61099999852</v>
          </cell>
          <cell r="N21">
            <v>1600250.9530000004</v>
          </cell>
          <cell r="O21">
            <v>933800.31200000132</v>
          </cell>
          <cell r="P21">
            <v>2362191.1920000031</v>
          </cell>
          <cell r="Q21">
            <v>2116069.6999999983</v>
          </cell>
          <cell r="R21">
            <v>1080419.3490000013</v>
          </cell>
          <cell r="S21">
            <v>3364525.8370000049</v>
          </cell>
          <cell r="T21">
            <v>1128702.7799999996</v>
          </cell>
          <cell r="U21">
            <v>2422077.3110000007</v>
          </cell>
          <cell r="V21">
            <v>513821.39399999939</v>
          </cell>
          <cell r="W21">
            <v>325241.41599999944</v>
          </cell>
          <cell r="Z21">
            <v>28131865.302010003</v>
          </cell>
          <cell r="AA21">
            <v>356969.55200000003</v>
          </cell>
          <cell r="AB21">
            <v>-5469.5870000000004</v>
          </cell>
          <cell r="AC21">
            <v>39153.218000000001</v>
          </cell>
          <cell r="AD21">
            <v>166134.802</v>
          </cell>
          <cell r="AH21">
            <v>556787.9850000001</v>
          </cell>
          <cell r="AI21">
            <v>28688653.287010062</v>
          </cell>
          <cell r="AJ21">
            <v>453545.29499999987</v>
          </cell>
          <cell r="AK21">
            <v>92672.72100000002</v>
          </cell>
          <cell r="AL21">
            <v>-3890.3969999990077</v>
          </cell>
          <cell r="AN21">
            <v>542327.61900000134</v>
          </cell>
          <cell r="AO21">
            <v>439498.36999999301</v>
          </cell>
          <cell r="AP21">
            <v>-7702.5240000000013</v>
          </cell>
          <cell r="AS21">
            <v>431795.84599999298</v>
          </cell>
          <cell r="AT21">
            <v>35564.415000000001</v>
          </cell>
          <cell r="AU21">
            <v>15600.510000000002</v>
          </cell>
          <cell r="AV21">
            <v>552236.64100000006</v>
          </cell>
          <cell r="BA21">
            <v>603401.56600000011</v>
          </cell>
          <cell r="BB21">
            <v>0</v>
          </cell>
          <cell r="BC21">
            <v>-107006.34899999999</v>
          </cell>
          <cell r="BD21">
            <v>500000</v>
          </cell>
          <cell r="BE21">
            <v>0</v>
          </cell>
          <cell r="BF21">
            <v>-339520.40299999993</v>
          </cell>
          <cell r="BG21">
            <v>-84723.40800000001</v>
          </cell>
          <cell r="BJ21">
            <v>-31250.159999999916</v>
          </cell>
        </row>
        <row r="22">
          <cell r="F22">
            <v>13862063.006998438</v>
          </cell>
          <cell r="G22">
            <v>1673807.0412710132</v>
          </cell>
          <cell r="H22">
            <v>1209947.4289033129</v>
          </cell>
          <cell r="I22">
            <v>1085270.6651461844</v>
          </cell>
          <cell r="J22">
            <v>487388.11630838132</v>
          </cell>
          <cell r="K22">
            <v>986423.1023254795</v>
          </cell>
          <cell r="L22">
            <v>973353.24797938915</v>
          </cell>
          <cell r="M22">
            <v>586969.55405875086</v>
          </cell>
          <cell r="N22">
            <v>907251.4062491135</v>
          </cell>
          <cell r="O22">
            <v>534364.63319934974</v>
          </cell>
          <cell r="P22">
            <v>818333.49871041742</v>
          </cell>
          <cell r="Q22">
            <v>722044.53550321201</v>
          </cell>
          <cell r="R22">
            <v>519751.91205715708</v>
          </cell>
          <cell r="S22">
            <v>1145970.8379695422</v>
          </cell>
          <cell r="T22">
            <v>274304.47258529149</v>
          </cell>
          <cell r="U22">
            <v>426861.64030211576</v>
          </cell>
          <cell r="V22">
            <v>346288.99181299214</v>
          </cell>
          <cell r="W22">
            <v>193507.56897578316</v>
          </cell>
          <cell r="Z22">
            <v>12891838.653357487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12891838.653357487</v>
          </cell>
          <cell r="AJ22">
            <v>148324.93271272769</v>
          </cell>
          <cell r="AK22">
            <v>65297.731058224927</v>
          </cell>
          <cell r="AL22">
            <v>182742.35686999999</v>
          </cell>
          <cell r="AN22">
            <v>396365.02064095263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573859.33299999998</v>
          </cell>
          <cell r="BF22">
            <v>0</v>
          </cell>
          <cell r="BG22">
            <v>0</v>
          </cell>
          <cell r="BJ22">
            <v>573859.33299999998</v>
          </cell>
        </row>
        <row r="23">
          <cell r="F23">
            <v>2186542.2029984398</v>
          </cell>
          <cell r="G23">
            <v>233326.50607726243</v>
          </cell>
          <cell r="H23">
            <v>167082.95771823972</v>
          </cell>
          <cell r="I23">
            <v>147727.46683516679</v>
          </cell>
          <cell r="J23">
            <v>67571.994802186775</v>
          </cell>
          <cell r="K23">
            <v>152162.25325210748</v>
          </cell>
          <cell r="L23">
            <v>146733.20320841455</v>
          </cell>
          <cell r="M23">
            <v>90943.607951795653</v>
          </cell>
          <cell r="N23">
            <v>139398.3008789325</v>
          </cell>
          <cell r="O23">
            <v>82545.133627928357</v>
          </cell>
          <cell r="P23">
            <v>124035.99970901606</v>
          </cell>
          <cell r="Q23">
            <v>110406.53477460772</v>
          </cell>
          <cell r="R23">
            <v>77861.045112462205</v>
          </cell>
          <cell r="S23">
            <v>119881.90890171661</v>
          </cell>
          <cell r="T23">
            <v>28849.59050148262</v>
          </cell>
          <cell r="U23">
            <v>44368.640225684416</v>
          </cell>
          <cell r="V23">
            <v>37400.119004538421</v>
          </cell>
          <cell r="W23">
            <v>19881.919775944603</v>
          </cell>
          <cell r="Z23">
            <v>1790177.182357487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1790177.182357487</v>
          </cell>
          <cell r="AJ23">
            <v>148324.93271272769</v>
          </cell>
          <cell r="AK23">
            <v>65297.731058224927</v>
          </cell>
          <cell r="AL23">
            <v>182742.35686999999</v>
          </cell>
          <cell r="AN23">
            <v>396365.02064095263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4896735.6149999993</v>
          </cell>
          <cell r="G24">
            <v>626823.88493400149</v>
          </cell>
          <cell r="H24">
            <v>461109.38796821743</v>
          </cell>
          <cell r="I24">
            <v>423410.72268325946</v>
          </cell>
          <cell r="J24">
            <v>180147.04341916624</v>
          </cell>
          <cell r="K24">
            <v>361606.7696559584</v>
          </cell>
          <cell r="L24">
            <v>367902.18510570715</v>
          </cell>
          <cell r="M24">
            <v>212899.2938622346</v>
          </cell>
          <cell r="N24">
            <v>335029.09024809225</v>
          </cell>
          <cell r="O24">
            <v>196966.05202862571</v>
          </cell>
          <cell r="P24">
            <v>309822.73763906345</v>
          </cell>
          <cell r="Q24">
            <v>269942.09878464835</v>
          </cell>
          <cell r="R24">
            <v>202766.68838114932</v>
          </cell>
          <cell r="S24">
            <v>457047.85110537254</v>
          </cell>
          <cell r="T24">
            <v>108505.23960245022</v>
          </cell>
          <cell r="U24">
            <v>171628.31544881812</v>
          </cell>
          <cell r="V24">
            <v>131820.883549588</v>
          </cell>
          <cell r="W24">
            <v>79307.37058364664</v>
          </cell>
          <cell r="Z24">
            <v>4896735.6149999993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4896735.6149999993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6778785.1889999993</v>
          </cell>
          <cell r="G25">
            <v>813656.65025974938</v>
          </cell>
          <cell r="H25">
            <v>581755.08321685577</v>
          </cell>
          <cell r="I25">
            <v>514132.47562775813</v>
          </cell>
          <cell r="J25">
            <v>239669.07808702826</v>
          </cell>
          <cell r="K25">
            <v>472654.07941741357</v>
          </cell>
          <cell r="L25">
            <v>458717.85966526746</v>
          </cell>
          <cell r="M25">
            <v>283126.65224472055</v>
          </cell>
          <cell r="N25">
            <v>432824.01512208872</v>
          </cell>
          <cell r="O25">
            <v>254853.44754279571</v>
          </cell>
          <cell r="P25">
            <v>384474.76136233791</v>
          </cell>
          <cell r="Q25">
            <v>341695.90194395592</v>
          </cell>
          <cell r="R25">
            <v>239124.17856354557</v>
          </cell>
          <cell r="S25">
            <v>569041.07796245313</v>
          </cell>
          <cell r="T25">
            <v>136949.64248135866</v>
          </cell>
          <cell r="U25">
            <v>210864.68462761323</v>
          </cell>
          <cell r="V25">
            <v>177067.98925886574</v>
          </cell>
          <cell r="W25">
            <v>94318.278616191907</v>
          </cell>
          <cell r="Z25">
            <v>6204925.8559999997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6204925.8559999997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573859.33299999998</v>
          </cell>
          <cell r="BF25">
            <v>0</v>
          </cell>
          <cell r="BG25">
            <v>0</v>
          </cell>
          <cell r="BJ25">
            <v>573859.33299999998</v>
          </cell>
        </row>
        <row r="26">
          <cell r="F26">
            <v>16372865.151011568</v>
          </cell>
          <cell r="G26">
            <v>1669922.8787289844</v>
          </cell>
          <cell r="H26">
            <v>388520.57610668708</v>
          </cell>
          <cell r="I26">
            <v>535249.32085381658</v>
          </cell>
          <cell r="J26">
            <v>373749.07669161935</v>
          </cell>
          <cell r="K26">
            <v>1006831.2126745225</v>
          </cell>
          <cell r="L26">
            <v>1184644.7800206104</v>
          </cell>
          <cell r="M26">
            <v>122688.05694124766</v>
          </cell>
          <cell r="N26">
            <v>692999.54675088695</v>
          </cell>
          <cell r="O26">
            <v>399435.67880065157</v>
          </cell>
          <cell r="P26">
            <v>1543857.6932895856</v>
          </cell>
          <cell r="Q26">
            <v>1394025.1644967864</v>
          </cell>
          <cell r="R26">
            <v>560667.43694284419</v>
          </cell>
          <cell r="S26">
            <v>2218554.9990304625</v>
          </cell>
          <cell r="T26">
            <v>854398.30741470808</v>
          </cell>
          <cell r="U26">
            <v>1995215.6706978849</v>
          </cell>
          <cell r="V26">
            <v>167532.40218700725</v>
          </cell>
          <cell r="W26">
            <v>131733.84702421629</v>
          </cell>
          <cell r="Z26">
            <v>15240026.648652516</v>
          </cell>
          <cell r="AA26">
            <v>356969.55200000003</v>
          </cell>
          <cell r="AB26">
            <v>-5469.5870000000004</v>
          </cell>
          <cell r="AC26">
            <v>39153.218000000001</v>
          </cell>
          <cell r="AD26">
            <v>166134.802</v>
          </cell>
          <cell r="AH26">
            <v>556787.9850000001</v>
          </cell>
          <cell r="AI26">
            <v>15796814.633652575</v>
          </cell>
          <cell r="AJ26">
            <v>305220.36228727218</v>
          </cell>
          <cell r="AK26">
            <v>27374.989941775093</v>
          </cell>
          <cell r="AL26">
            <v>-186632.753869999</v>
          </cell>
          <cell r="AN26">
            <v>145962.59835904872</v>
          </cell>
          <cell r="AO26">
            <v>439498.36999999301</v>
          </cell>
          <cell r="AP26">
            <v>-7702.5240000000013</v>
          </cell>
          <cell r="AS26">
            <v>431795.84599999298</v>
          </cell>
          <cell r="AT26">
            <v>35564.415000000001</v>
          </cell>
          <cell r="AU26">
            <v>15600.510000000002</v>
          </cell>
          <cell r="AV26">
            <v>552236.64100000006</v>
          </cell>
          <cell r="BA26">
            <v>603401.56600000011</v>
          </cell>
          <cell r="BB26">
            <v>0</v>
          </cell>
          <cell r="BC26">
            <v>-107006.34899999999</v>
          </cell>
          <cell r="BD26">
            <v>500000</v>
          </cell>
          <cell r="BE26">
            <v>-573859.33299999998</v>
          </cell>
          <cell r="BF26">
            <v>-339520.40299999993</v>
          </cell>
          <cell r="BG26">
            <v>-84723.40800000001</v>
          </cell>
          <cell r="BJ26">
            <v>-605109.4929999999</v>
          </cell>
        </row>
        <row r="27">
          <cell r="F27">
            <v>16372865.15101156</v>
          </cell>
          <cell r="G27">
            <v>1669922.8787289863</v>
          </cell>
          <cell r="H27">
            <v>388520.57610668562</v>
          </cell>
          <cell r="I27">
            <v>535249.32085381565</v>
          </cell>
          <cell r="J27">
            <v>373749.07669161895</v>
          </cell>
          <cell r="K27">
            <v>1006831.2126745199</v>
          </cell>
          <cell r="L27">
            <v>1184644.7800206097</v>
          </cell>
          <cell r="M27">
            <v>122688.05694124897</v>
          </cell>
          <cell r="N27">
            <v>692999.54675088602</v>
          </cell>
          <cell r="O27">
            <v>399435.67880065052</v>
          </cell>
          <cell r="P27">
            <v>1543857.6932895831</v>
          </cell>
          <cell r="Q27">
            <v>1394025.1644967878</v>
          </cell>
          <cell r="R27">
            <v>560667.43694284325</v>
          </cell>
          <cell r="S27">
            <v>2218554.9990304573</v>
          </cell>
          <cell r="T27">
            <v>854398.30741470843</v>
          </cell>
          <cell r="U27">
            <v>1995215.6706978842</v>
          </cell>
          <cell r="V27">
            <v>167532.40218700792</v>
          </cell>
          <cell r="W27">
            <v>131733.84702421684</v>
          </cell>
          <cell r="Z27">
            <v>15240026.648652513</v>
          </cell>
          <cell r="AA27">
            <v>356969.55199999997</v>
          </cell>
          <cell r="AB27">
            <v>-5469.5869999999995</v>
          </cell>
          <cell r="AC27">
            <v>39153.217999999993</v>
          </cell>
          <cell r="AD27">
            <v>166134.802</v>
          </cell>
          <cell r="AH27">
            <v>556787.98499999999</v>
          </cell>
          <cell r="AI27">
            <v>15796814.633652512</v>
          </cell>
          <cell r="AJ27">
            <v>305220.36228727223</v>
          </cell>
          <cell r="AK27">
            <v>27374.9899417751</v>
          </cell>
          <cell r="AL27">
            <v>-186632.75386999978</v>
          </cell>
          <cell r="AN27">
            <v>145962.59835904755</v>
          </cell>
          <cell r="AO27">
            <v>439498.37000000058</v>
          </cell>
          <cell r="AP27">
            <v>-7702.5240000000013</v>
          </cell>
          <cell r="AS27">
            <v>431795.8460000006</v>
          </cell>
          <cell r="AT27">
            <v>35564.415000000001</v>
          </cell>
          <cell r="AU27">
            <v>15600.509999999998</v>
          </cell>
          <cell r="AV27">
            <v>552236.64100000006</v>
          </cell>
          <cell r="BA27">
            <v>603401.56600000011</v>
          </cell>
          <cell r="BB27">
            <v>0</v>
          </cell>
          <cell r="BC27">
            <v>-107006.349</v>
          </cell>
          <cell r="BD27">
            <v>500000</v>
          </cell>
          <cell r="BE27">
            <v>-573859.33299999998</v>
          </cell>
          <cell r="BF27">
            <v>-339520.40299999993</v>
          </cell>
          <cell r="BG27">
            <v>-84723.40800000001</v>
          </cell>
          <cell r="BJ27">
            <v>-605109.4929999999</v>
          </cell>
        </row>
        <row r="28">
          <cell r="F28">
            <v>0</v>
          </cell>
          <cell r="G28">
            <v>-1.862645149230957E-9</v>
          </cell>
          <cell r="H28">
            <v>1.4551915228366852E-9</v>
          </cell>
          <cell r="I28">
            <v>9.3132257461547852E-10</v>
          </cell>
          <cell r="J28">
            <v>0</v>
          </cell>
          <cell r="K28">
            <v>2.6775524020195007E-9</v>
          </cell>
          <cell r="L28">
            <v>0</v>
          </cell>
          <cell r="M28">
            <v>-1.3096723705530167E-9</v>
          </cell>
          <cell r="N28">
            <v>9.3132257461547852E-10</v>
          </cell>
          <cell r="O28">
            <v>1.0477378964424133E-9</v>
          </cell>
          <cell r="P28">
            <v>2.5611370801925659E-9</v>
          </cell>
          <cell r="Q28">
            <v>0</v>
          </cell>
          <cell r="R28">
            <v>9.3132257461547852E-10</v>
          </cell>
          <cell r="S28">
            <v>5.1222741603851318E-9</v>
          </cell>
          <cell r="T28">
            <v>0</v>
          </cell>
          <cell r="U28">
            <v>0</v>
          </cell>
          <cell r="V28">
            <v>-6.6938810050487518E-10</v>
          </cell>
          <cell r="W28">
            <v>-5.5297277867794037E-10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6.3329935073852539E-8</v>
          </cell>
          <cell r="AJ28">
            <v>0</v>
          </cell>
          <cell r="AK28">
            <v>0</v>
          </cell>
          <cell r="AL28">
            <v>7.8580342233181E-10</v>
          </cell>
          <cell r="AN28">
            <v>1.1641532182693481E-9</v>
          </cell>
          <cell r="AO28">
            <v>-7.5669959187507629E-9</v>
          </cell>
          <cell r="AP28">
            <v>0</v>
          </cell>
          <cell r="AS28">
            <v>-7.6252035796642303E-9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334616</v>
          </cell>
          <cell r="H31">
            <v>240614</v>
          </cell>
          <cell r="I31">
            <v>217430</v>
          </cell>
          <cell r="J31">
            <v>102597.5</v>
          </cell>
          <cell r="K31">
            <v>180490.5</v>
          </cell>
          <cell r="L31">
            <v>187509</v>
          </cell>
          <cell r="M31">
            <v>120628</v>
          </cell>
          <cell r="N31">
            <v>175433.5</v>
          </cell>
          <cell r="O31">
            <v>112781</v>
          </cell>
          <cell r="P31">
            <v>156069.5</v>
          </cell>
          <cell r="Q31">
            <v>140243</v>
          </cell>
          <cell r="R31">
            <v>94507</v>
          </cell>
          <cell r="S31">
            <v>231919</v>
          </cell>
          <cell r="T31">
            <v>50373</v>
          </cell>
          <cell r="U31">
            <v>76563.5</v>
          </cell>
          <cell r="V31">
            <v>75480.5</v>
          </cell>
          <cell r="W31">
            <v>31458.5</v>
          </cell>
          <cell r="X31">
            <v>0</v>
          </cell>
          <cell r="Y31">
            <v>0</v>
          </cell>
          <cell r="Z31">
            <v>2528713.5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2528713.5</v>
          </cell>
          <cell r="AJ31">
            <v>169707</v>
          </cell>
          <cell r="AK31">
            <v>168530</v>
          </cell>
          <cell r="AL31">
            <v>315978</v>
          </cell>
          <cell r="AN31">
            <v>654215</v>
          </cell>
          <cell r="AO31">
            <v>77967.343999999997</v>
          </cell>
          <cell r="AP31">
            <v>0</v>
          </cell>
          <cell r="AS31">
            <v>77967.343999999997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348346361.16399992</v>
          </cell>
          <cell r="G32">
            <v>33357438.02</v>
          </cell>
          <cell r="H32">
            <v>24052030.667999998</v>
          </cell>
          <cell r="I32">
            <v>21232172.844999999</v>
          </cell>
          <cell r="J32">
            <v>10047479.192000002</v>
          </cell>
          <cell r="K32">
            <v>19514874.641000003</v>
          </cell>
          <cell r="L32">
            <v>18965681.831</v>
          </cell>
          <cell r="M32">
            <v>11543274.899999999</v>
          </cell>
          <cell r="N32">
            <v>17795158.350000001</v>
          </cell>
          <cell r="O32">
            <v>10439652.218</v>
          </cell>
          <cell r="P32">
            <v>15834131.000000002</v>
          </cell>
          <cell r="Q32">
            <v>14137288.452</v>
          </cell>
          <cell r="R32">
            <v>9827789.5420000013</v>
          </cell>
          <cell r="S32">
            <v>23496461.101000004</v>
          </cell>
          <cell r="T32">
            <v>5665309.3899999997</v>
          </cell>
          <cell r="U32">
            <v>8684711.5360000003</v>
          </cell>
          <cell r="V32">
            <v>7271548.9369999999</v>
          </cell>
          <cell r="W32">
            <v>3929306.5629999996</v>
          </cell>
          <cell r="X32">
            <v>0</v>
          </cell>
          <cell r="Y32">
            <v>0</v>
          </cell>
          <cell r="Z32">
            <v>255794309.18599999</v>
          </cell>
          <cell r="AA32">
            <v>450000</v>
          </cell>
          <cell r="AB32">
            <v>0</v>
          </cell>
          <cell r="AC32">
            <v>112500</v>
          </cell>
          <cell r="AD32">
            <v>255060</v>
          </cell>
          <cell r="AH32">
            <v>817560</v>
          </cell>
          <cell r="AI32">
            <v>256611869.18599999</v>
          </cell>
          <cell r="AJ32">
            <v>5011763.58</v>
          </cell>
          <cell r="AK32">
            <v>2372099</v>
          </cell>
          <cell r="AL32">
            <v>5745923</v>
          </cell>
          <cell r="AN32">
            <v>13129785.58</v>
          </cell>
          <cell r="AO32">
            <v>77932391.056999996</v>
          </cell>
          <cell r="AP32">
            <v>0</v>
          </cell>
          <cell r="AS32">
            <v>77932391.056999996</v>
          </cell>
          <cell r="AT32">
            <v>48562.5</v>
          </cell>
          <cell r="AU32">
            <v>55850</v>
          </cell>
          <cell r="AV32">
            <v>552236.64100000006</v>
          </cell>
          <cell r="BA32">
            <v>656649.14100000006</v>
          </cell>
          <cell r="BB32">
            <v>0</v>
          </cell>
          <cell r="BC32">
            <v>15666.200000000003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15666.200000000003</v>
          </cell>
        </row>
        <row r="33">
          <cell r="F33">
            <v>310082572.64099002</v>
          </cell>
          <cell r="G33">
            <v>29343717.446000002</v>
          </cell>
          <cell r="H33">
            <v>21858169.196989998</v>
          </cell>
          <cell r="I33">
            <v>19156240.139999997</v>
          </cell>
          <cell r="J33">
            <v>8862110.8970000017</v>
          </cell>
          <cell r="K33">
            <v>17082532.695</v>
          </cell>
          <cell r="L33">
            <v>16330494.012</v>
          </cell>
          <cell r="M33">
            <v>10481724.957</v>
          </cell>
          <cell r="N33">
            <v>15755437.392000001</v>
          </cell>
          <cell r="O33">
            <v>9246027.3519999981</v>
          </cell>
          <cell r="P33">
            <v>13046557.645</v>
          </cell>
          <cell r="Q33">
            <v>11665924.829000002</v>
          </cell>
          <cell r="R33">
            <v>8481080.4590000007</v>
          </cell>
          <cell r="S33">
            <v>19696278.751999997</v>
          </cell>
          <cell r="T33">
            <v>4425227.307</v>
          </cell>
          <cell r="U33">
            <v>6153242.6989999991</v>
          </cell>
          <cell r="V33">
            <v>6458159.2020000005</v>
          </cell>
          <cell r="W33">
            <v>3462072.2960000001</v>
          </cell>
          <cell r="X33">
            <v>0</v>
          </cell>
          <cell r="Y33">
            <v>0</v>
          </cell>
          <cell r="Z33">
            <v>221504997.27699</v>
          </cell>
          <cell r="AA33">
            <v>90940.747999999992</v>
          </cell>
          <cell r="AB33">
            <v>0</v>
          </cell>
          <cell r="AC33">
            <v>73071.381999999998</v>
          </cell>
          <cell r="AD33">
            <v>88925.198000000004</v>
          </cell>
          <cell r="AH33">
            <v>252937.32800000001</v>
          </cell>
          <cell r="AI33">
            <v>221757934.60499001</v>
          </cell>
          <cell r="AJ33">
            <v>4550528.2860000003</v>
          </cell>
          <cell r="AK33">
            <v>2154341.2140000002</v>
          </cell>
          <cell r="AL33">
            <v>5749813.3969999989</v>
          </cell>
          <cell r="AN33">
            <v>12454682.897</v>
          </cell>
          <cell r="AO33">
            <v>76231984.156000003</v>
          </cell>
          <cell r="AP33">
            <v>0</v>
          </cell>
          <cell r="AS33">
            <v>76231984.156000003</v>
          </cell>
          <cell r="AT33">
            <v>12998.085000000001</v>
          </cell>
          <cell r="AU33">
            <v>40249.49</v>
          </cell>
          <cell r="AV33">
            <v>0</v>
          </cell>
          <cell r="BA33">
            <v>53247.574999999997</v>
          </cell>
          <cell r="BB33">
            <v>0</v>
          </cell>
          <cell r="BC33">
            <v>0</v>
          </cell>
          <cell r="BD33">
            <v>-500000</v>
          </cell>
          <cell r="BE33">
            <v>0</v>
          </cell>
          <cell r="BF33">
            <v>0</v>
          </cell>
          <cell r="BG33">
            <v>84723.40800000001</v>
          </cell>
          <cell r="BJ33">
            <v>-415276.592</v>
          </cell>
        </row>
        <row r="34">
          <cell r="F34">
            <v>38263788.523009896</v>
          </cell>
          <cell r="G34">
            <v>4013720.5739999972</v>
          </cell>
          <cell r="H34">
            <v>2193861.4710099995</v>
          </cell>
          <cell r="I34">
            <v>2075932.7050000019</v>
          </cell>
          <cell r="J34">
            <v>1185368.2949999999</v>
          </cell>
          <cell r="K34">
            <v>2432341.9460000023</v>
          </cell>
          <cell r="L34">
            <v>2635187.8190000001</v>
          </cell>
          <cell r="M34">
            <v>1061549.9429999981</v>
          </cell>
          <cell r="N34">
            <v>2039720.9580000006</v>
          </cell>
          <cell r="O34">
            <v>1193624.8660000023</v>
          </cell>
          <cell r="P34">
            <v>2787573.3550000023</v>
          </cell>
          <cell r="Q34">
            <v>2471363.6229999978</v>
          </cell>
          <cell r="R34">
            <v>1346709.0830000006</v>
          </cell>
          <cell r="S34">
            <v>3800182.3490000069</v>
          </cell>
          <cell r="T34">
            <v>1240082.0829999996</v>
          </cell>
          <cell r="U34">
            <v>2531468.8370000012</v>
          </cell>
          <cell r="V34">
            <v>813389.7349999994</v>
          </cell>
          <cell r="W34">
            <v>467234.26699999953</v>
          </cell>
          <cell r="X34">
            <v>0</v>
          </cell>
          <cell r="Y34">
            <v>0</v>
          </cell>
          <cell r="Z34">
            <v>34289311.909009993</v>
          </cell>
          <cell r="AA34">
            <v>359059.25199999998</v>
          </cell>
          <cell r="AB34">
            <v>0</v>
          </cell>
          <cell r="AC34">
            <v>39428.618000000002</v>
          </cell>
          <cell r="AD34">
            <v>166134.802</v>
          </cell>
          <cell r="AH34">
            <v>564622.67200000002</v>
          </cell>
          <cell r="AI34">
            <v>34853934.581009984</v>
          </cell>
          <cell r="AJ34">
            <v>461235.29399999976</v>
          </cell>
          <cell r="AK34">
            <v>217757.78599999985</v>
          </cell>
          <cell r="AL34">
            <v>-3890.3969999989495</v>
          </cell>
          <cell r="AN34">
            <v>675102.68300000019</v>
          </cell>
          <cell r="AO34">
            <v>1700406.9009999931</v>
          </cell>
          <cell r="AP34">
            <v>0</v>
          </cell>
          <cell r="AS34">
            <v>1700406.9009999931</v>
          </cell>
          <cell r="AT34">
            <v>35564.415000000001</v>
          </cell>
          <cell r="AU34">
            <v>15600.510000000002</v>
          </cell>
          <cell r="AV34">
            <v>552236.64100000006</v>
          </cell>
          <cell r="BA34">
            <v>603401.56600000011</v>
          </cell>
          <cell r="BB34">
            <v>0</v>
          </cell>
          <cell r="BC34">
            <v>15666.200000000003</v>
          </cell>
          <cell r="BD34">
            <v>500000</v>
          </cell>
          <cell r="BE34">
            <v>0</v>
          </cell>
          <cell r="BF34">
            <v>0</v>
          </cell>
          <cell r="BG34">
            <v>-84723.40800000001</v>
          </cell>
          <cell r="BJ34">
            <v>430942.79200000002</v>
          </cell>
        </row>
        <row r="35">
          <cell r="F35">
            <v>21890923.371998437</v>
          </cell>
          <cell r="G35">
            <v>2343797.6952710133</v>
          </cell>
          <cell r="H35">
            <v>1805340.8949033129</v>
          </cell>
          <cell r="I35">
            <v>1540683.3841461844</v>
          </cell>
          <cell r="J35">
            <v>811619.21830838139</v>
          </cell>
          <cell r="K35">
            <v>1425510.7333254796</v>
          </cell>
          <cell r="L35">
            <v>1450543.038979389</v>
          </cell>
          <cell r="M35">
            <v>938861.8860587508</v>
          </cell>
          <cell r="N35">
            <v>1346721.4112491135</v>
          </cell>
          <cell r="O35">
            <v>794189.18719934975</v>
          </cell>
          <cell r="P35">
            <v>1243715.6617104176</v>
          </cell>
          <cell r="Q35">
            <v>1077338.4585032121</v>
          </cell>
          <cell r="R35">
            <v>786041.64605715708</v>
          </cell>
          <cell r="S35">
            <v>1581627.3499695424</v>
          </cell>
          <cell r="T35">
            <v>385683.7755852915</v>
          </cell>
          <cell r="U35">
            <v>536253.16630211577</v>
          </cell>
          <cell r="V35">
            <v>645857.33281299216</v>
          </cell>
          <cell r="W35">
            <v>335500.41997578315</v>
          </cell>
          <cell r="X35">
            <v>0</v>
          </cell>
          <cell r="Y35">
            <v>0</v>
          </cell>
          <cell r="Z35">
            <v>19049285.260357484</v>
          </cell>
          <cell r="AA35">
            <v>2089.6999999999998</v>
          </cell>
          <cell r="AB35">
            <v>5469.5870000000004</v>
          </cell>
          <cell r="AC35">
            <v>275.39999999999998</v>
          </cell>
          <cell r="AD35">
            <v>0</v>
          </cell>
          <cell r="AH35">
            <v>7834.6869999999999</v>
          </cell>
          <cell r="AI35">
            <v>19057119.947357483</v>
          </cell>
          <cell r="AJ35">
            <v>156014.9317127277</v>
          </cell>
          <cell r="AK35">
            <v>190382.79605822492</v>
          </cell>
          <cell r="AL35">
            <v>182742.35686999999</v>
          </cell>
          <cell r="AN35">
            <v>529140.08464095264</v>
          </cell>
          <cell r="AO35">
            <v>1260908.5310000002</v>
          </cell>
          <cell r="AP35">
            <v>7702.5240000000013</v>
          </cell>
          <cell r="AS35">
            <v>1268611.0550000002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122672.54899999998</v>
          </cell>
          <cell r="BD35">
            <v>0</v>
          </cell>
          <cell r="BE35">
            <v>573859.33299999998</v>
          </cell>
          <cell r="BF35">
            <v>339520.40299999993</v>
          </cell>
          <cell r="BG35">
            <v>0</v>
          </cell>
          <cell r="BJ35">
            <v>1036052.2849999999</v>
          </cell>
        </row>
        <row r="36">
          <cell r="F36">
            <v>16372865.15101146</v>
          </cell>
          <cell r="G36">
            <v>1669922.8787289839</v>
          </cell>
          <cell r="H36">
            <v>388520.57610668661</v>
          </cell>
          <cell r="I36">
            <v>535249.32085381751</v>
          </cell>
          <cell r="J36">
            <v>373749.07669161854</v>
          </cell>
          <cell r="K36">
            <v>1006831.2126745228</v>
          </cell>
          <cell r="L36">
            <v>1184644.7800206111</v>
          </cell>
          <cell r="M36">
            <v>122688.05694124731</v>
          </cell>
          <cell r="N36">
            <v>692999.54675088706</v>
          </cell>
          <cell r="O36">
            <v>399435.6788006525</v>
          </cell>
          <cell r="P36">
            <v>1543857.6932895847</v>
          </cell>
          <cell r="Q36">
            <v>1394025.1644967857</v>
          </cell>
          <cell r="R36">
            <v>560667.43694284349</v>
          </cell>
          <cell r="S36">
            <v>2218554.9990304643</v>
          </cell>
          <cell r="T36">
            <v>854398.30741470819</v>
          </cell>
          <cell r="U36">
            <v>1995215.6706978856</v>
          </cell>
          <cell r="V36">
            <v>167532.40218700725</v>
          </cell>
          <cell r="W36">
            <v>131733.84702421637</v>
          </cell>
          <cell r="X36">
            <v>0</v>
          </cell>
          <cell r="Y36">
            <v>0</v>
          </cell>
          <cell r="Z36">
            <v>15240026.648652509</v>
          </cell>
          <cell r="AA36">
            <v>356969.55199999997</v>
          </cell>
          <cell r="AB36">
            <v>-5469.5870000000004</v>
          </cell>
          <cell r="AC36">
            <v>39153.218000000001</v>
          </cell>
          <cell r="AD36">
            <v>166134.802</v>
          </cell>
          <cell r="AH36">
            <v>556787.98499999999</v>
          </cell>
          <cell r="AI36">
            <v>15796814.633652501</v>
          </cell>
          <cell r="AJ36">
            <v>305220.36228727206</v>
          </cell>
          <cell r="AK36">
            <v>27374.989941774926</v>
          </cell>
          <cell r="AL36">
            <v>-186632.75386999894</v>
          </cell>
          <cell r="AN36">
            <v>145962.59835904755</v>
          </cell>
          <cell r="AO36">
            <v>439498.36999999289</v>
          </cell>
          <cell r="AP36">
            <v>-7702.5240000000013</v>
          </cell>
          <cell r="AS36">
            <v>431795.84599999292</v>
          </cell>
          <cell r="AT36">
            <v>35564.415000000001</v>
          </cell>
          <cell r="AU36">
            <v>15600.510000000002</v>
          </cell>
          <cell r="AV36">
            <v>552236.64100000006</v>
          </cell>
          <cell r="BA36">
            <v>603401.56600000011</v>
          </cell>
          <cell r="BB36">
            <v>0</v>
          </cell>
          <cell r="BC36">
            <v>-107006.34899999999</v>
          </cell>
          <cell r="BD36">
            <v>500000</v>
          </cell>
          <cell r="BE36">
            <v>-573859.33299999998</v>
          </cell>
          <cell r="BF36">
            <v>-339520.40299999993</v>
          </cell>
          <cell r="BG36">
            <v>-84723.40800000001</v>
          </cell>
          <cell r="BJ36">
            <v>-605109.4929999999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-108485</v>
          </cell>
          <cell r="AK38">
            <v>-100828</v>
          </cell>
          <cell r="AL38">
            <v>-209953</v>
          </cell>
          <cell r="AN38">
            <v>-419266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-8876745.5800000001</v>
          </cell>
          <cell r="Z39">
            <v>0</v>
          </cell>
          <cell r="AH39">
            <v>0</v>
          </cell>
          <cell r="AI39">
            <v>0</v>
          </cell>
          <cell r="AJ39">
            <v>-3196098.08</v>
          </cell>
          <cell r="AK39">
            <v>-1623188</v>
          </cell>
          <cell r="AL39">
            <v>-4057459.5</v>
          </cell>
          <cell r="AN39">
            <v>-8876745.5800000001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-8876745.5800000001</v>
          </cell>
          <cell r="K40">
            <v>-523346.58200000005</v>
          </cell>
          <cell r="L40">
            <v>-236743.33900000009</v>
          </cell>
          <cell r="M40">
            <v>-24632.021000000001</v>
          </cell>
          <cell r="N40">
            <v>-48012.627</v>
          </cell>
          <cell r="O40">
            <v>-7052.585</v>
          </cell>
          <cell r="P40">
            <v>2696.7660000000001</v>
          </cell>
          <cell r="Z40">
            <v>-837090.38800000004</v>
          </cell>
          <cell r="AH40">
            <v>0</v>
          </cell>
          <cell r="AI40">
            <v>-837090.38800000004</v>
          </cell>
          <cell r="AJ40">
            <v>-2878975.1809999999</v>
          </cell>
          <cell r="AK40">
            <v>-1338702.7439999999</v>
          </cell>
          <cell r="AL40">
            <v>-3821977.267</v>
          </cell>
          <cell r="AN40">
            <v>-8039655.1919999998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523346.58200000005</v>
          </cell>
          <cell r="L41">
            <v>236743.33900000009</v>
          </cell>
          <cell r="M41">
            <v>24632.021000000001</v>
          </cell>
          <cell r="N41">
            <v>48012.627</v>
          </cell>
          <cell r="O41">
            <v>7052.585</v>
          </cell>
          <cell r="P41">
            <v>-2696.7660000000001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837090.38800000004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837090.38800000004</v>
          </cell>
          <cell r="AJ41">
            <v>-317122.89900000021</v>
          </cell>
          <cell r="AK41">
            <v>-284485.25600000005</v>
          </cell>
          <cell r="AL41">
            <v>-235482.23300000001</v>
          </cell>
          <cell r="AN41">
            <v>-837090.38800000027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523346.58200000005</v>
          </cell>
          <cell r="L43">
            <v>236743.33900000009</v>
          </cell>
          <cell r="M43">
            <v>24632.021000000001</v>
          </cell>
          <cell r="N43">
            <v>48012.627</v>
          </cell>
          <cell r="O43">
            <v>7052.585</v>
          </cell>
          <cell r="P43">
            <v>-2696.7660000000001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837090.38800000004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837090.38800000004</v>
          </cell>
          <cell r="AJ43">
            <v>-317122.89900000021</v>
          </cell>
          <cell r="AK43">
            <v>-284485.25600000005</v>
          </cell>
          <cell r="AL43">
            <v>-235482.23300000001</v>
          </cell>
          <cell r="AN43">
            <v>-837090.38800000027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334616</v>
          </cell>
          <cell r="H45">
            <v>240614</v>
          </cell>
          <cell r="I45">
            <v>217430</v>
          </cell>
          <cell r="J45">
            <v>102597.5</v>
          </cell>
          <cell r="K45">
            <v>180490.5</v>
          </cell>
          <cell r="L45">
            <v>187509</v>
          </cell>
          <cell r="M45">
            <v>120628</v>
          </cell>
          <cell r="N45">
            <v>175433.5</v>
          </cell>
          <cell r="O45">
            <v>112781</v>
          </cell>
          <cell r="P45">
            <v>156069.5</v>
          </cell>
          <cell r="Q45">
            <v>140243</v>
          </cell>
          <cell r="R45">
            <v>94507</v>
          </cell>
          <cell r="S45">
            <v>231919</v>
          </cell>
          <cell r="T45">
            <v>50373</v>
          </cell>
          <cell r="U45">
            <v>76563.5</v>
          </cell>
          <cell r="V45">
            <v>75480.5</v>
          </cell>
          <cell r="W45">
            <v>31458.5</v>
          </cell>
          <cell r="X45">
            <v>0</v>
          </cell>
          <cell r="Y45">
            <v>0</v>
          </cell>
          <cell r="Z45">
            <v>2528713.5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2528713.5</v>
          </cell>
          <cell r="AJ45">
            <v>61222</v>
          </cell>
          <cell r="AK45">
            <v>67702</v>
          </cell>
          <cell r="AL45">
            <v>106025</v>
          </cell>
          <cell r="AN45">
            <v>234949</v>
          </cell>
          <cell r="AO45">
            <v>77967.343999999997</v>
          </cell>
          <cell r="AP45">
            <v>0</v>
          </cell>
          <cell r="AS45">
            <v>77967.343999999997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339469615.58399993</v>
          </cell>
          <cell r="G46">
            <v>33357438.02</v>
          </cell>
          <cell r="H46">
            <v>24052030.667999998</v>
          </cell>
          <cell r="I46">
            <v>21232172.844999999</v>
          </cell>
          <cell r="J46">
            <v>10047479.192000002</v>
          </cell>
          <cell r="K46">
            <v>19514874.641000003</v>
          </cell>
          <cell r="L46">
            <v>18965681.831</v>
          </cell>
          <cell r="M46">
            <v>11543274.899999999</v>
          </cell>
          <cell r="N46">
            <v>17795158.350000001</v>
          </cell>
          <cell r="O46">
            <v>10439652.218</v>
          </cell>
          <cell r="P46">
            <v>15834131.000000002</v>
          </cell>
          <cell r="Q46">
            <v>14137288.452</v>
          </cell>
          <cell r="R46">
            <v>9827789.5420000013</v>
          </cell>
          <cell r="S46">
            <v>23496461.101000004</v>
          </cell>
          <cell r="T46">
            <v>5665309.3899999997</v>
          </cell>
          <cell r="U46">
            <v>8684711.5360000003</v>
          </cell>
          <cell r="V46">
            <v>7271548.9369999999</v>
          </cell>
          <cell r="W46">
            <v>3929306.5629999996</v>
          </cell>
          <cell r="X46">
            <v>0</v>
          </cell>
          <cell r="Y46">
            <v>0</v>
          </cell>
          <cell r="Z46">
            <v>255794309.18599999</v>
          </cell>
          <cell r="AA46">
            <v>450000</v>
          </cell>
          <cell r="AB46">
            <v>0</v>
          </cell>
          <cell r="AC46">
            <v>112500</v>
          </cell>
          <cell r="AD46">
            <v>255060</v>
          </cell>
          <cell r="AH46">
            <v>817560</v>
          </cell>
          <cell r="AI46">
            <v>256611869.18599999</v>
          </cell>
          <cell r="AJ46">
            <v>1815665.5</v>
          </cell>
          <cell r="AK46">
            <v>748911</v>
          </cell>
          <cell r="AL46">
            <v>1688463.5</v>
          </cell>
          <cell r="AN46">
            <v>4253040</v>
          </cell>
          <cell r="AO46">
            <v>77932391.056999996</v>
          </cell>
          <cell r="AP46">
            <v>0</v>
          </cell>
          <cell r="AS46">
            <v>77932391.056999996</v>
          </cell>
          <cell r="AT46">
            <v>48562.5</v>
          </cell>
          <cell r="AU46">
            <v>55850</v>
          </cell>
          <cell r="AV46">
            <v>552236.64100000006</v>
          </cell>
          <cell r="BA46">
            <v>656649.14100000006</v>
          </cell>
          <cell r="BB46">
            <v>0</v>
          </cell>
          <cell r="BC46">
            <v>15666.200000000003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15666.200000000003</v>
          </cell>
        </row>
        <row r="47">
          <cell r="F47">
            <v>301205827.06099004</v>
          </cell>
          <cell r="G47">
            <v>29343717.446000002</v>
          </cell>
          <cell r="H47">
            <v>21858169.196989998</v>
          </cell>
          <cell r="I47">
            <v>19156240.139999997</v>
          </cell>
          <cell r="J47">
            <v>8862110.8970000017</v>
          </cell>
          <cell r="K47">
            <v>16559186.113</v>
          </cell>
          <cell r="L47">
            <v>16093750.673</v>
          </cell>
          <cell r="M47">
            <v>10457092.936000001</v>
          </cell>
          <cell r="N47">
            <v>15707424.765000001</v>
          </cell>
          <cell r="O47">
            <v>9238974.7669999972</v>
          </cell>
          <cell r="P47">
            <v>13049254.411</v>
          </cell>
          <cell r="Q47">
            <v>11665924.829000002</v>
          </cell>
          <cell r="R47">
            <v>8481080.4590000007</v>
          </cell>
          <cell r="S47">
            <v>19696278.751999997</v>
          </cell>
          <cell r="T47">
            <v>4425227.307</v>
          </cell>
          <cell r="U47">
            <v>6153242.6989999991</v>
          </cell>
          <cell r="V47">
            <v>6458159.2020000005</v>
          </cell>
          <cell r="W47">
            <v>3462072.2960000001</v>
          </cell>
          <cell r="X47">
            <v>0</v>
          </cell>
          <cell r="Y47">
            <v>0</v>
          </cell>
          <cell r="Z47">
            <v>220667906.88899001</v>
          </cell>
          <cell r="AA47">
            <v>90940.747999999992</v>
          </cell>
          <cell r="AB47">
            <v>0</v>
          </cell>
          <cell r="AC47">
            <v>73071.381999999998</v>
          </cell>
          <cell r="AD47">
            <v>88925.198000000004</v>
          </cell>
          <cell r="AH47">
            <v>252937.32800000001</v>
          </cell>
          <cell r="AI47">
            <v>220920844.21699002</v>
          </cell>
          <cell r="AJ47">
            <v>1671553.1050000004</v>
          </cell>
          <cell r="AK47">
            <v>815638.4700000002</v>
          </cell>
          <cell r="AL47">
            <v>1927836.129999999</v>
          </cell>
          <cell r="AN47">
            <v>4415027.7050000001</v>
          </cell>
          <cell r="AO47">
            <v>76231984.156000003</v>
          </cell>
          <cell r="AP47">
            <v>0</v>
          </cell>
          <cell r="AS47">
            <v>76231984.156000003</v>
          </cell>
          <cell r="AT47">
            <v>12998.085000000001</v>
          </cell>
          <cell r="AU47">
            <v>40249.49</v>
          </cell>
          <cell r="AV47">
            <v>0</v>
          </cell>
          <cell r="BA47">
            <v>53247.574999999997</v>
          </cell>
          <cell r="BB47">
            <v>0</v>
          </cell>
          <cell r="BC47">
            <v>0</v>
          </cell>
          <cell r="BD47">
            <v>-500000</v>
          </cell>
          <cell r="BE47">
            <v>0</v>
          </cell>
          <cell r="BF47">
            <v>0</v>
          </cell>
          <cell r="BG47">
            <v>84723.40800000001</v>
          </cell>
          <cell r="BJ47">
            <v>-415276.592</v>
          </cell>
        </row>
        <row r="48">
          <cell r="F48">
            <v>38263788.523009896</v>
          </cell>
          <cell r="G48">
            <v>4013720.5739999972</v>
          </cell>
          <cell r="H48">
            <v>2193861.4710099995</v>
          </cell>
          <cell r="I48">
            <v>2075932.7050000019</v>
          </cell>
          <cell r="J48">
            <v>1185368.2949999999</v>
          </cell>
          <cell r="K48">
            <v>2955688.5280000027</v>
          </cell>
          <cell r="L48">
            <v>2871931.1579999998</v>
          </cell>
          <cell r="M48">
            <v>1086181.9639999978</v>
          </cell>
          <cell r="N48">
            <v>2087733.5850000009</v>
          </cell>
          <cell r="O48">
            <v>1200677.4510000031</v>
          </cell>
          <cell r="P48">
            <v>2784876.5890000015</v>
          </cell>
          <cell r="Q48">
            <v>2471363.6229999978</v>
          </cell>
          <cell r="R48">
            <v>1346709.0830000006</v>
          </cell>
          <cell r="S48">
            <v>3800182.3490000069</v>
          </cell>
          <cell r="T48">
            <v>1240082.0829999996</v>
          </cell>
          <cell r="U48">
            <v>2531468.8370000012</v>
          </cell>
          <cell r="V48">
            <v>813389.7349999994</v>
          </cell>
          <cell r="W48">
            <v>467234.26699999953</v>
          </cell>
          <cell r="X48">
            <v>0</v>
          </cell>
          <cell r="Y48">
            <v>0</v>
          </cell>
          <cell r="Z48">
            <v>35126402.297009975</v>
          </cell>
          <cell r="AA48">
            <v>359059.25199999998</v>
          </cell>
          <cell r="AB48">
            <v>0</v>
          </cell>
          <cell r="AC48">
            <v>39428.618000000002</v>
          </cell>
          <cell r="AD48">
            <v>166134.802</v>
          </cell>
          <cell r="AH48">
            <v>564622.67200000002</v>
          </cell>
          <cell r="AI48">
            <v>35691024.969009966</v>
          </cell>
          <cell r="AJ48">
            <v>144112.39499999955</v>
          </cell>
          <cell r="AK48">
            <v>-66727.470000000205</v>
          </cell>
          <cell r="AL48">
            <v>-239372.62999999896</v>
          </cell>
          <cell r="AN48">
            <v>-161987.70500000007</v>
          </cell>
          <cell r="AO48">
            <v>1700406.9009999931</v>
          </cell>
          <cell r="AP48">
            <v>0</v>
          </cell>
          <cell r="AS48">
            <v>1700406.9009999931</v>
          </cell>
          <cell r="AT48">
            <v>35564.415000000001</v>
          </cell>
          <cell r="AU48">
            <v>15600.510000000002</v>
          </cell>
          <cell r="AV48">
            <v>552236.64100000006</v>
          </cell>
          <cell r="BA48">
            <v>603401.56600000011</v>
          </cell>
          <cell r="BB48">
            <v>0</v>
          </cell>
          <cell r="BC48">
            <v>15666.200000000003</v>
          </cell>
          <cell r="BD48">
            <v>500000</v>
          </cell>
          <cell r="BE48">
            <v>0</v>
          </cell>
          <cell r="BF48">
            <v>0</v>
          </cell>
          <cell r="BG48">
            <v>-84723.40800000001</v>
          </cell>
          <cell r="BJ48">
            <v>430942.79200000002</v>
          </cell>
        </row>
        <row r="49">
          <cell r="F49">
            <v>21890923.371998437</v>
          </cell>
          <cell r="G49">
            <v>2343797.6952710133</v>
          </cell>
          <cell r="H49">
            <v>1805340.8949033129</v>
          </cell>
          <cell r="I49">
            <v>1540683.3841461844</v>
          </cell>
          <cell r="J49">
            <v>811619.21830838139</v>
          </cell>
          <cell r="K49">
            <v>1425510.7333254796</v>
          </cell>
          <cell r="L49">
            <v>1450543.038979389</v>
          </cell>
          <cell r="M49">
            <v>938861.8860587508</v>
          </cell>
          <cell r="N49">
            <v>1346721.4112491135</v>
          </cell>
          <cell r="O49">
            <v>794189.18719934975</v>
          </cell>
          <cell r="P49">
            <v>1243715.6617104176</v>
          </cell>
          <cell r="Q49">
            <v>1077338.4585032121</v>
          </cell>
          <cell r="R49">
            <v>786041.64605715708</v>
          </cell>
          <cell r="S49">
            <v>1581627.3499695424</v>
          </cell>
          <cell r="T49">
            <v>385683.7755852915</v>
          </cell>
          <cell r="U49">
            <v>536253.16630211577</v>
          </cell>
          <cell r="V49">
            <v>645857.33281299216</v>
          </cell>
          <cell r="W49">
            <v>335500.41997578315</v>
          </cell>
          <cell r="X49">
            <v>0</v>
          </cell>
          <cell r="Y49">
            <v>0</v>
          </cell>
          <cell r="Z49">
            <v>19049285.260357484</v>
          </cell>
          <cell r="AA49">
            <v>2089.6999999999998</v>
          </cell>
          <cell r="AB49">
            <v>5469.5870000000004</v>
          </cell>
          <cell r="AC49">
            <v>275.39999999999998</v>
          </cell>
          <cell r="AD49">
            <v>0</v>
          </cell>
          <cell r="AH49">
            <v>7834.6869999999999</v>
          </cell>
          <cell r="AI49">
            <v>19057119.947357483</v>
          </cell>
          <cell r="AJ49">
            <v>156014.9317127277</v>
          </cell>
          <cell r="AK49">
            <v>190382.79605822492</v>
          </cell>
          <cell r="AL49">
            <v>182742.35686999999</v>
          </cell>
          <cell r="AN49">
            <v>529140.08464095264</v>
          </cell>
          <cell r="AO49">
            <v>1260908.5310000002</v>
          </cell>
          <cell r="AP49">
            <v>7702.5240000000013</v>
          </cell>
          <cell r="AS49">
            <v>1268611.0550000002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122672.54899999998</v>
          </cell>
          <cell r="BD49">
            <v>0</v>
          </cell>
          <cell r="BE49">
            <v>573859.33299999998</v>
          </cell>
          <cell r="BF49">
            <v>339520.40299999993</v>
          </cell>
          <cell r="BG49">
            <v>0</v>
          </cell>
          <cell r="BJ49">
            <v>1036052.2849999999</v>
          </cell>
        </row>
        <row r="50">
          <cell r="F50">
            <v>16372865.15101146</v>
          </cell>
          <cell r="G50">
            <v>1669922.8787289839</v>
          </cell>
          <cell r="H50">
            <v>388520.57610668661</v>
          </cell>
          <cell r="I50">
            <v>535249.32085381751</v>
          </cell>
          <cell r="J50">
            <v>373749.07669161854</v>
          </cell>
          <cell r="K50">
            <v>1530177.7946745232</v>
          </cell>
          <cell r="L50">
            <v>1421388.1190206108</v>
          </cell>
          <cell r="M50">
            <v>147320.07794124703</v>
          </cell>
          <cell r="N50">
            <v>741012.17375088739</v>
          </cell>
          <cell r="O50">
            <v>406488.2638006534</v>
          </cell>
          <cell r="P50">
            <v>1541160.927289584</v>
          </cell>
          <cell r="Q50">
            <v>1394025.1644967857</v>
          </cell>
          <cell r="R50">
            <v>560667.43694284349</v>
          </cell>
          <cell r="S50">
            <v>2218554.9990304643</v>
          </cell>
          <cell r="T50">
            <v>854398.30741470819</v>
          </cell>
          <cell r="U50">
            <v>1995215.6706978856</v>
          </cell>
          <cell r="V50">
            <v>167532.40218700725</v>
          </cell>
          <cell r="W50">
            <v>131733.84702421637</v>
          </cell>
          <cell r="X50">
            <v>0</v>
          </cell>
          <cell r="Y50">
            <v>0</v>
          </cell>
          <cell r="Z50">
            <v>16077117.03665249</v>
          </cell>
          <cell r="AA50">
            <v>356969.55199999997</v>
          </cell>
          <cell r="AB50">
            <v>-5469.5870000000004</v>
          </cell>
          <cell r="AC50">
            <v>39153.218000000001</v>
          </cell>
          <cell r="AD50">
            <v>166134.802</v>
          </cell>
          <cell r="AH50">
            <v>556787.98499999999</v>
          </cell>
          <cell r="AI50">
            <v>16633905.021652482</v>
          </cell>
          <cell r="AJ50">
            <v>-11902.53671272815</v>
          </cell>
          <cell r="AK50">
            <v>-257110.26605822513</v>
          </cell>
          <cell r="AL50">
            <v>-422114.98686999897</v>
          </cell>
          <cell r="AN50">
            <v>-691127.78964095272</v>
          </cell>
          <cell r="AO50">
            <v>439498.36999999289</v>
          </cell>
          <cell r="AP50">
            <v>-7702.5240000000013</v>
          </cell>
          <cell r="AS50">
            <v>431795.84599999292</v>
          </cell>
          <cell r="AT50">
            <v>35564.415000000001</v>
          </cell>
          <cell r="AU50">
            <v>15600.510000000002</v>
          </cell>
          <cell r="AV50">
            <v>552236.64100000006</v>
          </cell>
          <cell r="BA50">
            <v>603401.56600000011</v>
          </cell>
          <cell r="BB50">
            <v>0</v>
          </cell>
          <cell r="BC50">
            <v>-107006.34899999999</v>
          </cell>
          <cell r="BD50">
            <v>500000</v>
          </cell>
          <cell r="BE50">
            <v>-573859.33299999998</v>
          </cell>
          <cell r="BF50">
            <v>-339520.40299999993</v>
          </cell>
          <cell r="BG50">
            <v>-84723.40800000001</v>
          </cell>
          <cell r="BJ50">
            <v>-605109.4929999999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4">
          <cell r="U4">
            <v>1236</v>
          </cell>
        </row>
        <row r="5">
          <cell r="T5">
            <v>300000</v>
          </cell>
          <cell r="U5">
            <v>250341</v>
          </cell>
        </row>
        <row r="9">
          <cell r="E9">
            <v>246.60688311417891</v>
          </cell>
          <cell r="F9">
            <v>246.87300069750106</v>
          </cell>
          <cell r="G9">
            <v>100601.80801981625</v>
          </cell>
          <cell r="H9">
            <v>100371.00820880003</v>
          </cell>
        </row>
        <row r="10">
          <cell r="E10">
            <v>35.028503147407775</v>
          </cell>
          <cell r="F10">
            <v>45.825574796963075</v>
          </cell>
          <cell r="G10">
            <v>93781.42798886224</v>
          </cell>
          <cell r="H10">
            <v>94037.51837054186</v>
          </cell>
        </row>
        <row r="11">
          <cell r="E11">
            <v>0</v>
          </cell>
          <cell r="F11">
            <v>0.16651049057571893</v>
          </cell>
        </row>
        <row r="12">
          <cell r="E12">
            <v>48.267373200893836</v>
          </cell>
          <cell r="F12">
            <v>49.808208865478498</v>
          </cell>
          <cell r="G12">
            <v>63650.816468478748</v>
          </cell>
          <cell r="H12">
            <v>61644.138679032716</v>
          </cell>
        </row>
        <row r="13">
          <cell r="E13">
            <v>34.715771176887891</v>
          </cell>
          <cell r="F13">
            <v>31.926873431624863</v>
          </cell>
          <cell r="G13">
            <v>41266.382163089307</v>
          </cell>
          <cell r="H13">
            <v>38841.92369788207</v>
          </cell>
        </row>
        <row r="14">
          <cell r="E14">
            <v>0</v>
          </cell>
          <cell r="F14">
            <v>0</v>
          </cell>
        </row>
        <row r="15">
          <cell r="E15">
            <v>364.61853063936837</v>
          </cell>
          <cell r="F15">
            <v>374.60016828214322</v>
          </cell>
        </row>
        <row r="16">
          <cell r="E16">
            <v>823.15870473001678</v>
          </cell>
          <cell r="F16">
            <v>798.98941321724328</v>
          </cell>
          <cell r="G16">
            <v>13312.083698759812</v>
          </cell>
          <cell r="H16">
            <v>12900.690153659718</v>
          </cell>
        </row>
        <row r="17">
          <cell r="E17">
            <v>898.46752444326899</v>
          </cell>
          <cell r="F17">
            <v>901.18569561696756</v>
          </cell>
          <cell r="G17">
            <v>15782.413098804051</v>
          </cell>
          <cell r="H17">
            <v>15520.540587263149</v>
          </cell>
        </row>
        <row r="19">
          <cell r="E19">
            <v>3.1239590073716705</v>
          </cell>
          <cell r="F19">
            <v>3.0238456598600196</v>
          </cell>
        </row>
        <row r="20">
          <cell r="Q20">
            <v>60350.744032817165</v>
          </cell>
          <cell r="R20">
            <v>60449.760240036565</v>
          </cell>
        </row>
        <row r="21">
          <cell r="Q21">
            <v>18860.129559682318</v>
          </cell>
          <cell r="R21">
            <v>19670.463465377492</v>
          </cell>
        </row>
        <row r="22">
          <cell r="Q22">
            <v>203.73333333333332</v>
          </cell>
          <cell r="R22">
            <v>204.96777865967556</v>
          </cell>
        </row>
        <row r="50">
          <cell r="Q50">
            <v>86561.105570661544</v>
          </cell>
          <cell r="R50">
            <v>89434.878787149952</v>
          </cell>
        </row>
        <row r="56">
          <cell r="L56">
            <v>-645213.92815036164</v>
          </cell>
        </row>
        <row r="61">
          <cell r="T61">
            <v>101901.72440560866</v>
          </cell>
          <cell r="U61">
            <v>97987.042142871491</v>
          </cell>
        </row>
        <row r="80">
          <cell r="H80">
            <v>704375.82000000007</v>
          </cell>
          <cell r="I80">
            <v>798445.35800000001</v>
          </cell>
          <cell r="L80">
            <v>-94069.537999999942</v>
          </cell>
        </row>
        <row r="85">
          <cell r="H85">
            <v>343182.35135123442</v>
          </cell>
          <cell r="I85">
            <v>423266.92567000003</v>
          </cell>
          <cell r="L85">
            <v>-80084.574318765546</v>
          </cell>
          <cell r="Q85">
            <v>101901.72440560866</v>
          </cell>
          <cell r="R85">
            <v>97987.042142871491</v>
          </cell>
        </row>
        <row r="86">
          <cell r="H86">
            <v>3554627.4791329023</v>
          </cell>
          <cell r="I86">
            <v>978692.11799999769</v>
          </cell>
          <cell r="K86">
            <v>-975166.92505914345</v>
          </cell>
          <cell r="M86">
            <v>-781400.39560463466</v>
          </cell>
        </row>
        <row r="89">
          <cell r="Q89">
            <v>79414.606925832821</v>
          </cell>
          <cell r="R89">
            <v>80325.19148407373</v>
          </cell>
        </row>
        <row r="90">
          <cell r="Q90">
            <v>22487.117479775843</v>
          </cell>
          <cell r="R90">
            <v>17661.850658797761</v>
          </cell>
        </row>
      </sheetData>
      <sheetData sheetId="1">
        <row r="5">
          <cell r="T5">
            <v>113000</v>
          </cell>
          <cell r="U5">
            <v>88903</v>
          </cell>
        </row>
        <row r="9">
          <cell r="E9">
            <v>275.11623893805307</v>
          </cell>
          <cell r="F9">
            <v>267.30491705209846</v>
          </cell>
          <cell r="G9">
            <v>100000</v>
          </cell>
          <cell r="H9">
            <v>99848.679893605178</v>
          </cell>
        </row>
        <row r="10">
          <cell r="E10">
            <v>6.541592920353982</v>
          </cell>
          <cell r="F10">
            <v>35.272581958407301</v>
          </cell>
          <cell r="G10">
            <v>98000.000000000015</v>
          </cell>
          <cell r="H10">
            <v>98512.621103300931</v>
          </cell>
        </row>
        <row r="11">
          <cell r="E11">
            <v>0</v>
          </cell>
          <cell r="F11">
            <v>0.46973323231066721</v>
          </cell>
        </row>
        <row r="12">
          <cell r="E12">
            <v>53.850973451327427</v>
          </cell>
          <cell r="F12">
            <v>50.65306969433103</v>
          </cell>
          <cell r="G12">
            <v>64176.026267181143</v>
          </cell>
          <cell r="H12">
            <v>62079.727713895729</v>
          </cell>
        </row>
        <row r="13">
          <cell r="E13">
            <v>36.186283185840708</v>
          </cell>
          <cell r="F13">
            <v>33.880847120288607</v>
          </cell>
          <cell r="G13">
            <v>47143.960088529122</v>
          </cell>
          <cell r="H13">
            <v>42771.477238277723</v>
          </cell>
        </row>
        <row r="14">
          <cell r="E14">
            <v>0</v>
          </cell>
          <cell r="F14">
            <v>0</v>
          </cell>
        </row>
        <row r="15">
          <cell r="E15">
            <v>371.69508849557519</v>
          </cell>
          <cell r="F15">
            <v>387.58114905743605</v>
          </cell>
        </row>
        <row r="16">
          <cell r="E16">
            <v>859.46094584862351</v>
          </cell>
          <cell r="F16">
            <v>825.48335953137519</v>
          </cell>
          <cell r="G16">
            <v>15814.204475699036</v>
          </cell>
          <cell r="H16">
            <v>14960.763044691303</v>
          </cell>
        </row>
        <row r="17">
          <cell r="E17">
            <v>869.72748302977084</v>
          </cell>
          <cell r="F17">
            <v>885.07779122233649</v>
          </cell>
          <cell r="G17">
            <v>14168.360872827647</v>
          </cell>
          <cell r="H17">
            <v>13552.56294439167</v>
          </cell>
        </row>
        <row r="19">
          <cell r="E19">
            <v>3.1753982300884958</v>
          </cell>
          <cell r="F19">
            <v>3.1622273236155576</v>
          </cell>
        </row>
        <row r="20">
          <cell r="Q20">
            <v>61922.105552330955</v>
          </cell>
          <cell r="R20">
            <v>62043.781157764985</v>
          </cell>
        </row>
        <row r="21">
          <cell r="Q21">
            <v>18734.574335936773</v>
          </cell>
          <cell r="R21">
            <v>20125.955410555358</v>
          </cell>
        </row>
        <row r="22">
          <cell r="Q22">
            <v>229.20353982300884</v>
          </cell>
          <cell r="R22">
            <v>225.52634316796525</v>
          </cell>
        </row>
        <row r="50">
          <cell r="Q50">
            <v>86966.934793760214</v>
          </cell>
          <cell r="R50">
            <v>90735.833109047933</v>
          </cell>
        </row>
        <row r="56">
          <cell r="L56">
            <v>-332818.65387525648</v>
          </cell>
        </row>
        <row r="61">
          <cell r="T61">
            <v>100156.13336246088</v>
          </cell>
          <cell r="U61">
            <v>95819.565702643042</v>
          </cell>
        </row>
        <row r="80">
          <cell r="H80">
            <v>231608.41</v>
          </cell>
          <cell r="I80">
            <v>279444.84400000004</v>
          </cell>
          <cell r="L80">
            <v>-47836.433999999994</v>
          </cell>
        </row>
        <row r="85">
          <cell r="H85">
            <v>103524.93012835557</v>
          </cell>
          <cell r="I85">
            <v>108357.94277000001</v>
          </cell>
          <cell r="L85">
            <v>-4833.0126416444382</v>
          </cell>
          <cell r="Q85">
            <v>100156.13336246088</v>
          </cell>
          <cell r="R85">
            <v>95819.565702643042</v>
          </cell>
        </row>
        <row r="86">
          <cell r="H86">
            <v>1155246.0981348206</v>
          </cell>
          <cell r="I86">
            <v>63243.236999998873</v>
          </cell>
          <cell r="K86">
            <v>-383114.06990660704</v>
          </cell>
          <cell r="M86">
            <v>-323400.69071131526</v>
          </cell>
        </row>
        <row r="89">
          <cell r="Q89">
            <v>80885.883428090732</v>
          </cell>
          <cell r="R89">
            <v>82395.262911488302</v>
          </cell>
        </row>
        <row r="90">
          <cell r="Q90">
            <v>19270.249934370149</v>
          </cell>
          <cell r="R90">
            <v>13424.30279115474</v>
          </cell>
        </row>
      </sheetData>
      <sheetData sheetId="2">
        <row r="5">
          <cell r="T5">
            <v>126000</v>
          </cell>
          <cell r="U5">
            <v>110370</v>
          </cell>
        </row>
        <row r="9">
          <cell r="E9">
            <v>217.7669042401086</v>
          </cell>
          <cell r="F9">
            <v>220.22258417890399</v>
          </cell>
          <cell r="G9">
            <v>100000</v>
          </cell>
          <cell r="H9">
            <v>100000.08563928594</v>
          </cell>
        </row>
        <row r="10">
          <cell r="E10">
            <v>62.164690033510581</v>
          </cell>
          <cell r="F10">
            <v>70.508660579768048</v>
          </cell>
          <cell r="G10">
            <v>92475.963911143161</v>
          </cell>
          <cell r="H10">
            <v>92250.5885875151</v>
          </cell>
        </row>
        <row r="11">
          <cell r="E11">
            <v>0</v>
          </cell>
          <cell r="F11">
            <v>0</v>
          </cell>
        </row>
        <row r="12">
          <cell r="E12">
            <v>44.466285398953595</v>
          </cell>
          <cell r="F12">
            <v>42.879144778638981</v>
          </cell>
          <cell r="G12">
            <v>62630.285687482858</v>
          </cell>
          <cell r="H12">
            <v>60849.718861740228</v>
          </cell>
        </row>
        <row r="13">
          <cell r="E13">
            <v>35.792232960844203</v>
          </cell>
          <cell r="F13">
            <v>32.718515365486198</v>
          </cell>
          <cell r="G13">
            <v>35548.783774447984</v>
          </cell>
          <cell r="H13">
            <v>35387.376201995219</v>
          </cell>
        </row>
        <row r="14">
          <cell r="E14">
            <v>0</v>
          </cell>
          <cell r="F14">
            <v>0</v>
          </cell>
        </row>
        <row r="15">
          <cell r="E15">
            <v>360.19011263341696</v>
          </cell>
          <cell r="F15">
            <v>366.32890490279721</v>
          </cell>
        </row>
        <row r="16">
          <cell r="E16">
            <v>797.24178204849625</v>
          </cell>
          <cell r="F16">
            <v>789.18447659327285</v>
          </cell>
          <cell r="G16">
            <v>10967.762304855911</v>
          </cell>
          <cell r="H16">
            <v>11075.854276570659</v>
          </cell>
        </row>
        <row r="17">
          <cell r="E17">
            <v>913.23691865568708</v>
          </cell>
          <cell r="F17">
            <v>889.59718465811125</v>
          </cell>
          <cell r="G17">
            <v>17705.236298547192</v>
          </cell>
          <cell r="H17">
            <v>17598.895951305556</v>
          </cell>
        </row>
        <row r="19">
          <cell r="E19">
            <v>3.2874579540595339</v>
          </cell>
          <cell r="F19">
            <v>2.9038361619865309</v>
          </cell>
        </row>
        <row r="20">
          <cell r="Q20">
            <v>59276.739135248557</v>
          </cell>
          <cell r="R20">
            <v>59246.668294276744</v>
          </cell>
        </row>
        <row r="21">
          <cell r="Q21">
            <v>19405.997473031704</v>
          </cell>
          <cell r="R21">
            <v>19914.041730954239</v>
          </cell>
        </row>
        <row r="22">
          <cell r="Q22">
            <v>198.57142857142856</v>
          </cell>
          <cell r="R22">
            <v>177.19815396344234</v>
          </cell>
        </row>
        <row r="50">
          <cell r="Q50">
            <v>86609.308107506789</v>
          </cell>
          <cell r="R50">
            <v>88782.938447296299</v>
          </cell>
        </row>
        <row r="56">
          <cell r="L56">
            <v>-168700.32608640412</v>
          </cell>
        </row>
        <row r="61">
          <cell r="T61">
            <v>100736.67464384541</v>
          </cell>
          <cell r="U61">
            <v>98462.66845790144</v>
          </cell>
        </row>
        <row r="80">
          <cell r="H80">
            <v>345701.99</v>
          </cell>
          <cell r="I80">
            <v>368350.39500000002</v>
          </cell>
          <cell r="L80">
            <v>-22648.404999999999</v>
          </cell>
        </row>
        <row r="85">
          <cell r="H85">
            <v>162386.36893619807</v>
          </cell>
          <cell r="I85">
            <v>238921.39025000003</v>
          </cell>
          <cell r="L85">
            <v>-76535.021313801961</v>
          </cell>
          <cell r="Q85">
            <v>100736.67464384541</v>
          </cell>
          <cell r="R85">
            <v>98462.66845790144</v>
          </cell>
        </row>
        <row r="86">
          <cell r="H86">
            <v>1271959.8246424701</v>
          </cell>
          <cell r="I86">
            <v>522803.46000000148</v>
          </cell>
          <cell r="K86">
            <v>-250095.20033011824</v>
          </cell>
          <cell r="M86">
            <v>-231177.41191214509</v>
          </cell>
        </row>
        <row r="89">
          <cell r="Q89">
            <v>78881.308036851697</v>
          </cell>
          <cell r="R89">
            <v>79337.908179194419</v>
          </cell>
        </row>
        <row r="90">
          <cell r="Q90">
            <v>21855.366606993717</v>
          </cell>
          <cell r="R90">
            <v>19124.760278707021</v>
          </cell>
        </row>
      </sheetData>
      <sheetData sheetId="3"/>
      <sheetData sheetId="4"/>
      <sheetData sheetId="5"/>
      <sheetData sheetId="6">
        <row r="5">
          <cell r="T5">
            <v>61000</v>
          </cell>
          <cell r="U5">
            <v>51068</v>
          </cell>
        </row>
        <row r="9">
          <cell r="E9">
            <v>253.36557377049178</v>
          </cell>
          <cell r="F9">
            <v>269.0873575740892</v>
          </cell>
          <cell r="G9">
            <v>102880.75935116109</v>
          </cell>
          <cell r="H9">
            <v>101931.06449323121</v>
          </cell>
        </row>
        <row r="10">
          <cell r="E10">
            <v>31.747540983606562</v>
          </cell>
          <cell r="F10">
            <v>10.694679553991071</v>
          </cell>
          <cell r="G10">
            <v>97451.265103790152</v>
          </cell>
          <cell r="H10">
            <v>93897.577234571931</v>
          </cell>
        </row>
        <row r="11">
          <cell r="E11">
            <v>0</v>
          </cell>
          <cell r="F11">
            <v>0</v>
          </cell>
        </row>
        <row r="12">
          <cell r="E12">
            <v>45.77540983606557</v>
          </cell>
          <cell r="F12">
            <v>63.35264144264616</v>
          </cell>
          <cell r="G12">
            <v>64553.9411954303</v>
          </cell>
          <cell r="H12">
            <v>62203.545325425308</v>
          </cell>
        </row>
        <row r="13">
          <cell r="E13">
            <v>29.768196721311476</v>
          </cell>
          <cell r="F13">
            <v>26.813647912528765</v>
          </cell>
          <cell r="G13">
            <v>42231.014505523563</v>
          </cell>
          <cell r="H13">
            <v>39340.990197138191</v>
          </cell>
        </row>
        <row r="14">
          <cell r="E14">
            <v>0</v>
          </cell>
          <cell r="F14">
            <v>0</v>
          </cell>
        </row>
        <row r="15">
          <cell r="E15">
            <v>360.65672131147539</v>
          </cell>
          <cell r="F15">
            <v>369.94832648325524</v>
          </cell>
        </row>
        <row r="16">
          <cell r="E16">
            <v>809.44360655737705</v>
          </cell>
          <cell r="F16">
            <v>774.16186505673443</v>
          </cell>
          <cell r="G16">
            <v>13159.969021424551</v>
          </cell>
          <cell r="H16">
            <v>13111.48100161798</v>
          </cell>
        </row>
        <row r="17">
          <cell r="E17">
            <v>921.19999999999993</v>
          </cell>
          <cell r="F17">
            <v>954.30660164008623</v>
          </cell>
          <cell r="G17">
            <v>14667.91233441829</v>
          </cell>
          <cell r="H17">
            <v>14496.612999097722</v>
          </cell>
        </row>
        <row r="19">
          <cell r="E19">
            <v>2.690950819672131</v>
          </cell>
          <cell r="F19">
            <v>3.0432343513401912</v>
          </cell>
        </row>
        <row r="20">
          <cell r="Q20">
            <v>59658.297563777596</v>
          </cell>
          <cell r="R20">
            <v>60284.599299915433</v>
          </cell>
        </row>
        <row r="21">
          <cell r="Q21">
            <v>17965.185021997473</v>
          </cell>
          <cell r="R21">
            <v>18350.594875223695</v>
          </cell>
        </row>
        <row r="22">
          <cell r="Q22">
            <v>167.21311475409837</v>
          </cell>
          <cell r="R22">
            <v>229.38695404220175</v>
          </cell>
        </row>
        <row r="50">
          <cell r="Q50">
            <v>85709.757671437721</v>
          </cell>
          <cell r="R50">
            <v>88585.141334487023</v>
          </cell>
        </row>
        <row r="56">
          <cell r="L56">
            <v>-145772.09679439309</v>
          </cell>
        </row>
        <row r="61">
          <cell r="T61">
            <v>107541.85650163934</v>
          </cell>
          <cell r="U61">
            <v>100727.81260338718</v>
          </cell>
        </row>
        <row r="80">
          <cell r="H80">
            <v>127065.42</v>
          </cell>
          <cell r="I80">
            <v>150650.11900000001</v>
          </cell>
          <cell r="L80">
            <v>-23584.699000000022</v>
          </cell>
        </row>
        <row r="85">
          <cell r="H85">
            <v>77271.052286680759</v>
          </cell>
          <cell r="I85">
            <v>75987.592649999991</v>
          </cell>
          <cell r="L85">
            <v>1283.4596366807664</v>
          </cell>
          <cell r="Q85">
            <v>107541.85650163934</v>
          </cell>
          <cell r="R85">
            <v>100727.81260338718</v>
          </cell>
        </row>
        <row r="86">
          <cell r="H86">
            <v>1127421.5563556189</v>
          </cell>
          <cell r="I86">
            <v>392645.42100000003</v>
          </cell>
          <cell r="K86">
            <v>-346017.14915324462</v>
          </cell>
          <cell r="M86">
            <v>-220685.65004466043</v>
          </cell>
        </row>
        <row r="89">
          <cell r="Q89">
            <v>77790.695700529162</v>
          </cell>
          <cell r="R89">
            <v>78864.58112918133</v>
          </cell>
        </row>
        <row r="90">
          <cell r="Q90">
            <v>29751.160801110178</v>
          </cell>
          <cell r="R90">
            <v>21863.231474205852</v>
          </cell>
        </row>
      </sheetData>
      <sheetData sheetId="7">
        <row r="2">
          <cell r="N2">
            <v>41000</v>
          </cell>
        </row>
        <row r="5">
          <cell r="T5">
            <v>41000</v>
          </cell>
          <cell r="U5">
            <v>31877</v>
          </cell>
        </row>
        <row r="9">
          <cell r="E9">
            <v>280</v>
          </cell>
          <cell r="F9">
            <v>301.98368665474305</v>
          </cell>
          <cell r="G9">
            <v>100000</v>
          </cell>
          <cell r="H9">
            <v>99711.228008360456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1.3033995418745488</v>
          </cell>
        </row>
        <row r="12">
          <cell r="E12">
            <v>56</v>
          </cell>
          <cell r="F12">
            <v>49.333397031598103</v>
          </cell>
          <cell r="G12">
            <v>64100.000000000007</v>
          </cell>
          <cell r="H12">
            <v>62093.335820623979</v>
          </cell>
        </row>
        <row r="13">
          <cell r="E13">
            <v>38</v>
          </cell>
          <cell r="F13">
            <v>35.730149675232987</v>
          </cell>
          <cell r="G13">
            <v>46100</v>
          </cell>
          <cell r="H13">
            <v>42215.264366464253</v>
          </cell>
        </row>
        <row r="14">
          <cell r="E14">
            <v>0</v>
          </cell>
          <cell r="F14">
            <v>0</v>
          </cell>
        </row>
        <row r="15">
          <cell r="E15">
            <v>374</v>
          </cell>
          <cell r="F15">
            <v>388.35063290344874</v>
          </cell>
        </row>
        <row r="16">
          <cell r="E16">
            <v>845</v>
          </cell>
          <cell r="F16">
            <v>810.03294737833016</v>
          </cell>
          <cell r="G16">
            <v>15800</v>
          </cell>
          <cell r="H16">
            <v>14226.196535804456</v>
          </cell>
        </row>
        <row r="17">
          <cell r="E17">
            <v>875</v>
          </cell>
          <cell r="F17">
            <v>861.66980451222253</v>
          </cell>
          <cell r="G17">
            <v>15032.258064516132</v>
          </cell>
          <cell r="H17">
            <v>13689.929282201314</v>
          </cell>
        </row>
        <row r="19">
          <cell r="E19">
            <v>3.38</v>
          </cell>
          <cell r="F19">
            <v>3.0564890646082419</v>
          </cell>
        </row>
        <row r="20">
          <cell r="Q20">
            <v>62997.505806451612</v>
          </cell>
          <cell r="R20">
            <v>60886.717844927676</v>
          </cell>
        </row>
        <row r="21">
          <cell r="Q21">
            <v>17934.899120667524</v>
          </cell>
          <cell r="R21">
            <v>19205.96987668267</v>
          </cell>
        </row>
        <row r="22">
          <cell r="Q22">
            <v>195.1219512195122</v>
          </cell>
          <cell r="R22">
            <v>154.20741159120146</v>
          </cell>
        </row>
        <row r="50">
          <cell r="Q50">
            <v>86180.435488513467</v>
          </cell>
          <cell r="R50">
            <v>87109.195832941099</v>
          </cell>
        </row>
        <row r="56">
          <cell r="L56">
            <v>-29656.167102425916</v>
          </cell>
        </row>
        <row r="80">
          <cell r="H80">
            <v>74695.37</v>
          </cell>
          <cell r="I80">
            <v>83402.863000000012</v>
          </cell>
          <cell r="L80">
            <v>-8707.4930000000095</v>
          </cell>
        </row>
        <row r="85">
          <cell r="H85">
            <v>29994.295888888886</v>
          </cell>
          <cell r="I85">
            <v>30830.270539999998</v>
          </cell>
          <cell r="L85">
            <v>-835.97465111111205</v>
          </cell>
          <cell r="Q85">
            <v>101524.3948780488</v>
          </cell>
          <cell r="R85">
            <v>98622.171955928046</v>
          </cell>
        </row>
        <row r="86">
          <cell r="H86">
            <v>524412.66908205894</v>
          </cell>
          <cell r="I86">
            <v>252548.89800000034</v>
          </cell>
          <cell r="K86">
            <v>-92456.115630000815</v>
          </cell>
          <cell r="M86">
            <v>-140208.02069852152</v>
          </cell>
        </row>
        <row r="89">
          <cell r="Q89">
            <v>81127.526878338642</v>
          </cell>
          <cell r="R89">
            <v>80246.895133201542</v>
          </cell>
        </row>
        <row r="92">
          <cell r="H92">
            <v>351896.90589232347</v>
          </cell>
          <cell r="I92">
            <v>80499.760569368256</v>
          </cell>
        </row>
      </sheetData>
      <sheetData sheetId="8">
        <row r="2">
          <cell r="N2">
            <v>32000</v>
          </cell>
        </row>
        <row r="5">
          <cell r="T5">
            <v>32000</v>
          </cell>
          <cell r="U5">
            <v>30290</v>
          </cell>
        </row>
        <row r="9">
          <cell r="E9">
            <v>265.64999999999998</v>
          </cell>
          <cell r="F9">
            <v>236.45612761892218</v>
          </cell>
          <cell r="G9">
            <v>100000</v>
          </cell>
          <cell r="H9">
            <v>99882.683036346541</v>
          </cell>
        </row>
        <row r="10">
          <cell r="E10">
            <v>23.099999999999998</v>
          </cell>
          <cell r="F10">
            <v>93.839904466991683</v>
          </cell>
          <cell r="G10">
            <v>98000.000000000015</v>
          </cell>
          <cell r="H10">
            <v>98893.675693387166</v>
          </cell>
        </row>
        <row r="11">
          <cell r="E11">
            <v>0</v>
          </cell>
          <cell r="F11">
            <v>0</v>
          </cell>
        </row>
        <row r="12">
          <cell r="E12">
            <v>57.75</v>
          </cell>
          <cell r="F12">
            <v>47.989232441691911</v>
          </cell>
          <cell r="G12">
            <v>64399.999999999993</v>
          </cell>
          <cell r="H12">
            <v>62182.752897980259</v>
          </cell>
        </row>
        <row r="13">
          <cell r="E13">
            <v>38.5</v>
          </cell>
          <cell r="F13">
            <v>31.461132560284653</v>
          </cell>
          <cell r="G13">
            <v>47599.999999999993</v>
          </cell>
          <cell r="H13">
            <v>41964.179416664578</v>
          </cell>
        </row>
        <row r="14">
          <cell r="E14">
            <v>0</v>
          </cell>
          <cell r="F14">
            <v>0</v>
          </cell>
        </row>
        <row r="15">
          <cell r="E15">
            <v>385</v>
          </cell>
          <cell r="F15">
            <v>409.74639708789039</v>
          </cell>
        </row>
        <row r="16">
          <cell r="E16">
            <v>901.37380877795181</v>
          </cell>
          <cell r="F16">
            <v>841.13816049545392</v>
          </cell>
          <cell r="G16">
            <v>16000</v>
          </cell>
          <cell r="H16">
            <v>15374.77064525592</v>
          </cell>
        </row>
        <row r="17">
          <cell r="E17">
            <v>832.03736194887858</v>
          </cell>
          <cell r="F17">
            <v>862.84816840163387</v>
          </cell>
          <cell r="G17">
            <v>14318.131256952169</v>
          </cell>
          <cell r="H17">
            <v>14085.971624296144</v>
          </cell>
        </row>
        <row r="19">
          <cell r="E19">
            <v>3.33</v>
          </cell>
          <cell r="F19">
            <v>3.3348118988008988</v>
          </cell>
        </row>
        <row r="20">
          <cell r="Q20">
            <v>63512.901099519484</v>
          </cell>
          <cell r="R20">
            <v>65364.575306364488</v>
          </cell>
        </row>
        <row r="21">
          <cell r="Q21">
            <v>18365.015216924399</v>
          </cell>
          <cell r="R21">
            <v>20679.618592699961</v>
          </cell>
        </row>
        <row r="22">
          <cell r="Q22">
            <v>375</v>
          </cell>
          <cell r="R22">
            <v>361.85548161813153</v>
          </cell>
        </row>
        <row r="50">
          <cell r="Q50">
            <v>88357.488893690825</v>
          </cell>
          <cell r="R50">
            <v>94307.209316115448</v>
          </cell>
        </row>
        <row r="56">
          <cell r="L56">
            <v>-180211.63074010535</v>
          </cell>
        </row>
        <row r="80">
          <cell r="H80">
            <v>67807.460000000006</v>
          </cell>
          <cell r="I80">
            <v>84371.792000000001</v>
          </cell>
          <cell r="L80">
            <v>-16564.331999999999</v>
          </cell>
        </row>
        <row r="85">
          <cell r="H85">
            <v>35794.468461688899</v>
          </cell>
          <cell r="I85">
            <v>35910.378669999998</v>
          </cell>
          <cell r="L85">
            <v>-115.91020831110404</v>
          </cell>
          <cell r="Q85">
            <v>103707.95234868999</v>
          </cell>
          <cell r="R85">
            <v>96088.332353912177</v>
          </cell>
        </row>
        <row r="86">
          <cell r="H86">
            <v>387612.90209828422</v>
          </cell>
          <cell r="I86">
            <v>-66326.553000000393</v>
          </cell>
          <cell r="K86">
            <v>-230798.28964181981</v>
          </cell>
          <cell r="M86">
            <v>-26249.292508048558</v>
          </cell>
        </row>
        <row r="89">
          <cell r="Q89">
            <v>82252.91631644388</v>
          </cell>
          <cell r="R89">
            <v>86406.049380682569</v>
          </cell>
        </row>
        <row r="92">
          <cell r="H92">
            <v>250070.5156930293</v>
          </cell>
          <cell r="I92">
            <v>-225621.10878515797</v>
          </cell>
        </row>
      </sheetData>
      <sheetData sheetId="9">
        <row r="2">
          <cell r="N2">
            <v>24000</v>
          </cell>
        </row>
        <row r="5">
          <cell r="T5">
            <v>24000</v>
          </cell>
          <cell r="U5">
            <v>16448</v>
          </cell>
        </row>
        <row r="9">
          <cell r="E9">
            <v>296.13895833333333</v>
          </cell>
          <cell r="F9">
            <v>276.81001367308875</v>
          </cell>
          <cell r="G9">
            <v>100000</v>
          </cell>
          <cell r="H9">
            <v>100009.9627894205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40.881666666666661</v>
          </cell>
          <cell r="F12">
            <v>46.202495338719679</v>
          </cell>
          <cell r="G12">
            <v>64300.000000000015</v>
          </cell>
          <cell r="H12">
            <v>62042.29321797481</v>
          </cell>
        </row>
        <row r="13">
          <cell r="E13">
            <v>32.793750000000003</v>
          </cell>
          <cell r="F13">
            <v>39.564269732753253</v>
          </cell>
          <cell r="G13">
            <v>48199.999999999993</v>
          </cell>
          <cell r="H13">
            <v>44602.230858178395</v>
          </cell>
        </row>
        <row r="14">
          <cell r="E14">
            <v>0</v>
          </cell>
          <cell r="F14">
            <v>0</v>
          </cell>
        </row>
        <row r="15">
          <cell r="E15">
            <v>369.81437499999998</v>
          </cell>
          <cell r="F15">
            <v>362.57677874456169</v>
          </cell>
        </row>
        <row r="16">
          <cell r="E16">
            <v>864.58854166666663</v>
          </cell>
          <cell r="F16">
            <v>811.37569919204407</v>
          </cell>
          <cell r="G16">
            <v>16333.333333333332</v>
          </cell>
          <cell r="H16">
            <v>15727.16710449265</v>
          </cell>
        </row>
        <row r="17">
          <cell r="E17">
            <v>857.4587499999999</v>
          </cell>
          <cell r="F17">
            <v>936.46488502175214</v>
          </cell>
          <cell r="G17">
            <v>12580.645161290322</v>
          </cell>
          <cell r="H17">
            <v>11974.628012731859</v>
          </cell>
        </row>
        <row r="19">
          <cell r="E19">
            <v>2.87</v>
          </cell>
          <cell r="F19">
            <v>2.9310907395898069</v>
          </cell>
        </row>
        <row r="20">
          <cell r="Q20">
            <v>60798.642871415774</v>
          </cell>
          <cell r="R20">
            <v>59082.816034804229</v>
          </cell>
        </row>
        <row r="21">
          <cell r="Q21">
            <v>20554.567147001933</v>
          </cell>
          <cell r="R21">
            <v>20656.884711000621</v>
          </cell>
        </row>
        <row r="22">
          <cell r="Q22">
            <v>202.5</v>
          </cell>
          <cell r="R22">
            <v>203.61361093847111</v>
          </cell>
        </row>
        <row r="50">
          <cell r="Q50">
            <v>87869.220386400295</v>
          </cell>
          <cell r="R50">
            <v>89248.123865755129</v>
          </cell>
        </row>
        <row r="56">
          <cell r="L56">
            <v>-22186.55604281967</v>
          </cell>
        </row>
        <row r="80">
          <cell r="H80">
            <v>52777.32</v>
          </cell>
          <cell r="I80">
            <v>63121.773000000001</v>
          </cell>
          <cell r="L80">
            <v>-10344.453</v>
          </cell>
        </row>
        <row r="85">
          <cell r="H85">
            <v>19204.586333333333</v>
          </cell>
          <cell r="I85">
            <v>23167.130939999999</v>
          </cell>
          <cell r="L85">
            <v>-3962.5446066666673</v>
          </cell>
          <cell r="Q85">
            <v>96393.268949999998</v>
          </cell>
          <cell r="R85">
            <v>91863.06401491609</v>
          </cell>
        </row>
        <row r="86">
          <cell r="H86">
            <v>132595.25919305999</v>
          </cell>
          <cell r="I86">
            <v>-43489.316000000006</v>
          </cell>
          <cell r="K86">
            <v>-72890.997405500078</v>
          </cell>
          <cell r="M86">
            <v>-66700.024138073786</v>
          </cell>
        </row>
        <row r="89">
          <cell r="Q89">
            <v>81555.710018417711</v>
          </cell>
          <cell r="R89">
            <v>79943.314356743314</v>
          </cell>
        </row>
        <row r="92">
          <cell r="H92">
            <v>36714.278435121756</v>
          </cell>
          <cell r="I92">
            <v>-126173.6172171681</v>
          </cell>
        </row>
      </sheetData>
      <sheetData sheetId="10">
        <row r="2">
          <cell r="N2">
            <v>16000</v>
          </cell>
        </row>
        <row r="5">
          <cell r="T5">
            <v>16000</v>
          </cell>
          <cell r="U5">
            <v>10288</v>
          </cell>
        </row>
        <row r="9">
          <cell r="E9">
            <v>250</v>
          </cell>
          <cell r="F9">
            <v>235.50060015819687</v>
          </cell>
          <cell r="G9">
            <v>100000</v>
          </cell>
          <cell r="H9">
            <v>99999.999999999854</v>
          </cell>
        </row>
        <row r="10">
          <cell r="E10">
            <v>0</v>
          </cell>
          <cell r="F10">
            <v>26.746589875420209</v>
          </cell>
          <cell r="G10">
            <v>0</v>
          </cell>
          <cell r="H10">
            <v>94500.00205164215</v>
          </cell>
        </row>
        <row r="11">
          <cell r="E11">
            <v>0</v>
          </cell>
          <cell r="F11">
            <v>0</v>
          </cell>
        </row>
        <row r="12">
          <cell r="E12">
            <v>60</v>
          </cell>
          <cell r="F12">
            <v>69.886788609847684</v>
          </cell>
          <cell r="G12">
            <v>63800</v>
          </cell>
          <cell r="H12">
            <v>61876.499094597777</v>
          </cell>
        </row>
        <row r="13">
          <cell r="E13">
            <v>32</v>
          </cell>
          <cell r="F13">
            <v>26.27467371959661</v>
          </cell>
          <cell r="G13">
            <v>47600</v>
          </cell>
          <cell r="H13">
            <v>43670.506794088462</v>
          </cell>
        </row>
        <row r="14">
          <cell r="E14">
            <v>0</v>
          </cell>
          <cell r="F14">
            <v>0</v>
          </cell>
        </row>
        <row r="15">
          <cell r="E15">
            <v>342</v>
          </cell>
          <cell r="F15">
            <v>358.40865236306132</v>
          </cell>
        </row>
        <row r="16">
          <cell r="E16">
            <v>805</v>
          </cell>
          <cell r="F16">
            <v>849.62457979038913</v>
          </cell>
          <cell r="G16">
            <v>14600</v>
          </cell>
          <cell r="H16">
            <v>14772.968041928516</v>
          </cell>
        </row>
        <row r="17">
          <cell r="E17">
            <v>950</v>
          </cell>
          <cell r="F17">
            <v>943.80561597785152</v>
          </cell>
          <cell r="G17">
            <v>14016.626661202507</v>
          </cell>
          <cell r="H17">
            <v>14184.511060011642</v>
          </cell>
        </row>
        <row r="19">
          <cell r="E19">
            <v>2.8</v>
          </cell>
          <cell r="F19">
            <v>3.3451206248764085</v>
          </cell>
        </row>
        <row r="20">
          <cell r="Q20">
            <v>57669.99532814238</v>
          </cell>
          <cell r="R20">
            <v>60433.177279019183</v>
          </cell>
        </row>
        <row r="21">
          <cell r="Q21">
            <v>18792.871096491232</v>
          </cell>
          <cell r="R21">
            <v>20518.41803440775</v>
          </cell>
        </row>
        <row r="22">
          <cell r="Q22">
            <v>65</v>
          </cell>
          <cell r="R22">
            <v>75.934842792169263</v>
          </cell>
        </row>
        <row r="50">
          <cell r="Q50">
            <v>84847.802674633611</v>
          </cell>
          <cell r="R50">
            <v>93810.961538461532</v>
          </cell>
        </row>
        <row r="56">
          <cell r="L56">
            <v>-90602.33694480345</v>
          </cell>
        </row>
        <row r="80">
          <cell r="H80">
            <v>36328.26</v>
          </cell>
          <cell r="I80">
            <v>48548.415999999997</v>
          </cell>
          <cell r="L80">
            <v>-12220.155999999999</v>
          </cell>
        </row>
        <row r="85">
          <cell r="H85">
            <v>18531.579444444447</v>
          </cell>
          <cell r="I85">
            <v>18450.162620000003</v>
          </cell>
          <cell r="L85">
            <v>81.416824444444501</v>
          </cell>
          <cell r="Q85">
            <v>95190.621875000012</v>
          </cell>
          <cell r="R85">
            <v>92479.294914918879</v>
          </cell>
        </row>
        <row r="86">
          <cell r="H86">
            <v>110625.26776141796</v>
          </cell>
          <cell r="I86">
            <v>-79489.791999999972</v>
          </cell>
          <cell r="K86">
            <v>-27406.092912500091</v>
          </cell>
          <cell r="M86">
            <v>-59967.890728558821</v>
          </cell>
        </row>
        <row r="89">
          <cell r="Q89">
            <v>76527.866424633612</v>
          </cell>
          <cell r="R89">
            <v>81027.530156219102</v>
          </cell>
        </row>
        <row r="92">
          <cell r="H92">
            <v>47502.117609600558</v>
          </cell>
          <cell r="I92">
            <v>-131549.1256696335</v>
          </cell>
        </row>
      </sheetData>
      <sheetData sheetId="11">
        <row r="2">
          <cell r="N2">
            <v>21000</v>
          </cell>
        </row>
        <row r="5">
          <cell r="T5">
            <v>21000</v>
          </cell>
          <cell r="U5">
            <v>20199</v>
          </cell>
        </row>
        <row r="9">
          <cell r="E9">
            <v>171.477</v>
          </cell>
          <cell r="F9">
            <v>165.86343849820634</v>
          </cell>
          <cell r="G9">
            <v>100000.00000000001</v>
          </cell>
          <cell r="H9">
            <v>99999.999999999985</v>
          </cell>
        </row>
        <row r="10">
          <cell r="E10">
            <v>175.28760000000003</v>
          </cell>
          <cell r="F10">
            <v>191.5915317706031</v>
          </cell>
          <cell r="G10">
            <v>92899.999999999985</v>
          </cell>
          <cell r="H10">
            <v>92346.450354755478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34.295399999999994</v>
          </cell>
          <cell r="F13">
            <v>28.447914393827702</v>
          </cell>
          <cell r="G13">
            <v>36500</v>
          </cell>
          <cell r="H13">
            <v>36055.041936451082</v>
          </cell>
        </row>
        <row r="14">
          <cell r="E14">
            <v>0</v>
          </cell>
          <cell r="F14">
            <v>0</v>
          </cell>
        </row>
        <row r="15">
          <cell r="E15">
            <v>381.06</v>
          </cell>
          <cell r="F15">
            <v>385.90288466263718</v>
          </cell>
        </row>
        <row r="16">
          <cell r="E16">
            <v>820</v>
          </cell>
          <cell r="F16">
            <v>889.98820580863924</v>
          </cell>
          <cell r="G16">
            <v>11711.806666666667</v>
          </cell>
          <cell r="H16">
            <v>11750.261480024979</v>
          </cell>
        </row>
        <row r="17">
          <cell r="E17">
            <v>900</v>
          </cell>
          <cell r="F17">
            <v>824.51226104476859</v>
          </cell>
          <cell r="G17">
            <v>18098.229077374239</v>
          </cell>
          <cell r="H17">
            <v>18440.815413040891</v>
          </cell>
        </row>
        <row r="19">
          <cell r="E19">
            <v>3.6242616600000002</v>
          </cell>
          <cell r="F19">
            <v>2.9228659885006616</v>
          </cell>
        </row>
        <row r="20">
          <cell r="Q20">
            <v>63880.519194503482</v>
          </cell>
          <cell r="R20">
            <v>63670.936458794044</v>
          </cell>
        </row>
        <row r="21">
          <cell r="Q21">
            <v>20705.659444444442</v>
          </cell>
          <cell r="R21">
            <v>22086.105852867462</v>
          </cell>
        </row>
        <row r="22">
          <cell r="Q22">
            <v>95.238095238095227</v>
          </cell>
          <cell r="R22">
            <v>0</v>
          </cell>
        </row>
        <row r="50">
          <cell r="Q50">
            <v>92533.634969358536</v>
          </cell>
          <cell r="R50">
            <v>93318.704997788576</v>
          </cell>
        </row>
        <row r="56">
          <cell r="L56">
            <v>32448.783886073481</v>
          </cell>
        </row>
        <row r="80">
          <cell r="H80">
            <v>48430.44</v>
          </cell>
          <cell r="I80">
            <v>72717.911999999997</v>
          </cell>
          <cell r="L80">
            <v>-24287.472000000002</v>
          </cell>
        </row>
        <row r="85">
          <cell r="H85">
            <v>47915.124555555558</v>
          </cell>
          <cell r="I85">
            <v>100247.06714</v>
          </cell>
          <cell r="L85">
            <v>-52331.942584444449</v>
          </cell>
          <cell r="Q85">
            <v>107699.87436819047</v>
          </cell>
          <cell r="R85">
            <v>107168.00470320313</v>
          </cell>
        </row>
        <row r="86">
          <cell r="H86">
            <v>222145.46281991506</v>
          </cell>
          <cell r="I86">
            <v>155083.43899999995</v>
          </cell>
          <cell r="K86">
            <v>-10743.235363079391</v>
          </cell>
          <cell r="M86">
            <v>-12148.157758464367</v>
          </cell>
        </row>
        <row r="89">
          <cell r="Q89">
            <v>84681.416734186016</v>
          </cell>
          <cell r="R89">
            <v>85757.042311661498</v>
          </cell>
        </row>
        <row r="92">
          <cell r="H92">
            <v>124236.61314625367</v>
          </cell>
          <cell r="I92">
            <v>28967.390255044185</v>
          </cell>
        </row>
      </sheetData>
      <sheetData sheetId="12">
        <row r="2">
          <cell r="N2">
            <v>21000</v>
          </cell>
        </row>
        <row r="5">
          <cell r="T5">
            <v>21000</v>
          </cell>
          <cell r="U5">
            <v>19618</v>
          </cell>
        </row>
        <row r="9">
          <cell r="E9">
            <v>230</v>
          </cell>
          <cell r="F9">
            <v>255.76772505091648</v>
          </cell>
          <cell r="G9">
            <v>100000</v>
          </cell>
          <cell r="H9">
            <v>100000.39436398954</v>
          </cell>
        </row>
        <row r="10">
          <cell r="E10">
            <v>35</v>
          </cell>
          <cell r="F10">
            <v>58.095168533604934</v>
          </cell>
          <cell r="G10">
            <v>92100</v>
          </cell>
          <cell r="H10">
            <v>92099.999972830512</v>
          </cell>
        </row>
        <row r="11">
          <cell r="E11">
            <v>0</v>
          </cell>
          <cell r="F11">
            <v>0</v>
          </cell>
        </row>
        <row r="12">
          <cell r="E12">
            <v>53</v>
          </cell>
          <cell r="F12">
            <v>25.270978105906313</v>
          </cell>
          <cell r="G12">
            <v>65000</v>
          </cell>
          <cell r="H12">
            <v>62999.98664173689</v>
          </cell>
        </row>
        <row r="13">
          <cell r="E13">
            <v>45</v>
          </cell>
          <cell r="F13">
            <v>35.523624745417507</v>
          </cell>
          <cell r="G13">
            <v>35300</v>
          </cell>
          <cell r="H13">
            <v>35149.480784273124</v>
          </cell>
        </row>
        <row r="14">
          <cell r="E14">
            <v>0</v>
          </cell>
          <cell r="F14">
            <v>0</v>
          </cell>
        </row>
        <row r="15">
          <cell r="E15">
            <v>363</v>
          </cell>
          <cell r="F15">
            <v>374.65749643584525</v>
          </cell>
        </row>
        <row r="16">
          <cell r="E16">
            <v>823</v>
          </cell>
          <cell r="F16">
            <v>833.3541242362528</v>
          </cell>
          <cell r="G16">
            <v>11333.333333333334</v>
          </cell>
          <cell r="H16">
            <v>10669.796527479708</v>
          </cell>
        </row>
        <row r="17">
          <cell r="E17">
            <v>908</v>
          </cell>
          <cell r="F17">
            <v>891.64765784114047</v>
          </cell>
          <cell r="G17">
            <v>17725.722479879081</v>
          </cell>
          <cell r="H17">
            <v>16669.621047558354</v>
          </cell>
        </row>
        <row r="19">
          <cell r="E19">
            <v>3.2</v>
          </cell>
          <cell r="F19">
            <v>2.8284712830957228</v>
          </cell>
        </row>
        <row r="20">
          <cell r="Q20">
            <v>59485.289345063538</v>
          </cell>
          <cell r="R20">
            <v>60265.37698574338</v>
          </cell>
        </row>
        <row r="21">
          <cell r="Q21">
            <v>17691.748535878163</v>
          </cell>
          <cell r="R21">
            <v>17146.210997963339</v>
          </cell>
        </row>
        <row r="22">
          <cell r="Q22">
            <v>142.85714285714286</v>
          </cell>
          <cell r="R22">
            <v>130.72617107942975</v>
          </cell>
        </row>
        <row r="50">
          <cell r="Q50">
            <v>84282.292166655985</v>
          </cell>
          <cell r="R50">
            <v>85552.304633401218</v>
          </cell>
        </row>
        <row r="56">
          <cell r="L56">
            <v>-13589.037404543176</v>
          </cell>
        </row>
        <row r="80">
          <cell r="H80">
            <v>50953.14</v>
          </cell>
          <cell r="I80">
            <v>61787.570999999996</v>
          </cell>
          <cell r="L80">
            <v>-10834.431</v>
          </cell>
        </row>
        <row r="85">
          <cell r="H85">
            <v>1731.8457777777787</v>
          </cell>
          <cell r="I85">
            <v>25358.71487</v>
          </cell>
          <cell r="L85">
            <v>-23626.869092222223</v>
          </cell>
          <cell r="Q85">
            <v>99299.860476190486</v>
          </cell>
          <cell r="R85">
            <v>97055.586706086251</v>
          </cell>
        </row>
        <row r="86">
          <cell r="H86">
            <v>262683.94872244686</v>
          </cell>
          <cell r="I86">
            <v>149851.16899999979</v>
          </cell>
          <cell r="K86">
            <v>-44028.16282190488</v>
          </cell>
          <cell r="M86">
            <v>-20754.279403776673</v>
          </cell>
        </row>
        <row r="89">
          <cell r="Q89">
            <v>77319.895023798847</v>
          </cell>
          <cell r="R89">
            <v>77542.314154786145</v>
          </cell>
        </row>
        <row r="92">
          <cell r="H92">
            <v>172411.46540699364</v>
          </cell>
          <cell r="I92">
            <v>38920.760808765641</v>
          </cell>
        </row>
      </sheetData>
      <sheetData sheetId="13">
        <row r="2">
          <cell r="N2">
            <v>14000</v>
          </cell>
        </row>
        <row r="5">
          <cell r="T5">
            <v>14000</v>
          </cell>
          <cell r="U5">
            <v>7988</v>
          </cell>
        </row>
        <row r="9">
          <cell r="E9">
            <v>170</v>
          </cell>
          <cell r="F9">
            <v>157.35194261647806</v>
          </cell>
          <cell r="G9">
            <v>100000</v>
          </cell>
          <cell r="H9">
            <v>99999.999999999971</v>
          </cell>
        </row>
        <row r="10">
          <cell r="E10">
            <v>146.19999999999996</v>
          </cell>
          <cell r="F10">
            <v>100.81337852066341</v>
          </cell>
          <cell r="G10">
            <v>92100</v>
          </cell>
          <cell r="H10">
            <v>92099.996599128062</v>
          </cell>
        </row>
        <row r="11">
          <cell r="E11">
            <v>0</v>
          </cell>
          <cell r="F11">
            <v>0</v>
          </cell>
        </row>
        <row r="12">
          <cell r="E12">
            <v>6.8000000000000007</v>
          </cell>
          <cell r="F12">
            <v>55.467228217952098</v>
          </cell>
          <cell r="G12">
            <v>64000</v>
          </cell>
          <cell r="H12">
            <v>62006.499145785863</v>
          </cell>
        </row>
        <row r="13">
          <cell r="E13">
            <v>17</v>
          </cell>
          <cell r="F13">
            <v>35.269944722295335</v>
          </cell>
          <cell r="G13">
            <v>35000</v>
          </cell>
          <cell r="H13">
            <v>34264.256157823707</v>
          </cell>
        </row>
        <row r="14">
          <cell r="E14">
            <v>0</v>
          </cell>
          <cell r="F14">
            <v>0</v>
          </cell>
        </row>
        <row r="15">
          <cell r="E15">
            <v>339.99999999999994</v>
          </cell>
          <cell r="F15">
            <v>348.90249407738889</v>
          </cell>
        </row>
        <row r="16">
          <cell r="E16">
            <v>770</v>
          </cell>
          <cell r="F16">
            <v>751.38194261647777</v>
          </cell>
          <cell r="G16">
            <v>9066.6666666666661</v>
          </cell>
          <cell r="H16">
            <v>9046.7176388159078</v>
          </cell>
        </row>
        <row r="17">
          <cell r="E17">
            <v>950</v>
          </cell>
          <cell r="F17">
            <v>910.31324032640214</v>
          </cell>
          <cell r="G17">
            <v>15880.190628800197</v>
          </cell>
          <cell r="H17">
            <v>16886.473333564656</v>
          </cell>
        </row>
        <row r="19">
          <cell r="E19">
            <v>3.3</v>
          </cell>
          <cell r="F19">
            <v>2.7745525138194247</v>
          </cell>
        </row>
        <row r="20">
          <cell r="Q20">
            <v>56532.734430693519</v>
          </cell>
          <cell r="R20">
            <v>54267.076862332193</v>
          </cell>
        </row>
        <row r="21">
          <cell r="Q21">
            <v>20304.726896407687</v>
          </cell>
          <cell r="R21">
            <v>23133.126875493548</v>
          </cell>
        </row>
        <row r="22">
          <cell r="Q22">
            <v>357.14285714285717</v>
          </cell>
          <cell r="R22">
            <v>471.50539615688342</v>
          </cell>
        </row>
        <row r="50">
          <cell r="Q50">
            <v>84334.01704138692</v>
          </cell>
          <cell r="R50">
            <v>91788.873782574359</v>
          </cell>
        </row>
        <row r="56">
          <cell r="L56">
            <v>-54119.317099541971</v>
          </cell>
        </row>
        <row r="80">
          <cell r="H80">
            <v>39233.67</v>
          </cell>
          <cell r="I80">
            <v>37043.476999999999</v>
          </cell>
          <cell r="L80">
            <v>2190.1930000000011</v>
          </cell>
        </row>
        <row r="85">
          <cell r="H85">
            <v>13106.185444444443</v>
          </cell>
          <cell r="I85">
            <v>14845.985420000001</v>
          </cell>
          <cell r="L85">
            <v>-1739.7999755555575</v>
          </cell>
          <cell r="Q85">
            <v>96299.900000000009</v>
          </cell>
          <cell r="R85">
            <v>88617.201895235587</v>
          </cell>
        </row>
        <row r="86">
          <cell r="H86">
            <v>115182.50597613853</v>
          </cell>
          <cell r="I86">
            <v>-78322.141000000061</v>
          </cell>
          <cell r="K86">
            <v>-58373.140200000074</v>
          </cell>
          <cell r="M86">
            <v>-81462.582701040898</v>
          </cell>
        </row>
        <row r="89">
          <cell r="Q89">
            <v>77194.604184244061</v>
          </cell>
          <cell r="R89">
            <v>77871.709133982615</v>
          </cell>
        </row>
        <row r="92">
          <cell r="H92">
            <v>56819.005938027709</v>
          </cell>
          <cell r="I92">
            <v>-119507.20773567946</v>
          </cell>
        </row>
      </sheetData>
      <sheetData sheetId="14">
        <row r="2">
          <cell r="N2">
            <v>19000</v>
          </cell>
        </row>
        <row r="5">
          <cell r="T5">
            <v>19000</v>
          </cell>
          <cell r="U5">
            <v>23440.5</v>
          </cell>
        </row>
        <row r="9">
          <cell r="E9">
            <v>227.11688075264991</v>
          </cell>
          <cell r="F9">
            <v>228.49266346871329</v>
          </cell>
          <cell r="G9">
            <v>99999.999999999985</v>
          </cell>
          <cell r="H9">
            <v>100000.00186611585</v>
          </cell>
        </row>
        <row r="10">
          <cell r="E10">
            <v>72.100597064333314</v>
          </cell>
          <cell r="F10">
            <v>81.680252851508357</v>
          </cell>
          <cell r="G10">
            <v>92100</v>
          </cell>
          <cell r="H10">
            <v>92099.997612766063</v>
          </cell>
        </row>
        <row r="11">
          <cell r="E11">
            <v>0</v>
          </cell>
          <cell r="F11">
            <v>0</v>
          </cell>
        </row>
        <row r="12">
          <cell r="E12">
            <v>32.445268678949986</v>
          </cell>
          <cell r="F12">
            <v>38.768069928579045</v>
          </cell>
          <cell r="G12">
            <v>62000.000000000007</v>
          </cell>
          <cell r="H12">
            <v>61143.709928868215</v>
          </cell>
        </row>
        <row r="13">
          <cell r="E13">
            <v>28.840238825733326</v>
          </cell>
          <cell r="F13">
            <v>28.492506982198083</v>
          </cell>
          <cell r="G13">
            <v>35500</v>
          </cell>
          <cell r="H13">
            <v>35351.473492612859</v>
          </cell>
        </row>
        <row r="14">
          <cell r="E14">
            <v>0</v>
          </cell>
          <cell r="F14">
            <v>0</v>
          </cell>
        </row>
        <row r="15">
          <cell r="E15">
            <v>360.50298532166653</v>
          </cell>
          <cell r="F15">
            <v>377.43349323099881</v>
          </cell>
        </row>
        <row r="16">
          <cell r="E16">
            <v>788.44547368421047</v>
          </cell>
          <cell r="F16">
            <v>796.05393881249302</v>
          </cell>
          <cell r="G16">
            <v>11362.368829163101</v>
          </cell>
          <cell r="H16">
            <v>11262.221312834257</v>
          </cell>
        </row>
        <row r="17">
          <cell r="E17">
            <v>919.86989542743243</v>
          </cell>
          <cell r="F17">
            <v>934.76622961304736</v>
          </cell>
          <cell r="G17">
            <v>19373.56766140111</v>
          </cell>
          <cell r="H17">
            <v>18720.085774477993</v>
          </cell>
        </row>
        <row r="19">
          <cell r="E19">
            <v>3.4247783605558322</v>
          </cell>
          <cell r="F19">
            <v>3.2620978573712831</v>
          </cell>
        </row>
        <row r="20">
          <cell r="Q20">
            <v>62328.428560525092</v>
          </cell>
          <cell r="R20">
            <v>63236.309604519774</v>
          </cell>
        </row>
        <row r="21">
          <cell r="Q21">
            <v>19614.005526315792</v>
          </cell>
          <cell r="R21">
            <v>18567.266133674446</v>
          </cell>
        </row>
        <row r="22">
          <cell r="Q22">
            <v>210.52631578947367</v>
          </cell>
          <cell r="R22">
            <v>287.20055431190707</v>
          </cell>
        </row>
        <row r="50">
          <cell r="Q50">
            <v>89091.259876314565</v>
          </cell>
          <cell r="R50">
            <v>89800.263127598329</v>
          </cell>
        </row>
        <row r="56">
          <cell r="L56">
            <v>-10386.348119248163</v>
          </cell>
        </row>
        <row r="80">
          <cell r="H80">
            <v>55996.520000000004</v>
          </cell>
          <cell r="I80">
            <v>53673.08</v>
          </cell>
          <cell r="L80">
            <v>2323.4400000000078</v>
          </cell>
        </row>
        <row r="85">
          <cell r="H85">
            <v>25164.07433333333</v>
          </cell>
          <cell r="I85">
            <v>24042.604749999999</v>
          </cell>
          <cell r="L85">
            <v>1121.4695833333296</v>
          </cell>
          <cell r="Q85">
            <v>102000.09438105264</v>
          </cell>
          <cell r="R85">
            <v>100259.80674473668</v>
          </cell>
        </row>
        <row r="86">
          <cell r="H86">
            <v>164107.26125668999</v>
          </cell>
          <cell r="I86">
            <v>173694.29000000004</v>
          </cell>
          <cell r="K86">
            <v>-40793.212339064245</v>
          </cell>
          <cell r="M86">
            <v>57321.679618289461</v>
          </cell>
        </row>
        <row r="89">
          <cell r="Q89">
            <v>82152.960402630371</v>
          </cell>
          <cell r="R89">
            <v>82090.776292506125</v>
          </cell>
        </row>
        <row r="92">
          <cell r="H92">
            <v>80211.188575987326</v>
          </cell>
          <cell r="I92">
            <v>36773.600976156711</v>
          </cell>
        </row>
      </sheetData>
      <sheetData sheetId="15">
        <row r="2">
          <cell r="N2">
            <v>12000</v>
          </cell>
        </row>
        <row r="5">
          <cell r="T5">
            <v>12000</v>
          </cell>
          <cell r="U5">
            <v>6061</v>
          </cell>
        </row>
        <row r="9">
          <cell r="E9">
            <v>227.25768332944466</v>
          </cell>
          <cell r="F9">
            <v>210.43690480118789</v>
          </cell>
          <cell r="G9">
            <v>100000</v>
          </cell>
          <cell r="H9">
            <v>100000.06821078746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88.100987947341977</v>
          </cell>
          <cell r="F12">
            <v>103.71812902161365</v>
          </cell>
          <cell r="G12">
            <v>62200</v>
          </cell>
          <cell r="H12">
            <v>61115.209228214502</v>
          </cell>
        </row>
        <row r="13">
          <cell r="E13">
            <v>40.661117948119688</v>
          </cell>
          <cell r="F13">
            <v>41.600313479623871</v>
          </cell>
          <cell r="G13">
            <v>36000</v>
          </cell>
          <cell r="H13">
            <v>35654.798236690367</v>
          </cell>
        </row>
        <row r="14">
          <cell r="E14">
            <v>0</v>
          </cell>
          <cell r="F14">
            <v>0</v>
          </cell>
        </row>
        <row r="15">
          <cell r="E15">
            <v>356.01978922490633</v>
          </cell>
          <cell r="F15">
            <v>355.75534730242543</v>
          </cell>
        </row>
        <row r="16">
          <cell r="E16">
            <v>772.4</v>
          </cell>
          <cell r="F16">
            <v>719.37799043062171</v>
          </cell>
          <cell r="G16">
            <v>9600</v>
          </cell>
          <cell r="H16">
            <v>9420.8745111980134</v>
          </cell>
        </row>
        <row r="17">
          <cell r="E17">
            <v>877.88719000000003</v>
          </cell>
          <cell r="F17">
            <v>889.17917835340677</v>
          </cell>
          <cell r="G17">
            <v>17974.860423314243</v>
          </cell>
          <cell r="H17">
            <v>17199.713878294373</v>
          </cell>
        </row>
        <row r="19">
          <cell r="E19">
            <v>3.016951541745037</v>
          </cell>
          <cell r="F19">
            <v>2.5303910245834014</v>
          </cell>
        </row>
        <row r="20">
          <cell r="Q20">
            <v>54934.336939628134</v>
          </cell>
          <cell r="R20">
            <v>52626.573007754501</v>
          </cell>
        </row>
        <row r="21">
          <cell r="Q21">
            <v>18437.427997076025</v>
          </cell>
          <cell r="R21">
            <v>24152.75004124732</v>
          </cell>
        </row>
        <row r="22">
          <cell r="Q22">
            <v>66.666666666666671</v>
          </cell>
          <cell r="R22">
            <v>56.453390529615575</v>
          </cell>
        </row>
        <row r="50">
          <cell r="Q50">
            <v>82024.781603370837</v>
          </cell>
          <cell r="R50">
            <v>92181.012869163518</v>
          </cell>
        </row>
        <row r="56">
          <cell r="L56">
            <v>-61149.291241969506</v>
          </cell>
        </row>
        <row r="80">
          <cell r="H80">
            <v>29028.299999999996</v>
          </cell>
          <cell r="I80">
            <v>35898.053</v>
          </cell>
          <cell r="L80">
            <v>-6869.7530000000061</v>
          </cell>
        </row>
        <row r="85">
          <cell r="H85">
            <v>11516.253444444443</v>
          </cell>
          <cell r="I85">
            <v>11948.200460000002</v>
          </cell>
          <cell r="L85">
            <v>-431.94701555555883</v>
          </cell>
          <cell r="Q85">
            <v>94305</v>
          </cell>
          <cell r="R85">
            <v>94190.381125226864</v>
          </cell>
        </row>
        <row r="86">
          <cell r="H86">
            <v>106818.06731510581</v>
          </cell>
          <cell r="I86">
            <v>-35259.845999999983</v>
          </cell>
          <cell r="K86">
            <v>-694.70499999997583</v>
          </cell>
          <cell r="M86">
            <v>-72932.217057580769</v>
          </cell>
        </row>
        <row r="89">
          <cell r="Q89">
            <v>73438.431603370831</v>
          </cell>
          <cell r="R89">
            <v>76835.77643953143</v>
          </cell>
        </row>
        <row r="92">
          <cell r="H92">
            <v>57828.520483408698</v>
          </cell>
          <cell r="I92">
            <v>-68520.147353695909</v>
          </cell>
        </row>
      </sheetData>
      <sheetData sheetId="16">
        <row r="2">
          <cell r="N2">
            <v>13000</v>
          </cell>
        </row>
        <row r="5">
          <cell r="T5">
            <v>13000</v>
          </cell>
          <cell r="U5">
            <v>6546</v>
          </cell>
        </row>
        <row r="9">
          <cell r="E9">
            <v>254.30000000000004</v>
          </cell>
          <cell r="F9">
            <v>201.98519706691116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64.2</v>
          </cell>
          <cell r="F12">
            <v>69.835494958753401</v>
          </cell>
          <cell r="G12">
            <v>64500</v>
          </cell>
          <cell r="H12">
            <v>63000.001203124259</v>
          </cell>
        </row>
        <row r="13">
          <cell r="E13">
            <v>36</v>
          </cell>
          <cell r="F13">
            <v>28.657294531011278</v>
          </cell>
          <cell r="G13">
            <v>33000</v>
          </cell>
          <cell r="H13">
            <v>32681.293017535823</v>
          </cell>
        </row>
        <row r="14">
          <cell r="E14">
            <v>0</v>
          </cell>
          <cell r="F14">
            <v>0</v>
          </cell>
        </row>
        <row r="15">
          <cell r="E15">
            <v>354.50000000000006</v>
          </cell>
          <cell r="F15">
            <v>300.47798655667589</v>
          </cell>
        </row>
        <row r="16">
          <cell r="E16">
            <v>843</v>
          </cell>
          <cell r="F16">
            <v>706.90345249006975</v>
          </cell>
          <cell r="G16">
            <v>11000</v>
          </cell>
          <cell r="H16">
            <v>11497.908972444518</v>
          </cell>
        </row>
        <row r="17">
          <cell r="E17">
            <v>887.7</v>
          </cell>
          <cell r="F17">
            <v>983.42422853651135</v>
          </cell>
          <cell r="G17">
            <v>17410.359576177849</v>
          </cell>
          <cell r="H17">
            <v>16626.22495240772</v>
          </cell>
        </row>
        <row r="19">
          <cell r="E19">
            <v>3.08</v>
          </cell>
          <cell r="F19">
            <v>2.4691032691720127</v>
          </cell>
        </row>
        <row r="20">
          <cell r="Q20">
            <v>57643.676195773078</v>
          </cell>
          <cell r="R20">
            <v>51743.783837457995</v>
          </cell>
        </row>
        <row r="21">
          <cell r="Q21">
            <v>18301.509015275507</v>
          </cell>
          <cell r="R21">
            <v>19880.523373052245</v>
          </cell>
        </row>
        <row r="22">
          <cell r="Q22">
            <v>115.38461538461539</v>
          </cell>
          <cell r="R22">
            <v>99.844790711885111</v>
          </cell>
        </row>
        <row r="50">
          <cell r="Q50">
            <v>84530.988815247969</v>
          </cell>
          <cell r="R50">
            <v>91218.369233119476</v>
          </cell>
        </row>
        <row r="56">
          <cell r="L56">
            <v>-43154.70551538658</v>
          </cell>
        </row>
        <row r="80">
          <cell r="H80">
            <v>38324.47</v>
          </cell>
          <cell r="I80">
            <v>33384.585000000006</v>
          </cell>
          <cell r="L80">
            <v>4939.8850000000011</v>
          </cell>
        </row>
        <row r="85">
          <cell r="H85">
            <v>31871.415222222218</v>
          </cell>
          <cell r="I85">
            <v>31828.4647</v>
          </cell>
          <cell r="L85">
            <v>42.950522222217728</v>
          </cell>
          <cell r="Q85">
            <v>101100.38024584616</v>
          </cell>
          <cell r="R85">
            <v>91406.721662083728</v>
          </cell>
        </row>
        <row r="86">
          <cell r="H86">
            <v>145206.20337555415</v>
          </cell>
          <cell r="I86">
            <v>-63359.207999999897</v>
          </cell>
          <cell r="K86">
            <v>-63454.689089308864</v>
          </cell>
          <cell r="M86">
            <v>-106938.85229308065</v>
          </cell>
        </row>
        <row r="89">
          <cell r="Q89">
            <v>76060.569826433188</v>
          </cell>
          <cell r="R89">
            <v>71724.15200122213</v>
          </cell>
        </row>
        <row r="92">
          <cell r="H92">
            <v>88309.959304162156</v>
          </cell>
          <cell r="I92">
            <v>-98219.375991827706</v>
          </cell>
        </row>
      </sheetData>
      <sheetData sheetId="17">
        <row r="2">
          <cell r="N2">
            <v>12000</v>
          </cell>
        </row>
        <row r="5">
          <cell r="T5">
            <v>12000</v>
          </cell>
          <cell r="U5">
            <v>13338.5</v>
          </cell>
        </row>
        <row r="9">
          <cell r="E9">
            <v>225.55</v>
          </cell>
          <cell r="F9">
            <v>245.72163736552079</v>
          </cell>
          <cell r="G9">
            <v>100000</v>
          </cell>
          <cell r="H9">
            <v>100000.00000000001</v>
          </cell>
        </row>
        <row r="10">
          <cell r="E10">
            <v>0</v>
          </cell>
          <cell r="F10">
            <v>3.5621599130336987</v>
          </cell>
          <cell r="G10">
            <v>0</v>
          </cell>
          <cell r="H10">
            <v>96500.032516820895</v>
          </cell>
        </row>
        <row r="11">
          <cell r="E11">
            <v>0</v>
          </cell>
          <cell r="F11">
            <v>0</v>
          </cell>
        </row>
        <row r="12">
          <cell r="E12">
            <v>76.34</v>
          </cell>
          <cell r="F12">
            <v>54.45267533830642</v>
          </cell>
          <cell r="G12">
            <v>61400</v>
          </cell>
          <cell r="H12">
            <v>59223.37823259845</v>
          </cell>
        </row>
        <row r="13">
          <cell r="E13">
            <v>45.110000000000007</v>
          </cell>
          <cell r="F13">
            <v>22.443384188626901</v>
          </cell>
          <cell r="G13">
            <v>35300</v>
          </cell>
          <cell r="H13">
            <v>33872.522774169585</v>
          </cell>
        </row>
        <row r="14">
          <cell r="E14">
            <v>0</v>
          </cell>
          <cell r="F14">
            <v>0</v>
          </cell>
        </row>
        <row r="15">
          <cell r="E15">
            <v>347</v>
          </cell>
          <cell r="F15">
            <v>326.17985680548782</v>
          </cell>
        </row>
        <row r="16">
          <cell r="E16">
            <v>731.96671150921077</v>
          </cell>
          <cell r="F16">
            <v>694.62503279979012</v>
          </cell>
          <cell r="G16">
            <v>11133.333333333334</v>
          </cell>
          <cell r="H16">
            <v>10934.494308630003</v>
          </cell>
        </row>
        <row r="17">
          <cell r="E17">
            <v>970.28145479127943</v>
          </cell>
          <cell r="F17">
            <v>909.09510064849928</v>
          </cell>
          <cell r="G17">
            <v>14763.292547274748</v>
          </cell>
          <cell r="H17">
            <v>14403.554933566102</v>
          </cell>
        </row>
        <row r="19">
          <cell r="E19">
            <v>3.1230000000000002</v>
          </cell>
          <cell r="F19">
            <v>2.7740038235183881</v>
          </cell>
        </row>
        <row r="20">
          <cell r="Q20">
            <v>53494.537358414869</v>
          </cell>
          <cell r="R20">
            <v>51960.582674213736</v>
          </cell>
        </row>
        <row r="21">
          <cell r="Q21">
            <v>18656.076315789473</v>
          </cell>
          <cell r="R21">
            <v>17805.216778498332</v>
          </cell>
        </row>
        <row r="22">
          <cell r="Q22">
            <v>400</v>
          </cell>
          <cell r="R22">
            <v>164.78966900326122</v>
          </cell>
        </row>
        <row r="50">
          <cell r="Q50">
            <v>82783.266174204342</v>
          </cell>
          <cell r="R50">
            <v>77593.739700865903</v>
          </cell>
        </row>
        <row r="56">
          <cell r="L56">
            <v>69220.492534624471</v>
          </cell>
        </row>
        <row r="80">
          <cell r="H80">
            <v>46299.740000000005</v>
          </cell>
          <cell r="I80">
            <v>39168.601999999999</v>
          </cell>
          <cell r="L80">
            <v>7131.1380000000017</v>
          </cell>
        </row>
        <row r="85">
          <cell r="H85">
            <v>16056.936325359782</v>
          </cell>
          <cell r="I85">
            <v>15485.54767</v>
          </cell>
          <cell r="L85">
            <v>571.38865535978175</v>
          </cell>
          <cell r="Q85">
            <v>96233.019746376798</v>
          </cell>
          <cell r="R85">
            <v>84891.280878659527</v>
          </cell>
        </row>
        <row r="86">
          <cell r="H86">
            <v>99040.366540709685</v>
          </cell>
          <cell r="I86">
            <v>42684.097000000023</v>
          </cell>
          <cell r="K86">
            <v>-151281.78388704683</v>
          </cell>
          <cell r="M86">
            <v>18002.49515635283</v>
          </cell>
        </row>
        <row r="89">
          <cell r="Q89">
            <v>72550.613674204345</v>
          </cell>
          <cell r="R89">
            <v>69930.589121715326</v>
          </cell>
        </row>
        <row r="92">
          <cell r="H92">
            <v>49049.252309006588</v>
          </cell>
          <cell r="I92">
            <v>-23285.741545404715</v>
          </cell>
        </row>
      </sheetData>
      <sheetData sheetId="18">
        <row r="2">
          <cell r="N2">
            <v>14000</v>
          </cell>
        </row>
        <row r="5">
          <cell r="T5">
            <v>14000</v>
          </cell>
          <cell r="U5">
            <v>13179</v>
          </cell>
        </row>
        <row r="9">
          <cell r="E9">
            <v>255.20000000000005</v>
          </cell>
          <cell r="F9">
            <v>260.41040009092961</v>
          </cell>
          <cell r="G9">
            <v>100000</v>
          </cell>
          <cell r="H9">
            <v>100000.00000000003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69.3</v>
          </cell>
          <cell r="F12">
            <v>82.249300598620863</v>
          </cell>
          <cell r="G12">
            <v>60199.999999999993</v>
          </cell>
          <cell r="H12">
            <v>59199.995408330717</v>
          </cell>
        </row>
        <row r="13">
          <cell r="E13">
            <v>40.099999999999994</v>
          </cell>
          <cell r="F13">
            <v>49.490647116768926</v>
          </cell>
          <cell r="G13">
            <v>37000</v>
          </cell>
          <cell r="H13">
            <v>36915.614421533006</v>
          </cell>
        </row>
        <row r="14">
          <cell r="E14">
            <v>0</v>
          </cell>
          <cell r="F14">
            <v>0</v>
          </cell>
        </row>
        <row r="15">
          <cell r="E15">
            <v>364.6</v>
          </cell>
          <cell r="F15">
            <v>392.15034780631942</v>
          </cell>
        </row>
        <row r="16">
          <cell r="E16">
            <v>798.4</v>
          </cell>
          <cell r="F16">
            <v>746.02015609608202</v>
          </cell>
          <cell r="G16">
            <v>11533.333333333334</v>
          </cell>
          <cell r="H16">
            <v>12001.162288978994</v>
          </cell>
        </row>
        <row r="17">
          <cell r="E17">
            <v>900.30000000000007</v>
          </cell>
          <cell r="F17">
            <v>828.65022353565178</v>
          </cell>
          <cell r="G17">
            <v>19459.673620102163</v>
          </cell>
          <cell r="H17">
            <v>20310.68362629287</v>
          </cell>
        </row>
        <row r="19">
          <cell r="E19">
            <v>3.28</v>
          </cell>
          <cell r="F19">
            <v>2.9427900280366752</v>
          </cell>
        </row>
        <row r="20">
          <cell r="Q20">
            <v>60855.317493511306</v>
          </cell>
          <cell r="R20">
            <v>60811.776540122752</v>
          </cell>
        </row>
        <row r="21">
          <cell r="Q21">
            <v>21345.440250896056</v>
          </cell>
          <cell r="R21">
            <v>21425.345078426915</v>
          </cell>
        </row>
        <row r="22">
          <cell r="Q22">
            <v>280</v>
          </cell>
          <cell r="R22">
            <v>261.02303553837993</v>
          </cell>
        </row>
        <row r="50">
          <cell r="Q50">
            <v>89259.196252216469</v>
          </cell>
          <cell r="R50">
            <v>91598.919299840869</v>
          </cell>
        </row>
        <row r="56">
          <cell r="L56">
            <v>-30568.572352039144</v>
          </cell>
        </row>
        <row r="80">
          <cell r="H80">
            <v>37435.71</v>
          </cell>
          <cell r="I80">
            <v>34677.115000000005</v>
          </cell>
          <cell r="L80">
            <v>2758.5949999999948</v>
          </cell>
        </row>
        <row r="85">
          <cell r="H85">
            <v>15024.533833060506</v>
          </cell>
          <cell r="I85">
            <v>15164.80524</v>
          </cell>
          <cell r="L85">
            <v>-140.27140693949377</v>
          </cell>
          <cell r="Q85">
            <v>104204.64285714286</v>
          </cell>
          <cell r="R85">
            <v>108899.69648683512</v>
          </cell>
        </row>
        <row r="86">
          <cell r="H86">
            <v>156776.00863590895</v>
          </cell>
          <cell r="I86">
            <v>178431.66000000006</v>
          </cell>
          <cell r="K86">
            <v>61876.111785714369</v>
          </cell>
          <cell r="M86">
            <v>-12270.211662644579</v>
          </cell>
        </row>
        <row r="89">
          <cell r="Q89">
            <v>82480.757744407369</v>
          </cell>
          <cell r="R89">
            <v>82498.144654088042</v>
          </cell>
        </row>
        <row r="92">
          <cell r="H92">
            <v>93621.761566450077</v>
          </cell>
          <cell r="I92">
            <v>94816.607087616299</v>
          </cell>
        </row>
      </sheetData>
      <sheetData sheetId="19">
        <row r="2">
          <cell r="N2">
            <v>26000</v>
          </cell>
        </row>
        <row r="5">
          <cell r="T5">
            <v>26000</v>
          </cell>
          <cell r="U5">
            <v>23459</v>
          </cell>
        </row>
        <row r="9">
          <cell r="E9">
            <v>251.25769230769228</v>
          </cell>
          <cell r="F9">
            <v>281.37504369325234</v>
          </cell>
          <cell r="G9">
            <v>100000</v>
          </cell>
          <cell r="H9">
            <v>99833.002239743728</v>
          </cell>
        </row>
        <row r="10">
          <cell r="E10">
            <v>37.546153846153857</v>
          </cell>
          <cell r="F10">
            <v>10.582722622447669</v>
          </cell>
          <cell r="G10">
            <v>86800.000000000015</v>
          </cell>
          <cell r="H10">
            <v>86600.008885842311</v>
          </cell>
        </row>
        <row r="11">
          <cell r="E11">
            <v>0</v>
          </cell>
          <cell r="F11">
            <v>0</v>
          </cell>
        </row>
        <row r="12">
          <cell r="E12">
            <v>50.36538461538462</v>
          </cell>
          <cell r="F12">
            <v>54.13832942580671</v>
          </cell>
          <cell r="G12">
            <v>64300.000000000015</v>
          </cell>
          <cell r="H12">
            <v>62161.018627678168</v>
          </cell>
        </row>
        <row r="13">
          <cell r="E13">
            <v>42.65</v>
          </cell>
          <cell r="F13">
            <v>41.039523423845857</v>
          </cell>
          <cell r="G13">
            <v>42900</v>
          </cell>
          <cell r="H13">
            <v>39332.692028962396</v>
          </cell>
        </row>
        <row r="14">
          <cell r="E14">
            <v>0</v>
          </cell>
          <cell r="F14">
            <v>0</v>
          </cell>
        </row>
        <row r="15">
          <cell r="E15">
            <v>381.81923076923078</v>
          </cell>
          <cell r="F15">
            <v>387.13561916535258</v>
          </cell>
        </row>
        <row r="16">
          <cell r="E16">
            <v>868</v>
          </cell>
          <cell r="F16">
            <v>781.93635704846793</v>
          </cell>
          <cell r="G16">
            <v>11400</v>
          </cell>
          <cell r="H16">
            <v>10855.886775902774</v>
          </cell>
        </row>
        <row r="17">
          <cell r="E17">
            <v>869</v>
          </cell>
          <cell r="F17">
            <v>962.15823351379072</v>
          </cell>
          <cell r="G17">
            <v>13225.806451612903</v>
          </cell>
          <cell r="H17">
            <v>12559.747723544126</v>
          </cell>
        </row>
        <row r="19">
          <cell r="E19">
            <v>2.8</v>
          </cell>
          <cell r="F19">
            <v>3.1954217997357119</v>
          </cell>
        </row>
        <row r="20">
          <cell r="Q20">
            <v>57221.380421836235</v>
          </cell>
          <cell r="R20">
            <v>57814.413828381439</v>
          </cell>
        </row>
        <row r="21">
          <cell r="Q21">
            <v>20600.503314238955</v>
          </cell>
          <cell r="R21">
            <v>21491.164712903363</v>
          </cell>
        </row>
        <row r="22">
          <cell r="Q22">
            <v>96.15384615384616</v>
          </cell>
          <cell r="R22">
            <v>181.59904514258918</v>
          </cell>
        </row>
        <row r="50">
          <cell r="Q50">
            <v>84788.814036749885</v>
          </cell>
          <cell r="R50">
            <v>86790.108274009981</v>
          </cell>
        </row>
        <row r="56">
          <cell r="L56">
            <v>-46948.351081884262</v>
          </cell>
        </row>
        <row r="80">
          <cell r="H80">
            <v>48088.639999999999</v>
          </cell>
          <cell r="I80">
            <v>57933.738000000005</v>
          </cell>
          <cell r="L80">
            <v>-9845.0980000000018</v>
          </cell>
        </row>
        <row r="85">
          <cell r="H85">
            <v>25607.370444444445</v>
          </cell>
          <cell r="I85">
            <v>25211.40943</v>
          </cell>
          <cell r="L85">
            <v>395.96101444444389</v>
          </cell>
          <cell r="Q85">
            <v>103000</v>
          </cell>
          <cell r="R85">
            <v>93724.434588004602</v>
          </cell>
        </row>
        <row r="86">
          <cell r="H86">
            <v>399794.82460005872</v>
          </cell>
          <cell r="I86">
            <v>79527.224000000046</v>
          </cell>
          <cell r="K86">
            <v>-217595.48900000003</v>
          </cell>
          <cell r="M86">
            <v>-46274.623532618542</v>
          </cell>
        </row>
        <row r="89">
          <cell r="Q89">
            <v>77918.037582229037</v>
          </cell>
          <cell r="R89">
            <v>79487.177586427395</v>
          </cell>
        </row>
        <row r="92">
          <cell r="H92">
            <v>293229.03813404526</v>
          </cell>
          <cell r="I92">
            <v>-40808.154436777259</v>
          </cell>
        </row>
      </sheetData>
      <sheetData sheetId="20">
        <row r="2">
          <cell r="N2">
            <v>12000</v>
          </cell>
        </row>
        <row r="5">
          <cell r="T5">
            <v>12000</v>
          </cell>
          <cell r="U5">
            <v>15058</v>
          </cell>
        </row>
        <row r="9">
          <cell r="E9">
            <v>222.35</v>
          </cell>
          <cell r="F9">
            <v>235.26847947019868</v>
          </cell>
          <cell r="G9">
            <v>99999.999999999985</v>
          </cell>
          <cell r="H9">
            <v>100000</v>
          </cell>
        </row>
        <row r="10">
          <cell r="E10">
            <v>32.15</v>
          </cell>
          <cell r="F10">
            <v>9.6600675496688773</v>
          </cell>
          <cell r="G10">
            <v>96800</v>
          </cell>
          <cell r="H10">
            <v>97255.12319371436</v>
          </cell>
        </row>
        <row r="11">
          <cell r="E11">
            <v>0</v>
          </cell>
          <cell r="F11">
            <v>0</v>
          </cell>
        </row>
        <row r="12">
          <cell r="E12">
            <v>53.8</v>
          </cell>
          <cell r="F12">
            <v>98.011394039735123</v>
          </cell>
          <cell r="G12">
            <v>65000</v>
          </cell>
          <cell r="H12">
            <v>62000.000608119575</v>
          </cell>
        </row>
        <row r="13">
          <cell r="E13">
            <v>25.930000000000003</v>
          </cell>
          <cell r="F13">
            <v>11.551925165562917</v>
          </cell>
          <cell r="G13">
            <v>36000</v>
          </cell>
          <cell r="H13">
            <v>35803.888540810854</v>
          </cell>
        </row>
        <row r="14">
          <cell r="E14">
            <v>0</v>
          </cell>
          <cell r="F14">
            <v>0</v>
          </cell>
        </row>
        <row r="15">
          <cell r="E15">
            <v>334.23</v>
          </cell>
          <cell r="F15">
            <v>354.49186622516561</v>
          </cell>
        </row>
        <row r="16">
          <cell r="E16">
            <v>740.85</v>
          </cell>
          <cell r="F16">
            <v>676.20331125827806</v>
          </cell>
          <cell r="G16">
            <v>13333.333333333332</v>
          </cell>
          <cell r="H16">
            <v>14762.830157080782</v>
          </cell>
        </row>
        <row r="17">
          <cell r="E17">
            <v>991.87</v>
          </cell>
          <cell r="F17">
            <v>1041.9264900662256</v>
          </cell>
          <cell r="G17">
            <v>15310.195807375589</v>
          </cell>
          <cell r="H17">
            <v>15964.912614114579</v>
          </cell>
        </row>
        <row r="19">
          <cell r="E19">
            <v>2.25</v>
          </cell>
          <cell r="F19">
            <v>2.6742549668874172</v>
          </cell>
        </row>
        <row r="20">
          <cell r="Q20">
            <v>56346.573915461617</v>
          </cell>
          <cell r="R20">
            <v>59969.062913907284</v>
          </cell>
        </row>
        <row r="21">
          <cell r="Q21">
            <v>16650.867615248226</v>
          </cell>
          <cell r="R21">
            <v>15464.143973509934</v>
          </cell>
        </row>
        <row r="22">
          <cell r="Q22">
            <v>250</v>
          </cell>
          <cell r="R22">
            <v>283.45192052980133</v>
          </cell>
        </row>
        <row r="50">
          <cell r="Q50">
            <v>81292.345697376499</v>
          </cell>
          <cell r="R50">
            <v>82789.021390728478</v>
          </cell>
        </row>
        <row r="56">
          <cell r="L56">
            <v>-22568.122438904629</v>
          </cell>
        </row>
        <row r="80">
          <cell r="H80">
            <v>36008.949999999997</v>
          </cell>
          <cell r="I80">
            <v>38429.849000000002</v>
          </cell>
          <cell r="L80">
            <v>-2420.8990000000013</v>
          </cell>
        </row>
        <row r="85">
          <cell r="H85">
            <v>21587.247777777779</v>
          </cell>
          <cell r="I85">
            <v>21506.655050000001</v>
          </cell>
          <cell r="L85">
            <v>80.59272777777619</v>
          </cell>
          <cell r="Q85">
            <v>100725.59138333335</v>
          </cell>
          <cell r="R85">
            <v>98374.996679505915</v>
          </cell>
        </row>
        <row r="86">
          <cell r="H86">
            <v>175602.75045370439</v>
          </cell>
          <cell r="I86">
            <v>174725.93199999991</v>
          </cell>
          <cell r="K86">
            <v>-35395.255050233471</v>
          </cell>
          <cell r="M86">
            <v>59426.865307656088</v>
          </cell>
        </row>
        <row r="89">
          <cell r="Q89">
            <v>73247.441530709839</v>
          </cell>
          <cell r="R89">
            <v>75716.658807947009</v>
          </cell>
        </row>
        <row r="92">
          <cell r="H92">
            <v>127504.60917057117</v>
          </cell>
          <cell r="I92">
            <v>93651.665680526494</v>
          </cell>
        </row>
      </sheetData>
      <sheetData sheetId="21">
        <row r="2">
          <cell r="N2">
            <v>8000</v>
          </cell>
        </row>
        <row r="5">
          <cell r="T5">
            <v>8000</v>
          </cell>
          <cell r="U5">
            <v>4398.5</v>
          </cell>
        </row>
        <row r="9">
          <cell r="E9">
            <v>253.8</v>
          </cell>
          <cell r="F9">
            <v>229.1086077151335</v>
          </cell>
          <cell r="G9">
            <v>100000</v>
          </cell>
          <cell r="H9">
            <v>100000.00000000001</v>
          </cell>
        </row>
        <row r="10">
          <cell r="E10">
            <v>3.2</v>
          </cell>
          <cell r="F10">
            <v>21.2237412462908</v>
          </cell>
          <cell r="G10">
            <v>94199.999999999985</v>
          </cell>
          <cell r="H10">
            <v>93101.1360549034</v>
          </cell>
        </row>
        <row r="11">
          <cell r="E11">
            <v>0</v>
          </cell>
          <cell r="F11">
            <v>0</v>
          </cell>
        </row>
        <row r="12">
          <cell r="E12">
            <v>70.599999999999994</v>
          </cell>
          <cell r="F12">
            <v>70.903271216617199</v>
          </cell>
          <cell r="G12">
            <v>64900.000000000007</v>
          </cell>
          <cell r="H12">
            <v>63507.700866375308</v>
          </cell>
        </row>
        <row r="13">
          <cell r="E13">
            <v>19.100000000000001</v>
          </cell>
          <cell r="F13">
            <v>21.108735905044497</v>
          </cell>
          <cell r="G13">
            <v>39300</v>
          </cell>
          <cell r="H13">
            <v>34081.638046548316</v>
          </cell>
        </row>
        <row r="14">
          <cell r="E14">
            <v>0</v>
          </cell>
          <cell r="F14">
            <v>0</v>
          </cell>
        </row>
        <row r="15">
          <cell r="E15">
            <v>346.70000000000005</v>
          </cell>
          <cell r="F15">
            <v>342.34435608308604</v>
          </cell>
        </row>
        <row r="16">
          <cell r="E16">
            <v>810</v>
          </cell>
          <cell r="F16">
            <v>1022.6065281899108</v>
          </cell>
          <cell r="G16">
            <v>14200</v>
          </cell>
          <cell r="H16">
            <v>15158.705164901237</v>
          </cell>
        </row>
        <row r="17">
          <cell r="E17">
            <v>905</v>
          </cell>
          <cell r="F17">
            <v>637.69614243323451</v>
          </cell>
          <cell r="G17">
            <v>15212.903225806449</v>
          </cell>
          <cell r="H17">
            <v>15211.177849044874</v>
          </cell>
        </row>
        <row r="19">
          <cell r="E19">
            <v>2.78</v>
          </cell>
          <cell r="F19">
            <v>2.6434540059347178</v>
          </cell>
        </row>
        <row r="20">
          <cell r="Q20">
            <v>58285.287419354834</v>
          </cell>
          <cell r="R20">
            <v>57321.71204747774</v>
          </cell>
        </row>
        <row r="21">
          <cell r="Q21">
            <v>14094.098014032073</v>
          </cell>
          <cell r="R21">
            <v>14885.378041543026</v>
          </cell>
        </row>
        <row r="22">
          <cell r="Q22">
            <v>56.25</v>
          </cell>
          <cell r="R22">
            <v>0</v>
          </cell>
        </row>
        <row r="50">
          <cell r="Q50">
            <v>79731.351683386907</v>
          </cell>
          <cell r="R50">
            <v>87683.543026706233</v>
          </cell>
        </row>
        <row r="56">
          <cell r="L56">
            <v>-33514.299843832967</v>
          </cell>
        </row>
        <row r="80">
          <cell r="H80">
            <v>12037.019999999999</v>
          </cell>
          <cell r="I80">
            <v>16889.339</v>
          </cell>
          <cell r="L80">
            <v>-4852.3190000000004</v>
          </cell>
        </row>
        <row r="85">
          <cell r="H85">
            <v>11605.509666666669</v>
          </cell>
          <cell r="I85">
            <v>10333.300300000001</v>
          </cell>
          <cell r="L85">
            <v>1272.2093666666678</v>
          </cell>
          <cell r="Q85">
            <v>111798.26875000002</v>
          </cell>
          <cell r="R85">
            <v>110265.30369665993</v>
          </cell>
        </row>
        <row r="86">
          <cell r="H86">
            <v>232892.80686623821</v>
          </cell>
          <cell r="I86">
            <v>70142.529999999941</v>
          </cell>
          <cell r="K86">
            <v>-6448.4174968750694</v>
          </cell>
          <cell r="M86">
            <v>-119207.44989219692</v>
          </cell>
        </row>
        <row r="89">
          <cell r="Q89">
            <v>72435.635433386909</v>
          </cell>
          <cell r="R89">
            <v>72207.09008902077</v>
          </cell>
        </row>
        <row r="92">
          <cell r="H92">
            <v>197302.45455889695</v>
          </cell>
          <cell r="I92">
            <v>43560.890727552782</v>
          </cell>
        </row>
      </sheetData>
      <sheetData sheetId="22">
        <row r="2">
          <cell r="N2">
            <v>6000</v>
          </cell>
        </row>
        <row r="5">
          <cell r="T5">
            <v>6000</v>
          </cell>
          <cell r="U5">
            <v>3358.5</v>
          </cell>
        </row>
        <row r="9">
          <cell r="E9">
            <v>267.5</v>
          </cell>
          <cell r="F9">
            <v>281.59803781450057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</v>
          </cell>
          <cell r="F12">
            <v>51.470007443799318</v>
          </cell>
          <cell r="G12">
            <v>64000</v>
          </cell>
          <cell r="H12">
            <v>62005.268710848104</v>
          </cell>
        </row>
        <row r="13">
          <cell r="E13">
            <v>40.5</v>
          </cell>
          <cell r="F13">
            <v>40.911124013696593</v>
          </cell>
          <cell r="G13">
            <v>49000</v>
          </cell>
          <cell r="H13">
            <v>47293.2789451762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373.97916927199651</v>
          </cell>
        </row>
        <row r="16">
          <cell r="E16">
            <v>837.8599999999999</v>
          </cell>
          <cell r="F16">
            <v>867.4720857525682</v>
          </cell>
          <cell r="G16">
            <v>13666.666666666668</v>
          </cell>
          <cell r="H16">
            <v>12437.848496861918</v>
          </cell>
        </row>
        <row r="17">
          <cell r="E17">
            <v>921.0100000000001</v>
          </cell>
          <cell r="F17">
            <v>866.37784725323809</v>
          </cell>
          <cell r="G17">
            <v>13806.451612903224</v>
          </cell>
          <cell r="H17">
            <v>12287.989607283151</v>
          </cell>
        </row>
        <row r="19">
          <cell r="E19">
            <v>2.9380000000000002</v>
          </cell>
          <cell r="F19">
            <v>3.077579276462707</v>
          </cell>
        </row>
        <row r="20">
          <cell r="Q20">
            <v>57608.53333333334</v>
          </cell>
          <cell r="R20">
            <v>56864.703587911274</v>
          </cell>
        </row>
        <row r="21">
          <cell r="Q21">
            <v>15172.019679743249</v>
          </cell>
          <cell r="R21">
            <v>14578.080988536549</v>
          </cell>
        </row>
        <row r="22">
          <cell r="Q22">
            <v>291.66666666666669</v>
          </cell>
          <cell r="R22">
            <v>354.90278398094387</v>
          </cell>
        </row>
        <row r="50">
          <cell r="Q50">
            <v>87135.326747723229</v>
          </cell>
          <cell r="R50">
            <v>94907.328569301782</v>
          </cell>
        </row>
        <row r="56">
          <cell r="L56">
            <v>-26102.272667771525</v>
          </cell>
        </row>
        <row r="80">
          <cell r="H80">
            <v>14511.25</v>
          </cell>
          <cell r="I80">
            <v>18752.800999999999</v>
          </cell>
          <cell r="L80">
            <v>-4241.5509999999995</v>
          </cell>
        </row>
        <row r="85">
          <cell r="H85">
            <v>6057.137777777777</v>
          </cell>
          <cell r="I85">
            <v>6300.98045</v>
          </cell>
          <cell r="L85">
            <v>-243.84267222222297</v>
          </cell>
          <cell r="Q85">
            <v>112000</v>
          </cell>
          <cell r="R85">
            <v>112065.54860800953</v>
          </cell>
        </row>
        <row r="86">
          <cell r="H86">
            <v>128619.65173588287</v>
          </cell>
          <cell r="I86">
            <v>32572.09600000003</v>
          </cell>
          <cell r="K86">
            <v>220.1450000000026</v>
          </cell>
          <cell r="M86">
            <v>-65680.034395889117</v>
          </cell>
        </row>
        <row r="89">
          <cell r="Q89">
            <v>73072.219679743255</v>
          </cell>
          <cell r="R89">
            <v>71797.687360428768</v>
          </cell>
        </row>
        <row r="92">
          <cell r="H92">
            <v>101878.72249571818</v>
          </cell>
          <cell r="I92">
            <v>11972.984998681102</v>
          </cell>
        </row>
      </sheetData>
      <sheetData sheetId="23">
        <row r="2">
          <cell r="N2">
            <v>9000</v>
          </cell>
        </row>
        <row r="5">
          <cell r="T5">
            <v>9000</v>
          </cell>
          <cell r="U5">
            <v>4794</v>
          </cell>
        </row>
        <row r="9">
          <cell r="E9">
            <v>291</v>
          </cell>
          <cell r="F9">
            <v>342.97034738402868</v>
          </cell>
          <cell r="G9">
            <v>117000</v>
          </cell>
          <cell r="H9">
            <v>116999.99804219838</v>
          </cell>
        </row>
        <row r="10">
          <cell r="E10">
            <v>61</v>
          </cell>
          <cell r="F10">
            <v>12.773359457742002</v>
          </cell>
          <cell r="G10">
            <v>117000</v>
          </cell>
          <cell r="H10">
            <v>116999.99154271353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352</v>
          </cell>
          <cell r="F15">
            <v>355.74370684177069</v>
          </cell>
        </row>
        <row r="16">
          <cell r="E16">
            <v>712.3</v>
          </cell>
          <cell r="F16">
            <v>760.78267316246581</v>
          </cell>
          <cell r="G16">
            <v>17666.666666666668</v>
          </cell>
          <cell r="H16">
            <v>18027.783570526673</v>
          </cell>
        </row>
        <row r="17">
          <cell r="E17">
            <v>992.30000000000007</v>
          </cell>
          <cell r="F17">
            <v>980.10167337428538</v>
          </cell>
          <cell r="G17">
            <v>17551.55520645791</v>
          </cell>
          <cell r="H17">
            <v>19926.321033226275</v>
          </cell>
        </row>
        <row r="19">
          <cell r="E19">
            <v>2.72</v>
          </cell>
          <cell r="F19">
            <v>3.7994619783944077</v>
          </cell>
        </row>
        <row r="20">
          <cell r="Q20">
            <v>73700.874898034846</v>
          </cell>
          <cell r="R20">
            <v>78645.023511967796</v>
          </cell>
        </row>
        <row r="21">
          <cell r="Q21">
            <v>17407.542955326458</v>
          </cell>
          <cell r="R21">
            <v>17752.839017157385</v>
          </cell>
        </row>
        <row r="22">
          <cell r="Q22">
            <v>277.77777777777777</v>
          </cell>
          <cell r="R22">
            <v>409.31137470874813</v>
          </cell>
        </row>
        <row r="50">
          <cell r="Q50">
            <v>98623.903408916856</v>
          </cell>
          <cell r="R50">
            <v>112350.44715102731</v>
          </cell>
        </row>
        <row r="56">
          <cell r="L56">
            <v>-64450.591364908614</v>
          </cell>
        </row>
        <row r="80">
          <cell r="H80">
            <v>16419.560000000001</v>
          </cell>
          <cell r="I80">
            <v>18644.392</v>
          </cell>
          <cell r="L80">
            <v>-2224.8319999999985</v>
          </cell>
        </row>
        <row r="85">
          <cell r="H85">
            <v>12413.786620014094</v>
          </cell>
          <cell r="I85">
            <v>12635.24742</v>
          </cell>
          <cell r="L85">
            <v>-221.46079998590596</v>
          </cell>
          <cell r="Q85">
            <v>122995.55555555556</v>
          </cell>
          <cell r="R85">
            <v>126594.92720306512</v>
          </cell>
        </row>
        <row r="86">
          <cell r="H86">
            <v>190511.52269973417</v>
          </cell>
          <cell r="I86">
            <v>35677.638999999988</v>
          </cell>
          <cell r="K86">
            <v>16909.8479999999</v>
          </cell>
          <cell r="M86">
            <v>-104846.8475348397</v>
          </cell>
        </row>
        <row r="89">
          <cell r="Q89">
            <v>91386.195631139082</v>
          </cell>
          <cell r="R89">
            <v>96807.173903833929</v>
          </cell>
        </row>
        <row r="92">
          <cell r="H92">
            <v>146462.20866447716</v>
          </cell>
          <cell r="I92">
            <v>2438.6466855223625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236284.3</v>
          </cell>
        </row>
        <row r="85">
          <cell r="Q85">
            <v>99989.728432119533</v>
          </cell>
        </row>
        <row r="89">
          <cell r="Q89">
            <v>77657.504395917087</v>
          </cell>
        </row>
        <row r="90">
          <cell r="Q90">
            <v>22332.224036202446</v>
          </cell>
        </row>
      </sheetData>
      <sheetData sheetId="1">
        <row r="5">
          <cell r="T5">
            <v>75634.8</v>
          </cell>
        </row>
        <row r="85">
          <cell r="Q85">
            <v>97749.491475587041</v>
          </cell>
        </row>
        <row r="89">
          <cell r="Q89">
            <v>79479.89152119041</v>
          </cell>
        </row>
        <row r="90">
          <cell r="Q90">
            <v>18269.599954396632</v>
          </cell>
        </row>
      </sheetData>
      <sheetData sheetId="2">
        <row r="5">
          <cell r="T5">
            <v>111844</v>
          </cell>
        </row>
        <row r="85">
          <cell r="Q85">
            <v>99624.761690242362</v>
          </cell>
        </row>
        <row r="89">
          <cell r="Q89">
            <v>77483.836889347993</v>
          </cell>
        </row>
        <row r="90">
          <cell r="Q90">
            <v>22140.924800894369</v>
          </cell>
        </row>
      </sheetData>
      <sheetData sheetId="3" refreshError="1"/>
      <sheetData sheetId="4" refreshError="1"/>
      <sheetData sheetId="5">
        <row r="5">
          <cell r="T5">
            <v>48805.5</v>
          </cell>
        </row>
        <row r="85">
          <cell r="Q85">
            <v>104305.45775307498</v>
          </cell>
        </row>
        <row r="89">
          <cell r="Q89">
            <v>75226.18726291442</v>
          </cell>
        </row>
        <row r="90">
          <cell r="Q90">
            <v>29079.270490160561</v>
          </cell>
        </row>
      </sheetData>
      <sheetData sheetId="6">
        <row r="85">
          <cell r="Q85">
            <v>100365.63091549296</v>
          </cell>
        </row>
        <row r="86">
          <cell r="H86">
            <v>202032.40100000004</v>
          </cell>
        </row>
        <row r="89">
          <cell r="Q89">
            <v>81650.506932226053</v>
          </cell>
        </row>
        <row r="92">
          <cell r="H92">
            <v>37785.194740547246</v>
          </cell>
        </row>
      </sheetData>
      <sheetData sheetId="7">
        <row r="85">
          <cell r="Q85">
            <v>97987.378949091493</v>
          </cell>
        </row>
        <row r="86">
          <cell r="H86">
            <v>-68397.039999999979</v>
          </cell>
        </row>
        <row r="89">
          <cell r="Q89">
            <v>82653.876515027994</v>
          </cell>
        </row>
        <row r="92">
          <cell r="H92">
            <v>-171876.97636454907</v>
          </cell>
        </row>
      </sheetData>
      <sheetData sheetId="8">
        <row r="85">
          <cell r="Q85">
            <v>94365.024402070238</v>
          </cell>
        </row>
        <row r="86">
          <cell r="H86">
            <v>106249.82999999987</v>
          </cell>
        </row>
        <row r="89">
          <cell r="Q89">
            <v>75826.43403008359</v>
          </cell>
        </row>
        <row r="92">
          <cell r="H92">
            <v>2333.0199930631206</v>
          </cell>
        </row>
      </sheetData>
      <sheetData sheetId="9">
        <row r="85">
          <cell r="Q85">
            <v>96275.825918367351</v>
          </cell>
        </row>
        <row r="86">
          <cell r="H86">
            <v>29041.857000000116</v>
          </cell>
        </row>
        <row r="89">
          <cell r="Q89">
            <v>74300.021428571432</v>
          </cell>
        </row>
        <row r="92">
          <cell r="H92">
            <v>-25325.467453396512</v>
          </cell>
        </row>
      </sheetData>
      <sheetData sheetId="10">
        <row r="85">
          <cell r="Q85">
            <v>114051.86569568861</v>
          </cell>
        </row>
        <row r="86">
          <cell r="H86">
            <v>167221.55100000009</v>
          </cell>
        </row>
        <row r="89">
          <cell r="Q89">
            <v>84631.159309636845</v>
          </cell>
        </row>
        <row r="92">
          <cell r="H92">
            <v>62068.410862032513</v>
          </cell>
        </row>
      </sheetData>
      <sheetData sheetId="11">
        <row r="85">
          <cell r="Q85">
            <v>101120.44755459859</v>
          </cell>
        </row>
        <row r="86">
          <cell r="H86">
            <v>84673.493999999977</v>
          </cell>
        </row>
        <row r="89">
          <cell r="Q89">
            <v>78001.325745295646</v>
          </cell>
        </row>
        <row r="92">
          <cell r="H92">
            <v>6541.6568578088772</v>
          </cell>
        </row>
      </sheetData>
      <sheetData sheetId="12">
        <row r="85">
          <cell r="Q85">
            <v>89286.80280145134</v>
          </cell>
        </row>
        <row r="86">
          <cell r="H86">
            <v>-2729.5230000000738</v>
          </cell>
        </row>
        <row r="89">
          <cell r="Q89">
            <v>75888.626991486133</v>
          </cell>
        </row>
        <row r="92">
          <cell r="H92">
            <v>-70157.852881431201</v>
          </cell>
        </row>
      </sheetData>
      <sheetData sheetId="13">
        <row r="85">
          <cell r="Q85">
            <v>101496.21229971724</v>
          </cell>
        </row>
        <row r="86">
          <cell r="H86">
            <v>103545.40100000022</v>
          </cell>
        </row>
        <row r="89">
          <cell r="Q89">
            <v>81278.390233870014</v>
          </cell>
        </row>
        <row r="92">
          <cell r="H92">
            <v>1169.6044086672191</v>
          </cell>
        </row>
      </sheetData>
      <sheetData sheetId="14">
        <row r="85">
          <cell r="Q85">
            <v>90109.993609202749</v>
          </cell>
        </row>
        <row r="86">
          <cell r="H86">
            <v>69602.207999999984</v>
          </cell>
        </row>
        <row r="89">
          <cell r="Q89">
            <v>71969.384805879527</v>
          </cell>
        </row>
        <row r="92">
          <cell r="H92">
            <v>2579.8044615349645</v>
          </cell>
        </row>
      </sheetData>
      <sheetData sheetId="15">
        <row r="85">
          <cell r="Q85">
            <v>100805.5507256069</v>
          </cell>
        </row>
        <row r="86">
          <cell r="H86">
            <v>152254.66699999993</v>
          </cell>
        </row>
        <row r="89">
          <cell r="Q89">
            <v>74736.793486256938</v>
          </cell>
        </row>
        <row r="92">
          <cell r="H92">
            <v>62692.44243125424</v>
          </cell>
        </row>
      </sheetData>
      <sheetData sheetId="16">
        <row r="85">
          <cell r="Q85">
            <v>97242.812345853017</v>
          </cell>
        </row>
        <row r="86">
          <cell r="H86">
            <v>137654.72400000007</v>
          </cell>
        </row>
        <row r="89">
          <cell r="Q89">
            <v>72709.872242970901</v>
          </cell>
        </row>
        <row r="92">
          <cell r="H92">
            <v>55660.62408484488</v>
          </cell>
        </row>
      </sheetData>
      <sheetData sheetId="17">
        <row r="85">
          <cell r="Q85">
            <v>98179.177796327203</v>
          </cell>
        </row>
        <row r="86">
          <cell r="H86">
            <v>78459.948000000062</v>
          </cell>
        </row>
        <row r="89">
          <cell r="Q89">
            <v>78607.479048414025</v>
          </cell>
        </row>
        <row r="92">
          <cell r="H92">
            <v>8574.2509820251144</v>
          </cell>
        </row>
      </sheetData>
      <sheetData sheetId="18">
        <row r="85">
          <cell r="Q85">
            <v>99026.218995765259</v>
          </cell>
        </row>
        <row r="86">
          <cell r="H86">
            <v>256652.18499999988</v>
          </cell>
        </row>
        <row r="89">
          <cell r="Q89">
            <v>76440.335922665283</v>
          </cell>
        </row>
        <row r="92">
          <cell r="H92">
            <v>128866.60410764879</v>
          </cell>
        </row>
      </sheetData>
      <sheetData sheetId="19">
        <row r="85">
          <cell r="Q85">
            <v>113260.12315730547</v>
          </cell>
        </row>
        <row r="86">
          <cell r="H86">
            <v>107138.70299999999</v>
          </cell>
        </row>
        <row r="89">
          <cell r="Q89">
            <v>73534.47658145176</v>
          </cell>
        </row>
        <row r="92">
          <cell r="H92">
            <v>73635.636525610258</v>
          </cell>
        </row>
      </sheetData>
      <sheetData sheetId="20">
        <row r="85">
          <cell r="Q85">
            <v>116414.49459631278</v>
          </cell>
        </row>
        <row r="86">
          <cell r="H86">
            <v>252014.21399999995</v>
          </cell>
        </row>
        <row r="89">
          <cell r="Q89">
            <v>72940.627844882387</v>
          </cell>
        </row>
        <row r="92">
          <cell r="H92">
            <v>201366.67589647378</v>
          </cell>
        </row>
      </sheetData>
      <sheetData sheetId="21">
        <row r="85">
          <cell r="Q85">
            <v>99690.626150648313</v>
          </cell>
        </row>
        <row r="86">
          <cell r="H86">
            <v>98002.098999999958</v>
          </cell>
        </row>
        <row r="89">
          <cell r="Q89">
            <v>72859.16451199053</v>
          </cell>
        </row>
        <row r="92">
          <cell r="H92">
            <v>42408.031604415504</v>
          </cell>
        </row>
      </sheetData>
      <sheetData sheetId="22">
        <row r="85">
          <cell r="Q85">
            <v>116432.63836850841</v>
          </cell>
        </row>
        <row r="86">
          <cell r="H86">
            <v>-40681.329000000027</v>
          </cell>
        </row>
        <row r="89">
          <cell r="Q89">
            <v>86083.47498221483</v>
          </cell>
        </row>
        <row r="92">
          <cell r="H92">
            <v>-54232.353064146198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 refreshError="1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>
            <v>6733.5930000000008</v>
          </cell>
          <cell r="K3">
            <v>7798.8620000000001</v>
          </cell>
          <cell r="L3">
            <v>6814.7489999999989</v>
          </cell>
          <cell r="M3">
            <v>7943.9050000000007</v>
          </cell>
          <cell r="Q3">
            <v>84893.854999999996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>
            <v>6733.5930000000008</v>
          </cell>
          <cell r="K5">
            <v>7798.8620000000001</v>
          </cell>
          <cell r="L5">
            <v>6814.7489999999989</v>
          </cell>
          <cell r="M5">
            <v>7943.9050000000007</v>
          </cell>
          <cell r="Q5">
            <v>84893.854999999996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>
            <v>5251635.0710000005</v>
          </cell>
          <cell r="K6">
            <v>6192904.2060000002</v>
          </cell>
          <cell r="L6">
            <v>5219291.6689999998</v>
          </cell>
          <cell r="M6">
            <v>6288344.6279999996</v>
          </cell>
          <cell r="Q6">
            <v>65491016.842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>
            <v>1804853.0889999997</v>
          </cell>
          <cell r="K7">
            <v>1161962.4329999993</v>
          </cell>
          <cell r="L7">
            <v>1191782.4460000005</v>
          </cell>
          <cell r="M7">
            <v>1321863.1440000003</v>
          </cell>
          <cell r="Q7">
            <v>11406573.164999999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>
            <v>7056488.1600000001</v>
          </cell>
          <cell r="K8">
            <v>7354866.6389999995</v>
          </cell>
          <cell r="L8">
            <v>6411074.1150000002</v>
          </cell>
          <cell r="M8">
            <v>7610207.7719999999</v>
          </cell>
          <cell r="Q8">
            <v>76897590.006999999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>
            <v>5116718.3039999995</v>
          </cell>
          <cell r="K9">
            <v>6109067.9819999998</v>
          </cell>
          <cell r="L9">
            <v>5101256.4989999989</v>
          </cell>
          <cell r="M9">
            <v>6136719.0360000003</v>
          </cell>
          <cell r="Q9">
            <v>64492631.672999993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>
            <v>1764712.0520000001</v>
          </cell>
          <cell r="K10">
            <v>1129219.4780000001</v>
          </cell>
          <cell r="L10">
            <v>1162527.9860000005</v>
          </cell>
          <cell r="M10">
            <v>1289769.3579999991</v>
          </cell>
          <cell r="Q10">
            <v>11098457.655999999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>
            <v>6881430.3559999997</v>
          </cell>
          <cell r="K11">
            <v>7238287.46</v>
          </cell>
          <cell r="L11">
            <v>6263784.4849999994</v>
          </cell>
          <cell r="M11">
            <v>7426488.3939999994</v>
          </cell>
          <cell r="Q11">
            <v>75591089.328999996</v>
          </cell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>
            <v>134916.76700000092</v>
          </cell>
          <cell r="K12">
            <v>83836.224000000395</v>
          </cell>
          <cell r="L12">
            <v>118035.17000000086</v>
          </cell>
          <cell r="M12">
            <v>151625.59199999925</v>
          </cell>
          <cell r="Q12">
            <v>998385.16900000721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>
            <v>40141.036999999546</v>
          </cell>
          <cell r="K13">
            <v>32742.954999999143</v>
          </cell>
          <cell r="L13">
            <v>29254.459999999963</v>
          </cell>
          <cell r="M13">
            <v>32093.786000001244</v>
          </cell>
          <cell r="Q13">
            <v>308115.50899999961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>
            <v>175057.80400000047</v>
          </cell>
          <cell r="K14">
            <v>116579.17899999954</v>
          </cell>
          <cell r="L14">
            <v>147289.63000000082</v>
          </cell>
          <cell r="M14">
            <v>183719.37800000049</v>
          </cell>
          <cell r="Q14">
            <v>1306500.6780000031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>
            <v>72242.73</v>
          </cell>
          <cell r="K15">
            <v>68261.5</v>
          </cell>
          <cell r="L15">
            <v>67095.42</v>
          </cell>
          <cell r="M15">
            <v>78359.399999999994</v>
          </cell>
          <cell r="Q15">
            <v>638037.71000000008</v>
          </cell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>
            <v>16463.457999999999</v>
          </cell>
          <cell r="K16">
            <v>15534.69</v>
          </cell>
          <cell r="L16">
            <v>15180.11</v>
          </cell>
          <cell r="M16">
            <v>19598.073</v>
          </cell>
          <cell r="Q16">
            <v>144958.353</v>
          </cell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>
            <v>8648.6849999999995</v>
          </cell>
          <cell r="K17">
            <v>8648.6849999999995</v>
          </cell>
          <cell r="L17">
            <v>8194.3140000000003</v>
          </cell>
          <cell r="M17">
            <v>8194.3140000000003</v>
          </cell>
          <cell r="Q17">
            <v>76929.422999999995</v>
          </cell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>
            <v>97354.872999999992</v>
          </cell>
          <cell r="K18">
            <v>92444.875</v>
          </cell>
          <cell r="L18">
            <v>90469.843999999997</v>
          </cell>
          <cell r="M18">
            <v>106151.787</v>
          </cell>
          <cell r="Q18">
            <v>859925.48600000003</v>
          </cell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>
            <v>12722.468999999999</v>
          </cell>
          <cell r="K19">
            <v>10810.249</v>
          </cell>
          <cell r="L19">
            <v>10273.546</v>
          </cell>
          <cell r="M19">
            <v>26749.444</v>
          </cell>
          <cell r="Q19">
            <v>135228.921</v>
          </cell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>
            <v>2219.4360000000001</v>
          </cell>
          <cell r="K20">
            <v>1949.855</v>
          </cell>
          <cell r="L20">
            <v>1640.944</v>
          </cell>
          <cell r="M20">
            <v>1499.46</v>
          </cell>
          <cell r="Q20">
            <v>25304.716</v>
          </cell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>
            <v>1787.662</v>
          </cell>
          <cell r="K21">
            <v>2813.91</v>
          </cell>
          <cell r="L21">
            <v>1484.14</v>
          </cell>
          <cell r="M21">
            <v>2096.6799999999998</v>
          </cell>
          <cell r="Q21">
            <v>19370.132000000001</v>
          </cell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>
            <v>0</v>
          </cell>
          <cell r="K22">
            <v>150</v>
          </cell>
          <cell r="L22">
            <v>150</v>
          </cell>
          <cell r="M22">
            <v>0</v>
          </cell>
          <cell r="Q22">
            <v>650</v>
          </cell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>
            <v>1695.8530000000001</v>
          </cell>
          <cell r="K23">
            <v>1475.009</v>
          </cell>
          <cell r="L23">
            <v>1648.7619999999999</v>
          </cell>
          <cell r="M23">
            <v>1326.7360000000001</v>
          </cell>
          <cell r="Q23">
            <v>14229.236000000001</v>
          </cell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>
            <v>566.16300000000001</v>
          </cell>
          <cell r="K24">
            <v>574.34199999999998</v>
          </cell>
          <cell r="L24">
            <v>453.05599999999998</v>
          </cell>
          <cell r="M24">
            <v>477.08699999999999</v>
          </cell>
          <cell r="Q24">
            <v>4401.2060000000001</v>
          </cell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>
            <v>170.892</v>
          </cell>
          <cell r="K25">
            <v>240.892</v>
          </cell>
          <cell r="L25">
            <v>220.892</v>
          </cell>
          <cell r="M25">
            <v>230.892</v>
          </cell>
          <cell r="Q25">
            <v>1718.0280000000002</v>
          </cell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>
            <v>3462.85</v>
          </cell>
          <cell r="K26">
            <v>3810.9</v>
          </cell>
          <cell r="L26">
            <v>3582.8</v>
          </cell>
          <cell r="M26">
            <v>3582.8</v>
          </cell>
          <cell r="Q26">
            <v>31753.599999999999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>
            <v>37.6</v>
          </cell>
          <cell r="K28">
            <v>28319.42</v>
          </cell>
          <cell r="L28">
            <v>222.52</v>
          </cell>
          <cell r="M28">
            <v>40</v>
          </cell>
          <cell r="Q28">
            <v>60082.679999999993</v>
          </cell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>
            <v>125.82</v>
          </cell>
          <cell r="K29">
            <v>55.2</v>
          </cell>
          <cell r="L29">
            <v>89.9</v>
          </cell>
          <cell r="M29">
            <v>39</v>
          </cell>
          <cell r="Q29">
            <v>885.49000000000012</v>
          </cell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>
            <v>6187.9579999999996</v>
          </cell>
          <cell r="K30">
            <v>6411.683</v>
          </cell>
          <cell r="L30">
            <v>6228.8789999999999</v>
          </cell>
          <cell r="M30">
            <v>6170.7790000000005</v>
          </cell>
          <cell r="Q30">
            <v>56133.398999999998</v>
          </cell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>
            <v>7360.41</v>
          </cell>
          <cell r="K31">
            <v>8734.0300000000007</v>
          </cell>
          <cell r="L31">
            <v>7394.56</v>
          </cell>
          <cell r="M31">
            <v>16464.91</v>
          </cell>
          <cell r="Q31">
            <v>85231.346999999994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>
            <v>163.09700000000001</v>
          </cell>
          <cell r="K33">
            <v>425.44299999999998</v>
          </cell>
          <cell r="L33">
            <v>82.5</v>
          </cell>
          <cell r="M33">
            <v>30.9</v>
          </cell>
          <cell r="Q33">
            <v>1537.6289999999999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>
            <v>36500.21</v>
          </cell>
          <cell r="K36">
            <v>65770.933000000005</v>
          </cell>
          <cell r="L36">
            <v>33472.499000000003</v>
          </cell>
          <cell r="M36">
            <v>58708.688000000002</v>
          </cell>
          <cell r="Q36">
            <v>436526.38399999996</v>
          </cell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>
            <v>133855.08299999998</v>
          </cell>
          <cell r="K37">
            <v>158215.80800000002</v>
          </cell>
          <cell r="L37">
            <v>123942.34299999999</v>
          </cell>
          <cell r="M37">
            <v>164860.47500000001</v>
          </cell>
          <cell r="Q37">
            <v>1296451.8700000001</v>
          </cell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>
            <v>41202.721000000485</v>
          </cell>
          <cell r="K38">
            <v>-41636.629000000481</v>
          </cell>
          <cell r="L38">
            <v>23347.287000000826</v>
          </cell>
          <cell r="M38">
            <v>18858.903000000486</v>
          </cell>
          <cell r="Q38">
            <v>10048.808000002988</v>
          </cell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>
            <v>5556.652</v>
          </cell>
          <cell r="K39">
            <v>5186.2629999999999</v>
          </cell>
          <cell r="L39">
            <v>5186.2529999999997</v>
          </cell>
          <cell r="M39">
            <v>5186.2629999999999</v>
          </cell>
          <cell r="Q39">
            <v>49712.156999999999</v>
          </cell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>
            <v>35646.069000000483</v>
          </cell>
          <cell r="K40">
            <v>-46822.89200000048</v>
          </cell>
          <cell r="L40">
            <v>18161.034000000825</v>
          </cell>
          <cell r="M40">
            <v>13672.640000000487</v>
          </cell>
          <cell r="Q40">
            <v>-39663.348999997012</v>
          </cell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>
            <v>5.0515310437367024E-3</v>
          </cell>
          <cell r="K41">
            <v>-6.3662462282751504E-3</v>
          </cell>
          <cell r="L41">
            <v>2.8327599516451427E-3</v>
          </cell>
          <cell r="M41">
            <v>1.7966184905365927E-3</v>
          </cell>
          <cell r="Q41">
            <v>-5.1579443512321326E-4</v>
          </cell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>
            <v>779915.72567572771</v>
          </cell>
          <cell r="K44">
            <v>794077.93162643479</v>
          </cell>
          <cell r="L44">
            <v>765881.71758050087</v>
          </cell>
          <cell r="M44">
            <v>791593.63411319733</v>
          </cell>
          <cell r="Q44">
            <v>771445.90550164098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>
            <v>1047952.8774608148</v>
          </cell>
          <cell r="K45">
            <v>943069.21176448558</v>
          </cell>
          <cell r="L45">
            <v>940764.5263237136</v>
          </cell>
          <cell r="M45">
            <v>957993.30077587778</v>
          </cell>
          <cell r="Q45">
            <v>905808.67139323568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>
            <v>1021955.1962822818</v>
          </cell>
          <cell r="K46">
            <v>928120.98226638709</v>
          </cell>
          <cell r="L46">
            <v>919151.16536206997</v>
          </cell>
          <cell r="M46">
            <v>934866.21428629861</v>
          </cell>
          <cell r="Q46">
            <v>890418.85692433221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>
            <v>25997.681178533006</v>
          </cell>
          <cell r="K47">
            <v>14948.229498098488</v>
          </cell>
          <cell r="L47">
            <v>21613.36096164363</v>
          </cell>
          <cell r="M47">
            <v>23127.086489579175</v>
          </cell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>
            <v>0.74422785837991123</v>
          </cell>
          <cell r="K48">
            <v>0.84201447965914644</v>
          </cell>
          <cell r="L48">
            <v>0.81410565146773373</v>
          </cell>
          <cell r="M48">
            <v>0.82630393497750609</v>
          </cell>
          <cell r="Q48">
            <v>0.85166540116586675</v>
          </cell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>
            <v>0.25577214162008877</v>
          </cell>
          <cell r="K49">
            <v>0.1579855203408535</v>
          </cell>
          <cell r="L49">
            <v>0.18589434853226625</v>
          </cell>
          <cell r="M49">
            <v>0.17369606502249388</v>
          </cell>
          <cell r="Q49">
            <v>0.14833459883413325</v>
          </cell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>
            <v>2.5690430727950502E-2</v>
          </cell>
          <cell r="K50">
            <v>1.3537465010160435E-2</v>
          </cell>
          <cell r="L50">
            <v>2.2615170311533105E-2</v>
          </cell>
          <cell r="M50">
            <v>2.4112163211421126E-2</v>
          </cell>
          <cell r="Q50">
            <v>1.5244612423848235E-2</v>
          </cell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>
            <v>2.2240611850707564E-2</v>
          </cell>
          <cell r="K51">
            <v>2.8179013425986693E-2</v>
          </cell>
          <cell r="L51">
            <v>2.4546812296310623E-2</v>
          </cell>
          <cell r="M51">
            <v>2.4279204807000229E-2</v>
          </cell>
          <cell r="Q51">
            <v>2.7012101228213146E-2</v>
          </cell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>
            <v>2.4808063165516665E-2</v>
          </cell>
          <cell r="K52">
            <v>1.5850617655230544E-2</v>
          </cell>
          <cell r="L52">
            <v>2.2974251639890895E-2</v>
          </cell>
          <cell r="M52">
            <v>2.4141177679268294E-2</v>
          </cell>
          <cell r="Q52">
            <v>1.6990138154928811E-2</v>
          </cell>
        </row>
      </sheetData>
      <sheetData sheetId="1">
        <row r="8">
          <cell r="G8">
            <v>8735.5020000000004</v>
          </cell>
        </row>
      </sheetData>
      <sheetData sheetId="2">
        <row r="8">
          <cell r="G8">
            <v>9724.5229999999992</v>
          </cell>
        </row>
      </sheetData>
      <sheetData sheetId="3">
        <row r="8">
          <cell r="G8">
            <v>15762.77</v>
          </cell>
        </row>
      </sheetData>
      <sheetData sheetId="4">
        <row r="8">
          <cell r="G8">
            <v>11123.664999999999</v>
          </cell>
        </row>
      </sheetData>
      <sheetData sheetId="5">
        <row r="8">
          <cell r="G8">
            <v>10256.286000000002</v>
          </cell>
        </row>
      </sheetData>
      <sheetData sheetId="6">
        <row r="8">
          <cell r="G8">
            <v>6733.5930000000008</v>
          </cell>
        </row>
      </sheetData>
      <sheetData sheetId="7">
        <row r="8">
          <cell r="G8">
            <v>7798.8620000000001</v>
          </cell>
        </row>
      </sheetData>
      <sheetData sheetId="8">
        <row r="8">
          <cell r="G8">
            <v>6814.7489999999989</v>
          </cell>
        </row>
      </sheetData>
      <sheetData sheetId="9">
        <row r="8">
          <cell r="G8">
            <v>7943.9050000000007</v>
          </cell>
        </row>
        <row r="9">
          <cell r="G9">
            <v>6288344.6279999996</v>
          </cell>
          <cell r="J9">
            <v>1321863.1440000003</v>
          </cell>
        </row>
        <row r="10">
          <cell r="F10">
            <v>873809.5238095239</v>
          </cell>
          <cell r="G10">
            <v>791593.63411319733</v>
          </cell>
        </row>
        <row r="11">
          <cell r="G11">
            <v>6136719.0360000003</v>
          </cell>
          <cell r="J11">
            <v>1289769.3579999991</v>
          </cell>
        </row>
        <row r="15">
          <cell r="F15">
            <v>2.4058583106267031E-2</v>
          </cell>
          <cell r="G15">
            <v>2.4112163211421126E-2</v>
          </cell>
        </row>
        <row r="19">
          <cell r="M19">
            <v>106151.787</v>
          </cell>
        </row>
        <row r="37">
          <cell r="M37">
            <v>58708.688000000002</v>
          </cell>
        </row>
        <row r="40">
          <cell r="M40">
            <v>5186.2629999999999</v>
          </cell>
        </row>
        <row r="41">
          <cell r="M41">
            <v>13672.640000000487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G10">
            <v>879572.42936012533</v>
          </cell>
        </row>
      </sheetData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17823.312596588261</v>
          </cell>
          <cell r="X10">
            <v>16696</v>
          </cell>
        </row>
        <row r="14">
          <cell r="W14">
            <v>5000</v>
          </cell>
          <cell r="X14">
            <v>9248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13">
          <cell r="W13">
            <v>19403.928400000001</v>
          </cell>
          <cell r="X13">
            <v>14285</v>
          </cell>
        </row>
        <row r="15">
          <cell r="W15">
            <v>19000</v>
          </cell>
          <cell r="X15">
            <v>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 refreshError="1"/>
      <sheetData sheetId="1">
        <row r="10">
          <cell r="F10">
            <v>22768.423655913983</v>
          </cell>
          <cell r="G10">
            <v>17452</v>
          </cell>
        </row>
        <row r="12">
          <cell r="F12">
            <v>21000</v>
          </cell>
          <cell r="G12">
            <v>16576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85">
          <cell r="S85">
            <v>32178</v>
          </cell>
        </row>
        <row r="86">
          <cell r="S86">
            <v>14773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2101160.8200000003</v>
          </cell>
        </row>
        <row r="85">
          <cell r="Q85">
            <v>100779.41930059918</v>
          </cell>
          <cell r="R85">
            <v>98349.367117269881</v>
          </cell>
        </row>
        <row r="89">
          <cell r="Q89">
            <v>79512.456626254221</v>
          </cell>
          <cell r="R89">
            <v>79731.411913534525</v>
          </cell>
        </row>
      </sheetData>
      <sheetData sheetId="1">
        <row r="85">
          <cell r="Q85">
            <v>97850.428162754717</v>
          </cell>
          <cell r="R85">
            <v>96020.176856209466</v>
          </cell>
        </row>
        <row r="89">
          <cell r="Q89">
            <v>80883.82386730898</v>
          </cell>
          <cell r="R89">
            <v>80999.558861047597</v>
          </cell>
        </row>
      </sheetData>
      <sheetData sheetId="2">
        <row r="85">
          <cell r="Q85">
            <v>100539.31367754792</v>
          </cell>
          <cell r="R85">
            <v>98629.965402647387</v>
          </cell>
        </row>
        <row r="89">
          <cell r="Q89">
            <v>78962.690095191341</v>
          </cell>
          <cell r="R89">
            <v>78970.312886936183</v>
          </cell>
        </row>
      </sheetData>
      <sheetData sheetId="3"/>
      <sheetData sheetId="4">
        <row r="85">
          <cell r="Q85">
            <v>106971.67479103523</v>
          </cell>
          <cell r="R85">
            <v>101814.44470863468</v>
          </cell>
        </row>
        <row r="89">
          <cell r="Q89">
            <v>78121.32806696216</v>
          </cell>
          <cell r="R89">
            <v>79222.815541004355</v>
          </cell>
        </row>
      </sheetData>
      <sheetData sheetId="5">
        <row r="2">
          <cell r="N2">
            <v>343000</v>
          </cell>
        </row>
        <row r="85">
          <cell r="Q85">
            <v>98931.740017492702</v>
          </cell>
          <cell r="R85">
            <v>96270.55737980135</v>
          </cell>
        </row>
        <row r="86">
          <cell r="H86">
            <v>3111430.3907519216</v>
          </cell>
          <cell r="I86">
            <v>1943560.7619999936</v>
          </cell>
        </row>
        <row r="89">
          <cell r="Q89">
            <v>81672.588575264686</v>
          </cell>
          <cell r="R89">
            <v>79937.523111955757</v>
          </cell>
        </row>
        <row r="92">
          <cell r="H92">
            <v>1184335.3529477161</v>
          </cell>
          <cell r="I92">
            <v>49689.828488815809</v>
          </cell>
        </row>
      </sheetData>
      <sheetData sheetId="6">
        <row r="2">
          <cell r="N2">
            <v>250000</v>
          </cell>
        </row>
        <row r="85">
          <cell r="Q85">
            <v>98780.158595869972</v>
          </cell>
          <cell r="R85">
            <v>97304.32847543736</v>
          </cell>
        </row>
        <row r="86">
          <cell r="H86">
            <v>1248015.9799837205</v>
          </cell>
          <cell r="I86">
            <v>248331.37100999488</v>
          </cell>
        </row>
        <row r="89">
          <cell r="Q89">
            <v>82800.800246770261</v>
          </cell>
          <cell r="R89">
            <v>84427.620220145618</v>
          </cell>
        </row>
        <row r="92">
          <cell r="H92">
            <v>-142859.33103439654</v>
          </cell>
          <cell r="I92">
            <v>-1343887.2441053577</v>
          </cell>
        </row>
      </sheetData>
      <sheetData sheetId="7">
        <row r="2">
          <cell r="N2">
            <v>185000</v>
          </cell>
        </row>
        <row r="85">
          <cell r="Q85">
            <v>96591.237491891894</v>
          </cell>
          <cell r="R85">
            <v>92965.431529322683</v>
          </cell>
        </row>
        <row r="86">
          <cell r="H86">
            <v>924827.77970779291</v>
          </cell>
          <cell r="I86">
            <v>-343232.93999999948</v>
          </cell>
        </row>
        <row r="89">
          <cell r="Q89">
            <v>80077.730445808847</v>
          </cell>
          <cell r="R89">
            <v>78391.690578756694</v>
          </cell>
        </row>
        <row r="92">
          <cell r="H92">
            <v>-81036.471151870908</v>
          </cell>
          <cell r="I92">
            <v>-1060917.5093190952</v>
          </cell>
        </row>
      </sheetData>
      <sheetData sheetId="8">
        <row r="2">
          <cell r="N2">
            <v>125000</v>
          </cell>
        </row>
        <row r="85">
          <cell r="Q85">
            <v>94887.449760000018</v>
          </cell>
          <cell r="R85">
            <v>95483.473322608508</v>
          </cell>
        </row>
        <row r="86">
          <cell r="H86">
            <v>771505.92496965779</v>
          </cell>
          <cell r="I86">
            <v>-50408.565000002243</v>
          </cell>
        </row>
        <row r="89">
          <cell r="Q89">
            <v>76078.519013576093</v>
          </cell>
          <cell r="R89">
            <v>78322.443895331671</v>
          </cell>
        </row>
        <row r="92">
          <cell r="H92">
            <v>108721.62181769148</v>
          </cell>
          <cell r="I92">
            <v>-627037.88390883745</v>
          </cell>
        </row>
      </sheetData>
      <sheetData sheetId="9">
        <row r="2">
          <cell r="N2">
            <v>178000</v>
          </cell>
        </row>
        <row r="85">
          <cell r="Q85">
            <v>107699.97257773034</v>
          </cell>
          <cell r="R85">
            <v>107472.86032761408</v>
          </cell>
        </row>
        <row r="86">
          <cell r="H86">
            <v>1630315.6580998201</v>
          </cell>
          <cell r="I86">
            <v>1775678.2679999997</v>
          </cell>
        </row>
        <row r="89">
          <cell r="Q89">
            <v>84778.08228751384</v>
          </cell>
          <cell r="R89">
            <v>84504.504815701948</v>
          </cell>
        </row>
        <row r="92">
          <cell r="H92">
            <v>518088.1820019416</v>
          </cell>
          <cell r="I92">
            <v>427052.89520196756</v>
          </cell>
        </row>
      </sheetData>
      <sheetData sheetId="10">
        <row r="2">
          <cell r="N2">
            <v>175000</v>
          </cell>
        </row>
        <row r="85">
          <cell r="Q85">
            <v>99299.992854742974</v>
          </cell>
          <cell r="R85">
            <v>97884.636260418891</v>
          </cell>
        </row>
        <row r="86">
          <cell r="H86">
            <v>1633625.4634911863</v>
          </cell>
          <cell r="I86">
            <v>1008057.2559999995</v>
          </cell>
        </row>
        <row r="89">
          <cell r="Q89">
            <v>78152.266645586977</v>
          </cell>
          <cell r="R89">
            <v>77536.310488804549</v>
          </cell>
        </row>
        <row r="92">
          <cell r="H92">
            <v>629743.85843667353</v>
          </cell>
          <cell r="I92">
            <v>-8195.6009186052252</v>
          </cell>
        </row>
      </sheetData>
      <sheetData sheetId="11">
        <row r="2">
          <cell r="N2">
            <v>122000</v>
          </cell>
        </row>
        <row r="85">
          <cell r="Q85">
            <v>96299.884016393436</v>
          </cell>
          <cell r="R85">
            <v>89655.117259552033</v>
          </cell>
        </row>
        <row r="86">
          <cell r="H86">
            <v>1009232.3153022564</v>
          </cell>
          <cell r="I86">
            <v>-308431.96800000069</v>
          </cell>
        </row>
        <row r="89">
          <cell r="Q89">
            <v>76650.363693333056</v>
          </cell>
          <cell r="R89">
            <v>76602.044426877474</v>
          </cell>
        </row>
        <row r="92">
          <cell r="H92">
            <v>321638.06415088044</v>
          </cell>
          <cell r="I92">
            <v>-802986.52632589778</v>
          </cell>
        </row>
      </sheetData>
      <sheetData sheetId="12">
        <row r="2">
          <cell r="N2">
            <v>170000</v>
          </cell>
        </row>
        <row r="85">
          <cell r="Q85">
            <v>101999.89212705883</v>
          </cell>
          <cell r="R85">
            <v>99613.25994219743</v>
          </cell>
        </row>
        <row r="86">
          <cell r="H86">
            <v>1420315.2966126364</v>
          </cell>
          <cell r="I86">
            <v>1637445.4720000047</v>
          </cell>
        </row>
        <row r="89">
          <cell r="Q89">
            <v>82161.567508422391</v>
          </cell>
          <cell r="R89">
            <v>81683.466758299532</v>
          </cell>
        </row>
        <row r="92">
          <cell r="H92">
            <v>407226.40617605252</v>
          </cell>
          <cell r="I92">
            <v>252212.51131745614</v>
          </cell>
        </row>
      </sheetData>
      <sheetData sheetId="13">
        <row r="2">
          <cell r="N2">
            <v>102000</v>
          </cell>
        </row>
        <row r="85">
          <cell r="Q85">
            <v>94537.142156862741</v>
          </cell>
          <cell r="R85">
            <v>92573.855964585295</v>
          </cell>
        </row>
        <row r="86">
          <cell r="H86">
            <v>803930.13339910249</v>
          </cell>
          <cell r="I86">
            <v>-32841.494999998977</v>
          </cell>
        </row>
        <row r="89">
          <cell r="Q89">
            <v>73816.91448628332</v>
          </cell>
          <cell r="R89">
            <v>73300.907334348114</v>
          </cell>
        </row>
        <row r="92">
          <cell r="H92">
            <v>242301.60454795207</v>
          </cell>
          <cell r="I92">
            <v>-457736.80880963616</v>
          </cell>
        </row>
      </sheetData>
      <sheetData sheetId="14">
        <row r="2">
          <cell r="N2">
            <v>104000</v>
          </cell>
        </row>
        <row r="85">
          <cell r="Q85">
            <v>100723.35630565386</v>
          </cell>
          <cell r="R85">
            <v>95672.368308757301</v>
          </cell>
        </row>
        <row r="86">
          <cell r="H86">
            <v>851692.77603496052</v>
          </cell>
          <cell r="I86">
            <v>279170.2560000011</v>
          </cell>
        </row>
        <row r="89">
          <cell r="Q89">
            <v>76030.870661918176</v>
          </cell>
          <cell r="R89">
            <v>73119.145565720246</v>
          </cell>
        </row>
        <row r="92">
          <cell r="H92">
            <v>248123.7589643579</v>
          </cell>
          <cell r="I92">
            <v>-288160.14216302976</v>
          </cell>
        </row>
      </sheetData>
      <sheetData sheetId="15">
        <row r="2">
          <cell r="N2">
            <v>109000</v>
          </cell>
        </row>
        <row r="85">
          <cell r="Q85">
            <v>97046.759248987306</v>
          </cell>
          <cell r="R85">
            <v>88812.053431351073</v>
          </cell>
        </row>
        <row r="86">
          <cell r="H86">
            <v>965080.73791845143</v>
          </cell>
          <cell r="I86">
            <v>84779.200999999215</v>
          </cell>
        </row>
        <row r="89">
          <cell r="Q89">
            <v>73065.937540913699</v>
          </cell>
          <cell r="R89">
            <v>72757.335748871483</v>
          </cell>
        </row>
        <row r="92">
          <cell r="H92">
            <v>349665.34361525509</v>
          </cell>
          <cell r="I92">
            <v>-487656.05738263193</v>
          </cell>
        </row>
      </sheetData>
      <sheetData sheetId="16">
        <row r="2">
          <cell r="N2">
            <v>107000</v>
          </cell>
        </row>
        <row r="85">
          <cell r="Q85">
            <v>102267.96261682243</v>
          </cell>
          <cell r="R85">
            <v>104273.72065424797</v>
          </cell>
        </row>
        <row r="86">
          <cell r="H86">
            <v>811417.17596740439</v>
          </cell>
          <cell r="I86">
            <v>884600.63699999882</v>
          </cell>
        </row>
        <row r="89">
          <cell r="Q89">
            <v>81930.010803696729</v>
          </cell>
          <cell r="R89">
            <v>82114.199393725197</v>
          </cell>
        </row>
        <row r="92">
          <cell r="H92">
            <v>181536.44113424106</v>
          </cell>
          <cell r="I92">
            <v>168096.70577395766</v>
          </cell>
        </row>
      </sheetData>
      <sheetData sheetId="17">
        <row r="2">
          <cell r="N2">
            <v>198000</v>
          </cell>
        </row>
        <row r="85">
          <cell r="Q85">
            <v>103000</v>
          </cell>
          <cell r="R85">
            <v>96285.550467990921</v>
          </cell>
        </row>
        <row r="86">
          <cell r="H86">
            <v>2582828.063658285</v>
          </cell>
          <cell r="I86">
            <v>775938.52400000114</v>
          </cell>
        </row>
        <row r="89">
          <cell r="Q89">
            <v>78430.65184391386</v>
          </cell>
          <cell r="R89">
            <v>80648.049928514112</v>
          </cell>
        </row>
        <row r="92">
          <cell r="H92">
            <v>1480321.5812038346</v>
          </cell>
          <cell r="I92">
            <v>-438834.62397691351</v>
          </cell>
        </row>
      </sheetData>
      <sheetData sheetId="18">
        <row r="2">
          <cell r="N2">
            <v>95000</v>
          </cell>
        </row>
        <row r="85">
          <cell r="Q85">
            <v>98291.494279999999</v>
          </cell>
          <cell r="R85">
            <v>97270.561627222312</v>
          </cell>
        </row>
        <row r="86">
          <cell r="H86">
            <v>996574.96553216502</v>
          </cell>
          <cell r="I86">
            <v>1109487.6289999993</v>
          </cell>
        </row>
        <row r="89">
          <cell r="Q89">
            <v>73170.209426445042</v>
          </cell>
          <cell r="R89">
            <v>75316.487808518665</v>
          </cell>
        </row>
        <row r="92">
          <cell r="H92">
            <v>490131.35526874987</v>
          </cell>
          <cell r="I92">
            <v>378881.99179641041</v>
          </cell>
        </row>
      </sheetData>
      <sheetData sheetId="19">
        <row r="2">
          <cell r="N2">
            <v>62500</v>
          </cell>
        </row>
        <row r="85">
          <cell r="Q85">
            <v>110969.74692800002</v>
          </cell>
          <cell r="R85">
            <v>109962.98199691117</v>
          </cell>
        </row>
        <row r="86">
          <cell r="H86">
            <v>1634809.1862049855</v>
          </cell>
          <cell r="I86">
            <v>912852.08699999878</v>
          </cell>
        </row>
        <row r="89">
          <cell r="Q89">
            <v>72593.977863386914</v>
          </cell>
          <cell r="R89">
            <v>72408.714818697234</v>
          </cell>
        </row>
        <row r="92">
          <cell r="H92">
            <v>1261487.8727758061</v>
          </cell>
          <cell r="I92">
            <v>588095.66346724215</v>
          </cell>
        </row>
      </sheetData>
      <sheetData sheetId="20">
        <row r="2">
          <cell r="N2">
            <v>40000</v>
          </cell>
        </row>
        <row r="85">
          <cell r="Q85">
            <v>112000</v>
          </cell>
          <cell r="R85">
            <v>108890.34201858107</v>
          </cell>
        </row>
        <row r="86">
          <cell r="H86">
            <v>699094.05530601821</v>
          </cell>
          <cell r="I86">
            <v>82862.910999999731</v>
          </cell>
        </row>
        <row r="89">
          <cell r="Q89">
            <v>73330.309992243259</v>
          </cell>
          <cell r="R89">
            <v>71727.811739864876</v>
          </cell>
        </row>
        <row r="92">
          <cell r="H92">
            <v>456134.31203581381</v>
          </cell>
          <cell r="I92">
            <v>-97829.558930757456</v>
          </cell>
        </row>
      </sheetData>
      <sheetData sheetId="21">
        <row r="2">
          <cell r="N2">
            <v>73000</v>
          </cell>
        </row>
        <row r="85">
          <cell r="Q85">
            <v>122862.03424657535</v>
          </cell>
          <cell r="R85">
            <v>122898.30090729948</v>
          </cell>
        </row>
        <row r="86">
          <cell r="H86">
            <v>1443050.1206956266</v>
          </cell>
          <cell r="I86">
            <v>632624.19000000227</v>
          </cell>
        </row>
        <row r="89">
          <cell r="Q89">
            <v>91083.112638536113</v>
          </cell>
          <cell r="R89">
            <v>92689.848814310331</v>
          </cell>
        </row>
        <row r="92">
          <cell r="H92">
            <v>948202.45763409173</v>
          </cell>
          <cell r="I92">
            <v>217284.1210997795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101167.04881691915</v>
          </cell>
        </row>
        <row r="89">
          <cell r="Q89">
            <v>78862.46728159608</v>
          </cell>
        </row>
      </sheetData>
      <sheetData sheetId="1">
        <row r="85">
          <cell r="Q85">
            <v>99076.406132854987</v>
          </cell>
        </row>
        <row r="89">
          <cell r="Q89">
            <v>80800.204799494124</v>
          </cell>
        </row>
      </sheetData>
      <sheetData sheetId="2">
        <row r="85">
          <cell r="Q85">
            <v>101125.79342513959</v>
          </cell>
        </row>
        <row r="89">
          <cell r="Q89">
            <v>78591.615110637038</v>
          </cell>
        </row>
      </sheetData>
      <sheetData sheetId="3"/>
      <sheetData sheetId="4"/>
      <sheetData sheetId="5">
        <row r="85">
          <cell r="Q85">
            <v>105285.08994136998</v>
          </cell>
        </row>
        <row r="89">
          <cell r="Q89">
            <v>75825.962706816747</v>
          </cell>
        </row>
      </sheetData>
      <sheetData sheetId="6">
        <row r="5">
          <cell r="T5">
            <v>334616</v>
          </cell>
        </row>
        <row r="85">
          <cell r="Q85">
            <v>99684.171921484201</v>
          </cell>
        </row>
        <row r="86">
          <cell r="H86">
            <v>3343729.9199999976</v>
          </cell>
        </row>
        <row r="89">
          <cell r="Q89">
            <v>81441.595387351845</v>
          </cell>
        </row>
        <row r="92">
          <cell r="H92">
            <v>1669922.8787289844</v>
          </cell>
        </row>
      </sheetData>
      <sheetData sheetId="7">
        <row r="5">
          <cell r="T5">
            <v>240614</v>
          </cell>
        </row>
        <row r="85">
          <cell r="Q85">
            <v>99965.701191674088</v>
          </cell>
        </row>
        <row r="86">
          <cell r="H86">
            <v>1598468.00501</v>
          </cell>
        </row>
        <row r="89">
          <cell r="Q89">
            <v>82345.503357963928</v>
          </cell>
        </row>
        <row r="92">
          <cell r="H92">
            <v>388520.57610668708</v>
          </cell>
        </row>
      </sheetData>
      <sheetData sheetId="8">
        <row r="5">
          <cell r="T5">
            <v>217430</v>
          </cell>
        </row>
        <row r="85">
          <cell r="Q85">
            <v>97669.561846317039</v>
          </cell>
        </row>
        <row r="86">
          <cell r="H86">
            <v>1620519.986000001</v>
          </cell>
        </row>
        <row r="89">
          <cell r="Q89">
            <v>80630.911460417003</v>
          </cell>
        </row>
        <row r="92">
          <cell r="H92">
            <v>535249.32085381658</v>
          </cell>
        </row>
      </sheetData>
      <sheetData sheetId="9">
        <row r="5">
          <cell r="T5">
            <v>102597.5</v>
          </cell>
        </row>
        <row r="85">
          <cell r="Q85">
            <v>97948.633763579288</v>
          </cell>
        </row>
        <row r="86">
          <cell r="H86">
            <v>861137.19300000067</v>
          </cell>
        </row>
        <row r="89">
          <cell r="Q89">
            <v>75397.686317268075</v>
          </cell>
        </row>
        <row r="92">
          <cell r="H92">
            <v>373749.07669161935</v>
          </cell>
        </row>
      </sheetData>
      <sheetData sheetId="10">
        <row r="5">
          <cell r="T5">
            <v>180490.5</v>
          </cell>
        </row>
        <row r="85">
          <cell r="Q85">
            <v>108121.3395774293</v>
          </cell>
        </row>
        <row r="86">
          <cell r="H86">
            <v>1993254.315000002</v>
          </cell>
        </row>
        <row r="89">
          <cell r="Q89">
            <v>83970.264187235967</v>
          </cell>
        </row>
        <row r="92">
          <cell r="H92">
            <v>1006831.2126745225</v>
          </cell>
        </row>
      </sheetData>
      <sheetData sheetId="11">
        <row r="5">
          <cell r="T5">
            <v>187509</v>
          </cell>
        </row>
        <row r="85">
          <cell r="Q85">
            <v>101146.83903888524</v>
          </cell>
        </row>
        <row r="86">
          <cell r="H86">
            <v>2157998.0279999995</v>
          </cell>
        </row>
        <row r="89">
          <cell r="Q89">
            <v>78909.296380007829</v>
          </cell>
        </row>
        <row r="92">
          <cell r="H92">
            <v>1184644.7800206104</v>
          </cell>
        </row>
      </sheetData>
      <sheetData sheetId="12">
        <row r="5">
          <cell r="T5">
            <v>120628</v>
          </cell>
        </row>
        <row r="85">
          <cell r="Q85">
            <v>95792.183456542436</v>
          </cell>
        </row>
        <row r="86">
          <cell r="H86">
            <v>709657.61099999852</v>
          </cell>
        </row>
        <row r="89">
          <cell r="Q89">
            <v>78786.82704707318</v>
          </cell>
        </row>
        <row r="92">
          <cell r="H92">
            <v>122688.05694124766</v>
          </cell>
        </row>
      </sheetData>
      <sheetData sheetId="13">
        <row r="5">
          <cell r="T5">
            <v>175433.5</v>
          </cell>
        </row>
        <row r="85">
          <cell r="Q85">
            <v>101435.34929189694</v>
          </cell>
        </row>
        <row r="86">
          <cell r="H86">
            <v>1600250.9530000002</v>
          </cell>
        </row>
        <row r="89">
          <cell r="Q89">
            <v>81822.96916236823</v>
          </cell>
        </row>
        <row r="92">
          <cell r="H92">
            <v>692999.54675088672</v>
          </cell>
        </row>
      </sheetData>
      <sheetData sheetId="14">
        <row r="5">
          <cell r="T5">
            <v>112781</v>
          </cell>
        </row>
        <row r="85">
          <cell r="Q85">
            <v>92565.700055860478</v>
          </cell>
        </row>
        <row r="86">
          <cell r="H86">
            <v>933800.31200000132</v>
          </cell>
        </row>
        <row r="89">
          <cell r="Q89">
            <v>73029.102760069858</v>
          </cell>
        </row>
        <row r="92">
          <cell r="H92">
            <v>399435.67880065157</v>
          </cell>
        </row>
      </sheetData>
      <sheetData sheetId="15">
        <row r="5">
          <cell r="T5">
            <v>156069.5</v>
          </cell>
        </row>
        <row r="85">
          <cell r="Q85">
            <v>101455.63995527635</v>
          </cell>
        </row>
        <row r="86">
          <cell r="H86">
            <v>2362191.1920000031</v>
          </cell>
        </row>
        <row r="89">
          <cell r="Q89">
            <v>74911.761469241828</v>
          </cell>
        </row>
        <row r="92">
          <cell r="H92">
            <v>1543857.6932895856</v>
          </cell>
        </row>
      </sheetData>
      <sheetData sheetId="16">
        <row r="5">
          <cell r="T5">
            <v>140243</v>
          </cell>
        </row>
        <row r="85">
          <cell r="Q85">
            <v>100805.66197243356</v>
          </cell>
        </row>
        <row r="86">
          <cell r="H86">
            <v>2116069.6999999983</v>
          </cell>
        </row>
        <row r="89">
          <cell r="Q89">
            <v>74446.444647210621</v>
          </cell>
        </row>
        <row r="92">
          <cell r="H92">
            <v>1394025.1644967864</v>
          </cell>
        </row>
      </sheetData>
      <sheetData sheetId="17">
        <row r="5">
          <cell r="T5">
            <v>94507</v>
          </cell>
        </row>
        <row r="85">
          <cell r="Q85">
            <v>103990.06996307154</v>
          </cell>
        </row>
        <row r="86">
          <cell r="H86">
            <v>1080419.3490000013</v>
          </cell>
        </row>
        <row r="89">
          <cell r="Q89">
            <v>80241.74110145295</v>
          </cell>
        </row>
        <row r="92">
          <cell r="H92">
            <v>560667.43694284419</v>
          </cell>
        </row>
      </sheetData>
      <sheetData sheetId="18">
        <row r="5">
          <cell r="T5">
            <v>231919</v>
          </cell>
        </row>
        <row r="85">
          <cell r="Q85">
            <v>101260.30661874369</v>
          </cell>
        </row>
        <row r="86">
          <cell r="H86">
            <v>3364525.8369999938</v>
          </cell>
        </row>
        <row r="89">
          <cell r="Q89">
            <v>76950.847480163531</v>
          </cell>
        </row>
        <row r="92">
          <cell r="H92">
            <v>2218554.9990304513</v>
          </cell>
        </row>
      </sheetData>
      <sheetData sheetId="19">
        <row r="5">
          <cell r="T5">
            <v>50373</v>
          </cell>
        </row>
        <row r="85">
          <cell r="Q85">
            <v>112473.27552642034</v>
          </cell>
        </row>
        <row r="86">
          <cell r="H86">
            <v>1128702.7799999996</v>
          </cell>
        </row>
        <row r="89">
          <cell r="Q89">
            <v>73811.46791815653</v>
          </cell>
        </row>
        <row r="92">
          <cell r="H92">
            <v>854398.30741470808</v>
          </cell>
        </row>
      </sheetData>
      <sheetData sheetId="20">
        <row r="5">
          <cell r="T5">
            <v>76563.5</v>
          </cell>
        </row>
        <row r="85">
          <cell r="Q85">
            <v>113449.09707499853</v>
          </cell>
        </row>
        <row r="86">
          <cell r="H86">
            <v>2422077.3110000016</v>
          </cell>
        </row>
        <row r="89">
          <cell r="Q89">
            <v>72317.710525111324</v>
          </cell>
        </row>
        <row r="92">
          <cell r="H92">
            <v>1995215.6706978858</v>
          </cell>
        </row>
      </sheetData>
      <sheetData sheetId="21">
        <row r="5">
          <cell r="T5">
            <v>75480.5</v>
          </cell>
        </row>
        <row r="85">
          <cell r="Q85">
            <v>96338.475793464051</v>
          </cell>
        </row>
        <row r="86">
          <cell r="H86">
            <v>513821.39399999939</v>
          </cell>
        </row>
        <row r="89">
          <cell r="Q89">
            <v>71733.330078888277</v>
          </cell>
        </row>
        <row r="92">
          <cell r="H92">
            <v>167532.40218700725</v>
          </cell>
        </row>
      </sheetData>
      <sheetData sheetId="22">
        <row r="5">
          <cell r="T5">
            <v>31458.5</v>
          </cell>
        </row>
        <row r="85">
          <cell r="Q85">
            <v>124904.44754199976</v>
          </cell>
        </row>
        <row r="86">
          <cell r="H86">
            <v>325241.41599999939</v>
          </cell>
        </row>
        <row r="89">
          <cell r="Q89">
            <v>89107.933447477728</v>
          </cell>
        </row>
        <row r="92">
          <cell r="H92">
            <v>131733.84702421623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 refreshError="1"/>
      <sheetData sheetId="2" refreshError="1"/>
      <sheetData sheetId="3" refreshError="1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워BI용"/>
      <sheetName val="표지"/>
      <sheetName val="손익총괄"/>
      <sheetName val="레미콘 영업이익"/>
      <sheetName val="사업장별(당월)"/>
      <sheetName val="사업장별(누계)"/>
      <sheetName val="사업장별(당월)_건자재제외"/>
      <sheetName val="사업장별(누계)_건자재제외"/>
      <sheetName val="영업이익"/>
      <sheetName val="공헌이익"/>
      <sheetName val="재료비단가"/>
      <sheetName val="원단위"/>
      <sheetName val="건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K10">
            <v>88300</v>
          </cell>
          <cell r="L10">
            <v>76949.95</v>
          </cell>
          <cell r="N10">
            <v>70612.716</v>
          </cell>
        </row>
        <row r="12">
          <cell r="K12">
            <v>77055000</v>
          </cell>
          <cell r="L12">
            <v>59202672.214000002</v>
          </cell>
          <cell r="N12">
            <v>58726088.56000001</v>
          </cell>
        </row>
        <row r="13">
          <cell r="K13">
            <v>19436989.990400001</v>
          </cell>
          <cell r="L13">
            <v>10084710.021</v>
          </cell>
          <cell r="N13">
            <v>11485476.635999998</v>
          </cell>
        </row>
        <row r="15">
          <cell r="K15">
            <v>75206862.5</v>
          </cell>
          <cell r="L15">
            <v>58355912.636999995</v>
          </cell>
          <cell r="N15">
            <v>57456848.741999999</v>
          </cell>
        </row>
        <row r="16">
          <cell r="K16">
            <v>18679783.171343982</v>
          </cell>
          <cell r="L16">
            <v>9808688.2980000004</v>
          </cell>
          <cell r="N16">
            <v>11199940.170000002</v>
          </cell>
        </row>
        <row r="24">
          <cell r="K24">
            <v>709546.30000000016</v>
          </cell>
          <cell r="L24">
            <v>753773.69900000002</v>
          </cell>
          <cell r="N24">
            <v>709046.68099999998</v>
          </cell>
        </row>
        <row r="25">
          <cell r="K25">
            <v>304971.34400000004</v>
          </cell>
          <cell r="L25">
            <v>422343.58999999997</v>
          </cell>
          <cell r="N25">
            <v>390652.03099999996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52EE-16A8-48EB-8DBA-88364615F2BE}">
  <sheetPr>
    <tabColor theme="1" tint="0.34998626667073579"/>
  </sheetPr>
  <dimension ref="B2:J14"/>
  <sheetViews>
    <sheetView showGridLines="0" zoomScale="85" zoomScaleNormal="85" workbookViewId="0">
      <selection activeCell="K19" sqref="K19"/>
    </sheetView>
  </sheetViews>
  <sheetFormatPr defaultRowHeight="16.5" x14ac:dyDescent="0.3"/>
  <cols>
    <col min="2" max="3" width="12.75" customWidth="1"/>
    <col min="4" max="8" width="19.875" customWidth="1"/>
  </cols>
  <sheetData>
    <row r="2" spans="2:10" ht="26.25" customHeight="1" x14ac:dyDescent="0.3">
      <c r="B2" s="619" t="s">
        <v>11</v>
      </c>
      <c r="C2" s="620"/>
      <c r="D2" s="570" t="s">
        <v>36</v>
      </c>
      <c r="E2" s="571" t="s">
        <v>37</v>
      </c>
      <c r="F2" s="613" t="s">
        <v>38</v>
      </c>
      <c r="G2" s="571" t="s">
        <v>39</v>
      </c>
      <c r="H2" s="570" t="s">
        <v>38</v>
      </c>
      <c r="J2" s="569" t="s">
        <v>202</v>
      </c>
    </row>
    <row r="3" spans="2:10" ht="26.25" customHeight="1" x14ac:dyDescent="0.3">
      <c r="B3" s="614" t="s">
        <v>89</v>
      </c>
      <c r="C3" s="572" t="s">
        <v>40</v>
      </c>
      <c r="D3" s="573">
        <f>+'사업장별(누계)_건자재제외'!$J$27</f>
        <v>2438.5</v>
      </c>
      <c r="E3" s="575">
        <f>+'사업장별(누계)_건자재제외'!$K$27</f>
        <v>2103.4088199999997</v>
      </c>
      <c r="F3" s="588">
        <f>+E3/D3</f>
        <v>0.86258307156038538</v>
      </c>
      <c r="G3" s="575">
        <f>+'사업장별(누계)_건자재제외'!$M$27</f>
        <v>2528.7135000000003</v>
      </c>
      <c r="H3" s="590">
        <f>+E3/G3</f>
        <v>0.83180985904492521</v>
      </c>
    </row>
    <row r="4" spans="2:10" ht="26.25" customHeight="1" x14ac:dyDescent="0.3">
      <c r="B4" s="615"/>
      <c r="C4" s="576" t="s">
        <v>1</v>
      </c>
      <c r="D4" s="577">
        <f>+'사업장별(누계)_건자재제외'!$J$31</f>
        <v>863.24608685344447</v>
      </c>
      <c r="E4" s="579">
        <f>+'사업장별(누계)_건자재제외'!$K$31</f>
        <v>583.44299999999998</v>
      </c>
      <c r="F4" s="589">
        <f>+E4/D4</f>
        <v>0.67587100467106154</v>
      </c>
      <c r="G4" s="579">
        <f>+'사업장별(누계)_건자재제외'!$M$31</f>
        <v>654.21499999999992</v>
      </c>
      <c r="H4" s="591">
        <f>+E4/G4</f>
        <v>0.89182149599137905</v>
      </c>
    </row>
    <row r="5" spans="2:10" ht="26.25" customHeight="1" x14ac:dyDescent="0.3">
      <c r="B5" s="616" t="s">
        <v>169</v>
      </c>
      <c r="C5" s="572" t="s">
        <v>40</v>
      </c>
      <c r="D5" s="573">
        <f>+'사업장별(누계)_건자재제외'!$O$27</f>
        <v>245750.61396451111</v>
      </c>
      <c r="E5" s="575">
        <f>+'사업장별(누계)_건자재제외'!$P$27</f>
        <v>206858.461625</v>
      </c>
      <c r="F5" s="574">
        <f t="shared" ref="F5:F14" si="0">+E5-D5</f>
        <v>-38892.152339511114</v>
      </c>
      <c r="G5" s="575">
        <f>+'사업장별(누계)_건자재제외'!$R$27</f>
        <v>255794.30918599997</v>
      </c>
      <c r="H5" s="573">
        <f t="shared" ref="H5:H13" si="1">+E5-G5</f>
        <v>-48935.847560999973</v>
      </c>
    </row>
    <row r="6" spans="2:10" ht="26.25" customHeight="1" x14ac:dyDescent="0.3">
      <c r="B6" s="617"/>
      <c r="C6" s="580" t="s">
        <v>1</v>
      </c>
      <c r="D6" s="581">
        <f>+'사업장별(누계)_건자재제외'!$O$31</f>
        <v>15946.555164283413</v>
      </c>
      <c r="E6" s="583">
        <f>+'사업장별(누계)_건자재제외'!$P$31</f>
        <v>12077.289000000001</v>
      </c>
      <c r="F6" s="582">
        <f t="shared" si="0"/>
        <v>-3869.2661642834119</v>
      </c>
      <c r="G6" s="583">
        <f>+'사업장별(누계)'!$R$32</f>
        <v>13129.78558</v>
      </c>
      <c r="H6" s="581">
        <f t="shared" si="1"/>
        <v>-1052.4965799999991</v>
      </c>
    </row>
    <row r="7" spans="2:10" ht="26.25" customHeight="1" x14ac:dyDescent="0.3">
      <c r="B7" s="617"/>
      <c r="C7" s="576" t="s">
        <v>4</v>
      </c>
      <c r="D7" s="577">
        <f>+D8-D5-D6</f>
        <v>1356.4735000000128</v>
      </c>
      <c r="E7" s="579">
        <f>+E8-E5-E6</f>
        <v>1185.8852150000057</v>
      </c>
      <c r="F7" s="578">
        <f t="shared" si="0"/>
        <v>-170.58828500000709</v>
      </c>
      <c r="G7" s="579">
        <f>+G8-G5-G6</f>
        <v>1489.8753410000027</v>
      </c>
      <c r="H7" s="577">
        <f t="shared" si="1"/>
        <v>-303.99012599999696</v>
      </c>
    </row>
    <row r="8" spans="2:10" ht="26.25" customHeight="1" x14ac:dyDescent="0.3">
      <c r="B8" s="618"/>
      <c r="C8" s="584" t="s">
        <v>8</v>
      </c>
      <c r="D8" s="585">
        <f>+'사업장별(누계)_건자재제외'!$O$42</f>
        <v>263053.64262879454</v>
      </c>
      <c r="E8" s="587">
        <f>+'사업장별(누계)_건자재제외'!$P$42</f>
        <v>220121.63584</v>
      </c>
      <c r="F8" s="586">
        <f t="shared" si="0"/>
        <v>-42932.006788794533</v>
      </c>
      <c r="G8" s="587">
        <f>+'사업장별(누계)_건자재제외'!$R$42</f>
        <v>270413.97010699997</v>
      </c>
      <c r="H8" s="585">
        <f t="shared" si="1"/>
        <v>-50292.334266999969</v>
      </c>
    </row>
    <row r="9" spans="2:10" ht="26.25" customHeight="1" x14ac:dyDescent="0.3">
      <c r="B9" s="616" t="s">
        <v>7</v>
      </c>
      <c r="C9" s="572" t="s">
        <v>40</v>
      </c>
      <c r="D9" s="573">
        <f>+('사업장별(누계)_건자재제외'!$T$27+'사업장별(누계)_건자재제외'!$T$34)</f>
        <v>8603.7624105247887</v>
      </c>
      <c r="E9" s="575">
        <f>+'사업장별(누계)_건자재제외'!$U$27+'사업장별(누계)_건자재제외'!$U$34</f>
        <v>-3531.9282386951236</v>
      </c>
      <c r="F9" s="574">
        <f t="shared" si="0"/>
        <v>-12135.690649219912</v>
      </c>
      <c r="G9" s="575">
        <f>+'사업장별(누계)_건자재제외'!$W$27+'사업장별(누계)_건자재제외'!$W$34</f>
        <v>15240.026648652523</v>
      </c>
      <c r="H9" s="573">
        <f t="shared" si="1"/>
        <v>-18771.954887347645</v>
      </c>
    </row>
    <row r="10" spans="2:10" ht="26.25" customHeight="1" x14ac:dyDescent="0.3">
      <c r="B10" s="617"/>
      <c r="C10" s="580" t="s">
        <v>203</v>
      </c>
      <c r="D10" s="592">
        <f>+D9/D5</f>
        <v>3.5010135973728471E-2</v>
      </c>
      <c r="E10" s="594">
        <f>+E9/E5</f>
        <v>-1.7074129870973915E-2</v>
      </c>
      <c r="F10" s="593">
        <f t="shared" si="0"/>
        <v>-5.2084265844702382E-2</v>
      </c>
      <c r="G10" s="594">
        <f>+G9/G5</f>
        <v>5.9579224796478134E-2</v>
      </c>
      <c r="H10" s="592">
        <f>+E10-G10</f>
        <v>-7.6653354667452045E-2</v>
      </c>
    </row>
    <row r="11" spans="2:10" ht="26.25" customHeight="1" x14ac:dyDescent="0.3">
      <c r="B11" s="617"/>
      <c r="C11" s="580" t="s">
        <v>1</v>
      </c>
      <c r="D11" s="581">
        <f>+'사업장별(누계)_건자재제외'!$T$31</f>
        <v>1514.3590021385112</v>
      </c>
      <c r="E11" s="583">
        <f>+'사업장별(누계)_건자재제외'!$U$31</f>
        <v>-703.90961934529855</v>
      </c>
      <c r="F11" s="582">
        <f t="shared" si="0"/>
        <v>-2218.2686214838095</v>
      </c>
      <c r="G11" s="583">
        <f>+'사업장별(누계)_건자재제외'!$W$31</f>
        <v>145.96259835904826</v>
      </c>
      <c r="H11" s="581">
        <f t="shared" si="1"/>
        <v>-849.87221770434678</v>
      </c>
    </row>
    <row r="12" spans="2:10" ht="26.25" customHeight="1" x14ac:dyDescent="0.3">
      <c r="B12" s="617"/>
      <c r="C12" s="576" t="s">
        <v>4</v>
      </c>
      <c r="D12" s="577">
        <f>+D13-D9-D11</f>
        <v>225.70208399999728</v>
      </c>
      <c r="E12" s="579">
        <f>+E13-E9-E11</f>
        <v>-1434.6246079098948</v>
      </c>
      <c r="F12" s="578">
        <f t="shared" si="0"/>
        <v>-1660.3266919098921</v>
      </c>
      <c r="G12" s="579">
        <f>+G13-G9-G11</f>
        <v>547.37753400001054</v>
      </c>
      <c r="H12" s="577">
        <f t="shared" si="1"/>
        <v>-1982.0021419099053</v>
      </c>
    </row>
    <row r="13" spans="2:10" ht="26.25" customHeight="1" x14ac:dyDescent="0.3">
      <c r="B13" s="617"/>
      <c r="C13" s="612" t="s">
        <v>8</v>
      </c>
      <c r="D13" s="573">
        <f>+'사업장별(누계)_건자재제외'!$T$42</f>
        <v>10343.823496663297</v>
      </c>
      <c r="E13" s="575">
        <f>+'사업장별(누계)_건자재제외'!$U$42</f>
        <v>-5670.462465950317</v>
      </c>
      <c r="F13" s="574">
        <f t="shared" si="0"/>
        <v>-16014.285962613614</v>
      </c>
      <c r="G13" s="575">
        <f>+'사업장별(누계)_건자재제외'!$W$42</f>
        <v>15933.366781011582</v>
      </c>
      <c r="H13" s="573">
        <f t="shared" si="1"/>
        <v>-21603.829246961897</v>
      </c>
    </row>
    <row r="14" spans="2:10" ht="25.5" x14ac:dyDescent="0.3">
      <c r="B14" s="595"/>
      <c r="C14" s="596"/>
      <c r="D14" s="597">
        <f>+D13/D8</f>
        <v>3.9322107055023293E-2</v>
      </c>
      <c r="E14" s="599">
        <f>+E13/E8</f>
        <v>-2.5760586615265802E-2</v>
      </c>
      <c r="F14" s="598">
        <f t="shared" si="0"/>
        <v>-6.5082693670289099E-2</v>
      </c>
      <c r="G14" s="599">
        <f>+G13/G8</f>
        <v>5.8922128818666118E-2</v>
      </c>
      <c r="H14" s="597">
        <f>+E14-G14</f>
        <v>-8.4682715433931924E-2</v>
      </c>
    </row>
  </sheetData>
  <mergeCells count="4">
    <mergeCell ref="B3:B4"/>
    <mergeCell ref="B5:B8"/>
    <mergeCell ref="B9:B13"/>
    <mergeCell ref="B2:C2"/>
  </mergeCells>
  <phoneticPr fontId="1" type="noConversion"/>
  <pageMargins left="0.7" right="0.7" top="0.75" bottom="0.75" header="0.3" footer="0.3"/>
  <pageSetup paperSize="9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="85" zoomScaleNormal="100" zoomScaleSheetLayoutView="85" workbookViewId="0"/>
  </sheetViews>
  <sheetFormatPr defaultRowHeight="16.5" x14ac:dyDescent="0.3"/>
  <cols>
    <col min="13" max="13" width="15.75" customWidth="1"/>
  </cols>
  <sheetData>
    <row r="6" spans="1:13" x14ac:dyDescent="0.3">
      <c r="A6" s="621" t="s">
        <v>206</v>
      </c>
      <c r="B6" s="622"/>
      <c r="C6" s="622"/>
      <c r="D6" s="622"/>
      <c r="E6" s="622"/>
      <c r="F6" s="622"/>
      <c r="G6" s="622"/>
      <c r="H6" s="622"/>
      <c r="I6" s="622"/>
      <c r="J6" s="622"/>
      <c r="K6" s="622"/>
      <c r="L6" s="622"/>
      <c r="M6" s="622"/>
    </row>
    <row r="7" spans="1:13" x14ac:dyDescent="0.3">
      <c r="A7" s="622"/>
      <c r="B7" s="622"/>
      <c r="C7" s="622"/>
      <c r="D7" s="622"/>
      <c r="E7" s="622"/>
      <c r="F7" s="622"/>
      <c r="G7" s="622"/>
      <c r="H7" s="622"/>
      <c r="I7" s="622"/>
      <c r="J7" s="622"/>
      <c r="K7" s="622"/>
      <c r="L7" s="622"/>
      <c r="M7" s="622"/>
    </row>
    <row r="8" spans="1:13" x14ac:dyDescent="0.3">
      <c r="A8" s="622"/>
      <c r="B8" s="622"/>
      <c r="C8" s="622"/>
      <c r="D8" s="622"/>
      <c r="E8" s="622"/>
      <c r="F8" s="622"/>
      <c r="G8" s="622"/>
      <c r="H8" s="622"/>
      <c r="I8" s="622"/>
      <c r="J8" s="622"/>
      <c r="K8" s="622"/>
      <c r="L8" s="622"/>
      <c r="M8" s="622"/>
    </row>
    <row r="9" spans="1:13" x14ac:dyDescent="0.3">
      <c r="A9" s="622"/>
      <c r="B9" s="622"/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</row>
    <row r="10" spans="1:13" x14ac:dyDescent="0.3">
      <c r="A10" s="622"/>
      <c r="B10" s="622"/>
      <c r="C10" s="622"/>
      <c r="D10" s="622"/>
      <c r="E10" s="622"/>
      <c r="F10" s="622"/>
      <c r="G10" s="622"/>
      <c r="H10" s="622"/>
      <c r="I10" s="622"/>
      <c r="J10" s="622"/>
      <c r="K10" s="622"/>
      <c r="L10" s="622"/>
      <c r="M10" s="622"/>
    </row>
    <row r="11" spans="1:13" x14ac:dyDescent="0.3">
      <c r="A11" s="622"/>
      <c r="B11" s="622"/>
      <c r="C11" s="622"/>
      <c r="D11" s="622"/>
      <c r="E11" s="622"/>
      <c r="F11" s="622"/>
      <c r="G11" s="622"/>
      <c r="H11" s="622"/>
      <c r="I11" s="622"/>
      <c r="J11" s="622"/>
      <c r="K11" s="622"/>
      <c r="L11" s="622"/>
      <c r="M11" s="622"/>
    </row>
    <row r="12" spans="1:13" x14ac:dyDescent="0.3">
      <c r="A12" s="622"/>
      <c r="B12" s="622"/>
      <c r="C12" s="622"/>
      <c r="D12" s="622"/>
      <c r="E12" s="622"/>
      <c r="F12" s="622"/>
      <c r="G12" s="622"/>
      <c r="H12" s="622"/>
      <c r="I12" s="622"/>
      <c r="J12" s="622"/>
      <c r="K12" s="622"/>
      <c r="L12" s="622"/>
      <c r="M12" s="622"/>
    </row>
    <row r="13" spans="1:13" x14ac:dyDescent="0.3">
      <c r="A13" s="622"/>
      <c r="B13" s="622"/>
      <c r="C13" s="622"/>
      <c r="D13" s="622"/>
      <c r="E13" s="622"/>
      <c r="F13" s="622"/>
      <c r="G13" s="622"/>
      <c r="H13" s="622"/>
      <c r="I13" s="622"/>
      <c r="J13" s="622"/>
      <c r="K13" s="622"/>
      <c r="L13" s="622"/>
      <c r="M13" s="622"/>
    </row>
    <row r="14" spans="1:13" x14ac:dyDescent="0.3">
      <c r="A14" s="622"/>
      <c r="B14" s="622"/>
      <c r="C14" s="622"/>
      <c r="D14" s="622"/>
      <c r="E14" s="622"/>
      <c r="F14" s="622"/>
      <c r="G14" s="622"/>
      <c r="H14" s="622"/>
      <c r="I14" s="622"/>
      <c r="J14" s="622"/>
      <c r="K14" s="622"/>
      <c r="L14" s="622"/>
      <c r="M14" s="622"/>
    </row>
    <row r="24" spans="1:13" x14ac:dyDescent="0.3">
      <c r="A24" s="623" t="s">
        <v>99</v>
      </c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</row>
    <row r="25" spans="1:13" x14ac:dyDescent="0.3">
      <c r="A25" s="623"/>
      <c r="B25" s="623"/>
      <c r="C25" s="623"/>
      <c r="D25" s="623"/>
      <c r="E25" s="623"/>
      <c r="F25" s="623"/>
      <c r="G25" s="623"/>
      <c r="H25" s="623"/>
      <c r="I25" s="623"/>
      <c r="J25" s="623"/>
      <c r="K25" s="623"/>
      <c r="L25" s="623"/>
      <c r="M25" s="623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topLeftCell="A6" zoomScale="70" zoomScaleNormal="70" zoomScaleSheetLayoutView="85" workbookViewId="0"/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207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626" t="s">
        <v>61</v>
      </c>
      <c r="D5" s="627"/>
      <c r="E5" s="120" t="s">
        <v>208</v>
      </c>
      <c r="F5" s="121"/>
      <c r="G5" s="121"/>
      <c r="H5" s="121"/>
      <c r="I5" s="122"/>
      <c r="J5" s="121" t="s">
        <v>209</v>
      </c>
      <c r="K5" s="121"/>
      <c r="L5" s="121"/>
      <c r="M5" s="121"/>
      <c r="N5" s="122"/>
      <c r="O5" s="123"/>
      <c r="P5" s="626" t="s">
        <v>210</v>
      </c>
      <c r="Q5" s="627"/>
      <c r="R5" s="627"/>
      <c r="S5" s="627"/>
      <c r="T5" s="627"/>
      <c r="U5" s="627"/>
      <c r="V5" s="627"/>
      <c r="W5" s="627"/>
      <c r="X5" s="630"/>
    </row>
    <row r="6" spans="1:25" ht="27" customHeight="1" thickTop="1" x14ac:dyDescent="0.3">
      <c r="C6" s="628"/>
      <c r="D6" s="629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628"/>
      <c r="Q6" s="629"/>
      <c r="R6" s="629"/>
      <c r="S6" s="629"/>
      <c r="T6" s="629"/>
      <c r="U6" s="629"/>
      <c r="V6" s="629"/>
      <c r="W6" s="629"/>
      <c r="X6" s="631"/>
    </row>
    <row r="7" spans="1:25" ht="21.75" customHeight="1" x14ac:dyDescent="0.3">
      <c r="A7" s="235"/>
      <c r="B7" s="235"/>
      <c r="C7" s="88" t="s">
        <v>0</v>
      </c>
      <c r="D7" s="89" t="s">
        <v>40</v>
      </c>
      <c r="E7" s="320">
        <f>+'[1]9월'!$Z$7/1000</f>
        <v>300</v>
      </c>
      <c r="F7" s="321">
        <f>+'[2]9월'!$Z$7/1000</f>
        <v>250.34100000000001</v>
      </c>
      <c r="G7" s="296">
        <f>+F7-E7</f>
        <v>-49.658999999999992</v>
      </c>
      <c r="H7" s="297">
        <f>+'[3]9월'!$Z$7/1000</f>
        <v>236.2843</v>
      </c>
      <c r="I7" s="298">
        <f>+F7-H7</f>
        <v>14.056700000000006</v>
      </c>
      <c r="J7" s="320">
        <f>+'[1]9월누계'!$Z$7/1000</f>
        <v>2438.5</v>
      </c>
      <c r="K7" s="321">
        <f>+'[2]9월누계'!$Z$7/1000</f>
        <v>2103.4088200000001</v>
      </c>
      <c r="L7" s="296">
        <f t="shared" ref="L7:L36" si="0">+K7-J7</f>
        <v>-335.09117999999989</v>
      </c>
      <c r="M7" s="297">
        <f>+'[3]9월누계'!$Z$7/1000</f>
        <v>2528.7134999999998</v>
      </c>
      <c r="N7" s="298">
        <f t="shared" ref="N7:N36" si="1">+K7-M7</f>
        <v>-425.30467999999973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+'[1]9월'!$AA$7</f>
        <v>12600</v>
      </c>
      <c r="F8" s="323">
        <f>+'[2]9월'!$AO$7</f>
        <v>7943.9050000000007</v>
      </c>
      <c r="G8" s="299">
        <f>+F8-E8</f>
        <v>-4656.0949999999993</v>
      </c>
      <c r="H8" s="300">
        <f>+'[3]9월'!$AO$7</f>
        <v>7354.6280000000006</v>
      </c>
      <c r="I8" s="301">
        <f>+F8-H8</f>
        <v>589.27700000000004</v>
      </c>
      <c r="J8" s="322">
        <f>+'[1]9월누계'!$AA$7</f>
        <v>100900</v>
      </c>
      <c r="K8" s="323">
        <f>+'[2]9월누계'!$AO$7</f>
        <v>84893.854999999996</v>
      </c>
      <c r="L8" s="299">
        <f t="shared" si="0"/>
        <v>-16006.145000000004</v>
      </c>
      <c r="M8" s="300">
        <f>+'[3]9월누계'!$AO$7</f>
        <v>77967.343999999997</v>
      </c>
      <c r="N8" s="301">
        <f t="shared" si="1"/>
        <v>6926.5109999999986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+'[1]9월'!$AE$7/1000</f>
        <v>104.99566465250224</v>
      </c>
      <c r="F9" s="323">
        <f>+'[2]9월'!$AN$7/1000</f>
        <v>74.272999999999996</v>
      </c>
      <c r="G9" s="299">
        <f t="shared" ref="G9:G36" si="2">+F9-E9</f>
        <v>-30.722664652502246</v>
      </c>
      <c r="H9" s="300">
        <f>+'[3]9월'!$AN$7/1000</f>
        <v>46.951000000000001</v>
      </c>
      <c r="I9" s="301">
        <f t="shared" ref="I9:I36" si="3">+F9-H9</f>
        <v>27.321999999999996</v>
      </c>
      <c r="J9" s="322">
        <f>+'[1]9월누계'!$AE$7/1000</f>
        <v>863.24608685344435</v>
      </c>
      <c r="K9" s="323">
        <f>+'[2]9월누계'!$AN$7/1000</f>
        <v>583.44299999999998</v>
      </c>
      <c r="L9" s="299">
        <f t="shared" si="0"/>
        <v>-279.80308685344437</v>
      </c>
      <c r="M9" s="300">
        <f>+'[3]9월누계'!$AN$7/1000</f>
        <v>654.21500000000003</v>
      </c>
      <c r="N9" s="301">
        <f t="shared" si="1"/>
        <v>-70.772000000000048</v>
      </c>
      <c r="O9" s="87"/>
      <c r="P9" s="90"/>
      <c r="Q9" s="94" t="s">
        <v>51</v>
      </c>
      <c r="R9" s="178" t="s">
        <v>16</v>
      </c>
      <c r="S9" s="191">
        <f>+[4]수도권!$T$5/1000</f>
        <v>113</v>
      </c>
      <c r="T9" s="95">
        <f>+[4]수도권!$U$5/1000</f>
        <v>88.903000000000006</v>
      </c>
      <c r="U9" s="296">
        <f>+T9-S9</f>
        <v>-24.096999999999994</v>
      </c>
      <c r="V9" s="297">
        <f>+[5]수도권!$T$5/1000</f>
        <v>75.634799999999998</v>
      </c>
      <c r="W9" s="298">
        <f>+T9-V9</f>
        <v>13.268200000000007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+'[1]9월'!$Z$8/1000</f>
        <v>30570.517321682597</v>
      </c>
      <c r="F10" s="325">
        <f>+'[2]9월'!$Z$8/1000</f>
        <v>24527.917733000002</v>
      </c>
      <c r="G10" s="326">
        <f t="shared" si="2"/>
        <v>-6042.5995886825949</v>
      </c>
      <c r="H10" s="327">
        <f>+'[3]9월'!$Z$8/1000</f>
        <v>23619.372680000004</v>
      </c>
      <c r="I10" s="328">
        <f t="shared" si="3"/>
        <v>908.54505299999801</v>
      </c>
      <c r="J10" s="324">
        <f>+'[1]9월누계'!$Z$8/1000</f>
        <v>245750.61396451114</v>
      </c>
      <c r="K10" s="325">
        <f>+'[2]9월누계'!$Z$8/1000</f>
        <v>206858.46162500003</v>
      </c>
      <c r="L10" s="326">
        <f t="shared" si="0"/>
        <v>-38892.152339511114</v>
      </c>
      <c r="M10" s="327">
        <f>+'[3]9월누계'!$Z$8/1000</f>
        <v>255794.309186</v>
      </c>
      <c r="N10" s="328">
        <f t="shared" si="1"/>
        <v>-48935.847560999973</v>
      </c>
      <c r="O10" s="87"/>
      <c r="P10" s="90"/>
      <c r="Q10" s="98"/>
      <c r="R10" s="179" t="s">
        <v>17</v>
      </c>
      <c r="S10" s="192">
        <f>+[4]영남권!$T$5/1000</f>
        <v>126</v>
      </c>
      <c r="T10" s="99">
        <f>+[4]영남권!$U$5/1000</f>
        <v>110.37</v>
      </c>
      <c r="U10" s="299">
        <f t="shared" ref="U10:U20" si="4">+T10-S10</f>
        <v>-15.629999999999995</v>
      </c>
      <c r="V10" s="300">
        <f>+[5]영남권!$T$5/1000</f>
        <v>111.84399999999999</v>
      </c>
      <c r="W10" s="301">
        <f t="shared" ref="W10:W20" si="5">+T10-V10</f>
        <v>-1.4739999999999895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+'[1]9월'!$AA$8/1000</f>
        <v>13712.918880000001</v>
      </c>
      <c r="F11" s="323">
        <f>+'[2]9월'!$AO$8/1000</f>
        <v>7610.2077719999997</v>
      </c>
      <c r="G11" s="299">
        <f>+F11-E11</f>
        <v>-6102.7111080000013</v>
      </c>
      <c r="H11" s="300">
        <f>+'[3]9월'!$AO$8/1000</f>
        <v>7720.8258609999993</v>
      </c>
      <c r="I11" s="301">
        <f>+F11-H11</f>
        <v>-110.6180889999996</v>
      </c>
      <c r="J11" s="322">
        <f>+'[1]9월누계'!$AA$8/1000</f>
        <v>110204.90887039999</v>
      </c>
      <c r="K11" s="323">
        <f>+'[2]9월누계'!$AO$8/1000</f>
        <v>76897.590006999992</v>
      </c>
      <c r="L11" s="299">
        <f t="shared" si="0"/>
        <v>-33307.318863399996</v>
      </c>
      <c r="M11" s="300">
        <f>+'[3]9월누계'!$AO$8/1000</f>
        <v>77932.391057000001</v>
      </c>
      <c r="N11" s="301">
        <f t="shared" si="1"/>
        <v>-1034.8010500000091</v>
      </c>
      <c r="O11" s="87"/>
      <c r="P11" s="90"/>
      <c r="Q11" s="98"/>
      <c r="R11" s="180" t="s">
        <v>106</v>
      </c>
      <c r="S11" s="193">
        <f>+[4]중부권!$T$5/1000</f>
        <v>61</v>
      </c>
      <c r="T11" s="100">
        <f>+[4]중부권!$U$5/1000</f>
        <v>51.067999999999998</v>
      </c>
      <c r="U11" s="302">
        <f t="shared" si="4"/>
        <v>-9.9320000000000022</v>
      </c>
      <c r="V11" s="303">
        <f>+[5]중부권!$T$5/1000</f>
        <v>48.805500000000002</v>
      </c>
      <c r="W11" s="304">
        <f t="shared" si="5"/>
        <v>2.2624999999999957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+'[1]9월'!$AE$8/1000</f>
        <v>1923.4900819779466</v>
      </c>
      <c r="F12" s="323">
        <f>+'[2]9월'!$AN$8/1000</f>
        <v>1434.7645</v>
      </c>
      <c r="G12" s="299">
        <f t="shared" si="2"/>
        <v>-488.7255819779466</v>
      </c>
      <c r="H12" s="300">
        <f>+'[3]9월'!$AN$8/1000</f>
        <v>885.74549999999999</v>
      </c>
      <c r="I12" s="301">
        <f t="shared" si="3"/>
        <v>549.01900000000001</v>
      </c>
      <c r="J12" s="322">
        <f>+'[1]9월누계'!$AE$8/1000</f>
        <v>15946.555164283411</v>
      </c>
      <c r="K12" s="323">
        <f>+'[2]9월누계'!$AN$8/1000</f>
        <v>12077.289000000001</v>
      </c>
      <c r="L12" s="299">
        <f t="shared" si="0"/>
        <v>-3869.26616428341</v>
      </c>
      <c r="M12" s="300">
        <f>+'[3]9월누계'!$AN$8/1000</f>
        <v>13129.78558</v>
      </c>
      <c r="N12" s="301">
        <f t="shared" si="1"/>
        <v>-1052.4965799999991</v>
      </c>
      <c r="O12" s="87"/>
      <c r="P12" s="90"/>
      <c r="Q12" s="101" t="s">
        <v>58</v>
      </c>
      <c r="R12" s="181"/>
      <c r="S12" s="194">
        <f>SUM(S9:S11)</f>
        <v>300</v>
      </c>
      <c r="T12" s="102">
        <f>SUM(T9:T11)</f>
        <v>250.34100000000001</v>
      </c>
      <c r="U12" s="305">
        <f t="shared" si="4"/>
        <v>-49.658999999999992</v>
      </c>
      <c r="V12" s="306">
        <f>SUM(V9:V11)</f>
        <v>236.28429999999997</v>
      </c>
      <c r="W12" s="307">
        <f t="shared" si="5"/>
        <v>14.056700000000035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+'[1]9월'!$E$8/1000-E10-E11-E12</f>
        <v>142.52816666666718</v>
      </c>
      <c r="F13" s="330">
        <f>+'[2]9월'!$F$8/1000-F10-F11-F12</f>
        <v>118.8447249999947</v>
      </c>
      <c r="G13" s="302">
        <f t="shared" si="2"/>
        <v>-23.683441666672479</v>
      </c>
      <c r="H13" s="303">
        <f>+'[3]9월'!$F$8/1000-H10-H11-H12</f>
        <v>165.97438099999908</v>
      </c>
      <c r="I13" s="304">
        <f t="shared" si="3"/>
        <v>-47.129656000004388</v>
      </c>
      <c r="J13" s="329">
        <f>+'[1]9월누계'!$E$8/1000-J10-J11-J12</f>
        <v>1356.4734999999855</v>
      </c>
      <c r="K13" s="330">
        <f>+'[2]9월누계'!$F$8/1000-K10-K11-K12</f>
        <v>1185.8852150000639</v>
      </c>
      <c r="L13" s="302">
        <f t="shared" si="0"/>
        <v>-170.5882849999216</v>
      </c>
      <c r="M13" s="303">
        <f>+'[3]9월누계'!$F$8/1000-M10-M11-M12</f>
        <v>1489.8753409999445</v>
      </c>
      <c r="N13" s="304">
        <f t="shared" si="1"/>
        <v>-303.99012599988055</v>
      </c>
      <c r="O13" s="87"/>
      <c r="P13" s="90"/>
      <c r="Q13" s="94" t="s">
        <v>59</v>
      </c>
      <c r="R13" s="178" t="s">
        <v>16</v>
      </c>
      <c r="S13" s="191">
        <f>+[4]수도권!$T$61</f>
        <v>100156.13336246088</v>
      </c>
      <c r="T13" s="95">
        <f>+[4]수도권!$U$61</f>
        <v>95819.565702643042</v>
      </c>
      <c r="U13" s="296">
        <f t="shared" si="4"/>
        <v>-4336.5676598178397</v>
      </c>
      <c r="V13" s="297">
        <f>+[5]수도권!$Q$85</f>
        <v>97749.491475587041</v>
      </c>
      <c r="W13" s="298">
        <f t="shared" si="5"/>
        <v>-1929.9257729439996</v>
      </c>
      <c r="X13" s="92"/>
    </row>
    <row r="14" spans="1:25" ht="21.75" customHeight="1" x14ac:dyDescent="0.3">
      <c r="A14" s="235"/>
      <c r="B14" s="235"/>
      <c r="C14" s="104" t="s">
        <v>8</v>
      </c>
      <c r="D14" s="105"/>
      <c r="E14" s="329">
        <f>SUM(E10:E13)</f>
        <v>46349.454450327212</v>
      </c>
      <c r="F14" s="330">
        <f>SUM(F10:F13)</f>
        <v>33691.734729999996</v>
      </c>
      <c r="G14" s="302">
        <f t="shared" si="2"/>
        <v>-12657.719720327215</v>
      </c>
      <c r="H14" s="303">
        <f>SUM(H10:H13)</f>
        <v>32391.918422000006</v>
      </c>
      <c r="I14" s="304">
        <f t="shared" si="3"/>
        <v>1299.8163079999904</v>
      </c>
      <c r="J14" s="329">
        <f>SUM(J10:J13)</f>
        <v>373258.55149919452</v>
      </c>
      <c r="K14" s="330">
        <f>SUM(K10:K13)</f>
        <v>297019.22584700008</v>
      </c>
      <c r="L14" s="302">
        <f t="shared" si="0"/>
        <v>-76239.325652194442</v>
      </c>
      <c r="M14" s="303">
        <f>SUM(M10:M13)</f>
        <v>348346.36116399994</v>
      </c>
      <c r="N14" s="304">
        <f t="shared" si="1"/>
        <v>-51327.135316999862</v>
      </c>
      <c r="O14" s="87"/>
      <c r="P14" s="90"/>
      <c r="Q14" s="98"/>
      <c r="R14" s="179" t="s">
        <v>17</v>
      </c>
      <c r="S14" s="192">
        <f>+[4]영남권!$T$61</f>
        <v>100736.67464384541</v>
      </c>
      <c r="T14" s="99">
        <f>+[4]영남권!$U$61</f>
        <v>98462.66845790144</v>
      </c>
      <c r="U14" s="299">
        <f t="shared" si="4"/>
        <v>-2274.0061859439738</v>
      </c>
      <c r="V14" s="300">
        <f>+[5]영남권!$Q$85</f>
        <v>99624.761690242362</v>
      </c>
      <c r="W14" s="301">
        <f t="shared" si="5"/>
        <v>-1162.0932323409215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+('[1]9월'!$Z$10+'[1]9월'!$Z$19)/1000</f>
        <v>26289.919395549696</v>
      </c>
      <c r="F15" s="325">
        <f>+('[2]9월'!$Z$10+'[2]9월'!$Z$19)/1000</f>
        <v>22729.856428000003</v>
      </c>
      <c r="G15" s="326">
        <f t="shared" si="2"/>
        <v>-3560.062967549693</v>
      </c>
      <c r="H15" s="327">
        <f>+('[3]9월'!$Z$10+'[3]9월'!$Z$19)/1000</f>
        <v>21000.008435000003</v>
      </c>
      <c r="I15" s="328">
        <f t="shared" si="3"/>
        <v>1729.8479929999994</v>
      </c>
      <c r="J15" s="324">
        <f>+('[1]9월누계'!$Z$10+'[1]9월누계'!$Z$19)/1000</f>
        <v>217121.59024187515</v>
      </c>
      <c r="K15" s="325">
        <f>+('[2]9월누계'!$Z$10+'[2]9월누계'!$Z$19)/1000</f>
        <v>190033.89673998996</v>
      </c>
      <c r="L15" s="326">
        <f t="shared" si="0"/>
        <v>-27087.693501885195</v>
      </c>
      <c r="M15" s="327">
        <f>+('[3]9월누계'!$Z$10+'[3]9월누계'!$Z$19)/1000</f>
        <v>221504.99727698995</v>
      </c>
      <c r="N15" s="328">
        <f t="shared" si="1"/>
        <v>-31471.100536999991</v>
      </c>
      <c r="O15" s="87"/>
      <c r="P15" s="90"/>
      <c r="Q15" s="98"/>
      <c r="R15" s="180" t="s">
        <v>105</v>
      </c>
      <c r="S15" s="193">
        <f>+[4]중부권!$T$61</f>
        <v>107541.85650163934</v>
      </c>
      <c r="T15" s="100">
        <f>+[4]중부권!$U$61</f>
        <v>100727.81260338718</v>
      </c>
      <c r="U15" s="302">
        <f t="shared" si="4"/>
        <v>-6814.0438982521591</v>
      </c>
      <c r="V15" s="303">
        <f>+[5]중부권!$Q$85</f>
        <v>104305.45775307498</v>
      </c>
      <c r="W15" s="304">
        <f t="shared" si="5"/>
        <v>-3577.6451496877999</v>
      </c>
      <c r="X15" s="92"/>
    </row>
    <row r="16" spans="1:25" ht="21.75" customHeight="1" x14ac:dyDescent="0.3">
      <c r="C16" s="88"/>
      <c r="D16" s="93" t="s">
        <v>3</v>
      </c>
      <c r="E16" s="322">
        <f>+('[1]9월'!$AA$10+'[1]9월'!$AA$19)/1000</f>
        <v>13342.736269191842</v>
      </c>
      <c r="F16" s="323">
        <f>+('[2]9월'!$AO$10+'[2]9월'!$AO$19)/1000</f>
        <v>7426.4883939999991</v>
      </c>
      <c r="G16" s="299">
        <f>+F16-E16</f>
        <v>-5916.2478751918434</v>
      </c>
      <c r="H16" s="300">
        <f>+('[3]9월'!$AO$10+'[3]9월'!$AO$19)/1000</f>
        <v>7575.1952439999995</v>
      </c>
      <c r="I16" s="301">
        <f>+F16-H16</f>
        <v>-148.70685000000049</v>
      </c>
      <c r="J16" s="322">
        <f>+('[1]9월누계'!$AA$10+'[1]9월누계'!$AA$19)/1000</f>
        <v>107229.38194053582</v>
      </c>
      <c r="K16" s="323">
        <f>+('[2]9월누계'!$AO$10+'[2]9월누계'!$AO$19)/1000</f>
        <v>75591.089328999995</v>
      </c>
      <c r="L16" s="299">
        <f t="shared" si="0"/>
        <v>-31638.292611535828</v>
      </c>
      <c r="M16" s="300">
        <f>+('[3]9월누계'!$AO$10+'[3]9월누계'!$AO$19)/1000</f>
        <v>76231.984156000006</v>
      </c>
      <c r="N16" s="301">
        <f t="shared" si="1"/>
        <v>-640.89482700001099</v>
      </c>
      <c r="O16" s="87"/>
      <c r="P16" s="90"/>
      <c r="Q16" s="101" t="s">
        <v>58</v>
      </c>
      <c r="R16" s="181"/>
      <c r="S16" s="194">
        <f>+[4]합계!$T$61</f>
        <v>101901.72440560866</v>
      </c>
      <c r="T16" s="102">
        <f>+[4]합계!$U$61</f>
        <v>97987.042142871491</v>
      </c>
      <c r="U16" s="305">
        <f>+T16-S16</f>
        <v>-3914.682262737173</v>
      </c>
      <c r="V16" s="306">
        <f>+[5]합계!$Q$85</f>
        <v>99989.728432119533</v>
      </c>
      <c r="W16" s="307">
        <f>+T16-V16</f>
        <v>-2002.6862892480422</v>
      </c>
      <c r="X16" s="92"/>
    </row>
    <row r="17" spans="2:27" ht="21.75" customHeight="1" x14ac:dyDescent="0.3">
      <c r="C17" s="88"/>
      <c r="D17" s="93" t="s">
        <v>1</v>
      </c>
      <c r="E17" s="322">
        <f>+('[1]9월'!$AE$10+'[1]9월'!$AE$19)/1000</f>
        <v>1654.1042593227126</v>
      </c>
      <c r="F17" s="323">
        <f>+('[2]9월'!$AN$10+'[2]9월'!$AN$19)/1000</f>
        <v>1368.6692539899998</v>
      </c>
      <c r="G17" s="299">
        <f t="shared" si="2"/>
        <v>-285.43500533271276</v>
      </c>
      <c r="H17" s="300">
        <f>+('[3]9월'!$AN$10+'[3]9월'!$AN$19)/1000</f>
        <v>1111.2439340000001</v>
      </c>
      <c r="I17" s="301">
        <f t="shared" si="3"/>
        <v>257.42531998999971</v>
      </c>
      <c r="J17" s="322">
        <f>+('[1]9월누계'!$AE$10+'[1]9월누계'!$AE$19)/1000</f>
        <v>13997.065016041151</v>
      </c>
      <c r="K17" s="323">
        <f>+('[2]9월누계'!$AN$10+'[2]9월누계'!$AN$19)/1000</f>
        <v>12347.721617959998</v>
      </c>
      <c r="L17" s="299">
        <f t="shared" si="0"/>
        <v>-1649.3433980811533</v>
      </c>
      <c r="M17" s="300">
        <f>+('[3]9월누계'!$AN$10+'[3]9월누계'!$AN$19)/1000</f>
        <v>12454.682896999999</v>
      </c>
      <c r="N17" s="301">
        <f t="shared" si="1"/>
        <v>-106.96127904000059</v>
      </c>
      <c r="O17" s="87"/>
      <c r="P17" s="90"/>
      <c r="Q17" s="173" t="s">
        <v>60</v>
      </c>
      <c r="R17" s="182" t="s">
        <v>16</v>
      </c>
      <c r="S17" s="195">
        <f>+[4]수도권!$Q$90</f>
        <v>19270.249934370149</v>
      </c>
      <c r="T17" s="106">
        <f>+[4]수도권!$R$90</f>
        <v>13424.30279115474</v>
      </c>
      <c r="U17" s="308">
        <f t="shared" si="4"/>
        <v>-5845.9471432154096</v>
      </c>
      <c r="V17" s="309">
        <f>+[5]수도권!$Q$90</f>
        <v>18269.599954396632</v>
      </c>
      <c r="W17" s="310">
        <f t="shared" si="5"/>
        <v>-4845.2971632418921</v>
      </c>
      <c r="X17" s="92"/>
    </row>
    <row r="18" spans="2:27" ht="21.75" customHeight="1" x14ac:dyDescent="0.3">
      <c r="C18" s="88"/>
      <c r="D18" s="103" t="s">
        <v>4</v>
      </c>
      <c r="E18" s="329">
        <f>+('[1]9월'!$E$10+'[1]9월'!$E$19)/1000-E15-E16-E17</f>
        <v>52.588339000003089</v>
      </c>
      <c r="F18" s="330">
        <f>+('[2]9월'!$F$10+'[2]9월'!$F$19)/1000-F15-F16-F17</f>
        <v>14.196039000006522</v>
      </c>
      <c r="G18" s="302">
        <f t="shared" si="2"/>
        <v>-38.392299999996567</v>
      </c>
      <c r="H18" s="303">
        <f>+('[3]9월'!$F$10+'[3]9월'!$F$19)/1000-H15-H16-H17</f>
        <v>-238.70688400000563</v>
      </c>
      <c r="I18" s="304">
        <f t="shared" si="3"/>
        <v>252.90292300001215</v>
      </c>
      <c r="J18" s="329">
        <f>+('[1]9월누계'!$E$10+'[1]9월누계'!$E$19)/1000-J15-J16-J17</f>
        <v>541.24816100000498</v>
      </c>
      <c r="K18" s="330">
        <f>+('[2]9월누계'!$F$10+'[2]9월누계'!$F$19)/1000-K15-K16-K17</f>
        <v>459.40090200000304</v>
      </c>
      <c r="L18" s="302">
        <f t="shared" si="0"/>
        <v>-81.847259000001941</v>
      </c>
      <c r="M18" s="303">
        <f>+('[3]9월누계'!$F$10+'[3]9월누계'!$F$19)/1000-M15-M16-M17</f>
        <v>-109.09168900004443</v>
      </c>
      <c r="N18" s="304">
        <f t="shared" si="1"/>
        <v>568.49259100004747</v>
      </c>
      <c r="O18" s="87"/>
      <c r="P18" s="90"/>
      <c r="Q18" s="174"/>
      <c r="R18" s="183" t="s">
        <v>17</v>
      </c>
      <c r="S18" s="196">
        <f>+[4]영남권!$Q$90</f>
        <v>21855.366606993717</v>
      </c>
      <c r="T18" s="107">
        <f>+[4]영남권!$R$90</f>
        <v>19124.760278707021</v>
      </c>
      <c r="U18" s="311">
        <f t="shared" si="4"/>
        <v>-2730.6063282866962</v>
      </c>
      <c r="V18" s="312">
        <f>+[5]영남권!$Q$90</f>
        <v>22140.924800894369</v>
      </c>
      <c r="W18" s="313">
        <f t="shared" si="5"/>
        <v>-3016.1645221873478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41339.348263064254</v>
      </c>
      <c r="F19" s="323">
        <f>SUM(F15:F18)</f>
        <v>31539.210114990008</v>
      </c>
      <c r="G19" s="299">
        <f t="shared" si="2"/>
        <v>-9800.1381480742457</v>
      </c>
      <c r="H19" s="300">
        <f>SUM(H15:H18)</f>
        <v>29447.740728999997</v>
      </c>
      <c r="I19" s="301">
        <f t="shared" si="3"/>
        <v>2091.4693859900108</v>
      </c>
      <c r="J19" s="322">
        <f>SUM(J15:J18)</f>
        <v>338889.28535945219</v>
      </c>
      <c r="K19" s="323">
        <f>SUM(K15:K18)</f>
        <v>278432.10858895001</v>
      </c>
      <c r="L19" s="299">
        <f t="shared" si="0"/>
        <v>-60457.176770502178</v>
      </c>
      <c r="M19" s="300">
        <f>SUM(M15:M18)</f>
        <v>310082.57264098991</v>
      </c>
      <c r="N19" s="301">
        <f t="shared" si="1"/>
        <v>-31650.464052039897</v>
      </c>
      <c r="O19" s="87"/>
      <c r="P19" s="90"/>
      <c r="Q19" s="174"/>
      <c r="R19" s="184" t="s">
        <v>105</v>
      </c>
      <c r="S19" s="197">
        <f>+[4]중부권!$Q$90</f>
        <v>29751.160801110178</v>
      </c>
      <c r="T19" s="109">
        <f>+[4]중부권!$R$90</f>
        <v>21863.231474205852</v>
      </c>
      <c r="U19" s="314">
        <f t="shared" si="4"/>
        <v>-7887.9293269043264</v>
      </c>
      <c r="V19" s="315">
        <f>+[5]중부권!$Q$90</f>
        <v>29079.270490160561</v>
      </c>
      <c r="W19" s="316">
        <f t="shared" si="5"/>
        <v>-7216.0390159547096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6">+E10-E15</f>
        <v>4280.5979261329012</v>
      </c>
      <c r="F20" s="325">
        <f t="shared" si="6"/>
        <v>1798.0613049999993</v>
      </c>
      <c r="G20" s="326">
        <f t="shared" si="2"/>
        <v>-2482.5366211329019</v>
      </c>
      <c r="H20" s="327">
        <f>+H10-H15</f>
        <v>2619.3642450000007</v>
      </c>
      <c r="I20" s="328">
        <f t="shared" si="3"/>
        <v>-821.3029400000014</v>
      </c>
      <c r="J20" s="324">
        <f t="shared" ref="J20:K23" si="7">+J10-J15</f>
        <v>28629.02372263599</v>
      </c>
      <c r="K20" s="325">
        <f t="shared" si="7"/>
        <v>16824.56488501007</v>
      </c>
      <c r="L20" s="326">
        <f t="shared" si="0"/>
        <v>-11804.45883762592</v>
      </c>
      <c r="M20" s="327">
        <f>+M10-M15</f>
        <v>34289.311909010052</v>
      </c>
      <c r="N20" s="328">
        <f t="shared" si="1"/>
        <v>-17464.747023999982</v>
      </c>
      <c r="O20" s="87"/>
      <c r="P20" s="90"/>
      <c r="Q20" s="175" t="s">
        <v>58</v>
      </c>
      <c r="R20" s="185"/>
      <c r="S20" s="198">
        <f>+[4]합계!$Q$90</f>
        <v>22487.117479775843</v>
      </c>
      <c r="T20" s="110">
        <f>+[4]합계!$R$90</f>
        <v>17661.850658797761</v>
      </c>
      <c r="U20" s="317">
        <f t="shared" si="4"/>
        <v>-4825.2668209780823</v>
      </c>
      <c r="V20" s="318">
        <f>+[5]합계!$Q$90</f>
        <v>22332.224036202446</v>
      </c>
      <c r="W20" s="319">
        <f t="shared" si="5"/>
        <v>-4670.373377404685</v>
      </c>
      <c r="X20" s="92"/>
    </row>
    <row r="21" spans="2:27" ht="21.75" customHeight="1" x14ac:dyDescent="0.3">
      <c r="C21" s="88"/>
      <c r="D21" s="93" t="s">
        <v>3</v>
      </c>
      <c r="E21" s="322">
        <f t="shared" si="6"/>
        <v>370.18261080815864</v>
      </c>
      <c r="F21" s="323">
        <f t="shared" si="6"/>
        <v>183.71937800000069</v>
      </c>
      <c r="G21" s="299">
        <f>+F21-E21</f>
        <v>-186.46323280815795</v>
      </c>
      <c r="H21" s="300">
        <f>+H11-H16</f>
        <v>145.6306169999998</v>
      </c>
      <c r="I21" s="301">
        <f>+F21-H21</f>
        <v>38.088761000000886</v>
      </c>
      <c r="J21" s="322">
        <f t="shared" si="7"/>
        <v>2975.5269298641651</v>
      </c>
      <c r="K21" s="323">
        <f t="shared" si="7"/>
        <v>1306.5006779999967</v>
      </c>
      <c r="L21" s="299">
        <f t="shared" si="0"/>
        <v>-1669.0262518641684</v>
      </c>
      <c r="M21" s="300">
        <f>+M11-M16</f>
        <v>1700.4069009999948</v>
      </c>
      <c r="N21" s="301">
        <f t="shared" si="1"/>
        <v>-393.90622299999814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6"/>
        <v>269.38582265523405</v>
      </c>
      <c r="F22" s="323">
        <f t="shared" si="6"/>
        <v>66.09524601000021</v>
      </c>
      <c r="G22" s="299">
        <f t="shared" si="2"/>
        <v>-203.29057664523384</v>
      </c>
      <c r="H22" s="300">
        <f>+H12-H17</f>
        <v>-225.49843400000009</v>
      </c>
      <c r="I22" s="301">
        <f t="shared" si="3"/>
        <v>291.5936800100003</v>
      </c>
      <c r="J22" s="322">
        <f t="shared" si="7"/>
        <v>1949.4901482422592</v>
      </c>
      <c r="K22" s="323">
        <f t="shared" si="7"/>
        <v>-270.43261795999751</v>
      </c>
      <c r="L22" s="299">
        <f t="shared" si="0"/>
        <v>-2219.9227662022568</v>
      </c>
      <c r="M22" s="300">
        <f>+M12-M17</f>
        <v>675.10268300000098</v>
      </c>
      <c r="N22" s="301">
        <f t="shared" si="1"/>
        <v>-945.53530095999849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6"/>
        <v>89.939827666664087</v>
      </c>
      <c r="F23" s="330">
        <f t="shared" si="6"/>
        <v>104.64868599998817</v>
      </c>
      <c r="G23" s="302">
        <f t="shared" si="2"/>
        <v>14.708858333324088</v>
      </c>
      <c r="H23" s="303">
        <f>+H13-H18</f>
        <v>404.68126500000471</v>
      </c>
      <c r="I23" s="304">
        <f t="shared" si="3"/>
        <v>-300.03257900001654</v>
      </c>
      <c r="J23" s="329">
        <f t="shared" si="7"/>
        <v>815.22533899998052</v>
      </c>
      <c r="K23" s="330">
        <f t="shared" si="7"/>
        <v>726.48431300006087</v>
      </c>
      <c r="L23" s="302">
        <f t="shared" si="0"/>
        <v>-88.741025999919657</v>
      </c>
      <c r="M23" s="303">
        <f>+M13-M18</f>
        <v>1598.9670299999889</v>
      </c>
      <c r="N23" s="304">
        <f t="shared" si="1"/>
        <v>-872.48271699992802</v>
      </c>
      <c r="O23" s="87"/>
      <c r="P23" s="90"/>
      <c r="Q23" s="147" t="s">
        <v>86</v>
      </c>
      <c r="R23" s="148"/>
      <c r="S23" s="207">
        <f>+'[6]9월'!$F$10</f>
        <v>873809.5238095239</v>
      </c>
      <c r="T23" s="213">
        <f>+'[6]9월'!$G$10</f>
        <v>791593.63411319733</v>
      </c>
      <c r="U23" s="210">
        <f>+T23-S23</f>
        <v>-82215.889696326572</v>
      </c>
      <c r="V23" s="189">
        <f>+'[7]9월'!$G$10</f>
        <v>879572.42936012533</v>
      </c>
      <c r="W23" s="186">
        <f>+T23-V23</f>
        <v>-87978.795246927999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5010.106187262958</v>
      </c>
      <c r="F24" s="330">
        <f>SUM(F20:F23)</f>
        <v>2152.5246150099883</v>
      </c>
      <c r="G24" s="302">
        <f t="shared" si="2"/>
        <v>-2857.5815722529696</v>
      </c>
      <c r="H24" s="303">
        <f>SUM(H20:H23)</f>
        <v>2944.1776930000051</v>
      </c>
      <c r="I24" s="304">
        <f t="shared" si="3"/>
        <v>-791.65307799001675</v>
      </c>
      <c r="J24" s="329">
        <f>SUM(J20:J23)</f>
        <v>34369.266139742394</v>
      </c>
      <c r="K24" s="330">
        <f>SUM(K20:K23)</f>
        <v>18587.11725805013</v>
      </c>
      <c r="L24" s="302">
        <f t="shared" si="0"/>
        <v>-15782.148881692265</v>
      </c>
      <c r="M24" s="303">
        <f>SUM(M20:M23)</f>
        <v>38263.788523010036</v>
      </c>
      <c r="N24" s="304">
        <f t="shared" si="1"/>
        <v>-19676.671264959907</v>
      </c>
      <c r="O24" s="87"/>
      <c r="P24" s="90"/>
      <c r="Q24" s="149" t="s">
        <v>87</v>
      </c>
      <c r="R24" s="150"/>
      <c r="S24" s="208">
        <f>+'[6]9월'!$F$15</f>
        <v>2.4058583106267031E-2</v>
      </c>
      <c r="T24" s="214">
        <f>+'[6]9월'!$G$15</f>
        <v>2.4112163211421126E-2</v>
      </c>
      <c r="U24" s="211">
        <f>+T24-S24</f>
        <v>5.3580105154094754E-5</v>
      </c>
      <c r="V24" s="190">
        <f>+'[6]9월'!$G$15</f>
        <v>2.4112163211421126E-2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+('[1]9월'!$Z$13+'[1]9월'!$Z$20)/1000</f>
        <v>725.97044700000004</v>
      </c>
      <c r="F25" s="325">
        <f>+('[2]9월'!$Z$13+'[2]9월'!$Z$20)/1000</f>
        <v>819.36918700000001</v>
      </c>
      <c r="G25" s="326">
        <f t="shared" si="2"/>
        <v>93.398739999999975</v>
      </c>
      <c r="H25" s="327">
        <f>+('[3]9월'!$Z$13+'[3]9월'!$Z$20)/1000</f>
        <v>886.62885500000004</v>
      </c>
      <c r="I25" s="328">
        <f t="shared" si="3"/>
        <v>-67.259668000000033</v>
      </c>
      <c r="J25" s="324">
        <f>+('[1]9월누계'!$Z$13+'[1]9월누계'!$Z$20)/1000</f>
        <v>6091.2776989999993</v>
      </c>
      <c r="K25" s="325">
        <f>+('[2]9월누계'!$Z$13+'[2]9월누계'!$Z$20)/1000</f>
        <v>6184.091289</v>
      </c>
      <c r="L25" s="326">
        <f t="shared" si="0"/>
        <v>92.813590000000659</v>
      </c>
      <c r="M25" s="327">
        <f>+('[3]9월누계'!$Z$13+'[3]9월누계'!$Z$20)/1000</f>
        <v>6157.4466069999999</v>
      </c>
      <c r="N25" s="328">
        <f t="shared" si="1"/>
        <v>26.644682000000103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+('[1]9월'!$AA$13+'[1]9월'!$AA$20)/1000</f>
        <v>145.83718800000003</v>
      </c>
      <c r="F26" s="323">
        <f>+('[2]9월'!$AO$13+'[2]9월'!$AO$20)/1000</f>
        <v>170.046738</v>
      </c>
      <c r="G26" s="299">
        <f>+F26-E26</f>
        <v>24.209549999999979</v>
      </c>
      <c r="H26" s="300">
        <f>+('[3]9월'!$AO$13+'[3]9월'!$AO$20)/1000</f>
        <v>161.20981899999998</v>
      </c>
      <c r="I26" s="301">
        <f>+F26-H26</f>
        <v>8.8369190000000231</v>
      </c>
      <c r="J26" s="322">
        <f>+('[1]9월누계'!$AA$13+'[1]9월누계'!$AA$20)/1000</f>
        <v>1160.3548320000002</v>
      </c>
      <c r="K26" s="323">
        <f>+('[2]9월누계'!$AO$13+'[2]9월누계'!$AO$20)/1000</f>
        <v>1346.164027</v>
      </c>
      <c r="L26" s="299">
        <f t="shared" si="0"/>
        <v>185.80919499999982</v>
      </c>
      <c r="M26" s="300">
        <f>+('[3]9월누계'!$AO$13+'[3]9월누계'!$AO$20)/1000</f>
        <v>1260.9085310000003</v>
      </c>
      <c r="N26" s="301">
        <f t="shared" si="1"/>
        <v>85.255495999999766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+('[1]9월'!$AE$13+'[1]9월'!$AE$20+'[1]9월'!$AE$22)/1000</f>
        <v>50.756076189176412</v>
      </c>
      <c r="F27" s="323">
        <f>+('[2]9월'!$AN$13+'[2]9월'!$AN$20+'[2]9월'!$AN$22)/1000</f>
        <v>56.892355056654573</v>
      </c>
      <c r="G27" s="299">
        <f t="shared" si="2"/>
        <v>6.1362788674781612</v>
      </c>
      <c r="H27" s="300">
        <f>+('[3]9월'!$AN$13+'[3]9월'!$AN$20+'[3]9월'!$AN$22)/1000</f>
        <v>87.482063195079391</v>
      </c>
      <c r="I27" s="301">
        <f t="shared" si="3"/>
        <v>-30.589708138424818</v>
      </c>
      <c r="J27" s="322">
        <f>+('[1]9월누계'!$AE$13+'[1]9월누계'!$AE$20+'[1]9월누계'!$AE$22)/1000</f>
        <v>435.13114610374953</v>
      </c>
      <c r="K27" s="323">
        <f>+('[2]9월누계'!$AN$13+'[2]9월누계'!$AN$20+'[2]9월누계'!$AN$22)/1000</f>
        <v>433.47700138529865</v>
      </c>
      <c r="L27" s="299">
        <f t="shared" si="0"/>
        <v>-1.6541447184508797</v>
      </c>
      <c r="M27" s="300">
        <f>+('[3]9월누계'!$AN$13+'[3]9월누계'!$AN$20+'[3]9월누계'!$AN$22)/1000</f>
        <v>529.14008464095264</v>
      </c>
      <c r="N27" s="301">
        <f t="shared" si="1"/>
        <v>-95.663083255653987</v>
      </c>
      <c r="O27" s="87"/>
      <c r="P27" s="90"/>
      <c r="Q27" s="1" t="s">
        <v>89</v>
      </c>
      <c r="R27" s="176" t="s">
        <v>90</v>
      </c>
      <c r="S27" s="207">
        <f>+[8]원가손익!$W$10+[9]원가손익!$W$13+[10]손익!$F$10</f>
        <v>59995.664652502244</v>
      </c>
      <c r="T27" s="213">
        <f>+[8]원가손익!$X$10+[9]원가손익!$X$13+[10]손익!$G$10</f>
        <v>48433</v>
      </c>
      <c r="U27" s="210">
        <f>+T27-S27</f>
        <v>-11562.664652502244</v>
      </c>
      <c r="V27" s="189">
        <f>+'[11]부산모래장(당월)'!$S$85</f>
        <v>32178</v>
      </c>
      <c r="W27" s="186">
        <f>+T27-V27</f>
        <v>16255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+('[1]9월'!$E$13+'[1]9월'!$E$20)/1000-E25-E26-E27+('[1]9월'!$E$22/1000)</f>
        <v>1316.881904748835</v>
      </c>
      <c r="F28" s="330">
        <f>+('[2]9월'!$F$13+'[2]9월'!$F$20)/1000-F25-F26-F27+'[2]9월'!$F$22/1000</f>
        <v>1809.6134539461104</v>
      </c>
      <c r="G28" s="302">
        <f t="shared" si="2"/>
        <v>492.7315491972754</v>
      </c>
      <c r="H28" s="303">
        <f>+('[3]9월'!$F$13+'[3]9월'!$F$20)/1000-H25-H26-H27+'[3]9월'!$F$22/1000</f>
        <v>979.18979280759652</v>
      </c>
      <c r="I28" s="304">
        <f t="shared" si="3"/>
        <v>830.42366113851392</v>
      </c>
      <c r="J28" s="329">
        <f>+('[1]9월누계'!$E$13+'[1]9월누계'!$E$20)/1000-J25-J26-J27+('[1]9월누계'!$E$22/1000)</f>
        <v>14523.506868111201</v>
      </c>
      <c r="K28" s="330">
        <f>+('[2]9월누계'!$F$13+'[2]9월누계'!$F$20)/1000-K25-K26-K27+'[2]9월누계'!$F$22/1000</f>
        <v>16333.510755615125</v>
      </c>
      <c r="L28" s="302">
        <f t="shared" si="0"/>
        <v>1810.0038875039245</v>
      </c>
      <c r="M28" s="303">
        <f>+('[3]9월누계'!$F$13+'[3]9월누계'!$F$20)/1000-M25-M26-M27+'[3]9월누계'!$F$22/1000</f>
        <v>13943.428149357485</v>
      </c>
      <c r="N28" s="304">
        <f t="shared" si="1"/>
        <v>2390.0826062576398</v>
      </c>
      <c r="O28" s="87"/>
      <c r="P28" s="90"/>
      <c r="Q28" s="2"/>
      <c r="R28" s="177" t="s">
        <v>91</v>
      </c>
      <c r="S28" s="209">
        <f>+[8]원가손익!$W$14+[9]원가손익!$W$15+[10]손익!$F$12</f>
        <v>45000</v>
      </c>
      <c r="T28" s="141">
        <f>+[8]원가손익!$X$14+[9]원가손익!$X$15+[10]손익!$G$12</f>
        <v>25840</v>
      </c>
      <c r="U28" s="212">
        <f>+T28-S28</f>
        <v>-19160</v>
      </c>
      <c r="V28" s="70">
        <f>+'[11]부산모래장(당월)'!$S$86</f>
        <v>14773</v>
      </c>
      <c r="W28" s="188">
        <f>+T28-V28</f>
        <v>11067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2239.4456159380115</v>
      </c>
      <c r="F29" s="330">
        <f>SUM(F25:F28)</f>
        <v>2855.9217340027653</v>
      </c>
      <c r="G29" s="302">
        <f t="shared" si="2"/>
        <v>616.47611806475379</v>
      </c>
      <c r="H29" s="303">
        <f>SUM(H25:H28)</f>
        <v>2114.5105300026762</v>
      </c>
      <c r="I29" s="304">
        <f t="shared" si="3"/>
        <v>741.41120400008913</v>
      </c>
      <c r="J29" s="329">
        <f>SUM(J25:J28)</f>
        <v>22210.270545214949</v>
      </c>
      <c r="K29" s="330">
        <f>SUM(K25:K28)</f>
        <v>24297.243073000423</v>
      </c>
      <c r="L29" s="302">
        <f t="shared" si="0"/>
        <v>2086.9725277854741</v>
      </c>
      <c r="M29" s="303">
        <f>SUM(M25:M28)</f>
        <v>21890.923371998437</v>
      </c>
      <c r="N29" s="304">
        <f t="shared" si="1"/>
        <v>2406.3197010019867</v>
      </c>
      <c r="O29" s="87"/>
      <c r="P29" s="90"/>
      <c r="Q29" s="632" t="s">
        <v>100</v>
      </c>
      <c r="R29" s="633"/>
      <c r="S29" s="209">
        <f>SUM(S27:S28)</f>
        <v>104995.66465250225</v>
      </c>
      <c r="T29" s="141">
        <f>SUM(T27:T28)</f>
        <v>74273</v>
      </c>
      <c r="U29" s="212">
        <f>+T29-S29</f>
        <v>-30722.664652502252</v>
      </c>
      <c r="V29" s="70">
        <f>SUM(V27:V28)</f>
        <v>46951</v>
      </c>
      <c r="W29" s="188">
        <f>+T29-V29</f>
        <v>27322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3554.627479132901</v>
      </c>
      <c r="F30" s="331">
        <f>+F20-F25</f>
        <v>978.69211799999925</v>
      </c>
      <c r="G30" s="326">
        <f t="shared" si="2"/>
        <v>-2575.9353611329016</v>
      </c>
      <c r="H30" s="327">
        <f>+H20-H25</f>
        <v>1732.7353900000007</v>
      </c>
      <c r="I30" s="328">
        <f t="shared" si="3"/>
        <v>-754.04327200000148</v>
      </c>
      <c r="J30" s="324">
        <f>+J20-J25</f>
        <v>22537.746023635991</v>
      </c>
      <c r="K30" s="331">
        <f>+K20-K25</f>
        <v>10640.47359601007</v>
      </c>
      <c r="L30" s="326">
        <f t="shared" si="0"/>
        <v>-11897.272427625921</v>
      </c>
      <c r="M30" s="327">
        <f>+M20-M25</f>
        <v>28131.865302010054</v>
      </c>
      <c r="N30" s="328">
        <f t="shared" si="1"/>
        <v>-17491.391705999984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0.11627632734274106</v>
      </c>
      <c r="F31" s="205">
        <f>+F30/F10</f>
        <v>3.9901149728795007E-2</v>
      </c>
      <c r="G31" s="202">
        <f t="shared" si="2"/>
        <v>-7.6375177613946049E-2</v>
      </c>
      <c r="H31" s="112">
        <f>+H30/H10</f>
        <v>7.3360770985556947E-2</v>
      </c>
      <c r="I31" s="113">
        <f t="shared" si="3"/>
        <v>-3.345962125676194E-2</v>
      </c>
      <c r="J31" s="199">
        <f>+J30/J10</f>
        <v>9.1709825908677767E-2</v>
      </c>
      <c r="K31" s="205">
        <f>+K30/K10</f>
        <v>5.1438425638587019E-2</v>
      </c>
      <c r="L31" s="202">
        <f t="shared" si="0"/>
        <v>-4.0271400270090747E-2</v>
      </c>
      <c r="M31" s="112">
        <f>+M30/M10</f>
        <v>0.10997846430412203</v>
      </c>
      <c r="N31" s="113">
        <f t="shared" si="1"/>
        <v>-5.8540038665535012E-2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8">+E21-E26</f>
        <v>224.34542280815862</v>
      </c>
      <c r="F32" s="323">
        <f t="shared" si="8"/>
        <v>13.672640000000683</v>
      </c>
      <c r="G32" s="299">
        <f>+F32-E32</f>
        <v>-210.67278280815793</v>
      </c>
      <c r="H32" s="300">
        <f>+H21-H26</f>
        <v>-15.57920200000018</v>
      </c>
      <c r="I32" s="301">
        <f>+F32-H32</f>
        <v>29.251842000000863</v>
      </c>
      <c r="J32" s="322">
        <f t="shared" ref="J32:K34" si="9">+J21-J26</f>
        <v>1815.1720978641649</v>
      </c>
      <c r="K32" s="323">
        <f t="shared" si="9"/>
        <v>-39.663349000003336</v>
      </c>
      <c r="L32" s="299">
        <f t="shared" si="0"/>
        <v>-1854.8354468641683</v>
      </c>
      <c r="M32" s="300">
        <f>+M21-M26</f>
        <v>439.49836999999457</v>
      </c>
      <c r="N32" s="301">
        <f t="shared" si="1"/>
        <v>-479.1617189999979</v>
      </c>
      <c r="O32" s="87"/>
      <c r="P32" s="90"/>
      <c r="Q32" s="634" t="s">
        <v>104</v>
      </c>
      <c r="R32" s="635"/>
      <c r="S32" s="240">
        <f>+'사업장별(당월)'!T33</f>
        <v>51.473203666666663</v>
      </c>
      <c r="T32" s="241">
        <f>+'사업장별(당월)'!U33</f>
        <v>25.888620000000003</v>
      </c>
      <c r="U32" s="242">
        <f>+T32-S32</f>
        <v>-25.58458366666666</v>
      </c>
      <c r="V32" s="243">
        <f>+'사업장별(당월)'!W33</f>
        <v>76.004227</v>
      </c>
      <c r="W32" s="244">
        <f>+T32-V32</f>
        <v>-50.115606999999997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8"/>
        <v>218.62974646605764</v>
      </c>
      <c r="F33" s="323">
        <f t="shared" si="8"/>
        <v>9.2028909533456371</v>
      </c>
      <c r="G33" s="299">
        <f t="shared" si="2"/>
        <v>-209.426855512712</v>
      </c>
      <c r="H33" s="300">
        <f>+H22-H27</f>
        <v>-312.98049719507947</v>
      </c>
      <c r="I33" s="301">
        <f t="shared" si="3"/>
        <v>322.18338814842508</v>
      </c>
      <c r="J33" s="322">
        <f t="shared" si="9"/>
        <v>1514.3590021385098</v>
      </c>
      <c r="K33" s="323">
        <f t="shared" si="9"/>
        <v>-703.90961934529616</v>
      </c>
      <c r="L33" s="299">
        <f t="shared" si="0"/>
        <v>-2218.2686214838059</v>
      </c>
      <c r="M33" s="300">
        <f>+M22-M27</f>
        <v>145.96259835904834</v>
      </c>
      <c r="N33" s="301">
        <f t="shared" si="1"/>
        <v>-849.87221770434451</v>
      </c>
      <c r="O33" s="87"/>
      <c r="P33" s="90"/>
      <c r="Q33" s="636" t="s">
        <v>44</v>
      </c>
      <c r="R33" s="637"/>
      <c r="S33" s="169">
        <f>+'사업장별(당월)'!T34</f>
        <v>76.533943999999991</v>
      </c>
      <c r="T33" s="250">
        <f>+'사업장별(당월)'!U34</f>
        <v>70.267687000000009</v>
      </c>
      <c r="U33" s="170">
        <f>+T33-S33</f>
        <v>-6.2662569999999818</v>
      </c>
      <c r="V33" s="251">
        <f>+'사업장별(당월)'!W34</f>
        <v>75.789990000000003</v>
      </c>
      <c r="W33" s="172">
        <f>+T33-V33</f>
        <v>-5.5223029999999937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8"/>
        <v>-1226.942077082171</v>
      </c>
      <c r="F34" s="330">
        <f t="shared" si="8"/>
        <v>-1704.9647679461223</v>
      </c>
      <c r="G34" s="302">
        <f t="shared" si="2"/>
        <v>-478.02269086395131</v>
      </c>
      <c r="H34" s="303">
        <f>+H23-H28</f>
        <v>-574.5085278075918</v>
      </c>
      <c r="I34" s="304">
        <f t="shared" si="3"/>
        <v>-1130.4562401385306</v>
      </c>
      <c r="J34" s="329">
        <f t="shared" si="9"/>
        <v>-13708.28152911122</v>
      </c>
      <c r="K34" s="330">
        <f t="shared" si="9"/>
        <v>-15607.026442615064</v>
      </c>
      <c r="L34" s="302">
        <f t="shared" si="0"/>
        <v>-1898.7449135038441</v>
      </c>
      <c r="M34" s="303">
        <f>+M23-M28</f>
        <v>-12344.461119357497</v>
      </c>
      <c r="N34" s="304">
        <f t="shared" si="1"/>
        <v>-3262.5653232575678</v>
      </c>
      <c r="O34" s="87"/>
      <c r="P34" s="90"/>
      <c r="Q34" s="262" t="s">
        <v>29</v>
      </c>
      <c r="R34" s="263"/>
      <c r="S34" s="257">
        <f>+'사업장별(당월)'!T35</f>
        <v>-1279.5788617488349</v>
      </c>
      <c r="T34" s="258">
        <f>+'사업장별(당월)'!U35</f>
        <v>-1380.7742889461106</v>
      </c>
      <c r="U34" s="259">
        <f>+T34-S34</f>
        <v>-101.19542719727565</v>
      </c>
      <c r="V34" s="260">
        <f>+'사업장별(당월)'!W35</f>
        <v>-1368.6460828075965</v>
      </c>
      <c r="W34" s="261">
        <f>+T34-V34</f>
        <v>-12.128206138514088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2770.6605713249464</v>
      </c>
      <c r="F35" s="332">
        <f>SUM(F30,F32:F34)</f>
        <v>-703.39711899277665</v>
      </c>
      <c r="G35" s="299">
        <f t="shared" si="2"/>
        <v>-3474.057690317723</v>
      </c>
      <c r="H35" s="300">
        <f>SUM(H30,H32:H34)</f>
        <v>829.66716299732923</v>
      </c>
      <c r="I35" s="301">
        <f t="shared" si="3"/>
        <v>-1533.0642819901059</v>
      </c>
      <c r="J35" s="322">
        <f>SUM(J30,J32:J34)</f>
        <v>12158.995594527445</v>
      </c>
      <c r="K35" s="332">
        <f>SUM(K30,K32:K34)</f>
        <v>-5710.1258149502955</v>
      </c>
      <c r="L35" s="299">
        <f t="shared" si="0"/>
        <v>-17869.121409477739</v>
      </c>
      <c r="M35" s="300">
        <f>SUM(M30,M32:M34)</f>
        <v>16372.8651510116</v>
      </c>
      <c r="N35" s="301">
        <f t="shared" si="1"/>
        <v>-22082.990965961893</v>
      </c>
      <c r="O35" s="87"/>
      <c r="P35" s="90"/>
      <c r="Q35" s="264" t="s">
        <v>103</v>
      </c>
      <c r="R35" s="265"/>
      <c r="S35" s="252">
        <f>+S36-S32-S33-S34</f>
        <v>-75.370362999999315</v>
      </c>
      <c r="T35" s="253">
        <f>+T36-T32-T33-T34</f>
        <v>-420.34678600000871</v>
      </c>
      <c r="U35" s="254">
        <f>+T35-S35</f>
        <v>-344.97642300000939</v>
      </c>
      <c r="V35" s="255">
        <f>+V36-V32-V33-V34</f>
        <v>642.34333800000263</v>
      </c>
      <c r="W35" s="256">
        <f>+T35-V35</f>
        <v>-1062.6901240000113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5.977763070101004E-2</v>
      </c>
      <c r="F36" s="206">
        <f>+F35/F14</f>
        <v>-2.0877438476519097E-2</v>
      </c>
      <c r="G36" s="203">
        <f t="shared" si="2"/>
        <v>-8.065506917752914E-2</v>
      </c>
      <c r="H36" s="116">
        <f>+H35/H14</f>
        <v>2.5613399990345564E-2</v>
      </c>
      <c r="I36" s="117">
        <f t="shared" si="3"/>
        <v>-4.6490838466864665E-2</v>
      </c>
      <c r="J36" s="200">
        <f>+J35/J14</f>
        <v>3.257526330124464E-2</v>
      </c>
      <c r="K36" s="206">
        <f>+K35/K14</f>
        <v>-1.9224768358569771E-2</v>
      </c>
      <c r="L36" s="203">
        <f t="shared" si="0"/>
        <v>-5.1800031659814408E-2</v>
      </c>
      <c r="M36" s="116">
        <f>+M35/M14</f>
        <v>4.7001682739850198E-2</v>
      </c>
      <c r="N36" s="117">
        <f t="shared" si="1"/>
        <v>-6.6226451098419972E-2</v>
      </c>
      <c r="O36" s="87"/>
      <c r="P36" s="118"/>
      <c r="Q36" s="624" t="s">
        <v>102</v>
      </c>
      <c r="R36" s="625"/>
      <c r="S36" s="245">
        <f>+'사업장별(당월)'!T41</f>
        <v>-1226.9420770821675</v>
      </c>
      <c r="T36" s="246">
        <f>+'사업장별(당월)'!U41</f>
        <v>-1704.9647679461193</v>
      </c>
      <c r="U36" s="247">
        <f>+T36-S36</f>
        <v>-478.02269086395177</v>
      </c>
      <c r="V36" s="248">
        <f>+'사업장별(당월)'!W41</f>
        <v>-574.50852780759385</v>
      </c>
      <c r="W36" s="249">
        <f>+T36-V36</f>
        <v>-1130.4562401385256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+'[1]9월'!$E$26/1000</f>
        <v>2770.660571324951</v>
      </c>
      <c r="F38" s="227">
        <f>+'[2]9월'!$F$26/1000</f>
        <v>-703.39711899277381</v>
      </c>
      <c r="H38" s="227">
        <f>+'[3]9월'!$F$26/1000</f>
        <v>829.66716299732582</v>
      </c>
      <c r="J38" s="237">
        <f>+'[1]9월누계'!$E$26/1000</f>
        <v>12158.995594527454</v>
      </c>
      <c r="K38" s="237">
        <f>+'[2]9월누계'!$F$26/1000</f>
        <v>-5710.1258149503301</v>
      </c>
      <c r="L38" s="238"/>
      <c r="M38" s="237">
        <f>+'[3]9월누계'!$F$26/1000</f>
        <v>16372.865151011567</v>
      </c>
      <c r="N38" s="238"/>
      <c r="O38" s="238"/>
    </row>
    <row r="39" spans="2:31" x14ac:dyDescent="0.3">
      <c r="E39" t="b">
        <f>+E35=E38</f>
        <v>1</v>
      </c>
      <c r="F39" t="b">
        <f>+F35=F38</f>
        <v>0</v>
      </c>
      <c r="H39" t="b">
        <f>+H35=H38</f>
        <v>0</v>
      </c>
      <c r="J39" t="b">
        <f>+J35=J38</f>
        <v>0</v>
      </c>
      <c r="K39" t="b">
        <f>+K35=K38</f>
        <v>0</v>
      </c>
      <c r="M39" t="b">
        <f>+M35=M38</f>
        <v>1</v>
      </c>
    </row>
    <row r="40" spans="2:31" x14ac:dyDescent="0.3">
      <c r="E40" s="239">
        <f>+E35-E38</f>
        <v>-4.5474735088646412E-12</v>
      </c>
      <c r="F40" s="239">
        <f>+F35-F38</f>
        <v>-2.8421709430404007E-12</v>
      </c>
      <c r="G40" s="236"/>
      <c r="H40" s="239">
        <f>+H35-H38</f>
        <v>3.4106051316484809E-12</v>
      </c>
      <c r="I40" s="236"/>
      <c r="J40" s="239">
        <f>+J35-J38</f>
        <v>0</v>
      </c>
      <c r="K40" s="239">
        <f>+K35-K38</f>
        <v>3.4560798667371273E-11</v>
      </c>
      <c r="L40" s="236"/>
      <c r="M40" s="239">
        <f>+M35-M38</f>
        <v>3.2741809263825417E-11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opLeftCell="E1" zoomScale="85" zoomScaleNormal="85" zoomScaleSheetLayoutView="85" workbookViewId="0"/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4"/>
      <c r="K1" s="6"/>
      <c r="L1" s="6"/>
      <c r="P1" s="6"/>
      <c r="Q1" s="6"/>
    </row>
    <row r="2" spans="1:32" ht="18" customHeight="1" x14ac:dyDescent="0.3">
      <c r="H2" s="7"/>
    </row>
    <row r="3" spans="1:32" ht="26.25" x14ac:dyDescent="0.3">
      <c r="H3" s="4" t="s">
        <v>220</v>
      </c>
    </row>
    <row r="4" spans="1:32" ht="18" customHeight="1" x14ac:dyDescent="0.3">
      <c r="H4" s="7"/>
    </row>
    <row r="5" spans="1:32" ht="18" customHeight="1" x14ac:dyDescent="0.3">
      <c r="H5" s="638" t="s">
        <v>11</v>
      </c>
      <c r="I5" s="639"/>
      <c r="J5" s="608" t="s">
        <v>208</v>
      </c>
      <c r="K5" s="609"/>
      <c r="L5" s="609"/>
      <c r="M5" s="609"/>
      <c r="N5" s="609"/>
      <c r="O5" s="609"/>
      <c r="P5" s="609"/>
      <c r="Q5" s="609"/>
      <c r="R5" s="609"/>
      <c r="S5" s="610"/>
      <c r="T5" s="608" t="s">
        <v>221</v>
      </c>
      <c r="U5" s="609"/>
      <c r="V5" s="609"/>
      <c r="W5" s="609"/>
      <c r="X5" s="609"/>
      <c r="Y5" s="609"/>
      <c r="Z5" s="609"/>
      <c r="AA5" s="609"/>
      <c r="AB5" s="609"/>
      <c r="AC5" s="610"/>
    </row>
    <row r="6" spans="1:32" s="8" customFormat="1" ht="19.5" customHeight="1" x14ac:dyDescent="0.3">
      <c r="G6" s="334"/>
      <c r="H6" s="638"/>
      <c r="I6" s="639"/>
      <c r="J6" s="158" t="s">
        <v>98</v>
      </c>
      <c r="K6" s="159"/>
      <c r="L6" s="159"/>
      <c r="M6" s="159"/>
      <c r="N6" s="160"/>
      <c r="O6" s="158" t="s">
        <v>205</v>
      </c>
      <c r="P6" s="159"/>
      <c r="Q6" s="159"/>
      <c r="R6" s="159"/>
      <c r="S6" s="160"/>
      <c r="T6" s="158" t="s">
        <v>98</v>
      </c>
      <c r="U6" s="159"/>
      <c r="V6" s="159"/>
      <c r="W6" s="159"/>
      <c r="X6" s="160"/>
      <c r="Y6" s="158" t="s">
        <v>98</v>
      </c>
      <c r="Z6" s="159"/>
      <c r="AA6" s="159"/>
      <c r="AB6" s="159"/>
      <c r="AC6" s="160"/>
    </row>
    <row r="7" spans="1:32" s="8" customFormat="1" ht="19.5" customHeight="1" x14ac:dyDescent="0.3">
      <c r="A7" s="8" t="s">
        <v>219</v>
      </c>
      <c r="G7" s="334"/>
      <c r="H7" s="640"/>
      <c r="I7" s="641"/>
      <c r="J7" s="161" t="s">
        <v>12</v>
      </c>
      <c r="K7" s="162" t="s">
        <v>13</v>
      </c>
      <c r="L7" s="163" t="s">
        <v>28</v>
      </c>
      <c r="M7" s="162" t="s">
        <v>14</v>
      </c>
      <c r="N7" s="164" t="s">
        <v>28</v>
      </c>
      <c r="O7" s="161" t="s">
        <v>12</v>
      </c>
      <c r="P7" s="162" t="s">
        <v>13</v>
      </c>
      <c r="Q7" s="163" t="s">
        <v>28</v>
      </c>
      <c r="R7" s="162" t="s">
        <v>14</v>
      </c>
      <c r="S7" s="164" t="s">
        <v>28</v>
      </c>
      <c r="T7" s="161" t="s">
        <v>12</v>
      </c>
      <c r="U7" s="162" t="s">
        <v>13</v>
      </c>
      <c r="V7" s="163" t="s">
        <v>28</v>
      </c>
      <c r="W7" s="162" t="s">
        <v>14</v>
      </c>
      <c r="X7" s="164" t="s">
        <v>28</v>
      </c>
      <c r="Y7" s="161" t="s">
        <v>12</v>
      </c>
      <c r="Z7" s="162" t="s">
        <v>13</v>
      </c>
      <c r="AA7" s="163" t="s">
        <v>28</v>
      </c>
      <c r="AB7" s="162" t="s">
        <v>14</v>
      </c>
      <c r="AC7" s="164" t="s">
        <v>28</v>
      </c>
    </row>
    <row r="8" spans="1:32" s="8" customFormat="1" ht="22.5" customHeight="1" x14ac:dyDescent="0.3">
      <c r="B8" s="8" t="s">
        <v>18</v>
      </c>
      <c r="G8" s="335"/>
      <c r="H8" s="72" t="s">
        <v>40</v>
      </c>
      <c r="I8" s="73" t="s">
        <v>18</v>
      </c>
      <c r="J8" s="35">
        <f>+[4]안양!$H$86/1000</f>
        <v>524.41266908205898</v>
      </c>
      <c r="K8" s="36">
        <f>+[4]안양!$I$86/1000</f>
        <v>252.54889800000035</v>
      </c>
      <c r="L8" s="40">
        <f>+K8-J8</f>
        <v>-271.86377108205863</v>
      </c>
      <c r="M8" s="41">
        <f>+[5]안양!$H$86/1000</f>
        <v>202.03240100000005</v>
      </c>
      <c r="N8" s="39">
        <f>+K8-M8</f>
        <v>50.5164970000003</v>
      </c>
      <c r="O8" s="35">
        <f>+[4]안양!$H$92/1000</f>
        <v>351.89690589232345</v>
      </c>
      <c r="P8" s="36">
        <f>+[4]안양!$I$92/1000</f>
        <v>80.499760569368263</v>
      </c>
      <c r="Q8" s="40">
        <f>+P8-O8</f>
        <v>-271.39714532295517</v>
      </c>
      <c r="R8" s="41">
        <f>+[5]안양!$H$92/1000</f>
        <v>37.785194740547247</v>
      </c>
      <c r="S8" s="39">
        <f>+P8-R8</f>
        <v>42.714565828821016</v>
      </c>
      <c r="T8" s="35">
        <f>+[12]안양!$H$86/1000</f>
        <v>3111.4303907519215</v>
      </c>
      <c r="U8" s="36">
        <f>+[12]안양!$I$86/1000</f>
        <v>1943.5607619999935</v>
      </c>
      <c r="V8" s="40">
        <f>+U8-T8</f>
        <v>-1167.8696287519281</v>
      </c>
      <c r="W8" s="41">
        <f>+[13]안양!$H$86/1000</f>
        <v>3343.7299199999975</v>
      </c>
      <c r="X8" s="39">
        <f>+U8-W8</f>
        <v>-1400.169158000004</v>
      </c>
      <c r="Y8" s="35">
        <f>+[12]안양!$H$92/1000</f>
        <v>1184.335352947716</v>
      </c>
      <c r="Z8" s="36">
        <f>+[12]안양!$I$92/1000</f>
        <v>49.689828488815806</v>
      </c>
      <c r="AA8" s="40">
        <f>+Z8-Y8</f>
        <v>-1134.6455244589001</v>
      </c>
      <c r="AB8" s="41">
        <f>+[13]안양!$H$92/1000</f>
        <v>1669.9228787289844</v>
      </c>
      <c r="AC8" s="39">
        <f>+Z8-AB8</f>
        <v>-1620.2330502401687</v>
      </c>
    </row>
    <row r="9" spans="1:32" s="8" customFormat="1" ht="22.5" customHeight="1" x14ac:dyDescent="0.3">
      <c r="B9" s="8" t="s">
        <v>19</v>
      </c>
      <c r="G9" s="336"/>
      <c r="H9" s="74" t="s">
        <v>41</v>
      </c>
      <c r="I9" s="75" t="s">
        <v>19</v>
      </c>
      <c r="J9" s="45">
        <f>+[4]인천!$H$86/1000</f>
        <v>387.61290209828422</v>
      </c>
      <c r="K9" s="46">
        <f>+[4]인천!$I$86/1000</f>
        <v>-66.326553000000388</v>
      </c>
      <c r="L9" s="47">
        <f t="shared" ref="L9:L28" si="0">+K9-J9</f>
        <v>-453.93945509828461</v>
      </c>
      <c r="M9" s="48">
        <f>+[5]인천!$H$86/1000</f>
        <v>-68.397039999999976</v>
      </c>
      <c r="N9" s="49">
        <f t="shared" ref="N9:N28" si="1">+K9-M9</f>
        <v>2.0704869999995879</v>
      </c>
      <c r="O9" s="45">
        <f>+[4]인천!$H$92/1000</f>
        <v>250.07051569302931</v>
      </c>
      <c r="P9" s="46">
        <f>+[4]인천!$I$92/1000</f>
        <v>-225.62110878515796</v>
      </c>
      <c r="Q9" s="47">
        <f t="shared" ref="Q9:Q28" si="2">+P9-O9</f>
        <v>-475.69162447818724</v>
      </c>
      <c r="R9" s="48">
        <f>+[5]인천!$H$92/1000</f>
        <v>-171.87697636454908</v>
      </c>
      <c r="S9" s="49">
        <f t="shared" ref="S9:S28" si="3">+P9-R9</f>
        <v>-53.744132420608878</v>
      </c>
      <c r="T9" s="45">
        <f>+[12]인천!$H$86/1000</f>
        <v>1248.0159799837204</v>
      </c>
      <c r="U9" s="46">
        <f>+[12]인천!$I$86/1000</f>
        <v>248.33137100999488</v>
      </c>
      <c r="V9" s="47">
        <f t="shared" ref="V9:V24" si="4">+U9-T9</f>
        <v>-999.68460897372552</v>
      </c>
      <c r="W9" s="48">
        <f>+[13]인천!$H$86/1000</f>
        <v>1598.4680050100001</v>
      </c>
      <c r="X9" s="49">
        <f t="shared" ref="X9:X24" si="5">+U9-W9</f>
        <v>-1350.1366340000052</v>
      </c>
      <c r="Y9" s="45">
        <f>+[12]인천!$H$92/1000</f>
        <v>-142.85933103439655</v>
      </c>
      <c r="Z9" s="46">
        <f>+[12]인천!$I$92/1000</f>
        <v>-1343.8872441053577</v>
      </c>
      <c r="AA9" s="47">
        <f t="shared" ref="AA9:AA24" si="6">+Z9-Y9</f>
        <v>-1201.0279130709612</v>
      </c>
      <c r="AB9" s="48">
        <f>+[13]인천!$H$92/1000</f>
        <v>388.52057610668709</v>
      </c>
      <c r="AC9" s="49">
        <f t="shared" ref="AC9:AC24" si="7">+Z9-AB9</f>
        <v>-1732.4078202120447</v>
      </c>
    </row>
    <row r="10" spans="1:32" s="8" customFormat="1" ht="22.5" customHeight="1" x14ac:dyDescent="0.3">
      <c r="B10" s="8" t="s">
        <v>20</v>
      </c>
      <c r="G10" s="336"/>
      <c r="H10" s="74"/>
      <c r="I10" s="75" t="s">
        <v>20</v>
      </c>
      <c r="J10" s="45">
        <f>+[4]파주!$H$86/1000</f>
        <v>132.59525919306</v>
      </c>
      <c r="K10" s="46">
        <f>+[4]파주!$I$86/1000</f>
        <v>-43.489316000000009</v>
      </c>
      <c r="L10" s="47">
        <f t="shared" si="0"/>
        <v>-176.08457519306</v>
      </c>
      <c r="M10" s="48">
        <f>+[5]파주!$H$86/1000</f>
        <v>106.24982999999987</v>
      </c>
      <c r="N10" s="49">
        <f t="shared" si="1"/>
        <v>-149.73914599999989</v>
      </c>
      <c r="O10" s="45">
        <f>+[4]파주!$H$92/1000</f>
        <v>36.714278435121756</v>
      </c>
      <c r="P10" s="46">
        <f>+[4]파주!$I$92/1000</f>
        <v>-126.1736172171681</v>
      </c>
      <c r="Q10" s="47">
        <f t="shared" si="2"/>
        <v>-162.88789565228984</v>
      </c>
      <c r="R10" s="48">
        <f>+[5]파주!$H$92/1000</f>
        <v>2.3330199930631208</v>
      </c>
      <c r="S10" s="49">
        <f t="shared" si="3"/>
        <v>-128.50663721023122</v>
      </c>
      <c r="T10" s="45">
        <f>+[12]파주!$H$86/1000</f>
        <v>924.82777970779296</v>
      </c>
      <c r="U10" s="46">
        <f>+[12]파주!$I$86/1000</f>
        <v>-343.23293999999947</v>
      </c>
      <c r="V10" s="47">
        <f t="shared" si="4"/>
        <v>-1268.0607197077925</v>
      </c>
      <c r="W10" s="48">
        <f>+[13]파주!$H$86/1000</f>
        <v>1620.5199860000009</v>
      </c>
      <c r="X10" s="49">
        <f t="shared" si="5"/>
        <v>-1963.7529260000003</v>
      </c>
      <c r="Y10" s="45">
        <f>+[12]파주!$H$92/1000</f>
        <v>-81.036471151870913</v>
      </c>
      <c r="Z10" s="46">
        <f>+[12]파주!$I$92/1000</f>
        <v>-1060.9175093190952</v>
      </c>
      <c r="AA10" s="47">
        <f t="shared" si="6"/>
        <v>-979.88103816722423</v>
      </c>
      <c r="AB10" s="48">
        <f>+[13]파주!$H$92/1000</f>
        <v>535.24932085381658</v>
      </c>
      <c r="AC10" s="49">
        <f t="shared" si="7"/>
        <v>-1596.1668301729119</v>
      </c>
    </row>
    <row r="11" spans="1:32" s="8" customFormat="1" ht="22.5" customHeight="1" x14ac:dyDescent="0.3">
      <c r="B11" s="8" t="s">
        <v>110</v>
      </c>
      <c r="G11" s="336"/>
      <c r="H11" s="74"/>
      <c r="I11" s="75" t="s">
        <v>108</v>
      </c>
      <c r="J11" s="45">
        <f>+[4]김포!$H$86/1000</f>
        <v>110.62526776141796</v>
      </c>
      <c r="K11" s="46">
        <f>+[4]김포!$I$86/1000</f>
        <v>-79.489791999999966</v>
      </c>
      <c r="L11" s="47">
        <f t="shared" si="0"/>
        <v>-190.11505976141791</v>
      </c>
      <c r="M11" s="48">
        <f>+[5]김포!$H$86/1000</f>
        <v>29.041857000000117</v>
      </c>
      <c r="N11" s="49">
        <f t="shared" si="1"/>
        <v>-108.53164900000009</v>
      </c>
      <c r="O11" s="45">
        <f>+[4]김포!$H$92/1000</f>
        <v>47.50211760960056</v>
      </c>
      <c r="P11" s="46">
        <f>+[4]김포!$I$92/1000</f>
        <v>-131.5491256696335</v>
      </c>
      <c r="Q11" s="47">
        <f t="shared" si="2"/>
        <v>-179.05124327923406</v>
      </c>
      <c r="R11" s="48">
        <f>+[5]김포!$H$92/1000</f>
        <v>-25.325467453396513</v>
      </c>
      <c r="S11" s="49">
        <f t="shared" si="3"/>
        <v>-106.22365821623698</v>
      </c>
      <c r="T11" s="45">
        <f>+[12]김포!$H$86/1000</f>
        <v>771.50592496965783</v>
      </c>
      <c r="U11" s="46">
        <f>+[12]김포!$I$86/1000</f>
        <v>-50.408565000002241</v>
      </c>
      <c r="V11" s="47">
        <f t="shared" si="4"/>
        <v>-821.91448996966005</v>
      </c>
      <c r="W11" s="48">
        <f>+[13]김포!$H$86/1000</f>
        <v>861.13719300000071</v>
      </c>
      <c r="X11" s="49">
        <f t="shared" si="5"/>
        <v>-911.54575800000293</v>
      </c>
      <c r="Y11" s="45">
        <f>+[12]김포!$H$92/1000</f>
        <v>108.72162181769149</v>
      </c>
      <c r="Z11" s="46">
        <f>+[12]김포!$I$92/1000</f>
        <v>-627.03788390883744</v>
      </c>
      <c r="AA11" s="47">
        <f t="shared" si="6"/>
        <v>-735.75950572652891</v>
      </c>
      <c r="AB11" s="48">
        <f>+[13]김포!$H$92/1000</f>
        <v>373.74907669161934</v>
      </c>
      <c r="AC11" s="49">
        <f t="shared" si="7"/>
        <v>-1000.7869606004567</v>
      </c>
    </row>
    <row r="12" spans="1:32" s="8" customFormat="1" ht="22.5" customHeight="1" x14ac:dyDescent="0.3">
      <c r="B12" s="8" t="s">
        <v>21</v>
      </c>
      <c r="G12" s="334"/>
      <c r="H12" s="74"/>
      <c r="I12" s="76" t="s">
        <v>21</v>
      </c>
      <c r="J12" s="62">
        <f>+[4]부산!$H$86/1000</f>
        <v>222.14546281991505</v>
      </c>
      <c r="K12" s="63">
        <f>+[4]부산!$I$86/1000</f>
        <v>155.08343899999994</v>
      </c>
      <c r="L12" s="64">
        <f t="shared" si="0"/>
        <v>-67.062023819915112</v>
      </c>
      <c r="M12" s="65">
        <f>+[5]부산!$H$86/1000</f>
        <v>167.22155100000009</v>
      </c>
      <c r="N12" s="66">
        <f t="shared" si="1"/>
        <v>-12.138112000000149</v>
      </c>
      <c r="O12" s="62">
        <f>+[4]부산!$H$92/1000</f>
        <v>124.23661314625367</v>
      </c>
      <c r="P12" s="63">
        <f>+[4]부산!$I$92/1000</f>
        <v>28.967390255044187</v>
      </c>
      <c r="Q12" s="64">
        <f t="shared" si="2"/>
        <v>-95.269222891209495</v>
      </c>
      <c r="R12" s="65">
        <f>+[5]부산!$H$92/1000</f>
        <v>62.068410862032515</v>
      </c>
      <c r="S12" s="66">
        <f t="shared" si="3"/>
        <v>-33.101020606988328</v>
      </c>
      <c r="T12" s="62">
        <f>+[12]부산!$H$86/1000</f>
        <v>1630.3156580998202</v>
      </c>
      <c r="U12" s="63">
        <f>+[12]부산!$I$86/1000</f>
        <v>1775.6782679999997</v>
      </c>
      <c r="V12" s="64">
        <f t="shared" si="4"/>
        <v>145.36260990017945</v>
      </c>
      <c r="W12" s="65">
        <f>+[13]부산!$H$86/1000</f>
        <v>1993.254315000002</v>
      </c>
      <c r="X12" s="66">
        <f t="shared" si="5"/>
        <v>-217.57604700000229</v>
      </c>
      <c r="Y12" s="62">
        <f>+[12]부산!$H$92/1000</f>
        <v>518.08818200194162</v>
      </c>
      <c r="Z12" s="63">
        <f>+[12]부산!$I$92/1000</f>
        <v>427.05289520196754</v>
      </c>
      <c r="AA12" s="64">
        <f t="shared" si="6"/>
        <v>-91.035286799974074</v>
      </c>
      <c r="AB12" s="65">
        <f>+[13]부산!$H$92/1000</f>
        <v>1006.8312126745226</v>
      </c>
      <c r="AC12" s="66">
        <f t="shared" si="7"/>
        <v>-579.77831747255505</v>
      </c>
      <c r="AD12" s="488"/>
      <c r="AE12" s="86"/>
    </row>
    <row r="13" spans="1:32" s="8" customFormat="1" ht="22.5" customHeight="1" x14ac:dyDescent="0.3">
      <c r="B13" s="8" t="s">
        <v>22</v>
      </c>
      <c r="G13" s="334"/>
      <c r="H13" s="74"/>
      <c r="I13" s="75" t="s">
        <v>22</v>
      </c>
      <c r="J13" s="45">
        <f>+[4]서부산!$H$86/1000</f>
        <v>262.68394872244687</v>
      </c>
      <c r="K13" s="46">
        <f>+[4]서부산!$I$86/1000</f>
        <v>149.8511689999998</v>
      </c>
      <c r="L13" s="47">
        <f t="shared" si="0"/>
        <v>-112.83277972244707</v>
      </c>
      <c r="M13" s="48">
        <f>+[5]서부산!$H$86/1000</f>
        <v>84.673493999999977</v>
      </c>
      <c r="N13" s="49">
        <f t="shared" si="1"/>
        <v>65.177674999999823</v>
      </c>
      <c r="O13" s="45">
        <f>+[4]서부산!$H$92/1000</f>
        <v>172.41146540699364</v>
      </c>
      <c r="P13" s="46">
        <f>+[4]서부산!$I$92/1000</f>
        <v>38.920760808765642</v>
      </c>
      <c r="Q13" s="47">
        <f t="shared" si="2"/>
        <v>-133.49070459822801</v>
      </c>
      <c r="R13" s="48">
        <f>+[5]서부산!$H$92/1000</f>
        <v>6.541656857808877</v>
      </c>
      <c r="S13" s="49">
        <f t="shared" si="3"/>
        <v>32.379103950956768</v>
      </c>
      <c r="T13" s="45">
        <f>+[12]서부산!$H$86/1000</f>
        <v>1633.6254634911863</v>
      </c>
      <c r="U13" s="46">
        <f>+[12]서부산!$I$86/1000</f>
        <v>1008.0572559999995</v>
      </c>
      <c r="V13" s="47">
        <f t="shared" si="4"/>
        <v>-625.56820749118685</v>
      </c>
      <c r="W13" s="48">
        <f>+[13]서부산!$H$86/1000</f>
        <v>2157.9980279999995</v>
      </c>
      <c r="X13" s="49">
        <f t="shared" si="5"/>
        <v>-1149.9407719999999</v>
      </c>
      <c r="Y13" s="45">
        <f>+[12]서부산!$H$92/1000</f>
        <v>629.74385843667358</v>
      </c>
      <c r="Z13" s="46">
        <f>+[12]서부산!$I$92/1000</f>
        <v>-8.1956009186052245</v>
      </c>
      <c r="AA13" s="47">
        <f t="shared" si="6"/>
        <v>-637.93945935527881</v>
      </c>
      <c r="AB13" s="48">
        <f>+[13]서부산!$H$92/1000</f>
        <v>1184.6447800206104</v>
      </c>
      <c r="AC13" s="49">
        <f t="shared" si="7"/>
        <v>-1192.8403809392155</v>
      </c>
    </row>
    <row r="14" spans="1:32" s="8" customFormat="1" ht="22.5" customHeight="1" x14ac:dyDescent="0.3">
      <c r="B14" s="8" t="s">
        <v>23</v>
      </c>
      <c r="G14" s="334"/>
      <c r="H14" s="74"/>
      <c r="I14" s="75" t="s">
        <v>23</v>
      </c>
      <c r="J14" s="45">
        <f>+[4]김해!$H$86/1000</f>
        <v>115.18250597613853</v>
      </c>
      <c r="K14" s="46">
        <f>+[4]김해!$I$86/1000</f>
        <v>-78.322141000000059</v>
      </c>
      <c r="L14" s="47">
        <f t="shared" si="0"/>
        <v>-193.50464697613859</v>
      </c>
      <c r="M14" s="48">
        <f>+[5]김해!$H$86/1000</f>
        <v>-2.7295230000000736</v>
      </c>
      <c r="N14" s="49">
        <f t="shared" si="1"/>
        <v>-75.592617999999987</v>
      </c>
      <c r="O14" s="45">
        <f>+[4]김해!$H$92/1000</f>
        <v>56.819005938027708</v>
      </c>
      <c r="P14" s="46">
        <f>+[4]김해!$I$92/1000</f>
        <v>-119.50720773567946</v>
      </c>
      <c r="Q14" s="47">
        <f t="shared" si="2"/>
        <v>-176.32621367370717</v>
      </c>
      <c r="R14" s="48">
        <f>+[5]김해!$H$92/1000</f>
        <v>-70.157852881431197</v>
      </c>
      <c r="S14" s="49">
        <f t="shared" si="3"/>
        <v>-49.349354854248261</v>
      </c>
      <c r="T14" s="45">
        <f>+[12]김해!$H$86/1000</f>
        <v>1009.2323153022563</v>
      </c>
      <c r="U14" s="46">
        <f>+[12]김해!$I$86/1000</f>
        <v>-308.43196800000067</v>
      </c>
      <c r="V14" s="47">
        <f t="shared" si="4"/>
        <v>-1317.664283302257</v>
      </c>
      <c r="W14" s="48">
        <f>+[13]김해!$H$86/1000</f>
        <v>709.6576109999985</v>
      </c>
      <c r="X14" s="49">
        <f t="shared" si="5"/>
        <v>-1018.0895789999992</v>
      </c>
      <c r="Y14" s="45">
        <f>+[12]김해!$H$92/1000</f>
        <v>321.63806415088044</v>
      </c>
      <c r="Z14" s="46">
        <f>+[12]김해!$I$92/1000</f>
        <v>-802.98652632589778</v>
      </c>
      <c r="AA14" s="47">
        <f t="shared" si="6"/>
        <v>-1124.6245904767782</v>
      </c>
      <c r="AB14" s="48">
        <f>+[13]김해!$H$92/1000</f>
        <v>122.68805694124767</v>
      </c>
      <c r="AC14" s="49">
        <f t="shared" si="7"/>
        <v>-925.67458326714541</v>
      </c>
      <c r="AF14" s="484"/>
    </row>
    <row r="15" spans="1:32" s="8" customFormat="1" ht="22.5" customHeight="1" x14ac:dyDescent="0.3">
      <c r="B15" s="8" t="s">
        <v>24</v>
      </c>
      <c r="G15" s="334"/>
      <c r="H15" s="74"/>
      <c r="I15" s="75" t="s">
        <v>24</v>
      </c>
      <c r="J15" s="45">
        <f>+[4]정관!$H$86/1000</f>
        <v>164.10726125668998</v>
      </c>
      <c r="K15" s="46">
        <f>+[4]정관!$I$86/1000</f>
        <v>173.69429000000002</v>
      </c>
      <c r="L15" s="47">
        <f t="shared" si="0"/>
        <v>9.587028743310043</v>
      </c>
      <c r="M15" s="48">
        <f>+[5]정관!$H$86/1000</f>
        <v>103.54540100000021</v>
      </c>
      <c r="N15" s="49">
        <f t="shared" si="1"/>
        <v>70.148888999999812</v>
      </c>
      <c r="O15" s="45">
        <f>+[4]정관!$H$92/1000</f>
        <v>80.211188575987322</v>
      </c>
      <c r="P15" s="46">
        <f>+[4]정관!$I$92/1000</f>
        <v>36.773600976156715</v>
      </c>
      <c r="Q15" s="47">
        <f t="shared" si="2"/>
        <v>-43.437587599830607</v>
      </c>
      <c r="R15" s="48">
        <f>+[5]정관!$H$92/1000</f>
        <v>1.169604408667219</v>
      </c>
      <c r="S15" s="49">
        <f t="shared" si="3"/>
        <v>35.603996567489496</v>
      </c>
      <c r="T15" s="45">
        <f>+[12]정관!$H$86/1000</f>
        <v>1420.3152966126365</v>
      </c>
      <c r="U15" s="46">
        <f>+[12]정관!$I$86/1000</f>
        <v>1637.4454720000047</v>
      </c>
      <c r="V15" s="47">
        <f t="shared" si="4"/>
        <v>217.13017538736813</v>
      </c>
      <c r="W15" s="48">
        <f>+[13]정관!$H$86/1000</f>
        <v>1600.2509530000002</v>
      </c>
      <c r="X15" s="49">
        <f t="shared" si="5"/>
        <v>37.194519000004448</v>
      </c>
      <c r="Y15" s="45">
        <f>+[12]정관!$H$92/1000</f>
        <v>407.22640617605254</v>
      </c>
      <c r="Z15" s="46">
        <f>+[12]정관!$I$92/1000</f>
        <v>252.21251131745615</v>
      </c>
      <c r="AA15" s="47">
        <f t="shared" si="6"/>
        <v>-155.01389485859639</v>
      </c>
      <c r="AB15" s="48">
        <f>+[13]정관!$H$92/1000</f>
        <v>692.99954675088668</v>
      </c>
      <c r="AC15" s="49">
        <f t="shared" si="7"/>
        <v>-440.78703543343056</v>
      </c>
      <c r="AF15" s="484"/>
    </row>
    <row r="16" spans="1:32" s="8" customFormat="1" ht="22.5" customHeight="1" x14ac:dyDescent="0.3">
      <c r="B16" s="8" t="s">
        <v>25</v>
      </c>
      <c r="G16" s="334"/>
      <c r="H16" s="74"/>
      <c r="I16" s="75" t="s">
        <v>25</v>
      </c>
      <c r="J16" s="45">
        <f>+[4]양산!$H$86/1000</f>
        <v>106.81806731510582</v>
      </c>
      <c r="K16" s="46">
        <f>+[4]양산!$I$86/1000</f>
        <v>-35.259845999999982</v>
      </c>
      <c r="L16" s="47">
        <f t="shared" si="0"/>
        <v>-142.0779133151058</v>
      </c>
      <c r="M16" s="48">
        <f>+[5]양산!$H$86/1000</f>
        <v>69.60220799999999</v>
      </c>
      <c r="N16" s="49">
        <f t="shared" si="1"/>
        <v>-104.86205399999997</v>
      </c>
      <c r="O16" s="45">
        <f>+[4]양산!$H$92/1000</f>
        <v>57.828520483408695</v>
      </c>
      <c r="P16" s="46">
        <f>+[4]양산!$I$92/1000</f>
        <v>-68.520147353695904</v>
      </c>
      <c r="Q16" s="47">
        <f t="shared" si="2"/>
        <v>-126.3486678371046</v>
      </c>
      <c r="R16" s="48">
        <f>+[5]양산!$H$92/1000</f>
        <v>2.5798044615349647</v>
      </c>
      <c r="S16" s="49">
        <f t="shared" si="3"/>
        <v>-71.099951815230867</v>
      </c>
      <c r="T16" s="45">
        <f>+[12]양산!$H$86/1000</f>
        <v>803.93013339910249</v>
      </c>
      <c r="U16" s="46">
        <f>+[12]양산!$I$86/1000</f>
        <v>-32.841494999998979</v>
      </c>
      <c r="V16" s="47">
        <f t="shared" si="4"/>
        <v>-836.77162839910147</v>
      </c>
      <c r="W16" s="48">
        <f>+[13]양산!$H$86/1000</f>
        <v>933.80031200000133</v>
      </c>
      <c r="X16" s="49">
        <f t="shared" si="5"/>
        <v>-966.64180700000031</v>
      </c>
      <c r="Y16" s="45">
        <f>+[12]양산!$H$92/1000</f>
        <v>242.30160454795208</v>
      </c>
      <c r="Z16" s="46">
        <f>+[12]양산!$I$92/1000</f>
        <v>-457.73680880963616</v>
      </c>
      <c r="AA16" s="47">
        <f t="shared" si="6"/>
        <v>-700.0384133575883</v>
      </c>
      <c r="AB16" s="48">
        <f>+[13]양산!$H$92/1000</f>
        <v>399.43567880065154</v>
      </c>
      <c r="AC16" s="49">
        <f t="shared" si="7"/>
        <v>-857.1724876102877</v>
      </c>
      <c r="AF16" s="484"/>
    </row>
    <row r="17" spans="2:30" s="8" customFormat="1" ht="22.5" customHeight="1" x14ac:dyDescent="0.3">
      <c r="B17" s="8" t="s">
        <v>26</v>
      </c>
      <c r="G17" s="334"/>
      <c r="H17" s="74"/>
      <c r="I17" s="75" t="s">
        <v>26</v>
      </c>
      <c r="J17" s="45">
        <f>+[4]창원!$H$86/1000</f>
        <v>145.20620337555414</v>
      </c>
      <c r="K17" s="46">
        <f>+[4]창원!$I$86/1000</f>
        <v>-63.359207999999896</v>
      </c>
      <c r="L17" s="47">
        <f t="shared" si="0"/>
        <v>-208.56541137555405</v>
      </c>
      <c r="M17" s="48">
        <f>+[5]창원!$H$86/1000</f>
        <v>152.25466699999993</v>
      </c>
      <c r="N17" s="49">
        <f t="shared" si="1"/>
        <v>-215.61387499999984</v>
      </c>
      <c r="O17" s="45">
        <f>+[4]창원!$H$92/1000</f>
        <v>88.309959304162149</v>
      </c>
      <c r="P17" s="46">
        <f>+[4]창원!$I$92/1000</f>
        <v>-98.219375991827704</v>
      </c>
      <c r="Q17" s="47">
        <f t="shared" si="2"/>
        <v>-186.52933529598985</v>
      </c>
      <c r="R17" s="48">
        <f>+[5]창원!$H$92/1000</f>
        <v>62.692442431254243</v>
      </c>
      <c r="S17" s="49">
        <f t="shared" si="3"/>
        <v>-160.91181842308194</v>
      </c>
      <c r="T17" s="45">
        <f>+[12]창원!$H$86/1000</f>
        <v>851.6927760349605</v>
      </c>
      <c r="U17" s="46">
        <f>+[12]창원!$I$86/1000</f>
        <v>279.17025600000107</v>
      </c>
      <c r="V17" s="47">
        <f t="shared" si="4"/>
        <v>-572.52252003495937</v>
      </c>
      <c r="W17" s="48">
        <f>+[13]창원!$H$86/1000</f>
        <v>2362.191192000003</v>
      </c>
      <c r="X17" s="49">
        <f t="shared" si="5"/>
        <v>-2083.0209360000017</v>
      </c>
      <c r="Y17" s="45">
        <f>+[12]창원!$H$92/1000</f>
        <v>248.1237589643579</v>
      </c>
      <c r="Z17" s="46">
        <f>+[12]창원!$I$92/1000</f>
        <v>-288.16014216302978</v>
      </c>
      <c r="AA17" s="47">
        <f t="shared" si="6"/>
        <v>-536.28390112738771</v>
      </c>
      <c r="AB17" s="48">
        <f>+[13]창원!$H$92/1000</f>
        <v>1543.8576932895855</v>
      </c>
      <c r="AC17" s="49">
        <f t="shared" si="7"/>
        <v>-1832.0178354526154</v>
      </c>
    </row>
    <row r="18" spans="2:30" s="8" customFormat="1" ht="22.5" customHeight="1" x14ac:dyDescent="0.3">
      <c r="B18" s="8" t="s">
        <v>70</v>
      </c>
      <c r="G18" s="334"/>
      <c r="H18" s="74"/>
      <c r="I18" s="75" t="s">
        <v>70</v>
      </c>
      <c r="J18" s="45">
        <f>+[4]대구!$H$86/1000</f>
        <v>99.040366540709684</v>
      </c>
      <c r="K18" s="46">
        <f>+[4]대구!$I$86/1000</f>
        <v>42.684097000000023</v>
      </c>
      <c r="L18" s="47">
        <f t="shared" si="0"/>
        <v>-56.356269540709661</v>
      </c>
      <c r="M18" s="48">
        <f>+[5]대구!$H$86/1000</f>
        <v>137.65472400000007</v>
      </c>
      <c r="N18" s="49">
        <f t="shared" si="1"/>
        <v>-94.97062700000005</v>
      </c>
      <c r="O18" s="45">
        <f>+[4]대구!$H$92/1000</f>
        <v>49.04925230900659</v>
      </c>
      <c r="P18" s="46">
        <f>+[4]대구!$I$92/1000</f>
        <v>-23.285741545404715</v>
      </c>
      <c r="Q18" s="47">
        <f t="shared" si="2"/>
        <v>-72.334993854411309</v>
      </c>
      <c r="R18" s="48">
        <f>+[5]대구!$H$92/1000</f>
        <v>55.660624084844876</v>
      </c>
      <c r="S18" s="49">
        <f t="shared" si="3"/>
        <v>-78.946365630249588</v>
      </c>
      <c r="T18" s="45">
        <f>+[12]대구!$H$86/1000</f>
        <v>965.0807379184514</v>
      </c>
      <c r="U18" s="46">
        <f>+[12]대구!$I$86/1000</f>
        <v>84.779200999999219</v>
      </c>
      <c r="V18" s="47">
        <f t="shared" si="4"/>
        <v>-880.30153691845214</v>
      </c>
      <c r="W18" s="48">
        <f>+[13]대구!$H$86/1000</f>
        <v>2116.0696999999982</v>
      </c>
      <c r="X18" s="49">
        <f t="shared" si="5"/>
        <v>-2031.290498999999</v>
      </c>
      <c r="Y18" s="45">
        <f>+[12]대구!$H$92/1000</f>
        <v>349.6653436152551</v>
      </c>
      <c r="Z18" s="46">
        <f>+[12]대구!$I$92/1000</f>
        <v>-487.65605738263196</v>
      </c>
      <c r="AA18" s="47">
        <f t="shared" si="6"/>
        <v>-837.32140099788705</v>
      </c>
      <c r="AB18" s="48">
        <f>+[13]대구!$H$92/1000</f>
        <v>1394.0251644967864</v>
      </c>
      <c r="AC18" s="49">
        <f t="shared" si="7"/>
        <v>-1881.6812218794184</v>
      </c>
    </row>
    <row r="19" spans="2:30" s="8" customFormat="1" ht="22.5" customHeight="1" x14ac:dyDescent="0.3">
      <c r="B19" s="8" t="s">
        <v>71</v>
      </c>
      <c r="G19" s="336"/>
      <c r="H19" s="74"/>
      <c r="I19" s="77" t="s">
        <v>71</v>
      </c>
      <c r="J19" s="9">
        <f>+[4]울산!$H$86/1000</f>
        <v>156.77600863590894</v>
      </c>
      <c r="K19" s="10">
        <f>+[4]울산!$I$86/1000</f>
        <v>178.43166000000005</v>
      </c>
      <c r="L19" s="11">
        <f t="shared" si="0"/>
        <v>21.655651364091113</v>
      </c>
      <c r="M19" s="12">
        <f>+[5]울산!$H$86/1000</f>
        <v>78.459948000000068</v>
      </c>
      <c r="N19" s="13">
        <f t="shared" si="1"/>
        <v>99.971711999999982</v>
      </c>
      <c r="O19" s="9">
        <f>+[4]울산!$H$92/1000</f>
        <v>93.621761566450076</v>
      </c>
      <c r="P19" s="10">
        <f>+[4]울산!$I$92/1000</f>
        <v>94.816607087616305</v>
      </c>
      <c r="Q19" s="11">
        <f t="shared" si="2"/>
        <v>1.1948455211662292</v>
      </c>
      <c r="R19" s="12">
        <f>+[5]울산!$H$92/1000</f>
        <v>8.5742509820251147</v>
      </c>
      <c r="S19" s="13">
        <f t="shared" si="3"/>
        <v>86.242356105591185</v>
      </c>
      <c r="T19" s="9">
        <f>+[12]울산!$H$86/1000</f>
        <v>811.41717596740443</v>
      </c>
      <c r="U19" s="10">
        <f>+[12]울산!$I$86/1000</f>
        <v>884.60063699999887</v>
      </c>
      <c r="V19" s="11">
        <f t="shared" si="4"/>
        <v>73.183461032594437</v>
      </c>
      <c r="W19" s="12">
        <f>+[13]울산!$H$86/1000</f>
        <v>1080.4193490000014</v>
      </c>
      <c r="X19" s="13">
        <f t="shared" si="5"/>
        <v>-195.81871200000251</v>
      </c>
      <c r="Y19" s="9">
        <f>+[12]울산!$H$92/1000</f>
        <v>181.53644113424107</v>
      </c>
      <c r="Z19" s="10">
        <f>+[12]울산!$I$92/1000</f>
        <v>168.09670577395767</v>
      </c>
      <c r="AA19" s="11">
        <f t="shared" si="6"/>
        <v>-13.439735360283407</v>
      </c>
      <c r="AB19" s="12">
        <f>+[13]울산!$H$92/1000</f>
        <v>560.66743694284423</v>
      </c>
      <c r="AC19" s="13">
        <f t="shared" si="7"/>
        <v>-392.5707311688866</v>
      </c>
    </row>
    <row r="20" spans="2:30" s="8" customFormat="1" ht="22.5" customHeight="1" x14ac:dyDescent="0.3">
      <c r="B20" s="8" t="s">
        <v>76</v>
      </c>
      <c r="G20" s="336"/>
      <c r="H20" s="74"/>
      <c r="I20" s="75" t="s">
        <v>27</v>
      </c>
      <c r="J20" s="45">
        <f>+[4]아산!$H$86/1000</f>
        <v>399.79482460005875</v>
      </c>
      <c r="K20" s="46">
        <f>+[4]아산!$I$86/1000</f>
        <v>79.527224000000047</v>
      </c>
      <c r="L20" s="47">
        <f t="shared" si="0"/>
        <v>-320.2676006000587</v>
      </c>
      <c r="M20" s="48">
        <f>+[5]아산!$H$86/1000</f>
        <v>256.65218499999986</v>
      </c>
      <c r="N20" s="49">
        <f t="shared" si="1"/>
        <v>-177.12496099999981</v>
      </c>
      <c r="O20" s="45">
        <f>+[4]아산!$H$92/1000</f>
        <v>293.22903813404525</v>
      </c>
      <c r="P20" s="46">
        <f>+[4]아산!$I$92/1000</f>
        <v>-40.808154436777258</v>
      </c>
      <c r="Q20" s="47">
        <f t="shared" si="2"/>
        <v>-334.03719257082253</v>
      </c>
      <c r="R20" s="48">
        <f>+[5]아산!$H$92/1000</f>
        <v>128.86660410764878</v>
      </c>
      <c r="S20" s="49">
        <f t="shared" si="3"/>
        <v>-169.67475854442603</v>
      </c>
      <c r="T20" s="45">
        <f>+[12]아산!$H$86/1000</f>
        <v>2582.8280636582849</v>
      </c>
      <c r="U20" s="46">
        <f>+[12]아산!$I$86/1000</f>
        <v>775.93852400000117</v>
      </c>
      <c r="V20" s="47">
        <f t="shared" si="4"/>
        <v>-1806.8895396582839</v>
      </c>
      <c r="W20" s="48">
        <f>+[13]아산!$H$86/1000</f>
        <v>3364.5258369999938</v>
      </c>
      <c r="X20" s="49">
        <f t="shared" si="5"/>
        <v>-2588.5873129999927</v>
      </c>
      <c r="Y20" s="45">
        <f>+[12]아산!$H$92/1000</f>
        <v>1480.3215812038345</v>
      </c>
      <c r="Z20" s="46">
        <f>+[12]아산!$I$92/1000</f>
        <v>-438.83462397691352</v>
      </c>
      <c r="AA20" s="47">
        <f t="shared" si="6"/>
        <v>-1919.156205180748</v>
      </c>
      <c r="AB20" s="48">
        <f>+[13]아산!$H$92/1000</f>
        <v>2218.5549990304512</v>
      </c>
      <c r="AC20" s="49">
        <f t="shared" si="7"/>
        <v>-2657.3896230073647</v>
      </c>
    </row>
    <row r="21" spans="2:30" s="8" customFormat="1" ht="22.5" customHeight="1" x14ac:dyDescent="0.3">
      <c r="B21" s="8" t="s">
        <v>72</v>
      </c>
      <c r="G21" s="336"/>
      <c r="H21" s="74"/>
      <c r="I21" s="75" t="s">
        <v>72</v>
      </c>
      <c r="J21" s="45">
        <f>+[4]전주!$H$86/1000</f>
        <v>175.60275045370437</v>
      </c>
      <c r="K21" s="46">
        <f>+[4]전주!$I$86/1000</f>
        <v>174.72593199999991</v>
      </c>
      <c r="L21" s="47">
        <f t="shared" si="0"/>
        <v>-0.87681845370445899</v>
      </c>
      <c r="M21" s="48">
        <f>+[5]전주!$H$86/1000</f>
        <v>98.002098999999959</v>
      </c>
      <c r="N21" s="49">
        <f t="shared" si="1"/>
        <v>76.723832999999956</v>
      </c>
      <c r="O21" s="45">
        <f>+[4]전주!$H$92/1000</f>
        <v>127.50460917057117</v>
      </c>
      <c r="P21" s="46">
        <f>+[4]전주!$I$92/1000</f>
        <v>93.651665680526492</v>
      </c>
      <c r="Q21" s="47">
        <f t="shared" si="2"/>
        <v>-33.85294349004468</v>
      </c>
      <c r="R21" s="48">
        <f>+[5]전주!$H$92/1000</f>
        <v>42.408031604415505</v>
      </c>
      <c r="S21" s="49">
        <f t="shared" si="3"/>
        <v>51.243634076110986</v>
      </c>
      <c r="T21" s="45">
        <f>+[12]전주!$H$86/1000</f>
        <v>996.57496553216504</v>
      </c>
      <c r="U21" s="46">
        <f>+[12]전주!$I$86/1000</f>
        <v>1109.4876289999993</v>
      </c>
      <c r="V21" s="47">
        <f t="shared" si="4"/>
        <v>112.91266346783425</v>
      </c>
      <c r="W21" s="48">
        <f>+[13]전주!$H$86/1000</f>
        <v>513.82139399999937</v>
      </c>
      <c r="X21" s="49">
        <f t="shared" si="5"/>
        <v>595.66623499999992</v>
      </c>
      <c r="Y21" s="45">
        <f>+[12]전주!$H$92/1000</f>
        <v>490.13135526874987</v>
      </c>
      <c r="Z21" s="46">
        <f>+[12]전주!$I$92/1000</f>
        <v>378.88199179641043</v>
      </c>
      <c r="AA21" s="47">
        <f t="shared" si="6"/>
        <v>-111.24936347233944</v>
      </c>
      <c r="AB21" s="48">
        <f>+[13]전주!$H$92/1000</f>
        <v>167.53240218700725</v>
      </c>
      <c r="AC21" s="49">
        <f t="shared" si="7"/>
        <v>211.34958960940318</v>
      </c>
    </row>
    <row r="22" spans="2:30" s="8" customFormat="1" ht="22.5" customHeight="1" x14ac:dyDescent="0.3">
      <c r="B22" s="8" t="s">
        <v>73</v>
      </c>
      <c r="G22" s="336"/>
      <c r="H22" s="74"/>
      <c r="I22" s="75" t="s">
        <v>73</v>
      </c>
      <c r="J22" s="45">
        <f>+[4]군산!$H$86/1000</f>
        <v>232.8928068662382</v>
      </c>
      <c r="K22" s="46">
        <f>+[4]군산!$I$86/1000</f>
        <v>70.142529999999937</v>
      </c>
      <c r="L22" s="47">
        <f t="shared" si="0"/>
        <v>-162.75027686623827</v>
      </c>
      <c r="M22" s="48">
        <f>+[5]군산!$H$86/1000</f>
        <v>252.01421399999995</v>
      </c>
      <c r="N22" s="49">
        <f t="shared" si="1"/>
        <v>-181.87168400000002</v>
      </c>
      <c r="O22" s="45">
        <f>+[4]군산!$H$92/1000</f>
        <v>197.30245455889695</v>
      </c>
      <c r="P22" s="46">
        <f>+[4]군산!$I$92/1000</f>
        <v>43.560890727552781</v>
      </c>
      <c r="Q22" s="47">
        <f t="shared" si="2"/>
        <v>-153.74156383134417</v>
      </c>
      <c r="R22" s="48">
        <f>+[5]군산!$H$92/1000</f>
        <v>201.36667589647379</v>
      </c>
      <c r="S22" s="49">
        <f t="shared" si="3"/>
        <v>-157.80578516892101</v>
      </c>
      <c r="T22" s="45">
        <f>+[12]군산!$H$86/1000</f>
        <v>1634.8091862049855</v>
      </c>
      <c r="U22" s="46">
        <f>+[12]군산!$I$86/1000</f>
        <v>912.85208699999873</v>
      </c>
      <c r="V22" s="47">
        <f t="shared" si="4"/>
        <v>-721.95709920498678</v>
      </c>
      <c r="W22" s="48">
        <f>+[13]군산!$H$86/1000</f>
        <v>2422.0773110000018</v>
      </c>
      <c r="X22" s="49">
        <f t="shared" si="5"/>
        <v>-1509.225224000003</v>
      </c>
      <c r="Y22" s="45">
        <f>+[12]군산!$H$92/1000</f>
        <v>1261.4878727758062</v>
      </c>
      <c r="Z22" s="46">
        <f>+[12]군산!$I$92/1000</f>
        <v>588.09566346724216</v>
      </c>
      <c r="AA22" s="47">
        <f t="shared" si="6"/>
        <v>-673.39220930856402</v>
      </c>
      <c r="AB22" s="48">
        <f>+[13]군산!$H$92/1000</f>
        <v>1995.2156706978858</v>
      </c>
      <c r="AC22" s="49">
        <f t="shared" si="7"/>
        <v>-1407.1200072306438</v>
      </c>
    </row>
    <row r="23" spans="2:30" s="8" customFormat="1" ht="22.5" customHeight="1" x14ac:dyDescent="0.3">
      <c r="B23" s="8" t="s">
        <v>74</v>
      </c>
      <c r="G23" s="336"/>
      <c r="H23" s="74"/>
      <c r="I23" s="75" t="s">
        <v>74</v>
      </c>
      <c r="J23" s="45">
        <f>+[4]원주!$H$86/1000</f>
        <v>128.61965173588288</v>
      </c>
      <c r="K23" s="46">
        <f>+[4]원주!$I$86/1000</f>
        <v>32.57209600000003</v>
      </c>
      <c r="L23" s="47">
        <f t="shared" si="0"/>
        <v>-96.047555735882852</v>
      </c>
      <c r="M23" s="48">
        <f>+[5]원주!$H$86/1000</f>
        <v>107.13870299999999</v>
      </c>
      <c r="N23" s="49">
        <f t="shared" si="1"/>
        <v>-74.566606999999962</v>
      </c>
      <c r="O23" s="45">
        <f>+[4]원주!$H$92/1000</f>
        <v>101.87872249571818</v>
      </c>
      <c r="P23" s="46">
        <f>+[4]원주!$I$92/1000</f>
        <v>11.972984998681103</v>
      </c>
      <c r="Q23" s="47">
        <f t="shared" si="2"/>
        <v>-89.90573749703708</v>
      </c>
      <c r="R23" s="48">
        <f>+[5]원주!$H$92/1000</f>
        <v>73.635636525610252</v>
      </c>
      <c r="S23" s="49">
        <f t="shared" si="3"/>
        <v>-61.662651526929153</v>
      </c>
      <c r="T23" s="45">
        <f>+[12]원주!$H$86/1000</f>
        <v>699.09405530601816</v>
      </c>
      <c r="U23" s="46">
        <f>+[12]원주!$I$86/1000</f>
        <v>82.862910999999727</v>
      </c>
      <c r="V23" s="47">
        <f t="shared" si="4"/>
        <v>-616.23114430601845</v>
      </c>
      <c r="W23" s="48">
        <f>+[13]원주!$H$86/1000</f>
        <v>1128.7027799999996</v>
      </c>
      <c r="X23" s="49">
        <f t="shared" si="5"/>
        <v>-1045.8398689999999</v>
      </c>
      <c r="Y23" s="45">
        <f>+[12]원주!$H$92/1000</f>
        <v>456.13431203581382</v>
      </c>
      <c r="Z23" s="46">
        <f>+[12]원주!$I$92/1000</f>
        <v>-97.829558930757457</v>
      </c>
      <c r="AA23" s="47">
        <f t="shared" si="6"/>
        <v>-553.96387096657122</v>
      </c>
      <c r="AB23" s="48">
        <f>+[13]원주!$H$92/1000</f>
        <v>854.39830741470803</v>
      </c>
      <c r="AC23" s="49">
        <f t="shared" si="7"/>
        <v>-952.22786634546549</v>
      </c>
    </row>
    <row r="24" spans="2:30" s="8" customFormat="1" ht="22.5" customHeight="1" x14ac:dyDescent="0.3">
      <c r="B24" s="8" t="s">
        <v>75</v>
      </c>
      <c r="F24" s="84"/>
      <c r="G24" s="334"/>
      <c r="H24" s="74"/>
      <c r="I24" s="75" t="s">
        <v>75</v>
      </c>
      <c r="J24" s="45">
        <f>+[4]제주!$H$86/1000</f>
        <v>190.51152269973417</v>
      </c>
      <c r="K24" s="46">
        <f>+[4]제주!$I$86/1000</f>
        <v>35.677638999999985</v>
      </c>
      <c r="L24" s="47">
        <f t="shared" si="0"/>
        <v>-154.8338836997342</v>
      </c>
      <c r="M24" s="48">
        <f>+[5]제주!$H$86/1000</f>
        <v>-40.681329000000026</v>
      </c>
      <c r="N24" s="49">
        <f t="shared" si="1"/>
        <v>76.358968000000004</v>
      </c>
      <c r="O24" s="45">
        <f>+[4]제주!$H$92/1000</f>
        <v>146.46220866447717</v>
      </c>
      <c r="P24" s="46">
        <f>+[4]제주!$I$92/1000</f>
        <v>2.4386466855223627</v>
      </c>
      <c r="Q24" s="47">
        <f t="shared" si="2"/>
        <v>-144.0235619789548</v>
      </c>
      <c r="R24" s="48">
        <f>+[5]제주!$H$92/1000</f>
        <v>-54.232353064146196</v>
      </c>
      <c r="S24" s="49">
        <f t="shared" si="3"/>
        <v>56.67099974966856</v>
      </c>
      <c r="T24" s="45">
        <f>+[12]제주!$H$86/1000</f>
        <v>1443.0501206956267</v>
      </c>
      <c r="U24" s="46">
        <f>+[12]제주!$I$86/1000</f>
        <v>632.62419000000227</v>
      </c>
      <c r="V24" s="47">
        <f t="shared" si="4"/>
        <v>-810.4259306956244</v>
      </c>
      <c r="W24" s="48">
        <f>+[13]제주!$H$86/1000</f>
        <v>325.24141599999939</v>
      </c>
      <c r="X24" s="49">
        <f t="shared" si="5"/>
        <v>307.38277400000288</v>
      </c>
      <c r="Y24" s="45">
        <f>+[12]제주!$H$92/1000</f>
        <v>948.20245763409173</v>
      </c>
      <c r="Z24" s="46">
        <f>+[12]제주!$I$92/1000</f>
        <v>217.2841210997795</v>
      </c>
      <c r="AA24" s="47">
        <f t="shared" si="6"/>
        <v>-730.91833653431217</v>
      </c>
      <c r="AB24" s="48">
        <f>+[13]제주!$H$92/1000</f>
        <v>131.73384702421623</v>
      </c>
      <c r="AC24" s="49">
        <f t="shared" si="7"/>
        <v>85.550274075563266</v>
      </c>
    </row>
    <row r="25" spans="2:30" s="8" customFormat="1" ht="22.5" customHeight="1" x14ac:dyDescent="0.3">
      <c r="F25" s="495"/>
      <c r="G25" s="337"/>
      <c r="H25" s="74"/>
      <c r="I25" s="78" t="s">
        <v>42</v>
      </c>
      <c r="J25" s="22">
        <f>SUM(J8:J11)</f>
        <v>1155.2460981348211</v>
      </c>
      <c r="K25" s="19">
        <f>SUM(K8:K11)</f>
        <v>63.243236999999993</v>
      </c>
      <c r="L25" s="20">
        <f t="shared" si="0"/>
        <v>-1092.0028611348212</v>
      </c>
      <c r="M25" s="24">
        <f>SUM(M8:M11)</f>
        <v>268.92704800000007</v>
      </c>
      <c r="N25" s="21">
        <f t="shared" si="1"/>
        <v>-205.68381100000008</v>
      </c>
      <c r="O25" s="22">
        <f>SUM(O8:O11)</f>
        <v>686.18381763007505</v>
      </c>
      <c r="P25" s="19">
        <f>SUM(P8:P11)</f>
        <v>-402.84409110259128</v>
      </c>
      <c r="Q25" s="20">
        <f t="shared" si="2"/>
        <v>-1089.0279087326662</v>
      </c>
      <c r="R25" s="24">
        <f>SUM(R8:R11)</f>
        <v>-157.08422908433522</v>
      </c>
      <c r="S25" s="21">
        <f t="shared" si="3"/>
        <v>-245.75986201825606</v>
      </c>
      <c r="T25" s="22">
        <f>SUM(T8:T11)</f>
        <v>6055.7800754130922</v>
      </c>
      <c r="U25" s="19">
        <f>SUM(U8:U11)</f>
        <v>1798.2506280099867</v>
      </c>
      <c r="V25" s="20">
        <f>+U25-T25</f>
        <v>-4257.5294474031052</v>
      </c>
      <c r="W25" s="24">
        <f>SUM(W8:W11)</f>
        <v>7423.8551040099992</v>
      </c>
      <c r="X25" s="21">
        <f>+U25-W25</f>
        <v>-5625.6044760000123</v>
      </c>
      <c r="Y25" s="22">
        <f>SUM(Y8:Y11)</f>
        <v>1069.1611725791402</v>
      </c>
      <c r="Z25" s="19">
        <f>SUM(Z8:Z11)</f>
        <v>-2982.1528088444747</v>
      </c>
      <c r="AA25" s="20">
        <f>+Z25-Y25</f>
        <v>-4051.3139814236147</v>
      </c>
      <c r="AB25" s="24">
        <f>SUM(AB8:AB11)</f>
        <v>2967.4418523811078</v>
      </c>
      <c r="AC25" s="21">
        <f>+Z25-AB25</f>
        <v>-5949.594661225583</v>
      </c>
    </row>
    <row r="26" spans="2:30" s="8" customFormat="1" ht="22.5" customHeight="1" x14ac:dyDescent="0.3">
      <c r="F26" s="495"/>
      <c r="G26" s="334"/>
      <c r="H26" s="74"/>
      <c r="I26" s="78" t="s">
        <v>43</v>
      </c>
      <c r="J26" s="22">
        <f>SUM(J12:J19)</f>
        <v>1271.9598246424691</v>
      </c>
      <c r="K26" s="19">
        <f>SUM(K12:K19)</f>
        <v>522.80345999999986</v>
      </c>
      <c r="L26" s="20">
        <f t="shared" si="0"/>
        <v>-749.15636464246927</v>
      </c>
      <c r="M26" s="24">
        <f>SUM(M12:M19)</f>
        <v>790.68247000000031</v>
      </c>
      <c r="N26" s="21">
        <f t="shared" si="1"/>
        <v>-267.87901000000045</v>
      </c>
      <c r="O26" s="22">
        <f>SUM(O12:O19)</f>
        <v>722.48776673028999</v>
      </c>
      <c r="P26" s="19">
        <f>SUM(P12:P19)</f>
        <v>-110.05411349902492</v>
      </c>
      <c r="Q26" s="20">
        <f t="shared" si="2"/>
        <v>-832.54188022931487</v>
      </c>
      <c r="R26" s="24">
        <f>SUM(R12:R19)</f>
        <v>129.12894120673661</v>
      </c>
      <c r="S26" s="21">
        <f t="shared" si="3"/>
        <v>-239.18305470576155</v>
      </c>
      <c r="T26" s="22">
        <f>SUM(T12:T19)</f>
        <v>9125.6095568258188</v>
      </c>
      <c r="U26" s="19">
        <f>SUM(U12:U19)</f>
        <v>5328.4576270000034</v>
      </c>
      <c r="V26" s="20">
        <f>+U26-T26</f>
        <v>-3797.1519298258154</v>
      </c>
      <c r="W26" s="24">
        <f>SUM(W12:W19)</f>
        <v>12953.641460000006</v>
      </c>
      <c r="X26" s="21">
        <f>+U26-W26</f>
        <v>-7625.1838330000028</v>
      </c>
      <c r="Y26" s="22">
        <f>SUM(Y12:Y19)</f>
        <v>2898.3236590273541</v>
      </c>
      <c r="Z26" s="19">
        <f>SUM(Z12:Z19)</f>
        <v>-1197.3730233064198</v>
      </c>
      <c r="AA26" s="20">
        <f>+Z26-Y26</f>
        <v>-4095.6966823337739</v>
      </c>
      <c r="AB26" s="24">
        <f>SUM(AB12:AB19)</f>
        <v>6905.1495699171355</v>
      </c>
      <c r="AC26" s="21">
        <f>+Z26-AB26</f>
        <v>-8102.5225932235553</v>
      </c>
    </row>
    <row r="27" spans="2:30" s="8" customFormat="1" ht="22.5" customHeight="1" x14ac:dyDescent="0.3">
      <c r="F27" s="495"/>
      <c r="G27" s="334"/>
      <c r="H27" s="74"/>
      <c r="I27" s="78" t="s">
        <v>106</v>
      </c>
      <c r="J27" s="22">
        <f>SUM(J20:J24)</f>
        <v>1127.4215563556183</v>
      </c>
      <c r="K27" s="19">
        <f>SUM(K20:K24)</f>
        <v>392.64542099999994</v>
      </c>
      <c r="L27" s="20">
        <f t="shared" si="0"/>
        <v>-734.77613535561841</v>
      </c>
      <c r="M27" s="24">
        <f>SUM(M20:M24)</f>
        <v>673.12587199999973</v>
      </c>
      <c r="N27" s="21">
        <f t="shared" si="1"/>
        <v>-280.48045099999979</v>
      </c>
      <c r="O27" s="22">
        <f>SUM(O20:O24)</f>
        <v>866.37703302370869</v>
      </c>
      <c r="P27" s="19">
        <f>SUM(P20:P24)</f>
        <v>110.81603365550546</v>
      </c>
      <c r="Q27" s="20">
        <f t="shared" si="2"/>
        <v>-755.56099936820328</v>
      </c>
      <c r="R27" s="24">
        <f>SUM(R20:R24)</f>
        <v>392.04459507000217</v>
      </c>
      <c r="S27" s="21">
        <f t="shared" si="3"/>
        <v>-281.22856141449671</v>
      </c>
      <c r="T27" s="22">
        <f>SUM(T20:T24)</f>
        <v>7356.3563913970802</v>
      </c>
      <c r="U27" s="19">
        <f>SUM(U20:U24)</f>
        <v>3513.7653410000012</v>
      </c>
      <c r="V27" s="20">
        <f>+U27-T27</f>
        <v>-3842.591050397079</v>
      </c>
      <c r="W27" s="24">
        <f>SUM(W20:W24)</f>
        <v>7754.3687379999938</v>
      </c>
      <c r="X27" s="21">
        <f>+U27-W27</f>
        <v>-4240.6033969999926</v>
      </c>
      <c r="Y27" s="22">
        <f>SUM(Y20:Y24)</f>
        <v>4636.2775789182961</v>
      </c>
      <c r="Z27" s="19">
        <f>SUM(Z20:Z24)</f>
        <v>647.59759345576117</v>
      </c>
      <c r="AA27" s="20">
        <f>+Z27-Y27</f>
        <v>-3988.6799854625351</v>
      </c>
      <c r="AB27" s="24">
        <f>SUM(AB20:AB24)</f>
        <v>5367.4352263542696</v>
      </c>
      <c r="AC27" s="21">
        <f>+Z27-AB27</f>
        <v>-4719.8376328985087</v>
      </c>
    </row>
    <row r="28" spans="2:30" s="3" customFormat="1" ht="22.5" customHeight="1" x14ac:dyDescent="0.3">
      <c r="B28" s="25"/>
      <c r="F28" s="483"/>
      <c r="G28" s="336"/>
      <c r="H28" s="601" t="s">
        <v>94</v>
      </c>
      <c r="I28" s="602"/>
      <c r="J28" s="603">
        <f>SUM(J25:J27)</f>
        <v>3554.6274791329088</v>
      </c>
      <c r="K28" s="604">
        <f>SUM(K25:K27)</f>
        <v>978.69211799999982</v>
      </c>
      <c r="L28" s="605">
        <f t="shared" si="0"/>
        <v>-2575.9353611329088</v>
      </c>
      <c r="M28" s="606">
        <f>SUM(M25:M27)</f>
        <v>1732.7353900000003</v>
      </c>
      <c r="N28" s="607">
        <f t="shared" si="1"/>
        <v>-754.04327200000046</v>
      </c>
      <c r="O28" s="603">
        <f>SUM(O25:O27)</f>
        <v>2275.0486173840736</v>
      </c>
      <c r="P28" s="604">
        <f>SUM(P25:P27)</f>
        <v>-402.08217094611069</v>
      </c>
      <c r="Q28" s="605">
        <f t="shared" si="2"/>
        <v>-2677.1307883301843</v>
      </c>
      <c r="R28" s="606">
        <f>SUM(R25:R27)</f>
        <v>364.08930719240357</v>
      </c>
      <c r="S28" s="607">
        <f t="shared" si="3"/>
        <v>-766.1714781385142</v>
      </c>
      <c r="T28" s="603">
        <f>SUM(T25:T27)</f>
        <v>22537.746023635991</v>
      </c>
      <c r="U28" s="604">
        <f>SUM(U25:U27)</f>
        <v>10640.473596009992</v>
      </c>
      <c r="V28" s="605">
        <f>+U28-T28</f>
        <v>-11897.272427626</v>
      </c>
      <c r="W28" s="606">
        <f>SUM(W25:W27)</f>
        <v>28131.865302009999</v>
      </c>
      <c r="X28" s="607">
        <f>+U28-W28</f>
        <v>-17491.391706000009</v>
      </c>
      <c r="Y28" s="603">
        <f>SUM(Y25:Y27)</f>
        <v>8603.7624105247905</v>
      </c>
      <c r="Z28" s="604">
        <f>SUM(Z25:Z27)</f>
        <v>-3531.9282386951336</v>
      </c>
      <c r="AA28" s="605">
        <f>+Z28-Y28</f>
        <v>-12135.690649219923</v>
      </c>
      <c r="AB28" s="606">
        <f>SUM(AB25:AB27)</f>
        <v>15240.026648652512</v>
      </c>
      <c r="AC28" s="607">
        <f>+Z28-AB28</f>
        <v>-18771.954887347645</v>
      </c>
      <c r="AD28" s="25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34998626667073579"/>
    <pageSetUpPr fitToPage="1"/>
  </sheetPr>
  <dimension ref="A1:AQ78"/>
  <sheetViews>
    <sheetView showGridLines="0" showZeros="0" topLeftCell="E21" zoomScale="85" zoomScaleNormal="85" zoomScaleSheetLayoutView="85" workbookViewId="0">
      <selection activeCell="Q51" sqref="Q5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218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42" t="s">
        <v>35</v>
      </c>
      <c r="I5" s="643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219</v>
      </c>
      <c r="G6" s="334"/>
      <c r="H6" s="644"/>
      <c r="I6" s="64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+IFERROR(HLOOKUP($B7,'[1]9월'!$D$6:$BN$259,2,),)/1000</f>
        <v>41</v>
      </c>
      <c r="K7" s="36">
        <f>+IFERROR(HLOOKUP($B7,'[2]9월'!$F$6:$CP$99,2,),)/1000</f>
        <v>31.876999999999999</v>
      </c>
      <c r="L7" s="37">
        <f t="shared" ref="L7:L26" si="0">+K7-J7</f>
        <v>-9.1230000000000011</v>
      </c>
      <c r="M7" s="38">
        <f>+IFERROR(HLOOKUP($B7,'[3]9월'!$F$6:$CC$57,2,),)/1000</f>
        <v>28.4</v>
      </c>
      <c r="N7" s="39">
        <f>+K7-M7</f>
        <v>3.4770000000000003</v>
      </c>
      <c r="O7" s="35">
        <f>+IFERROR(HLOOKUP($B7,'[1]9월'!$D$6:$BN$259,3,),)/1000</f>
        <v>4162.5001900000007</v>
      </c>
      <c r="P7" s="36">
        <f>+IFERROR(HLOOKUP($B7,'[2]9월'!$F$6:$CP$99,3,),)/1000</f>
        <v>3143.5581320000001</v>
      </c>
      <c r="Q7" s="37">
        <f>+P7-O7</f>
        <v>-1018.9420580000005</v>
      </c>
      <c r="R7" s="38">
        <f>+IFERROR(HLOOKUP($B7,'[3]9월'!$F$6:$CC$57,3,),)/1000</f>
        <v>2850.383918</v>
      </c>
      <c r="S7" s="39">
        <f>+P7-R7</f>
        <v>293.17421400000012</v>
      </c>
      <c r="T7" s="35">
        <f>+IFERROR(HLOOKUP($B7,'[1]9월'!$D$6:$BN$259,16,),)/1000</f>
        <v>524.41266908205898</v>
      </c>
      <c r="U7" s="36">
        <f>+IFERROR(HLOOKUP($B7,'[2]9월'!$F$6:$CP$99,16,),)/1000</f>
        <v>252.54889800000035</v>
      </c>
      <c r="V7" s="40">
        <f>+U7-T7</f>
        <v>-271.86377108205863</v>
      </c>
      <c r="W7" s="41">
        <f>+IFERROR(HLOOKUP($B7,'[3]9월'!$F$6:$CC$57,16,),)/1000</f>
        <v>202.03240100000005</v>
      </c>
      <c r="X7" s="39">
        <f>+U7-W7</f>
        <v>50.5164970000003</v>
      </c>
      <c r="Y7" s="35">
        <f>+[4]안양!$Q$85</f>
        <v>101524.3948780488</v>
      </c>
      <c r="Z7" s="36">
        <f>+[4]안양!$R$85</f>
        <v>98622.171955928046</v>
      </c>
      <c r="AA7" s="42">
        <f>+[5]안양!$Q$85</f>
        <v>100365.63091549296</v>
      </c>
      <c r="AB7" s="43">
        <f>+[4]안양!$Q$89</f>
        <v>81127.526878338642</v>
      </c>
      <c r="AC7" s="36">
        <f>+[4]안양!$R$89</f>
        <v>80246.895133201542</v>
      </c>
      <c r="AD7" s="44">
        <f>+[5]안양!$Q$89</f>
        <v>81650.506932226053</v>
      </c>
      <c r="AE7" s="43">
        <f>+Y7-AB7</f>
        <v>20396.867999710157</v>
      </c>
      <c r="AF7" s="36">
        <f>+Z7-AC7</f>
        <v>18375.276822726504</v>
      </c>
      <c r="AG7" s="44">
        <f>+AA7-AD7</f>
        <v>18715.123983266909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+IFERROR(HLOOKUP($B8,'[1]9월'!$D$6:$BN$259,2,),)/1000</f>
        <v>32</v>
      </c>
      <c r="K8" s="46">
        <f>+IFERROR(HLOOKUP($B8,'[2]9월'!$F$6:$CP$99,2,),)/1000</f>
        <v>30.29</v>
      </c>
      <c r="L8" s="47">
        <f t="shared" si="0"/>
        <v>-1.7100000000000009</v>
      </c>
      <c r="M8" s="48">
        <f>+IFERROR(HLOOKUP($B8,'[3]9월'!$F$6:$CC$57,2,),)/1000</f>
        <v>18.327000000000002</v>
      </c>
      <c r="N8" s="49">
        <f t="shared" ref="N8:N26" si="2">+K8-M8</f>
        <v>11.962999999999997</v>
      </c>
      <c r="O8" s="45">
        <f>+IFERROR(HLOOKUP($B8,'[1]9월'!$D$6:$BN$259,3,),)/1000</f>
        <v>3318.6544751580795</v>
      </c>
      <c r="P8" s="46">
        <f>+IFERROR(HLOOKUP($B8,'[2]9월'!$F$6:$CP$99,3,),)/1000</f>
        <v>2910.5155869999999</v>
      </c>
      <c r="Q8" s="47">
        <f t="shared" ref="Q8:Q26" si="3">+P8-O8</f>
        <v>-408.13888815807968</v>
      </c>
      <c r="R8" s="48">
        <f>+IFERROR(HLOOKUP($B8,'[3]9월'!$F$6:$CC$57,3,),)/1000</f>
        <v>1795.8146939999999</v>
      </c>
      <c r="S8" s="49">
        <f t="shared" ref="S8:S26" si="4">+P8-R8</f>
        <v>1114.700893</v>
      </c>
      <c r="T8" s="45">
        <f>+IFERROR(HLOOKUP($B8,'[1]9월'!$D$6:$BN$259,16,),)/1000</f>
        <v>387.61290209828422</v>
      </c>
      <c r="U8" s="46">
        <f>+IFERROR(HLOOKUP($B8,'[2]9월'!$F$6:$CP$99,16,),)/1000</f>
        <v>-66.326553000000388</v>
      </c>
      <c r="V8" s="47">
        <f t="shared" ref="V8:V26" si="5">+U8-T8</f>
        <v>-453.93945509828461</v>
      </c>
      <c r="W8" s="48">
        <f>+IFERROR(HLOOKUP($B8,'[3]9월'!$F$6:$CC$57,16,),)/1000</f>
        <v>-68.397039999999976</v>
      </c>
      <c r="X8" s="49">
        <f t="shared" ref="X8:X26" si="6">+U8-W8</f>
        <v>2.0704869999995879</v>
      </c>
      <c r="Y8" s="45">
        <f>+[4]인천!$Q$85</f>
        <v>103707.95234868999</v>
      </c>
      <c r="Z8" s="46">
        <f>+[4]인천!$R$85</f>
        <v>96088.332353912177</v>
      </c>
      <c r="AA8" s="50">
        <f>+[5]인천!$Q$85</f>
        <v>97987.378949091493</v>
      </c>
      <c r="AB8" s="51">
        <f>+[4]인천!$Q$89</f>
        <v>82252.91631644388</v>
      </c>
      <c r="AC8" s="46">
        <f>+[4]인천!$R$89</f>
        <v>86406.049380682569</v>
      </c>
      <c r="AD8" s="52">
        <f>+[5]인천!$Q$89</f>
        <v>82653.876515027994</v>
      </c>
      <c r="AE8" s="51">
        <f t="shared" ref="AE8:AE27" si="7">+Y8-AB8</f>
        <v>21455.036032246106</v>
      </c>
      <c r="AF8" s="46">
        <f t="shared" ref="AF8:AF27" si="8">+Z8-AC8</f>
        <v>9682.2829732296086</v>
      </c>
      <c r="AG8" s="52">
        <f t="shared" ref="AG8:AG27" si="9">+AA8-AD8</f>
        <v>15333.502434063499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+IFERROR(HLOOKUP($B9,'[1]9월'!$D$6:$BN$259,2,),)/1000</f>
        <v>24</v>
      </c>
      <c r="K9" s="46">
        <f>+IFERROR(HLOOKUP($B9,'[2]9월'!$F$6:$CP$99,2,),)/1000</f>
        <v>16.448</v>
      </c>
      <c r="L9" s="47">
        <f t="shared" si="0"/>
        <v>-7.5519999999999996</v>
      </c>
      <c r="M9" s="48">
        <f>+IFERROR(HLOOKUP($B9,'[3]9월'!$F$6:$CC$57,2,),)/1000</f>
        <v>19.107800000000001</v>
      </c>
      <c r="N9" s="49">
        <f t="shared" si="2"/>
        <v>-2.6598000000000006</v>
      </c>
      <c r="O9" s="45">
        <f>+IFERROR(HLOOKUP($B9,'[1]9월'!$D$6:$BN$259,3,),)/1000</f>
        <v>2313.4384547999998</v>
      </c>
      <c r="P9" s="46">
        <f>+IFERROR(HLOOKUP($B9,'[2]9월'!$F$6:$CP$99,3,),)/1000</f>
        <v>1510.7480999999998</v>
      </c>
      <c r="Q9" s="47">
        <f t="shared" si="3"/>
        <v>-802.69035480000002</v>
      </c>
      <c r="R9" s="48">
        <f>+IFERROR(HLOOKUP($B9,'[3]9월'!$F$6:$CC$57,3,),)/1000</f>
        <v>1803.3963000000001</v>
      </c>
      <c r="S9" s="49">
        <f t="shared" si="4"/>
        <v>-292.64820000000032</v>
      </c>
      <c r="T9" s="45">
        <f>+IFERROR(HLOOKUP($B9,'[1]9월'!$D$6:$BN$259,16,),)/1000</f>
        <v>132.59525919306</v>
      </c>
      <c r="U9" s="46">
        <f>+IFERROR(HLOOKUP($B9,'[2]9월'!$F$6:$CP$99,16,),)/1000</f>
        <v>-43.489316000000009</v>
      </c>
      <c r="V9" s="47">
        <f t="shared" si="5"/>
        <v>-176.08457519306</v>
      </c>
      <c r="W9" s="48">
        <f>+IFERROR(HLOOKUP($B9,'[3]9월'!$F$6:$CC$57,16,),)/1000</f>
        <v>106.24982999999987</v>
      </c>
      <c r="X9" s="49">
        <f t="shared" si="6"/>
        <v>-149.73914599999989</v>
      </c>
      <c r="Y9" s="45">
        <f>+[4]파주!$Q$85</f>
        <v>96393.268949999998</v>
      </c>
      <c r="Z9" s="46">
        <f>+[4]파주!$R$85</f>
        <v>91863.06401491609</v>
      </c>
      <c r="AA9" s="50">
        <f>+[5]파주!$Q$85</f>
        <v>94365.024402070238</v>
      </c>
      <c r="AB9" s="51">
        <f>+[4]파주!$Q$89</f>
        <v>81555.710018417711</v>
      </c>
      <c r="AC9" s="46">
        <f>+[4]파주!$R$89</f>
        <v>79943.314356743314</v>
      </c>
      <c r="AD9" s="52">
        <f>+[5]파주!$Q$89</f>
        <v>75826.43403008359</v>
      </c>
      <c r="AE9" s="51">
        <f t="shared" si="7"/>
        <v>14837.558931582287</v>
      </c>
      <c r="AF9" s="46">
        <f t="shared" si="8"/>
        <v>11919.749658172776</v>
      </c>
      <c r="AG9" s="52">
        <f t="shared" si="9"/>
        <v>18538.590371986647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+IFERROR(HLOOKUP($B10,'[1]9월'!$D$6:$BN$259,2,),)/1000</f>
        <v>16</v>
      </c>
      <c r="K10" s="46">
        <f>+IFERROR(HLOOKUP($B10,'[2]9월'!$F$6:$CP$99,2,),)/1000</f>
        <v>10.288</v>
      </c>
      <c r="L10" s="47">
        <f t="shared" si="0"/>
        <v>-5.7119999999999997</v>
      </c>
      <c r="M10" s="48">
        <f>+IFERROR(HLOOKUP($B10,'[3]9월'!$F$6:$CC$57,2,),)/1000</f>
        <v>9.8000000000000007</v>
      </c>
      <c r="N10" s="49">
        <f t="shared" si="2"/>
        <v>0.48799999999999955</v>
      </c>
      <c r="O10" s="45">
        <f>+IFERROR(HLOOKUP($B10,'[1]9월'!$D$6:$BN$259,3,),)/1000</f>
        <v>1523.0499500000001</v>
      </c>
      <c r="P10" s="46">
        <f>+IFERROR(HLOOKUP($B10,'[2]9월'!$F$6:$CP$99,3,),)/1000</f>
        <v>951.19071299999996</v>
      </c>
      <c r="Q10" s="47">
        <f t="shared" si="3"/>
        <v>-571.85923700000012</v>
      </c>
      <c r="R10" s="48">
        <f>+IFERROR(HLOOKUP($B10,'[3]9월'!$F$6:$CC$57,3,),)/1000</f>
        <v>943.50309400000003</v>
      </c>
      <c r="S10" s="49">
        <f t="shared" si="4"/>
        <v>7.6876189999999269</v>
      </c>
      <c r="T10" s="45">
        <f>+IFERROR(HLOOKUP($B10,'[1]9월'!$D$6:$BN$259,16,),)/1000</f>
        <v>110.62526776141796</v>
      </c>
      <c r="U10" s="46">
        <f>+IFERROR(HLOOKUP($B10,'[2]9월'!$F$6:$CP$99,16,),)/1000</f>
        <v>-79.489791999999966</v>
      </c>
      <c r="V10" s="47">
        <f t="shared" si="5"/>
        <v>-190.11505976141791</v>
      </c>
      <c r="W10" s="48">
        <f>+IFERROR(HLOOKUP($B10,'[3]9월'!$F$6:$CC$57,16,),)/1000</f>
        <v>29.041857000000117</v>
      </c>
      <c r="X10" s="49">
        <f t="shared" si="6"/>
        <v>-108.53164900000009</v>
      </c>
      <c r="Y10" s="45">
        <f>+[4]김포!$Q$85</f>
        <v>95190.621875000012</v>
      </c>
      <c r="Z10" s="46">
        <f>+[4]김포!$R$85</f>
        <v>92479.294914918879</v>
      </c>
      <c r="AA10" s="50">
        <f>+[5]김포!$Q$85</f>
        <v>96275.825918367351</v>
      </c>
      <c r="AB10" s="51">
        <f>+[4]김포!$Q$89</f>
        <v>76527.866424633612</v>
      </c>
      <c r="AC10" s="46">
        <f>+[4]김포!$R$89</f>
        <v>81027.530156219102</v>
      </c>
      <c r="AD10" s="52">
        <f>+[5]김포!$Q$89</f>
        <v>74300.021428571432</v>
      </c>
      <c r="AE10" s="51">
        <f t="shared" si="7"/>
        <v>18662.7554503664</v>
      </c>
      <c r="AF10" s="46">
        <f t="shared" si="8"/>
        <v>11451.764758699777</v>
      </c>
      <c r="AG10" s="52">
        <f t="shared" si="9"/>
        <v>21975.804489795919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+IFERROR(HLOOKUP($B11,'[1]9월'!$D$6:$BN$259,2,),)/1000</f>
        <v>21</v>
      </c>
      <c r="K11" s="63">
        <f>+IFERROR(HLOOKUP($B11,'[2]9월'!$F$6:$CP$99,2,),)/1000</f>
        <v>20.199000000000002</v>
      </c>
      <c r="L11" s="64">
        <f t="shared" si="0"/>
        <v>-0.80099999999999838</v>
      </c>
      <c r="M11" s="65">
        <f>+IFERROR(HLOOKUP($B11,'[3]9월'!$F$6:$CC$57,2,),)/1000</f>
        <v>15.516999999999999</v>
      </c>
      <c r="N11" s="66">
        <f t="shared" si="2"/>
        <v>4.6820000000000022</v>
      </c>
      <c r="O11" s="62">
        <f>+IFERROR(HLOOKUP($B11,'[1]9월'!$D$6:$BN$259,3,),)/1000</f>
        <v>2261.697361732</v>
      </c>
      <c r="P11" s="63">
        <f>+IFERROR(HLOOKUP($B11,'[2]9월'!$F$6:$CP$99,3,),)/1000</f>
        <v>2164.6865269999998</v>
      </c>
      <c r="Q11" s="64">
        <f t="shared" si="3"/>
        <v>-97.010834732000149</v>
      </c>
      <c r="R11" s="65">
        <f>+IFERROR(HLOOKUP($B11,'[3]9월'!$F$6:$CC$57,3,),)/1000</f>
        <v>1769.7428</v>
      </c>
      <c r="S11" s="66">
        <f t="shared" si="4"/>
        <v>394.94372699999985</v>
      </c>
      <c r="T11" s="62">
        <f>+IFERROR(HLOOKUP($B11,'[1]9월'!$D$6:$BN$259,16,),)/1000</f>
        <v>222.14546281991505</v>
      </c>
      <c r="U11" s="63">
        <f>+IFERROR(HLOOKUP($B11,'[2]9월'!$F$6:$CP$99,16,),)/1000</f>
        <v>155.08343899999994</v>
      </c>
      <c r="V11" s="64">
        <f t="shared" si="5"/>
        <v>-67.062023819915112</v>
      </c>
      <c r="W11" s="65">
        <f>+IFERROR(HLOOKUP($B11,'[3]9월'!$F$6:$CC$57,16,),)/1000</f>
        <v>167.22155100000009</v>
      </c>
      <c r="X11" s="66">
        <f t="shared" si="6"/>
        <v>-12.138112000000149</v>
      </c>
      <c r="Y11" s="62">
        <f>+[4]부산!$Q$85</f>
        <v>107699.87436819047</v>
      </c>
      <c r="Z11" s="63">
        <f>+[4]부산!$R$85</f>
        <v>107168.00470320313</v>
      </c>
      <c r="AA11" s="67">
        <f>+[5]부산!$Q$85</f>
        <v>114051.86569568861</v>
      </c>
      <c r="AB11" s="68">
        <f>+[4]부산!$Q$89</f>
        <v>84681.416734186016</v>
      </c>
      <c r="AC11" s="63">
        <f>+[4]부산!$R$89</f>
        <v>85757.042311661498</v>
      </c>
      <c r="AD11" s="69">
        <f>+[5]부산!$Q$89</f>
        <v>84631.159309636845</v>
      </c>
      <c r="AE11" s="68">
        <f t="shared" si="7"/>
        <v>23018.457634004459</v>
      </c>
      <c r="AF11" s="63">
        <f t="shared" si="8"/>
        <v>21410.96239154163</v>
      </c>
      <c r="AG11" s="69">
        <f t="shared" si="9"/>
        <v>29420.706386051766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+IFERROR(HLOOKUP($B12,'[1]9월'!$D$6:$BN$259,2,),)/1000</f>
        <v>21</v>
      </c>
      <c r="K12" s="46">
        <f>+IFERROR(HLOOKUP($B12,'[2]9월'!$F$6:$CP$99,2,),)/1000</f>
        <v>19.617999999999999</v>
      </c>
      <c r="L12" s="47">
        <f t="shared" si="0"/>
        <v>-1.3820000000000014</v>
      </c>
      <c r="M12" s="48">
        <f>+IFERROR(HLOOKUP($B12,'[3]9월'!$F$6:$CC$57,2,),)/1000</f>
        <v>13.004</v>
      </c>
      <c r="N12" s="49">
        <f t="shared" si="2"/>
        <v>6.613999999999999</v>
      </c>
      <c r="O12" s="45">
        <f>+IFERROR(HLOOKUP($B12,'[1]9월'!$D$6:$BN$259,3,),)/1000</f>
        <v>2085.2970700000001</v>
      </c>
      <c r="P12" s="46">
        <f>+IFERROR(HLOOKUP($B12,'[2]9월'!$F$6:$CP$99,3,),)/1000</f>
        <v>1904.0364999999999</v>
      </c>
      <c r="Q12" s="47">
        <f t="shared" si="3"/>
        <v>-181.26057000000014</v>
      </c>
      <c r="R12" s="48">
        <f>+IFERROR(HLOOKUP($B12,'[3]9월'!$F$6:$CC$57,3,),)/1000</f>
        <v>1314.9703</v>
      </c>
      <c r="S12" s="49">
        <f t="shared" si="4"/>
        <v>589.06619999999998</v>
      </c>
      <c r="T12" s="45">
        <f>+IFERROR(HLOOKUP($B12,'[1]9월'!$D$6:$BN$259,16,),)/1000</f>
        <v>262.68394872244687</v>
      </c>
      <c r="U12" s="46">
        <f>+IFERROR(HLOOKUP($B12,'[2]9월'!$F$6:$CP$99,16,),)/1000</f>
        <v>149.8511689999998</v>
      </c>
      <c r="V12" s="47">
        <f t="shared" si="5"/>
        <v>-112.83277972244707</v>
      </c>
      <c r="W12" s="48">
        <f>+IFERROR(HLOOKUP($B12,'[3]9월'!$F$6:$CC$57,16,),)/1000</f>
        <v>84.673493999999977</v>
      </c>
      <c r="X12" s="49">
        <f t="shared" si="6"/>
        <v>65.177674999999823</v>
      </c>
      <c r="Y12" s="45">
        <f>+[4]서부산!$Q$85</f>
        <v>99299.860476190486</v>
      </c>
      <c r="Z12" s="46">
        <f>+[4]서부산!$R$85</f>
        <v>97055.586706086251</v>
      </c>
      <c r="AA12" s="50">
        <f>+[5]서부산!$Q$85</f>
        <v>101120.44755459859</v>
      </c>
      <c r="AB12" s="51">
        <f>+[4]서부산!$Q$89</f>
        <v>77319.895023798847</v>
      </c>
      <c r="AC12" s="46">
        <f>+[4]서부산!$R$89</f>
        <v>77542.314154786145</v>
      </c>
      <c r="AD12" s="52">
        <f>+[5]서부산!$Q$89</f>
        <v>78001.325745295646</v>
      </c>
      <c r="AE12" s="51">
        <f t="shared" si="7"/>
        <v>21979.96545239164</v>
      </c>
      <c r="AF12" s="46">
        <f t="shared" si="8"/>
        <v>19513.272551300106</v>
      </c>
      <c r="AG12" s="52">
        <f t="shared" si="9"/>
        <v>23119.121809302946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+IFERROR(HLOOKUP($B13,'[1]9월'!$D$6:$BN$259,2,),)/1000</f>
        <v>14</v>
      </c>
      <c r="K13" s="46">
        <f>+IFERROR(HLOOKUP($B13,'[2]9월'!$F$6:$CP$99,2,),)/1000</f>
        <v>7.9880000000000004</v>
      </c>
      <c r="L13" s="47">
        <f t="shared" si="0"/>
        <v>-6.0119999999999996</v>
      </c>
      <c r="M13" s="48">
        <f>+IFERROR(HLOOKUP($B13,'[3]9월'!$F$6:$CC$57,2,),)/1000</f>
        <v>12.705</v>
      </c>
      <c r="N13" s="49">
        <f t="shared" si="2"/>
        <v>-4.7169999999999996</v>
      </c>
      <c r="O13" s="45">
        <f>+IFERROR(HLOOKUP($B13,'[1]9월'!$D$6:$BN$259,3,),)/1000</f>
        <v>1348.1986000000002</v>
      </c>
      <c r="P13" s="46">
        <f>+IFERROR(HLOOKUP($B13,'[2]9월'!$F$6:$CP$99,3,),)/1000</f>
        <v>706.91049999999996</v>
      </c>
      <c r="Q13" s="47">
        <f t="shared" si="3"/>
        <v>-641.28810000000021</v>
      </c>
      <c r="R13" s="48">
        <f>+IFERROR(HLOOKUP($B13,'[3]9월'!$F$6:$CC$57,3,),)/1000</f>
        <v>1134.8287</v>
      </c>
      <c r="S13" s="49">
        <f t="shared" si="4"/>
        <v>-427.91820000000007</v>
      </c>
      <c r="T13" s="45">
        <f>+IFERROR(HLOOKUP($B13,'[1]9월'!$D$6:$BN$259,16,),)/1000</f>
        <v>115.18250597613853</v>
      </c>
      <c r="U13" s="46">
        <f>+IFERROR(HLOOKUP($B13,'[2]9월'!$F$6:$CP$99,16,),)/1000</f>
        <v>-78.322141000000059</v>
      </c>
      <c r="V13" s="47">
        <f t="shared" si="5"/>
        <v>-193.50464697613859</v>
      </c>
      <c r="W13" s="48">
        <f>+IFERROR(HLOOKUP($B13,'[3]9월'!$F$6:$CC$57,16,),)/1000</f>
        <v>-2.7295230000000736</v>
      </c>
      <c r="X13" s="49">
        <f t="shared" si="6"/>
        <v>-75.592617999999987</v>
      </c>
      <c r="Y13" s="45">
        <f>+[4]김해!$Q$85</f>
        <v>96299.900000000009</v>
      </c>
      <c r="Z13" s="46">
        <f>+[4]김해!$R$85</f>
        <v>88617.201895235587</v>
      </c>
      <c r="AA13" s="50">
        <f>+[5]김해!$Q$85</f>
        <v>89286.80280145134</v>
      </c>
      <c r="AB13" s="51">
        <f>+[4]김해!$Q$89</f>
        <v>77194.604184244061</v>
      </c>
      <c r="AC13" s="46">
        <f>+[4]김해!$R$89</f>
        <v>77871.709133982615</v>
      </c>
      <c r="AD13" s="52">
        <f>+[5]김해!$Q$89</f>
        <v>75888.626991486133</v>
      </c>
      <c r="AE13" s="51">
        <f t="shared" si="7"/>
        <v>19105.295815755948</v>
      </c>
      <c r="AF13" s="46">
        <f t="shared" si="8"/>
        <v>10745.492761252972</v>
      </c>
      <c r="AG13" s="52">
        <f t="shared" si="9"/>
        <v>13398.175809965207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+IFERROR(HLOOKUP($B14,'[1]9월'!$D$6:$BN$259,2,),)/1000</f>
        <v>19</v>
      </c>
      <c r="K14" s="46">
        <f>+IFERROR(HLOOKUP($B14,'[2]9월'!$F$6:$CP$99,2,),)/1000</f>
        <v>23.4405</v>
      </c>
      <c r="L14" s="47">
        <f t="shared" si="0"/>
        <v>4.4405000000000001</v>
      </c>
      <c r="M14" s="48">
        <f>+IFERROR(HLOOKUP($B14,'[3]9월'!$F$6:$CC$57,2,),)/1000</f>
        <v>16.975999999999999</v>
      </c>
      <c r="N14" s="49">
        <f t="shared" si="2"/>
        <v>6.464500000000001</v>
      </c>
      <c r="O14" s="45">
        <f>+IFERROR(HLOOKUP($B14,'[1]9월'!$D$6:$BN$259,3,),)/1000</f>
        <v>1938.0017932400001</v>
      </c>
      <c r="P14" s="46">
        <f>+IFERROR(HLOOKUP($B14,'[2]9월'!$F$6:$CP$99,3,),)/1000</f>
        <v>2350.14</v>
      </c>
      <c r="Q14" s="47">
        <f t="shared" si="3"/>
        <v>412.13820675999978</v>
      </c>
      <c r="R14" s="48">
        <f>+IFERROR(HLOOKUP($B14,'[3]9월'!$F$6:$CC$57,3,),)/1000</f>
        <v>1722.9996999999998</v>
      </c>
      <c r="S14" s="49">
        <f t="shared" si="4"/>
        <v>627.14030000000002</v>
      </c>
      <c r="T14" s="45">
        <f>+IFERROR(HLOOKUP($B14,'[1]9월'!$D$6:$BN$259,16,),)/1000</f>
        <v>164.10726125668998</v>
      </c>
      <c r="U14" s="46">
        <f>+IFERROR(HLOOKUP($B14,'[2]9월'!$F$6:$CP$99,16,),)/1000</f>
        <v>173.69429000000002</v>
      </c>
      <c r="V14" s="47">
        <f t="shared" si="5"/>
        <v>9.587028743310043</v>
      </c>
      <c r="W14" s="48">
        <f>+IFERROR(HLOOKUP($B14,'[3]9월'!$F$6:$CC$57,16,),)/1000</f>
        <v>103.54540100000021</v>
      </c>
      <c r="X14" s="49">
        <f t="shared" si="6"/>
        <v>70.148888999999812</v>
      </c>
      <c r="Y14" s="45">
        <f>+[4]정관!$Q$85</f>
        <v>102000.09438105264</v>
      </c>
      <c r="Z14" s="46">
        <f>+[4]정관!$R$85</f>
        <v>100259.80674473668</v>
      </c>
      <c r="AA14" s="50">
        <f>+[5]정관!$Q$85</f>
        <v>101496.21229971724</v>
      </c>
      <c r="AB14" s="51">
        <f>+[4]정관!$Q$89</f>
        <v>82152.960402630371</v>
      </c>
      <c r="AC14" s="46">
        <f>+[4]정관!$R$89</f>
        <v>82090.776292506125</v>
      </c>
      <c r="AD14" s="52">
        <f>+[5]정관!$Q$89</f>
        <v>81278.390233870014</v>
      </c>
      <c r="AE14" s="51">
        <f t="shared" si="7"/>
        <v>19847.133978422265</v>
      </c>
      <c r="AF14" s="46">
        <f t="shared" si="8"/>
        <v>18169.030452230552</v>
      </c>
      <c r="AG14" s="52">
        <f t="shared" si="9"/>
        <v>20217.822065847227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+IFERROR(HLOOKUP($B15,'[1]9월'!$D$6:$BN$259,2,),)/1000</f>
        <v>12</v>
      </c>
      <c r="K15" s="46">
        <f>+IFERROR(HLOOKUP($B15,'[2]9월'!$F$6:$CP$99,2,),)/1000</f>
        <v>6.0609999999999999</v>
      </c>
      <c r="L15" s="47">
        <f t="shared" si="0"/>
        <v>-5.9390000000000001</v>
      </c>
      <c r="M15" s="48">
        <f>+IFERROR(HLOOKUP($B15,'[3]9월'!$F$6:$CC$57,2,),)/1000</f>
        <v>12.518000000000001</v>
      </c>
      <c r="N15" s="49">
        <f t="shared" si="2"/>
        <v>-6.4570000000000007</v>
      </c>
      <c r="O15" s="45">
        <f>+IFERROR(HLOOKUP($B15,'[1]9월'!$D$6:$BN$259,3,),)/1000</f>
        <v>1131.6600000000001</v>
      </c>
      <c r="P15" s="46">
        <f>+IFERROR(HLOOKUP($B15,'[2]9월'!$F$6:$CP$99,3,),)/1000</f>
        <v>570.88790000000006</v>
      </c>
      <c r="Q15" s="47">
        <f t="shared" si="3"/>
        <v>-560.77210000000002</v>
      </c>
      <c r="R15" s="48">
        <f>+IFERROR(HLOOKUP($B15,'[3]9월'!$F$6:$CC$57,3,),)/1000</f>
        <v>1127.9968999999999</v>
      </c>
      <c r="S15" s="49">
        <f t="shared" si="4"/>
        <v>-557.10899999999981</v>
      </c>
      <c r="T15" s="45">
        <f>+IFERROR(HLOOKUP($B15,'[1]9월'!$D$6:$BN$259,16,),)/1000</f>
        <v>106.81806731510582</v>
      </c>
      <c r="U15" s="46">
        <f>+IFERROR(HLOOKUP($B15,'[2]9월'!$F$6:$CP$99,16,),)/1000</f>
        <v>-35.259845999999982</v>
      </c>
      <c r="V15" s="47">
        <f t="shared" si="5"/>
        <v>-142.0779133151058</v>
      </c>
      <c r="W15" s="48">
        <f>+IFERROR(HLOOKUP($B15,'[3]9월'!$F$6:$CC$57,16,),)/1000</f>
        <v>69.60220799999999</v>
      </c>
      <c r="X15" s="49">
        <f t="shared" si="6"/>
        <v>-104.86205399999997</v>
      </c>
      <c r="Y15" s="45">
        <f>+[4]양산!$Q$85</f>
        <v>94305</v>
      </c>
      <c r="Z15" s="46">
        <f>+[4]양산!$R$85</f>
        <v>94190.381125226864</v>
      </c>
      <c r="AA15" s="50">
        <f>+[5]양산!$Q$85</f>
        <v>90109.993609202749</v>
      </c>
      <c r="AB15" s="51">
        <f>+[4]양산!$Q$89</f>
        <v>73438.431603370831</v>
      </c>
      <c r="AC15" s="46">
        <f>+[4]양산!$R$89</f>
        <v>76835.77643953143</v>
      </c>
      <c r="AD15" s="52">
        <f>+[5]양산!$Q$89</f>
        <v>71969.384805879527</v>
      </c>
      <c r="AE15" s="51">
        <f t="shared" si="7"/>
        <v>20866.568396629169</v>
      </c>
      <c r="AF15" s="46">
        <f t="shared" si="8"/>
        <v>17354.604685695434</v>
      </c>
      <c r="AG15" s="52">
        <f t="shared" si="9"/>
        <v>18140.608803323223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+IFERROR(HLOOKUP($B16,'[1]9월'!$D$6:$BN$259,2,),)/1000</f>
        <v>13</v>
      </c>
      <c r="K16" s="46">
        <f>+IFERROR(HLOOKUP($B16,'[2]9월'!$F$6:$CP$99,2,),)/1000</f>
        <v>6.5460000000000003</v>
      </c>
      <c r="L16" s="47">
        <f t="shared" si="0"/>
        <v>-6.4539999999999997</v>
      </c>
      <c r="M16" s="48">
        <f>+IFERROR(HLOOKUP($B16,'[3]9월'!$F$6:$CC$57,2,),)/1000</f>
        <v>14.952999999999999</v>
      </c>
      <c r="N16" s="49">
        <f t="shared" si="2"/>
        <v>-8.407</v>
      </c>
      <c r="O16" s="45">
        <f>+IFERROR(HLOOKUP($B16,'[1]9월'!$D$6:$BN$259,3,),)/1000</f>
        <v>1314.3049431960001</v>
      </c>
      <c r="P16" s="46">
        <f>+IFERROR(HLOOKUP($B16,'[2]9월'!$F$6:$CP$99,3,),)/1000</f>
        <v>598.34839999999997</v>
      </c>
      <c r="Q16" s="47">
        <f t="shared" si="3"/>
        <v>-715.9565431960001</v>
      </c>
      <c r="R16" s="48">
        <f>+IFERROR(HLOOKUP($B16,'[3]9월'!$F$6:$CC$57,3,),)/1000</f>
        <v>1507.3453999999999</v>
      </c>
      <c r="S16" s="49">
        <f t="shared" si="4"/>
        <v>-908.99699999999996</v>
      </c>
      <c r="T16" s="45">
        <f>+IFERROR(HLOOKUP($B16,'[1]9월'!$D$6:$BN$259,16,),)/1000</f>
        <v>145.20620337555414</v>
      </c>
      <c r="U16" s="46">
        <f>+IFERROR(HLOOKUP($B16,'[2]9월'!$F$6:$CP$99,16,),)/1000</f>
        <v>-63.359207999999896</v>
      </c>
      <c r="V16" s="47">
        <f t="shared" si="5"/>
        <v>-208.56541137555405</v>
      </c>
      <c r="W16" s="48">
        <f>+IFERROR(HLOOKUP($B16,'[3]9월'!$F$6:$CC$57,16,),)/1000</f>
        <v>152.25466699999993</v>
      </c>
      <c r="X16" s="49">
        <f t="shared" si="6"/>
        <v>-215.61387499999984</v>
      </c>
      <c r="Y16" s="45">
        <f>+[4]창원!$Q$85</f>
        <v>101100.38024584616</v>
      </c>
      <c r="Z16" s="46">
        <f>+[4]창원!$R$85</f>
        <v>91406.721662083728</v>
      </c>
      <c r="AA16" s="50">
        <f>+[5]창원!$Q$85</f>
        <v>100805.5507256069</v>
      </c>
      <c r="AB16" s="51">
        <f>+[4]창원!$Q$89</f>
        <v>76060.569826433188</v>
      </c>
      <c r="AC16" s="46">
        <f>+[4]창원!$R$89</f>
        <v>71724.15200122213</v>
      </c>
      <c r="AD16" s="52">
        <f>+[5]창원!$Q$89</f>
        <v>74736.793486256938</v>
      </c>
      <c r="AE16" s="51">
        <f t="shared" si="7"/>
        <v>25039.81041941297</v>
      </c>
      <c r="AF16" s="46">
        <f t="shared" si="8"/>
        <v>19682.569660861598</v>
      </c>
      <c r="AG16" s="52">
        <f t="shared" si="9"/>
        <v>26068.757239349958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+IFERROR(HLOOKUP($B17,'[1]9월'!$D$6:$BN$259,2,),)/1000</f>
        <v>12</v>
      </c>
      <c r="K17" s="46">
        <f>+IFERROR(HLOOKUP($B17,'[2]9월'!$F$6:$CP$99,2,),)/1000</f>
        <v>13.3385</v>
      </c>
      <c r="L17" s="47">
        <f t="shared" si="0"/>
        <v>1.3384999999999998</v>
      </c>
      <c r="M17" s="48">
        <f>+IFERROR(HLOOKUP($B17,'[3]9월'!$F$6:$CC$57,2,),)/1000</f>
        <v>14.191000000000001</v>
      </c>
      <c r="N17" s="49">
        <f t="shared" si="2"/>
        <v>-0.85250000000000092</v>
      </c>
      <c r="O17" s="45">
        <f>+IFERROR(HLOOKUP($B17,'[1]9월'!$D$6:$BN$259,3,),)/1000</f>
        <v>1154.7962369565216</v>
      </c>
      <c r="P17" s="46">
        <f>+IFERROR(HLOOKUP($B17,'[2]9월'!$F$6:$CP$99,3,),)/1000</f>
        <v>1132.3223500000001</v>
      </c>
      <c r="Q17" s="47">
        <f t="shared" si="3"/>
        <v>-22.473886956521483</v>
      </c>
      <c r="R17" s="48">
        <f>+IFERROR(HLOOKUP($B17,'[3]9월'!$F$6:$CC$57,3,),)/1000</f>
        <v>1379.9727499999999</v>
      </c>
      <c r="S17" s="49">
        <f t="shared" si="4"/>
        <v>-247.65039999999976</v>
      </c>
      <c r="T17" s="45">
        <f>+IFERROR(HLOOKUP($B17,'[1]9월'!$D$6:$BN$259,16,),)/1000</f>
        <v>99.040366540709684</v>
      </c>
      <c r="U17" s="46">
        <f>+IFERROR(HLOOKUP($B17,'[2]9월'!$F$6:$CP$99,16,),)/1000</f>
        <v>42.684097000000023</v>
      </c>
      <c r="V17" s="47">
        <f t="shared" si="5"/>
        <v>-56.356269540709661</v>
      </c>
      <c r="W17" s="48">
        <f>+IFERROR(HLOOKUP($B17,'[3]9월'!$F$6:$CC$57,16,),)/1000</f>
        <v>137.65472400000007</v>
      </c>
      <c r="X17" s="49">
        <f t="shared" si="6"/>
        <v>-94.97062700000005</v>
      </c>
      <c r="Y17" s="45">
        <f>+[4]대구!$Q$85</f>
        <v>96233.019746376798</v>
      </c>
      <c r="Z17" s="46">
        <f>+[4]대구!$R$85</f>
        <v>84891.280878659527</v>
      </c>
      <c r="AA17" s="50">
        <f>+[5]대구!$Q$85</f>
        <v>97242.812345853017</v>
      </c>
      <c r="AB17" s="51">
        <f>+[4]대구!$Q$89</f>
        <v>72550.613674204345</v>
      </c>
      <c r="AC17" s="46">
        <f>+[4]대구!$R$89</f>
        <v>69930.589121715326</v>
      </c>
      <c r="AD17" s="52">
        <f>+[5]대구!$Q$89</f>
        <v>72709.872242970901</v>
      </c>
      <c r="AE17" s="51">
        <f t="shared" si="7"/>
        <v>23682.406072172453</v>
      </c>
      <c r="AF17" s="46">
        <f t="shared" si="8"/>
        <v>14960.691756944201</v>
      </c>
      <c r="AG17" s="52">
        <f t="shared" si="9"/>
        <v>24532.940102882116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+IFERROR(HLOOKUP($B18,'[1]9월'!$D$6:$BN$259,2,),)/1000</f>
        <v>14</v>
      </c>
      <c r="K18" s="10">
        <f>+IFERROR(HLOOKUP($B18,'[2]9월'!$F$6:$CP$99,2,),)/1000</f>
        <v>13.179</v>
      </c>
      <c r="L18" s="11">
        <f t="shared" si="0"/>
        <v>-0.82099999999999973</v>
      </c>
      <c r="M18" s="12">
        <f>+IFERROR(HLOOKUP($B18,'[3]9월'!$F$6:$CC$57,2,),)/1000</f>
        <v>11.98</v>
      </c>
      <c r="N18" s="13">
        <f t="shared" si="2"/>
        <v>1.1989999999999998</v>
      </c>
      <c r="O18" s="9">
        <f>+IFERROR(HLOOKUP($B18,'[1]9월'!$D$6:$BN$259,3,),)/1000</f>
        <v>1458.865</v>
      </c>
      <c r="P18" s="10">
        <f>+IFERROR(HLOOKUP($B18,'[2]9월'!$F$6:$CP$99,3,),)/1000</f>
        <v>1435.1891000000001</v>
      </c>
      <c r="Q18" s="11">
        <f t="shared" si="3"/>
        <v>-23.675899999999956</v>
      </c>
      <c r="R18" s="12">
        <f>+IFERROR(HLOOKUP($B18,'[3]9월'!$F$6:$CC$57,3,),)/1000</f>
        <v>1176.1865500000001</v>
      </c>
      <c r="S18" s="13">
        <f t="shared" si="4"/>
        <v>259.00254999999993</v>
      </c>
      <c r="T18" s="9">
        <f>+IFERROR(HLOOKUP($B18,'[1]9월'!$D$6:$BN$259,16,),)/1000</f>
        <v>156.77600863590894</v>
      </c>
      <c r="U18" s="10">
        <f>+IFERROR(HLOOKUP($B18,'[2]9월'!$F$6:$CP$99,16,),)/1000</f>
        <v>178.43166000000005</v>
      </c>
      <c r="V18" s="11">
        <f t="shared" si="5"/>
        <v>21.655651364091113</v>
      </c>
      <c r="W18" s="12">
        <f>+IFERROR(HLOOKUP($B18,'[3]9월'!$F$6:$CC$57,16,),)/1000</f>
        <v>78.459948000000068</v>
      </c>
      <c r="X18" s="13">
        <f t="shared" si="6"/>
        <v>99.971711999999982</v>
      </c>
      <c r="Y18" s="9">
        <f>+[4]울산!$Q$85</f>
        <v>104204.64285714286</v>
      </c>
      <c r="Z18" s="10">
        <f>+[4]울산!$R$85</f>
        <v>108899.69648683512</v>
      </c>
      <c r="AA18" s="14">
        <f>+[5]울산!$Q$85</f>
        <v>98179.177796327203</v>
      </c>
      <c r="AB18" s="15">
        <f>+[4]울산!$Q$89</f>
        <v>82480.757744407369</v>
      </c>
      <c r="AC18" s="10">
        <f>+[4]울산!$R$89</f>
        <v>82498.144654088042</v>
      </c>
      <c r="AD18" s="16">
        <f>+[5]울산!$Q$89</f>
        <v>78607.479048414025</v>
      </c>
      <c r="AE18" s="15">
        <f t="shared" si="7"/>
        <v>21723.885112735486</v>
      </c>
      <c r="AF18" s="10">
        <f t="shared" si="8"/>
        <v>26401.551832747078</v>
      </c>
      <c r="AG18" s="16">
        <f t="shared" si="9"/>
        <v>19571.698747913179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+IFERROR(HLOOKUP($B19,'[1]9월'!$D$6:$BN$259,2,),)/1000</f>
        <v>26</v>
      </c>
      <c r="K19" s="46">
        <f>+IFERROR(HLOOKUP($B19,'[2]9월'!$F$6:$CP$99,2,),)/1000</f>
        <v>23.459</v>
      </c>
      <c r="L19" s="47">
        <f t="shared" si="0"/>
        <v>-2.5410000000000004</v>
      </c>
      <c r="M19" s="48">
        <f>+IFERROR(HLOOKUP($B19,'[3]9월'!$F$6:$CC$57,2,),)/1000</f>
        <v>23.352</v>
      </c>
      <c r="N19" s="49">
        <f t="shared" si="2"/>
        <v>0.10699999999999932</v>
      </c>
      <c r="O19" s="45">
        <f>+IFERROR(HLOOKUP($B19,'[1]9월'!$D$6:$BN$259,3,),)/1000</f>
        <v>2678</v>
      </c>
      <c r="P19" s="46">
        <f>+IFERROR(HLOOKUP($B19,'[2]9월'!$F$6:$CP$99,3,),)/1000</f>
        <v>2198.6815109999998</v>
      </c>
      <c r="Q19" s="47">
        <f t="shared" si="3"/>
        <v>-479.31848900000023</v>
      </c>
      <c r="R19" s="48">
        <f>+IFERROR(HLOOKUP($B19,'[3]9월'!$F$6:$CC$57,3,),)/1000</f>
        <v>2315.0377599999997</v>
      </c>
      <c r="S19" s="49">
        <f t="shared" si="4"/>
        <v>-116.35624899999993</v>
      </c>
      <c r="T19" s="45">
        <f>+IFERROR(HLOOKUP($B19,'[1]9월'!$D$6:$BN$259,16,),)/1000</f>
        <v>399.79482460005875</v>
      </c>
      <c r="U19" s="46">
        <f>+IFERROR(HLOOKUP($B19,'[2]9월'!$F$6:$CP$99,16,),)/1000</f>
        <v>79.527224000000047</v>
      </c>
      <c r="V19" s="47">
        <f t="shared" si="5"/>
        <v>-320.2676006000587</v>
      </c>
      <c r="W19" s="48">
        <f>+IFERROR(HLOOKUP($B19,'[3]9월'!$F$6:$CC$57,16,),)/1000</f>
        <v>256.65218499999986</v>
      </c>
      <c r="X19" s="49">
        <f t="shared" si="6"/>
        <v>-177.12496099999981</v>
      </c>
      <c r="Y19" s="45">
        <f>+[4]아산!$Q$85</f>
        <v>103000</v>
      </c>
      <c r="Z19" s="46">
        <f>+[4]아산!$R$85</f>
        <v>93724.434588004602</v>
      </c>
      <c r="AA19" s="50">
        <f>+[5]아산!$Q$85</f>
        <v>99026.218995765259</v>
      </c>
      <c r="AB19" s="51">
        <f>+[4]아산!$Q$89</f>
        <v>77918.037582229037</v>
      </c>
      <c r="AC19" s="46">
        <f>+[4]아산!$R$89</f>
        <v>79487.177586427395</v>
      </c>
      <c r="AD19" s="52">
        <f>+[5]아산!$Q$89</f>
        <v>76440.335922665283</v>
      </c>
      <c r="AE19" s="51">
        <f t="shared" si="7"/>
        <v>25081.962417770963</v>
      </c>
      <c r="AF19" s="46">
        <f t="shared" si="8"/>
        <v>14237.257001577207</v>
      </c>
      <c r="AG19" s="52">
        <f t="shared" si="9"/>
        <v>22585.883073099976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+IFERROR(HLOOKUP($B20,'[1]9월'!$D$6:$BN$259,2,),)/1000</f>
        <v>12</v>
      </c>
      <c r="K20" s="46">
        <f>+IFERROR(HLOOKUP($B20,'[2]9월'!$F$6:$CP$99,2,),)/1000</f>
        <v>15.058</v>
      </c>
      <c r="L20" s="47">
        <f t="shared" si="0"/>
        <v>3.0579999999999998</v>
      </c>
      <c r="M20" s="48">
        <f>+IFERROR(HLOOKUP($B20,'[3]9월'!$F$6:$CC$57,2,),)/1000</f>
        <v>10.103</v>
      </c>
      <c r="N20" s="49">
        <f t="shared" si="2"/>
        <v>4.9550000000000001</v>
      </c>
      <c r="O20" s="45">
        <f>+IFERROR(HLOOKUP($B20,'[1]9월'!$D$6:$BN$259,3,),)/1000</f>
        <v>1208.7070966000003</v>
      </c>
      <c r="P20" s="46">
        <f>+IFERROR(HLOOKUP($B20,'[2]9월'!$F$6:$CP$99,3,),)/1000</f>
        <v>1481.3307</v>
      </c>
      <c r="Q20" s="47">
        <f t="shared" si="3"/>
        <v>272.62360339999964</v>
      </c>
      <c r="R20" s="48">
        <f>+IFERROR(HLOOKUP($B20,'[3]9월'!$F$6:$CC$57,3,),)/1000</f>
        <v>1007.174396</v>
      </c>
      <c r="S20" s="49">
        <f t="shared" si="4"/>
        <v>474.15630399999998</v>
      </c>
      <c r="T20" s="45">
        <f>+IFERROR(HLOOKUP($B20,'[1]9월'!$D$6:$BN$259,16,),)/1000</f>
        <v>175.60275045370437</v>
      </c>
      <c r="U20" s="46">
        <f>+IFERROR(HLOOKUP($B20,'[2]9월'!$F$6:$CP$99,16,),)/1000</f>
        <v>174.72593199999991</v>
      </c>
      <c r="V20" s="47">
        <f t="shared" si="5"/>
        <v>-0.87681845370445899</v>
      </c>
      <c r="W20" s="48">
        <f>+IFERROR(HLOOKUP($B20,'[3]9월'!$F$6:$CC$57,16,),)/1000</f>
        <v>98.002098999999959</v>
      </c>
      <c r="X20" s="49">
        <f t="shared" si="6"/>
        <v>76.723832999999956</v>
      </c>
      <c r="Y20" s="45">
        <f>+[4]전주!$Q$85</f>
        <v>100725.59138333335</v>
      </c>
      <c r="Z20" s="46">
        <f>+[4]전주!$R$85</f>
        <v>98374.996679505915</v>
      </c>
      <c r="AA20" s="50">
        <f>+[5]전주!$Q$85</f>
        <v>99690.626150648313</v>
      </c>
      <c r="AB20" s="51">
        <f>+[4]전주!$Q$89</f>
        <v>73247.441530709839</v>
      </c>
      <c r="AC20" s="46">
        <f>+[4]전주!$R$89</f>
        <v>75716.658807947009</v>
      </c>
      <c r="AD20" s="52">
        <f>+[5]전주!$Q$89</f>
        <v>72859.16451199053</v>
      </c>
      <c r="AE20" s="51">
        <f t="shared" si="7"/>
        <v>27478.149852623508</v>
      </c>
      <c r="AF20" s="46">
        <f t="shared" si="8"/>
        <v>22658.337871558906</v>
      </c>
      <c r="AG20" s="52">
        <f t="shared" si="9"/>
        <v>26831.461638657784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+IFERROR(HLOOKUP($B21,'[1]9월'!$D$6:$BN$259,2,),)/1000</f>
        <v>8</v>
      </c>
      <c r="K21" s="46">
        <f>+IFERROR(HLOOKUP($B21,'[2]9월'!$F$6:$CP$99,2,),)/1000</f>
        <v>4.3985000000000003</v>
      </c>
      <c r="L21" s="47">
        <f t="shared" si="0"/>
        <v>-3.6014999999999997</v>
      </c>
      <c r="M21" s="48">
        <f>+IFERROR(HLOOKUP($B21,'[3]9월'!$F$6:$CC$57,2,),)/1000</f>
        <v>7.883</v>
      </c>
      <c r="N21" s="49">
        <f t="shared" si="2"/>
        <v>-3.4844999999999997</v>
      </c>
      <c r="O21" s="45">
        <f>+IFERROR(HLOOKUP($B21,'[1]9월'!$D$6:$BN$259,3,),)/1000</f>
        <v>894.38615000000016</v>
      </c>
      <c r="P21" s="46">
        <f>+IFERROR(HLOOKUP($B21,'[2]9월'!$F$6:$CP$99,3,),)/1000</f>
        <v>485.68059999999997</v>
      </c>
      <c r="Q21" s="47">
        <f t="shared" si="3"/>
        <v>-408.70555000000019</v>
      </c>
      <c r="R21" s="48">
        <f>+IFERROR(HLOOKUP($B21,'[3]9월'!$F$6:$CC$57,3,),)/1000</f>
        <v>917.56020000000001</v>
      </c>
      <c r="S21" s="49">
        <f t="shared" si="4"/>
        <v>-431.87960000000004</v>
      </c>
      <c r="T21" s="45">
        <f>+IFERROR(HLOOKUP($B21,'[1]9월'!$D$6:$BN$259,16,),)/1000</f>
        <v>232.8928068662382</v>
      </c>
      <c r="U21" s="46">
        <f>+IFERROR(HLOOKUP($B21,'[2]9월'!$F$6:$CP$99,16,),)/1000</f>
        <v>70.142529999999937</v>
      </c>
      <c r="V21" s="47">
        <f t="shared" si="5"/>
        <v>-162.75027686623827</v>
      </c>
      <c r="W21" s="48">
        <f>+IFERROR(HLOOKUP($B21,'[3]9월'!$F$6:$CC$57,16,),)/1000</f>
        <v>252.01421399999995</v>
      </c>
      <c r="X21" s="49">
        <f t="shared" si="6"/>
        <v>-181.87168400000002</v>
      </c>
      <c r="Y21" s="45">
        <f>+[4]군산!$Q$85</f>
        <v>111798.26875000002</v>
      </c>
      <c r="Z21" s="46">
        <f>+[4]군산!$R$85</f>
        <v>110265.30369665993</v>
      </c>
      <c r="AA21" s="50">
        <f>+[5]군산!$Q$85</f>
        <v>116414.49459631278</v>
      </c>
      <c r="AB21" s="51">
        <f>+[4]군산!$Q$89</f>
        <v>72435.635433386909</v>
      </c>
      <c r="AC21" s="46">
        <f>+[4]군산!$R$89</f>
        <v>72207.09008902077</v>
      </c>
      <c r="AD21" s="52">
        <f>+[5]군산!$Q$89</f>
        <v>72940.627844882387</v>
      </c>
      <c r="AE21" s="51">
        <f t="shared" si="7"/>
        <v>39362.633316613108</v>
      </c>
      <c r="AF21" s="46">
        <f t="shared" si="8"/>
        <v>38058.213607639162</v>
      </c>
      <c r="AG21" s="52">
        <f t="shared" si="9"/>
        <v>43473.866751430396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+IFERROR(HLOOKUP($B22,'[1]9월'!$D$6:$BN$259,2,),)/1000</f>
        <v>6</v>
      </c>
      <c r="K22" s="46">
        <f>+IFERROR(HLOOKUP($B22,'[2]9월'!$F$6:$CP$99,2,),)/1000</f>
        <v>3.3584999999999998</v>
      </c>
      <c r="L22" s="47">
        <f t="shared" si="0"/>
        <v>-2.6415000000000002</v>
      </c>
      <c r="M22" s="48">
        <f>+IFERROR(HLOOKUP($B22,'[3]9월'!$F$6:$CC$57,2,),)/1000</f>
        <v>5.359</v>
      </c>
      <c r="N22" s="49">
        <f t="shared" si="2"/>
        <v>-2.0005000000000002</v>
      </c>
      <c r="O22" s="45">
        <f>+IFERROR(HLOOKUP($B22,'[1]9월'!$D$6:$BN$259,3,),)/1000</f>
        <v>672</v>
      </c>
      <c r="P22" s="46">
        <f>+IFERROR(HLOOKUP($B22,'[2]9월'!$F$6:$CP$99,3,),)/1000</f>
        <v>376.37214500000005</v>
      </c>
      <c r="Q22" s="47">
        <f t="shared" si="3"/>
        <v>-295.62785499999995</v>
      </c>
      <c r="R22" s="48">
        <f>+IFERROR(HLOOKUP($B22,'[3]9월'!$F$6:$CC$57,3,),)/1000</f>
        <v>606.96100000000001</v>
      </c>
      <c r="S22" s="49">
        <f t="shared" si="4"/>
        <v>-230.58885499999997</v>
      </c>
      <c r="T22" s="45">
        <f>+IFERROR(HLOOKUP($B22,'[1]9월'!$D$6:$BN$259,16,),)/1000</f>
        <v>128.61965173588288</v>
      </c>
      <c r="U22" s="46">
        <f>+IFERROR(HLOOKUP($B22,'[2]9월'!$F$6:$CP$99,16,),)/1000</f>
        <v>32.57209600000003</v>
      </c>
      <c r="V22" s="47">
        <f t="shared" si="5"/>
        <v>-96.047555735882852</v>
      </c>
      <c r="W22" s="48">
        <f>+IFERROR(HLOOKUP($B22,'[3]9월'!$F$6:$CC$57,16,),)/1000</f>
        <v>107.13870299999999</v>
      </c>
      <c r="X22" s="49">
        <f t="shared" si="6"/>
        <v>-74.566606999999962</v>
      </c>
      <c r="Y22" s="45">
        <f>+[4]원주!$Q$85</f>
        <v>112000</v>
      </c>
      <c r="Z22" s="46">
        <f>+[4]원주!$R$85</f>
        <v>112065.54860800953</v>
      </c>
      <c r="AA22" s="50">
        <f>+[5]원주!$Q$85</f>
        <v>113260.12315730547</v>
      </c>
      <c r="AB22" s="51">
        <f>+[4]원주!$Q$89</f>
        <v>73072.219679743255</v>
      </c>
      <c r="AC22" s="46">
        <f>+[4]원주!$R$89</f>
        <v>71797.687360428768</v>
      </c>
      <c r="AD22" s="52">
        <f>+[5]원주!$Q$89</f>
        <v>73534.47658145176</v>
      </c>
      <c r="AE22" s="51">
        <f t="shared" si="7"/>
        <v>38927.780320256745</v>
      </c>
      <c r="AF22" s="46">
        <f t="shared" si="8"/>
        <v>40267.86124758076</v>
      </c>
      <c r="AG22" s="52">
        <f t="shared" si="9"/>
        <v>39725.646575853709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-49.658999999999992</v>
      </c>
      <c r="G23" s="334" t="str">
        <f t="shared" si="1"/>
        <v>제주</v>
      </c>
      <c r="H23" s="74"/>
      <c r="I23" s="75" t="s">
        <v>75</v>
      </c>
      <c r="J23" s="45">
        <f>+IFERROR(HLOOKUP($B23,'[1]9월'!$D$6:$BN$259,2,),)/1000</f>
        <v>9</v>
      </c>
      <c r="K23" s="46">
        <f>+IFERROR(HLOOKUP($B23,'[2]9월'!$F$6:$CP$99,2,),)/1000</f>
        <v>4.7939999999999996</v>
      </c>
      <c r="L23" s="47">
        <f t="shared" si="0"/>
        <v>-4.2060000000000004</v>
      </c>
      <c r="M23" s="48">
        <f>+IFERROR(HLOOKUP($B23,'[3]9월'!$F$6:$CC$57,2,),)/1000</f>
        <v>2.1084999999999998</v>
      </c>
      <c r="N23" s="49">
        <f t="shared" si="2"/>
        <v>2.6854999999999998</v>
      </c>
      <c r="O23" s="45">
        <f>+IFERROR(HLOOKUP($B23,'[1]9월'!$D$6:$BN$259,3,),)/1000</f>
        <v>1106.96</v>
      </c>
      <c r="P23" s="46">
        <f>+IFERROR(HLOOKUP($B23,'[2]9월'!$F$6:$CP$99,3,),)/1000</f>
        <v>607.31896800000004</v>
      </c>
      <c r="Q23" s="47">
        <f t="shared" si="3"/>
        <v>-499.641032</v>
      </c>
      <c r="R23" s="48">
        <f>+IFERROR(HLOOKUP($B23,'[3]9월'!$F$6:$CC$57,3,),)/1000</f>
        <v>245.49821799999998</v>
      </c>
      <c r="S23" s="49">
        <f t="shared" si="4"/>
        <v>361.82075000000009</v>
      </c>
      <c r="T23" s="45">
        <f>+IFERROR(HLOOKUP($B23,'[1]9월'!$D$6:$BN$259,16,),)/1000</f>
        <v>190.51152269973417</v>
      </c>
      <c r="U23" s="46">
        <f>+IFERROR(HLOOKUP($B23,'[2]9월'!$F$6:$CP$99,16,),)/1000</f>
        <v>35.677638999999985</v>
      </c>
      <c r="V23" s="47">
        <f t="shared" si="5"/>
        <v>-154.8338836997342</v>
      </c>
      <c r="W23" s="48">
        <f>+IFERROR(HLOOKUP($B23,'[3]9월'!$F$6:$CC$57,16,),)/1000</f>
        <v>-40.681329000000026</v>
      </c>
      <c r="X23" s="49">
        <f t="shared" si="6"/>
        <v>76.358968000000004</v>
      </c>
      <c r="Y23" s="45">
        <f>+[4]제주!$Q$85</f>
        <v>122995.55555555556</v>
      </c>
      <c r="Z23" s="46">
        <f>+[4]제주!$R$85</f>
        <v>126594.92720306512</v>
      </c>
      <c r="AA23" s="50">
        <f>+[5]제주!$Q$85</f>
        <v>116432.63836850841</v>
      </c>
      <c r="AB23" s="51">
        <f>+[4]제주!$Q$89</f>
        <v>91386.195631139082</v>
      </c>
      <c r="AC23" s="46">
        <f>+[4]제주!$R$89</f>
        <v>96807.173903833929</v>
      </c>
      <c r="AD23" s="52">
        <f>+[5]제주!$Q$89</f>
        <v>86083.47498221483</v>
      </c>
      <c r="AE23" s="51">
        <f t="shared" si="7"/>
        <v>31609.35992441648</v>
      </c>
      <c r="AF23" s="46">
        <f t="shared" si="8"/>
        <v>29787.75329923119</v>
      </c>
      <c r="AG23" s="52">
        <f t="shared" si="9"/>
        <v>30349.163386293585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0.78675221238938053</v>
      </c>
      <c r="G24" s="337" t="str">
        <f t="shared" si="1"/>
        <v>수도권</v>
      </c>
      <c r="H24" s="74"/>
      <c r="I24" s="78" t="s">
        <v>42</v>
      </c>
      <c r="J24" s="22">
        <f>SUM(J7:J10)</f>
        <v>113</v>
      </c>
      <c r="K24" s="19">
        <f>SUM(K7:K10)</f>
        <v>88.903000000000006</v>
      </c>
      <c r="L24" s="20">
        <f t="shared" si="0"/>
        <v>-24.096999999999994</v>
      </c>
      <c r="M24" s="24">
        <f>SUM(M7:M10)</f>
        <v>75.634799999999998</v>
      </c>
      <c r="N24" s="21">
        <f t="shared" si="2"/>
        <v>13.268200000000007</v>
      </c>
      <c r="O24" s="22">
        <f>SUM(O7:O10)</f>
        <v>11317.643069958081</v>
      </c>
      <c r="P24" s="19">
        <f>SUM(P7:P10)</f>
        <v>8516.0125320000006</v>
      </c>
      <c r="Q24" s="20">
        <f t="shared" si="3"/>
        <v>-2801.6305379580808</v>
      </c>
      <c r="R24" s="24">
        <f>SUM(R7:R10)</f>
        <v>7393.0980060000002</v>
      </c>
      <c r="S24" s="21">
        <f t="shared" si="4"/>
        <v>1122.9145260000005</v>
      </c>
      <c r="T24" s="22">
        <f>SUM(T7:T10)</f>
        <v>1155.2460981348211</v>
      </c>
      <c r="U24" s="19">
        <f>SUM(U7:U10)</f>
        <v>63.243236999999993</v>
      </c>
      <c r="V24" s="20">
        <f t="shared" si="5"/>
        <v>-1092.0028611348212</v>
      </c>
      <c r="W24" s="24">
        <f>SUM(W7:W10)</f>
        <v>268.92704800000007</v>
      </c>
      <c r="X24" s="21">
        <f t="shared" si="6"/>
        <v>-205.68381100000008</v>
      </c>
      <c r="Y24" s="22">
        <f>+[4]수도권!$Q$85</f>
        <v>100156.13336246088</v>
      </c>
      <c r="Z24" s="19">
        <f>+[4]수도권!$R$85</f>
        <v>95819.565702643042</v>
      </c>
      <c r="AA24" s="23">
        <f>+[5]수도권!$Q$85</f>
        <v>97749.491475587041</v>
      </c>
      <c r="AB24" s="28">
        <f>+[4]수도권!$Q$89</f>
        <v>80885.883428090732</v>
      </c>
      <c r="AC24" s="19">
        <f>+[4]수도권!$R$89</f>
        <v>82395.262911488302</v>
      </c>
      <c r="AD24" s="29">
        <f>+[5]수도권!$Q$89</f>
        <v>79479.89152119041</v>
      </c>
      <c r="AE24" s="28">
        <f t="shared" si="7"/>
        <v>19270.249934370149</v>
      </c>
      <c r="AF24" s="19">
        <f t="shared" si="8"/>
        <v>13424.30279115474</v>
      </c>
      <c r="AG24" s="29">
        <f t="shared" si="9"/>
        <v>18269.599954396632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0.87595238095238104</v>
      </c>
      <c r="G25" s="334" t="str">
        <f t="shared" si="1"/>
        <v>영남권</v>
      </c>
      <c r="H25" s="74"/>
      <c r="I25" s="78" t="s">
        <v>43</v>
      </c>
      <c r="J25" s="22">
        <f>SUM(J11:J18)</f>
        <v>126</v>
      </c>
      <c r="K25" s="19">
        <f>SUM(K11:K18)</f>
        <v>110.37</v>
      </c>
      <c r="L25" s="20">
        <f t="shared" si="0"/>
        <v>-15.629999999999995</v>
      </c>
      <c r="M25" s="24">
        <f>SUM(M11:M18)</f>
        <v>111.84400000000001</v>
      </c>
      <c r="N25" s="21">
        <f t="shared" si="2"/>
        <v>-1.4740000000000038</v>
      </c>
      <c r="O25" s="22">
        <f>SUM(O11:O18)</f>
        <v>12692.821005124522</v>
      </c>
      <c r="P25" s="19">
        <f>SUM(P11:P18)</f>
        <v>10862.521277</v>
      </c>
      <c r="Q25" s="20">
        <f t="shared" si="3"/>
        <v>-1830.2997281245225</v>
      </c>
      <c r="R25" s="24">
        <f>SUM(R11:R18)</f>
        <v>11134.043100000001</v>
      </c>
      <c r="S25" s="21">
        <f t="shared" si="4"/>
        <v>-271.52182300000095</v>
      </c>
      <c r="T25" s="22">
        <f>SUM(T11:T18)</f>
        <v>1271.9598246424691</v>
      </c>
      <c r="U25" s="19">
        <f>SUM(U11:U18)</f>
        <v>522.80345999999986</v>
      </c>
      <c r="V25" s="20">
        <f t="shared" si="5"/>
        <v>-749.15636464246927</v>
      </c>
      <c r="W25" s="24">
        <f>SUM(W11:W18)</f>
        <v>790.68247000000031</v>
      </c>
      <c r="X25" s="21">
        <f t="shared" si="6"/>
        <v>-267.87901000000045</v>
      </c>
      <c r="Y25" s="22">
        <f>+[4]영남권!$Q$85</f>
        <v>100736.67464384541</v>
      </c>
      <c r="Z25" s="19">
        <f>+[4]영남권!$R$85</f>
        <v>98462.66845790144</v>
      </c>
      <c r="AA25" s="23">
        <f>+[5]영남권!$Q$85</f>
        <v>99624.761690242362</v>
      </c>
      <c r="AB25" s="28">
        <f>+[4]영남권!$Q$89</f>
        <v>78881.308036851697</v>
      </c>
      <c r="AC25" s="19">
        <f>+[4]영남권!$R$89</f>
        <v>79337.908179194419</v>
      </c>
      <c r="AD25" s="29">
        <f>+[5]영남권!$Q$89</f>
        <v>77483.836889347993</v>
      </c>
      <c r="AE25" s="28">
        <f t="shared" si="7"/>
        <v>21855.366606993717</v>
      </c>
      <c r="AF25" s="19">
        <f t="shared" si="8"/>
        <v>19124.760278707021</v>
      </c>
      <c r="AG25" s="29">
        <f t="shared" si="9"/>
        <v>22140.924800894369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0.83718032786885233</v>
      </c>
      <c r="G26" s="334" t="str">
        <f t="shared" si="1"/>
        <v>중부권</v>
      </c>
      <c r="H26" s="74"/>
      <c r="I26" s="78" t="s">
        <v>107</v>
      </c>
      <c r="J26" s="22">
        <f>SUM(J19:J23)</f>
        <v>61</v>
      </c>
      <c r="K26" s="19">
        <f>SUM(K19:K23)</f>
        <v>51.067999999999991</v>
      </c>
      <c r="L26" s="20">
        <f t="shared" si="0"/>
        <v>-9.9320000000000093</v>
      </c>
      <c r="M26" s="24">
        <f>SUM(M19:M23)</f>
        <v>48.805500000000002</v>
      </c>
      <c r="N26" s="21">
        <f t="shared" si="2"/>
        <v>2.2624999999999886</v>
      </c>
      <c r="O26" s="22">
        <f>SUM(O19:O23)</f>
        <v>6560.0532466000004</v>
      </c>
      <c r="P26" s="19">
        <f>SUM(P19:P23)</f>
        <v>5149.3839239999998</v>
      </c>
      <c r="Q26" s="20">
        <f t="shared" si="3"/>
        <v>-1410.6693226000007</v>
      </c>
      <c r="R26" s="24">
        <f>SUM(R19:R23)</f>
        <v>5092.2315739999995</v>
      </c>
      <c r="S26" s="21">
        <f t="shared" si="4"/>
        <v>57.152350000000297</v>
      </c>
      <c r="T26" s="22">
        <f>SUM(T19:T23)</f>
        <v>1127.4215563556183</v>
      </c>
      <c r="U26" s="19">
        <f>SUM(U19:U23)</f>
        <v>392.64542099999994</v>
      </c>
      <c r="V26" s="20">
        <f t="shared" si="5"/>
        <v>-734.77613535561841</v>
      </c>
      <c r="W26" s="24">
        <f>SUM(W19:W23)</f>
        <v>673.12587199999973</v>
      </c>
      <c r="X26" s="21">
        <f t="shared" si="6"/>
        <v>-280.48045099999979</v>
      </c>
      <c r="Y26" s="22">
        <f>+[4]중부권!$Q$85</f>
        <v>107541.85650163934</v>
      </c>
      <c r="Z26" s="19">
        <f>+[4]중부권!$R$85</f>
        <v>100727.81260338718</v>
      </c>
      <c r="AA26" s="23">
        <f>+[5]중부권!$Q$85</f>
        <v>104305.45775307498</v>
      </c>
      <c r="AB26" s="28">
        <f>+[4]중부권!$Q$89</f>
        <v>77790.695700529162</v>
      </c>
      <c r="AC26" s="19">
        <f>+[4]중부권!$R$89</f>
        <v>78864.58112918133</v>
      </c>
      <c r="AD26" s="29">
        <f>+[5]중부권!$Q$89</f>
        <v>75226.18726291442</v>
      </c>
      <c r="AE26" s="28">
        <f t="shared" si="7"/>
        <v>29751.160801110178</v>
      </c>
      <c r="AF26" s="19">
        <f t="shared" si="8"/>
        <v>21863.231474205852</v>
      </c>
      <c r="AG26" s="29">
        <f t="shared" si="9"/>
        <v>29079.270490160561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1.0594906221022726</v>
      </c>
      <c r="G27" s="336">
        <f>+K27/J27</f>
        <v>0.83447000000000005</v>
      </c>
      <c r="H27" s="267" t="s">
        <v>94</v>
      </c>
      <c r="I27" s="268"/>
      <c r="J27" s="269">
        <f>SUM(J24:J26)</f>
        <v>300</v>
      </c>
      <c r="K27" s="270">
        <f>SUM(K24:K26)</f>
        <v>250.34100000000001</v>
      </c>
      <c r="L27" s="271">
        <f t="shared" ref="L27:L32" si="10">+K27-J27</f>
        <v>-49.658999999999992</v>
      </c>
      <c r="M27" s="272">
        <f>SUM(M24:M26)</f>
        <v>236.2843</v>
      </c>
      <c r="N27" s="273">
        <f t="shared" ref="N27:N32" si="11">+K27-M27</f>
        <v>14.056700000000006</v>
      </c>
      <c r="O27" s="269">
        <f>SUM(O24:O26)</f>
        <v>30570.517321682604</v>
      </c>
      <c r="P27" s="270">
        <f>SUM(P24:P26)</f>
        <v>24527.917733000002</v>
      </c>
      <c r="Q27" s="271">
        <f t="shared" ref="Q27:Q43" si="12">+P27-O27</f>
        <v>-6042.5995886826022</v>
      </c>
      <c r="R27" s="272">
        <f>SUM(R24:R26)</f>
        <v>23619.37268</v>
      </c>
      <c r="S27" s="273">
        <f t="shared" ref="S27:S34" si="13">+P27-R27</f>
        <v>908.54505300000164</v>
      </c>
      <c r="T27" s="269">
        <f>SUM(T24:T26)</f>
        <v>3554.6274791329088</v>
      </c>
      <c r="U27" s="270">
        <f>SUM(U24:U26)</f>
        <v>978.69211799999982</v>
      </c>
      <c r="V27" s="271">
        <f t="shared" ref="V27:V32" si="14">+U27-T27</f>
        <v>-2575.9353611329088</v>
      </c>
      <c r="W27" s="272">
        <f>SUM(W24:W26)</f>
        <v>1732.7353900000003</v>
      </c>
      <c r="X27" s="273">
        <f t="shared" ref="X27:X32" si="15">+U27-W27</f>
        <v>-754.04327200000046</v>
      </c>
      <c r="Y27" s="269">
        <f>+[4]합계!$Q$85</f>
        <v>101901.72440560866</v>
      </c>
      <c r="Z27" s="270">
        <f>+[4]합계!$R$85</f>
        <v>97987.042142871491</v>
      </c>
      <c r="AA27" s="274">
        <f>+[5]합계!$Q$85</f>
        <v>99989.728432119533</v>
      </c>
      <c r="AB27" s="275">
        <f>+[4]합계!$Q$89</f>
        <v>79414.606925832821</v>
      </c>
      <c r="AC27" s="270">
        <f>+[4]합계!$R$89</f>
        <v>80325.19148407373</v>
      </c>
      <c r="AD27" s="276">
        <f>+[5]합계!$Q$89</f>
        <v>77657.504395917087</v>
      </c>
      <c r="AE27" s="275">
        <f t="shared" si="7"/>
        <v>22487.117479775843</v>
      </c>
      <c r="AF27" s="270">
        <f t="shared" si="8"/>
        <v>17661.850658797761</v>
      </c>
      <c r="AG27" s="276">
        <f t="shared" si="9"/>
        <v>22332.224036202446</v>
      </c>
      <c r="AH27" s="26"/>
      <c r="AI27" s="493">
        <f>+AF27-AE27</f>
        <v>-4825.2668209780823</v>
      </c>
      <c r="AJ27" s="494">
        <f>+AF27-AG27</f>
        <v>-4670.373377404685</v>
      </c>
      <c r="AK27" s="488"/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646" t="s">
        <v>48</v>
      </c>
      <c r="I28" s="647"/>
      <c r="J28" s="153">
        <f>+IFERROR(HLOOKUP($B28,'[1]9월'!$D$6:$BN$259,2,),)</f>
        <v>12600</v>
      </c>
      <c r="K28" s="154">
        <f>+IFERROR(HLOOKUP($E28,'[2]9월'!$F$6:$CP$99,2,),)</f>
        <v>7943.9050000000007</v>
      </c>
      <c r="L28" s="155">
        <f>+K28-J28</f>
        <v>-4656.0949999999993</v>
      </c>
      <c r="M28" s="156">
        <f>+IFERROR(HLOOKUP($E28,'[3]9월'!$F$6:$CC$57,2,),)</f>
        <v>7354.6280000000006</v>
      </c>
      <c r="N28" s="157">
        <f>+K28-M28</f>
        <v>589.27700000000004</v>
      </c>
      <c r="O28" s="153">
        <f>+IFERROR(HLOOKUP($B28,'[1]9월'!$D$6:$BN$259,3,),)/1000</f>
        <v>13712.918880000001</v>
      </c>
      <c r="P28" s="154">
        <f>+IFERROR(HLOOKUP($E28,'[2]9월'!$F$6:$CP$99,3,),)/1000</f>
        <v>7610.2077719999997</v>
      </c>
      <c r="Q28" s="155">
        <f>+P28-O28</f>
        <v>-6102.7111080000013</v>
      </c>
      <c r="R28" s="156">
        <f>+IFERROR(HLOOKUP($E28,'[3]9월'!$F$6:$CC$57,3,),)/1000</f>
        <v>7720.8258609999993</v>
      </c>
      <c r="S28" s="157">
        <f t="shared" si="13"/>
        <v>-110.6180889999996</v>
      </c>
      <c r="T28" s="153">
        <f>+IFERROR(HLOOKUP($B28,'[1]9월'!$D$6:$BN$259,16,),)/1000</f>
        <v>224.34542280815828</v>
      </c>
      <c r="U28" s="154">
        <f>+IFERROR(HLOOKUP($E28,'[2]9월'!$F$6:$CP$99,16,),)/1000</f>
        <v>13.672640000000486</v>
      </c>
      <c r="V28" s="155">
        <f t="shared" si="14"/>
        <v>-210.67278280815779</v>
      </c>
      <c r="W28" s="156">
        <f>+IFERROR(HLOOKUP($E28,'[3]9월'!$F$6:$CC$57,16,),)/1000</f>
        <v>-15.579202000000357</v>
      </c>
      <c r="X28" s="157">
        <f t="shared" si="15"/>
        <v>29.251842000000842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84"/>
      <c r="AK28" s="488"/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+IFERROR(HLOOKUP($B29,'[1]9월'!$D$6:$BN$259,2,),)/1000</f>
        <v>22.823312596588259</v>
      </c>
      <c r="K29" s="56">
        <f>+IFERROR(HLOOKUP($C29,'[2]9월'!$F$6:$CP$99,2,),)/1000</f>
        <v>25.943999999999999</v>
      </c>
      <c r="L29" s="37">
        <f t="shared" si="10"/>
        <v>3.1206874034117398</v>
      </c>
      <c r="M29" s="37">
        <f>+IFERROR(HLOOKUP($C29,'[3]9월'!$F$6:$CC$57,2,),)/1000</f>
        <v>9.1430000000000007</v>
      </c>
      <c r="N29" s="57">
        <f t="shared" si="11"/>
        <v>16.800999999999998</v>
      </c>
      <c r="O29" s="55">
        <f>+IFERROR(HLOOKUP($B29,'[1]9월'!$D$6:$BN$259,3,),)/1000</f>
        <v>619.85595548332287</v>
      </c>
      <c r="P29" s="56">
        <f>+IFERROR(HLOOKUP($C29,'[2]9월'!$F$6:$CP$99,3,),)/1000</f>
        <v>725.697</v>
      </c>
      <c r="Q29" s="37">
        <f t="shared" si="12"/>
        <v>105.84104451667713</v>
      </c>
      <c r="R29" s="37">
        <f>+IFERROR(HLOOKUP($C29,'[3]9월'!$F$6:$CC$57,3,),)/1000</f>
        <v>251.0855</v>
      </c>
      <c r="S29" s="57">
        <f t="shared" si="13"/>
        <v>474.61149999999998</v>
      </c>
      <c r="T29" s="55">
        <f>+IFERROR(HLOOKUP($B29,'[1]9월'!$D$6:$BN$259,21,),)/1000</f>
        <v>59.1259041948611</v>
      </c>
      <c r="U29" s="56">
        <f>+IFERROR(HLOOKUP($C29,'[2]9월'!$F$6:$CP$99,21,),)/1000</f>
        <v>13.892938797224826</v>
      </c>
      <c r="V29" s="37">
        <f t="shared" si="14"/>
        <v>-45.232965397636278</v>
      </c>
      <c r="W29" s="37">
        <f>+IFERROR(HLOOKUP($C29,'[3]9월'!$F$6:$CC$57,21,),)/1000</f>
        <v>-3.6659721609149383</v>
      </c>
      <c r="X29" s="57">
        <f t="shared" si="15"/>
        <v>17.558910958139762</v>
      </c>
      <c r="Y29" s="496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84"/>
      <c r="AK29" s="488"/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124</v>
      </c>
      <c r="J30" s="53">
        <f>+IFERROR(HLOOKUP($B30,'[1]9월'!$D$6:$BN$259,2,),)/1000</f>
        <v>43.768423655913985</v>
      </c>
      <c r="K30" s="58">
        <f>+IFERROR(HLOOKUP($C30,'[2]9월'!$F$6:$CP$99,2,),)/1000</f>
        <v>34.027999999999999</v>
      </c>
      <c r="L30" s="47">
        <f t="shared" si="10"/>
        <v>-9.7404236559139861</v>
      </c>
      <c r="M30" s="47">
        <f>+IFERROR(HLOOKUP($C30,'[3]9월'!$F$6:$CC$57,2,),)/1000</f>
        <v>1.05</v>
      </c>
      <c r="N30" s="59">
        <f t="shared" si="11"/>
        <v>32.978000000000002</v>
      </c>
      <c r="O30" s="53">
        <f>+IFERROR(HLOOKUP($B30,'[1]9월'!$D$6:$BN$259,3,),)/1000</f>
        <v>649.34917849462363</v>
      </c>
      <c r="P30" s="58">
        <f>+IFERROR(HLOOKUP($C30,'[2]9월'!$F$6:$CP$99,3,),)/1000</f>
        <v>417.92</v>
      </c>
      <c r="Q30" s="47">
        <f t="shared" si="12"/>
        <v>-231.42917849462361</v>
      </c>
      <c r="R30" s="47">
        <f>+IFERROR(HLOOKUP($C30,'[3]9월'!$F$6:$CC$57,3,),)/1000</f>
        <v>12.074999999999999</v>
      </c>
      <c r="S30" s="59">
        <f t="shared" si="13"/>
        <v>405.84500000000003</v>
      </c>
      <c r="T30" s="53">
        <f>+IFERROR(HLOOKUP($B30,'[1]9월'!$D$6:$BN$259,21,),)/1000</f>
        <v>117.93603768596832</v>
      </c>
      <c r="U30" s="58">
        <f>+IFERROR(HLOOKUP($C30,'[2]9월'!$F$6:$CP$99,21,),)/1000</f>
        <v>93.731073596120666</v>
      </c>
      <c r="V30" s="47">
        <f t="shared" si="14"/>
        <v>-24.20496408984765</v>
      </c>
      <c r="W30" s="47">
        <f>+IFERROR(HLOOKUP($C30,'[3]9월'!$F$6:$CC$57,21,),)/1000</f>
        <v>-87.578777424164457</v>
      </c>
      <c r="X30" s="59">
        <f t="shared" si="15"/>
        <v>181.30985102028512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125</v>
      </c>
      <c r="J31" s="53">
        <f>+IFERROR(HLOOKUP($B31,'[1]9월'!$D$6:$BN$259,2,),)/1000</f>
        <v>38.403928399999998</v>
      </c>
      <c r="K31" s="58">
        <f>+IFERROR(HLOOKUP($C31,'[2]9월'!$F$6:$CP$99,2,),)/1000</f>
        <v>14.301</v>
      </c>
      <c r="L31" s="47">
        <f t="shared" si="10"/>
        <v>-24.102928399999996</v>
      </c>
      <c r="M31" s="47">
        <f>+IFERROR(HLOOKUP($C31,'[3]9월'!$F$6:$CC$57,2,),)/1000</f>
        <v>36.758000000000003</v>
      </c>
      <c r="N31" s="59">
        <f t="shared" si="11"/>
        <v>-22.457000000000001</v>
      </c>
      <c r="O31" s="53">
        <f>+IFERROR(HLOOKUP($B31,'[1]9월'!$D$6:$BN$259,3,),)/1000</f>
        <v>654.28494799999999</v>
      </c>
      <c r="P31" s="58">
        <f>+IFERROR(HLOOKUP($C31,'[2]9월'!$F$6:$CP$99,3,),)/1000</f>
        <v>291.14749999999998</v>
      </c>
      <c r="Q31" s="47">
        <f t="shared" si="12"/>
        <v>-363.13744800000001</v>
      </c>
      <c r="R31" s="47">
        <f>+IFERROR(HLOOKUP($C31,'[3]9월'!$F$6:$CC$57,3,),)/1000</f>
        <v>622.58500000000004</v>
      </c>
      <c r="S31" s="59">
        <f t="shared" si="13"/>
        <v>-331.43750000000006</v>
      </c>
      <c r="T31" s="53">
        <f>+IFERROR(HLOOKUP($B31,'[1]9월'!$D$6:$BN$259,21,),)/1000</f>
        <v>41.567804585228011</v>
      </c>
      <c r="U31" s="58">
        <f>+IFERROR(HLOOKUP($C31,'[2]9월'!$F$6:$CP$99,21,),)/1000</f>
        <v>-98.421121440000036</v>
      </c>
      <c r="V31" s="47">
        <f t="shared" si="14"/>
        <v>-139.98892602522804</v>
      </c>
      <c r="W31" s="47">
        <f>+IFERROR(HLOOKUP($C31,'[3]9월'!$F$6:$CC$57,21,),)/1000</f>
        <v>-221.73574761</v>
      </c>
      <c r="X31" s="59">
        <f t="shared" si="15"/>
        <v>123.31462616999997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85"/>
      <c r="AK31" s="488"/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104.99566465250224</v>
      </c>
      <c r="K32" s="140">
        <f>SUM(K29:K31)</f>
        <v>74.272999999999996</v>
      </c>
      <c r="L32" s="138">
        <f t="shared" si="10"/>
        <v>-30.722664652502246</v>
      </c>
      <c r="M32" s="138">
        <f>SUM(M29:M31)</f>
        <v>46.951000000000008</v>
      </c>
      <c r="N32" s="139">
        <f t="shared" si="11"/>
        <v>27.321999999999989</v>
      </c>
      <c r="O32" s="136">
        <f>SUM(O29:O31)</f>
        <v>1923.4900819779464</v>
      </c>
      <c r="P32" s="140">
        <f>SUM(P29:P31)</f>
        <v>1434.7645</v>
      </c>
      <c r="Q32" s="138">
        <f t="shared" si="12"/>
        <v>-488.72558197794638</v>
      </c>
      <c r="R32" s="138">
        <f>SUM(R29:R31)</f>
        <v>885.74549999999999</v>
      </c>
      <c r="S32" s="139">
        <f t="shared" si="13"/>
        <v>549.01900000000001</v>
      </c>
      <c r="T32" s="136">
        <f>SUM(T29:T31)</f>
        <v>218.62974646605741</v>
      </c>
      <c r="U32" s="140">
        <f>SUM(U29:U31)</f>
        <v>9.2028909533454595</v>
      </c>
      <c r="V32" s="138">
        <f t="shared" si="14"/>
        <v>-209.42685551271194</v>
      </c>
      <c r="W32" s="138">
        <f>SUM(W29:W31)</f>
        <v>-312.98049719507941</v>
      </c>
      <c r="X32" s="139">
        <f t="shared" si="15"/>
        <v>322.18338814842485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86"/>
      <c r="AK32" s="484"/>
      <c r="AL32" s="489"/>
      <c r="AM32" s="486"/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(IFERROR(HLOOKUP($B33,'[1]9월'!$D$6:$BN$259,3,),)++IFERROR(HLOOKUP($C33,'[1]9월'!$D$6:$BN$259,3,),)+IFERROR(HLOOKUP($D33,'[1]9월'!$D$6:$BN$259,3,),))/1000</f>
        <v>66.666666666666671</v>
      </c>
      <c r="P33" s="46">
        <f>+IFERROR(HLOOKUP($E33,'[2]9월'!$F$6:$CP$99,3,),)/1000</f>
        <v>43.34</v>
      </c>
      <c r="Q33" s="48">
        <f t="shared" si="12"/>
        <v>-23.326666666666668</v>
      </c>
      <c r="R33" s="47">
        <f>+IFERROR(HLOOKUP($E33,'[3]9월'!$F$6:$CC$57,3,),)/1000</f>
        <v>90.84</v>
      </c>
      <c r="S33" s="59">
        <f t="shared" si="13"/>
        <v>-47.5</v>
      </c>
      <c r="T33" s="45">
        <f>(IFERROR(HLOOKUP($B33,'[1]9월'!$D$6:$BN$259,21,),)++IFERROR(HLOOKUP($C33,'[1]9월'!$D$6:$BN$259,21,),)+IFERROR(HLOOKUP($D33,'[1]9월'!$D$6:$BN$259,21,),))/1000</f>
        <v>51.473203666666663</v>
      </c>
      <c r="U33" s="46">
        <f>+IFERROR(HLOOKUP($E33,'[2]9월'!$F$6:$CP$99,16,),)/1000</f>
        <v>25.888620000000003</v>
      </c>
      <c r="V33" s="48">
        <f t="shared" ref="V33:V39" si="16">+U33-T33</f>
        <v>-25.58458366666666</v>
      </c>
      <c r="W33" s="47">
        <f>+IFERROR(HLOOKUP($E33,'[3]9월'!$F$6:$CC$57,16,),)/1000</f>
        <v>76.004227</v>
      </c>
      <c r="X33" s="59">
        <f t="shared" ref="X33:X41" si="17">+U33-W33</f>
        <v>-50.115606999999997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9">+K34-M34</f>
        <v>0</v>
      </c>
      <c r="O34" s="45">
        <f>(+IFERROR(HLOOKUP($B34,'[1]9월'!$D$6:$BN$259,3,),)+IFERROR(HLOOKUP($C34,'[1]9월'!$D$6:$BN$259,3,),))/1000</f>
        <v>74.091499999999996</v>
      </c>
      <c r="P34" s="46">
        <f>+IFERROR(HLOOKUP($E34,'[2]9월'!$F$6:$CP$99,3,),)/1000</f>
        <v>73.807425000000009</v>
      </c>
      <c r="Q34" s="48">
        <f>+P34-O34</f>
        <v>-0.2840749999999872</v>
      </c>
      <c r="R34" s="47">
        <f>+IFERROR(HLOOKUP($E34,'[3]9월'!$F$6:$CC$57,3,),)/1000</f>
        <v>73.318180999999996</v>
      </c>
      <c r="S34" s="59">
        <f t="shared" si="13"/>
        <v>0.48924400000001356</v>
      </c>
      <c r="T34" s="45">
        <f>(+IFERROR(HLOOKUP($B34,'[1]9월'!$D$6:$BN$259,21,),)+IFERROR(HLOOKUP($C34,'[1]9월'!$D$6:$BN$259,21,),))/1000</f>
        <v>76.533943999999991</v>
      </c>
      <c r="U34" s="46">
        <f>+IFERROR(HLOOKUP($E34,'[2]9월'!$F$6:$CP$99,16,),)/1000</f>
        <v>70.267687000000009</v>
      </c>
      <c r="V34" s="48">
        <f t="shared" si="16"/>
        <v>-6.2662569999999818</v>
      </c>
      <c r="W34" s="47">
        <f>+IFERROR(HLOOKUP($E34,'[3]9월'!$F$6:$CC$57,16,),)/1000</f>
        <v>75.789990000000003</v>
      </c>
      <c r="X34" s="59">
        <f t="shared" si="17"/>
        <v>-5.5223029999999937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18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19"/>
        <v>0</v>
      </c>
      <c r="O35" s="45"/>
      <c r="P35" s="46"/>
      <c r="Q35" s="48">
        <f>+P35-O35</f>
        <v>0</v>
      </c>
      <c r="R35" s="47"/>
      <c r="S35" s="59">
        <f>+P35-R35</f>
        <v>0</v>
      </c>
      <c r="T35" s="45">
        <f>-'[1]9월'!$Z$22/1000</f>
        <v>-1279.5788617488349</v>
      </c>
      <c r="U35" s="46">
        <f>+-'[2]9월'!$Z$22/1000</f>
        <v>-1380.7742889461106</v>
      </c>
      <c r="V35" s="48">
        <f t="shared" si="16"/>
        <v>-101.19542719727565</v>
      </c>
      <c r="W35" s="47">
        <f>+-'[3]9월'!$Z$22/1000</f>
        <v>-1368.6460828075965</v>
      </c>
      <c r="X35" s="59">
        <f t="shared" si="17"/>
        <v>-12.128206138514088</v>
      </c>
      <c r="Y35" s="479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9"/>
        <v>0</v>
      </c>
      <c r="O36" s="45"/>
      <c r="P36" s="46"/>
      <c r="Q36" s="48">
        <f>+P36-O36</f>
        <v>0</v>
      </c>
      <c r="R36" s="47"/>
      <c r="S36" s="59">
        <f>+P36-R36</f>
        <v>0</v>
      </c>
      <c r="T36" s="45"/>
      <c r="U36" s="46">
        <f>'[2]9월'!$BD$26/1000</f>
        <v>0</v>
      </c>
      <c r="V36" s="48">
        <f t="shared" si="16"/>
        <v>0</v>
      </c>
      <c r="W36" s="47">
        <f>'[3]9월'!$BD$26/1000</f>
        <v>250</v>
      </c>
      <c r="X36" s="59">
        <f t="shared" si="17"/>
        <v>-250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</row>
    <row r="37" spans="2:43" s="8" customFormat="1" ht="22.5" customHeight="1" x14ac:dyDescent="0.3">
      <c r="D37"/>
      <c r="E37"/>
      <c r="F37"/>
      <c r="G37" s="334" t="str">
        <f t="shared" si="18"/>
        <v>대손</v>
      </c>
      <c r="H37" s="81"/>
      <c r="I37" s="82" t="s">
        <v>96</v>
      </c>
      <c r="J37" s="45"/>
      <c r="K37" s="46"/>
      <c r="L37" s="48"/>
      <c r="M37" s="47"/>
      <c r="N37" s="59">
        <f t="shared" si="19"/>
        <v>0</v>
      </c>
      <c r="O37" s="45"/>
      <c r="P37" s="46"/>
      <c r="Q37" s="48">
        <f>+P37-O37</f>
        <v>0</v>
      </c>
      <c r="R37" s="47"/>
      <c r="S37" s="59">
        <f>+P37-R37</f>
        <v>0</v>
      </c>
      <c r="T37" s="45"/>
      <c r="U37" s="46">
        <f>'[2]9월'!$BE$26/1000</f>
        <v>-414.29033799999996</v>
      </c>
      <c r="V37" s="48">
        <f t="shared" si="16"/>
        <v>-414.29033799999996</v>
      </c>
      <c r="W37" s="47">
        <f>'[3]9월'!$BE$26/1000</f>
        <v>401.64838199999997</v>
      </c>
      <c r="X37" s="59">
        <f t="shared" si="17"/>
        <v>-815.93871999999988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O37" s="484"/>
      <c r="AP37" s="484"/>
      <c r="AQ37" s="484"/>
    </row>
    <row r="38" spans="2:43" s="8" customFormat="1" ht="22.5" customHeight="1" x14ac:dyDescent="0.3">
      <c r="D38"/>
      <c r="E38"/>
      <c r="F38"/>
      <c r="G38" s="334" t="str">
        <f t="shared" si="1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9"/>
        <v>0</v>
      </c>
      <c r="O38" s="45"/>
      <c r="P38" s="46"/>
      <c r="Q38" s="48">
        <f>+P38-O38</f>
        <v>0</v>
      </c>
      <c r="R38" s="47">
        <f>+IFERROR(HLOOKUP($I$38,'[3]9월'!$F$6:$BJ$50,3,),)/1000</f>
        <v>0</v>
      </c>
      <c r="S38" s="59">
        <f>+P38-R38</f>
        <v>0</v>
      </c>
      <c r="T38" s="45">
        <f>SUM('[1]9월'!$AM$26:$AQ$26)/1000</f>
        <v>-0.18780899999999928</v>
      </c>
      <c r="U38" s="46">
        <f>+'[2]9월'!$BF$26/1000</f>
        <v>0.53249999999999997</v>
      </c>
      <c r="V38" s="48">
        <f t="shared" si="16"/>
        <v>0.7203089999999992</v>
      </c>
      <c r="W38" s="47">
        <f>+'[3]9월'!$BF$26/1000</f>
        <v>-3.0501649999999989</v>
      </c>
      <c r="X38" s="59">
        <f t="shared" si="17"/>
        <v>3.5826649999999987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  <c r="AL38" s="86"/>
      <c r="AQ38" s="484"/>
    </row>
    <row r="39" spans="2:43" s="8" customFormat="1" ht="22.5" customHeight="1" x14ac:dyDescent="0.3">
      <c r="B39" t="s">
        <v>30</v>
      </c>
      <c r="D39"/>
      <c r="G39" s="334" t="str">
        <f t="shared" si="18"/>
        <v>퇴직위로금</v>
      </c>
      <c r="H39" s="81"/>
      <c r="I39" s="82" t="s">
        <v>163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+'[2]9월'!$BG$26/1000</f>
        <v>0</v>
      </c>
      <c r="V39" s="48">
        <f t="shared" si="16"/>
        <v>0</v>
      </c>
      <c r="W39" s="47"/>
      <c r="X39" s="59">
        <f t="shared" si="17"/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484"/>
      <c r="AK39" s="488"/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IFERROR(HLOOKUP($B39,'[1]9월'!$D$6:$BN$259,3,),)/1000</f>
        <v>1.77</v>
      </c>
      <c r="P40" s="46">
        <f>+('[2]9월'!$F$8-SUM('[2]9월'!$Z$8,'[2]9월'!$AH$8,'[2]9월'!$AN$8,'[2]9월'!$AO$8,'[2]9월'!$BA$8,'[2]9월'!$BD$8,'[2]9월'!$BE$8,'[2]9월'!$BF$8))/1000</f>
        <v>1.6972999999970197</v>
      </c>
      <c r="Q40" s="54">
        <f>+P40-O40</f>
        <v>-7.270000000298027E-2</v>
      </c>
      <c r="R40" s="60">
        <f>+('[3]9월'!$F$8-SUM('[3]9월'!$Z$8,'[3]9월'!$AH$8,'[3]9월'!$AN$8,'[3]9월'!$AO$8,'[3]9월'!$BA$8,'[3]9월'!$BD$8,'[3]9월'!$BE$8,'[3]9월'!$BF$8))/1000</f>
        <v>1.8161999999992549</v>
      </c>
      <c r="S40" s="61">
        <f>+P40-R40</f>
        <v>-0.11890000000223511</v>
      </c>
      <c r="T40" s="45">
        <f>+('[1]9월'!$E$26-'[1]9월'!$Z$26-'[1]9월'!$AA$26-'[1]9월'!$AE$26-'[1]9월'!$AL$26-'[1]9월'!$AM$26-'[1]9월'!$AN$26-'[1]9월'!$AO$26-'[1]9월'!$AP$26-'[1]9월'!$AQ$26-'[1]9월'!$AS$26+'[1]9월'!$AS$26)/1000</f>
        <v>-75.182553999999271</v>
      </c>
      <c r="U40" s="46">
        <f>+('[2]9월'!$F$26-SUM('[2]9월'!$Z$26,'[2]9월'!$AH$26,'[2]9월'!$AN$26,'[2]9월'!$AO$26,'[2]9월'!$BA$26,'[2]9월'!$BD$26,'[2]9월'!$BE$26,'[2]9월'!$BF$26))/1000-U39</f>
        <v>-6.5889480000088225</v>
      </c>
      <c r="V40" s="48">
        <f>+U40-T40</f>
        <v>68.593605999990444</v>
      </c>
      <c r="W40" s="60">
        <f>+('[3]9월'!$F$26-SUM('[3]9월'!$Z$26,'[3]9월'!$AH$26,'[3]9월'!$AN$26,'[3]9월'!$AO$26,'[3]9월'!$BA$26,'[3]9월'!$BD$26,'[3]9월'!$BE$26,'[3]9월'!$BF$26))/1000</f>
        <v>-6.2548789999975121</v>
      </c>
      <c r="X40" s="59">
        <f t="shared" si="17"/>
        <v>-0.33406900001131046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484"/>
      <c r="AK40" s="488"/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9"/>
        <v>0</v>
      </c>
      <c r="O41" s="136">
        <f>SUM(O33:O40)</f>
        <v>142.52816666666669</v>
      </c>
      <c r="P41" s="137">
        <f>SUM(P33:P40)</f>
        <v>118.84472499999703</v>
      </c>
      <c r="Q41" s="141">
        <f t="shared" si="12"/>
        <v>-23.683441666669665</v>
      </c>
      <c r="R41" s="142">
        <f>SUM(R33:R40)</f>
        <v>165.97438099999925</v>
      </c>
      <c r="S41" s="143">
        <f>+P41-R41</f>
        <v>-47.129656000002228</v>
      </c>
      <c r="T41" s="136">
        <f>SUM(T33:T40)</f>
        <v>-1226.9420770821675</v>
      </c>
      <c r="U41" s="137">
        <f>SUM(U33:U40)</f>
        <v>-1704.9647679461193</v>
      </c>
      <c r="V41" s="141">
        <f>+U41-T41</f>
        <v>-478.02269086395177</v>
      </c>
      <c r="W41" s="142">
        <f>SUM(W33:W40)</f>
        <v>-574.50852780759385</v>
      </c>
      <c r="X41" s="143">
        <f t="shared" si="17"/>
        <v>-1130.4562401385256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86"/>
      <c r="AK41" s="488"/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484"/>
      <c r="AK42" s="488"/>
      <c r="AO42" s="484"/>
    </row>
    <row r="43" spans="2:43" s="3" customFormat="1" ht="22.5" customHeight="1" x14ac:dyDescent="0.3">
      <c r="G43" s="339">
        <f>+P43/O43</f>
        <v>0.72690682402977336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46349.454450327212</v>
      </c>
      <c r="P43" s="280">
        <f>+P27+P32+P28+P41</f>
        <v>33691.734729999996</v>
      </c>
      <c r="Q43" s="281">
        <f t="shared" si="12"/>
        <v>-12657.719720327215</v>
      </c>
      <c r="R43" s="282">
        <f>+R27+R32+R28+R41</f>
        <v>32391.918422000002</v>
      </c>
      <c r="S43" s="283">
        <f>+P43-R43</f>
        <v>1299.816307999994</v>
      </c>
      <c r="T43" s="279">
        <f>+T27+T32+T28+T41</f>
        <v>2770.6605713249569</v>
      </c>
      <c r="U43" s="280">
        <f>+U27+U32+U28+U41</f>
        <v>-703.39711899277358</v>
      </c>
      <c r="V43" s="281">
        <f>+U43-T43</f>
        <v>-3474.0576903177307</v>
      </c>
      <c r="W43" s="282">
        <f>+W27+W32+W28+W41</f>
        <v>829.66716299732673</v>
      </c>
      <c r="X43" s="283">
        <f>+U43-W43</f>
        <v>-1533.0642819901004</v>
      </c>
      <c r="Y43" s="648"/>
      <c r="Z43" s="649"/>
      <c r="AA43" s="649"/>
      <c r="AB43" s="649"/>
      <c r="AC43" s="649"/>
      <c r="AD43" s="649"/>
      <c r="AE43" s="649"/>
      <c r="AF43" s="649"/>
      <c r="AG43" s="650"/>
      <c r="AH43" s="25"/>
      <c r="AJ43" s="486"/>
      <c r="AK43" s="488"/>
      <c r="AO43" s="486"/>
    </row>
    <row r="44" spans="2:43" s="33" customFormat="1" x14ac:dyDescent="0.3">
      <c r="G44" s="336">
        <f>+U43/T43</f>
        <v>-0.25387343591366091</v>
      </c>
      <c r="P44" s="295">
        <f>+P43/O43</f>
        <v>0.72690682402977336</v>
      </c>
      <c r="R44" s="295">
        <f>+P43/R43</f>
        <v>1.0401277964171822</v>
      </c>
      <c r="T44" s="295">
        <f>+T43/O43</f>
        <v>5.9777630701010269E-2</v>
      </c>
      <c r="U44" s="295">
        <f>+U43/P43</f>
        <v>-2.0877438476519006E-2</v>
      </c>
      <c r="AC44" s="34"/>
      <c r="AF44" s="34"/>
      <c r="AJ44" s="487"/>
      <c r="AK44" s="488"/>
    </row>
    <row r="45" spans="2:43" s="33" customFormat="1" ht="17.25" thickBot="1" x14ac:dyDescent="0.35">
      <c r="G45" s="340"/>
      <c r="AC45" s="34"/>
      <c r="AF45" s="34"/>
      <c r="AJ45" s="487"/>
    </row>
    <row r="46" spans="2:43" s="33" customFormat="1" x14ac:dyDescent="0.3">
      <c r="F46" s="295">
        <f>+K28/M28</f>
        <v>1.0801232910760408</v>
      </c>
      <c r="G46" s="336">
        <f>+K28/J28</f>
        <v>0.63046865079365089</v>
      </c>
      <c r="I46" s="645" t="s">
        <v>82</v>
      </c>
      <c r="J46" s="126">
        <f>+'[1]9월'!$Z$7/1000</f>
        <v>300</v>
      </c>
      <c r="K46" s="127">
        <f>+'[2]9월'!$AI$7/1000</f>
        <v>250.34100000000001</v>
      </c>
      <c r="L46" s="127"/>
      <c r="M46" s="127">
        <f>+'[3]9월'!$Z$7/1000</f>
        <v>236.2843</v>
      </c>
      <c r="N46" s="127"/>
      <c r="O46" s="127">
        <f>+'[1]9월'!$E$8/1000</f>
        <v>46349.454450327212</v>
      </c>
      <c r="P46" s="127">
        <f>+'[2]9월'!$F$8/1000</f>
        <v>33691.734729999996</v>
      </c>
      <c r="Q46" s="127"/>
      <c r="R46" s="127">
        <f>+'[3]9월'!$F$8/1000</f>
        <v>32391.918422000002</v>
      </c>
      <c r="S46" s="127"/>
      <c r="T46" s="132">
        <f>+'[1]9월'!$E$26/1000</f>
        <v>2770.660571324951</v>
      </c>
      <c r="U46" s="127">
        <f>+'[2]9월'!$F$26/1000</f>
        <v>-703.39711899277381</v>
      </c>
      <c r="V46" s="127"/>
      <c r="W46" s="127">
        <f>+'[3]9월'!$F$26/1000</f>
        <v>829.66716299732582</v>
      </c>
      <c r="X46" s="128"/>
      <c r="AC46" s="34"/>
      <c r="AF46" s="34"/>
      <c r="AJ46" s="487"/>
    </row>
    <row r="47" spans="2:43" s="33" customFormat="1" ht="17.25" thickBot="1" x14ac:dyDescent="0.35">
      <c r="F47" s="295">
        <f>+K32/M32</f>
        <v>1.5819258375753442</v>
      </c>
      <c r="G47" s="336">
        <f>+K32/J32</f>
        <v>0.70739111225036599</v>
      </c>
      <c r="I47" s="645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-5.9117155615240335E-12</v>
      </c>
      <c r="U47" s="133">
        <f>+U46-U43</f>
        <v>0</v>
      </c>
      <c r="V47" s="129"/>
      <c r="W47" s="129">
        <f>+W46-W43</f>
        <v>-9.0949470177292824E-13</v>
      </c>
      <c r="X47" s="130"/>
      <c r="AC47" s="34"/>
      <c r="AF47" s="34"/>
      <c r="AG47" s="33" t="s">
        <v>83</v>
      </c>
      <c r="AJ47" s="487"/>
    </row>
    <row r="48" spans="2:43" x14ac:dyDescent="0.3">
      <c r="T48" s="294"/>
      <c r="U48" s="294"/>
      <c r="V48" s="294"/>
    </row>
    <row r="49" spans="10:36" x14ac:dyDescent="0.3">
      <c r="O49" s="492">
        <f>+O43-O28</f>
        <v>32636.535570327211</v>
      </c>
      <c r="P49" s="492">
        <f>+P43-P28</f>
        <v>26081.526957999995</v>
      </c>
      <c r="Q49" s="492">
        <f>+P49-O49</f>
        <v>-6555.0086123272158</v>
      </c>
      <c r="T49" s="294"/>
      <c r="U49" s="294"/>
      <c r="V49" s="294"/>
      <c r="AC49" s="34"/>
      <c r="AD49" s="33"/>
      <c r="AE49" s="33"/>
      <c r="AF49" s="34"/>
    </row>
    <row r="50" spans="10:36" x14ac:dyDescent="0.3">
      <c r="O50" s="492">
        <f>+O49/100</f>
        <v>326.36535570327209</v>
      </c>
      <c r="P50" s="492">
        <f>+P49/100</f>
        <v>260.81526957999995</v>
      </c>
      <c r="Q50" s="492">
        <f>+P50-O50</f>
        <v>-65.550086123272138</v>
      </c>
      <c r="S50" t="s">
        <v>40</v>
      </c>
      <c r="T50" s="236">
        <f>(+T27+T35)/100</f>
        <v>22.750486173840738</v>
      </c>
      <c r="U50" s="236">
        <f>(+U27+U35)/100</f>
        <v>-4.0208217094611074</v>
      </c>
      <c r="V50" s="236">
        <f>+U50-T50</f>
        <v>-26.771307883301844</v>
      </c>
      <c r="W50" s="235">
        <f>+U50/T50-1</f>
        <v>-1.176735638910626</v>
      </c>
      <c r="AC50" s="34"/>
      <c r="AD50" s="33"/>
      <c r="AE50" s="33"/>
      <c r="AF50" s="34"/>
      <c r="AJ50" s="492"/>
    </row>
    <row r="51" spans="10:36" x14ac:dyDescent="0.3">
      <c r="Q51" s="235">
        <f>+P50/O50</f>
        <v>0.79915121204571238</v>
      </c>
      <c r="S51" t="s">
        <v>1</v>
      </c>
      <c r="T51" s="6">
        <f>+T32/100</f>
        <v>2.1862974646605742</v>
      </c>
      <c r="U51" s="6">
        <f>+U32/100</f>
        <v>9.2028909533454592E-2</v>
      </c>
      <c r="V51" s="236">
        <f>+U51-T51</f>
        <v>-2.0942685551271194</v>
      </c>
      <c r="AC51" s="34"/>
      <c r="AD51" s="33"/>
      <c r="AE51" s="33"/>
      <c r="AF51" s="34"/>
    </row>
    <row r="52" spans="10:36" x14ac:dyDescent="0.3">
      <c r="S52" t="s">
        <v>44</v>
      </c>
      <c r="T52" s="6">
        <f>(T33+T34)/100</f>
        <v>1.2800714766666663</v>
      </c>
      <c r="U52" s="6">
        <f>(U33+U34)/100</f>
        <v>0.96156307000000008</v>
      </c>
      <c r="V52" s="294">
        <f>+U52-T52</f>
        <v>-0.31850840666666624</v>
      </c>
      <c r="AC52" s="34"/>
      <c r="AD52" s="33"/>
      <c r="AE52" s="33"/>
      <c r="AF52" s="34"/>
      <c r="AJ52" s="492"/>
    </row>
    <row r="53" spans="10:36" x14ac:dyDescent="0.3">
      <c r="S53" s="236" t="s">
        <v>4</v>
      </c>
      <c r="T53" s="236">
        <f>((T46-T28)/100)-T50-T51-T52</f>
        <v>-0.75370363000005125</v>
      </c>
      <c r="U53" s="236">
        <f>((U46-U28)/100)-U50-U51-U52</f>
        <v>-4.2034678600000905</v>
      </c>
      <c r="V53" s="236">
        <f>+U53-T53</f>
        <v>-3.4497642300000395</v>
      </c>
      <c r="AC53" s="34"/>
      <c r="AD53" s="33"/>
      <c r="AE53" s="33"/>
      <c r="AF53" s="34"/>
      <c r="AJ53" s="492"/>
    </row>
    <row r="54" spans="10:36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0.52636784666661507</v>
      </c>
      <c r="U54" s="236">
        <f>SUM(U52:U53)</f>
        <v>-3.2419047900000906</v>
      </c>
      <c r="V54" s="236">
        <f>SUM(V52:V53)</f>
        <v>-3.7682726366667056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J54" s="492"/>
    </row>
    <row r="55" spans="10:36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25.463151485167927</v>
      </c>
      <c r="U55" s="236">
        <f>SUM(U50:U53)</f>
        <v>-7.1706975899277428</v>
      </c>
      <c r="V55" s="236">
        <f>+U55-T55</f>
        <v>-32.633849075095668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J55" s="492"/>
    </row>
    <row r="56" spans="10:36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J56" s="492"/>
    </row>
    <row r="57" spans="10:36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6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1.2800714766666663</v>
      </c>
      <c r="U58" s="294">
        <f>+(U33+U34)/100</f>
        <v>0.96156307000000008</v>
      </c>
      <c r="V58" s="236">
        <f>+U58-T58</f>
        <v>-0.31850840666666624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J58" s="492"/>
    </row>
    <row r="59" spans="10:36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0">+T36/100</f>
        <v>0</v>
      </c>
      <c r="U59" s="236">
        <f t="shared" si="20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J59" s="492"/>
    </row>
    <row r="60" spans="10:36" x14ac:dyDescent="0.3">
      <c r="S60" s="236" t="str">
        <f>+I37</f>
        <v>대손</v>
      </c>
      <c r="T60" s="236">
        <f t="shared" si="20"/>
        <v>0</v>
      </c>
      <c r="U60" s="236">
        <f t="shared" si="20"/>
        <v>-4.1429033799999999</v>
      </c>
      <c r="V60" s="236">
        <f>+U60-T60</f>
        <v>-4.1429033799999999</v>
      </c>
      <c r="AC60" s="236"/>
      <c r="AD60" s="236"/>
      <c r="AE60" s="236"/>
      <c r="AF60" s="236"/>
      <c r="AJ60" s="492"/>
    </row>
    <row r="61" spans="10:36" x14ac:dyDescent="0.3">
      <c r="S61" s="236" t="str">
        <f>+I38</f>
        <v>미운영 공장</v>
      </c>
      <c r="T61" s="236">
        <f t="shared" si="20"/>
        <v>-1.8780899999999929E-3</v>
      </c>
      <c r="U61" s="236">
        <f t="shared" si="20"/>
        <v>5.3249999999999999E-3</v>
      </c>
      <c r="V61" s="236">
        <f>+U61-T61</f>
        <v>7.2030899999999927E-3</v>
      </c>
      <c r="AC61" s="236"/>
      <c r="AD61" s="236"/>
      <c r="AE61" s="236"/>
      <c r="AJ61" s="492"/>
    </row>
    <row r="62" spans="10:36" x14ac:dyDescent="0.3">
      <c r="S62" s="236" t="str">
        <f>+I40</f>
        <v>기타</v>
      </c>
      <c r="T62" s="236">
        <f>+T40/100</f>
        <v>-0.75182553999999269</v>
      </c>
      <c r="U62" s="236">
        <f>+U40/100</f>
        <v>-6.5889480000088221E-2</v>
      </c>
      <c r="V62" s="236">
        <f>+U62-T62</f>
        <v>0.68593605999990448</v>
      </c>
      <c r="AC62" s="236"/>
      <c r="AD62" s="236"/>
      <c r="AE62" s="236"/>
    </row>
    <row r="63" spans="10:36" x14ac:dyDescent="0.3">
      <c r="T63" s="6">
        <f>SUM(T58:T62)</f>
        <v>0.52636784666667369</v>
      </c>
      <c r="U63" s="6">
        <f>SUM(U58:U62)</f>
        <v>-3.2419047900000884</v>
      </c>
      <c r="V63" s="6">
        <f>SUM(V58:V62)</f>
        <v>-3.7682726366667616</v>
      </c>
      <c r="AC63" s="236"/>
      <c r="AE63" s="236"/>
    </row>
    <row r="64" spans="10:36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52.636784666667367</v>
      </c>
      <c r="U66" s="6">
        <f>SUM(U33:U34,U36,U38:U40)</f>
        <v>90.099858999991184</v>
      </c>
      <c r="V66" s="6">
        <f>+U66-T66</f>
        <v>37.463074333323817</v>
      </c>
      <c r="AC66" s="236"/>
      <c r="AE66" s="236"/>
    </row>
    <row r="67" spans="20:31" x14ac:dyDescent="0.3">
      <c r="AC67" s="236"/>
      <c r="AE67" s="236"/>
    </row>
    <row r="68" spans="20:31" x14ac:dyDescent="0.3">
      <c r="T68" s="492">
        <f>+T43-T28</f>
        <v>2546.3151485167987</v>
      </c>
      <c r="U68" s="492">
        <f>+U43-U28</f>
        <v>-717.06975899277404</v>
      </c>
      <c r="V68" s="492"/>
      <c r="AC68" s="236"/>
      <c r="AE68" s="236"/>
    </row>
    <row r="69" spans="20:31" x14ac:dyDescent="0.3">
      <c r="T69" s="492">
        <f>+T68/100</f>
        <v>25.463151485167987</v>
      </c>
      <c r="U69" s="492">
        <f>+U68/100</f>
        <v>-7.1706975899277401</v>
      </c>
      <c r="V69" s="492">
        <f>+U69-T69</f>
        <v>-32.633849075095725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34998626667073579"/>
    <pageSetUpPr fitToPage="1"/>
  </sheetPr>
  <dimension ref="A1:AL78"/>
  <sheetViews>
    <sheetView showGridLines="0" showZeros="0" view="pageBreakPreview" topLeftCell="E13" zoomScale="85" zoomScaleNormal="85" zoomScaleSheetLayoutView="85" workbookViewId="0"/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217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42" t="s">
        <v>11</v>
      </c>
      <c r="I5" s="643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222</v>
      </c>
      <c r="G6" s="334"/>
      <c r="H6" s="644"/>
      <c r="I6" s="64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+IFERROR(HLOOKUP($B7,'[1]9월누계'!$D$6:$BN$259,2,),)/1000</f>
        <v>343</v>
      </c>
      <c r="K7" s="36">
        <f>+IFERROR(HLOOKUP($B7,'[2]9월누계'!$F$6:$CP$99,2,),)/1000</f>
        <v>293.43299999999999</v>
      </c>
      <c r="L7" s="37">
        <f t="shared" ref="L7:L32" si="0">+K7-J7</f>
        <v>-49.567000000000007</v>
      </c>
      <c r="M7" s="38">
        <f>+IFERROR(HLOOKUP($B7,'[3]9월누계'!$F$6:$CC$57,2,),)/1000</f>
        <v>334.61599999999999</v>
      </c>
      <c r="N7" s="39">
        <f>+K7-M7</f>
        <v>-41.182999999999993</v>
      </c>
      <c r="O7" s="35">
        <f>+IFERROR(HLOOKUP($B7,'[1]9월누계'!$D$6:$BN$259,3,),)/1000</f>
        <v>33933.586825999999</v>
      </c>
      <c r="P7" s="36">
        <f>+IFERROR(HLOOKUP($B7,'[2]9월누계'!$F$6:$CP$99,3,),)/1000</f>
        <v>28252.418752999998</v>
      </c>
      <c r="Q7" s="37">
        <f>+P7-O7</f>
        <v>-5681.1680730000007</v>
      </c>
      <c r="R7" s="38">
        <f>+IFERROR(HLOOKUP($B7,'[3]9월누계'!$F$6:$CC$57,3,),)/1000</f>
        <v>33357.438020000001</v>
      </c>
      <c r="S7" s="39">
        <f>+P7-R7</f>
        <v>-5105.0192670000033</v>
      </c>
      <c r="T7" s="35">
        <f>+IFERROR(HLOOKUP($B7,'[1]9월누계'!$D$6:$BN$259,16,),)/1000</f>
        <v>3111.430390751922</v>
      </c>
      <c r="U7" s="36">
        <f>+IFERROR(HLOOKUP($B7,'[2]9월누계'!$F$6:$CP$99,16,),)/1000</f>
        <v>1943.5607619999973</v>
      </c>
      <c r="V7" s="40">
        <f>+U7-T7</f>
        <v>-1167.8696287519247</v>
      </c>
      <c r="W7" s="41">
        <f>+IFERROR(HLOOKUP($B7,'[3]9월누계'!$F$6:$CC$57,16,),)/1000</f>
        <v>3343.7299199999975</v>
      </c>
      <c r="X7" s="39">
        <f>+U7-W7</f>
        <v>-1400.1691580000002</v>
      </c>
      <c r="Y7" s="35">
        <f>+[12]안양!$Q$85</f>
        <v>98931.740017492702</v>
      </c>
      <c r="Z7" s="36">
        <f>+[12]안양!$R$85</f>
        <v>96270.55737980135</v>
      </c>
      <c r="AA7" s="42">
        <f>+[13]안양!$Q$85</f>
        <v>99684.171921484201</v>
      </c>
      <c r="AB7" s="43">
        <f>+[12]안양!$Q$89</f>
        <v>81672.588575264686</v>
      </c>
      <c r="AC7" s="36">
        <f>+[12]안양!$R$89</f>
        <v>79937.523111955757</v>
      </c>
      <c r="AD7" s="44">
        <f>+[13]안양!$Q$89</f>
        <v>81441.595387351845</v>
      </c>
      <c r="AE7" s="43">
        <f>+Y7-AB7</f>
        <v>17259.151442228016</v>
      </c>
      <c r="AF7" s="36">
        <f>+Z7-AC7</f>
        <v>16333.034267845593</v>
      </c>
      <c r="AG7" s="44">
        <f>+AA7-AD7</f>
        <v>18242.576534132357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+IFERROR(HLOOKUP($B8,'[1]9월누계'!$D$6:$BN$259,2,),)/1000</f>
        <v>250</v>
      </c>
      <c r="K8" s="46">
        <f>+IFERROR(HLOOKUP($B8,'[2]9월누계'!$F$6:$CP$99,2,),)/1000</f>
        <v>245.79400000000001</v>
      </c>
      <c r="L8" s="47">
        <f t="shared" si="0"/>
        <v>-4.2059999999999889</v>
      </c>
      <c r="M8" s="48">
        <f>+IFERROR(HLOOKUP($B8,'[3]9월누계'!$F$6:$CC$57,2,),)/1000</f>
        <v>240.614</v>
      </c>
      <c r="N8" s="49">
        <f t="shared" ref="N8:N32" si="2">+K8-M8</f>
        <v>5.1800000000000068</v>
      </c>
      <c r="O8" s="45">
        <f>+IFERROR(HLOOKUP($B8,'[1]9월누계'!$D$6:$BN$259,3,),)/1000</f>
        <v>24695.039648967493</v>
      </c>
      <c r="P8" s="46">
        <f>+IFERROR(HLOOKUP($B8,'[2]9월누계'!$F$6:$CP$99,3,),)/1000</f>
        <v>23901.609151000001</v>
      </c>
      <c r="Q8" s="47">
        <f t="shared" ref="Q8:Q43" si="3">+P8-O8</f>
        <v>-793.43049796749256</v>
      </c>
      <c r="R8" s="48">
        <f>+IFERROR(HLOOKUP($B8,'[3]9월누계'!$F$6:$CC$57,3,),)/1000</f>
        <v>24052.030667999999</v>
      </c>
      <c r="S8" s="49">
        <f t="shared" ref="S8:S38" si="4">+P8-R8</f>
        <v>-150.42151699999886</v>
      </c>
      <c r="T8" s="45">
        <f>+IFERROR(HLOOKUP($B8,'[1]9월누계'!$D$6:$BN$259,16,),)/1000</f>
        <v>1248.0159799837204</v>
      </c>
      <c r="U8" s="46">
        <f>+IFERROR(HLOOKUP($B8,'[2]9월누계'!$F$6:$CP$99,16,),)/1000</f>
        <v>248.33137101000233</v>
      </c>
      <c r="V8" s="47">
        <f t="shared" ref="V8:V39" si="5">+U8-T8</f>
        <v>-999.68460897371801</v>
      </c>
      <c r="W8" s="48">
        <f>+IFERROR(HLOOKUP($B8,'[3]9월누계'!$F$6:$CC$57,16,),)/1000</f>
        <v>1598.4680050100001</v>
      </c>
      <c r="X8" s="49">
        <f t="shared" ref="X8:X37" si="6">+U8-W8</f>
        <v>-1350.1366339999977</v>
      </c>
      <c r="Y8" s="45">
        <f>+[12]인천!$Q$85</f>
        <v>98780.158595869972</v>
      </c>
      <c r="Z8" s="46">
        <f>+[12]인천!$R$85</f>
        <v>97304.32847543736</v>
      </c>
      <c r="AA8" s="50">
        <f>+[13]인천!$Q$85</f>
        <v>99965.701191674088</v>
      </c>
      <c r="AB8" s="51">
        <f>+[12]인천!$Q$89</f>
        <v>82800.800246770261</v>
      </c>
      <c r="AC8" s="46">
        <f>+[12]인천!$R$89</f>
        <v>84427.620220145618</v>
      </c>
      <c r="AD8" s="52">
        <f>+[13]인천!$Q$89</f>
        <v>82345.503357963928</v>
      </c>
      <c r="AE8" s="51">
        <f t="shared" ref="AE8:AG27" si="7">+Y8-AB8</f>
        <v>15979.358349099712</v>
      </c>
      <c r="AF8" s="46">
        <f t="shared" si="7"/>
        <v>12876.708255291742</v>
      </c>
      <c r="AG8" s="52">
        <f t="shared" si="7"/>
        <v>17620.197833710161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+IFERROR(HLOOKUP($B9,'[1]9월누계'!$D$6:$BN$259,2,),)/1000</f>
        <v>185</v>
      </c>
      <c r="K9" s="46">
        <f>+IFERROR(HLOOKUP($B9,'[2]9월누계'!$F$6:$CP$99,2,),)/1000</f>
        <v>112.679</v>
      </c>
      <c r="L9" s="47">
        <f t="shared" si="0"/>
        <v>-72.320999999999998</v>
      </c>
      <c r="M9" s="48">
        <f>+IFERROR(HLOOKUP($B9,'[3]9월누계'!$F$6:$CC$57,2,),)/1000</f>
        <v>217.43</v>
      </c>
      <c r="N9" s="49">
        <f t="shared" si="2"/>
        <v>-104.751</v>
      </c>
      <c r="O9" s="45">
        <f>+IFERROR(HLOOKUP($B9,'[1]9월누계'!$D$6:$BN$259,3,),)/1000</f>
        <v>17869.378936000001</v>
      </c>
      <c r="P9" s="46">
        <f>+IFERROR(HLOOKUP($B9,'[2]9월누계'!$F$6:$CP$99,3,),)/1000</f>
        <v>10469.360843</v>
      </c>
      <c r="Q9" s="47">
        <f t="shared" si="3"/>
        <v>-7400.0180930000006</v>
      </c>
      <c r="R9" s="48">
        <f>+IFERROR(HLOOKUP($B9,'[3]9월누계'!$F$6:$CC$57,3,),)/1000</f>
        <v>21232.172844999997</v>
      </c>
      <c r="S9" s="49">
        <f t="shared" si="4"/>
        <v>-10762.812001999997</v>
      </c>
      <c r="T9" s="45">
        <f>+IFERROR(HLOOKUP($B9,'[1]9월누계'!$D$6:$BN$259,16,),)/1000</f>
        <v>924.82777970779296</v>
      </c>
      <c r="U9" s="46">
        <f>+IFERROR(HLOOKUP($B9,'[2]9월누계'!$F$6:$CP$99,16,),)/1000</f>
        <v>-343.23293999999947</v>
      </c>
      <c r="V9" s="47">
        <f t="shared" si="5"/>
        <v>-1268.0607197077925</v>
      </c>
      <c r="W9" s="48">
        <f>+IFERROR(HLOOKUP($B9,'[3]9월누계'!$F$6:$CC$57,16,),)/1000</f>
        <v>1620.5199860000009</v>
      </c>
      <c r="X9" s="49">
        <f t="shared" si="6"/>
        <v>-1963.7529260000003</v>
      </c>
      <c r="Y9" s="45">
        <f>+[12]파주!$Q$85</f>
        <v>96591.237491891894</v>
      </c>
      <c r="Z9" s="46">
        <f>+[12]파주!$R$85</f>
        <v>92965.431529322683</v>
      </c>
      <c r="AA9" s="50">
        <f>+[13]파주!$Q$85</f>
        <v>97669.561846317039</v>
      </c>
      <c r="AB9" s="51">
        <f>+[12]파주!$Q$89</f>
        <v>80077.730445808847</v>
      </c>
      <c r="AC9" s="46">
        <f>+[12]파주!$R$89</f>
        <v>78391.690578756694</v>
      </c>
      <c r="AD9" s="52">
        <f>+[13]파주!$Q$89</f>
        <v>80630.911460417003</v>
      </c>
      <c r="AE9" s="51">
        <f t="shared" si="7"/>
        <v>16513.507046083047</v>
      </c>
      <c r="AF9" s="46">
        <f t="shared" si="7"/>
        <v>14573.740950565989</v>
      </c>
      <c r="AG9" s="52">
        <f t="shared" si="7"/>
        <v>17038.650385900037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+IFERROR(HLOOKUP($B10,'[1]9월누계'!$D$6:$BN$259,2,),)/1000</f>
        <v>125</v>
      </c>
      <c r="K10" s="46">
        <f>+IFERROR(HLOOKUP($B10,'[2]9월누계'!$F$6:$CP$99,2,),)/1000</f>
        <v>89.800320000000013</v>
      </c>
      <c r="L10" s="47">
        <f t="shared" si="0"/>
        <v>-35.199679999999987</v>
      </c>
      <c r="M10" s="48">
        <f>+IFERROR(HLOOKUP($B10,'[3]9월누계'!$F$6:$CC$57,2,),)/1000</f>
        <v>102.5975</v>
      </c>
      <c r="N10" s="49">
        <f t="shared" si="2"/>
        <v>-12.797179999999983</v>
      </c>
      <c r="O10" s="45">
        <f>+IFERROR(HLOOKUP($B10,'[1]9월누계'!$D$6:$BN$259,3,),)/1000</f>
        <v>11860.931220000002</v>
      </c>
      <c r="P10" s="46">
        <f>+IFERROR(HLOOKUP($B10,'[2]9월누계'!$F$6:$CP$99,3,),)/1000</f>
        <v>8567.5375740000018</v>
      </c>
      <c r="Q10" s="47">
        <f t="shared" si="3"/>
        <v>-3293.3936460000004</v>
      </c>
      <c r="R10" s="48">
        <f>+IFERROR(HLOOKUP($B10,'[3]9월누계'!$F$6:$CC$57,3,),)/1000</f>
        <v>10047.479192000003</v>
      </c>
      <c r="S10" s="49">
        <f t="shared" si="4"/>
        <v>-1479.9416180000007</v>
      </c>
      <c r="T10" s="45">
        <f>+IFERROR(HLOOKUP($B10,'[1]9월누계'!$D$6:$BN$259,16,),)/1000</f>
        <v>771.50592496965794</v>
      </c>
      <c r="U10" s="46">
        <f>+IFERROR(HLOOKUP($B10,'[2]9월누계'!$F$6:$CP$99,16,),)/1000</f>
        <v>-50.408564999998518</v>
      </c>
      <c r="V10" s="47">
        <f t="shared" si="5"/>
        <v>-821.91448996965642</v>
      </c>
      <c r="W10" s="48">
        <f>+IFERROR(HLOOKUP($B10,'[3]9월누계'!$F$6:$CC$57,16,),)/1000</f>
        <v>861.13719300000071</v>
      </c>
      <c r="X10" s="49">
        <f t="shared" si="6"/>
        <v>-911.54575799999918</v>
      </c>
      <c r="Y10" s="45">
        <f>+[12]김포!$Q$85</f>
        <v>94887.449760000018</v>
      </c>
      <c r="Z10" s="46">
        <f>+[12]김포!$R$85</f>
        <v>95483.473322608508</v>
      </c>
      <c r="AA10" s="50">
        <f>+[13]김포!$Q$85</f>
        <v>97948.633763579288</v>
      </c>
      <c r="AB10" s="51">
        <f>+[12]김포!$Q$89</f>
        <v>76078.519013576093</v>
      </c>
      <c r="AC10" s="46">
        <f>+[12]김포!$R$89</f>
        <v>78322.443895331671</v>
      </c>
      <c r="AD10" s="52">
        <f>+[13]김포!$Q$89</f>
        <v>75397.686317268075</v>
      </c>
      <c r="AE10" s="51">
        <f t="shared" si="7"/>
        <v>18808.930746423925</v>
      </c>
      <c r="AF10" s="46">
        <f t="shared" si="7"/>
        <v>17161.029427276837</v>
      </c>
      <c r="AG10" s="52">
        <f t="shared" si="7"/>
        <v>22550.947446311213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+IFERROR(HLOOKUP($B11,'[1]9월누계'!$D$6:$BN$259,2,),)/1000</f>
        <v>178</v>
      </c>
      <c r="K11" s="63">
        <f>+IFERROR(HLOOKUP($B11,'[2]9월누계'!$F$6:$CP$99,2,),)/1000</f>
        <v>177.58699999999999</v>
      </c>
      <c r="L11" s="64">
        <f t="shared" si="0"/>
        <v>-0.41300000000001091</v>
      </c>
      <c r="M11" s="65">
        <f>+IFERROR(HLOOKUP($B11,'[3]9월누계'!$F$6:$CC$57,2,),)/1000</f>
        <v>180.4905</v>
      </c>
      <c r="N11" s="66">
        <f t="shared" si="2"/>
        <v>-2.9035000000000082</v>
      </c>
      <c r="O11" s="62">
        <f>+IFERROR(HLOOKUP($B11,'[1]9월누계'!$D$6:$BN$259,3,),)/1000</f>
        <v>19170.595118836001</v>
      </c>
      <c r="P11" s="63">
        <f>+IFERROR(HLOOKUP($B11,'[2]9월누계'!$F$6:$CP$99,3,),)/1000</f>
        <v>19085.782846999999</v>
      </c>
      <c r="Q11" s="64">
        <f t="shared" si="3"/>
        <v>-84.812271836002765</v>
      </c>
      <c r="R11" s="65">
        <f>+IFERROR(HLOOKUP($B11,'[3]9월누계'!$F$6:$CC$57,3,),)/1000</f>
        <v>19514.874641000002</v>
      </c>
      <c r="S11" s="66">
        <f t="shared" si="4"/>
        <v>-429.09179400000357</v>
      </c>
      <c r="T11" s="62">
        <f>+IFERROR(HLOOKUP($B11,'[1]9월누계'!$D$6:$BN$259,16,),)/1000</f>
        <v>1630.3156580998202</v>
      </c>
      <c r="U11" s="63">
        <f>+IFERROR(HLOOKUP($B11,'[2]9월누계'!$F$6:$CP$99,16,),)/1000</f>
        <v>1775.6782679999997</v>
      </c>
      <c r="V11" s="64">
        <f t="shared" si="5"/>
        <v>145.36260990017945</v>
      </c>
      <c r="W11" s="65">
        <f>+IFERROR(HLOOKUP($B11,'[3]9월누계'!$F$6:$CC$57,16,),)/1000</f>
        <v>1993.254315000002</v>
      </c>
      <c r="X11" s="66">
        <f t="shared" si="6"/>
        <v>-217.57604700000229</v>
      </c>
      <c r="Y11" s="62">
        <f>+[12]부산!$Q$85</f>
        <v>107699.97257773034</v>
      </c>
      <c r="Z11" s="63">
        <f>+[12]부산!$R$85</f>
        <v>107472.86032761408</v>
      </c>
      <c r="AA11" s="67">
        <f>+[13]부산!$Q$85</f>
        <v>108121.3395774293</v>
      </c>
      <c r="AB11" s="68">
        <f>+[12]부산!$Q$89</f>
        <v>84778.08228751384</v>
      </c>
      <c r="AC11" s="63">
        <f>+[12]부산!$R$89</f>
        <v>84504.504815701948</v>
      </c>
      <c r="AD11" s="69">
        <f>+[13]부산!$Q$89</f>
        <v>83970.264187235967</v>
      </c>
      <c r="AE11" s="68">
        <f t="shared" si="7"/>
        <v>22921.890290216499</v>
      </c>
      <c r="AF11" s="63">
        <f t="shared" si="7"/>
        <v>22968.35551191213</v>
      </c>
      <c r="AG11" s="69">
        <f t="shared" si="7"/>
        <v>24151.075390193335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+IFERROR(HLOOKUP($B12,'[1]9월누계'!$D$6:$BN$259,2,),)/1000</f>
        <v>175</v>
      </c>
      <c r="K12" s="46">
        <f>+IFERROR(HLOOKUP($B12,'[2]9월누계'!$F$6:$CP$99,2,),)/1000</f>
        <v>150.44800000000001</v>
      </c>
      <c r="L12" s="47">
        <f t="shared" si="0"/>
        <v>-24.551999999999992</v>
      </c>
      <c r="M12" s="48">
        <f>+IFERROR(HLOOKUP($B12,'[3]9월누계'!$F$6:$CC$57,2,),)/1000</f>
        <v>187.50899999999999</v>
      </c>
      <c r="N12" s="49">
        <f t="shared" si="2"/>
        <v>-37.060999999999979</v>
      </c>
      <c r="O12" s="45">
        <f>+IFERROR(HLOOKUP($B12,'[1]9월누계'!$D$6:$BN$259,3,),)/1000</f>
        <v>17377.49874958002</v>
      </c>
      <c r="P12" s="46">
        <f>+IFERROR(HLOOKUP($B12,'[2]9월누계'!$F$6:$CP$99,3,),)/1000</f>
        <v>14719.934818</v>
      </c>
      <c r="Q12" s="47">
        <f t="shared" si="3"/>
        <v>-2657.5639315800199</v>
      </c>
      <c r="R12" s="48">
        <f>+IFERROR(HLOOKUP($B12,'[3]9월누계'!$F$6:$CC$57,3,),)/1000</f>
        <v>18965.681831000002</v>
      </c>
      <c r="S12" s="49">
        <f t="shared" si="4"/>
        <v>-4245.747013000002</v>
      </c>
      <c r="T12" s="45">
        <f>+IFERROR(HLOOKUP($B12,'[1]9월누계'!$D$6:$BN$259,16,),)/1000</f>
        <v>1633.6254634911863</v>
      </c>
      <c r="U12" s="46">
        <f>+IFERROR(HLOOKUP($B12,'[2]9월누계'!$F$6:$CP$99,16,),)/1000</f>
        <v>1008.0572559999995</v>
      </c>
      <c r="V12" s="47">
        <f t="shared" si="5"/>
        <v>-625.56820749118685</v>
      </c>
      <c r="W12" s="48">
        <f>+IFERROR(HLOOKUP($B12,'[3]9월누계'!$F$6:$CC$57,16,),)/1000</f>
        <v>2157.9980279999995</v>
      </c>
      <c r="X12" s="49">
        <f t="shared" si="6"/>
        <v>-1149.9407719999999</v>
      </c>
      <c r="Y12" s="45">
        <f>+[12]서부산!$Q$85</f>
        <v>99299.992854742974</v>
      </c>
      <c r="Z12" s="46">
        <f>+[12]서부산!$R$85</f>
        <v>97884.636260418891</v>
      </c>
      <c r="AA12" s="50">
        <f>+[13]서부산!$Q$85</f>
        <v>101146.83903888524</v>
      </c>
      <c r="AB12" s="51">
        <f>+[12]서부산!$Q$89</f>
        <v>78152.266645586977</v>
      </c>
      <c r="AC12" s="46">
        <f>+[12]서부산!$R$89</f>
        <v>77536.310488804549</v>
      </c>
      <c r="AD12" s="52">
        <f>+[13]서부산!$Q$89</f>
        <v>78909.296380007829</v>
      </c>
      <c r="AE12" s="51">
        <f t="shared" si="7"/>
        <v>21147.726209155997</v>
      </c>
      <c r="AF12" s="46">
        <f t="shared" si="7"/>
        <v>20348.325771614342</v>
      </c>
      <c r="AG12" s="52">
        <f t="shared" si="7"/>
        <v>22237.542658877413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+IFERROR(HLOOKUP($B13,'[1]9월누계'!$D$6:$BN$259,2,),)/1000</f>
        <v>122</v>
      </c>
      <c r="K13" s="46">
        <f>+IFERROR(HLOOKUP($B13,'[2]9월누계'!$F$6:$CP$99,2,),)/1000</f>
        <v>77.292000000000002</v>
      </c>
      <c r="L13" s="47">
        <f t="shared" si="0"/>
        <v>-44.707999999999998</v>
      </c>
      <c r="M13" s="48">
        <f>+IFERROR(HLOOKUP($B13,'[3]9월누계'!$F$6:$CC$57,2,),)/1000</f>
        <v>120.628</v>
      </c>
      <c r="N13" s="49">
        <f t="shared" si="2"/>
        <v>-43.335999999999999</v>
      </c>
      <c r="O13" s="45">
        <f>+IFERROR(HLOOKUP($B13,'[1]9월누계'!$D$6:$BN$259,3,),)/1000</f>
        <v>11748.585849999999</v>
      </c>
      <c r="P13" s="46">
        <f>+IFERROR(HLOOKUP($B13,'[2]9월누계'!$F$6:$CP$99,3,),)/1000</f>
        <v>6932.4716000000008</v>
      </c>
      <c r="Q13" s="47">
        <f t="shared" si="3"/>
        <v>-4816.1142499999987</v>
      </c>
      <c r="R13" s="48">
        <f>+IFERROR(HLOOKUP($B13,'[3]9월누계'!$F$6:$CC$57,3,),)/1000</f>
        <v>11543.274899999999</v>
      </c>
      <c r="S13" s="49">
        <f t="shared" si="4"/>
        <v>-4610.8032999999978</v>
      </c>
      <c r="T13" s="45">
        <f>+IFERROR(HLOOKUP($B13,'[1]9월누계'!$D$6:$BN$259,16,),)/1000</f>
        <v>1009.2323153022563</v>
      </c>
      <c r="U13" s="46">
        <f>+IFERROR(HLOOKUP($B13,'[2]9월누계'!$F$6:$CP$99,16,),)/1000</f>
        <v>-308.4319679999997</v>
      </c>
      <c r="V13" s="47">
        <f t="shared" si="5"/>
        <v>-1317.6642833022561</v>
      </c>
      <c r="W13" s="48">
        <f>+IFERROR(HLOOKUP($B13,'[3]9월누계'!$F$6:$CC$57,16,),)/1000</f>
        <v>709.6576109999985</v>
      </c>
      <c r="X13" s="49">
        <f t="shared" si="6"/>
        <v>-1018.0895789999981</v>
      </c>
      <c r="Y13" s="45">
        <f>+[12]김해!$Q$85</f>
        <v>96299.884016393436</v>
      </c>
      <c r="Z13" s="46">
        <f>+[12]김해!$R$85</f>
        <v>89655.117259552033</v>
      </c>
      <c r="AA13" s="50">
        <f>+[13]김해!$Q$85</f>
        <v>95792.183456542436</v>
      </c>
      <c r="AB13" s="51">
        <f>+[12]김해!$Q$89</f>
        <v>76650.363693333056</v>
      </c>
      <c r="AC13" s="46">
        <f>+[12]김해!$R$89</f>
        <v>76602.044426877474</v>
      </c>
      <c r="AD13" s="52">
        <f>+[13]김해!$Q$89</f>
        <v>78786.82704707318</v>
      </c>
      <c r="AE13" s="51">
        <f t="shared" si="7"/>
        <v>19649.52032306038</v>
      </c>
      <c r="AF13" s="46">
        <f t="shared" si="7"/>
        <v>13053.072832674559</v>
      </c>
      <c r="AG13" s="52">
        <f t="shared" si="7"/>
        <v>17005.356409469256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+IFERROR(HLOOKUP($B14,'[1]9월누계'!$D$6:$BN$259,2,),)/1000</f>
        <v>170</v>
      </c>
      <c r="K14" s="46">
        <f>+IFERROR(HLOOKUP($B14,'[2]9월누계'!$F$6:$CP$99,2,),)/1000</f>
        <v>195.262</v>
      </c>
      <c r="L14" s="47">
        <f t="shared" si="0"/>
        <v>25.262</v>
      </c>
      <c r="M14" s="48">
        <f>+IFERROR(HLOOKUP($B14,'[3]9월누계'!$F$6:$CC$57,2,),)/1000</f>
        <v>175.43350000000001</v>
      </c>
      <c r="N14" s="49">
        <f t="shared" si="2"/>
        <v>19.828499999999991</v>
      </c>
      <c r="O14" s="45">
        <f>+IFERROR(HLOOKUP($B14,'[1]9월누계'!$D$6:$BN$259,3,),)/1000</f>
        <v>17339.981661600003</v>
      </c>
      <c r="P14" s="46">
        <f>+IFERROR(HLOOKUP($B14,'[2]9월누계'!$F$6:$CP$99,3,),)/1000</f>
        <v>19447.451249999998</v>
      </c>
      <c r="Q14" s="47">
        <f t="shared" si="3"/>
        <v>2107.4695883999957</v>
      </c>
      <c r="R14" s="48">
        <f>+IFERROR(HLOOKUP($B14,'[3]9월누계'!$F$6:$CC$57,3,),)/1000</f>
        <v>17795.158350000002</v>
      </c>
      <c r="S14" s="49">
        <f t="shared" si="4"/>
        <v>1652.2928999999967</v>
      </c>
      <c r="T14" s="45">
        <f>+IFERROR(HLOOKUP($B14,'[1]9월누계'!$D$6:$BN$259,16,),)/1000</f>
        <v>1420.3152966126365</v>
      </c>
      <c r="U14" s="46">
        <f>+IFERROR(HLOOKUP($B14,'[2]9월누계'!$F$6:$CP$99,16,),)/1000</f>
        <v>1637.445472000001</v>
      </c>
      <c r="V14" s="47">
        <f t="shared" si="5"/>
        <v>217.13017538736449</v>
      </c>
      <c r="W14" s="48">
        <f>+IFERROR(HLOOKUP($B14,'[3]9월누계'!$F$6:$CC$57,16,),)/1000</f>
        <v>1600.2509530000004</v>
      </c>
      <c r="X14" s="49">
        <f t="shared" si="6"/>
        <v>37.194519000000582</v>
      </c>
      <c r="Y14" s="45">
        <f>+[12]정관!$Q$85</f>
        <v>101999.89212705883</v>
      </c>
      <c r="Z14" s="46">
        <f>+[12]정관!$R$85</f>
        <v>99613.25994219743</v>
      </c>
      <c r="AA14" s="50">
        <f>+[13]정관!$Q$85</f>
        <v>101435.34929189694</v>
      </c>
      <c r="AB14" s="51">
        <f>+[12]정관!$Q$89</f>
        <v>82161.567508422391</v>
      </c>
      <c r="AC14" s="46">
        <f>+[12]정관!$R$89</f>
        <v>81683.466758299532</v>
      </c>
      <c r="AD14" s="52">
        <f>+[13]정관!$Q$89</f>
        <v>81822.96916236823</v>
      </c>
      <c r="AE14" s="51">
        <f t="shared" si="7"/>
        <v>19838.324618636441</v>
      </c>
      <c r="AF14" s="46">
        <f t="shared" si="7"/>
        <v>17929.793183897898</v>
      </c>
      <c r="AG14" s="52">
        <f t="shared" si="7"/>
        <v>19612.380129528712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+IFERROR(HLOOKUP($B15,'[1]9월누계'!$D$6:$BN$259,2,),)/1000</f>
        <v>102</v>
      </c>
      <c r="K15" s="46">
        <f>+IFERROR(HLOOKUP($B15,'[2]9월누계'!$F$6:$CP$99,2,),)/1000</f>
        <v>64.524000000000001</v>
      </c>
      <c r="L15" s="47">
        <f t="shared" si="0"/>
        <v>-37.475999999999999</v>
      </c>
      <c r="M15" s="48">
        <f>+IFERROR(HLOOKUP($B15,'[3]9월누계'!$F$6:$CC$57,2,),)/1000</f>
        <v>112.78100000000001</v>
      </c>
      <c r="N15" s="49">
        <f t="shared" si="2"/>
        <v>-48.257000000000005</v>
      </c>
      <c r="O15" s="45">
        <f>+IFERROR(HLOOKUP($B15,'[1]9월누계'!$D$6:$BN$259,3,),)/1000</f>
        <v>9642.7885000000006</v>
      </c>
      <c r="P15" s="46">
        <f>+IFERROR(HLOOKUP($B15,'[2]9월누계'!$F$6:$CP$99,3,),)/1000</f>
        <v>5974.3480470000004</v>
      </c>
      <c r="Q15" s="47">
        <f t="shared" si="3"/>
        <v>-3668.4404530000002</v>
      </c>
      <c r="R15" s="48">
        <f>+IFERROR(HLOOKUP($B15,'[3]9월누계'!$F$6:$CC$57,3,),)/1000</f>
        <v>10439.652218000001</v>
      </c>
      <c r="S15" s="49">
        <f t="shared" si="4"/>
        <v>-4465.3041710000007</v>
      </c>
      <c r="T15" s="45">
        <f>+IFERROR(HLOOKUP($B15,'[1]9월누계'!$D$6:$BN$259,16,),)/1000</f>
        <v>803.93013339910249</v>
      </c>
      <c r="U15" s="46">
        <f>+IFERROR(HLOOKUP($B15,'[2]9월누계'!$F$6:$CP$99,16,),)/1000</f>
        <v>-32.841494999998979</v>
      </c>
      <c r="V15" s="47">
        <f t="shared" si="5"/>
        <v>-836.77162839910147</v>
      </c>
      <c r="W15" s="48">
        <f>+IFERROR(HLOOKUP($B15,'[3]9월누계'!$F$6:$CC$57,16,),)/1000</f>
        <v>933.80031200000133</v>
      </c>
      <c r="X15" s="49">
        <f t="shared" si="6"/>
        <v>-966.64180700000031</v>
      </c>
      <c r="Y15" s="45">
        <f>+[12]양산!$Q$85</f>
        <v>94537.142156862741</v>
      </c>
      <c r="Z15" s="46">
        <f>+[12]양산!$R$85</f>
        <v>92573.855964585295</v>
      </c>
      <c r="AA15" s="50">
        <f>+[13]양산!$Q$85</f>
        <v>92565.700055860478</v>
      </c>
      <c r="AB15" s="51">
        <f>+[12]양산!$Q$89</f>
        <v>73816.91448628332</v>
      </c>
      <c r="AC15" s="46">
        <f>+[12]양산!$R$89</f>
        <v>73300.907334348114</v>
      </c>
      <c r="AD15" s="52">
        <f>+[13]양산!$Q$89</f>
        <v>73029.102760069858</v>
      </c>
      <c r="AE15" s="51">
        <f t="shared" si="7"/>
        <v>20720.227670579421</v>
      </c>
      <c r="AF15" s="46">
        <f t="shared" si="7"/>
        <v>19272.948630237181</v>
      </c>
      <c r="AG15" s="52">
        <f t="shared" si="7"/>
        <v>19536.59729579062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+IFERROR(HLOOKUP($B16,'[1]9월누계'!$D$6:$BN$259,2,),)/1000</f>
        <v>104</v>
      </c>
      <c r="K16" s="46">
        <f>+IFERROR(HLOOKUP($B16,'[2]9월누계'!$F$6:$CP$99,2,),)/1000</f>
        <v>84.364000000000004</v>
      </c>
      <c r="L16" s="47">
        <f t="shared" si="0"/>
        <v>-19.635999999999996</v>
      </c>
      <c r="M16" s="48">
        <f>+IFERROR(HLOOKUP($B16,'[3]9월누계'!$F$6:$CC$57,2,),)/1000</f>
        <v>156.06950000000001</v>
      </c>
      <c r="N16" s="49">
        <f t="shared" si="2"/>
        <v>-71.705500000000001</v>
      </c>
      <c r="O16" s="45">
        <f>+IFERROR(HLOOKUP($B16,'[1]9월누계'!$D$6:$BN$259,3,),)/1000</f>
        <v>10475.229055788001</v>
      </c>
      <c r="P16" s="46">
        <f>+IFERROR(HLOOKUP($B16,'[2]9월누계'!$F$6:$CP$99,3,),)/1000</f>
        <v>8071.3036800000009</v>
      </c>
      <c r="Q16" s="47">
        <f t="shared" si="3"/>
        <v>-2403.9253757879997</v>
      </c>
      <c r="R16" s="48">
        <f>+IFERROR(HLOOKUP($B16,'[3]9월누계'!$F$6:$CC$57,3,),)/1000</f>
        <v>15834.131000000001</v>
      </c>
      <c r="S16" s="49">
        <f t="shared" si="4"/>
        <v>-7762.8273200000003</v>
      </c>
      <c r="T16" s="45">
        <f>+IFERROR(HLOOKUP($B16,'[1]9월누계'!$D$6:$BN$259,16,),)/1000</f>
        <v>851.6927760349605</v>
      </c>
      <c r="U16" s="46">
        <f>+IFERROR(HLOOKUP($B16,'[2]9월누계'!$F$6:$CP$99,16,),)/1000</f>
        <v>279.17025600000107</v>
      </c>
      <c r="V16" s="47">
        <f t="shared" si="5"/>
        <v>-572.52252003495937</v>
      </c>
      <c r="W16" s="48">
        <f>+IFERROR(HLOOKUP($B16,'[3]9월누계'!$F$6:$CC$57,16,),)/1000</f>
        <v>2362.191192000003</v>
      </c>
      <c r="X16" s="49">
        <f t="shared" si="6"/>
        <v>-2083.0209360000017</v>
      </c>
      <c r="Y16" s="45">
        <f>+[12]창원!$Q$85</f>
        <v>100723.35630565386</v>
      </c>
      <c r="Z16" s="46">
        <f>+[12]창원!$R$85</f>
        <v>95672.368308757301</v>
      </c>
      <c r="AA16" s="50">
        <f>+[13]창원!$Q$85</f>
        <v>101455.63995527635</v>
      </c>
      <c r="AB16" s="51">
        <f>+[12]창원!$Q$89</f>
        <v>76030.870661918176</v>
      </c>
      <c r="AC16" s="46">
        <f>+[12]창원!$R$89</f>
        <v>73119.145565720246</v>
      </c>
      <c r="AD16" s="52">
        <f>+[13]창원!$Q$89</f>
        <v>74911.761469241828</v>
      </c>
      <c r="AE16" s="51">
        <f t="shared" si="7"/>
        <v>24692.485643735679</v>
      </c>
      <c r="AF16" s="46">
        <f t="shared" si="7"/>
        <v>22553.222743037055</v>
      </c>
      <c r="AG16" s="52">
        <f t="shared" si="7"/>
        <v>26543.878486034519</v>
      </c>
      <c r="AH16" s="17"/>
      <c r="AI16" s="493"/>
      <c r="AJ16" s="49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+IFERROR(HLOOKUP($B17,'[1]9월누계'!$D$6:$BN$259,2,),)/1000</f>
        <v>109</v>
      </c>
      <c r="K17" s="46">
        <f>+IFERROR(HLOOKUP($B17,'[2]9월누계'!$F$6:$CP$99,2,),)/1000</f>
        <v>91.382999999999996</v>
      </c>
      <c r="L17" s="47">
        <f t="shared" si="0"/>
        <v>-17.617000000000004</v>
      </c>
      <c r="M17" s="48">
        <f>+IFERROR(HLOOKUP($B17,'[3]9월누계'!$F$6:$CC$57,2,),)/1000</f>
        <v>140.24299999999999</v>
      </c>
      <c r="N17" s="49">
        <f t="shared" si="2"/>
        <v>-48.86</v>
      </c>
      <c r="O17" s="45">
        <f>+IFERROR(HLOOKUP($B17,'[1]9월누계'!$D$6:$BN$259,3,),)/1000</f>
        <v>10578.096758139616</v>
      </c>
      <c r="P17" s="46">
        <f>+IFERROR(HLOOKUP($B17,'[2]9월누계'!$F$6:$CP$99,3,),)/1000</f>
        <v>8113.8676889999997</v>
      </c>
      <c r="Q17" s="47">
        <f t="shared" si="3"/>
        <v>-2464.2290691396165</v>
      </c>
      <c r="R17" s="48">
        <f>+IFERROR(HLOOKUP($B17,'[3]9월누계'!$F$6:$CC$57,3,),)/1000</f>
        <v>14137.288451999999</v>
      </c>
      <c r="S17" s="49">
        <f t="shared" si="4"/>
        <v>-6023.4207629999992</v>
      </c>
      <c r="T17" s="45">
        <f>+IFERROR(HLOOKUP($B17,'[1]9월누계'!$D$6:$BN$259,16,),)/1000</f>
        <v>965.0807379184514</v>
      </c>
      <c r="U17" s="46">
        <f>+IFERROR(HLOOKUP($B17,'[2]9월누계'!$F$6:$CP$99,16,),)/1000</f>
        <v>84.779200999999219</v>
      </c>
      <c r="V17" s="47">
        <f t="shared" si="5"/>
        <v>-880.30153691845214</v>
      </c>
      <c r="W17" s="48">
        <f>+IFERROR(HLOOKUP($B17,'[3]9월누계'!$F$6:$CC$57,16,),)/1000</f>
        <v>2116.0696999999982</v>
      </c>
      <c r="X17" s="49">
        <f t="shared" si="6"/>
        <v>-2031.290498999999</v>
      </c>
      <c r="Y17" s="45">
        <f>+[12]대구!$Q$85</f>
        <v>97046.759248987306</v>
      </c>
      <c r="Z17" s="46">
        <f>+[12]대구!$R$85</f>
        <v>88812.053431351073</v>
      </c>
      <c r="AA17" s="50">
        <f>+[13]대구!$Q$85</f>
        <v>100805.66197243356</v>
      </c>
      <c r="AB17" s="51">
        <f>+[12]대구!$Q$89</f>
        <v>73065.937540913699</v>
      </c>
      <c r="AC17" s="46">
        <f>+[12]대구!$R$89</f>
        <v>72757.335748871483</v>
      </c>
      <c r="AD17" s="52">
        <f>+[13]대구!$Q$89</f>
        <v>74446.444647210621</v>
      </c>
      <c r="AE17" s="51">
        <f t="shared" si="7"/>
        <v>23980.821708073607</v>
      </c>
      <c r="AF17" s="46">
        <f t="shared" si="7"/>
        <v>16054.71768247959</v>
      </c>
      <c r="AG17" s="52">
        <f t="shared" si="7"/>
        <v>26359.21732522294</v>
      </c>
      <c r="AH17" s="17"/>
      <c r="AI17" s="493"/>
      <c r="AJ17" s="49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+IFERROR(HLOOKUP($B18,'[1]9월누계'!$D$6:$BN$259,2,),)/1000</f>
        <v>107</v>
      </c>
      <c r="K18" s="10">
        <f>+IFERROR(HLOOKUP($B18,'[2]9월누계'!$F$6:$CP$99,2,),)/1000</f>
        <v>100.3595</v>
      </c>
      <c r="L18" s="11">
        <f t="shared" si="0"/>
        <v>-6.640500000000003</v>
      </c>
      <c r="M18" s="12">
        <f>+IFERROR(HLOOKUP($B18,'[3]9월누계'!$F$6:$CC$57,2,),)/1000</f>
        <v>94.507000000000005</v>
      </c>
      <c r="N18" s="13">
        <f t="shared" si="2"/>
        <v>5.852499999999992</v>
      </c>
      <c r="O18" s="9">
        <f>+IFERROR(HLOOKUP($B18,'[1]9월누계'!$D$6:$BN$259,3,),)/1000</f>
        <v>10942.672</v>
      </c>
      <c r="P18" s="10">
        <f>+IFERROR(HLOOKUP($B18,'[2]9월누계'!$F$6:$CP$99,3,),)/1000</f>
        <v>10464.858467999999</v>
      </c>
      <c r="Q18" s="11">
        <f t="shared" si="3"/>
        <v>-477.81353200000194</v>
      </c>
      <c r="R18" s="12">
        <f>+IFERROR(HLOOKUP($B18,'[3]9월누계'!$F$6:$CC$57,3,),)/1000</f>
        <v>9827.7895420000004</v>
      </c>
      <c r="S18" s="13">
        <f t="shared" si="4"/>
        <v>637.0689259999981</v>
      </c>
      <c r="T18" s="9">
        <f>+IFERROR(HLOOKUP($B18,'[1]9월누계'!$D$6:$BN$259,16,),)/1000</f>
        <v>811.41717596740443</v>
      </c>
      <c r="U18" s="10">
        <f>+IFERROR(HLOOKUP($B18,'[2]9월누계'!$F$6:$CP$99,16,),)/1000</f>
        <v>884.60063699999876</v>
      </c>
      <c r="V18" s="11">
        <f t="shared" si="5"/>
        <v>73.183461032594323</v>
      </c>
      <c r="W18" s="12">
        <f>+IFERROR(HLOOKUP($B18,'[3]9월누계'!$F$6:$CC$57,16,),)/1000</f>
        <v>1080.4193490000014</v>
      </c>
      <c r="X18" s="13">
        <f t="shared" si="6"/>
        <v>-195.81871200000262</v>
      </c>
      <c r="Y18" s="9">
        <f>+[12]울산!$Q$85</f>
        <v>102267.96261682243</v>
      </c>
      <c r="Z18" s="10">
        <f>+[12]울산!$R$85</f>
        <v>104273.72065424797</v>
      </c>
      <c r="AA18" s="14">
        <f>+[13]울산!$Q$85</f>
        <v>103990.06996307154</v>
      </c>
      <c r="AB18" s="15">
        <f>+[12]울산!$Q$89</f>
        <v>81930.010803696729</v>
      </c>
      <c r="AC18" s="10">
        <f>+[12]울산!$R$89</f>
        <v>82114.199393725197</v>
      </c>
      <c r="AD18" s="16">
        <f>+[13]울산!$Q$89</f>
        <v>80241.74110145295</v>
      </c>
      <c r="AE18" s="15">
        <f t="shared" si="7"/>
        <v>20337.951813125706</v>
      </c>
      <c r="AF18" s="10">
        <f t="shared" si="7"/>
        <v>22159.521260522772</v>
      </c>
      <c r="AG18" s="16">
        <f t="shared" si="7"/>
        <v>23748.328861618589</v>
      </c>
      <c r="AH18" s="17"/>
      <c r="AI18" s="493"/>
      <c r="AJ18" s="49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+IFERROR(HLOOKUP($B19,'[1]9월누계'!$D$6:$BN$259,2,),)/1000</f>
        <v>198</v>
      </c>
      <c r="K19" s="46">
        <f>+IFERROR(HLOOKUP($B19,'[2]9월누계'!$F$6:$CP$99,2,),)/1000</f>
        <v>188.08099999999999</v>
      </c>
      <c r="L19" s="47">
        <f t="shared" si="0"/>
        <v>-9.9190000000000111</v>
      </c>
      <c r="M19" s="48">
        <f>+IFERROR(HLOOKUP($B19,'[3]9월누계'!$F$6:$CC$57,2,),)/1000</f>
        <v>231.91900000000001</v>
      </c>
      <c r="N19" s="49">
        <f t="shared" si="2"/>
        <v>-43.838000000000022</v>
      </c>
      <c r="O19" s="45">
        <f>+IFERROR(HLOOKUP($B19,'[1]9월누계'!$D$6:$BN$259,3,),)/1000</f>
        <v>20394</v>
      </c>
      <c r="P19" s="46">
        <f>+IFERROR(HLOOKUP($B19,'[2]9월누계'!$F$6:$CP$99,3,),)/1000</f>
        <v>18111.734785000001</v>
      </c>
      <c r="Q19" s="47">
        <f t="shared" si="3"/>
        <v>-2282.2652149999994</v>
      </c>
      <c r="R19" s="48">
        <f>+IFERROR(HLOOKUP($B19,'[3]9월누계'!$F$6:$CC$57,3,),)/1000</f>
        <v>23496.461101000004</v>
      </c>
      <c r="S19" s="49">
        <f t="shared" si="4"/>
        <v>-5384.7263160000039</v>
      </c>
      <c r="T19" s="45">
        <f>+IFERROR(HLOOKUP($B19,'[1]9월누계'!$D$6:$BN$259,16,),)/1000</f>
        <v>2582.8280636582849</v>
      </c>
      <c r="U19" s="46">
        <f>+IFERROR(HLOOKUP($B19,'[2]9월누계'!$F$6:$CP$99,16,),)/1000</f>
        <v>775.93852400000117</v>
      </c>
      <c r="V19" s="47">
        <f t="shared" si="5"/>
        <v>-1806.8895396582839</v>
      </c>
      <c r="W19" s="48">
        <f>+IFERROR(HLOOKUP($B19,'[3]9월누계'!$F$6:$CC$57,16,),)/1000</f>
        <v>3364.5258370000051</v>
      </c>
      <c r="X19" s="49">
        <f t="shared" si="6"/>
        <v>-2588.5873130000041</v>
      </c>
      <c r="Y19" s="45">
        <f>+[12]아산!$Q$85</f>
        <v>103000</v>
      </c>
      <c r="Z19" s="46">
        <f>+[12]아산!$R$85</f>
        <v>96285.550467990921</v>
      </c>
      <c r="AA19" s="50">
        <f>+[13]아산!$Q$85</f>
        <v>101260.30661874369</v>
      </c>
      <c r="AB19" s="51">
        <f>+[12]아산!$Q$89</f>
        <v>78430.65184391386</v>
      </c>
      <c r="AC19" s="46">
        <f>+[12]아산!$R$89</f>
        <v>80648.049928514112</v>
      </c>
      <c r="AD19" s="52">
        <f>+[13]아산!$Q$89</f>
        <v>76950.847480163531</v>
      </c>
      <c r="AE19" s="51">
        <f t="shared" si="7"/>
        <v>24569.34815608614</v>
      </c>
      <c r="AF19" s="46">
        <f t="shared" si="7"/>
        <v>15637.500539476809</v>
      </c>
      <c r="AG19" s="52">
        <f t="shared" si="7"/>
        <v>24309.459138580161</v>
      </c>
      <c r="AH19" s="17"/>
      <c r="AI19" s="493"/>
      <c r="AJ19" s="49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+IFERROR(HLOOKUP($B20,'[1]9월누계'!$D$6:$BN$259,2,),)/1000</f>
        <v>95</v>
      </c>
      <c r="K20" s="46">
        <f>+IFERROR(HLOOKUP($B20,'[2]9월누계'!$F$6:$CP$99,2,),)/1000</f>
        <v>113.88849999999999</v>
      </c>
      <c r="L20" s="47">
        <f t="shared" si="0"/>
        <v>18.888499999999993</v>
      </c>
      <c r="M20" s="48">
        <f>+IFERROR(HLOOKUP($B20,'[3]9월누계'!$F$6:$CC$57,2,),)/1000</f>
        <v>75.480500000000006</v>
      </c>
      <c r="N20" s="49">
        <f t="shared" si="2"/>
        <v>38.407999999999987</v>
      </c>
      <c r="O20" s="45">
        <f>+IFERROR(HLOOKUP($B20,'[1]9월누계'!$D$6:$BN$259,3,),)/1000</f>
        <v>9337.6919565999997</v>
      </c>
      <c r="P20" s="46">
        <f>+IFERROR(HLOOKUP($B20,'[2]9월누계'!$F$6:$CP$99,3,),)/1000</f>
        <v>11077.996587</v>
      </c>
      <c r="Q20" s="47">
        <f t="shared" si="3"/>
        <v>1740.3046304</v>
      </c>
      <c r="R20" s="48">
        <f>+IFERROR(HLOOKUP($B20,'[3]9월누계'!$F$6:$CC$57,3,),)/1000</f>
        <v>7271.5489369999996</v>
      </c>
      <c r="S20" s="49">
        <f t="shared" si="4"/>
        <v>3806.4476500000001</v>
      </c>
      <c r="T20" s="45">
        <f>+IFERROR(HLOOKUP($B20,'[1]9월누계'!$D$6:$BN$259,16,),)/1000</f>
        <v>996.57496553216504</v>
      </c>
      <c r="U20" s="46">
        <f>+IFERROR(HLOOKUP($B20,'[2]9월누계'!$F$6:$CP$99,16,),)/1000</f>
        <v>1109.4876289999993</v>
      </c>
      <c r="V20" s="47">
        <f t="shared" si="5"/>
        <v>112.91266346783425</v>
      </c>
      <c r="W20" s="48">
        <f>+IFERROR(HLOOKUP($B20,'[3]9월누계'!$F$6:$CC$57,16,),)/1000</f>
        <v>513.82139399999937</v>
      </c>
      <c r="X20" s="49">
        <f t="shared" si="6"/>
        <v>595.66623499999992</v>
      </c>
      <c r="Y20" s="45">
        <f>+[12]전주!$Q$85</f>
        <v>98291.494279999999</v>
      </c>
      <c r="Z20" s="46">
        <f>+[12]전주!$R$85</f>
        <v>97270.561627222312</v>
      </c>
      <c r="AA20" s="50">
        <f>+[13]전주!$Q$85</f>
        <v>96338.475793464051</v>
      </c>
      <c r="AB20" s="51">
        <f>+[12]전주!$Q$89</f>
        <v>73170.209426445042</v>
      </c>
      <c r="AC20" s="46">
        <f>+[12]전주!$R$89</f>
        <v>75316.487808518665</v>
      </c>
      <c r="AD20" s="52">
        <f>+[13]전주!$Q$89</f>
        <v>71733.330078888277</v>
      </c>
      <c r="AE20" s="51">
        <f t="shared" si="7"/>
        <v>25121.284853554956</v>
      </c>
      <c r="AF20" s="46">
        <f t="shared" si="7"/>
        <v>21954.073818703648</v>
      </c>
      <c r="AG20" s="52">
        <f t="shared" si="7"/>
        <v>24605.145714575774</v>
      </c>
      <c r="AH20" s="17"/>
      <c r="AI20" s="493"/>
      <c r="AJ20" s="49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+IFERROR(HLOOKUP($B21,'[1]9월누계'!$D$6:$BN$259,2,),)/1000</f>
        <v>62.5</v>
      </c>
      <c r="K21" s="46">
        <f>+IFERROR(HLOOKUP($B21,'[2]9월누계'!$F$6:$CP$99,2,),)/1000</f>
        <v>44.545499999999997</v>
      </c>
      <c r="L21" s="47">
        <f t="shared" si="0"/>
        <v>-17.954500000000003</v>
      </c>
      <c r="M21" s="48">
        <f>+IFERROR(HLOOKUP($B21,'[3]9월누계'!$F$6:$CC$57,2,),)/1000</f>
        <v>76.563500000000005</v>
      </c>
      <c r="N21" s="49">
        <f t="shared" si="2"/>
        <v>-32.018000000000008</v>
      </c>
      <c r="O21" s="45">
        <f>+IFERROR(HLOOKUP($B21,'[1]9월누계'!$D$6:$BN$259,3,),)/1000</f>
        <v>6935.6091830000014</v>
      </c>
      <c r="P21" s="46">
        <f>+IFERROR(HLOOKUP($B21,'[2]9월누계'!$F$6:$CP$99,3,),)/1000</f>
        <v>4899.0927219999994</v>
      </c>
      <c r="Q21" s="47">
        <f t="shared" si="3"/>
        <v>-2036.516461000002</v>
      </c>
      <c r="R21" s="48">
        <f>+IFERROR(HLOOKUP($B21,'[3]9월누계'!$F$6:$CC$57,3,),)/1000</f>
        <v>8684.7115360000007</v>
      </c>
      <c r="S21" s="49">
        <f t="shared" si="4"/>
        <v>-3785.6188140000013</v>
      </c>
      <c r="T21" s="45">
        <f>+IFERROR(HLOOKUP($B21,'[1]9월누계'!$D$6:$BN$259,16,),)/1000</f>
        <v>1634.8091862049855</v>
      </c>
      <c r="U21" s="46">
        <f>+IFERROR(HLOOKUP($B21,'[2]9월누계'!$F$6:$CP$99,16,),)/1000</f>
        <v>912.85208699999919</v>
      </c>
      <c r="V21" s="47">
        <f t="shared" si="5"/>
        <v>-721.95709920498632</v>
      </c>
      <c r="W21" s="48">
        <f>+IFERROR(HLOOKUP($B21,'[3]9월누계'!$F$6:$CC$57,16,),)/1000</f>
        <v>2422.0773110000005</v>
      </c>
      <c r="X21" s="49">
        <f t="shared" si="6"/>
        <v>-1509.2252240000012</v>
      </c>
      <c r="Y21" s="45">
        <f>+[12]군산!$Q$85</f>
        <v>110969.74692800002</v>
      </c>
      <c r="Z21" s="46">
        <f>+[12]군산!$R$85</f>
        <v>109962.98199691117</v>
      </c>
      <c r="AA21" s="50">
        <f>+[13]군산!$Q$85</f>
        <v>113449.09707499853</v>
      </c>
      <c r="AB21" s="51">
        <f>+[12]군산!$Q$89</f>
        <v>72593.977863386914</v>
      </c>
      <c r="AC21" s="46">
        <f>+[12]군산!$R$89</f>
        <v>72408.714818697234</v>
      </c>
      <c r="AD21" s="52">
        <f>+[13]군산!$Q$89</f>
        <v>72317.710525111324</v>
      </c>
      <c r="AE21" s="51">
        <f t="shared" si="7"/>
        <v>38375.769064613109</v>
      </c>
      <c r="AF21" s="46">
        <f t="shared" si="7"/>
        <v>37554.267178213937</v>
      </c>
      <c r="AG21" s="52">
        <f t="shared" si="7"/>
        <v>41131.386549887204</v>
      </c>
      <c r="AH21" s="17"/>
      <c r="AI21" s="493"/>
      <c r="AJ21" s="49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+IFERROR(HLOOKUP($B22,'[1]9월누계'!$D$6:$BN$259,2,),)/1000</f>
        <v>40</v>
      </c>
      <c r="K22" s="46">
        <f>+IFERROR(HLOOKUP($B22,'[2]9월누계'!$F$6:$CP$99,2,),)/1000</f>
        <v>23.686</v>
      </c>
      <c r="L22" s="47">
        <f t="shared" si="0"/>
        <v>-16.314</v>
      </c>
      <c r="M22" s="48">
        <f>+IFERROR(HLOOKUP($B22,'[3]9월누계'!$F$6:$CC$57,2,),)/1000</f>
        <v>50.372999999999998</v>
      </c>
      <c r="N22" s="49">
        <f t="shared" si="2"/>
        <v>-26.686999999999998</v>
      </c>
      <c r="O22" s="45">
        <f>+IFERROR(HLOOKUP($B22,'[1]9월누계'!$D$6:$BN$259,3,),)/1000</f>
        <v>4480</v>
      </c>
      <c r="P22" s="46">
        <f>+IFERROR(HLOOKUP($B22,'[2]9월누계'!$F$6:$CP$99,3,),)/1000</f>
        <v>2579.1358989999999</v>
      </c>
      <c r="Q22" s="47">
        <f t="shared" si="3"/>
        <v>-1900.8641010000001</v>
      </c>
      <c r="R22" s="48">
        <f>+IFERROR(HLOOKUP($B22,'[3]9월누계'!$F$6:$CC$57,3,),)/1000</f>
        <v>5665.3093899999994</v>
      </c>
      <c r="S22" s="49">
        <f t="shared" si="4"/>
        <v>-3086.1734909999996</v>
      </c>
      <c r="T22" s="45">
        <f>+IFERROR(HLOOKUP($B22,'[1]9월누계'!$D$6:$BN$259,16,),)/1000</f>
        <v>699.09405530601816</v>
      </c>
      <c r="U22" s="46">
        <f>+IFERROR(HLOOKUP($B22,'[2]9월누계'!$F$6:$CP$99,16,),)/1000</f>
        <v>82.862910999999698</v>
      </c>
      <c r="V22" s="47">
        <f t="shared" si="5"/>
        <v>-616.23114430601845</v>
      </c>
      <c r="W22" s="48">
        <f>+IFERROR(HLOOKUP($B22,'[3]9월누계'!$F$6:$CC$57,16,),)/1000</f>
        <v>1128.7027799999996</v>
      </c>
      <c r="X22" s="49">
        <f t="shared" si="6"/>
        <v>-1045.8398689999999</v>
      </c>
      <c r="Y22" s="45">
        <f>+[12]원주!$Q$85</f>
        <v>112000</v>
      </c>
      <c r="Z22" s="46">
        <f>+[12]원주!$R$85</f>
        <v>108890.34201858107</v>
      </c>
      <c r="AA22" s="50">
        <f>+[13]원주!$Q$85</f>
        <v>112473.27552642034</v>
      </c>
      <c r="AB22" s="51">
        <f>+[12]원주!$Q$89</f>
        <v>73330.309992243259</v>
      </c>
      <c r="AC22" s="46">
        <f>+[12]원주!$R$89</f>
        <v>71727.811739864876</v>
      </c>
      <c r="AD22" s="52">
        <f>+[13]원주!$Q$89</f>
        <v>73811.46791815653</v>
      </c>
      <c r="AE22" s="51">
        <f t="shared" si="7"/>
        <v>38669.690007756741</v>
      </c>
      <c r="AF22" s="46">
        <f t="shared" si="7"/>
        <v>37162.530278716193</v>
      </c>
      <c r="AG22" s="52">
        <f t="shared" si="7"/>
        <v>38661.807608263814</v>
      </c>
      <c r="AH22" s="17"/>
      <c r="AI22" s="493"/>
      <c r="AJ22" s="494"/>
    </row>
    <row r="23" spans="2:38" s="8" customFormat="1" ht="22.5" customHeight="1" x14ac:dyDescent="0.3">
      <c r="B23" s="8" t="s">
        <v>75</v>
      </c>
      <c r="F23" s="84">
        <f>+K27-J27</f>
        <v>-335.09118000000035</v>
      </c>
      <c r="G23" s="334" t="str">
        <f t="shared" si="1"/>
        <v>제주</v>
      </c>
      <c r="H23" s="74"/>
      <c r="I23" s="75" t="s">
        <v>75</v>
      </c>
      <c r="J23" s="45">
        <f>+IFERROR(HLOOKUP($B23,'[1]9월누계'!$D$6:$BN$259,2,),)/1000</f>
        <v>73</v>
      </c>
      <c r="K23" s="46">
        <f>+IFERROR(HLOOKUP($B23,'[2]9월누계'!$F$6:$CP$99,2,),)/1000</f>
        <v>50.281999999999996</v>
      </c>
      <c r="L23" s="47">
        <f t="shared" si="0"/>
        <v>-22.718000000000004</v>
      </c>
      <c r="M23" s="48">
        <f>+IFERROR(HLOOKUP($B23,'[3]9월누계'!$F$6:$CC$57,2,),)/1000</f>
        <v>31.458500000000001</v>
      </c>
      <c r="N23" s="49">
        <f t="shared" si="2"/>
        <v>18.823499999999996</v>
      </c>
      <c r="O23" s="45">
        <f>+IFERROR(HLOOKUP($B23,'[1]9월누계'!$D$6:$BN$259,3,),)/1000</f>
        <v>8968.9285</v>
      </c>
      <c r="P23" s="46">
        <f>+IFERROR(HLOOKUP($B23,'[2]9월누계'!$F$6:$CP$99,3,),)/1000</f>
        <v>6189.5569120000018</v>
      </c>
      <c r="Q23" s="47">
        <f t="shared" si="3"/>
        <v>-2779.3715879999982</v>
      </c>
      <c r="R23" s="48">
        <f>+IFERROR(HLOOKUP($B23,'[3]9월누계'!$F$6:$CC$57,3,),)/1000</f>
        <v>3929.3065629999996</v>
      </c>
      <c r="S23" s="49">
        <f t="shared" si="4"/>
        <v>2260.2503490000022</v>
      </c>
      <c r="T23" s="45">
        <f>+IFERROR(HLOOKUP($B23,'[1]9월누계'!$D$6:$BN$259,16,),)/1000</f>
        <v>1443.0501206956267</v>
      </c>
      <c r="U23" s="46">
        <f>+IFERROR(HLOOKUP($B23,'[2]9월누계'!$F$6:$CP$99,16,),)/1000</f>
        <v>632.62419000000045</v>
      </c>
      <c r="V23" s="47">
        <f t="shared" si="5"/>
        <v>-810.42593069562622</v>
      </c>
      <c r="W23" s="48">
        <f>+IFERROR(HLOOKUP($B23,'[3]9월누계'!$F$6:$CC$57,16,),)/1000</f>
        <v>325.24141599999945</v>
      </c>
      <c r="X23" s="49">
        <f t="shared" si="6"/>
        <v>307.38277400000101</v>
      </c>
      <c r="Y23" s="45">
        <f>+[12]제주!$Q$85</f>
        <v>122862.03424657535</v>
      </c>
      <c r="Z23" s="46">
        <f>+[12]제주!$R$85</f>
        <v>122898.30090729948</v>
      </c>
      <c r="AA23" s="50">
        <f>+[13]제주!$Q$85</f>
        <v>124904.44754199976</v>
      </c>
      <c r="AB23" s="51">
        <f>+[12]제주!$Q$89</f>
        <v>91083.112638536113</v>
      </c>
      <c r="AC23" s="46">
        <f>+[12]제주!$R$89</f>
        <v>92689.848814310331</v>
      </c>
      <c r="AD23" s="52">
        <f>+[13]제주!$Q$89</f>
        <v>89107.933447477728</v>
      </c>
      <c r="AE23" s="51">
        <f t="shared" si="7"/>
        <v>31778.921608039236</v>
      </c>
      <c r="AF23" s="46">
        <f t="shared" si="7"/>
        <v>30208.452092989144</v>
      </c>
      <c r="AG23" s="52">
        <f t="shared" si="7"/>
        <v>35796.514094522034</v>
      </c>
      <c r="AH23" s="17"/>
      <c r="AI23" s="493"/>
      <c r="AJ23" s="494"/>
    </row>
    <row r="24" spans="2:38" s="8" customFormat="1" ht="22.5" customHeight="1" x14ac:dyDescent="0.3">
      <c r="F24" s="495">
        <f>+K24/J24</f>
        <v>0.82138019933554818</v>
      </c>
      <c r="G24" s="337" t="str">
        <f t="shared" si="1"/>
        <v>수도권</v>
      </c>
      <c r="H24" s="74"/>
      <c r="I24" s="78" t="s">
        <v>42</v>
      </c>
      <c r="J24" s="22">
        <f>SUM(J7:J10)</f>
        <v>903</v>
      </c>
      <c r="K24" s="19">
        <f>SUM(K7:K10)</f>
        <v>741.70632000000001</v>
      </c>
      <c r="L24" s="20">
        <f t="shared" si="0"/>
        <v>-161.29367999999999</v>
      </c>
      <c r="M24" s="24">
        <f>SUM(M7:M10)</f>
        <v>895.25750000000005</v>
      </c>
      <c r="N24" s="21">
        <f t="shared" si="2"/>
        <v>-153.55118000000004</v>
      </c>
      <c r="O24" s="22">
        <f>SUM(O7:O10)</f>
        <v>88358.936630967481</v>
      </c>
      <c r="P24" s="19">
        <f>SUM(P7:P10)</f>
        <v>71190.926321000006</v>
      </c>
      <c r="Q24" s="20">
        <f t="shared" si="3"/>
        <v>-17168.010309967474</v>
      </c>
      <c r="R24" s="24">
        <f>SUM(R7:R10)</f>
        <v>88689.120725000001</v>
      </c>
      <c r="S24" s="21">
        <f t="shared" si="4"/>
        <v>-17498.194403999994</v>
      </c>
      <c r="T24" s="22">
        <f>SUM(T7:T10)</f>
        <v>6055.7800754130931</v>
      </c>
      <c r="U24" s="19">
        <f>SUM(U7:U10)</f>
        <v>1798.2506280100017</v>
      </c>
      <c r="V24" s="20">
        <f t="shared" si="5"/>
        <v>-4257.5294474030916</v>
      </c>
      <c r="W24" s="24">
        <f>SUM(W7:W10)</f>
        <v>7423.8551040099992</v>
      </c>
      <c r="X24" s="21">
        <f t="shared" si="6"/>
        <v>-5625.6044759999977</v>
      </c>
      <c r="Y24" s="22">
        <f>+[12]수도권!$Q$85</f>
        <v>97850.428162754717</v>
      </c>
      <c r="Z24" s="19">
        <f>+[12]수도권!$R$85</f>
        <v>96020.176856209466</v>
      </c>
      <c r="AA24" s="23">
        <f>+[13]수도권!$Q$85</f>
        <v>99076.406132854987</v>
      </c>
      <c r="AB24" s="28">
        <f>+[12]수도권!$Q$89</f>
        <v>80883.82386730898</v>
      </c>
      <c r="AC24" s="19">
        <f>+[12]수도권!$R$89</f>
        <v>80999.558861047597</v>
      </c>
      <c r="AD24" s="29">
        <f>+[13]수도권!$Q$89</f>
        <v>80800.204799494124</v>
      </c>
      <c r="AE24" s="28">
        <f t="shared" si="7"/>
        <v>16966.604295445737</v>
      </c>
      <c r="AF24" s="19">
        <f t="shared" si="7"/>
        <v>15020.617995161869</v>
      </c>
      <c r="AG24" s="29">
        <f t="shared" si="7"/>
        <v>18276.201333360863</v>
      </c>
      <c r="AH24" s="17"/>
      <c r="AI24" s="493"/>
      <c r="AJ24" s="494"/>
    </row>
    <row r="25" spans="2:38" s="8" customFormat="1" ht="22.5" customHeight="1" x14ac:dyDescent="0.3">
      <c r="F25" s="495">
        <f>+K25/J25</f>
        <v>0.88211761949390821</v>
      </c>
      <c r="G25" s="334" t="str">
        <f t="shared" si="1"/>
        <v>영남권</v>
      </c>
      <c r="H25" s="74"/>
      <c r="I25" s="78" t="s">
        <v>43</v>
      </c>
      <c r="J25" s="22">
        <f>SUM(J11:J18)</f>
        <v>1067</v>
      </c>
      <c r="K25" s="19">
        <f>SUM(K11:K18)</f>
        <v>941.21950000000004</v>
      </c>
      <c r="L25" s="20">
        <f t="shared" si="0"/>
        <v>-125.78049999999996</v>
      </c>
      <c r="M25" s="24">
        <f>SUM(M11:M18)</f>
        <v>1167.6615000000002</v>
      </c>
      <c r="N25" s="21">
        <f t="shared" si="2"/>
        <v>-226.44200000000012</v>
      </c>
      <c r="O25" s="22">
        <f>SUM(O11:O18)</f>
        <v>107275.44769394364</v>
      </c>
      <c r="P25" s="19">
        <f>SUM(P11:P18)</f>
        <v>92810.018398999993</v>
      </c>
      <c r="Q25" s="20">
        <f t="shared" si="3"/>
        <v>-14465.429294943649</v>
      </c>
      <c r="R25" s="24">
        <f>SUM(R11:R18)</f>
        <v>118057.85093399999</v>
      </c>
      <c r="S25" s="21">
        <f t="shared" si="4"/>
        <v>-25247.832534999994</v>
      </c>
      <c r="T25" s="22">
        <f>SUM(T11:T18)</f>
        <v>9125.6095568258188</v>
      </c>
      <c r="U25" s="19">
        <f>SUM(U11:U18)</f>
        <v>5328.4576270000007</v>
      </c>
      <c r="V25" s="20">
        <f t="shared" si="5"/>
        <v>-3797.1519298258181</v>
      </c>
      <c r="W25" s="24">
        <f>SUM(W11:W18)</f>
        <v>12953.641460000006</v>
      </c>
      <c r="X25" s="21">
        <f t="shared" si="6"/>
        <v>-7625.1838330000055</v>
      </c>
      <c r="Y25" s="22">
        <f>+[12]영남권!$Q$85</f>
        <v>100539.31367754792</v>
      </c>
      <c r="Z25" s="19">
        <f>+[12]영남권!$R$85</f>
        <v>98629.965402647387</v>
      </c>
      <c r="AA25" s="23">
        <f>+[13]영남권!$Q$85</f>
        <v>101125.79342513959</v>
      </c>
      <c r="AB25" s="28">
        <f>+[12]영남권!$Q$89</f>
        <v>78962.690095191341</v>
      </c>
      <c r="AC25" s="19">
        <f>+[12]영남권!$R$89</f>
        <v>78970.312886936183</v>
      </c>
      <c r="AD25" s="29">
        <f>+[13]영남권!$Q$89</f>
        <v>78591.615110637038</v>
      </c>
      <c r="AE25" s="28">
        <f t="shared" si="7"/>
        <v>21576.62358235658</v>
      </c>
      <c r="AF25" s="19">
        <f t="shared" si="7"/>
        <v>19659.652515711205</v>
      </c>
      <c r="AG25" s="29">
        <f t="shared" si="7"/>
        <v>22534.178314502555</v>
      </c>
      <c r="AH25" s="17"/>
      <c r="AI25" s="493"/>
      <c r="AJ25" s="494"/>
    </row>
    <row r="26" spans="2:38" s="8" customFormat="1" ht="22.5" customHeight="1" x14ac:dyDescent="0.3">
      <c r="F26" s="495">
        <f>+K26/J26</f>
        <v>0.89750907150480241</v>
      </c>
      <c r="G26" s="334" t="str">
        <f t="shared" si="1"/>
        <v>중부권</v>
      </c>
      <c r="H26" s="74"/>
      <c r="I26" s="78" t="s">
        <v>106</v>
      </c>
      <c r="J26" s="22">
        <f>SUM(J19:J23)</f>
        <v>468.5</v>
      </c>
      <c r="K26" s="19">
        <f>SUM(K19:K23)</f>
        <v>420.48299999999995</v>
      </c>
      <c r="L26" s="20">
        <f t="shared" si="0"/>
        <v>-48.017000000000053</v>
      </c>
      <c r="M26" s="24">
        <f>SUM(M19:M23)</f>
        <v>465.79449999999997</v>
      </c>
      <c r="N26" s="21">
        <f t="shared" si="2"/>
        <v>-45.311500000000024</v>
      </c>
      <c r="O26" s="22">
        <f>SUM(O19:O23)</f>
        <v>50116.229639600002</v>
      </c>
      <c r="P26" s="19">
        <f>SUM(P19:P23)</f>
        <v>42857.516905000004</v>
      </c>
      <c r="Q26" s="20">
        <f t="shared" si="3"/>
        <v>-7258.7127345999979</v>
      </c>
      <c r="R26" s="24">
        <f>SUM(R19:R23)</f>
        <v>49047.337527000003</v>
      </c>
      <c r="S26" s="21">
        <f t="shared" si="4"/>
        <v>-6189.8206219999993</v>
      </c>
      <c r="T26" s="22">
        <f>SUM(T19:T23)</f>
        <v>7356.3563913970802</v>
      </c>
      <c r="U26" s="19">
        <f>SUM(U19:U23)</f>
        <v>3513.7653409999998</v>
      </c>
      <c r="V26" s="20">
        <f t="shared" si="5"/>
        <v>-3842.5910503970804</v>
      </c>
      <c r="W26" s="24">
        <f>SUM(W19:W23)</f>
        <v>7754.3687380000038</v>
      </c>
      <c r="X26" s="21">
        <f t="shared" si="6"/>
        <v>-4240.6033970000044</v>
      </c>
      <c r="Y26" s="22">
        <f>+[12]중부권!$Q$85</f>
        <v>106971.67479103523</v>
      </c>
      <c r="Z26" s="19">
        <f>+[12]중부권!$R$85</f>
        <v>101814.44470863468</v>
      </c>
      <c r="AA26" s="23">
        <f>+[13]중부권!$Q$85</f>
        <v>105285.08994136998</v>
      </c>
      <c r="AB26" s="28">
        <f>+[12]중부권!$Q$89</f>
        <v>78121.32806696216</v>
      </c>
      <c r="AC26" s="19">
        <f>+[12]중부권!$R$89</f>
        <v>79222.815541004355</v>
      </c>
      <c r="AD26" s="29">
        <f>+[13]중부권!$Q$89</f>
        <v>75825.962706816747</v>
      </c>
      <c r="AE26" s="28">
        <f t="shared" si="7"/>
        <v>28850.346724073068</v>
      </c>
      <c r="AF26" s="19">
        <f t="shared" si="7"/>
        <v>22591.629167630323</v>
      </c>
      <c r="AG26" s="29">
        <f t="shared" si="7"/>
        <v>29459.127234553234</v>
      </c>
      <c r="AH26" s="17"/>
      <c r="AI26" s="493"/>
      <c r="AJ26" s="494"/>
    </row>
    <row r="27" spans="2:38" s="3" customFormat="1" ht="22.5" customHeight="1" x14ac:dyDescent="0.3">
      <c r="B27" s="25"/>
      <c r="F27" s="483">
        <f>+K27/M27</f>
        <v>0.83180985904492521</v>
      </c>
      <c r="G27" s="336">
        <f>+K27/J27</f>
        <v>0.86258307156038538</v>
      </c>
      <c r="H27" s="267" t="s">
        <v>94</v>
      </c>
      <c r="I27" s="268"/>
      <c r="J27" s="269">
        <f>SUM(J24:J26)</f>
        <v>2438.5</v>
      </c>
      <c r="K27" s="270">
        <f>SUM(K24:K26)</f>
        <v>2103.4088199999997</v>
      </c>
      <c r="L27" s="271">
        <f t="shared" si="0"/>
        <v>-335.09118000000035</v>
      </c>
      <c r="M27" s="272">
        <f>SUM(M24:M26)</f>
        <v>2528.7135000000003</v>
      </c>
      <c r="N27" s="273">
        <f t="shared" si="2"/>
        <v>-425.30468000000064</v>
      </c>
      <c r="O27" s="269">
        <f>SUM(O24:O26)</f>
        <v>245750.61396451111</v>
      </c>
      <c r="P27" s="270">
        <f>SUM(P24:P26)</f>
        <v>206858.461625</v>
      </c>
      <c r="Q27" s="271">
        <f t="shared" si="3"/>
        <v>-38892.152339511114</v>
      </c>
      <c r="R27" s="272">
        <f>SUM(R24:R26)</f>
        <v>255794.30918599997</v>
      </c>
      <c r="S27" s="273">
        <f t="shared" si="4"/>
        <v>-48935.847560999973</v>
      </c>
      <c r="T27" s="269">
        <f>SUM(T24:T26)</f>
        <v>22537.746023635991</v>
      </c>
      <c r="U27" s="270">
        <f>SUM(U24:U26)</f>
        <v>10640.473596010002</v>
      </c>
      <c r="V27" s="271">
        <f t="shared" si="5"/>
        <v>-11897.272427625989</v>
      </c>
      <c r="W27" s="272">
        <f>SUM(W24:W26)</f>
        <v>28131.86530201001</v>
      </c>
      <c r="X27" s="273">
        <f t="shared" si="6"/>
        <v>-17491.391706000009</v>
      </c>
      <c r="Y27" s="269">
        <f>+[12]합계!$Q$85</f>
        <v>100779.41930059918</v>
      </c>
      <c r="Z27" s="270">
        <f>+[12]합계!$R$85</f>
        <v>98349.367117269881</v>
      </c>
      <c r="AA27" s="274">
        <f>+[13]합계!$Q$85</f>
        <v>101167.04881691915</v>
      </c>
      <c r="AB27" s="275">
        <f>+[12]합계!$Q$89</f>
        <v>79512.456626254221</v>
      </c>
      <c r="AC27" s="270">
        <f>+[12]합계!$R$89</f>
        <v>79731.411913534525</v>
      </c>
      <c r="AD27" s="276">
        <f>+[13]합계!$Q$89</f>
        <v>78862.46728159608</v>
      </c>
      <c r="AE27" s="275">
        <f t="shared" si="7"/>
        <v>21266.962674344963</v>
      </c>
      <c r="AF27" s="270">
        <f t="shared" si="7"/>
        <v>18617.955203735357</v>
      </c>
      <c r="AG27" s="276">
        <f t="shared" si="7"/>
        <v>22304.581535323072</v>
      </c>
      <c r="AH27" s="26"/>
      <c r="AI27" s="493"/>
      <c r="AJ27" s="495">
        <f>+P27/O27</f>
        <v>0.84174138281043098</v>
      </c>
      <c r="AK27" s="483">
        <f>+P27/R27</f>
        <v>0.80869063226337679</v>
      </c>
      <c r="AL27" s="25"/>
    </row>
    <row r="28" spans="2:38" s="8" customFormat="1" ht="22.5" customHeight="1" x14ac:dyDescent="0.3">
      <c r="B28" s="8" t="s">
        <v>3</v>
      </c>
      <c r="E28" s="8" t="s">
        <v>123</v>
      </c>
      <c r="G28" s="334" t="s">
        <v>3</v>
      </c>
      <c r="H28" s="646" t="s">
        <v>3</v>
      </c>
      <c r="I28" s="647"/>
      <c r="J28" s="153">
        <f>+IFERROR(HLOOKUP($B28,'[1]9월누계'!$D$6:$BN$259,2,),)</f>
        <v>100900</v>
      </c>
      <c r="K28" s="154">
        <f>+IFERROR(HLOOKUP($E28,'[2]9월누계'!$F$6:$CP$99,2,),)</f>
        <v>84893.854999999996</v>
      </c>
      <c r="L28" s="155">
        <f>+K28-J28</f>
        <v>-16006.145000000004</v>
      </c>
      <c r="M28" s="156">
        <f>+IFERROR(HLOOKUP($E28,'[3]9월누계'!$F$6:$CC$57,2,),)</f>
        <v>77967.343999999997</v>
      </c>
      <c r="N28" s="157">
        <f>+K28-M28</f>
        <v>6926.5109999999986</v>
      </c>
      <c r="O28" s="153">
        <f>+IFERROR(HLOOKUP($B28,'[1]9월누계'!$D$6:$BN$259,3,),)/1000</f>
        <v>110204.90887039999</v>
      </c>
      <c r="P28" s="154">
        <f>+IFERROR(HLOOKUP($E28,'[2]9월누계'!$F$6:$CP$99,3,),)/1000</f>
        <v>76897.590006999992</v>
      </c>
      <c r="Q28" s="155">
        <f>+P28-O28</f>
        <v>-33307.318863399996</v>
      </c>
      <c r="R28" s="156">
        <f>+IFERROR(HLOOKUP($E28,'[3]9월누계'!$F$6:$CC$57,3,),)/1000</f>
        <v>77932.391057000001</v>
      </c>
      <c r="S28" s="157">
        <f t="shared" si="4"/>
        <v>-1034.8010500000091</v>
      </c>
      <c r="T28" s="153">
        <f>+IFERROR(HLOOKUP($B28,'[1]9월누계'!$D$6:$BN$259,16,),)/1000</f>
        <v>1815.1720978641531</v>
      </c>
      <c r="U28" s="154">
        <f>+IFERROR(HLOOKUP($E28,'[2]9월누계'!$F$6:$CP$99,16,),)/1000</f>
        <v>-39.663349000011912</v>
      </c>
      <c r="V28" s="155">
        <f t="shared" si="5"/>
        <v>-1854.8354468641651</v>
      </c>
      <c r="W28" s="156">
        <f>+IFERROR(HLOOKUP($E28,'[3]9월누계'!$F$6:$CC$57,16,),)/1000</f>
        <v>439.49836999999303</v>
      </c>
      <c r="X28" s="157">
        <f t="shared" si="6"/>
        <v>-479.16171900000495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95">
        <f>+P28/O28</f>
        <v>0.69776919009506999</v>
      </c>
      <c r="AK28" s="483">
        <f>+P28/R28</f>
        <v>0.98672181058523978</v>
      </c>
    </row>
    <row r="29" spans="2:38" s="8" customFormat="1" ht="22.5" customHeight="1" x14ac:dyDescent="0.3">
      <c r="B29" s="8" t="s">
        <v>115</v>
      </c>
      <c r="C29" s="73" t="s">
        <v>46</v>
      </c>
      <c r="F29" s="495">
        <f>+K29/J29</f>
        <v>1.1795225893104269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+IFERROR(HLOOKUP($B29,'[1]9월누계'!$D$6:$BN$259,2,),)/1000</f>
        <v>185.78787891473473</v>
      </c>
      <c r="K29" s="56">
        <f>+IFERROR(HLOOKUP($C29,'[2]9월누계'!$F$6:$CP$99,2,),)/1000</f>
        <v>219.14099999999999</v>
      </c>
      <c r="L29" s="37">
        <f t="shared" si="0"/>
        <v>33.353121085265258</v>
      </c>
      <c r="M29" s="37">
        <f>+IFERROR(HLOOKUP($C29,'[3]9월누계'!$F$6:$CC$57,2,),)/1000</f>
        <v>169.70699999999999</v>
      </c>
      <c r="N29" s="57">
        <f t="shared" si="2"/>
        <v>49.433999999999997</v>
      </c>
      <c r="O29" s="55">
        <f>+IFERROR(HLOOKUP($B29,'[1]9월누계'!$D$6:$BN$259,3,),)/1000</f>
        <v>5446.7276202807243</v>
      </c>
      <c r="P29" s="56">
        <f>+IFERROR(HLOOKUP($C29,'[2]9월누계'!$F$6:$CP$99,3,),)/1000</f>
        <v>6231.5050000000001</v>
      </c>
      <c r="Q29" s="37">
        <f t="shared" si="3"/>
        <v>784.77737971927581</v>
      </c>
      <c r="R29" s="37">
        <f>+IFERROR(HLOOKUP($C29,'[3]9월누계'!$F$6:$CC$57,3,),)/1000</f>
        <v>5011.7635799999998</v>
      </c>
      <c r="S29" s="57">
        <f t="shared" si="4"/>
        <v>1219.7414200000003</v>
      </c>
      <c r="T29" s="55">
        <f>+IFERROR(HLOOKUP($B29,'[1]9월누계'!$D$6:$BN$259,21,),)/1000</f>
        <v>642.93119943249508</v>
      </c>
      <c r="U29" s="56">
        <f>+IFERROR(HLOOKUP($C29,'[2]9월누계'!$F$6:$CP$99,21,),)/1000</f>
        <v>78.552224456381339</v>
      </c>
      <c r="V29" s="37">
        <f t="shared" si="5"/>
        <v>-564.3789749761138</v>
      </c>
      <c r="W29" s="37">
        <f>+IFERROR(HLOOKUP($C29,'[3]9월누계'!$F$6:$CC$57,21,),)/1000</f>
        <v>305.22036228727217</v>
      </c>
      <c r="X29" s="57">
        <f t="shared" si="6"/>
        <v>-226.66813783089083</v>
      </c>
      <c r="Y29" s="497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95"/>
      <c r="AK29" s="495"/>
    </row>
    <row r="30" spans="2:38" s="8" customFormat="1" ht="22.5" customHeight="1" x14ac:dyDescent="0.3">
      <c r="B30" s="8" t="s">
        <v>116</v>
      </c>
      <c r="C30" s="75" t="s">
        <v>47</v>
      </c>
      <c r="F30" s="495">
        <f>+K30/J30</f>
        <v>0.46779642918701281</v>
      </c>
      <c r="G30" s="335" t="str">
        <f>+I30</f>
        <v>서부산CR</v>
      </c>
      <c r="H30" s="79"/>
      <c r="I30" s="75" t="s">
        <v>124</v>
      </c>
      <c r="J30" s="53">
        <f>+IFERROR(HLOOKUP($B30,'[1]9월누계'!$D$6:$BN$259,2,),)/1000</f>
        <v>436.3479224387097</v>
      </c>
      <c r="K30" s="58">
        <f>+IFERROR(HLOOKUP($C30,'[2]9월누계'!$F$6:$CP$99,2,),)/1000</f>
        <v>204.12200000000001</v>
      </c>
      <c r="L30" s="47">
        <f t="shared" si="0"/>
        <v>-232.22592243870969</v>
      </c>
      <c r="M30" s="47">
        <f>+IFERROR(HLOOKUP($C30,'[3]9월누계'!$F$6:$CC$57,2,),)/1000</f>
        <v>168.53</v>
      </c>
      <c r="N30" s="59">
        <f t="shared" si="2"/>
        <v>35.592000000000013</v>
      </c>
      <c r="O30" s="53">
        <f>+IFERROR(HLOOKUP($B30,'[1]9월누계'!$D$6:$BN$259,3,),)/1000</f>
        <v>6380.3764278860217</v>
      </c>
      <c r="P30" s="58">
        <f>+IFERROR(HLOOKUP($C30,'[2]9월누계'!$F$6:$CP$99,3,),)/1000</f>
        <v>2775.9580000000001</v>
      </c>
      <c r="Q30" s="47">
        <f t="shared" si="3"/>
        <v>-3604.4184278860216</v>
      </c>
      <c r="R30" s="47">
        <f>+IFERROR(HLOOKUP($C30,'[3]9월누계'!$F$6:$CC$57,3,),)/1000</f>
        <v>2372.0990000000002</v>
      </c>
      <c r="S30" s="59">
        <f t="shared" si="4"/>
        <v>403.85899999999992</v>
      </c>
      <c r="T30" s="53">
        <f>+IFERROR(HLOOKUP($B30,'[1]9월누계'!$D$6:$BN$259,21,),)/1000</f>
        <v>1063.1683126469973</v>
      </c>
      <c r="U30" s="58">
        <f>+IFERROR(HLOOKUP($C30,'[2]9월누계'!$F$6:$CP$99,21,),)/1000</f>
        <v>379.88297812831979</v>
      </c>
      <c r="V30" s="47">
        <f t="shared" si="5"/>
        <v>-683.28533451867747</v>
      </c>
      <c r="W30" s="47">
        <f>+IFERROR(HLOOKUP($C30,'[3]9월누계'!$F$6:$CC$57,21,),)/1000</f>
        <v>27.374989941775095</v>
      </c>
      <c r="X30" s="59">
        <f t="shared" si="6"/>
        <v>352.50798818654471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95"/>
      <c r="AK30" s="567"/>
      <c r="AL30" s="86"/>
    </row>
    <row r="31" spans="2:38" s="8" customFormat="1" ht="22.5" customHeight="1" x14ac:dyDescent="0.3">
      <c r="B31" s="8" t="s">
        <v>111</v>
      </c>
      <c r="C31" s="77" t="s">
        <v>111</v>
      </c>
      <c r="F31" s="495">
        <f>+K31/J31</f>
        <v>0.6643432886648879</v>
      </c>
      <c r="G31" s="335" t="str">
        <f>+I31</f>
        <v>부산CR</v>
      </c>
      <c r="H31" s="79"/>
      <c r="I31" s="77" t="s">
        <v>125</v>
      </c>
      <c r="J31" s="53">
        <f>+IFERROR(HLOOKUP($B31,'[1]9월누계'!$D$6:$BN$259,2,),)/1000</f>
        <v>241.11028549999997</v>
      </c>
      <c r="K31" s="58">
        <f>+IFERROR(HLOOKUP($C31,'[2]9월누계'!$F$6:$CP$99,2,),)/1000</f>
        <v>160.18</v>
      </c>
      <c r="L31" s="47">
        <f t="shared" si="0"/>
        <v>-80.930285499999968</v>
      </c>
      <c r="M31" s="47">
        <f>+IFERROR(HLOOKUP($C31,'[3]9월누계'!$F$6:$CC$57,2,),)/1000</f>
        <v>315.97800000000001</v>
      </c>
      <c r="N31" s="59">
        <f t="shared" si="2"/>
        <v>-155.798</v>
      </c>
      <c r="O31" s="53">
        <f>+IFERROR(HLOOKUP($B31,'[1]9월누계'!$D$6:$BN$259,3,),)/1000</f>
        <v>4119.4511161166665</v>
      </c>
      <c r="P31" s="58">
        <f>+IFERROR(HLOOKUP($C31,'[2]9월누계'!$F$6:$CP$99,3,),)/1000</f>
        <v>3069.826</v>
      </c>
      <c r="Q31" s="47">
        <f t="shared" si="3"/>
        <v>-1049.6251161166665</v>
      </c>
      <c r="R31" s="47">
        <f>+IFERROR(HLOOKUP($C31,'[3]9월누계'!$F$6:$CC$57,3,),)/1000</f>
        <v>5745.9229999999998</v>
      </c>
      <c r="S31" s="59">
        <f t="shared" si="4"/>
        <v>-2676.0969999999998</v>
      </c>
      <c r="T31" s="53">
        <f>+IFERROR(HLOOKUP($B31,'[1]9월누계'!$D$6:$BN$259,21,),)/1000</f>
        <v>-191.74050994098104</v>
      </c>
      <c r="U31" s="58">
        <f>+IFERROR(HLOOKUP($C31,'[2]9월누계'!$F$6:$CP$99,21,),)/1000</f>
        <v>-1162.3448219299996</v>
      </c>
      <c r="V31" s="47">
        <f t="shared" si="5"/>
        <v>-970.60431198901858</v>
      </c>
      <c r="W31" s="47">
        <f>+IFERROR(HLOOKUP($C31,'[3]9월누계'!$F$6:$CC$57,21,),)/1000</f>
        <v>-186.63275386999899</v>
      </c>
      <c r="X31" s="59">
        <f t="shared" si="6"/>
        <v>-975.71206806000066</v>
      </c>
      <c r="Y31" s="482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95"/>
      <c r="AK31" s="567"/>
      <c r="AL31" s="86"/>
    </row>
    <row r="32" spans="2:38" s="3" customFormat="1" ht="22.5" customHeight="1" x14ac:dyDescent="0.3">
      <c r="F32" s="495">
        <f>+K32/J32</f>
        <v>0.67587100467106154</v>
      </c>
      <c r="G32" s="338"/>
      <c r="H32" s="134" t="s">
        <v>33</v>
      </c>
      <c r="I32" s="135"/>
      <c r="J32" s="136">
        <f>SUM(J29:J31)</f>
        <v>863.24608685344447</v>
      </c>
      <c r="K32" s="140">
        <f>SUM(K29:K31)</f>
        <v>583.44299999999998</v>
      </c>
      <c r="L32" s="138">
        <f t="shared" si="0"/>
        <v>-279.80308685344448</v>
      </c>
      <c r="M32" s="138">
        <f>SUM(M29:M31)</f>
        <v>654.21499999999992</v>
      </c>
      <c r="N32" s="139">
        <f t="shared" si="2"/>
        <v>-70.771999999999935</v>
      </c>
      <c r="O32" s="136">
        <f>SUM(O29:O31)</f>
        <v>15946.555164283413</v>
      </c>
      <c r="P32" s="140">
        <f>SUM(P29:P31)</f>
        <v>12077.289000000001</v>
      </c>
      <c r="Q32" s="138">
        <f t="shared" si="3"/>
        <v>-3869.2661642834119</v>
      </c>
      <c r="R32" s="138">
        <f>SUM(R29:R31)</f>
        <v>13129.78558</v>
      </c>
      <c r="S32" s="139">
        <f t="shared" si="4"/>
        <v>-1052.4965799999991</v>
      </c>
      <c r="T32" s="136">
        <f>SUM(T29:T31)</f>
        <v>1514.3590021385112</v>
      </c>
      <c r="U32" s="140">
        <f>SUM(U29:U31)</f>
        <v>-703.90961934529855</v>
      </c>
      <c r="V32" s="138">
        <f t="shared" si="5"/>
        <v>-2218.2686214838095</v>
      </c>
      <c r="W32" s="138">
        <f>SUM(W29:W31)</f>
        <v>145.96259835904826</v>
      </c>
      <c r="X32" s="139">
        <f t="shared" si="6"/>
        <v>-849.87221770434678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95">
        <f>+P32/O32</f>
        <v>0.75736037505142983</v>
      </c>
      <c r="AK32" s="483">
        <f>+P32/R32</f>
        <v>0.9198390123290956</v>
      </c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(IFERROR(HLOOKUP($B33,'[1]9월누계'!$D$6:$BN$259,3,),)++IFERROR(HLOOKUP($C33,'[1]9월누계'!$D$6:$BN$259,3,),)+IFERROR(HLOOKUP($D33,'[1]9월누계'!$D$6:$BN$259,3,),))/1000</f>
        <v>672.52</v>
      </c>
      <c r="P33" s="46">
        <f>+IFERROR(HLOOKUP($E33,'[2]9월누계'!$F$6:$CP$99,3,),)/1000</f>
        <v>507.56</v>
      </c>
      <c r="Q33" s="48">
        <f t="shared" si="3"/>
        <v>-164.95999999999998</v>
      </c>
      <c r="R33" s="47">
        <f>+IFERROR(HLOOKUP($E33,'[3]9월누계'!$F$6:$CC$57,3,),)/1000</f>
        <v>817.56</v>
      </c>
      <c r="S33" s="59">
        <f t="shared" si="4"/>
        <v>-309.99999999999994</v>
      </c>
      <c r="T33" s="45">
        <f>(IFERROR(HLOOKUP($B33,'[1]9월누계'!$D$6:$BN$259,21,),)++IFERROR(HLOOKUP($C33,'[1]9월누계'!$D$6:$BN$259,21,),)+IFERROR(HLOOKUP($D33,'[1]9월누계'!$D$6:$BN$259,21,),))/1000</f>
        <v>463.57074699999998</v>
      </c>
      <c r="U33" s="46">
        <f>+IFERROR(HLOOKUP($E33,'[2]9월누계'!$F$6:$CP$99,16,),)/1000</f>
        <v>278.12364200000002</v>
      </c>
      <c r="V33" s="48">
        <f t="shared" si="5"/>
        <v>-185.44710499999997</v>
      </c>
      <c r="W33" s="47">
        <f>+IFERROR(HLOOKUP($E33,'[3]9월누계'!$F$6:$CC$57,16,),)/1000</f>
        <v>556.78798500000005</v>
      </c>
      <c r="X33" s="59">
        <f t="shared" si="6"/>
        <v>-278.66434300000003</v>
      </c>
      <c r="Y33" s="479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K33" s="495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9">+K34-M34</f>
        <v>0</v>
      </c>
      <c r="O34" s="45">
        <f>(+IFERROR(HLOOKUP($B34,'[1]9월누계'!$D$6:$BN$259,3,),)+IFERROR(HLOOKUP($C34,'[1]9월누계'!$D$6:$BN$259,3,),))/1000</f>
        <v>668.02350000000001</v>
      </c>
      <c r="P34" s="46">
        <f>+IFERROR(HLOOKUP($E34,'[2]9월누계'!$F$6:$CP$99,3,),)/1000</f>
        <v>663.18566500000009</v>
      </c>
      <c r="Q34" s="48">
        <f>+P34-O34</f>
        <v>-4.8378349999999273</v>
      </c>
      <c r="R34" s="47">
        <f>+IFERROR(HLOOKUP($E34,'[3]9월누계'!$F$6:$CC$57,3,),)/1000</f>
        <v>656.6491410000001</v>
      </c>
      <c r="S34" s="59">
        <f t="shared" si="4"/>
        <v>6.5365239999999858</v>
      </c>
      <c r="T34" s="45">
        <f>(+IFERROR(HLOOKUP($B34,'[1]9월누계'!$D$6:$BN$259,21,),)+IFERROR(HLOOKUP($C34,'[1]9월누계'!$D$6:$BN$259,21,),))/1000</f>
        <v>614.58583199999998</v>
      </c>
      <c r="U34" s="46">
        <f>+IFERROR(HLOOKUP($E34,'[2]9월누계'!$F$6:$CP$99,16,),)/1000</f>
        <v>609.53101500000014</v>
      </c>
      <c r="V34" s="48">
        <f t="shared" si="5"/>
        <v>-5.0548169999998436</v>
      </c>
      <c r="W34" s="47">
        <f>+IFERROR(HLOOKUP($E34,'[3]9월누계'!$F$6:$CC$57,16,),)/1000</f>
        <v>603.40156600000012</v>
      </c>
      <c r="X34" s="59">
        <f t="shared" si="6"/>
        <v>6.1294490000000224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495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8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9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>
        <f>-'[1]9월누계'!$Z$22/1000</f>
        <v>-13933.983613111202</v>
      </c>
      <c r="U35" s="46">
        <f>+-'[2]9월누계'!$Z$22/1000</f>
        <v>-14172.401834705126</v>
      </c>
      <c r="V35" s="48">
        <f t="shared" si="5"/>
        <v>-238.41822159392359</v>
      </c>
      <c r="W35" s="47">
        <f>+-'[3]9월누계'!$Z$22/1000</f>
        <v>-12891.838653357487</v>
      </c>
      <c r="X35" s="59">
        <f t="shared" si="6"/>
        <v>-1280.5631813476393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495"/>
      <c r="AL35" s="86"/>
    </row>
    <row r="36" spans="2:38" s="8" customFormat="1" ht="22.5" customHeight="1" x14ac:dyDescent="0.3">
      <c r="D36"/>
      <c r="E36"/>
      <c r="F36"/>
      <c r="G36" s="334" t="str">
        <f t="shared" si="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9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'[2]9월누계'!$BD$26/1000</f>
        <v>0</v>
      </c>
      <c r="V36" s="48">
        <f t="shared" si="5"/>
        <v>0</v>
      </c>
      <c r="W36" s="47">
        <f>'[3]9월누계'!$BD$26/1000</f>
        <v>500</v>
      </c>
      <c r="X36" s="59">
        <f t="shared" si="6"/>
        <v>-500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567"/>
      <c r="AL36" s="86"/>
    </row>
    <row r="37" spans="2:38" s="8" customFormat="1" ht="22.5" customHeight="1" x14ac:dyDescent="0.3">
      <c r="D37"/>
      <c r="E37"/>
      <c r="F37"/>
      <c r="G37" s="334" t="str">
        <f t="shared" si="8"/>
        <v>대손</v>
      </c>
      <c r="H37" s="81"/>
      <c r="I37" s="82" t="s">
        <v>96</v>
      </c>
      <c r="J37" s="45"/>
      <c r="K37" s="46"/>
      <c r="L37" s="48"/>
      <c r="M37" s="47"/>
      <c r="N37" s="59">
        <f t="shared" si="9"/>
        <v>0</v>
      </c>
      <c r="O37" s="45"/>
      <c r="P37" s="46"/>
      <c r="Q37" s="48">
        <f>+P37-O37</f>
        <v>0</v>
      </c>
      <c r="R37" s="47"/>
      <c r="S37" s="59">
        <f t="shared" si="4"/>
        <v>0</v>
      </c>
      <c r="T37" s="45"/>
      <c r="U37" s="46">
        <f>'[2]9월누계'!$BE$26/1000</f>
        <v>-1243.0000719999998</v>
      </c>
      <c r="V37" s="48">
        <f t="shared" si="5"/>
        <v>-1243.0000719999998</v>
      </c>
      <c r="W37" s="47">
        <f>'[3]9월누계'!$BE$26/1000</f>
        <v>-573.85933299999999</v>
      </c>
      <c r="X37" s="59">
        <f t="shared" si="6"/>
        <v>-669.14073899999983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567"/>
      <c r="AL37" s="86"/>
    </row>
    <row r="38" spans="2:38" s="8" customFormat="1" ht="22.5" customHeight="1" x14ac:dyDescent="0.3">
      <c r="D38"/>
      <c r="E38"/>
      <c r="F38"/>
      <c r="G38" s="334" t="str">
        <f t="shared" si="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9"/>
        <v>0</v>
      </c>
      <c r="O38" s="45"/>
      <c r="P38" s="46"/>
      <c r="Q38" s="48">
        <f>+P38-O38</f>
        <v>0</v>
      </c>
      <c r="R38" s="47">
        <f>+IFERROR(HLOOKUP($I$38,'[3]9월누계'!$F$6:$BJ$50,3,),)/1000</f>
        <v>0</v>
      </c>
      <c r="S38" s="59">
        <f t="shared" si="4"/>
        <v>0</v>
      </c>
      <c r="T38" s="45">
        <f>SUM('[1]9월누계'!$AM$26:$AQ$26)/1000</f>
        <v>-252.74784300000002</v>
      </c>
      <c r="U38" s="46">
        <f>+'[2]9월누계'!$BF$26/1000</f>
        <v>-252.00262299999997</v>
      </c>
      <c r="V38" s="48">
        <f t="shared" si="5"/>
        <v>0.74522000000004596</v>
      </c>
      <c r="W38" s="47">
        <f>+'[3]9월누계'!$BF$26/1000</f>
        <v>-339.52040299999993</v>
      </c>
      <c r="X38" s="59">
        <f>+U38-W38</f>
        <v>87.517779999999959</v>
      </c>
      <c r="Y38" s="479"/>
      <c r="Z38" s="491"/>
      <c r="AA38" s="229"/>
      <c r="AB38" s="229"/>
      <c r="AC38" s="229"/>
      <c r="AD38" s="229"/>
      <c r="AE38" s="229"/>
      <c r="AF38" s="229"/>
      <c r="AG38" s="50"/>
      <c r="AH38" s="17"/>
      <c r="AI38" s="18"/>
      <c r="AK38" s="567"/>
      <c r="AL38" s="86"/>
    </row>
    <row r="39" spans="2:38" s="8" customFormat="1" ht="22.5" customHeight="1" x14ac:dyDescent="0.3">
      <c r="B39" t="s">
        <v>30</v>
      </c>
      <c r="D39"/>
      <c r="G39" s="334" t="str">
        <f t="shared" si="8"/>
        <v>퇴직위로금</v>
      </c>
      <c r="H39" s="81"/>
      <c r="I39" s="82" t="s">
        <v>162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+'[2]9월누계'!$BG$26/1000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K39" s="495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IFERROR(HLOOKUP($B39,'[1]9월누계'!$D$6:$BN$259,3,),)/1000</f>
        <v>15.93</v>
      </c>
      <c r="P40" s="46">
        <f>+('[2]9월누계'!$F$8-SUM('[2]9월누계'!$Z$8,'[2]9월누계'!$AH$8,'[2]9월누계'!$AN$8,'[2]9월누계'!$AO$8,'[2]9월누계'!$BA$8,'[2]9월누계'!$BD$8,'[2]9월누계'!$BE$8,'[2]9월누계'!$BF$8))/1000</f>
        <v>15.139550000011921</v>
      </c>
      <c r="Q40" s="54">
        <f>+P40-O40</f>
        <v>-0.79044999998807874</v>
      </c>
      <c r="R40" s="60">
        <f>+('[3]9월누계'!$F$8-SUM('[3]9월누계'!$Z$8,'[3]9월누계'!$AH$8,'[3]9월누계'!$AN$8,'[3]9월누계'!$AO$8,'[3]9월누계'!$BA$8,'[3]9월누계'!$BD$8,'[3]9월누계'!$BE$8,'[3]9월누계'!$BF$8))/1000</f>
        <v>15.666199999988079</v>
      </c>
      <c r="S40" s="61">
        <f>+P40-R40</f>
        <v>-0.5266499999761578</v>
      </c>
      <c r="T40" s="45">
        <f>+('[1]9월누계'!$E$26-'[1]9월누계'!$Z$26-'[1]9월누계'!$AA$26-'[1]9월누계'!$AE$26-'[1]9월누계'!$AL$26-'[1]9월누계'!$AM$26-'[1]9월누계'!$AN$26-'[1]9월누계'!$AO$26-'[1]9월누계'!$AP$26-'[1]9월누계'!$AQ$26-'[1]9월누계'!$AS$26)/1000+'[1]9월누계'!$AS$26/1000</f>
        <v>-599.7066520000019</v>
      </c>
      <c r="U40" s="46">
        <f>+('[2]9월누계'!$F$26-SUM('[2]9월누계'!$Z$26,'[2]9월누계'!$AH$26,'[2]9월누계'!$AN$26,'[2]9월누계'!$AO$26,'[2]9월누계'!$BA$26,'[2]9월누계'!$BD$26,'[2]9월누계'!$BE$26,'[2]9월누계'!$BF$26))/1000-U39</f>
        <v>-67.933380999897622</v>
      </c>
      <c r="V40" s="48">
        <f>+U40-T40</f>
        <v>531.77327100010427</v>
      </c>
      <c r="W40" s="60">
        <f>+('[3]9월누계'!$F$26-SUM('[3]9월누계'!$Z$26,'[3]9월누계'!$AH$26,'[3]9월누계'!$AN$26,'[3]9월누계'!$AO$26,'[3]9월누계'!$BA$26,'[3]9월누계'!$BD$26,'[3]9월누계'!$BE$26,'[3]9월누계'!$BF$26))/1000</f>
        <v>-199.43228099998831</v>
      </c>
      <c r="X40" s="59">
        <f>+U40-W40</f>
        <v>131.49890000009069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K40" s="495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9"/>
        <v>0</v>
      </c>
      <c r="O41" s="136">
        <f>SUM(O33:O40)</f>
        <v>1356.4735000000001</v>
      </c>
      <c r="P41" s="137">
        <f>SUM(P33:P40)</f>
        <v>1185.8852150000121</v>
      </c>
      <c r="Q41" s="141">
        <f t="shared" si="3"/>
        <v>-170.58828499998799</v>
      </c>
      <c r="R41" s="142">
        <f>SUM(R33:R40)</f>
        <v>1489.8753409999881</v>
      </c>
      <c r="S41" s="143">
        <f>+P41-R41</f>
        <v>-303.99012599997604</v>
      </c>
      <c r="T41" s="136">
        <f>SUM(T33:T40)</f>
        <v>-13708.281529111204</v>
      </c>
      <c r="U41" s="137">
        <f>SUM(U33:U40)</f>
        <v>-15607.026442615021</v>
      </c>
      <c r="V41" s="141">
        <f>+U41-T41</f>
        <v>-1898.7449135038169</v>
      </c>
      <c r="W41" s="142">
        <f>SUM(W33:W40)</f>
        <v>-12344.461119357476</v>
      </c>
      <c r="X41" s="143">
        <f>+U41-W41</f>
        <v>-3262.5653232575442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95">
        <f>+P41/O41</f>
        <v>0.87424134345419358</v>
      </c>
      <c r="AK41" s="483">
        <f>+P41/R41</f>
        <v>0.79596271068159219</v>
      </c>
    </row>
    <row r="42" spans="2:38" s="8" customFormat="1" ht="1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K42" s="495"/>
    </row>
    <row r="43" spans="2:38" s="3" customFormat="1" ht="22.5" customHeight="1" x14ac:dyDescent="0.3">
      <c r="G43" s="339">
        <f>+P43/O43</f>
        <v>0.79574660688689136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373258.55149919452</v>
      </c>
      <c r="P43" s="280">
        <f>+P27+P32+P28+P41</f>
        <v>297019.22584700002</v>
      </c>
      <c r="Q43" s="281">
        <f t="shared" si="3"/>
        <v>-76239.3256521945</v>
      </c>
      <c r="R43" s="282">
        <f>+R27+R32+R28+R41</f>
        <v>348346.36116399994</v>
      </c>
      <c r="S43" s="283">
        <f>+P43-R43</f>
        <v>-51327.13531699992</v>
      </c>
      <c r="T43" s="279">
        <f>+T27+T32+T28+T41</f>
        <v>12158.995594527451</v>
      </c>
      <c r="U43" s="280">
        <f>+U27+U32+U28+U41</f>
        <v>-5710.1258149503283</v>
      </c>
      <c r="V43" s="281">
        <f>+U43-T43</f>
        <v>-17869.121409477779</v>
      </c>
      <c r="W43" s="282">
        <f>+W27+W32+W28+W41</f>
        <v>16372.865151011576</v>
      </c>
      <c r="X43" s="283">
        <f>+U43-W43</f>
        <v>-22082.990965961904</v>
      </c>
      <c r="Y43" s="648"/>
      <c r="Z43" s="649"/>
      <c r="AA43" s="649"/>
      <c r="AB43" s="649"/>
      <c r="AC43" s="649"/>
      <c r="AD43" s="649"/>
      <c r="AE43" s="649"/>
      <c r="AF43" s="649"/>
      <c r="AG43" s="650"/>
      <c r="AH43" s="25"/>
      <c r="AJ43" s="495">
        <f>+P43/O43</f>
        <v>0.79574660688689136</v>
      </c>
      <c r="AK43" s="483">
        <f>+P43/R43</f>
        <v>0.85265488307243908</v>
      </c>
    </row>
    <row r="44" spans="2:38" s="33" customFormat="1" x14ac:dyDescent="0.3">
      <c r="G44" s="336">
        <f>+U43/T43</f>
        <v>-0.46962150537502911</v>
      </c>
      <c r="K44" s="295">
        <f>+K28/J28</f>
        <v>0.84136625371655105</v>
      </c>
      <c r="L44" s="295"/>
      <c r="M44" s="295">
        <f>+K28/M28</f>
        <v>1.0888386168445086</v>
      </c>
      <c r="P44" s="295">
        <f>+P43/O43</f>
        <v>0.79574660688689136</v>
      </c>
      <c r="R44" s="295">
        <f>+P43/R43</f>
        <v>0.85265488307243908</v>
      </c>
      <c r="T44" s="295">
        <f>+T43/O43</f>
        <v>3.2575263301244654E-2</v>
      </c>
      <c r="U44" s="295">
        <f>+U43/P43</f>
        <v>-1.9224768358569885E-2</v>
      </c>
      <c r="V44" s="33">
        <f>+V43/100</f>
        <v>-178.69121409477779</v>
      </c>
      <c r="X44" s="33">
        <f>+X43/100</f>
        <v>-220.82990965961903</v>
      </c>
      <c r="AC44" s="34"/>
      <c r="AF44" s="34"/>
      <c r="AK44" s="3"/>
    </row>
    <row r="45" spans="2:38" s="33" customFormat="1" ht="17.25" thickBot="1" x14ac:dyDescent="0.35">
      <c r="G45" s="340"/>
      <c r="K45" s="295">
        <f>+K32/J32</f>
        <v>0.67587100467106154</v>
      </c>
      <c r="L45" s="295"/>
      <c r="M45" s="295">
        <f>+K32/M32</f>
        <v>0.89182149599137905</v>
      </c>
      <c r="AC45" s="34"/>
      <c r="AF45" s="34"/>
    </row>
    <row r="46" spans="2:38" s="33" customFormat="1" x14ac:dyDescent="0.3">
      <c r="G46" s="340"/>
      <c r="I46" s="645" t="s">
        <v>82</v>
      </c>
      <c r="J46" s="126">
        <f>+'[1]9월누계'!$Z$7/1000</f>
        <v>2438.5</v>
      </c>
      <c r="K46" s="127">
        <f>+'[2]9월누계'!$AI$7/1000</f>
        <v>2103.4088200000001</v>
      </c>
      <c r="L46" s="127"/>
      <c r="M46" s="127">
        <f>+'[3]9월누계'!$Z$7/1000</f>
        <v>2528.7134999999998</v>
      </c>
      <c r="N46" s="127"/>
      <c r="O46" s="127">
        <f>+'[1]9월누계'!$E$8/1000</f>
        <v>373258.55149919452</v>
      </c>
      <c r="P46" s="127">
        <f>+'[2]9월누계'!$F$8/1000</f>
        <v>297019.22584700008</v>
      </c>
      <c r="Q46" s="127"/>
      <c r="R46" s="127">
        <f>+'[3]9월누계'!$F$8/1000</f>
        <v>348346.36116399994</v>
      </c>
      <c r="S46" s="127"/>
      <c r="T46" s="132">
        <f>+'[1]9월누계'!$E$26/1000</f>
        <v>12158.995594527454</v>
      </c>
      <c r="U46" s="127">
        <f>+'[2]9월누계'!$F$26/1000</f>
        <v>-5710.1258149503301</v>
      </c>
      <c r="V46" s="127"/>
      <c r="W46" s="127">
        <f>+'[3]9월누계'!$F$26/1000</f>
        <v>16372.865151011567</v>
      </c>
      <c r="X46" s="128"/>
      <c r="AC46" s="34"/>
      <c r="AF46" s="34"/>
    </row>
    <row r="47" spans="2:38" s="33" customFormat="1" ht="17.25" thickBot="1" x14ac:dyDescent="0.35">
      <c r="G47" s="340"/>
      <c r="I47" s="645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0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O49" s="492">
        <f>+O43-O28</f>
        <v>263053.64262879454</v>
      </c>
      <c r="P49" s="492">
        <f>+P43-P28</f>
        <v>220121.63584000003</v>
      </c>
      <c r="Q49" s="492">
        <f>+P49-O49</f>
        <v>-42932.006788794504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2630.5364262879452</v>
      </c>
      <c r="P50" s="492">
        <f>+P49/100</f>
        <v>2201.2163584000004</v>
      </c>
      <c r="Q50" s="492">
        <f>+P50-O50</f>
        <v>-429.32006788794479</v>
      </c>
      <c r="S50" t="s">
        <v>40</v>
      </c>
      <c r="T50" s="236">
        <f>(+T27+T35)/100</f>
        <v>86.037624105247886</v>
      </c>
      <c r="U50" s="236">
        <f>(+U27+U35)/100</f>
        <v>-35.319282386951237</v>
      </c>
      <c r="V50" s="236">
        <f>+U50-T50</f>
        <v>-121.35690649219913</v>
      </c>
      <c r="W50" s="235">
        <f>+U50/T50-1</f>
        <v>-1.4105097363421606</v>
      </c>
      <c r="AC50" s="34"/>
      <c r="AD50" s="33"/>
      <c r="AE50" s="33"/>
      <c r="AF50" s="34"/>
    </row>
    <row r="51" spans="10:33" x14ac:dyDescent="0.3">
      <c r="Q51" s="235">
        <f>+P50/O50</f>
        <v>0.83679371872687758</v>
      </c>
      <c r="S51" t="s">
        <v>1</v>
      </c>
      <c r="T51" s="6">
        <f>+T32/100</f>
        <v>15.143590021385112</v>
      </c>
      <c r="U51" s="6">
        <f>+U32/100</f>
        <v>-7.0390961934529859</v>
      </c>
      <c r="V51" s="236">
        <f>+U51-T51</f>
        <v>-22.1826862148381</v>
      </c>
      <c r="Y51" s="228" t="s">
        <v>223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10.78156579</v>
      </c>
      <c r="U52" s="6">
        <f>(U33+U34)/100</f>
        <v>8.8765465700000021</v>
      </c>
      <c r="V52" s="294">
        <f>+U52-T52</f>
        <v>-1.905019219999998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-8.5245449499999939</v>
      </c>
      <c r="U53" s="236">
        <f>((U46-U28)/100)-U50-U51-U52</f>
        <v>-23.222792649098963</v>
      </c>
      <c r="V53" s="236">
        <f>+U53-T53</f>
        <v>-14.698247699098969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2.2570208400000062</v>
      </c>
      <c r="U54" s="236">
        <f>SUM(U52:U53)</f>
        <v>-14.346246079098961</v>
      </c>
      <c r="V54" s="236">
        <f>SUM(V52:V53)</f>
        <v>-16.603266919098967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103.438234966633</v>
      </c>
      <c r="U55" s="236">
        <f>SUM(U50:U53)</f>
        <v>-56.704624659503182</v>
      </c>
      <c r="V55" s="236">
        <f>+U55-T55</f>
        <v>-160.14285962613619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863246.08685344446</v>
      </c>
      <c r="K57" s="236">
        <f>+K32*1000</f>
        <v>583443</v>
      </c>
      <c r="L57" s="236">
        <f>+K57-J57</f>
        <v>-279803.08685344446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15.143590021385112</v>
      </c>
      <c r="K58" s="294">
        <f>+U32/100</f>
        <v>-7.0390961934529859</v>
      </c>
      <c r="L58" s="294">
        <f>+K58-J58</f>
        <v>-22.1826862148381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10.78156579</v>
      </c>
      <c r="U58" s="294">
        <f>+(U33+U34)/100</f>
        <v>8.8765465700000021</v>
      </c>
      <c r="V58" s="236">
        <f>+U58-T58</f>
        <v>-1.905019219999998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0">+T36/100</f>
        <v>0</v>
      </c>
      <c r="U59" s="236">
        <f t="shared" si="10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0"/>
        <v>0</v>
      </c>
      <c r="U60" s="236">
        <f t="shared" si="10"/>
        <v>-12.430000719999999</v>
      </c>
      <c r="V60" s="236">
        <f>+U60-T60</f>
        <v>-12.430000719999999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0"/>
        <v>-2.5274784300000004</v>
      </c>
      <c r="U61" s="236">
        <f t="shared" si="10"/>
        <v>-2.5200262299999996</v>
      </c>
      <c r="V61" s="236">
        <f>+U61-T61</f>
        <v>7.4522000000007971E-3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-5.9970665200000193</v>
      </c>
      <c r="U62" s="236">
        <f>+U40/100</f>
        <v>-0.67933380999897619</v>
      </c>
      <c r="V62" s="236">
        <f>+U62-T62</f>
        <v>5.3177327100010432</v>
      </c>
      <c r="AC62" s="236"/>
      <c r="AD62" s="236"/>
      <c r="AE62" s="236"/>
    </row>
    <row r="63" spans="10:33" x14ac:dyDescent="0.3">
      <c r="T63" s="6">
        <f>SUM(T58:T62)</f>
        <v>2.2570208399999805</v>
      </c>
      <c r="U63" s="6">
        <f>SUM(U58:U62)</f>
        <v>-6.752814189998972</v>
      </c>
      <c r="V63" s="6">
        <f>SUM(V58:V62)</f>
        <v>-9.0098350299989534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225.70208399999808</v>
      </c>
      <c r="U69" s="6">
        <f>SUM(U33:U34,U36,U38:U39,U40,Z37)</f>
        <v>-191.62453590989742</v>
      </c>
      <c r="V69" s="6">
        <f>+U69-T69</f>
        <v>-417.3266199098955</v>
      </c>
      <c r="AC69" s="236"/>
      <c r="AE69" s="236"/>
    </row>
    <row r="70" spans="20:31" x14ac:dyDescent="0.3">
      <c r="AC70" s="236"/>
      <c r="AE70" s="236"/>
    </row>
    <row r="71" spans="20:31" x14ac:dyDescent="0.3">
      <c r="T71" s="492">
        <f>+T43-T28</f>
        <v>10343.823496663297</v>
      </c>
      <c r="U71" s="492">
        <f>+U43-U28</f>
        <v>-5670.4624659503161</v>
      </c>
      <c r="V71" s="492">
        <f>+U71-T71</f>
        <v>-16014.285962613612</v>
      </c>
      <c r="AC71" s="236"/>
      <c r="AE71" s="236"/>
    </row>
    <row r="72" spans="20:31" x14ac:dyDescent="0.3">
      <c r="T72" s="492">
        <f>+T71/100</f>
        <v>103.43823496663298</v>
      </c>
      <c r="U72" s="492">
        <f>+U71/100</f>
        <v>-56.70462465950316</v>
      </c>
      <c r="V72" s="492">
        <f>+U72-T72</f>
        <v>-160.14285962613613</v>
      </c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U75" s="492">
        <f>+U71-U37-U39</f>
        <v>-3668.119205040316</v>
      </c>
      <c r="AC75" s="236"/>
      <c r="AE75" s="236"/>
    </row>
    <row r="76" spans="20:31" x14ac:dyDescent="0.3">
      <c r="U76" s="492">
        <f>+U75/100</f>
        <v>-36.681192050403162</v>
      </c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6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2048-9796-4FE9-85E5-BA6F10045AB3}">
  <sheetPr>
    <tabColor theme="1" tint="0.34998626667073579"/>
    <pageSetUpPr fitToPage="1"/>
  </sheetPr>
  <dimension ref="A1:AQ77"/>
  <sheetViews>
    <sheetView showGridLines="0" showZeros="0" topLeftCell="E22" zoomScale="85" zoomScaleNormal="85" zoomScaleSheetLayoutView="85" workbookViewId="0">
      <selection activeCell="Y30" sqref="Y30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216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42" t="s">
        <v>11</v>
      </c>
      <c r="I5" s="643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219</v>
      </c>
      <c r="G6" s="334"/>
      <c r="H6" s="644"/>
      <c r="I6" s="64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+IFERROR(HLOOKUP($B7,'[1]9월'!$D$6:$BN$259,2,),)/1000</f>
        <v>41</v>
      </c>
      <c r="K7" s="36">
        <f>+IFERROR(HLOOKUP($B7,'[2]9월'!$F$6:$CP$99,2,),)/1000</f>
        <v>31.876999999999999</v>
      </c>
      <c r="L7" s="37">
        <f t="shared" ref="L7:L31" si="0">+K7-J7</f>
        <v>-9.1230000000000011</v>
      </c>
      <c r="M7" s="38">
        <f>+IFERROR(HLOOKUP($B7,'[3]9월'!$F$6:$CC$57,2,),)/1000</f>
        <v>28.4</v>
      </c>
      <c r="N7" s="39">
        <f>+K7-M7</f>
        <v>3.4770000000000003</v>
      </c>
      <c r="O7" s="35">
        <f>+IFERROR(HLOOKUP($B7,'[1]9월'!$D$6:$BN$259,3,),)/1000</f>
        <v>4162.5001900000007</v>
      </c>
      <c r="P7" s="36">
        <f>+IFERROR(HLOOKUP($B7,'[2]9월'!$F$6:$CP$99,3,),)/1000</f>
        <v>3143.5581320000001</v>
      </c>
      <c r="Q7" s="37">
        <f>+P7-O7</f>
        <v>-1018.9420580000005</v>
      </c>
      <c r="R7" s="38">
        <f>+IFERROR(HLOOKUP($B7,'[3]9월'!$F$6:$CC$57,3,),)/1000</f>
        <v>2850.383918</v>
      </c>
      <c r="S7" s="39">
        <f>+P7-R7</f>
        <v>293.17421400000012</v>
      </c>
      <c r="T7" s="35">
        <f>+IFERROR(HLOOKUP($B7,'[1]9월'!$D$6:$BN$259,16,),)/1000</f>
        <v>524.41266908205898</v>
      </c>
      <c r="U7" s="36">
        <f>+IFERROR(HLOOKUP($B7,'[2]9월'!$F$6:$CP$99,16,),)/1000</f>
        <v>252.54889800000035</v>
      </c>
      <c r="V7" s="40">
        <f>+U7-T7</f>
        <v>-271.86377108205863</v>
      </c>
      <c r="W7" s="41">
        <f>+IFERROR(HLOOKUP($B7,'[3]9월'!$F$6:$CC$57,16,),)/1000</f>
        <v>202.03240100000005</v>
      </c>
      <c r="X7" s="39">
        <f>+U7-W7</f>
        <v>50.5164970000003</v>
      </c>
      <c r="Y7" s="35">
        <f>+[4]안양!$Q$85</f>
        <v>101524.3948780488</v>
      </c>
      <c r="Z7" s="36">
        <f>+[4]안양!$R$85</f>
        <v>98622.171955928046</v>
      </c>
      <c r="AA7" s="42">
        <f>+[5]안양!$Q$85</f>
        <v>100365.63091549296</v>
      </c>
      <c r="AB7" s="43">
        <f>+[4]안양!$Q$89</f>
        <v>81127.526878338642</v>
      </c>
      <c r="AC7" s="36">
        <f>+[4]안양!$R$89</f>
        <v>80246.895133201542</v>
      </c>
      <c r="AD7" s="44">
        <f>+[5]안양!$Q$89</f>
        <v>81650.506932226053</v>
      </c>
      <c r="AE7" s="43">
        <f>+Y7-AB7</f>
        <v>20396.867999710157</v>
      </c>
      <c r="AF7" s="36">
        <f>+Z7-AC7</f>
        <v>18375.276822726504</v>
      </c>
      <c r="AG7" s="44">
        <f>+AA7-AD7</f>
        <v>18715.123983266909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+IFERROR(HLOOKUP($B8,'[1]9월'!$D$6:$BN$259,2,),)/1000</f>
        <v>32</v>
      </c>
      <c r="K8" s="46">
        <f>+IFERROR(HLOOKUP($B8,'[2]9월'!$F$6:$CP$99,2,),)/1000</f>
        <v>30.29</v>
      </c>
      <c r="L8" s="47">
        <f t="shared" si="0"/>
        <v>-1.7100000000000009</v>
      </c>
      <c r="M8" s="48">
        <f>+IFERROR(HLOOKUP($B8,'[3]9월'!$F$6:$CC$57,2,),)/1000</f>
        <v>18.327000000000002</v>
      </c>
      <c r="N8" s="49">
        <f t="shared" ref="N8:N31" si="2">+K8-M8</f>
        <v>11.962999999999997</v>
      </c>
      <c r="O8" s="45">
        <f>+IFERROR(HLOOKUP($B8,'[1]9월'!$D$6:$BN$259,3,),)/1000</f>
        <v>3318.6544751580795</v>
      </c>
      <c r="P8" s="46">
        <f>+IFERROR(HLOOKUP($B8,'[2]9월'!$F$6:$CP$99,3,),)/1000</f>
        <v>2910.5155869999999</v>
      </c>
      <c r="Q8" s="47">
        <f t="shared" ref="Q8:Q42" si="3">+P8-O8</f>
        <v>-408.13888815807968</v>
      </c>
      <c r="R8" s="48">
        <f>+IFERROR(HLOOKUP($B8,'[3]9월'!$F$6:$CC$57,3,),)/1000</f>
        <v>1795.8146939999999</v>
      </c>
      <c r="S8" s="49">
        <f t="shared" ref="S8:S37" si="4">+P8-R8</f>
        <v>1114.700893</v>
      </c>
      <c r="T8" s="45">
        <f>+IFERROR(HLOOKUP($B8,'[1]9월'!$D$6:$BN$259,16,),)/1000</f>
        <v>387.61290209828422</v>
      </c>
      <c r="U8" s="46">
        <f>+IFERROR(HLOOKUP($B8,'[2]9월'!$F$6:$CP$99,16,),)/1000</f>
        <v>-66.326553000000388</v>
      </c>
      <c r="V8" s="47">
        <f t="shared" ref="V8:V38" si="5">+U8-T8</f>
        <v>-453.93945509828461</v>
      </c>
      <c r="W8" s="48">
        <f>+IFERROR(HLOOKUP($B8,'[3]9월'!$F$6:$CC$57,16,),)/1000</f>
        <v>-68.397039999999976</v>
      </c>
      <c r="X8" s="49">
        <f t="shared" ref="X8:X36" si="6">+U8-W8</f>
        <v>2.0704869999995879</v>
      </c>
      <c r="Y8" s="45">
        <f>+[4]인천!$Q$85</f>
        <v>103707.95234868999</v>
      </c>
      <c r="Z8" s="46">
        <f>+[4]인천!$R$85</f>
        <v>96088.332353912177</v>
      </c>
      <c r="AA8" s="50">
        <f>+[5]인천!$Q$85</f>
        <v>97987.378949091493</v>
      </c>
      <c r="AB8" s="51">
        <f>+[4]인천!$Q$89</f>
        <v>82252.91631644388</v>
      </c>
      <c r="AC8" s="46">
        <f>+[4]인천!$R$89</f>
        <v>86406.049380682569</v>
      </c>
      <c r="AD8" s="52">
        <f>+[5]인천!$Q$89</f>
        <v>82653.876515027994</v>
      </c>
      <c r="AE8" s="51">
        <f t="shared" ref="AE8:AG27" si="7">+Y8-AB8</f>
        <v>21455.036032246106</v>
      </c>
      <c r="AF8" s="46">
        <f t="shared" si="7"/>
        <v>9682.2829732296086</v>
      </c>
      <c r="AG8" s="52">
        <f t="shared" si="7"/>
        <v>15333.502434063499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+IFERROR(HLOOKUP($B9,'[1]9월'!$D$6:$BN$259,2,),)/1000</f>
        <v>24</v>
      </c>
      <c r="K9" s="46">
        <f>+IFERROR(HLOOKUP($B9,'[2]9월'!$F$6:$CP$99,2,),)/1000</f>
        <v>16.448</v>
      </c>
      <c r="L9" s="47">
        <f t="shared" si="0"/>
        <v>-7.5519999999999996</v>
      </c>
      <c r="M9" s="48">
        <f>+IFERROR(HLOOKUP($B9,'[3]9월'!$F$6:$CC$57,2,),)/1000</f>
        <v>19.107800000000001</v>
      </c>
      <c r="N9" s="49">
        <f t="shared" si="2"/>
        <v>-2.6598000000000006</v>
      </c>
      <c r="O9" s="45">
        <f>+IFERROR(HLOOKUP($B9,'[1]9월'!$D$6:$BN$259,3,),)/1000</f>
        <v>2313.4384547999998</v>
      </c>
      <c r="P9" s="46">
        <f>+IFERROR(HLOOKUP($B9,'[2]9월'!$F$6:$CP$99,3,),)/1000</f>
        <v>1510.7480999999998</v>
      </c>
      <c r="Q9" s="47">
        <f t="shared" si="3"/>
        <v>-802.69035480000002</v>
      </c>
      <c r="R9" s="48">
        <f>+IFERROR(HLOOKUP($B9,'[3]9월'!$F$6:$CC$57,3,),)/1000</f>
        <v>1803.3963000000001</v>
      </c>
      <c r="S9" s="49">
        <f t="shared" si="4"/>
        <v>-292.64820000000032</v>
      </c>
      <c r="T9" s="45">
        <f>+IFERROR(HLOOKUP($B9,'[1]9월'!$D$6:$BN$259,16,),)/1000</f>
        <v>132.59525919306</v>
      </c>
      <c r="U9" s="46">
        <f>+IFERROR(HLOOKUP($B9,'[2]9월'!$F$6:$CP$99,16,),)/1000</f>
        <v>-43.489316000000009</v>
      </c>
      <c r="V9" s="47">
        <f t="shared" si="5"/>
        <v>-176.08457519306</v>
      </c>
      <c r="W9" s="48">
        <f>+IFERROR(HLOOKUP($B9,'[3]9월'!$F$6:$CC$57,16,),)/1000</f>
        <v>106.24982999999987</v>
      </c>
      <c r="X9" s="49">
        <f t="shared" si="6"/>
        <v>-149.73914599999989</v>
      </c>
      <c r="Y9" s="45">
        <f>+[4]파주!$Q$85</f>
        <v>96393.268949999998</v>
      </c>
      <c r="Z9" s="46">
        <f>+[4]파주!$R$85</f>
        <v>91863.06401491609</v>
      </c>
      <c r="AA9" s="50">
        <f>+[5]파주!$Q$85</f>
        <v>94365.024402070238</v>
      </c>
      <c r="AB9" s="51">
        <f>+[4]파주!$Q$89</f>
        <v>81555.710018417711</v>
      </c>
      <c r="AC9" s="46">
        <f>+[4]파주!$R$89</f>
        <v>79943.314356743314</v>
      </c>
      <c r="AD9" s="52">
        <f>+[5]파주!$Q$89</f>
        <v>75826.43403008359</v>
      </c>
      <c r="AE9" s="51">
        <f t="shared" si="7"/>
        <v>14837.558931582287</v>
      </c>
      <c r="AF9" s="46">
        <f t="shared" si="7"/>
        <v>11919.749658172776</v>
      </c>
      <c r="AG9" s="52">
        <f t="shared" si="7"/>
        <v>18538.590371986647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+IFERROR(HLOOKUP($B10,'[1]9월'!$D$6:$BN$259,2,),)/1000</f>
        <v>16</v>
      </c>
      <c r="K10" s="46">
        <f>+IFERROR(HLOOKUP($B10,'[2]9월'!$F$6:$CP$99,2,),)/1000</f>
        <v>10.288</v>
      </c>
      <c r="L10" s="47">
        <f t="shared" si="0"/>
        <v>-5.7119999999999997</v>
      </c>
      <c r="M10" s="48">
        <f>+IFERROR(HLOOKUP($B10,'[3]9월'!$F$6:$CC$57,2,),)/1000</f>
        <v>9.8000000000000007</v>
      </c>
      <c r="N10" s="49">
        <f t="shared" si="2"/>
        <v>0.48799999999999955</v>
      </c>
      <c r="O10" s="45">
        <f>+IFERROR(HLOOKUP($B10,'[1]9월'!$D$6:$BN$259,3,),)/1000</f>
        <v>1523.0499500000001</v>
      </c>
      <c r="P10" s="46">
        <f>+IFERROR(HLOOKUP($B10,'[2]9월'!$F$6:$CP$99,3,),)/1000</f>
        <v>951.19071299999996</v>
      </c>
      <c r="Q10" s="47">
        <f t="shared" si="3"/>
        <v>-571.85923700000012</v>
      </c>
      <c r="R10" s="48">
        <f>+IFERROR(HLOOKUP($B10,'[3]9월'!$F$6:$CC$57,3,),)/1000</f>
        <v>943.50309400000003</v>
      </c>
      <c r="S10" s="49">
        <f t="shared" si="4"/>
        <v>7.6876189999999269</v>
      </c>
      <c r="T10" s="45">
        <f>+IFERROR(HLOOKUP($B10,'[1]9월'!$D$6:$BN$259,16,),)/1000</f>
        <v>110.62526776141796</v>
      </c>
      <c r="U10" s="46">
        <f>+IFERROR(HLOOKUP($B10,'[2]9월'!$F$6:$CP$99,16,),)/1000</f>
        <v>-79.489791999999966</v>
      </c>
      <c r="V10" s="47">
        <f t="shared" si="5"/>
        <v>-190.11505976141791</v>
      </c>
      <c r="W10" s="48">
        <f>+IFERROR(HLOOKUP($B10,'[3]9월'!$F$6:$CC$57,16,),)/1000</f>
        <v>29.041857000000117</v>
      </c>
      <c r="X10" s="49">
        <f t="shared" si="6"/>
        <v>-108.53164900000009</v>
      </c>
      <c r="Y10" s="45">
        <f>+[4]김포!$Q$85</f>
        <v>95190.621875000012</v>
      </c>
      <c r="Z10" s="46">
        <f>+[4]김포!$R$85</f>
        <v>92479.294914918879</v>
      </c>
      <c r="AA10" s="50">
        <f>+[5]김포!$Q$85</f>
        <v>96275.825918367351</v>
      </c>
      <c r="AB10" s="51">
        <f>+[4]김포!$Q$89</f>
        <v>76527.866424633612</v>
      </c>
      <c r="AC10" s="46">
        <f>+[4]김포!$R$89</f>
        <v>81027.530156219102</v>
      </c>
      <c r="AD10" s="52">
        <f>+[5]김포!$Q$89</f>
        <v>74300.021428571432</v>
      </c>
      <c r="AE10" s="51">
        <f t="shared" si="7"/>
        <v>18662.7554503664</v>
      </c>
      <c r="AF10" s="46">
        <f t="shared" si="7"/>
        <v>11451.764758699777</v>
      </c>
      <c r="AG10" s="52">
        <f t="shared" si="7"/>
        <v>21975.804489795919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+IFERROR(HLOOKUP($B11,'[1]9월'!$D$6:$BN$259,2,),)/1000</f>
        <v>21</v>
      </c>
      <c r="K11" s="63">
        <f>+IFERROR(HLOOKUP($B11,'[2]9월'!$F$6:$CP$99,2,),)/1000</f>
        <v>20.199000000000002</v>
      </c>
      <c r="L11" s="64">
        <f t="shared" si="0"/>
        <v>-0.80099999999999838</v>
      </c>
      <c r="M11" s="65">
        <f>+IFERROR(HLOOKUP($B11,'[3]9월'!$F$6:$CC$57,2,),)/1000</f>
        <v>15.516999999999999</v>
      </c>
      <c r="N11" s="66">
        <f t="shared" si="2"/>
        <v>4.6820000000000022</v>
      </c>
      <c r="O11" s="62">
        <f>+IFERROR(HLOOKUP($B11,'[1]9월'!$D$6:$BN$259,3,),)/1000</f>
        <v>2261.697361732</v>
      </c>
      <c r="P11" s="63">
        <f>+IFERROR(HLOOKUP($B11,'[2]9월'!$F$6:$CP$99,3,),)/1000</f>
        <v>2164.6865269999998</v>
      </c>
      <c r="Q11" s="64">
        <f t="shared" si="3"/>
        <v>-97.010834732000149</v>
      </c>
      <c r="R11" s="65">
        <f>+IFERROR(HLOOKUP($B11,'[3]9월'!$F$6:$CC$57,3,),)/1000</f>
        <v>1769.7428</v>
      </c>
      <c r="S11" s="66">
        <f t="shared" si="4"/>
        <v>394.94372699999985</v>
      </c>
      <c r="T11" s="62">
        <f>+IFERROR(HLOOKUP($B11,'[1]9월'!$D$6:$BN$259,16,),)/1000</f>
        <v>222.14546281991505</v>
      </c>
      <c r="U11" s="63">
        <f>+IFERROR(HLOOKUP($B11,'[2]9월'!$F$6:$CP$99,16,),)/1000</f>
        <v>155.08343899999994</v>
      </c>
      <c r="V11" s="64">
        <f t="shared" si="5"/>
        <v>-67.062023819915112</v>
      </c>
      <c r="W11" s="65">
        <f>+IFERROR(HLOOKUP($B11,'[3]9월'!$F$6:$CC$57,16,),)/1000</f>
        <v>167.22155100000009</v>
      </c>
      <c r="X11" s="66">
        <f t="shared" si="6"/>
        <v>-12.138112000000149</v>
      </c>
      <c r="Y11" s="62">
        <f>+[4]부산!$Q$85</f>
        <v>107699.87436819047</v>
      </c>
      <c r="Z11" s="63">
        <f>+[4]부산!$R$85</f>
        <v>107168.00470320313</v>
      </c>
      <c r="AA11" s="67">
        <f>+[5]부산!$Q$85</f>
        <v>114051.86569568861</v>
      </c>
      <c r="AB11" s="68">
        <f>+[4]부산!$Q$89</f>
        <v>84681.416734186016</v>
      </c>
      <c r="AC11" s="63">
        <f>+[4]부산!$R$89</f>
        <v>85757.042311661498</v>
      </c>
      <c r="AD11" s="69">
        <f>+[5]부산!$Q$89</f>
        <v>84631.159309636845</v>
      </c>
      <c r="AE11" s="68">
        <f t="shared" si="7"/>
        <v>23018.457634004459</v>
      </c>
      <c r="AF11" s="63">
        <f t="shared" si="7"/>
        <v>21410.96239154163</v>
      </c>
      <c r="AG11" s="69">
        <f t="shared" si="7"/>
        <v>29420.706386051766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+IFERROR(HLOOKUP($B12,'[1]9월'!$D$6:$BN$259,2,),)/1000</f>
        <v>21</v>
      </c>
      <c r="K12" s="46">
        <f>+IFERROR(HLOOKUP($B12,'[2]9월'!$F$6:$CP$99,2,),)/1000</f>
        <v>19.617999999999999</v>
      </c>
      <c r="L12" s="47">
        <f t="shared" si="0"/>
        <v>-1.3820000000000014</v>
      </c>
      <c r="M12" s="48">
        <f>+IFERROR(HLOOKUP($B12,'[3]9월'!$F$6:$CC$57,2,),)/1000</f>
        <v>13.004</v>
      </c>
      <c r="N12" s="49">
        <f t="shared" si="2"/>
        <v>6.613999999999999</v>
      </c>
      <c r="O12" s="45">
        <f>+IFERROR(HLOOKUP($B12,'[1]9월'!$D$6:$BN$259,3,),)/1000</f>
        <v>2085.2970700000001</v>
      </c>
      <c r="P12" s="46">
        <f>+IFERROR(HLOOKUP($B12,'[2]9월'!$F$6:$CP$99,3,),)/1000</f>
        <v>1904.0364999999999</v>
      </c>
      <c r="Q12" s="47">
        <f t="shared" si="3"/>
        <v>-181.26057000000014</v>
      </c>
      <c r="R12" s="48">
        <f>+IFERROR(HLOOKUP($B12,'[3]9월'!$F$6:$CC$57,3,),)/1000</f>
        <v>1314.9703</v>
      </c>
      <c r="S12" s="49">
        <f t="shared" si="4"/>
        <v>589.06619999999998</v>
      </c>
      <c r="T12" s="45">
        <f>+IFERROR(HLOOKUP($B12,'[1]9월'!$D$6:$BN$259,16,),)/1000</f>
        <v>262.68394872244687</v>
      </c>
      <c r="U12" s="46">
        <f>+IFERROR(HLOOKUP($B12,'[2]9월'!$F$6:$CP$99,16,),)/1000</f>
        <v>149.8511689999998</v>
      </c>
      <c r="V12" s="47">
        <f t="shared" si="5"/>
        <v>-112.83277972244707</v>
      </c>
      <c r="W12" s="48">
        <f>+IFERROR(HLOOKUP($B12,'[3]9월'!$F$6:$CC$57,16,),)/1000</f>
        <v>84.673493999999977</v>
      </c>
      <c r="X12" s="49">
        <f t="shared" si="6"/>
        <v>65.177674999999823</v>
      </c>
      <c r="Y12" s="45">
        <f>+[4]서부산!$Q$85</f>
        <v>99299.860476190486</v>
      </c>
      <c r="Z12" s="46">
        <f>+[4]서부산!$R$85</f>
        <v>97055.586706086251</v>
      </c>
      <c r="AA12" s="50">
        <f>+[5]서부산!$Q$85</f>
        <v>101120.44755459859</v>
      </c>
      <c r="AB12" s="51">
        <f>+[4]서부산!$Q$89</f>
        <v>77319.895023798847</v>
      </c>
      <c r="AC12" s="46">
        <f>+[4]서부산!$R$89</f>
        <v>77542.314154786145</v>
      </c>
      <c r="AD12" s="52">
        <f>+[5]서부산!$Q$89</f>
        <v>78001.325745295646</v>
      </c>
      <c r="AE12" s="51">
        <f t="shared" si="7"/>
        <v>21979.96545239164</v>
      </c>
      <c r="AF12" s="46">
        <f t="shared" si="7"/>
        <v>19513.272551300106</v>
      </c>
      <c r="AG12" s="52">
        <f t="shared" si="7"/>
        <v>23119.121809302946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+IFERROR(HLOOKUP($B13,'[1]9월'!$D$6:$BN$259,2,),)/1000</f>
        <v>14</v>
      </c>
      <c r="K13" s="46">
        <f>+IFERROR(HLOOKUP($B13,'[2]9월'!$F$6:$CP$99,2,),)/1000</f>
        <v>7.9880000000000004</v>
      </c>
      <c r="L13" s="47">
        <f t="shared" si="0"/>
        <v>-6.0119999999999996</v>
      </c>
      <c r="M13" s="48">
        <f>+IFERROR(HLOOKUP($B13,'[3]9월'!$F$6:$CC$57,2,),)/1000</f>
        <v>12.705</v>
      </c>
      <c r="N13" s="49">
        <f t="shared" si="2"/>
        <v>-4.7169999999999996</v>
      </c>
      <c r="O13" s="45">
        <f>+IFERROR(HLOOKUP($B13,'[1]9월'!$D$6:$BN$259,3,),)/1000</f>
        <v>1348.1986000000002</v>
      </c>
      <c r="P13" s="46">
        <f>+IFERROR(HLOOKUP($B13,'[2]9월'!$F$6:$CP$99,3,),)/1000</f>
        <v>706.91049999999996</v>
      </c>
      <c r="Q13" s="47">
        <f t="shared" si="3"/>
        <v>-641.28810000000021</v>
      </c>
      <c r="R13" s="48">
        <f>+IFERROR(HLOOKUP($B13,'[3]9월'!$F$6:$CC$57,3,),)/1000</f>
        <v>1134.8287</v>
      </c>
      <c r="S13" s="49">
        <f t="shared" si="4"/>
        <v>-427.91820000000007</v>
      </c>
      <c r="T13" s="45">
        <f>+IFERROR(HLOOKUP($B13,'[1]9월'!$D$6:$BN$259,16,),)/1000</f>
        <v>115.18250597613853</v>
      </c>
      <c r="U13" s="46">
        <f>+IFERROR(HLOOKUP($B13,'[2]9월'!$F$6:$CP$99,16,),)/1000</f>
        <v>-78.322141000000059</v>
      </c>
      <c r="V13" s="47">
        <f t="shared" si="5"/>
        <v>-193.50464697613859</v>
      </c>
      <c r="W13" s="48">
        <f>+IFERROR(HLOOKUP($B13,'[3]9월'!$F$6:$CC$57,16,),)/1000</f>
        <v>-2.7295230000000736</v>
      </c>
      <c r="X13" s="49">
        <f t="shared" si="6"/>
        <v>-75.592617999999987</v>
      </c>
      <c r="Y13" s="45">
        <f>+[4]김해!$Q$85</f>
        <v>96299.900000000009</v>
      </c>
      <c r="Z13" s="46">
        <f>+[4]김해!$R$85</f>
        <v>88617.201895235587</v>
      </c>
      <c r="AA13" s="50">
        <f>+[5]김해!$Q$85</f>
        <v>89286.80280145134</v>
      </c>
      <c r="AB13" s="51">
        <f>+[4]김해!$Q$89</f>
        <v>77194.604184244061</v>
      </c>
      <c r="AC13" s="46">
        <f>+[4]김해!$R$89</f>
        <v>77871.709133982615</v>
      </c>
      <c r="AD13" s="52">
        <f>+[5]김해!$Q$89</f>
        <v>75888.626991486133</v>
      </c>
      <c r="AE13" s="51">
        <f t="shared" si="7"/>
        <v>19105.295815755948</v>
      </c>
      <c r="AF13" s="46">
        <f t="shared" si="7"/>
        <v>10745.492761252972</v>
      </c>
      <c r="AG13" s="52">
        <f t="shared" si="7"/>
        <v>13398.175809965207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+IFERROR(HLOOKUP($B14,'[1]9월'!$D$6:$BN$259,2,),)/1000</f>
        <v>19</v>
      </c>
      <c r="K14" s="46">
        <f>+IFERROR(HLOOKUP($B14,'[2]9월'!$F$6:$CP$99,2,),)/1000</f>
        <v>23.4405</v>
      </c>
      <c r="L14" s="47">
        <f t="shared" si="0"/>
        <v>4.4405000000000001</v>
      </c>
      <c r="M14" s="48">
        <f>+IFERROR(HLOOKUP($B14,'[3]9월'!$F$6:$CC$57,2,),)/1000</f>
        <v>16.975999999999999</v>
      </c>
      <c r="N14" s="49">
        <f t="shared" si="2"/>
        <v>6.464500000000001</v>
      </c>
      <c r="O14" s="45">
        <f>+IFERROR(HLOOKUP($B14,'[1]9월'!$D$6:$BN$259,3,),)/1000</f>
        <v>1938.0017932400001</v>
      </c>
      <c r="P14" s="46">
        <f>+IFERROR(HLOOKUP($B14,'[2]9월'!$F$6:$CP$99,3,),)/1000</f>
        <v>2350.14</v>
      </c>
      <c r="Q14" s="47">
        <f t="shared" si="3"/>
        <v>412.13820675999978</v>
      </c>
      <c r="R14" s="48">
        <f>+IFERROR(HLOOKUP($B14,'[3]9월'!$F$6:$CC$57,3,),)/1000</f>
        <v>1722.9996999999998</v>
      </c>
      <c r="S14" s="49">
        <f t="shared" si="4"/>
        <v>627.14030000000002</v>
      </c>
      <c r="T14" s="45">
        <f>+IFERROR(HLOOKUP($B14,'[1]9월'!$D$6:$BN$259,16,),)/1000</f>
        <v>164.10726125668998</v>
      </c>
      <c r="U14" s="46">
        <f>+IFERROR(HLOOKUP($B14,'[2]9월'!$F$6:$CP$99,16,),)/1000</f>
        <v>173.69429000000002</v>
      </c>
      <c r="V14" s="47">
        <f t="shared" si="5"/>
        <v>9.587028743310043</v>
      </c>
      <c r="W14" s="48">
        <f>+IFERROR(HLOOKUP($B14,'[3]9월'!$F$6:$CC$57,16,),)/1000</f>
        <v>103.54540100000021</v>
      </c>
      <c r="X14" s="49">
        <f t="shared" si="6"/>
        <v>70.148888999999812</v>
      </c>
      <c r="Y14" s="45">
        <f>+[4]정관!$Q$85</f>
        <v>102000.09438105264</v>
      </c>
      <c r="Z14" s="46">
        <f>+[4]정관!$R$85</f>
        <v>100259.80674473668</v>
      </c>
      <c r="AA14" s="50">
        <f>+[5]정관!$Q$85</f>
        <v>101496.21229971724</v>
      </c>
      <c r="AB14" s="51">
        <f>+[4]정관!$Q$89</f>
        <v>82152.960402630371</v>
      </c>
      <c r="AC14" s="46">
        <f>+[4]정관!$R$89</f>
        <v>82090.776292506125</v>
      </c>
      <c r="AD14" s="52">
        <f>+[5]정관!$Q$89</f>
        <v>81278.390233870014</v>
      </c>
      <c r="AE14" s="51">
        <f t="shared" si="7"/>
        <v>19847.133978422265</v>
      </c>
      <c r="AF14" s="46">
        <f t="shared" si="7"/>
        <v>18169.030452230552</v>
      </c>
      <c r="AG14" s="52">
        <f t="shared" si="7"/>
        <v>20217.822065847227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+IFERROR(HLOOKUP($B15,'[1]9월'!$D$6:$BN$259,2,),)/1000</f>
        <v>12</v>
      </c>
      <c r="K15" s="46">
        <f>+IFERROR(HLOOKUP($B15,'[2]9월'!$F$6:$CP$99,2,),)/1000</f>
        <v>6.0609999999999999</v>
      </c>
      <c r="L15" s="47">
        <f t="shared" si="0"/>
        <v>-5.9390000000000001</v>
      </c>
      <c r="M15" s="48">
        <f>+IFERROR(HLOOKUP($B15,'[3]9월'!$F$6:$CC$57,2,),)/1000</f>
        <v>12.518000000000001</v>
      </c>
      <c r="N15" s="49">
        <f t="shared" si="2"/>
        <v>-6.4570000000000007</v>
      </c>
      <c r="O15" s="45">
        <f>+IFERROR(HLOOKUP($B15,'[1]9월'!$D$6:$BN$259,3,),)/1000</f>
        <v>1131.6600000000001</v>
      </c>
      <c r="P15" s="46">
        <f>+IFERROR(HLOOKUP($B15,'[2]9월'!$F$6:$CP$99,3,),)/1000</f>
        <v>570.88790000000006</v>
      </c>
      <c r="Q15" s="47">
        <f t="shared" si="3"/>
        <v>-560.77210000000002</v>
      </c>
      <c r="R15" s="48">
        <f>+IFERROR(HLOOKUP($B15,'[3]9월'!$F$6:$CC$57,3,),)/1000</f>
        <v>1127.9968999999999</v>
      </c>
      <c r="S15" s="49">
        <f t="shared" si="4"/>
        <v>-557.10899999999981</v>
      </c>
      <c r="T15" s="45">
        <f>+IFERROR(HLOOKUP($B15,'[1]9월'!$D$6:$BN$259,16,),)/1000</f>
        <v>106.81806731510582</v>
      </c>
      <c r="U15" s="46">
        <f>+IFERROR(HLOOKUP($B15,'[2]9월'!$F$6:$CP$99,16,),)/1000</f>
        <v>-35.259845999999982</v>
      </c>
      <c r="V15" s="47">
        <f t="shared" si="5"/>
        <v>-142.0779133151058</v>
      </c>
      <c r="W15" s="48">
        <f>+IFERROR(HLOOKUP($B15,'[3]9월'!$F$6:$CC$57,16,),)/1000</f>
        <v>69.60220799999999</v>
      </c>
      <c r="X15" s="49">
        <f t="shared" si="6"/>
        <v>-104.86205399999997</v>
      </c>
      <c r="Y15" s="45">
        <f>+[4]양산!$Q$85</f>
        <v>94305</v>
      </c>
      <c r="Z15" s="46">
        <f>+[4]양산!$R$85</f>
        <v>94190.381125226864</v>
      </c>
      <c r="AA15" s="50">
        <f>+[5]양산!$Q$85</f>
        <v>90109.993609202749</v>
      </c>
      <c r="AB15" s="51">
        <f>+[4]양산!$Q$89</f>
        <v>73438.431603370831</v>
      </c>
      <c r="AC15" s="46">
        <f>+[4]양산!$R$89</f>
        <v>76835.77643953143</v>
      </c>
      <c r="AD15" s="52">
        <f>+[5]양산!$Q$89</f>
        <v>71969.384805879527</v>
      </c>
      <c r="AE15" s="51">
        <f t="shared" si="7"/>
        <v>20866.568396629169</v>
      </c>
      <c r="AF15" s="46">
        <f t="shared" si="7"/>
        <v>17354.604685695434</v>
      </c>
      <c r="AG15" s="52">
        <f t="shared" si="7"/>
        <v>18140.608803323223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+IFERROR(HLOOKUP($B16,'[1]9월'!$D$6:$BN$259,2,),)/1000</f>
        <v>13</v>
      </c>
      <c r="K16" s="46">
        <f>+IFERROR(HLOOKUP($B16,'[2]9월'!$F$6:$CP$99,2,),)/1000</f>
        <v>6.5460000000000003</v>
      </c>
      <c r="L16" s="47">
        <f t="shared" si="0"/>
        <v>-6.4539999999999997</v>
      </c>
      <c r="M16" s="48">
        <f>+IFERROR(HLOOKUP($B16,'[3]9월'!$F$6:$CC$57,2,),)/1000</f>
        <v>14.952999999999999</v>
      </c>
      <c r="N16" s="49">
        <f t="shared" si="2"/>
        <v>-8.407</v>
      </c>
      <c r="O16" s="45">
        <f>+IFERROR(HLOOKUP($B16,'[1]9월'!$D$6:$BN$259,3,),)/1000</f>
        <v>1314.3049431960001</v>
      </c>
      <c r="P16" s="46">
        <f>+IFERROR(HLOOKUP($B16,'[2]9월'!$F$6:$CP$99,3,),)/1000</f>
        <v>598.34839999999997</v>
      </c>
      <c r="Q16" s="47">
        <f t="shared" si="3"/>
        <v>-715.9565431960001</v>
      </c>
      <c r="R16" s="48">
        <f>+IFERROR(HLOOKUP($B16,'[3]9월'!$F$6:$CC$57,3,),)/1000</f>
        <v>1507.3453999999999</v>
      </c>
      <c r="S16" s="49">
        <f t="shared" si="4"/>
        <v>-908.99699999999996</v>
      </c>
      <c r="T16" s="45">
        <f>+IFERROR(HLOOKUP($B16,'[1]9월'!$D$6:$BN$259,16,),)/1000</f>
        <v>145.20620337555414</v>
      </c>
      <c r="U16" s="46">
        <f>+IFERROR(HLOOKUP($B16,'[2]9월'!$F$6:$CP$99,16,),)/1000</f>
        <v>-63.359207999999896</v>
      </c>
      <c r="V16" s="47">
        <f t="shared" si="5"/>
        <v>-208.56541137555405</v>
      </c>
      <c r="W16" s="48">
        <f>+IFERROR(HLOOKUP($B16,'[3]9월'!$F$6:$CC$57,16,),)/1000</f>
        <v>152.25466699999993</v>
      </c>
      <c r="X16" s="49">
        <f t="shared" si="6"/>
        <v>-215.61387499999984</v>
      </c>
      <c r="Y16" s="45">
        <f>+[4]창원!$Q$85</f>
        <v>101100.38024584616</v>
      </c>
      <c r="Z16" s="46">
        <f>+[4]창원!$R$85</f>
        <v>91406.721662083728</v>
      </c>
      <c r="AA16" s="50">
        <f>+[5]창원!$Q$85</f>
        <v>100805.5507256069</v>
      </c>
      <c r="AB16" s="51">
        <f>+[4]창원!$Q$89</f>
        <v>76060.569826433188</v>
      </c>
      <c r="AC16" s="46">
        <f>+[4]창원!$R$89</f>
        <v>71724.15200122213</v>
      </c>
      <c r="AD16" s="52">
        <f>+[5]창원!$Q$89</f>
        <v>74736.793486256938</v>
      </c>
      <c r="AE16" s="51">
        <f t="shared" si="7"/>
        <v>25039.81041941297</v>
      </c>
      <c r="AF16" s="46">
        <f t="shared" si="7"/>
        <v>19682.569660861598</v>
      </c>
      <c r="AG16" s="52">
        <f t="shared" si="7"/>
        <v>26068.757239349958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+IFERROR(HLOOKUP($B17,'[1]9월'!$D$6:$BN$259,2,),)/1000</f>
        <v>12</v>
      </c>
      <c r="K17" s="46">
        <f>+IFERROR(HLOOKUP($B17,'[2]9월'!$F$6:$CP$99,2,),)/1000</f>
        <v>13.3385</v>
      </c>
      <c r="L17" s="47">
        <f t="shared" si="0"/>
        <v>1.3384999999999998</v>
      </c>
      <c r="M17" s="48">
        <f>+IFERROR(HLOOKUP($B17,'[3]9월'!$F$6:$CC$57,2,),)/1000</f>
        <v>14.191000000000001</v>
      </c>
      <c r="N17" s="49">
        <f t="shared" si="2"/>
        <v>-0.85250000000000092</v>
      </c>
      <c r="O17" s="45">
        <f>+IFERROR(HLOOKUP($B17,'[1]9월'!$D$6:$BN$259,3,),)/1000</f>
        <v>1154.7962369565216</v>
      </c>
      <c r="P17" s="46">
        <f>+IFERROR(HLOOKUP($B17,'[2]9월'!$F$6:$CP$99,3,),)/1000</f>
        <v>1132.3223500000001</v>
      </c>
      <c r="Q17" s="47">
        <f t="shared" si="3"/>
        <v>-22.473886956521483</v>
      </c>
      <c r="R17" s="48">
        <f>+IFERROR(HLOOKUP($B17,'[3]9월'!$F$6:$CC$57,3,),)/1000</f>
        <v>1379.9727499999999</v>
      </c>
      <c r="S17" s="49">
        <f t="shared" si="4"/>
        <v>-247.65039999999976</v>
      </c>
      <c r="T17" s="45">
        <f>+IFERROR(HLOOKUP($B17,'[1]9월'!$D$6:$BN$259,16,),)/1000</f>
        <v>99.040366540709684</v>
      </c>
      <c r="U17" s="46">
        <f>+IFERROR(HLOOKUP($B17,'[2]9월'!$F$6:$CP$99,16,),)/1000</f>
        <v>42.684097000000023</v>
      </c>
      <c r="V17" s="47">
        <f t="shared" si="5"/>
        <v>-56.356269540709661</v>
      </c>
      <c r="W17" s="48">
        <f>+IFERROR(HLOOKUP($B17,'[3]9월'!$F$6:$CC$57,16,),)/1000</f>
        <v>137.65472400000007</v>
      </c>
      <c r="X17" s="49">
        <f t="shared" si="6"/>
        <v>-94.97062700000005</v>
      </c>
      <c r="Y17" s="45">
        <f>+[4]대구!$Q$85</f>
        <v>96233.019746376798</v>
      </c>
      <c r="Z17" s="46">
        <f>+[4]대구!$R$85</f>
        <v>84891.280878659527</v>
      </c>
      <c r="AA17" s="50">
        <f>+[5]대구!$Q$85</f>
        <v>97242.812345853017</v>
      </c>
      <c r="AB17" s="51">
        <f>+[4]대구!$Q$89</f>
        <v>72550.613674204345</v>
      </c>
      <c r="AC17" s="46">
        <f>+[4]대구!$R$89</f>
        <v>69930.589121715326</v>
      </c>
      <c r="AD17" s="52">
        <f>+[5]대구!$Q$89</f>
        <v>72709.872242970901</v>
      </c>
      <c r="AE17" s="51">
        <f t="shared" si="7"/>
        <v>23682.406072172453</v>
      </c>
      <c r="AF17" s="46">
        <f t="shared" si="7"/>
        <v>14960.691756944201</v>
      </c>
      <c r="AG17" s="52">
        <f t="shared" si="7"/>
        <v>24532.940102882116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+IFERROR(HLOOKUP($B18,'[1]9월'!$D$6:$BN$259,2,),)/1000</f>
        <v>14</v>
      </c>
      <c r="K18" s="10">
        <f>+IFERROR(HLOOKUP($B18,'[2]9월'!$F$6:$CP$99,2,),)/1000</f>
        <v>13.179</v>
      </c>
      <c r="L18" s="11">
        <f t="shared" si="0"/>
        <v>-0.82099999999999973</v>
      </c>
      <c r="M18" s="12">
        <f>+IFERROR(HLOOKUP($B18,'[3]9월'!$F$6:$CC$57,2,),)/1000</f>
        <v>11.98</v>
      </c>
      <c r="N18" s="13">
        <f t="shared" si="2"/>
        <v>1.1989999999999998</v>
      </c>
      <c r="O18" s="9">
        <f>+IFERROR(HLOOKUP($B18,'[1]9월'!$D$6:$BN$259,3,),)/1000</f>
        <v>1458.865</v>
      </c>
      <c r="P18" s="10">
        <f>+IFERROR(HLOOKUP($B18,'[2]9월'!$F$6:$CP$99,3,),)/1000</f>
        <v>1435.1891000000001</v>
      </c>
      <c r="Q18" s="11">
        <f t="shared" si="3"/>
        <v>-23.675899999999956</v>
      </c>
      <c r="R18" s="12">
        <f>+IFERROR(HLOOKUP($B18,'[3]9월'!$F$6:$CC$57,3,),)/1000</f>
        <v>1176.1865500000001</v>
      </c>
      <c r="S18" s="13">
        <f t="shared" si="4"/>
        <v>259.00254999999993</v>
      </c>
      <c r="T18" s="9">
        <f>+IFERROR(HLOOKUP($B18,'[1]9월'!$D$6:$BN$259,16,),)/1000</f>
        <v>156.77600863590894</v>
      </c>
      <c r="U18" s="10">
        <f>+IFERROR(HLOOKUP($B18,'[2]9월'!$F$6:$CP$99,16,),)/1000</f>
        <v>178.43166000000005</v>
      </c>
      <c r="V18" s="11">
        <f t="shared" si="5"/>
        <v>21.655651364091113</v>
      </c>
      <c r="W18" s="12">
        <f>+IFERROR(HLOOKUP($B18,'[3]9월'!$F$6:$CC$57,16,),)/1000</f>
        <v>78.459948000000068</v>
      </c>
      <c r="X18" s="13">
        <f t="shared" si="6"/>
        <v>99.971711999999982</v>
      </c>
      <c r="Y18" s="9">
        <f>+[4]울산!$Q$85</f>
        <v>104204.64285714286</v>
      </c>
      <c r="Z18" s="10">
        <f>+[4]울산!$R$85</f>
        <v>108899.69648683512</v>
      </c>
      <c r="AA18" s="14">
        <f>+[5]울산!$Q$85</f>
        <v>98179.177796327203</v>
      </c>
      <c r="AB18" s="15">
        <f>+[4]울산!$Q$89</f>
        <v>82480.757744407369</v>
      </c>
      <c r="AC18" s="10">
        <f>+[4]울산!$R$89</f>
        <v>82498.144654088042</v>
      </c>
      <c r="AD18" s="16">
        <f>+[5]울산!$Q$89</f>
        <v>78607.479048414025</v>
      </c>
      <c r="AE18" s="15">
        <f t="shared" si="7"/>
        <v>21723.885112735486</v>
      </c>
      <c r="AF18" s="10">
        <f t="shared" si="7"/>
        <v>26401.551832747078</v>
      </c>
      <c r="AG18" s="16">
        <f t="shared" si="7"/>
        <v>19571.698747913179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+IFERROR(HLOOKUP($B19,'[1]9월'!$D$6:$BN$259,2,),)/1000</f>
        <v>26</v>
      </c>
      <c r="K19" s="46">
        <f>+IFERROR(HLOOKUP($B19,'[2]9월'!$F$6:$CP$99,2,),)/1000</f>
        <v>23.459</v>
      </c>
      <c r="L19" s="47">
        <f t="shared" si="0"/>
        <v>-2.5410000000000004</v>
      </c>
      <c r="M19" s="48">
        <f>+IFERROR(HLOOKUP($B19,'[3]9월'!$F$6:$CC$57,2,),)/1000</f>
        <v>23.352</v>
      </c>
      <c r="N19" s="49">
        <f t="shared" si="2"/>
        <v>0.10699999999999932</v>
      </c>
      <c r="O19" s="45">
        <f>+IFERROR(HLOOKUP($B19,'[1]9월'!$D$6:$BN$259,3,),)/1000</f>
        <v>2678</v>
      </c>
      <c r="P19" s="46">
        <f>+IFERROR(HLOOKUP($B19,'[2]9월'!$F$6:$CP$99,3,),)/1000</f>
        <v>2198.6815109999998</v>
      </c>
      <c r="Q19" s="47">
        <f t="shared" si="3"/>
        <v>-479.31848900000023</v>
      </c>
      <c r="R19" s="48">
        <f>+IFERROR(HLOOKUP($B19,'[3]9월'!$F$6:$CC$57,3,),)/1000</f>
        <v>2315.0377599999997</v>
      </c>
      <c r="S19" s="49">
        <f t="shared" si="4"/>
        <v>-116.35624899999993</v>
      </c>
      <c r="T19" s="45">
        <f>+IFERROR(HLOOKUP($B19,'[1]9월'!$D$6:$BN$259,16,),)/1000</f>
        <v>399.79482460005875</v>
      </c>
      <c r="U19" s="46">
        <f>+IFERROR(HLOOKUP($B19,'[2]9월'!$F$6:$CP$99,16,),)/1000</f>
        <v>79.527224000000047</v>
      </c>
      <c r="V19" s="47">
        <f t="shared" si="5"/>
        <v>-320.2676006000587</v>
      </c>
      <c r="W19" s="48">
        <f>+IFERROR(HLOOKUP($B19,'[3]9월'!$F$6:$CC$57,16,),)/1000</f>
        <v>256.65218499999986</v>
      </c>
      <c r="X19" s="49">
        <f t="shared" si="6"/>
        <v>-177.12496099999981</v>
      </c>
      <c r="Y19" s="45">
        <f>+[4]아산!$Q$85</f>
        <v>103000</v>
      </c>
      <c r="Z19" s="46">
        <f>+[4]아산!$R$85</f>
        <v>93724.434588004602</v>
      </c>
      <c r="AA19" s="50">
        <f>+[5]아산!$Q$85</f>
        <v>99026.218995765259</v>
      </c>
      <c r="AB19" s="51">
        <f>+[4]아산!$Q$89</f>
        <v>77918.037582229037</v>
      </c>
      <c r="AC19" s="46">
        <f>+[4]아산!$R$89</f>
        <v>79487.177586427395</v>
      </c>
      <c r="AD19" s="52">
        <f>+[5]아산!$Q$89</f>
        <v>76440.335922665283</v>
      </c>
      <c r="AE19" s="51">
        <f t="shared" si="7"/>
        <v>25081.962417770963</v>
      </c>
      <c r="AF19" s="46">
        <f t="shared" si="7"/>
        <v>14237.257001577207</v>
      </c>
      <c r="AG19" s="52">
        <f t="shared" si="7"/>
        <v>22585.883073099976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+IFERROR(HLOOKUP($B20,'[1]9월'!$D$6:$BN$259,2,),)/1000</f>
        <v>12</v>
      </c>
      <c r="K20" s="46">
        <f>+IFERROR(HLOOKUP($B20,'[2]9월'!$F$6:$CP$99,2,),)/1000</f>
        <v>15.058</v>
      </c>
      <c r="L20" s="47">
        <f t="shared" si="0"/>
        <v>3.0579999999999998</v>
      </c>
      <c r="M20" s="48">
        <f>+IFERROR(HLOOKUP($B20,'[3]9월'!$F$6:$CC$57,2,),)/1000</f>
        <v>10.103</v>
      </c>
      <c r="N20" s="49">
        <f t="shared" si="2"/>
        <v>4.9550000000000001</v>
      </c>
      <c r="O20" s="45">
        <f>+IFERROR(HLOOKUP($B20,'[1]9월'!$D$6:$BN$259,3,),)/1000</f>
        <v>1208.7070966000003</v>
      </c>
      <c r="P20" s="46">
        <f>+IFERROR(HLOOKUP($B20,'[2]9월'!$F$6:$CP$99,3,),)/1000</f>
        <v>1481.3307</v>
      </c>
      <c r="Q20" s="47">
        <f t="shared" si="3"/>
        <v>272.62360339999964</v>
      </c>
      <c r="R20" s="48">
        <f>+IFERROR(HLOOKUP($B20,'[3]9월'!$F$6:$CC$57,3,),)/1000</f>
        <v>1007.174396</v>
      </c>
      <c r="S20" s="49">
        <f t="shared" si="4"/>
        <v>474.15630399999998</v>
      </c>
      <c r="T20" s="45">
        <f>+IFERROR(HLOOKUP($B20,'[1]9월'!$D$6:$BN$259,16,),)/1000</f>
        <v>175.60275045370437</v>
      </c>
      <c r="U20" s="46">
        <f>+IFERROR(HLOOKUP($B20,'[2]9월'!$F$6:$CP$99,16,),)/1000</f>
        <v>174.72593199999991</v>
      </c>
      <c r="V20" s="47">
        <f t="shared" si="5"/>
        <v>-0.87681845370445899</v>
      </c>
      <c r="W20" s="48">
        <f>+IFERROR(HLOOKUP($B20,'[3]9월'!$F$6:$CC$57,16,),)/1000</f>
        <v>98.002098999999959</v>
      </c>
      <c r="X20" s="49">
        <f t="shared" si="6"/>
        <v>76.723832999999956</v>
      </c>
      <c r="Y20" s="45">
        <f>+[4]전주!$Q$85</f>
        <v>100725.59138333335</v>
      </c>
      <c r="Z20" s="46">
        <f>+[4]전주!$R$85</f>
        <v>98374.996679505915</v>
      </c>
      <c r="AA20" s="50">
        <f>+[5]전주!$Q$85</f>
        <v>99690.626150648313</v>
      </c>
      <c r="AB20" s="51">
        <f>+[4]전주!$Q$89</f>
        <v>73247.441530709839</v>
      </c>
      <c r="AC20" s="46">
        <f>+[4]전주!$R$89</f>
        <v>75716.658807947009</v>
      </c>
      <c r="AD20" s="52">
        <f>+[5]전주!$Q$89</f>
        <v>72859.16451199053</v>
      </c>
      <c r="AE20" s="51">
        <f t="shared" si="7"/>
        <v>27478.149852623508</v>
      </c>
      <c r="AF20" s="46">
        <f t="shared" si="7"/>
        <v>22658.337871558906</v>
      </c>
      <c r="AG20" s="52">
        <f t="shared" si="7"/>
        <v>26831.461638657784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+IFERROR(HLOOKUP($B21,'[1]9월'!$D$6:$BN$259,2,),)/1000</f>
        <v>8</v>
      </c>
      <c r="K21" s="46">
        <f>+IFERROR(HLOOKUP($B21,'[2]9월'!$F$6:$CP$99,2,),)/1000</f>
        <v>4.3985000000000003</v>
      </c>
      <c r="L21" s="47">
        <f t="shared" si="0"/>
        <v>-3.6014999999999997</v>
      </c>
      <c r="M21" s="48">
        <f>+IFERROR(HLOOKUP($B21,'[3]9월'!$F$6:$CC$57,2,),)/1000</f>
        <v>7.883</v>
      </c>
      <c r="N21" s="49">
        <f t="shared" si="2"/>
        <v>-3.4844999999999997</v>
      </c>
      <c r="O21" s="45">
        <f>+IFERROR(HLOOKUP($B21,'[1]9월'!$D$6:$BN$259,3,),)/1000</f>
        <v>894.38615000000016</v>
      </c>
      <c r="P21" s="46">
        <f>+IFERROR(HLOOKUP($B21,'[2]9월'!$F$6:$CP$99,3,),)/1000</f>
        <v>485.68059999999997</v>
      </c>
      <c r="Q21" s="47">
        <f t="shared" si="3"/>
        <v>-408.70555000000019</v>
      </c>
      <c r="R21" s="48">
        <f>+IFERROR(HLOOKUP($B21,'[3]9월'!$F$6:$CC$57,3,),)/1000</f>
        <v>917.56020000000001</v>
      </c>
      <c r="S21" s="49">
        <f t="shared" si="4"/>
        <v>-431.87960000000004</v>
      </c>
      <c r="T21" s="45">
        <f>+IFERROR(HLOOKUP($B21,'[1]9월'!$D$6:$BN$259,16,),)/1000</f>
        <v>232.8928068662382</v>
      </c>
      <c r="U21" s="46">
        <f>+IFERROR(HLOOKUP($B21,'[2]9월'!$F$6:$CP$99,16,),)/1000</f>
        <v>70.142529999999937</v>
      </c>
      <c r="V21" s="47">
        <f t="shared" si="5"/>
        <v>-162.75027686623827</v>
      </c>
      <c r="W21" s="48">
        <f>+IFERROR(HLOOKUP($B21,'[3]9월'!$F$6:$CC$57,16,),)/1000</f>
        <v>252.01421399999995</v>
      </c>
      <c r="X21" s="49">
        <f t="shared" si="6"/>
        <v>-181.87168400000002</v>
      </c>
      <c r="Y21" s="45">
        <f>+[4]군산!$Q$85</f>
        <v>111798.26875000002</v>
      </c>
      <c r="Z21" s="46">
        <f>+[4]군산!$R$85</f>
        <v>110265.30369665993</v>
      </c>
      <c r="AA21" s="50">
        <f>+[5]군산!$Q$85</f>
        <v>116414.49459631278</v>
      </c>
      <c r="AB21" s="51">
        <f>+[4]군산!$Q$89</f>
        <v>72435.635433386909</v>
      </c>
      <c r="AC21" s="46">
        <f>+[4]군산!$R$89</f>
        <v>72207.09008902077</v>
      </c>
      <c r="AD21" s="52">
        <f>+[5]군산!$Q$89</f>
        <v>72940.627844882387</v>
      </c>
      <c r="AE21" s="51">
        <f t="shared" si="7"/>
        <v>39362.633316613108</v>
      </c>
      <c r="AF21" s="46">
        <f t="shared" si="7"/>
        <v>38058.213607639162</v>
      </c>
      <c r="AG21" s="52">
        <f t="shared" si="7"/>
        <v>43473.866751430396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+IFERROR(HLOOKUP($B22,'[1]9월'!$D$6:$BN$259,2,),)/1000</f>
        <v>6</v>
      </c>
      <c r="K22" s="46">
        <f>+IFERROR(HLOOKUP($B22,'[2]9월'!$F$6:$CP$99,2,),)/1000</f>
        <v>3.3584999999999998</v>
      </c>
      <c r="L22" s="47">
        <f t="shared" si="0"/>
        <v>-2.6415000000000002</v>
      </c>
      <c r="M22" s="48">
        <f>+IFERROR(HLOOKUP($B22,'[3]9월'!$F$6:$CC$57,2,),)/1000</f>
        <v>5.359</v>
      </c>
      <c r="N22" s="49">
        <f t="shared" si="2"/>
        <v>-2.0005000000000002</v>
      </c>
      <c r="O22" s="45">
        <f>+IFERROR(HLOOKUP($B22,'[1]9월'!$D$6:$BN$259,3,),)/1000</f>
        <v>672</v>
      </c>
      <c r="P22" s="46">
        <f>+IFERROR(HLOOKUP($B22,'[2]9월'!$F$6:$CP$99,3,),)/1000</f>
        <v>376.37214500000005</v>
      </c>
      <c r="Q22" s="47">
        <f t="shared" si="3"/>
        <v>-295.62785499999995</v>
      </c>
      <c r="R22" s="48">
        <f>+IFERROR(HLOOKUP($B22,'[3]9월'!$F$6:$CC$57,3,),)/1000</f>
        <v>606.96100000000001</v>
      </c>
      <c r="S22" s="49">
        <f t="shared" si="4"/>
        <v>-230.58885499999997</v>
      </c>
      <c r="T22" s="45">
        <f>+IFERROR(HLOOKUP($B22,'[1]9월'!$D$6:$BN$259,16,),)/1000</f>
        <v>128.61965173588288</v>
      </c>
      <c r="U22" s="46">
        <f>+IFERROR(HLOOKUP($B22,'[2]9월'!$F$6:$CP$99,16,),)/1000</f>
        <v>32.57209600000003</v>
      </c>
      <c r="V22" s="47">
        <f t="shared" si="5"/>
        <v>-96.047555735882852</v>
      </c>
      <c r="W22" s="48">
        <f>+IFERROR(HLOOKUP($B22,'[3]9월'!$F$6:$CC$57,16,),)/1000</f>
        <v>107.13870299999999</v>
      </c>
      <c r="X22" s="49">
        <f t="shared" si="6"/>
        <v>-74.566606999999962</v>
      </c>
      <c r="Y22" s="45">
        <f>+[4]원주!$Q$85</f>
        <v>112000</v>
      </c>
      <c r="Z22" s="46">
        <f>+[4]원주!$R$85</f>
        <v>112065.54860800953</v>
      </c>
      <c r="AA22" s="50">
        <f>+[5]원주!$Q$85</f>
        <v>113260.12315730547</v>
      </c>
      <c r="AB22" s="51">
        <f>+[4]원주!$Q$89</f>
        <v>73072.219679743255</v>
      </c>
      <c r="AC22" s="46">
        <f>+[4]원주!$R$89</f>
        <v>71797.687360428768</v>
      </c>
      <c r="AD22" s="52">
        <f>+[5]원주!$Q$89</f>
        <v>73534.47658145176</v>
      </c>
      <c r="AE22" s="51">
        <f t="shared" si="7"/>
        <v>38927.780320256745</v>
      </c>
      <c r="AF22" s="46">
        <f t="shared" si="7"/>
        <v>40267.86124758076</v>
      </c>
      <c r="AG22" s="52">
        <f t="shared" si="7"/>
        <v>39725.646575853709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/>
      <c r="G23" s="334" t="str">
        <f t="shared" si="1"/>
        <v>제주</v>
      </c>
      <c r="H23" s="74"/>
      <c r="I23" s="75" t="s">
        <v>75</v>
      </c>
      <c r="J23" s="45">
        <f>+IFERROR(HLOOKUP($B23,'[1]9월'!$D$6:$BN$259,2,),)/1000</f>
        <v>9</v>
      </c>
      <c r="K23" s="46">
        <f>+IFERROR(HLOOKUP($B23,'[2]9월'!$F$6:$CP$99,2,),)/1000</f>
        <v>4.7939999999999996</v>
      </c>
      <c r="L23" s="47">
        <f t="shared" si="0"/>
        <v>-4.2060000000000004</v>
      </c>
      <c r="M23" s="48">
        <f>+IFERROR(HLOOKUP($B23,'[3]9월'!$F$6:$CC$57,2,),)/1000</f>
        <v>2.1084999999999998</v>
      </c>
      <c r="N23" s="49">
        <f t="shared" si="2"/>
        <v>2.6854999999999998</v>
      </c>
      <c r="O23" s="45">
        <f>+IFERROR(HLOOKUP($B23,'[1]9월'!$D$6:$BN$259,3,),)/1000</f>
        <v>1106.96</v>
      </c>
      <c r="P23" s="46">
        <f>+IFERROR(HLOOKUP($B23,'[2]9월'!$F$6:$CP$99,3,),)/1000</f>
        <v>607.31896800000004</v>
      </c>
      <c r="Q23" s="47">
        <f t="shared" si="3"/>
        <v>-499.641032</v>
      </c>
      <c r="R23" s="48">
        <f>+IFERROR(HLOOKUP($B23,'[3]9월'!$F$6:$CC$57,3,),)/1000</f>
        <v>245.49821799999998</v>
      </c>
      <c r="S23" s="49">
        <f t="shared" si="4"/>
        <v>361.82075000000009</v>
      </c>
      <c r="T23" s="45">
        <f>+IFERROR(HLOOKUP($B23,'[1]9월'!$D$6:$BN$259,16,),)/1000</f>
        <v>190.51152269973417</v>
      </c>
      <c r="U23" s="46">
        <f>+IFERROR(HLOOKUP($B23,'[2]9월'!$F$6:$CP$99,16,),)/1000</f>
        <v>35.677638999999985</v>
      </c>
      <c r="V23" s="47">
        <f t="shared" si="5"/>
        <v>-154.8338836997342</v>
      </c>
      <c r="W23" s="48">
        <f>+IFERROR(HLOOKUP($B23,'[3]9월'!$F$6:$CC$57,16,),)/1000</f>
        <v>-40.681329000000026</v>
      </c>
      <c r="X23" s="49">
        <f t="shared" si="6"/>
        <v>76.358968000000004</v>
      </c>
      <c r="Y23" s="45">
        <f>+[4]제주!$Q$85</f>
        <v>122995.55555555556</v>
      </c>
      <c r="Z23" s="46">
        <f>+[4]제주!$R$85</f>
        <v>126594.92720306512</v>
      </c>
      <c r="AA23" s="50">
        <f>+[5]제주!$Q$85</f>
        <v>116432.63836850841</v>
      </c>
      <c r="AB23" s="51">
        <f>+[4]제주!$Q$89</f>
        <v>91386.195631139082</v>
      </c>
      <c r="AC23" s="46">
        <f>+[4]제주!$R$89</f>
        <v>96807.173903833929</v>
      </c>
      <c r="AD23" s="52">
        <f>+[5]제주!$Q$89</f>
        <v>86083.47498221483</v>
      </c>
      <c r="AE23" s="51">
        <f t="shared" si="7"/>
        <v>31609.35992441648</v>
      </c>
      <c r="AF23" s="46">
        <f t="shared" si="7"/>
        <v>29787.75329923119</v>
      </c>
      <c r="AG23" s="52">
        <f t="shared" si="7"/>
        <v>30349.163386293585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0.78675221238938053</v>
      </c>
      <c r="G24" s="337" t="str">
        <f t="shared" si="1"/>
        <v>수도권</v>
      </c>
      <c r="H24" s="74"/>
      <c r="I24" s="78" t="s">
        <v>42</v>
      </c>
      <c r="J24" s="22">
        <f>SUM(J7:J10)</f>
        <v>113</v>
      </c>
      <c r="K24" s="19">
        <f>SUM(K7:K10)</f>
        <v>88.903000000000006</v>
      </c>
      <c r="L24" s="20">
        <f t="shared" si="0"/>
        <v>-24.096999999999994</v>
      </c>
      <c r="M24" s="24">
        <f>SUM(M7:M10)</f>
        <v>75.634799999999998</v>
      </c>
      <c r="N24" s="21">
        <f t="shared" si="2"/>
        <v>13.268200000000007</v>
      </c>
      <c r="O24" s="22">
        <f>SUM(O7:O10)</f>
        <v>11317.643069958081</v>
      </c>
      <c r="P24" s="19">
        <f>SUM(P7:P10)</f>
        <v>8516.0125320000006</v>
      </c>
      <c r="Q24" s="20">
        <f t="shared" si="3"/>
        <v>-2801.6305379580808</v>
      </c>
      <c r="R24" s="24">
        <f>SUM(R7:R10)</f>
        <v>7393.0980060000002</v>
      </c>
      <c r="S24" s="21">
        <f t="shared" si="4"/>
        <v>1122.9145260000005</v>
      </c>
      <c r="T24" s="22">
        <f>SUM(T7:T10)</f>
        <v>1155.2460981348211</v>
      </c>
      <c r="U24" s="19">
        <f>SUM(U7:U10)</f>
        <v>63.243236999999993</v>
      </c>
      <c r="V24" s="20">
        <f t="shared" si="5"/>
        <v>-1092.0028611348212</v>
      </c>
      <c r="W24" s="24">
        <f>SUM(W7:W10)</f>
        <v>268.92704800000007</v>
      </c>
      <c r="X24" s="21">
        <f t="shared" si="6"/>
        <v>-205.68381100000008</v>
      </c>
      <c r="Y24" s="22">
        <f>+[4]수도권!$Q$85</f>
        <v>100156.13336246088</v>
      </c>
      <c r="Z24" s="19">
        <f>+[4]수도권!$R$85</f>
        <v>95819.565702643042</v>
      </c>
      <c r="AA24" s="23">
        <f>+[5]수도권!$Q$85</f>
        <v>97749.491475587041</v>
      </c>
      <c r="AB24" s="28">
        <f>+[4]수도권!$Q$89</f>
        <v>80885.883428090732</v>
      </c>
      <c r="AC24" s="19">
        <f>+[4]수도권!$R$89</f>
        <v>82395.262911488302</v>
      </c>
      <c r="AD24" s="29">
        <f>+[5]수도권!$Q$89</f>
        <v>79479.89152119041</v>
      </c>
      <c r="AE24" s="28">
        <f t="shared" si="7"/>
        <v>19270.249934370149</v>
      </c>
      <c r="AF24" s="19">
        <f t="shared" si="7"/>
        <v>13424.30279115474</v>
      </c>
      <c r="AG24" s="29">
        <f t="shared" si="7"/>
        <v>18269.599954396632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0.87595238095238104</v>
      </c>
      <c r="G25" s="334" t="str">
        <f t="shared" si="1"/>
        <v>영남권</v>
      </c>
      <c r="H25" s="74"/>
      <c r="I25" s="78" t="s">
        <v>43</v>
      </c>
      <c r="J25" s="22">
        <f>SUM(J11:J18)</f>
        <v>126</v>
      </c>
      <c r="K25" s="19">
        <f>SUM(K11:K18)</f>
        <v>110.37</v>
      </c>
      <c r="L25" s="20">
        <f t="shared" si="0"/>
        <v>-15.629999999999995</v>
      </c>
      <c r="M25" s="24">
        <f>SUM(M11:M18)</f>
        <v>111.84400000000001</v>
      </c>
      <c r="N25" s="21">
        <f t="shared" si="2"/>
        <v>-1.4740000000000038</v>
      </c>
      <c r="O25" s="22">
        <f>SUM(O11:O18)</f>
        <v>12692.821005124522</v>
      </c>
      <c r="P25" s="19">
        <f>SUM(P11:P18)</f>
        <v>10862.521277</v>
      </c>
      <c r="Q25" s="20">
        <f t="shared" si="3"/>
        <v>-1830.2997281245225</v>
      </c>
      <c r="R25" s="24">
        <f>SUM(R11:R18)</f>
        <v>11134.043100000001</v>
      </c>
      <c r="S25" s="21">
        <f t="shared" si="4"/>
        <v>-271.52182300000095</v>
      </c>
      <c r="T25" s="22">
        <f>SUM(T11:T18)</f>
        <v>1271.9598246424691</v>
      </c>
      <c r="U25" s="19">
        <f>SUM(U11:U18)</f>
        <v>522.80345999999986</v>
      </c>
      <c r="V25" s="20">
        <f t="shared" si="5"/>
        <v>-749.15636464246927</v>
      </c>
      <c r="W25" s="24">
        <f>SUM(W11:W18)</f>
        <v>790.68247000000031</v>
      </c>
      <c r="X25" s="21">
        <f t="shared" si="6"/>
        <v>-267.87901000000045</v>
      </c>
      <c r="Y25" s="22">
        <f>+[4]영남권!$Q$85</f>
        <v>100736.67464384541</v>
      </c>
      <c r="Z25" s="19">
        <f>+[4]영남권!$R$85</f>
        <v>98462.66845790144</v>
      </c>
      <c r="AA25" s="23">
        <f>+[5]영남권!$Q$85</f>
        <v>99624.761690242362</v>
      </c>
      <c r="AB25" s="28">
        <f>+[4]영남권!$Q$89</f>
        <v>78881.308036851697</v>
      </c>
      <c r="AC25" s="19">
        <f>+[4]영남권!$R$89</f>
        <v>79337.908179194419</v>
      </c>
      <c r="AD25" s="29">
        <f>+[5]영남권!$Q$89</f>
        <v>77483.836889347993</v>
      </c>
      <c r="AE25" s="28">
        <f t="shared" si="7"/>
        <v>21855.366606993717</v>
      </c>
      <c r="AF25" s="19">
        <f t="shared" si="7"/>
        <v>19124.760278707021</v>
      </c>
      <c r="AG25" s="29">
        <f t="shared" si="7"/>
        <v>22140.924800894369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0.83718032786885233</v>
      </c>
      <c r="G26" s="334" t="str">
        <f t="shared" si="1"/>
        <v>중부권</v>
      </c>
      <c r="H26" s="74"/>
      <c r="I26" s="78" t="s">
        <v>106</v>
      </c>
      <c r="J26" s="22">
        <f>SUM(J19:J23)</f>
        <v>61</v>
      </c>
      <c r="K26" s="19">
        <f>SUM(K19:K23)</f>
        <v>51.067999999999991</v>
      </c>
      <c r="L26" s="20">
        <f t="shared" si="0"/>
        <v>-9.9320000000000093</v>
      </c>
      <c r="M26" s="24">
        <f>SUM(M19:M23)</f>
        <v>48.805500000000002</v>
      </c>
      <c r="N26" s="21">
        <f t="shared" si="2"/>
        <v>2.2624999999999886</v>
      </c>
      <c r="O26" s="22">
        <f>SUM(O19:O23)</f>
        <v>6560.0532466000004</v>
      </c>
      <c r="P26" s="19">
        <f>SUM(P19:P23)</f>
        <v>5149.3839239999998</v>
      </c>
      <c r="Q26" s="20">
        <f t="shared" si="3"/>
        <v>-1410.6693226000007</v>
      </c>
      <c r="R26" s="24">
        <f>SUM(R19:R23)</f>
        <v>5092.2315739999995</v>
      </c>
      <c r="S26" s="21">
        <f t="shared" si="4"/>
        <v>57.152350000000297</v>
      </c>
      <c r="T26" s="22">
        <f>SUM(T19:T23)</f>
        <v>1127.4215563556183</v>
      </c>
      <c r="U26" s="19">
        <f>SUM(U19:U23)</f>
        <v>392.64542099999994</v>
      </c>
      <c r="V26" s="20">
        <f t="shared" si="5"/>
        <v>-734.77613535561841</v>
      </c>
      <c r="W26" s="24">
        <f>SUM(W19:W23)</f>
        <v>673.12587199999973</v>
      </c>
      <c r="X26" s="21">
        <f t="shared" si="6"/>
        <v>-280.48045099999979</v>
      </c>
      <c r="Y26" s="22">
        <f>+[4]중부권!$Q$85</f>
        <v>107541.85650163934</v>
      </c>
      <c r="Z26" s="19">
        <f>+[4]중부권!$R$85</f>
        <v>100727.81260338718</v>
      </c>
      <c r="AA26" s="23">
        <f>+[5]중부권!$Q$85</f>
        <v>104305.45775307498</v>
      </c>
      <c r="AB26" s="28">
        <f>+[4]중부권!$Q$89</f>
        <v>77790.695700529162</v>
      </c>
      <c r="AC26" s="19">
        <f>+[4]중부권!$R$89</f>
        <v>78864.58112918133</v>
      </c>
      <c r="AD26" s="29">
        <f>+[5]중부권!$Q$89</f>
        <v>75226.18726291442</v>
      </c>
      <c r="AE26" s="28">
        <f t="shared" si="7"/>
        <v>29751.160801110178</v>
      </c>
      <c r="AF26" s="19">
        <f t="shared" si="7"/>
        <v>21863.231474205852</v>
      </c>
      <c r="AG26" s="29">
        <f t="shared" si="7"/>
        <v>29079.270490160561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1.0594906221022726</v>
      </c>
      <c r="G27" s="336">
        <f>+K27/J27</f>
        <v>0.83447000000000005</v>
      </c>
      <c r="H27" s="267" t="s">
        <v>94</v>
      </c>
      <c r="I27" s="268"/>
      <c r="J27" s="269">
        <f>SUM(J24:J26)</f>
        <v>300</v>
      </c>
      <c r="K27" s="270">
        <f>SUM(K24:K26)</f>
        <v>250.34100000000001</v>
      </c>
      <c r="L27" s="271">
        <f t="shared" si="0"/>
        <v>-49.658999999999992</v>
      </c>
      <c r="M27" s="272">
        <f>SUM(M24:M26)</f>
        <v>236.2843</v>
      </c>
      <c r="N27" s="273">
        <f t="shared" si="2"/>
        <v>14.056700000000006</v>
      </c>
      <c r="O27" s="269">
        <f>SUM(O24:O26)</f>
        <v>30570.517321682604</v>
      </c>
      <c r="P27" s="270">
        <f>SUM(P24:P26)</f>
        <v>24527.917733000002</v>
      </c>
      <c r="Q27" s="271">
        <f t="shared" si="3"/>
        <v>-6042.5995886826022</v>
      </c>
      <c r="R27" s="272">
        <f>SUM(R24:R26)</f>
        <v>23619.37268</v>
      </c>
      <c r="S27" s="273">
        <f t="shared" si="4"/>
        <v>908.54505300000164</v>
      </c>
      <c r="T27" s="269">
        <f>SUM(T24:T26)</f>
        <v>3554.6274791329088</v>
      </c>
      <c r="U27" s="270">
        <f>SUM(U24:U26)</f>
        <v>978.69211799999982</v>
      </c>
      <c r="V27" s="271">
        <f t="shared" si="5"/>
        <v>-2575.9353611329088</v>
      </c>
      <c r="W27" s="272">
        <f>SUM(W24:W26)</f>
        <v>1732.7353900000003</v>
      </c>
      <c r="X27" s="273">
        <f t="shared" si="6"/>
        <v>-754.04327200000046</v>
      </c>
      <c r="Y27" s="269">
        <f>+[4]합계!$Q$85</f>
        <v>101901.72440560866</v>
      </c>
      <c r="Z27" s="270">
        <f>+[4]합계!$R$85</f>
        <v>97987.042142871491</v>
      </c>
      <c r="AA27" s="274">
        <f>+[5]합계!$Q$85</f>
        <v>99989.728432119533</v>
      </c>
      <c r="AB27" s="275">
        <f>+[4]합계!$Q$89</f>
        <v>79414.606925832821</v>
      </c>
      <c r="AC27" s="270">
        <f>+[4]합계!$R$89</f>
        <v>80325.19148407373</v>
      </c>
      <c r="AD27" s="276">
        <f>+[5]합계!$Q$89</f>
        <v>77657.504395917087</v>
      </c>
      <c r="AE27" s="275">
        <f t="shared" si="7"/>
        <v>22487.117479775843</v>
      </c>
      <c r="AF27" s="270">
        <f t="shared" si="7"/>
        <v>17661.850658797761</v>
      </c>
      <c r="AG27" s="276">
        <f t="shared" si="7"/>
        <v>22332.224036202446</v>
      </c>
      <c r="AH27" s="26"/>
      <c r="AI27" s="493">
        <f>+AF27-AE27</f>
        <v>-4825.2668209780823</v>
      </c>
      <c r="AJ27" s="494">
        <f>+AF27-AG27</f>
        <v>-4670.373377404685</v>
      </c>
      <c r="AK27" s="488"/>
      <c r="AL27" s="25"/>
    </row>
    <row r="28" spans="2:39" s="8" customFormat="1" ht="22.5" customHeight="1" x14ac:dyDescent="0.3">
      <c r="B28" s="8" t="s">
        <v>115</v>
      </c>
      <c r="C28" s="73" t="s">
        <v>46</v>
      </c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+IFERROR(HLOOKUP($B28,'[1]9월'!$D$6:$BN$259,2,),)/1000</f>
        <v>22.823312596588259</v>
      </c>
      <c r="K28" s="56">
        <f>+IFERROR(HLOOKUP($C28,'[2]9월'!$F$6:$CP$99,2,),)/1000</f>
        <v>25.943999999999999</v>
      </c>
      <c r="L28" s="37">
        <f t="shared" si="0"/>
        <v>3.1206874034117398</v>
      </c>
      <c r="M28" s="37">
        <f>+IFERROR(HLOOKUP($C28,'[3]9월'!$F$6:$CC$57,2,),)/1000</f>
        <v>9.1430000000000007</v>
      </c>
      <c r="N28" s="57">
        <f t="shared" si="2"/>
        <v>16.800999999999998</v>
      </c>
      <c r="O28" s="55">
        <f>+IFERROR(HLOOKUP($B28,'[1]9월'!$D$6:$BN$259,3,),)/1000</f>
        <v>619.85595548332287</v>
      </c>
      <c r="P28" s="56">
        <f>+IFERROR(HLOOKUP($C28,'[2]9월'!$F$6:$CP$99,3,),)/1000</f>
        <v>725.697</v>
      </c>
      <c r="Q28" s="37">
        <f t="shared" si="3"/>
        <v>105.84104451667713</v>
      </c>
      <c r="R28" s="37">
        <f>+IFERROR(HLOOKUP($C28,'[3]9월'!$F$6:$CC$57,3,),)/1000</f>
        <v>251.0855</v>
      </c>
      <c r="S28" s="57">
        <f t="shared" si="4"/>
        <v>474.61149999999998</v>
      </c>
      <c r="T28" s="55">
        <f>+IFERROR(HLOOKUP($B28,'[1]9월'!$D$6:$BN$259,21,),)/1000</f>
        <v>59.1259041948611</v>
      </c>
      <c r="U28" s="56">
        <f>+IFERROR(HLOOKUP($C28,'[2]9월'!$F$6:$CP$99,21,),)/1000</f>
        <v>13.892938797224826</v>
      </c>
      <c r="V28" s="37">
        <f t="shared" si="5"/>
        <v>-45.232965397636278</v>
      </c>
      <c r="W28" s="37">
        <f>+IFERROR(HLOOKUP($C28,'[3]9월'!$F$6:$CC$57,21,),)/1000</f>
        <v>-3.6659721609149383</v>
      </c>
      <c r="X28" s="57">
        <f t="shared" si="6"/>
        <v>17.558910958139762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  <c r="AJ28" s="484"/>
      <c r="AK28" s="488"/>
    </row>
    <row r="29" spans="2:39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+IFERROR(HLOOKUP($B29,'[1]9월'!$D$6:$BN$259,2,),)/1000</f>
        <v>43.768423655913985</v>
      </c>
      <c r="K29" s="58">
        <f>+IFERROR(HLOOKUP($C29,'[2]9월'!$F$6:$CP$99,2,),)/1000</f>
        <v>34.027999999999999</v>
      </c>
      <c r="L29" s="47">
        <f t="shared" si="0"/>
        <v>-9.7404236559139861</v>
      </c>
      <c r="M29" s="47">
        <f>+IFERROR(HLOOKUP($C29,'[3]9월'!$F$6:$CC$57,2,),)/1000</f>
        <v>1.05</v>
      </c>
      <c r="N29" s="59">
        <f t="shared" si="2"/>
        <v>32.978000000000002</v>
      </c>
      <c r="O29" s="53">
        <f>+IFERROR(HLOOKUP($B29,'[1]9월'!$D$6:$BN$259,3,),)/1000</f>
        <v>649.34917849462363</v>
      </c>
      <c r="P29" s="58">
        <f>+IFERROR(HLOOKUP($C29,'[2]9월'!$F$6:$CP$99,3,),)/1000</f>
        <v>417.92</v>
      </c>
      <c r="Q29" s="47">
        <f t="shared" si="3"/>
        <v>-231.42917849462361</v>
      </c>
      <c r="R29" s="47">
        <f>+IFERROR(HLOOKUP($C29,'[3]9월'!$F$6:$CC$57,3,),)/1000</f>
        <v>12.074999999999999</v>
      </c>
      <c r="S29" s="59">
        <f t="shared" si="4"/>
        <v>405.84500000000003</v>
      </c>
      <c r="T29" s="53">
        <f>+IFERROR(HLOOKUP($B29,'[1]9월'!$D$6:$BN$259,21,),)/1000</f>
        <v>117.93603768596832</v>
      </c>
      <c r="U29" s="58">
        <f>+IFERROR(HLOOKUP($C29,'[2]9월'!$F$6:$CP$99,21,),)/1000</f>
        <v>93.731073596120666</v>
      </c>
      <c r="V29" s="47">
        <f t="shared" si="5"/>
        <v>-24.20496408984765</v>
      </c>
      <c r="W29" s="47">
        <f>+IFERROR(HLOOKUP($C29,'[3]9월'!$F$6:$CC$57,21,),)/1000</f>
        <v>-87.578777424164457</v>
      </c>
      <c r="X29" s="59">
        <f t="shared" si="6"/>
        <v>181.30985102028512</v>
      </c>
      <c r="Y29" s="496" t="s">
        <v>227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485"/>
      <c r="AK29" s="488"/>
      <c r="AL29" s="86"/>
    </row>
    <row r="30" spans="2:39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+IFERROR(HLOOKUP($B30,'[1]9월'!$D$6:$BN$259,2,),)/1000</f>
        <v>38.403928399999998</v>
      </c>
      <c r="K30" s="58">
        <f>+IFERROR(HLOOKUP($C30,'[2]9월'!$F$6:$CP$99,2,),)/1000</f>
        <v>14.301</v>
      </c>
      <c r="L30" s="47">
        <f t="shared" si="0"/>
        <v>-24.102928399999996</v>
      </c>
      <c r="M30" s="47">
        <f>+IFERROR(HLOOKUP($C30,'[3]9월'!$F$6:$CC$57,2,),)/1000</f>
        <v>36.758000000000003</v>
      </c>
      <c r="N30" s="59">
        <f t="shared" si="2"/>
        <v>-22.457000000000001</v>
      </c>
      <c r="O30" s="53">
        <f>+IFERROR(HLOOKUP($B30,'[1]9월'!$D$6:$BN$259,3,),)/1000</f>
        <v>654.28494799999999</v>
      </c>
      <c r="P30" s="58">
        <f>+IFERROR(HLOOKUP($C30,'[2]9월'!$F$6:$CP$99,3,),)/1000</f>
        <v>291.14749999999998</v>
      </c>
      <c r="Q30" s="47">
        <f t="shared" si="3"/>
        <v>-363.13744800000001</v>
      </c>
      <c r="R30" s="47">
        <f>+IFERROR(HLOOKUP($C30,'[3]9월'!$F$6:$CC$57,3,),)/1000</f>
        <v>622.58500000000004</v>
      </c>
      <c r="S30" s="59">
        <f t="shared" si="4"/>
        <v>-331.43750000000006</v>
      </c>
      <c r="T30" s="53">
        <f>+IFERROR(HLOOKUP($B30,'[1]9월'!$D$6:$BN$259,21,),)/1000</f>
        <v>41.567804585228011</v>
      </c>
      <c r="U30" s="58">
        <f>+IFERROR(HLOOKUP($C30,'[2]9월'!$F$6:$CP$99,21,),)/1000</f>
        <v>-98.421121440000036</v>
      </c>
      <c r="V30" s="47">
        <f t="shared" si="5"/>
        <v>-139.98892602522804</v>
      </c>
      <c r="W30" s="47">
        <f>+IFERROR(HLOOKUP($C30,'[3]9월'!$F$6:$CC$57,21,),)/1000</f>
        <v>-221.73574761</v>
      </c>
      <c r="X30" s="59">
        <f t="shared" si="6"/>
        <v>123.31462616999997</v>
      </c>
      <c r="Y30" s="496" t="s">
        <v>228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3" customFormat="1" ht="22.5" customHeight="1" x14ac:dyDescent="0.3">
      <c r="G31" s="339">
        <f>+K31/J31</f>
        <v>0.70739111225036599</v>
      </c>
      <c r="H31" s="134" t="s">
        <v>33</v>
      </c>
      <c r="I31" s="135"/>
      <c r="J31" s="136">
        <f>SUM(J28:J30)</f>
        <v>104.99566465250224</v>
      </c>
      <c r="K31" s="140">
        <f>SUM(K28:K30)</f>
        <v>74.272999999999996</v>
      </c>
      <c r="L31" s="138">
        <f t="shared" si="0"/>
        <v>-30.722664652502246</v>
      </c>
      <c r="M31" s="138">
        <f>SUM(M28:M30)</f>
        <v>46.951000000000008</v>
      </c>
      <c r="N31" s="139">
        <f t="shared" si="2"/>
        <v>27.321999999999989</v>
      </c>
      <c r="O31" s="136">
        <f>SUM(O28:O30)</f>
        <v>1923.4900819779464</v>
      </c>
      <c r="P31" s="140">
        <f>SUM(P28:P30)</f>
        <v>1434.7645</v>
      </c>
      <c r="Q31" s="138">
        <f t="shared" si="3"/>
        <v>-488.72558197794638</v>
      </c>
      <c r="R31" s="138">
        <f>SUM(R28:R30)</f>
        <v>885.74549999999999</v>
      </c>
      <c r="S31" s="139">
        <f t="shared" si="4"/>
        <v>549.01900000000001</v>
      </c>
      <c r="T31" s="136">
        <f>SUM(T28:T30)</f>
        <v>218.62974646605741</v>
      </c>
      <c r="U31" s="140">
        <f>SUM(U28:U30)</f>
        <v>9.2028909533454595</v>
      </c>
      <c r="V31" s="138">
        <f t="shared" si="5"/>
        <v>-209.42685551271194</v>
      </c>
      <c r="W31" s="138">
        <f>SUM(W28:W30)</f>
        <v>-312.98049719507941</v>
      </c>
      <c r="X31" s="139">
        <f t="shared" si="6"/>
        <v>322.18338814842485</v>
      </c>
      <c r="Y31" s="496" t="s">
        <v>229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  <c r="AJ31" s="486"/>
      <c r="AK31" s="484"/>
      <c r="AL31" s="489"/>
      <c r="AM31" s="486"/>
    </row>
    <row r="32" spans="2:39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(IFERROR(HLOOKUP($B32,'[1]9월'!$D$6:$BN$259,3,),)++IFERROR(HLOOKUP($C32,'[1]9월'!$D$6:$BN$259,3,),)+IFERROR(HLOOKUP($D32,'[1]9월'!$D$6:$BN$259,3,),))/1000</f>
        <v>66.666666666666671</v>
      </c>
      <c r="P32" s="46">
        <f>+IFERROR(HLOOKUP($E32,'[2]9월'!$F$6:$CP$99,3,),)/1000</f>
        <v>43.34</v>
      </c>
      <c r="Q32" s="48">
        <f t="shared" si="3"/>
        <v>-23.326666666666668</v>
      </c>
      <c r="R32" s="47">
        <f>+IFERROR(HLOOKUP($E32,'[3]9월'!$F$6:$CC$57,3,),)/1000</f>
        <v>90.84</v>
      </c>
      <c r="S32" s="59">
        <f t="shared" si="4"/>
        <v>-47.5</v>
      </c>
      <c r="T32" s="45">
        <f>(IFERROR(HLOOKUP($B32,'[1]9월'!$D$6:$BN$259,21,),)++IFERROR(HLOOKUP($C32,'[1]9월'!$D$6:$BN$259,21,),)+IFERROR(HLOOKUP($D32,'[1]9월'!$D$6:$BN$259,21,),))/1000</f>
        <v>51.473203666666663</v>
      </c>
      <c r="U32" s="46">
        <f>+IFERROR(HLOOKUP($E32,'[2]9월'!$F$6:$CP$99,16,),)/1000</f>
        <v>25.888620000000003</v>
      </c>
      <c r="V32" s="48">
        <f t="shared" si="5"/>
        <v>-25.58458366666666</v>
      </c>
      <c r="W32" s="47">
        <f>+IFERROR(HLOOKUP($E32,'[3]9월'!$F$6:$CC$57,16,),)/1000</f>
        <v>76.004227</v>
      </c>
      <c r="X32" s="59">
        <f t="shared" si="6"/>
        <v>-50.115606999999997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484"/>
      <c r="AK32" s="488"/>
    </row>
    <row r="33" spans="2:43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8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9">+K33-M33</f>
        <v>0</v>
      </c>
      <c r="O33" s="45">
        <f>(+IFERROR(HLOOKUP($B33,'[1]9월'!$D$6:$BN$259,3,),)+IFERROR(HLOOKUP($C33,'[1]9월'!$D$6:$BN$259,3,),))/1000</f>
        <v>74.091499999999996</v>
      </c>
      <c r="P33" s="46">
        <f>+IFERROR(HLOOKUP($E33,'[2]9월'!$F$6:$CP$99,3,),)/1000</f>
        <v>73.807425000000009</v>
      </c>
      <c r="Q33" s="48">
        <f>+P33-O33</f>
        <v>-0.2840749999999872</v>
      </c>
      <c r="R33" s="47">
        <f>+IFERROR(HLOOKUP($E33,'[3]9월'!$F$6:$CC$57,3,),)/1000</f>
        <v>73.318180999999996</v>
      </c>
      <c r="S33" s="59">
        <f t="shared" si="4"/>
        <v>0.48924400000001356</v>
      </c>
      <c r="T33" s="45">
        <f>(+IFERROR(HLOOKUP($B33,'[1]9월'!$D$6:$BN$259,21,),)+IFERROR(HLOOKUP($C33,'[1]9월'!$D$6:$BN$259,21,),))/1000</f>
        <v>76.533943999999991</v>
      </c>
      <c r="U33" s="46">
        <f>+IFERROR(HLOOKUP($E33,'[2]9월'!$F$6:$CP$99,16,),)/1000</f>
        <v>70.267687000000009</v>
      </c>
      <c r="V33" s="48">
        <f t="shared" si="5"/>
        <v>-6.2662569999999818</v>
      </c>
      <c r="W33" s="47">
        <f>+IFERROR(HLOOKUP($E33,'[3]9월'!$F$6:$CC$57,16,),)/1000</f>
        <v>75.789990000000003</v>
      </c>
      <c r="X33" s="59">
        <f t="shared" si="6"/>
        <v>-5.5223029999999937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122</v>
      </c>
      <c r="D34"/>
      <c r="E34"/>
      <c r="F34"/>
      <c r="G34" s="334" t="str">
        <f t="shared" si="8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9"/>
        <v>0</v>
      </c>
      <c r="O34" s="45"/>
      <c r="P34" s="46"/>
      <c r="Q34" s="48">
        <f>+P34-O34</f>
        <v>0</v>
      </c>
      <c r="R34" s="47"/>
      <c r="S34" s="59">
        <f t="shared" si="4"/>
        <v>0</v>
      </c>
      <c r="T34" s="45">
        <f>-'[1]9월'!$Z$22/1000</f>
        <v>-1279.5788617488349</v>
      </c>
      <c r="U34" s="46">
        <f>+-'[2]9월'!$Z$22/1000</f>
        <v>-1380.7742889461106</v>
      </c>
      <c r="V34" s="48">
        <f t="shared" si="5"/>
        <v>-101.19542719727565</v>
      </c>
      <c r="W34" s="47">
        <f>+-'[3]9월'!$Z$22/1000</f>
        <v>-1368.6460828075965</v>
      </c>
      <c r="X34" s="59">
        <f t="shared" si="6"/>
        <v>-12.128206138514088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  <c r="AL34" s="86"/>
    </row>
    <row r="35" spans="2:43" s="8" customFormat="1" ht="22.5" customHeight="1" x14ac:dyDescent="0.3">
      <c r="D35"/>
      <c r="E35"/>
      <c r="F35"/>
      <c r="G35" s="334" t="str">
        <f t="shared" si="8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9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/>
      <c r="U35" s="46">
        <f>'[2]9월'!$BD$26/1000</f>
        <v>0</v>
      </c>
      <c r="V35" s="48">
        <f t="shared" si="5"/>
        <v>0</v>
      </c>
      <c r="W35" s="47">
        <f>+'[3]9월'!$BD$26/1000</f>
        <v>250</v>
      </c>
      <c r="X35" s="59">
        <f t="shared" si="6"/>
        <v>-250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8"/>
        <v>대손</v>
      </c>
      <c r="H36" s="81"/>
      <c r="I36" s="82" t="s">
        <v>96</v>
      </c>
      <c r="J36" s="45"/>
      <c r="K36" s="46"/>
      <c r="L36" s="48"/>
      <c r="M36" s="47"/>
      <c r="N36" s="59">
        <f t="shared" si="9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'[2]9월'!$BE$26/1000</f>
        <v>-414.29033799999996</v>
      </c>
      <c r="V36" s="48">
        <f t="shared" si="5"/>
        <v>-414.29033799999996</v>
      </c>
      <c r="W36" s="47">
        <f>'[3]9월'!$BE$26/1000</f>
        <v>401.64838199999997</v>
      </c>
      <c r="X36" s="59">
        <f t="shared" si="6"/>
        <v>-815.93871999999988</v>
      </c>
      <c r="Y36" s="228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  <c r="AO36" s="484"/>
      <c r="AP36" s="484"/>
      <c r="AQ36" s="484"/>
    </row>
    <row r="37" spans="2:43" s="8" customFormat="1" ht="22.5" customHeight="1" x14ac:dyDescent="0.3">
      <c r="D37"/>
      <c r="E37"/>
      <c r="F37"/>
      <c r="G37" s="334" t="str">
        <f t="shared" si="8"/>
        <v>미운영 공장</v>
      </c>
      <c r="H37" s="81"/>
      <c r="I37" s="82" t="s">
        <v>112</v>
      </c>
      <c r="J37" s="45"/>
      <c r="K37" s="46"/>
      <c r="L37" s="48"/>
      <c r="M37" s="47">
        <f>SUM(M53:M58)</f>
        <v>0</v>
      </c>
      <c r="N37" s="59">
        <f t="shared" si="9"/>
        <v>0</v>
      </c>
      <c r="O37" s="45"/>
      <c r="P37" s="46"/>
      <c r="Q37" s="48">
        <f>+P37-O37</f>
        <v>0</v>
      </c>
      <c r="R37" s="47">
        <f>+IFERROR(HLOOKUP($I$37,'[3]9월'!$F$6:$BJ$50,3,),)/1000</f>
        <v>0</v>
      </c>
      <c r="S37" s="59">
        <f t="shared" si="4"/>
        <v>0</v>
      </c>
      <c r="T37" s="45">
        <f>SUM('[1]9월'!$AM$26:$AQ$26)/1000</f>
        <v>-0.18780899999999928</v>
      </c>
      <c r="U37" s="46">
        <f>+'[2]9월'!$BF$26/1000</f>
        <v>0.53249999999999997</v>
      </c>
      <c r="V37" s="48">
        <f t="shared" si="5"/>
        <v>0.7203089999999992</v>
      </c>
      <c r="W37" s="47">
        <f>+'[3]9월'!$BF$26/1000</f>
        <v>-3.0501649999999989</v>
      </c>
      <c r="X37" s="59">
        <f>+U37-W37</f>
        <v>3.5826649999999987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Q37" s="484"/>
    </row>
    <row r="38" spans="2:43" s="8" customFormat="1" ht="22.5" customHeight="1" x14ac:dyDescent="0.3">
      <c r="B38" t="s">
        <v>30</v>
      </c>
      <c r="D38"/>
      <c r="G38" s="334" t="str">
        <f t="shared" si="8"/>
        <v>퇴직위로금</v>
      </c>
      <c r="H38" s="81"/>
      <c r="I38" s="82" t="s">
        <v>163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+'[2]9월'!$BG$26/1000</f>
        <v>0</v>
      </c>
      <c r="V38" s="48">
        <f t="shared" si="5"/>
        <v>0</v>
      </c>
      <c r="W38" s="47"/>
      <c r="X38" s="59">
        <f>+U38-W38</f>
        <v>0</v>
      </c>
      <c r="Y38" s="233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</row>
    <row r="39" spans="2:43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IFERROR(HLOOKUP($B38,'[1]9월'!$D$6:$BN$259,3,),)/1000</f>
        <v>1.77</v>
      </c>
      <c r="P39" s="46">
        <f>+('[2]9월'!$F$8-SUM('[2]9월'!$Z$8,'[2]9월'!$AH$8,'[2]9월'!$AN$8,'[2]9월'!$AO$8,'[2]9월'!$BA$8,'[2]9월'!$BD$8,'[2]9월'!$BE$8,'[2]9월'!$BF$8))/1000</f>
        <v>1.6972999999970197</v>
      </c>
      <c r="Q39" s="54">
        <f>+P39-O39</f>
        <v>-7.270000000298027E-2</v>
      </c>
      <c r="R39" s="60">
        <f>+('[3]9월'!$F$8-SUM('[3]9월'!$Z$8,'[3]9월'!$AH$8,'[3]9월'!$AN$8,'[3]9월'!$AO$8,'[3]9월'!$BA$8,'[3]9월'!$BD$8,'[3]9월'!$BE$8,'[3]9월'!$BF$8))/1000</f>
        <v>1.8161999999992549</v>
      </c>
      <c r="S39" s="61">
        <f>+P39-R39</f>
        <v>-0.11890000000223511</v>
      </c>
      <c r="T39" s="45">
        <f>+('[1]9월'!$E$26-'[1]9월'!$Z$26-'[1]9월'!$AA$26-'[1]9월'!$AE$26-'[1]9월'!$AL$26-'[1]9월'!$AM$26-'[1]9월'!$AN$26-'[1]9월'!$AO$26-'[1]9월'!$AP$26-'[1]9월'!$AQ$26-'[1]9월'!$AS$26+'[1]9월'!$AS$26)/1000</f>
        <v>-75.182553999999271</v>
      </c>
      <c r="U39" s="46">
        <f>+('[2]9월'!$F$26-SUM('[2]9월'!$Z$26,'[2]9월'!$AH$26,'[2]9월'!$AN$26,'[2]9월'!$AO$26,'[2]9월'!$BA$26,'[2]9월'!$BD$26,'[2]9월'!$BE$26,'[2]9월'!$BF$26))/1000-U38</f>
        <v>-6.5889480000088225</v>
      </c>
      <c r="V39" s="48">
        <f>+U39-T39</f>
        <v>68.593605999990444</v>
      </c>
      <c r="W39" s="60">
        <f>+('[3]9월'!$F$26-SUM('[3]9월'!$Z$26,'[3]9월'!$AH$26,'[3]9월'!$AN$26,'[3]9월'!$AO$26,'[3]9월'!$BA$26,'[3]9월'!$BD$26,'[3]9월'!$BE$26,'[3]9월'!$BF$26))/1000</f>
        <v>-6.2548789999975121</v>
      </c>
      <c r="X39" s="59">
        <f>+U39-W39</f>
        <v>-0.33406900001131046</v>
      </c>
      <c r="Y39" s="228"/>
      <c r="Z39" s="229"/>
      <c r="AA39" s="229"/>
      <c r="AB39" s="229"/>
      <c r="AC39" s="229"/>
      <c r="AD39" s="229"/>
      <c r="AE39" s="229"/>
      <c r="AF39" s="229"/>
      <c r="AG39" s="50"/>
      <c r="AH39" s="30"/>
      <c r="AJ39" s="484"/>
      <c r="AK39" s="488"/>
    </row>
    <row r="40" spans="2:43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9"/>
        <v>0</v>
      </c>
      <c r="O40" s="136">
        <f>SUM(O32:O39)</f>
        <v>142.52816666666669</v>
      </c>
      <c r="P40" s="137">
        <f>SUM(P32:P39)</f>
        <v>118.84472499999703</v>
      </c>
      <c r="Q40" s="141">
        <f t="shared" si="3"/>
        <v>-23.683441666669665</v>
      </c>
      <c r="R40" s="142">
        <f>SUM(R32:R39)</f>
        <v>165.97438099999925</v>
      </c>
      <c r="S40" s="143">
        <f>+P40-R40</f>
        <v>-47.129656000002228</v>
      </c>
      <c r="T40" s="136">
        <f>SUM(T32:T39)</f>
        <v>-1226.9420770821675</v>
      </c>
      <c r="U40" s="137">
        <f>SUM(U32:U39)</f>
        <v>-1704.9647679461193</v>
      </c>
      <c r="V40" s="141">
        <f>+U40-T40</f>
        <v>-478.02269086395177</v>
      </c>
      <c r="W40" s="142">
        <f>SUM(W32:W39)</f>
        <v>-574.50852780759385</v>
      </c>
      <c r="X40" s="143">
        <f>+U40-W40</f>
        <v>-1130.4562401385256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J40" s="486"/>
      <c r="AK40" s="488"/>
    </row>
    <row r="41" spans="2:43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J41" s="484"/>
      <c r="AK41" s="488"/>
      <c r="AO41" s="484"/>
    </row>
    <row r="42" spans="2:43" s="3" customFormat="1" ht="22.5" customHeight="1" x14ac:dyDescent="0.3">
      <c r="G42" s="339">
        <f>+P42/O42</f>
        <v>0.79915121204571227</v>
      </c>
      <c r="H42" s="277" t="s">
        <v>32</v>
      </c>
      <c r="I42" s="278"/>
      <c r="J42" s="290"/>
      <c r="K42" s="291"/>
      <c r="L42" s="291"/>
      <c r="M42" s="291"/>
      <c r="N42" s="292"/>
      <c r="O42" s="280">
        <f>+O27+O31+O40</f>
        <v>32636.535570327218</v>
      </c>
      <c r="P42" s="280">
        <f>+P27+P31+P40</f>
        <v>26081.526957999999</v>
      </c>
      <c r="Q42" s="281">
        <f t="shared" si="3"/>
        <v>-6555.0086123272195</v>
      </c>
      <c r="R42" s="280">
        <f>+R27+R31+R40</f>
        <v>24671.092561000001</v>
      </c>
      <c r="S42" s="283">
        <f>+P42-R42</f>
        <v>1410.4343969999973</v>
      </c>
      <c r="T42" s="280">
        <f>+T27+T31+T40</f>
        <v>2546.3151485167987</v>
      </c>
      <c r="U42" s="280">
        <f>+U27+U31+U40</f>
        <v>-717.06975899277404</v>
      </c>
      <c r="V42" s="281">
        <f>+U42-T42</f>
        <v>-3263.3849075095727</v>
      </c>
      <c r="W42" s="280">
        <f>+W27+W31+W40</f>
        <v>845.24636499732708</v>
      </c>
      <c r="X42" s="283">
        <f>+U42-W42</f>
        <v>-1562.316123990101</v>
      </c>
      <c r="Y42" s="648"/>
      <c r="Z42" s="649"/>
      <c r="AA42" s="649"/>
      <c r="AB42" s="649"/>
      <c r="AC42" s="649"/>
      <c r="AD42" s="649"/>
      <c r="AE42" s="649"/>
      <c r="AF42" s="649"/>
      <c r="AG42" s="650"/>
      <c r="AH42" s="25"/>
      <c r="AJ42" s="486"/>
      <c r="AK42" s="488"/>
      <c r="AO42" s="486"/>
    </row>
    <row r="43" spans="2:43" s="33" customFormat="1" x14ac:dyDescent="0.3">
      <c r="G43" s="336">
        <f>+U42/T42</f>
        <v>-0.28161076581995731</v>
      </c>
      <c r="P43" s="295">
        <f>+P42/O42</f>
        <v>0.79915121204571227</v>
      </c>
      <c r="R43" s="295">
        <f>+P42/R42</f>
        <v>1.05716951503111</v>
      </c>
      <c r="T43" s="295">
        <f>+T42/O42</f>
        <v>7.8020387397732274E-2</v>
      </c>
      <c r="U43" s="295">
        <f>+U42/P42</f>
        <v>-2.7493396385399396E-2</v>
      </c>
      <c r="AC43" s="34"/>
      <c r="AF43" s="34"/>
      <c r="AJ43" s="487"/>
      <c r="AK43" s="488"/>
    </row>
    <row r="44" spans="2:43" s="33" customFormat="1" ht="17.25" thickBot="1" x14ac:dyDescent="0.35">
      <c r="G44" s="340"/>
      <c r="AC44" s="34"/>
      <c r="AF44" s="34"/>
      <c r="AJ44" s="487"/>
    </row>
    <row r="45" spans="2:43" s="33" customFormat="1" x14ac:dyDescent="0.3">
      <c r="F45" s="295" t="e">
        <f>+#REF!/#REF!</f>
        <v>#REF!</v>
      </c>
      <c r="G45" s="336" t="e">
        <f>+#REF!/#REF!</f>
        <v>#REF!</v>
      </c>
      <c r="I45" s="645" t="s">
        <v>82</v>
      </c>
      <c r="J45" s="126">
        <f>+'[1]9월'!$Z$7/1000</f>
        <v>300</v>
      </c>
      <c r="K45" s="127">
        <f>+'[2]9월'!$AI$7/1000</f>
        <v>250.34100000000001</v>
      </c>
      <c r="L45" s="127"/>
      <c r="M45" s="127">
        <f>+'[3]9월'!$Z$7/1000</f>
        <v>236.2843</v>
      </c>
      <c r="N45" s="127"/>
      <c r="O45" s="127">
        <f>('[1]9월'!$E$8-'[1]9월'!$AA$8)/1000</f>
        <v>32636.535570327207</v>
      </c>
      <c r="P45" s="127">
        <f>('[2]9월'!$F$8-'[2]9월'!$AO$8)/1000</f>
        <v>26081.526957999999</v>
      </c>
      <c r="Q45" s="127"/>
      <c r="R45" s="127">
        <f>('[3]9월'!$F$8-'[3]9월'!$AO$8)/1000</f>
        <v>24671.092561000005</v>
      </c>
      <c r="S45" s="127"/>
      <c r="T45" s="132">
        <f>('[1]9월'!$E$26-'[1]9월'!$AA$26)/1000</f>
        <v>2546.3151485167928</v>
      </c>
      <c r="U45" s="127">
        <f>('[2]9월'!$F$26-'[2]9월'!$AO$26)/1000</f>
        <v>-717.06975899277427</v>
      </c>
      <c r="V45" s="127"/>
      <c r="W45" s="127">
        <f>('[3]9월'!$F$26-'[3]9월'!$AO$26)/1000</f>
        <v>845.24636499732617</v>
      </c>
      <c r="X45" s="128"/>
      <c r="AC45" s="34"/>
      <c r="AF45" s="34"/>
      <c r="AJ45" s="487"/>
    </row>
    <row r="46" spans="2:43" s="33" customFormat="1" ht="17.25" thickBot="1" x14ac:dyDescent="0.35">
      <c r="F46" s="295">
        <f>+K31/M31</f>
        <v>1.5819258375753442</v>
      </c>
      <c r="G46" s="336">
        <f>+K31/J31</f>
        <v>0.70739111225036599</v>
      </c>
      <c r="I46" s="645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-5.9117155615240335E-12</v>
      </c>
      <c r="U46" s="133">
        <f>+U45-U42</f>
        <v>0</v>
      </c>
      <c r="V46" s="129"/>
      <c r="W46" s="129">
        <f>+W45-W42</f>
        <v>-9.0949470177292824E-13</v>
      </c>
      <c r="X46" s="130"/>
      <c r="AC46" s="34"/>
      <c r="AF46" s="34"/>
      <c r="AG46" s="33" t="s">
        <v>83</v>
      </c>
      <c r="AJ46" s="487"/>
    </row>
    <row r="47" spans="2:43" x14ac:dyDescent="0.3">
      <c r="T47" s="294"/>
      <c r="U47" s="294"/>
      <c r="V47" s="294"/>
    </row>
    <row r="48" spans="2:43" x14ac:dyDescent="0.3">
      <c r="O48" s="492"/>
      <c r="P48" s="492"/>
      <c r="Q48" s="492"/>
      <c r="T48" s="236">
        <f>+(T27+T34)/100</f>
        <v>22.750486173840738</v>
      </c>
      <c r="U48" s="236">
        <f>+(U27+U34)/100</f>
        <v>-4.0208217094611074</v>
      </c>
      <c r="V48" s="236">
        <f>+U48-T48</f>
        <v>-26.771307883301844</v>
      </c>
      <c r="AC48" s="34"/>
      <c r="AD48" s="33"/>
      <c r="AE48" s="33"/>
      <c r="AF48" s="34"/>
    </row>
    <row r="49" spans="7:33" x14ac:dyDescent="0.3">
      <c r="O49" s="492"/>
      <c r="P49" s="492"/>
      <c r="Q49" s="492"/>
      <c r="T49" s="236">
        <f>+T31/100</f>
        <v>2.1862974646605742</v>
      </c>
      <c r="U49" s="236">
        <f>+U31/100</f>
        <v>9.2028909533454592E-2</v>
      </c>
      <c r="V49" s="236">
        <f>+U49-T49</f>
        <v>-2.0942685551271194</v>
      </c>
      <c r="W49" s="235"/>
      <c r="AC49" s="34"/>
      <c r="AD49" s="33"/>
      <c r="AE49" s="33"/>
      <c r="AF49" s="34"/>
    </row>
    <row r="50" spans="7:33" x14ac:dyDescent="0.3">
      <c r="Q50" s="235"/>
      <c r="T50" s="6">
        <f>+(T32+T33)/100</f>
        <v>1.2800714766666663</v>
      </c>
      <c r="U50" s="6">
        <f>+(U32+U33)/100</f>
        <v>0.96156307000000008</v>
      </c>
      <c r="V50" s="294">
        <f>+U50-T50</f>
        <v>-0.31850840666666624</v>
      </c>
      <c r="AC50" s="34"/>
      <c r="AD50" s="33"/>
      <c r="AE50" s="33"/>
      <c r="AF50" s="34"/>
    </row>
    <row r="51" spans="7:33" x14ac:dyDescent="0.3">
      <c r="G51" s="568"/>
      <c r="I51" s="492"/>
      <c r="T51" s="6">
        <f>+T42/100-T48-T49-T50</f>
        <v>-0.75370362999999085</v>
      </c>
      <c r="U51" s="600">
        <f>+U42/100-U48-U49-U50</f>
        <v>-4.2034678600000879</v>
      </c>
      <c r="V51" s="294">
        <f>+U51-T51</f>
        <v>-3.4497642300000972</v>
      </c>
      <c r="AC51" s="34"/>
      <c r="AD51" s="33"/>
      <c r="AE51" s="33"/>
      <c r="AF51" s="34"/>
    </row>
    <row r="52" spans="7:33" x14ac:dyDescent="0.3">
      <c r="G52" s="568"/>
      <c r="I52" s="492"/>
      <c r="N52" s="492"/>
      <c r="S52" s="236"/>
      <c r="T52" s="236">
        <f>+SUM(T48:T51)</f>
        <v>25.463151485167987</v>
      </c>
      <c r="U52" s="236">
        <f>+SUM(U48:U51)</f>
        <v>-7.170697589927741</v>
      </c>
      <c r="V52" s="236">
        <f>+U52-T52</f>
        <v>-32.633849075095725</v>
      </c>
      <c r="AC52" s="34"/>
      <c r="AD52" s="33"/>
      <c r="AE52" s="33"/>
      <c r="AF52" s="34"/>
    </row>
    <row r="53" spans="7:33" x14ac:dyDescent="0.3">
      <c r="G53" s="568"/>
      <c r="I53" s="485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</row>
    <row r="54" spans="7:33" x14ac:dyDescent="0.3">
      <c r="G54" s="568"/>
      <c r="I54" s="485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7:33" x14ac:dyDescent="0.3">
      <c r="G55" s="568"/>
      <c r="J55" s="236"/>
      <c r="K55" s="236"/>
      <c r="L55" s="236"/>
      <c r="M55" s="236"/>
      <c r="N55" s="236"/>
      <c r="O55" s="236"/>
      <c r="P55" s="236"/>
      <c r="Q55" s="236"/>
      <c r="R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7:33" x14ac:dyDescent="0.3">
      <c r="G56" s="568"/>
      <c r="I56" s="492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7:33" x14ac:dyDescent="0.3">
      <c r="G57" s="568"/>
      <c r="I57" s="492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94"/>
      <c r="U57" s="294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7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7:33" x14ac:dyDescent="0.3">
      <c r="G59" s="568"/>
      <c r="I59" s="492"/>
      <c r="S59" s="236"/>
      <c r="T59" s="236"/>
      <c r="U59" s="236"/>
      <c r="V59" s="236"/>
      <c r="AC59" s="236"/>
      <c r="AD59" s="236"/>
      <c r="AE59" s="236"/>
      <c r="AF59" s="236"/>
    </row>
    <row r="60" spans="7:33" x14ac:dyDescent="0.3">
      <c r="G60" s="568"/>
      <c r="I60" s="492"/>
      <c r="S60" s="236"/>
      <c r="T60" s="236"/>
      <c r="U60" s="236"/>
      <c r="V60" s="236"/>
      <c r="AC60" s="236"/>
      <c r="AD60" s="236"/>
      <c r="AE60" s="236"/>
    </row>
    <row r="61" spans="7:33" x14ac:dyDescent="0.3">
      <c r="G61" s="568"/>
      <c r="I61" s="492"/>
      <c r="S61" s="236"/>
      <c r="T61" s="236"/>
      <c r="U61" s="236"/>
      <c r="V61" s="236"/>
      <c r="AC61" s="236"/>
      <c r="AD61" s="236"/>
      <c r="AE61" s="236"/>
    </row>
    <row r="62" spans="7:33" x14ac:dyDescent="0.3">
      <c r="G62" s="568"/>
      <c r="I62" s="492"/>
      <c r="T62" s="6"/>
      <c r="U62" s="6"/>
      <c r="V62" s="6"/>
      <c r="AC62" s="236"/>
      <c r="AE62" s="236"/>
    </row>
    <row r="63" spans="7:33" x14ac:dyDescent="0.3">
      <c r="G63" s="568"/>
      <c r="AC63" s="236"/>
      <c r="AE63" s="236"/>
    </row>
    <row r="64" spans="7:33" x14ac:dyDescent="0.3">
      <c r="G64" s="568"/>
      <c r="AC64" s="236"/>
      <c r="AE64" s="236"/>
    </row>
    <row r="65" spans="7:31" x14ac:dyDescent="0.3">
      <c r="G65" s="568"/>
      <c r="T65" s="6"/>
      <c r="U65" s="6"/>
      <c r="V65" s="6"/>
      <c r="AC65" s="236"/>
      <c r="AE65" s="236"/>
    </row>
    <row r="66" spans="7:31" x14ac:dyDescent="0.3">
      <c r="AC66" s="236"/>
      <c r="AE66" s="236"/>
    </row>
    <row r="67" spans="7:31" x14ac:dyDescent="0.3">
      <c r="T67" s="492"/>
      <c r="U67" s="492"/>
      <c r="V67" s="492"/>
      <c r="AC67" s="236"/>
      <c r="AE67" s="236"/>
    </row>
    <row r="68" spans="7:31" x14ac:dyDescent="0.3">
      <c r="G68" s="568"/>
      <c r="T68" s="492"/>
      <c r="U68" s="492"/>
      <c r="V68" s="492"/>
      <c r="AC68" s="236"/>
      <c r="AE68" s="236"/>
    </row>
    <row r="69" spans="7:31" x14ac:dyDescent="0.3">
      <c r="AC69" s="236"/>
      <c r="AE69" s="236"/>
    </row>
    <row r="70" spans="7:31" x14ac:dyDescent="0.3">
      <c r="AC70" s="236"/>
      <c r="AE70" s="236"/>
    </row>
    <row r="71" spans="7:31" x14ac:dyDescent="0.3">
      <c r="AC71" s="236"/>
      <c r="AE71" s="236"/>
    </row>
    <row r="72" spans="7:31" x14ac:dyDescent="0.3">
      <c r="AC72" s="236"/>
      <c r="AE72" s="236"/>
    </row>
    <row r="73" spans="7:31" x14ac:dyDescent="0.3">
      <c r="AC73" s="236"/>
      <c r="AE73" s="236"/>
    </row>
    <row r="74" spans="7:31" x14ac:dyDescent="0.3">
      <c r="AC74" s="236"/>
      <c r="AE74" s="236"/>
    </row>
    <row r="75" spans="7:31" x14ac:dyDescent="0.3">
      <c r="AC75" s="236"/>
      <c r="AE75" s="236"/>
    </row>
    <row r="76" spans="7:31" x14ac:dyDescent="0.3">
      <c r="AC76" s="236"/>
      <c r="AE76" s="236"/>
    </row>
    <row r="77" spans="7:31" x14ac:dyDescent="0.3">
      <c r="AC77" s="236"/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7925-3FD4-4329-BC8D-2F90C8DFF3BE}">
  <sheetPr>
    <tabColor theme="1" tint="0.34998626667073579"/>
    <pageSetUpPr fitToPage="1"/>
  </sheetPr>
  <dimension ref="A1:AR52"/>
  <sheetViews>
    <sheetView showGridLines="0" showZeros="0" tabSelected="1" topLeftCell="E22" zoomScale="85" zoomScaleNormal="85" zoomScaleSheetLayoutView="85" workbookViewId="0">
      <selection activeCell="Q30" sqref="Q30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215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42" t="s">
        <v>11</v>
      </c>
      <c r="I5" s="643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222</v>
      </c>
      <c r="G6" s="334"/>
      <c r="H6" s="644"/>
      <c r="I6" s="641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+IFERROR(HLOOKUP($B7,'[1]9월누계'!$D$6:$BN$259,2,),)/1000</f>
        <v>343</v>
      </c>
      <c r="K7" s="36">
        <f>+IFERROR(HLOOKUP($B7,'[2]9월누계'!$F$6:$CP$99,2,),)/1000</f>
        <v>293.43299999999999</v>
      </c>
      <c r="L7" s="37">
        <f t="shared" ref="L7:L31" si="0">+K7-J7</f>
        <v>-49.567000000000007</v>
      </c>
      <c r="M7" s="38">
        <f>+IFERROR(HLOOKUP($B7,'[3]9월누계'!$F$6:$CC$57,2,),)/1000</f>
        <v>334.61599999999999</v>
      </c>
      <c r="N7" s="39">
        <f>+K7-M7</f>
        <v>-41.182999999999993</v>
      </c>
      <c r="O7" s="35">
        <f>+IFERROR(HLOOKUP($B7,'[1]9월누계'!$D$6:$BN$259,3,),)/1000</f>
        <v>33933.586825999999</v>
      </c>
      <c r="P7" s="36">
        <f>+IFERROR(HLOOKUP($B7,'[2]9월누계'!$F$6:$CP$99,3,),)/1000</f>
        <v>28252.418752999998</v>
      </c>
      <c r="Q7" s="37">
        <f>+P7-O7</f>
        <v>-5681.1680730000007</v>
      </c>
      <c r="R7" s="38">
        <f>+IFERROR(HLOOKUP($B7,'[3]9월누계'!$F$6:$CC$57,3,),)/1000</f>
        <v>33357.438020000001</v>
      </c>
      <c r="S7" s="39">
        <f>+P7-R7</f>
        <v>-5105.0192670000033</v>
      </c>
      <c r="T7" s="35">
        <f>+IFERROR(HLOOKUP($B7,'[1]9월누계'!$D$6:$BN$259,16,),)/1000</f>
        <v>3111.430390751922</v>
      </c>
      <c r="U7" s="36">
        <f>+IFERROR(HLOOKUP($B7,'[2]9월누계'!$F$6:$CP$99,16,),)/1000</f>
        <v>1943.5607619999973</v>
      </c>
      <c r="V7" s="40">
        <f>+U7-T7</f>
        <v>-1167.8696287519247</v>
      </c>
      <c r="W7" s="41">
        <f>+IFERROR(HLOOKUP($B7,'[3]9월누계'!$F$6:$CC$57,16,),)/1000</f>
        <v>3343.7299199999975</v>
      </c>
      <c r="X7" s="39">
        <f>+U7-W7</f>
        <v>-1400.1691580000002</v>
      </c>
      <c r="Y7" s="35">
        <f>+[12]안양!$Q$85</f>
        <v>98931.740017492702</v>
      </c>
      <c r="Z7" s="36">
        <f>+[12]안양!$R$85</f>
        <v>96270.55737980135</v>
      </c>
      <c r="AA7" s="42">
        <f>+[13]안양!$Q$85</f>
        <v>99684.171921484201</v>
      </c>
      <c r="AB7" s="43">
        <f>+[12]안양!$Q$89</f>
        <v>81672.588575264686</v>
      </c>
      <c r="AC7" s="36">
        <f>+[12]안양!$R$89</f>
        <v>79937.523111955757</v>
      </c>
      <c r="AD7" s="44">
        <f>+[13]안양!$Q$89</f>
        <v>81441.595387351845</v>
      </c>
      <c r="AE7" s="43">
        <f>+Y7-AB7</f>
        <v>17259.151442228016</v>
      </c>
      <c r="AF7" s="36">
        <f>+Z7-AC7</f>
        <v>16333.034267845593</v>
      </c>
      <c r="AG7" s="44">
        <f>+AA7-AD7</f>
        <v>18242.576534132357</v>
      </c>
      <c r="AH7" s="17"/>
      <c r="AI7" s="611">
        <f>+K7/J7</f>
        <v>0.85548979591836738</v>
      </c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+IFERROR(HLOOKUP($B8,'[1]9월누계'!$D$6:$BN$259,2,),)/1000</f>
        <v>250</v>
      </c>
      <c r="K8" s="46">
        <f>+IFERROR(HLOOKUP($B8,'[2]9월누계'!$F$6:$CP$99,2,),)/1000</f>
        <v>245.79400000000001</v>
      </c>
      <c r="L8" s="47">
        <f t="shared" si="0"/>
        <v>-4.2059999999999889</v>
      </c>
      <c r="M8" s="48">
        <f>+IFERROR(HLOOKUP($B8,'[3]9월누계'!$F$6:$CC$57,2,),)/1000</f>
        <v>240.614</v>
      </c>
      <c r="N8" s="49">
        <f t="shared" ref="N8:N31" si="2">+K8-M8</f>
        <v>5.1800000000000068</v>
      </c>
      <c r="O8" s="45">
        <f>+IFERROR(HLOOKUP($B8,'[1]9월누계'!$D$6:$BN$259,3,),)/1000</f>
        <v>24695.039648967493</v>
      </c>
      <c r="P8" s="46">
        <f>+IFERROR(HLOOKUP($B8,'[2]9월누계'!$F$6:$CP$99,3,),)/1000</f>
        <v>23901.609151000001</v>
      </c>
      <c r="Q8" s="47">
        <f t="shared" ref="Q8:Q42" si="3">+P8-O8</f>
        <v>-793.43049796749256</v>
      </c>
      <c r="R8" s="48">
        <f>+IFERROR(HLOOKUP($B8,'[3]9월누계'!$F$6:$CC$57,3,),)/1000</f>
        <v>24052.030667999999</v>
      </c>
      <c r="S8" s="49">
        <f t="shared" ref="S8:S37" si="4">+P8-R8</f>
        <v>-150.42151699999886</v>
      </c>
      <c r="T8" s="45">
        <f>+IFERROR(HLOOKUP($B8,'[1]9월누계'!$D$6:$BN$259,16,),)/1000</f>
        <v>1248.0159799837204</v>
      </c>
      <c r="U8" s="46">
        <f>+IFERROR(HLOOKUP($B8,'[2]9월누계'!$F$6:$CP$99,16,),)/1000</f>
        <v>248.33137101000233</v>
      </c>
      <c r="V8" s="47">
        <f t="shared" ref="V8:V38" si="5">+U8-T8</f>
        <v>-999.68460897371801</v>
      </c>
      <c r="W8" s="48">
        <f>+IFERROR(HLOOKUP($B8,'[3]9월누계'!$F$6:$CC$57,16,),)/1000</f>
        <v>1598.4680050100001</v>
      </c>
      <c r="X8" s="49">
        <f t="shared" ref="X8:X36" si="6">+U8-W8</f>
        <v>-1350.1366339999977</v>
      </c>
      <c r="Y8" s="45">
        <f>+[12]인천!$Q$85</f>
        <v>98780.158595869972</v>
      </c>
      <c r="Z8" s="46">
        <f>+[12]인천!$R$85</f>
        <v>97304.32847543736</v>
      </c>
      <c r="AA8" s="50">
        <f>+[13]인천!$Q$85</f>
        <v>99965.701191674088</v>
      </c>
      <c r="AB8" s="51">
        <f>+[12]인천!$Q$89</f>
        <v>82800.800246770261</v>
      </c>
      <c r="AC8" s="46">
        <f>+[12]인천!$R$89</f>
        <v>84427.620220145618</v>
      </c>
      <c r="AD8" s="52">
        <f>+[13]인천!$Q$89</f>
        <v>82345.503357963928</v>
      </c>
      <c r="AE8" s="51">
        <f t="shared" ref="AE8:AG27" si="7">+Y8-AB8</f>
        <v>15979.358349099712</v>
      </c>
      <c r="AF8" s="46">
        <f t="shared" si="7"/>
        <v>12876.708255291742</v>
      </c>
      <c r="AG8" s="52">
        <f t="shared" si="7"/>
        <v>17620.197833710161</v>
      </c>
      <c r="AH8" s="17"/>
      <c r="AI8" s="611">
        <f t="shared" ref="AI8:AI27" si="8">+K8/J8</f>
        <v>0.98317600000000005</v>
      </c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+IFERROR(HLOOKUP($B9,'[1]9월누계'!$D$6:$BN$259,2,),)/1000</f>
        <v>185</v>
      </c>
      <c r="K9" s="46">
        <f>+IFERROR(HLOOKUP($B9,'[2]9월누계'!$F$6:$CP$99,2,),)/1000</f>
        <v>112.679</v>
      </c>
      <c r="L9" s="47">
        <f t="shared" si="0"/>
        <v>-72.320999999999998</v>
      </c>
      <c r="M9" s="48">
        <f>+IFERROR(HLOOKUP($B9,'[3]9월누계'!$F$6:$CC$57,2,),)/1000</f>
        <v>217.43</v>
      </c>
      <c r="N9" s="49">
        <f t="shared" si="2"/>
        <v>-104.751</v>
      </c>
      <c r="O9" s="45">
        <f>+IFERROR(HLOOKUP($B9,'[1]9월누계'!$D$6:$BN$259,3,),)/1000</f>
        <v>17869.378936000001</v>
      </c>
      <c r="P9" s="46">
        <f>+IFERROR(HLOOKUP($B9,'[2]9월누계'!$F$6:$CP$99,3,),)/1000</f>
        <v>10469.360843</v>
      </c>
      <c r="Q9" s="47">
        <f t="shared" si="3"/>
        <v>-7400.0180930000006</v>
      </c>
      <c r="R9" s="48">
        <f>+IFERROR(HLOOKUP($B9,'[3]9월누계'!$F$6:$CC$57,3,),)/1000</f>
        <v>21232.172844999997</v>
      </c>
      <c r="S9" s="49">
        <f t="shared" si="4"/>
        <v>-10762.812001999997</v>
      </c>
      <c r="T9" s="45">
        <f>+IFERROR(HLOOKUP($B9,'[1]9월누계'!$D$6:$BN$259,16,),)/1000</f>
        <v>924.82777970779296</v>
      </c>
      <c r="U9" s="46">
        <f>+IFERROR(HLOOKUP($B9,'[2]9월누계'!$F$6:$CP$99,16,),)/1000</f>
        <v>-343.23293999999947</v>
      </c>
      <c r="V9" s="47">
        <f t="shared" si="5"/>
        <v>-1268.0607197077925</v>
      </c>
      <c r="W9" s="48">
        <f>+IFERROR(HLOOKUP($B9,'[3]9월누계'!$F$6:$CC$57,16,),)/1000</f>
        <v>1620.5199860000009</v>
      </c>
      <c r="X9" s="49">
        <f t="shared" si="6"/>
        <v>-1963.7529260000003</v>
      </c>
      <c r="Y9" s="45">
        <f>+[12]파주!$Q$85</f>
        <v>96591.237491891894</v>
      </c>
      <c r="Z9" s="46">
        <f>+[12]파주!$R$85</f>
        <v>92965.431529322683</v>
      </c>
      <c r="AA9" s="50">
        <f>+[13]파주!$Q$85</f>
        <v>97669.561846317039</v>
      </c>
      <c r="AB9" s="51">
        <f>+[12]파주!$Q$89</f>
        <v>80077.730445808847</v>
      </c>
      <c r="AC9" s="46">
        <f>+[12]파주!$R$89</f>
        <v>78391.690578756694</v>
      </c>
      <c r="AD9" s="52">
        <f>+[13]파주!$Q$89</f>
        <v>80630.911460417003</v>
      </c>
      <c r="AE9" s="51">
        <f t="shared" si="7"/>
        <v>16513.507046083047</v>
      </c>
      <c r="AF9" s="46">
        <f t="shared" si="7"/>
        <v>14573.740950565989</v>
      </c>
      <c r="AG9" s="52">
        <f t="shared" si="7"/>
        <v>17038.650385900037</v>
      </c>
      <c r="AH9" s="17"/>
      <c r="AI9" s="611">
        <f t="shared" si="8"/>
        <v>0.60907567567567567</v>
      </c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+IFERROR(HLOOKUP($B10,'[1]9월누계'!$D$6:$BN$259,2,),)/1000</f>
        <v>125</v>
      </c>
      <c r="K10" s="46">
        <f>+IFERROR(HLOOKUP($B10,'[2]9월누계'!$F$6:$CP$99,2,),)/1000</f>
        <v>89.800320000000013</v>
      </c>
      <c r="L10" s="47">
        <f t="shared" si="0"/>
        <v>-35.199679999999987</v>
      </c>
      <c r="M10" s="48">
        <f>+IFERROR(HLOOKUP($B10,'[3]9월누계'!$F$6:$CC$57,2,),)/1000</f>
        <v>102.5975</v>
      </c>
      <c r="N10" s="49">
        <f t="shared" si="2"/>
        <v>-12.797179999999983</v>
      </c>
      <c r="O10" s="45">
        <f>+IFERROR(HLOOKUP($B10,'[1]9월누계'!$D$6:$BN$259,3,),)/1000</f>
        <v>11860.931220000002</v>
      </c>
      <c r="P10" s="46">
        <f>+IFERROR(HLOOKUP($B10,'[2]9월누계'!$F$6:$CP$99,3,),)/1000</f>
        <v>8567.5375740000018</v>
      </c>
      <c r="Q10" s="47">
        <f t="shared" si="3"/>
        <v>-3293.3936460000004</v>
      </c>
      <c r="R10" s="48">
        <f>+IFERROR(HLOOKUP($B10,'[3]9월누계'!$F$6:$CC$57,3,),)/1000</f>
        <v>10047.479192000003</v>
      </c>
      <c r="S10" s="49">
        <f t="shared" si="4"/>
        <v>-1479.9416180000007</v>
      </c>
      <c r="T10" s="45">
        <f>+IFERROR(HLOOKUP($B10,'[1]9월누계'!$D$6:$BN$259,16,),)/1000</f>
        <v>771.50592496965794</v>
      </c>
      <c r="U10" s="46">
        <f>+IFERROR(HLOOKUP($B10,'[2]9월누계'!$F$6:$CP$99,16,),)/1000</f>
        <v>-50.408564999998518</v>
      </c>
      <c r="V10" s="47">
        <f t="shared" si="5"/>
        <v>-821.91448996965642</v>
      </c>
      <c r="W10" s="48">
        <f>+IFERROR(HLOOKUP($B10,'[3]9월누계'!$F$6:$CC$57,16,),)/1000</f>
        <v>861.13719300000071</v>
      </c>
      <c r="X10" s="49">
        <f t="shared" si="6"/>
        <v>-911.54575799999918</v>
      </c>
      <c r="Y10" s="45">
        <f>+[12]김포!$Q$85</f>
        <v>94887.449760000018</v>
      </c>
      <c r="Z10" s="46">
        <f>+[12]김포!$R$85</f>
        <v>95483.473322608508</v>
      </c>
      <c r="AA10" s="50">
        <f>+[13]김포!$Q$85</f>
        <v>97948.633763579288</v>
      </c>
      <c r="AB10" s="51">
        <f>+[12]김포!$Q$89</f>
        <v>76078.519013576093</v>
      </c>
      <c r="AC10" s="46">
        <f>+[12]김포!$R$89</f>
        <v>78322.443895331671</v>
      </c>
      <c r="AD10" s="52">
        <f>+[13]김포!$Q$89</f>
        <v>75397.686317268075</v>
      </c>
      <c r="AE10" s="51">
        <f t="shared" si="7"/>
        <v>18808.930746423925</v>
      </c>
      <c r="AF10" s="46">
        <f t="shared" si="7"/>
        <v>17161.029427276837</v>
      </c>
      <c r="AG10" s="52">
        <f t="shared" si="7"/>
        <v>22550.947446311213</v>
      </c>
      <c r="AH10" s="17"/>
      <c r="AI10" s="611">
        <f t="shared" si="8"/>
        <v>0.71840256000000013</v>
      </c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+IFERROR(HLOOKUP($B11,'[1]9월누계'!$D$6:$BN$259,2,),)/1000</f>
        <v>178</v>
      </c>
      <c r="K11" s="63">
        <f>+IFERROR(HLOOKUP($B11,'[2]9월누계'!$F$6:$CP$99,2,),)/1000</f>
        <v>177.58699999999999</v>
      </c>
      <c r="L11" s="64">
        <f t="shared" si="0"/>
        <v>-0.41300000000001091</v>
      </c>
      <c r="M11" s="65">
        <f>+IFERROR(HLOOKUP($B11,'[3]9월누계'!$F$6:$CC$57,2,),)/1000</f>
        <v>180.4905</v>
      </c>
      <c r="N11" s="66">
        <f t="shared" si="2"/>
        <v>-2.9035000000000082</v>
      </c>
      <c r="O11" s="62">
        <f>+IFERROR(HLOOKUP($B11,'[1]9월누계'!$D$6:$BN$259,3,),)/1000</f>
        <v>19170.595118836001</v>
      </c>
      <c r="P11" s="63">
        <f>+IFERROR(HLOOKUP($B11,'[2]9월누계'!$F$6:$CP$99,3,),)/1000</f>
        <v>19085.782846999999</v>
      </c>
      <c r="Q11" s="64">
        <f t="shared" si="3"/>
        <v>-84.812271836002765</v>
      </c>
      <c r="R11" s="65">
        <f>+IFERROR(HLOOKUP($B11,'[3]9월누계'!$F$6:$CC$57,3,),)/1000</f>
        <v>19514.874641000002</v>
      </c>
      <c r="S11" s="66">
        <f t="shared" si="4"/>
        <v>-429.09179400000357</v>
      </c>
      <c r="T11" s="62">
        <f>+IFERROR(HLOOKUP($B11,'[1]9월누계'!$D$6:$BN$259,16,),)/1000</f>
        <v>1630.3156580998202</v>
      </c>
      <c r="U11" s="63">
        <f>+IFERROR(HLOOKUP($B11,'[2]9월누계'!$F$6:$CP$99,16,),)/1000</f>
        <v>1775.6782679999997</v>
      </c>
      <c r="V11" s="64">
        <f t="shared" si="5"/>
        <v>145.36260990017945</v>
      </c>
      <c r="W11" s="65">
        <f>+IFERROR(HLOOKUP($B11,'[3]9월누계'!$F$6:$CC$57,16,),)/1000</f>
        <v>1993.254315000002</v>
      </c>
      <c r="X11" s="66">
        <f t="shared" si="6"/>
        <v>-217.57604700000229</v>
      </c>
      <c r="Y11" s="62">
        <f>+[12]부산!$Q$85</f>
        <v>107699.97257773034</v>
      </c>
      <c r="Z11" s="63">
        <f>+[12]부산!$R$85</f>
        <v>107472.86032761408</v>
      </c>
      <c r="AA11" s="67">
        <f>+[13]부산!$Q$85</f>
        <v>108121.3395774293</v>
      </c>
      <c r="AB11" s="68">
        <f>+[12]부산!$Q$89</f>
        <v>84778.08228751384</v>
      </c>
      <c r="AC11" s="63">
        <f>+[12]부산!$R$89</f>
        <v>84504.504815701948</v>
      </c>
      <c r="AD11" s="69">
        <f>+[13]부산!$Q$89</f>
        <v>83970.264187235967</v>
      </c>
      <c r="AE11" s="68">
        <f t="shared" si="7"/>
        <v>22921.890290216499</v>
      </c>
      <c r="AF11" s="63">
        <f t="shared" si="7"/>
        <v>22968.35551191213</v>
      </c>
      <c r="AG11" s="69">
        <f t="shared" si="7"/>
        <v>24151.075390193335</v>
      </c>
      <c r="AH11" s="17"/>
      <c r="AI11" s="611">
        <f t="shared" si="8"/>
        <v>0.9976797752808988</v>
      </c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+IFERROR(HLOOKUP($B12,'[1]9월누계'!$D$6:$BN$259,2,),)/1000</f>
        <v>175</v>
      </c>
      <c r="K12" s="46">
        <f>+IFERROR(HLOOKUP($B12,'[2]9월누계'!$F$6:$CP$99,2,),)/1000</f>
        <v>150.44800000000001</v>
      </c>
      <c r="L12" s="47">
        <f t="shared" si="0"/>
        <v>-24.551999999999992</v>
      </c>
      <c r="M12" s="48">
        <f>+IFERROR(HLOOKUP($B12,'[3]9월누계'!$F$6:$CC$57,2,),)/1000</f>
        <v>187.50899999999999</v>
      </c>
      <c r="N12" s="49">
        <f t="shared" si="2"/>
        <v>-37.060999999999979</v>
      </c>
      <c r="O12" s="45">
        <f>+IFERROR(HLOOKUP($B12,'[1]9월누계'!$D$6:$BN$259,3,),)/1000</f>
        <v>17377.49874958002</v>
      </c>
      <c r="P12" s="46">
        <f>+IFERROR(HLOOKUP($B12,'[2]9월누계'!$F$6:$CP$99,3,),)/1000</f>
        <v>14719.934818</v>
      </c>
      <c r="Q12" s="47">
        <f t="shared" si="3"/>
        <v>-2657.5639315800199</v>
      </c>
      <c r="R12" s="48">
        <f>+IFERROR(HLOOKUP($B12,'[3]9월누계'!$F$6:$CC$57,3,),)/1000</f>
        <v>18965.681831000002</v>
      </c>
      <c r="S12" s="49">
        <f t="shared" si="4"/>
        <v>-4245.747013000002</v>
      </c>
      <c r="T12" s="45">
        <f>+IFERROR(HLOOKUP($B12,'[1]9월누계'!$D$6:$BN$259,16,),)/1000</f>
        <v>1633.6254634911863</v>
      </c>
      <c r="U12" s="46">
        <f>+IFERROR(HLOOKUP($B12,'[2]9월누계'!$F$6:$CP$99,16,),)/1000</f>
        <v>1008.0572559999995</v>
      </c>
      <c r="V12" s="47">
        <f t="shared" si="5"/>
        <v>-625.56820749118685</v>
      </c>
      <c r="W12" s="48">
        <f>+IFERROR(HLOOKUP($B12,'[3]9월누계'!$F$6:$CC$57,16,),)/1000</f>
        <v>2157.9980279999995</v>
      </c>
      <c r="X12" s="49">
        <f t="shared" si="6"/>
        <v>-1149.9407719999999</v>
      </c>
      <c r="Y12" s="45">
        <f>+[12]서부산!$Q$85</f>
        <v>99299.992854742974</v>
      </c>
      <c r="Z12" s="46">
        <f>+[12]서부산!$R$85</f>
        <v>97884.636260418891</v>
      </c>
      <c r="AA12" s="50">
        <f>+[13]서부산!$Q$85</f>
        <v>101146.83903888524</v>
      </c>
      <c r="AB12" s="51">
        <f>+[12]서부산!$Q$89</f>
        <v>78152.266645586977</v>
      </c>
      <c r="AC12" s="46">
        <f>+[12]서부산!$R$89</f>
        <v>77536.310488804549</v>
      </c>
      <c r="AD12" s="52">
        <f>+[13]서부산!$Q$89</f>
        <v>78909.296380007829</v>
      </c>
      <c r="AE12" s="51">
        <f t="shared" si="7"/>
        <v>21147.726209155997</v>
      </c>
      <c r="AF12" s="46">
        <f t="shared" si="7"/>
        <v>20348.325771614342</v>
      </c>
      <c r="AG12" s="52">
        <f t="shared" si="7"/>
        <v>22237.542658877413</v>
      </c>
      <c r="AH12" s="17"/>
      <c r="AI12" s="611">
        <f t="shared" si="8"/>
        <v>0.85970285714285721</v>
      </c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+IFERROR(HLOOKUP($B13,'[1]9월누계'!$D$6:$BN$259,2,),)/1000</f>
        <v>122</v>
      </c>
      <c r="K13" s="46">
        <f>+IFERROR(HLOOKUP($B13,'[2]9월누계'!$F$6:$CP$99,2,),)/1000</f>
        <v>77.292000000000002</v>
      </c>
      <c r="L13" s="47">
        <f t="shared" si="0"/>
        <v>-44.707999999999998</v>
      </c>
      <c r="M13" s="48">
        <f>+IFERROR(HLOOKUP($B13,'[3]9월누계'!$F$6:$CC$57,2,),)/1000</f>
        <v>120.628</v>
      </c>
      <c r="N13" s="49">
        <f t="shared" si="2"/>
        <v>-43.335999999999999</v>
      </c>
      <c r="O13" s="45">
        <f>+IFERROR(HLOOKUP($B13,'[1]9월누계'!$D$6:$BN$259,3,),)/1000</f>
        <v>11748.585849999999</v>
      </c>
      <c r="P13" s="46">
        <f>+IFERROR(HLOOKUP($B13,'[2]9월누계'!$F$6:$CP$99,3,),)/1000</f>
        <v>6932.4716000000008</v>
      </c>
      <c r="Q13" s="47">
        <f t="shared" si="3"/>
        <v>-4816.1142499999987</v>
      </c>
      <c r="R13" s="48">
        <f>+IFERROR(HLOOKUP($B13,'[3]9월누계'!$F$6:$CC$57,3,),)/1000</f>
        <v>11543.274899999999</v>
      </c>
      <c r="S13" s="49">
        <f t="shared" si="4"/>
        <v>-4610.8032999999978</v>
      </c>
      <c r="T13" s="45">
        <f>+IFERROR(HLOOKUP($B13,'[1]9월누계'!$D$6:$BN$259,16,),)/1000</f>
        <v>1009.2323153022563</v>
      </c>
      <c r="U13" s="46">
        <f>+IFERROR(HLOOKUP($B13,'[2]9월누계'!$F$6:$CP$99,16,),)/1000</f>
        <v>-308.4319679999997</v>
      </c>
      <c r="V13" s="47">
        <f t="shared" si="5"/>
        <v>-1317.6642833022561</v>
      </c>
      <c r="W13" s="48">
        <f>+IFERROR(HLOOKUP($B13,'[3]9월누계'!$F$6:$CC$57,16,),)/1000</f>
        <v>709.6576109999985</v>
      </c>
      <c r="X13" s="49">
        <f t="shared" si="6"/>
        <v>-1018.0895789999981</v>
      </c>
      <c r="Y13" s="45">
        <f>+[12]김해!$Q$85</f>
        <v>96299.884016393436</v>
      </c>
      <c r="Z13" s="46">
        <f>+[12]김해!$R$85</f>
        <v>89655.117259552033</v>
      </c>
      <c r="AA13" s="50">
        <f>+[13]김해!$Q$85</f>
        <v>95792.183456542436</v>
      </c>
      <c r="AB13" s="51">
        <f>+[12]김해!$Q$89</f>
        <v>76650.363693333056</v>
      </c>
      <c r="AC13" s="46">
        <f>+[12]김해!$R$89</f>
        <v>76602.044426877474</v>
      </c>
      <c r="AD13" s="52">
        <f>+[13]김해!$Q$89</f>
        <v>78786.82704707318</v>
      </c>
      <c r="AE13" s="51">
        <f t="shared" si="7"/>
        <v>19649.52032306038</v>
      </c>
      <c r="AF13" s="46">
        <f t="shared" si="7"/>
        <v>13053.072832674559</v>
      </c>
      <c r="AG13" s="52">
        <f t="shared" si="7"/>
        <v>17005.356409469256</v>
      </c>
      <c r="AH13" s="17"/>
      <c r="AI13" s="611">
        <f t="shared" si="8"/>
        <v>0.63354098360655742</v>
      </c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+IFERROR(HLOOKUP($B14,'[1]9월누계'!$D$6:$BN$259,2,),)/1000</f>
        <v>170</v>
      </c>
      <c r="K14" s="46">
        <f>+IFERROR(HLOOKUP($B14,'[2]9월누계'!$F$6:$CP$99,2,),)/1000</f>
        <v>195.262</v>
      </c>
      <c r="L14" s="47">
        <f t="shared" si="0"/>
        <v>25.262</v>
      </c>
      <c r="M14" s="48">
        <f>+IFERROR(HLOOKUP($B14,'[3]9월누계'!$F$6:$CC$57,2,),)/1000</f>
        <v>175.43350000000001</v>
      </c>
      <c r="N14" s="49">
        <f t="shared" si="2"/>
        <v>19.828499999999991</v>
      </c>
      <c r="O14" s="45">
        <f>+IFERROR(HLOOKUP($B14,'[1]9월누계'!$D$6:$BN$259,3,),)/1000</f>
        <v>17339.981661600003</v>
      </c>
      <c r="P14" s="46">
        <f>+IFERROR(HLOOKUP($B14,'[2]9월누계'!$F$6:$CP$99,3,),)/1000</f>
        <v>19447.451249999998</v>
      </c>
      <c r="Q14" s="47">
        <f t="shared" si="3"/>
        <v>2107.4695883999957</v>
      </c>
      <c r="R14" s="48">
        <f>+IFERROR(HLOOKUP($B14,'[3]9월누계'!$F$6:$CC$57,3,),)/1000</f>
        <v>17795.158350000002</v>
      </c>
      <c r="S14" s="49">
        <f t="shared" si="4"/>
        <v>1652.2928999999967</v>
      </c>
      <c r="T14" s="45">
        <f>+IFERROR(HLOOKUP($B14,'[1]9월누계'!$D$6:$BN$259,16,),)/1000</f>
        <v>1420.3152966126365</v>
      </c>
      <c r="U14" s="46">
        <f>+IFERROR(HLOOKUP($B14,'[2]9월누계'!$F$6:$CP$99,16,),)/1000</f>
        <v>1637.445472000001</v>
      </c>
      <c r="V14" s="47">
        <f t="shared" si="5"/>
        <v>217.13017538736449</v>
      </c>
      <c r="W14" s="48">
        <f>+IFERROR(HLOOKUP($B14,'[3]9월누계'!$F$6:$CC$57,16,),)/1000</f>
        <v>1600.2509530000004</v>
      </c>
      <c r="X14" s="49">
        <f t="shared" si="6"/>
        <v>37.194519000000582</v>
      </c>
      <c r="Y14" s="45">
        <f>+[12]정관!$Q$85</f>
        <v>101999.89212705883</v>
      </c>
      <c r="Z14" s="46">
        <f>+[12]정관!$R$85</f>
        <v>99613.25994219743</v>
      </c>
      <c r="AA14" s="50">
        <f>+[13]정관!$Q$85</f>
        <v>101435.34929189694</v>
      </c>
      <c r="AB14" s="51">
        <f>+[12]정관!$Q$89</f>
        <v>82161.567508422391</v>
      </c>
      <c r="AC14" s="46">
        <f>+[12]정관!$R$89</f>
        <v>81683.466758299532</v>
      </c>
      <c r="AD14" s="52">
        <f>+[13]정관!$Q$89</f>
        <v>81822.96916236823</v>
      </c>
      <c r="AE14" s="51">
        <f t="shared" si="7"/>
        <v>19838.324618636441</v>
      </c>
      <c r="AF14" s="46">
        <f t="shared" si="7"/>
        <v>17929.793183897898</v>
      </c>
      <c r="AG14" s="52">
        <f t="shared" si="7"/>
        <v>19612.380129528712</v>
      </c>
      <c r="AH14" s="17"/>
      <c r="AI14" s="611">
        <f t="shared" si="8"/>
        <v>1.1486000000000001</v>
      </c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+IFERROR(HLOOKUP($B15,'[1]9월누계'!$D$6:$BN$259,2,),)/1000</f>
        <v>102</v>
      </c>
      <c r="K15" s="46">
        <f>+IFERROR(HLOOKUP($B15,'[2]9월누계'!$F$6:$CP$99,2,),)/1000</f>
        <v>64.524000000000001</v>
      </c>
      <c r="L15" s="47">
        <f t="shared" si="0"/>
        <v>-37.475999999999999</v>
      </c>
      <c r="M15" s="48">
        <f>+IFERROR(HLOOKUP($B15,'[3]9월누계'!$F$6:$CC$57,2,),)/1000</f>
        <v>112.78100000000001</v>
      </c>
      <c r="N15" s="49">
        <f t="shared" si="2"/>
        <v>-48.257000000000005</v>
      </c>
      <c r="O15" s="45">
        <f>+IFERROR(HLOOKUP($B15,'[1]9월누계'!$D$6:$BN$259,3,),)/1000</f>
        <v>9642.7885000000006</v>
      </c>
      <c r="P15" s="46">
        <f>+IFERROR(HLOOKUP($B15,'[2]9월누계'!$F$6:$CP$99,3,),)/1000</f>
        <v>5974.3480470000004</v>
      </c>
      <c r="Q15" s="47">
        <f t="shared" si="3"/>
        <v>-3668.4404530000002</v>
      </c>
      <c r="R15" s="48">
        <f>+IFERROR(HLOOKUP($B15,'[3]9월누계'!$F$6:$CC$57,3,),)/1000</f>
        <v>10439.652218000001</v>
      </c>
      <c r="S15" s="49">
        <f t="shared" si="4"/>
        <v>-4465.3041710000007</v>
      </c>
      <c r="T15" s="45">
        <f>+IFERROR(HLOOKUP($B15,'[1]9월누계'!$D$6:$BN$259,16,),)/1000</f>
        <v>803.93013339910249</v>
      </c>
      <c r="U15" s="46">
        <f>+IFERROR(HLOOKUP($B15,'[2]9월누계'!$F$6:$CP$99,16,),)/1000</f>
        <v>-32.841494999998979</v>
      </c>
      <c r="V15" s="47">
        <f t="shared" si="5"/>
        <v>-836.77162839910147</v>
      </c>
      <c r="W15" s="48">
        <f>+IFERROR(HLOOKUP($B15,'[3]9월누계'!$F$6:$CC$57,16,),)/1000</f>
        <v>933.80031200000133</v>
      </c>
      <c r="X15" s="49">
        <f t="shared" si="6"/>
        <v>-966.64180700000031</v>
      </c>
      <c r="Y15" s="45">
        <f>+[12]양산!$Q$85</f>
        <v>94537.142156862741</v>
      </c>
      <c r="Z15" s="46">
        <f>+[12]양산!$R$85</f>
        <v>92573.855964585295</v>
      </c>
      <c r="AA15" s="50">
        <f>+[13]양산!$Q$85</f>
        <v>92565.700055860478</v>
      </c>
      <c r="AB15" s="51">
        <f>+[12]양산!$Q$89</f>
        <v>73816.91448628332</v>
      </c>
      <c r="AC15" s="46">
        <f>+[12]양산!$R$89</f>
        <v>73300.907334348114</v>
      </c>
      <c r="AD15" s="52">
        <f>+[13]양산!$Q$89</f>
        <v>73029.102760069858</v>
      </c>
      <c r="AE15" s="51">
        <f t="shared" si="7"/>
        <v>20720.227670579421</v>
      </c>
      <c r="AF15" s="46">
        <f t="shared" si="7"/>
        <v>19272.948630237181</v>
      </c>
      <c r="AG15" s="52">
        <f t="shared" si="7"/>
        <v>19536.59729579062</v>
      </c>
      <c r="AH15" s="17"/>
      <c r="AI15" s="611">
        <f t="shared" si="8"/>
        <v>0.63258823529411767</v>
      </c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+IFERROR(HLOOKUP($B16,'[1]9월누계'!$D$6:$BN$259,2,),)/1000</f>
        <v>104</v>
      </c>
      <c r="K16" s="46">
        <f>+IFERROR(HLOOKUP($B16,'[2]9월누계'!$F$6:$CP$99,2,),)/1000</f>
        <v>84.364000000000004</v>
      </c>
      <c r="L16" s="47">
        <f t="shared" si="0"/>
        <v>-19.635999999999996</v>
      </c>
      <c r="M16" s="48">
        <f>+IFERROR(HLOOKUP($B16,'[3]9월누계'!$F$6:$CC$57,2,),)/1000</f>
        <v>156.06950000000001</v>
      </c>
      <c r="N16" s="49">
        <f t="shared" si="2"/>
        <v>-71.705500000000001</v>
      </c>
      <c r="O16" s="45">
        <f>+IFERROR(HLOOKUP($B16,'[1]9월누계'!$D$6:$BN$259,3,),)/1000</f>
        <v>10475.229055788001</v>
      </c>
      <c r="P16" s="46">
        <f>+IFERROR(HLOOKUP($B16,'[2]9월누계'!$F$6:$CP$99,3,),)/1000</f>
        <v>8071.3036800000009</v>
      </c>
      <c r="Q16" s="47">
        <f t="shared" si="3"/>
        <v>-2403.9253757879997</v>
      </c>
      <c r="R16" s="48">
        <f>+IFERROR(HLOOKUP($B16,'[3]9월누계'!$F$6:$CC$57,3,),)/1000</f>
        <v>15834.131000000001</v>
      </c>
      <c r="S16" s="49">
        <f t="shared" si="4"/>
        <v>-7762.8273200000003</v>
      </c>
      <c r="T16" s="45">
        <f>+IFERROR(HLOOKUP($B16,'[1]9월누계'!$D$6:$BN$259,16,),)/1000</f>
        <v>851.6927760349605</v>
      </c>
      <c r="U16" s="46">
        <f>+IFERROR(HLOOKUP($B16,'[2]9월누계'!$F$6:$CP$99,16,),)/1000</f>
        <v>279.17025600000107</v>
      </c>
      <c r="V16" s="47">
        <f t="shared" si="5"/>
        <v>-572.52252003495937</v>
      </c>
      <c r="W16" s="48">
        <f>+IFERROR(HLOOKUP($B16,'[3]9월누계'!$F$6:$CC$57,16,),)/1000</f>
        <v>2362.191192000003</v>
      </c>
      <c r="X16" s="49">
        <f t="shared" si="6"/>
        <v>-2083.0209360000017</v>
      </c>
      <c r="Y16" s="45">
        <f>+[12]창원!$Q$85</f>
        <v>100723.35630565386</v>
      </c>
      <c r="Z16" s="46">
        <f>+[12]창원!$R$85</f>
        <v>95672.368308757301</v>
      </c>
      <c r="AA16" s="50">
        <f>+[13]창원!$Q$85</f>
        <v>101455.63995527635</v>
      </c>
      <c r="AB16" s="51">
        <f>+[12]창원!$Q$89</f>
        <v>76030.870661918176</v>
      </c>
      <c r="AC16" s="46">
        <f>+[12]창원!$R$89</f>
        <v>73119.145565720246</v>
      </c>
      <c r="AD16" s="52">
        <f>+[13]창원!$Q$89</f>
        <v>74911.761469241828</v>
      </c>
      <c r="AE16" s="51">
        <f t="shared" si="7"/>
        <v>24692.485643735679</v>
      </c>
      <c r="AF16" s="46">
        <f t="shared" si="7"/>
        <v>22553.222743037055</v>
      </c>
      <c r="AG16" s="52">
        <f t="shared" si="7"/>
        <v>26543.878486034519</v>
      </c>
      <c r="AH16" s="17"/>
      <c r="AI16" s="611">
        <f t="shared" si="8"/>
        <v>0.81119230769230777</v>
      </c>
      <c r="AJ16" s="494"/>
    </row>
    <row r="17" spans="2:44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+IFERROR(HLOOKUP($B17,'[1]9월누계'!$D$6:$BN$259,2,),)/1000</f>
        <v>109</v>
      </c>
      <c r="K17" s="46">
        <f>+IFERROR(HLOOKUP($B17,'[2]9월누계'!$F$6:$CP$99,2,),)/1000</f>
        <v>91.382999999999996</v>
      </c>
      <c r="L17" s="47">
        <f t="shared" si="0"/>
        <v>-17.617000000000004</v>
      </c>
      <c r="M17" s="48">
        <f>+IFERROR(HLOOKUP($B17,'[3]9월누계'!$F$6:$CC$57,2,),)/1000</f>
        <v>140.24299999999999</v>
      </c>
      <c r="N17" s="49">
        <f t="shared" si="2"/>
        <v>-48.86</v>
      </c>
      <c r="O17" s="45">
        <f>+IFERROR(HLOOKUP($B17,'[1]9월누계'!$D$6:$BN$259,3,),)/1000</f>
        <v>10578.096758139616</v>
      </c>
      <c r="P17" s="46">
        <f>+IFERROR(HLOOKUP($B17,'[2]9월누계'!$F$6:$CP$99,3,),)/1000</f>
        <v>8113.8676889999997</v>
      </c>
      <c r="Q17" s="47">
        <f t="shared" si="3"/>
        <v>-2464.2290691396165</v>
      </c>
      <c r="R17" s="48">
        <f>+IFERROR(HLOOKUP($B17,'[3]9월누계'!$F$6:$CC$57,3,),)/1000</f>
        <v>14137.288451999999</v>
      </c>
      <c r="S17" s="49">
        <f t="shared" si="4"/>
        <v>-6023.4207629999992</v>
      </c>
      <c r="T17" s="45">
        <f>+IFERROR(HLOOKUP($B17,'[1]9월누계'!$D$6:$BN$259,16,),)/1000</f>
        <v>965.0807379184514</v>
      </c>
      <c r="U17" s="46">
        <f>+IFERROR(HLOOKUP($B17,'[2]9월누계'!$F$6:$CP$99,16,),)/1000</f>
        <v>84.779200999999219</v>
      </c>
      <c r="V17" s="47">
        <f t="shared" si="5"/>
        <v>-880.30153691845214</v>
      </c>
      <c r="W17" s="48">
        <f>+IFERROR(HLOOKUP($B17,'[3]9월누계'!$F$6:$CC$57,16,),)/1000</f>
        <v>2116.0696999999982</v>
      </c>
      <c r="X17" s="49">
        <f t="shared" si="6"/>
        <v>-2031.290498999999</v>
      </c>
      <c r="Y17" s="45">
        <f>+[12]대구!$Q$85</f>
        <v>97046.759248987306</v>
      </c>
      <c r="Z17" s="46">
        <f>+[12]대구!$R$85</f>
        <v>88812.053431351073</v>
      </c>
      <c r="AA17" s="50">
        <f>+[13]대구!$Q$85</f>
        <v>100805.66197243356</v>
      </c>
      <c r="AB17" s="51">
        <f>+[12]대구!$Q$89</f>
        <v>73065.937540913699</v>
      </c>
      <c r="AC17" s="46">
        <f>+[12]대구!$R$89</f>
        <v>72757.335748871483</v>
      </c>
      <c r="AD17" s="52">
        <f>+[13]대구!$Q$89</f>
        <v>74446.444647210621</v>
      </c>
      <c r="AE17" s="51">
        <f t="shared" si="7"/>
        <v>23980.821708073607</v>
      </c>
      <c r="AF17" s="46">
        <f t="shared" si="7"/>
        <v>16054.71768247959</v>
      </c>
      <c r="AG17" s="52">
        <f t="shared" si="7"/>
        <v>26359.21732522294</v>
      </c>
      <c r="AH17" s="17"/>
      <c r="AI17" s="611">
        <f t="shared" si="8"/>
        <v>0.83837614678899075</v>
      </c>
      <c r="AJ17" s="494"/>
    </row>
    <row r="18" spans="2:44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+IFERROR(HLOOKUP($B18,'[1]9월누계'!$D$6:$BN$259,2,),)/1000</f>
        <v>107</v>
      </c>
      <c r="K18" s="10">
        <f>+IFERROR(HLOOKUP($B18,'[2]9월누계'!$F$6:$CP$99,2,),)/1000</f>
        <v>100.3595</v>
      </c>
      <c r="L18" s="11">
        <f t="shared" si="0"/>
        <v>-6.640500000000003</v>
      </c>
      <c r="M18" s="12">
        <f>+IFERROR(HLOOKUP($B18,'[3]9월누계'!$F$6:$CC$57,2,),)/1000</f>
        <v>94.507000000000005</v>
      </c>
      <c r="N18" s="13">
        <f t="shared" si="2"/>
        <v>5.852499999999992</v>
      </c>
      <c r="O18" s="9">
        <f>+IFERROR(HLOOKUP($B18,'[1]9월누계'!$D$6:$BN$259,3,),)/1000</f>
        <v>10942.672</v>
      </c>
      <c r="P18" s="10">
        <f>+IFERROR(HLOOKUP($B18,'[2]9월누계'!$F$6:$CP$99,3,),)/1000</f>
        <v>10464.858467999999</v>
      </c>
      <c r="Q18" s="11">
        <f t="shared" si="3"/>
        <v>-477.81353200000194</v>
      </c>
      <c r="R18" s="12">
        <f>+IFERROR(HLOOKUP($B18,'[3]9월누계'!$F$6:$CC$57,3,),)/1000</f>
        <v>9827.7895420000004</v>
      </c>
      <c r="S18" s="13">
        <f t="shared" si="4"/>
        <v>637.0689259999981</v>
      </c>
      <c r="T18" s="9">
        <f>+IFERROR(HLOOKUP($B18,'[1]9월누계'!$D$6:$BN$259,16,),)/1000</f>
        <v>811.41717596740443</v>
      </c>
      <c r="U18" s="10">
        <f>+IFERROR(HLOOKUP($B18,'[2]9월누계'!$F$6:$CP$99,16,),)/1000</f>
        <v>884.60063699999876</v>
      </c>
      <c r="V18" s="11">
        <f t="shared" si="5"/>
        <v>73.183461032594323</v>
      </c>
      <c r="W18" s="12">
        <f>+IFERROR(HLOOKUP($B18,'[3]9월누계'!$F$6:$CC$57,16,),)/1000</f>
        <v>1080.4193490000014</v>
      </c>
      <c r="X18" s="13">
        <f t="shared" si="6"/>
        <v>-195.81871200000262</v>
      </c>
      <c r="Y18" s="9">
        <f>+[12]울산!$Q$85</f>
        <v>102267.96261682243</v>
      </c>
      <c r="Z18" s="10">
        <f>+[12]울산!$R$85</f>
        <v>104273.72065424797</v>
      </c>
      <c r="AA18" s="14">
        <f>+[13]울산!$Q$85</f>
        <v>103990.06996307154</v>
      </c>
      <c r="AB18" s="15">
        <f>+[12]울산!$Q$89</f>
        <v>81930.010803696729</v>
      </c>
      <c r="AC18" s="10">
        <f>+[12]울산!$R$89</f>
        <v>82114.199393725197</v>
      </c>
      <c r="AD18" s="16">
        <f>+[13]울산!$Q$89</f>
        <v>80241.74110145295</v>
      </c>
      <c r="AE18" s="15">
        <f t="shared" si="7"/>
        <v>20337.951813125706</v>
      </c>
      <c r="AF18" s="10">
        <f t="shared" si="7"/>
        <v>22159.521260522772</v>
      </c>
      <c r="AG18" s="16">
        <f t="shared" si="7"/>
        <v>23748.328861618589</v>
      </c>
      <c r="AH18" s="17"/>
      <c r="AI18" s="611">
        <f t="shared" si="8"/>
        <v>0.93793925233644859</v>
      </c>
      <c r="AJ18" s="494"/>
    </row>
    <row r="19" spans="2:44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+IFERROR(HLOOKUP($B19,'[1]9월누계'!$D$6:$BN$259,2,),)/1000</f>
        <v>198</v>
      </c>
      <c r="K19" s="46">
        <f>+IFERROR(HLOOKUP($B19,'[2]9월누계'!$F$6:$CP$99,2,),)/1000</f>
        <v>188.08099999999999</v>
      </c>
      <c r="L19" s="47">
        <f t="shared" si="0"/>
        <v>-9.9190000000000111</v>
      </c>
      <c r="M19" s="48">
        <f>+IFERROR(HLOOKUP($B19,'[3]9월누계'!$F$6:$CC$57,2,),)/1000</f>
        <v>231.91900000000001</v>
      </c>
      <c r="N19" s="49">
        <f t="shared" si="2"/>
        <v>-43.838000000000022</v>
      </c>
      <c r="O19" s="45">
        <f>+IFERROR(HLOOKUP($B19,'[1]9월누계'!$D$6:$BN$259,3,),)/1000</f>
        <v>20394</v>
      </c>
      <c r="P19" s="46">
        <f>+IFERROR(HLOOKUP($B19,'[2]9월누계'!$F$6:$CP$99,3,),)/1000</f>
        <v>18111.734785000001</v>
      </c>
      <c r="Q19" s="47">
        <f t="shared" si="3"/>
        <v>-2282.2652149999994</v>
      </c>
      <c r="R19" s="48">
        <f>+IFERROR(HLOOKUP($B19,'[3]9월누계'!$F$6:$CC$57,3,),)/1000</f>
        <v>23496.461101000004</v>
      </c>
      <c r="S19" s="49">
        <f t="shared" si="4"/>
        <v>-5384.7263160000039</v>
      </c>
      <c r="T19" s="45">
        <f>+IFERROR(HLOOKUP($B19,'[1]9월누계'!$D$6:$BN$259,16,),)/1000</f>
        <v>2582.8280636582849</v>
      </c>
      <c r="U19" s="46">
        <f>+IFERROR(HLOOKUP($B19,'[2]9월누계'!$F$6:$CP$99,16,),)/1000</f>
        <v>775.93852400000117</v>
      </c>
      <c r="V19" s="47">
        <f t="shared" si="5"/>
        <v>-1806.8895396582839</v>
      </c>
      <c r="W19" s="48">
        <f>+IFERROR(HLOOKUP($B19,'[3]9월누계'!$F$6:$CC$57,16,),)/1000</f>
        <v>3364.5258370000051</v>
      </c>
      <c r="X19" s="49">
        <f t="shared" si="6"/>
        <v>-2588.5873130000041</v>
      </c>
      <c r="Y19" s="45">
        <f>+[12]아산!$Q$85</f>
        <v>103000</v>
      </c>
      <c r="Z19" s="46">
        <f>+[12]아산!$R$85</f>
        <v>96285.550467990921</v>
      </c>
      <c r="AA19" s="50">
        <f>+[13]아산!$Q$85</f>
        <v>101260.30661874369</v>
      </c>
      <c r="AB19" s="51">
        <f>+[12]아산!$Q$89</f>
        <v>78430.65184391386</v>
      </c>
      <c r="AC19" s="46">
        <f>+[12]아산!$R$89</f>
        <v>80648.049928514112</v>
      </c>
      <c r="AD19" s="52">
        <f>+[13]아산!$Q$89</f>
        <v>76950.847480163531</v>
      </c>
      <c r="AE19" s="51">
        <f t="shared" si="7"/>
        <v>24569.34815608614</v>
      </c>
      <c r="AF19" s="46">
        <f t="shared" si="7"/>
        <v>15637.500539476809</v>
      </c>
      <c r="AG19" s="52">
        <f t="shared" si="7"/>
        <v>24309.459138580161</v>
      </c>
      <c r="AH19" s="17"/>
      <c r="AI19" s="611">
        <f t="shared" si="8"/>
        <v>0.94990404040404031</v>
      </c>
      <c r="AJ19" s="494"/>
    </row>
    <row r="20" spans="2:44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+IFERROR(HLOOKUP($B20,'[1]9월누계'!$D$6:$BN$259,2,),)/1000</f>
        <v>95</v>
      </c>
      <c r="K20" s="46">
        <f>+IFERROR(HLOOKUP($B20,'[2]9월누계'!$F$6:$CP$99,2,),)/1000</f>
        <v>113.88849999999999</v>
      </c>
      <c r="L20" s="47">
        <f t="shared" si="0"/>
        <v>18.888499999999993</v>
      </c>
      <c r="M20" s="48">
        <f>+IFERROR(HLOOKUP($B20,'[3]9월누계'!$F$6:$CC$57,2,),)/1000</f>
        <v>75.480500000000006</v>
      </c>
      <c r="N20" s="49">
        <f t="shared" si="2"/>
        <v>38.407999999999987</v>
      </c>
      <c r="O20" s="45">
        <f>+IFERROR(HLOOKUP($B20,'[1]9월누계'!$D$6:$BN$259,3,),)/1000</f>
        <v>9337.6919565999997</v>
      </c>
      <c r="P20" s="46">
        <f>+IFERROR(HLOOKUP($B20,'[2]9월누계'!$F$6:$CP$99,3,),)/1000</f>
        <v>11077.996587</v>
      </c>
      <c r="Q20" s="47">
        <f t="shared" si="3"/>
        <v>1740.3046304</v>
      </c>
      <c r="R20" s="48">
        <f>+IFERROR(HLOOKUP($B20,'[3]9월누계'!$F$6:$CC$57,3,),)/1000</f>
        <v>7271.5489369999996</v>
      </c>
      <c r="S20" s="49">
        <f t="shared" si="4"/>
        <v>3806.4476500000001</v>
      </c>
      <c r="T20" s="45">
        <f>+IFERROR(HLOOKUP($B20,'[1]9월누계'!$D$6:$BN$259,16,),)/1000</f>
        <v>996.57496553216504</v>
      </c>
      <c r="U20" s="46">
        <f>+IFERROR(HLOOKUP($B20,'[2]9월누계'!$F$6:$CP$99,16,),)/1000</f>
        <v>1109.4876289999993</v>
      </c>
      <c r="V20" s="47">
        <f t="shared" si="5"/>
        <v>112.91266346783425</v>
      </c>
      <c r="W20" s="48">
        <f>+IFERROR(HLOOKUP($B20,'[3]9월누계'!$F$6:$CC$57,16,),)/1000</f>
        <v>513.82139399999937</v>
      </c>
      <c r="X20" s="49">
        <f t="shared" si="6"/>
        <v>595.66623499999992</v>
      </c>
      <c r="Y20" s="45">
        <f>+[12]전주!$Q$85</f>
        <v>98291.494279999999</v>
      </c>
      <c r="Z20" s="46">
        <f>+[12]전주!$R$85</f>
        <v>97270.561627222312</v>
      </c>
      <c r="AA20" s="50">
        <f>+[13]전주!$Q$85</f>
        <v>96338.475793464051</v>
      </c>
      <c r="AB20" s="51">
        <f>+[12]전주!$Q$89</f>
        <v>73170.209426445042</v>
      </c>
      <c r="AC20" s="46">
        <f>+[12]전주!$R$89</f>
        <v>75316.487808518665</v>
      </c>
      <c r="AD20" s="52">
        <f>+[13]전주!$Q$89</f>
        <v>71733.330078888277</v>
      </c>
      <c r="AE20" s="51">
        <f t="shared" si="7"/>
        <v>25121.284853554956</v>
      </c>
      <c r="AF20" s="46">
        <f t="shared" si="7"/>
        <v>21954.073818703648</v>
      </c>
      <c r="AG20" s="52">
        <f t="shared" si="7"/>
        <v>24605.145714575774</v>
      </c>
      <c r="AH20" s="17"/>
      <c r="AI20" s="611">
        <f t="shared" si="8"/>
        <v>1.1988263157894736</v>
      </c>
      <c r="AJ20" s="494"/>
    </row>
    <row r="21" spans="2:44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+IFERROR(HLOOKUP($B21,'[1]9월누계'!$D$6:$BN$259,2,),)/1000</f>
        <v>62.5</v>
      </c>
      <c r="K21" s="46">
        <f>+IFERROR(HLOOKUP($B21,'[2]9월누계'!$F$6:$CP$99,2,),)/1000</f>
        <v>44.545499999999997</v>
      </c>
      <c r="L21" s="47">
        <f t="shared" si="0"/>
        <v>-17.954500000000003</v>
      </c>
      <c r="M21" s="48">
        <f>+IFERROR(HLOOKUP($B21,'[3]9월누계'!$F$6:$CC$57,2,),)/1000</f>
        <v>76.563500000000005</v>
      </c>
      <c r="N21" s="49">
        <f t="shared" si="2"/>
        <v>-32.018000000000008</v>
      </c>
      <c r="O21" s="45">
        <f>+IFERROR(HLOOKUP($B21,'[1]9월누계'!$D$6:$BN$259,3,),)/1000</f>
        <v>6935.6091830000014</v>
      </c>
      <c r="P21" s="46">
        <f>+IFERROR(HLOOKUP($B21,'[2]9월누계'!$F$6:$CP$99,3,),)/1000</f>
        <v>4899.0927219999994</v>
      </c>
      <c r="Q21" s="47">
        <f t="shared" si="3"/>
        <v>-2036.516461000002</v>
      </c>
      <c r="R21" s="48">
        <f>+IFERROR(HLOOKUP($B21,'[3]9월누계'!$F$6:$CC$57,3,),)/1000</f>
        <v>8684.7115360000007</v>
      </c>
      <c r="S21" s="49">
        <f t="shared" si="4"/>
        <v>-3785.6188140000013</v>
      </c>
      <c r="T21" s="45">
        <f>+IFERROR(HLOOKUP($B21,'[1]9월누계'!$D$6:$BN$259,16,),)/1000</f>
        <v>1634.8091862049855</v>
      </c>
      <c r="U21" s="46">
        <f>+IFERROR(HLOOKUP($B21,'[2]9월누계'!$F$6:$CP$99,16,),)/1000</f>
        <v>912.85208699999919</v>
      </c>
      <c r="V21" s="47">
        <f t="shared" si="5"/>
        <v>-721.95709920498632</v>
      </c>
      <c r="W21" s="48">
        <f>+IFERROR(HLOOKUP($B21,'[3]9월누계'!$F$6:$CC$57,16,),)/1000</f>
        <v>2422.0773110000005</v>
      </c>
      <c r="X21" s="49">
        <f t="shared" si="6"/>
        <v>-1509.2252240000012</v>
      </c>
      <c r="Y21" s="45">
        <f>+[12]군산!$Q$85</f>
        <v>110969.74692800002</v>
      </c>
      <c r="Z21" s="46">
        <f>+[12]군산!$R$85</f>
        <v>109962.98199691117</v>
      </c>
      <c r="AA21" s="50">
        <f>+[13]군산!$Q$85</f>
        <v>113449.09707499853</v>
      </c>
      <c r="AB21" s="51">
        <f>+[12]군산!$Q$89</f>
        <v>72593.977863386914</v>
      </c>
      <c r="AC21" s="46">
        <f>+[12]군산!$R$89</f>
        <v>72408.714818697234</v>
      </c>
      <c r="AD21" s="52">
        <f>+[13]군산!$Q$89</f>
        <v>72317.710525111324</v>
      </c>
      <c r="AE21" s="51">
        <f t="shared" si="7"/>
        <v>38375.769064613109</v>
      </c>
      <c r="AF21" s="46">
        <f t="shared" si="7"/>
        <v>37554.267178213937</v>
      </c>
      <c r="AG21" s="52">
        <f t="shared" si="7"/>
        <v>41131.386549887204</v>
      </c>
      <c r="AH21" s="17"/>
      <c r="AI21" s="611">
        <f t="shared" si="8"/>
        <v>0.71272799999999992</v>
      </c>
      <c r="AJ21" s="494"/>
    </row>
    <row r="22" spans="2:44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+IFERROR(HLOOKUP($B22,'[1]9월누계'!$D$6:$BN$259,2,),)/1000</f>
        <v>40</v>
      </c>
      <c r="K22" s="46">
        <f>+IFERROR(HLOOKUP($B22,'[2]9월누계'!$F$6:$CP$99,2,),)/1000</f>
        <v>23.686</v>
      </c>
      <c r="L22" s="47">
        <f t="shared" si="0"/>
        <v>-16.314</v>
      </c>
      <c r="M22" s="48">
        <f>+IFERROR(HLOOKUP($B22,'[3]9월누계'!$F$6:$CC$57,2,),)/1000</f>
        <v>50.372999999999998</v>
      </c>
      <c r="N22" s="49">
        <f t="shared" si="2"/>
        <v>-26.686999999999998</v>
      </c>
      <c r="O22" s="45">
        <f>+IFERROR(HLOOKUP($B22,'[1]9월누계'!$D$6:$BN$259,3,),)/1000</f>
        <v>4480</v>
      </c>
      <c r="P22" s="46">
        <f>+IFERROR(HLOOKUP($B22,'[2]9월누계'!$F$6:$CP$99,3,),)/1000</f>
        <v>2579.1358989999999</v>
      </c>
      <c r="Q22" s="47">
        <f t="shared" si="3"/>
        <v>-1900.8641010000001</v>
      </c>
      <c r="R22" s="48">
        <f>+IFERROR(HLOOKUP($B22,'[3]9월누계'!$F$6:$CC$57,3,),)/1000</f>
        <v>5665.3093899999994</v>
      </c>
      <c r="S22" s="49">
        <f t="shared" si="4"/>
        <v>-3086.1734909999996</v>
      </c>
      <c r="T22" s="45">
        <f>+IFERROR(HLOOKUP($B22,'[1]9월누계'!$D$6:$BN$259,16,),)/1000</f>
        <v>699.09405530601816</v>
      </c>
      <c r="U22" s="46">
        <f>+IFERROR(HLOOKUP($B22,'[2]9월누계'!$F$6:$CP$99,16,),)/1000</f>
        <v>82.862910999999698</v>
      </c>
      <c r="V22" s="47">
        <f t="shared" si="5"/>
        <v>-616.23114430601845</v>
      </c>
      <c r="W22" s="48">
        <f>+IFERROR(HLOOKUP($B22,'[3]9월누계'!$F$6:$CC$57,16,),)/1000</f>
        <v>1128.7027799999996</v>
      </c>
      <c r="X22" s="49">
        <f t="shared" si="6"/>
        <v>-1045.8398689999999</v>
      </c>
      <c r="Y22" s="45">
        <f>+[12]원주!$Q$85</f>
        <v>112000</v>
      </c>
      <c r="Z22" s="46">
        <f>+[12]원주!$R$85</f>
        <v>108890.34201858107</v>
      </c>
      <c r="AA22" s="50">
        <f>+[13]원주!$Q$85</f>
        <v>112473.27552642034</v>
      </c>
      <c r="AB22" s="51">
        <f>+[12]원주!$Q$89</f>
        <v>73330.309992243259</v>
      </c>
      <c r="AC22" s="46">
        <f>+[12]원주!$R$89</f>
        <v>71727.811739864876</v>
      </c>
      <c r="AD22" s="52">
        <f>+[13]원주!$Q$89</f>
        <v>73811.46791815653</v>
      </c>
      <c r="AE22" s="51">
        <f t="shared" si="7"/>
        <v>38669.690007756741</v>
      </c>
      <c r="AF22" s="46">
        <f t="shared" si="7"/>
        <v>37162.530278716193</v>
      </c>
      <c r="AG22" s="52">
        <f t="shared" si="7"/>
        <v>38661.807608263814</v>
      </c>
      <c r="AH22" s="17"/>
      <c r="AI22" s="611">
        <f t="shared" si="8"/>
        <v>0.59214999999999995</v>
      </c>
      <c r="AJ22" s="494"/>
    </row>
    <row r="23" spans="2:44" s="8" customFormat="1" ht="22.5" customHeight="1" x14ac:dyDescent="0.3">
      <c r="B23" s="8" t="s">
        <v>75</v>
      </c>
      <c r="F23" s="84"/>
      <c r="G23" s="334" t="str">
        <f t="shared" si="1"/>
        <v>제주</v>
      </c>
      <c r="H23" s="74"/>
      <c r="I23" s="75" t="s">
        <v>75</v>
      </c>
      <c r="J23" s="45">
        <f>+IFERROR(HLOOKUP($B23,'[1]9월누계'!$D$6:$BN$259,2,),)/1000</f>
        <v>73</v>
      </c>
      <c r="K23" s="46">
        <f>+IFERROR(HLOOKUP($B23,'[2]9월누계'!$F$6:$CP$99,2,),)/1000</f>
        <v>50.281999999999996</v>
      </c>
      <c r="L23" s="47">
        <f t="shared" si="0"/>
        <v>-22.718000000000004</v>
      </c>
      <c r="M23" s="48">
        <f>+IFERROR(HLOOKUP($B23,'[3]9월누계'!$F$6:$CC$57,2,),)/1000</f>
        <v>31.458500000000001</v>
      </c>
      <c r="N23" s="49">
        <f t="shared" si="2"/>
        <v>18.823499999999996</v>
      </c>
      <c r="O23" s="45">
        <f>+IFERROR(HLOOKUP($B23,'[1]9월누계'!$D$6:$BN$259,3,),)/1000</f>
        <v>8968.9285</v>
      </c>
      <c r="P23" s="46">
        <f>+IFERROR(HLOOKUP($B23,'[2]9월누계'!$F$6:$CP$99,3,),)/1000</f>
        <v>6189.5569120000018</v>
      </c>
      <c r="Q23" s="47">
        <f t="shared" si="3"/>
        <v>-2779.3715879999982</v>
      </c>
      <c r="R23" s="48">
        <f>+IFERROR(HLOOKUP($B23,'[3]9월누계'!$F$6:$CC$57,3,),)/1000</f>
        <v>3929.3065629999996</v>
      </c>
      <c r="S23" s="49">
        <f t="shared" si="4"/>
        <v>2260.2503490000022</v>
      </c>
      <c r="T23" s="45">
        <f>+IFERROR(HLOOKUP($B23,'[1]9월누계'!$D$6:$BN$259,16,),)/1000</f>
        <v>1443.0501206956267</v>
      </c>
      <c r="U23" s="46">
        <f>+IFERROR(HLOOKUP($B23,'[2]9월누계'!$F$6:$CP$99,16,),)/1000</f>
        <v>632.62419000000045</v>
      </c>
      <c r="V23" s="47">
        <f t="shared" si="5"/>
        <v>-810.42593069562622</v>
      </c>
      <c r="W23" s="48">
        <f>+IFERROR(HLOOKUP($B23,'[3]9월누계'!$F$6:$CC$57,16,),)/1000</f>
        <v>325.24141599999945</v>
      </c>
      <c r="X23" s="49">
        <f t="shared" si="6"/>
        <v>307.38277400000101</v>
      </c>
      <c r="Y23" s="45">
        <f>+[12]제주!$Q$85</f>
        <v>122862.03424657535</v>
      </c>
      <c r="Z23" s="46">
        <f>+[12]제주!$R$85</f>
        <v>122898.30090729948</v>
      </c>
      <c r="AA23" s="50">
        <f>+[13]제주!$Q$85</f>
        <v>124904.44754199976</v>
      </c>
      <c r="AB23" s="51">
        <f>+[12]제주!$Q$89</f>
        <v>91083.112638536113</v>
      </c>
      <c r="AC23" s="46">
        <f>+[12]제주!$R$89</f>
        <v>92689.848814310331</v>
      </c>
      <c r="AD23" s="52">
        <f>+[13]제주!$Q$89</f>
        <v>89107.933447477728</v>
      </c>
      <c r="AE23" s="51">
        <f t="shared" si="7"/>
        <v>31778.921608039236</v>
      </c>
      <c r="AF23" s="46">
        <f t="shared" si="7"/>
        <v>30208.452092989144</v>
      </c>
      <c r="AG23" s="52">
        <f t="shared" si="7"/>
        <v>35796.514094522034</v>
      </c>
      <c r="AH23" s="17"/>
      <c r="AI23" s="611">
        <f t="shared" si="8"/>
        <v>0.68879452054794521</v>
      </c>
      <c r="AJ23" s="494"/>
    </row>
    <row r="24" spans="2:44" s="8" customFormat="1" ht="22.5" customHeight="1" x14ac:dyDescent="0.3">
      <c r="F24" s="495">
        <f>+K24/J24</f>
        <v>0.82138019933554818</v>
      </c>
      <c r="G24" s="337" t="str">
        <f t="shared" si="1"/>
        <v>수도권</v>
      </c>
      <c r="H24" s="74"/>
      <c r="I24" s="78" t="s">
        <v>42</v>
      </c>
      <c r="J24" s="22">
        <f>SUM(J7:J10)</f>
        <v>903</v>
      </c>
      <c r="K24" s="19">
        <f>SUM(K7:K10)</f>
        <v>741.70632000000001</v>
      </c>
      <c r="L24" s="20">
        <f t="shared" si="0"/>
        <v>-161.29367999999999</v>
      </c>
      <c r="M24" s="24">
        <f>SUM(M7:M10)</f>
        <v>895.25750000000005</v>
      </c>
      <c r="N24" s="21">
        <f t="shared" si="2"/>
        <v>-153.55118000000004</v>
      </c>
      <c r="O24" s="22">
        <f>SUM(O7:O10)</f>
        <v>88358.936630967481</v>
      </c>
      <c r="P24" s="19">
        <f>SUM(P7:P10)</f>
        <v>71190.926321000006</v>
      </c>
      <c r="Q24" s="20">
        <f t="shared" si="3"/>
        <v>-17168.010309967474</v>
      </c>
      <c r="R24" s="24">
        <f>SUM(R7:R10)</f>
        <v>88689.120725000001</v>
      </c>
      <c r="S24" s="21">
        <f t="shared" si="4"/>
        <v>-17498.194403999994</v>
      </c>
      <c r="T24" s="22">
        <f>SUM(T7:T10)</f>
        <v>6055.7800754130931</v>
      </c>
      <c r="U24" s="19">
        <f>SUM(U7:U10)</f>
        <v>1798.2506280100017</v>
      </c>
      <c r="V24" s="20">
        <f t="shared" si="5"/>
        <v>-4257.5294474030916</v>
      </c>
      <c r="W24" s="24">
        <f>SUM(W7:W10)</f>
        <v>7423.8551040099992</v>
      </c>
      <c r="X24" s="21">
        <f t="shared" si="6"/>
        <v>-5625.6044759999977</v>
      </c>
      <c r="Y24" s="22">
        <f>+[12]수도권!$Q$85</f>
        <v>97850.428162754717</v>
      </c>
      <c r="Z24" s="19">
        <f>+[12]수도권!$R$85</f>
        <v>96020.176856209466</v>
      </c>
      <c r="AA24" s="23">
        <f>+[13]수도권!$Q$85</f>
        <v>99076.406132854987</v>
      </c>
      <c r="AB24" s="28">
        <f>+[12]수도권!$Q$89</f>
        <v>80883.82386730898</v>
      </c>
      <c r="AC24" s="19">
        <f>+[12]수도권!$R$89</f>
        <v>80999.558861047597</v>
      </c>
      <c r="AD24" s="29">
        <f>+[13]수도권!$Q$89</f>
        <v>80800.204799494124</v>
      </c>
      <c r="AE24" s="28">
        <f t="shared" si="7"/>
        <v>16966.604295445737</v>
      </c>
      <c r="AF24" s="19">
        <f t="shared" si="7"/>
        <v>15020.617995161869</v>
      </c>
      <c r="AG24" s="29">
        <f t="shared" si="7"/>
        <v>18276.201333360863</v>
      </c>
      <c r="AH24" s="17"/>
      <c r="AI24" s="611">
        <f t="shared" si="8"/>
        <v>0.82138019933554818</v>
      </c>
      <c r="AJ24" s="494"/>
      <c r="AK24" s="495">
        <f>+U24/T24</f>
        <v>0.29694780946735994</v>
      </c>
    </row>
    <row r="25" spans="2:44" s="8" customFormat="1" ht="22.5" customHeight="1" x14ac:dyDescent="0.3">
      <c r="F25" s="495">
        <f>+K25/J25</f>
        <v>0.88211761949390821</v>
      </c>
      <c r="G25" s="334" t="str">
        <f t="shared" si="1"/>
        <v>영남권</v>
      </c>
      <c r="H25" s="74"/>
      <c r="I25" s="78" t="s">
        <v>43</v>
      </c>
      <c r="J25" s="22">
        <f>SUM(J11:J18)</f>
        <v>1067</v>
      </c>
      <c r="K25" s="19">
        <f>SUM(K11:K18)</f>
        <v>941.21950000000004</v>
      </c>
      <c r="L25" s="20">
        <f t="shared" si="0"/>
        <v>-125.78049999999996</v>
      </c>
      <c r="M25" s="24">
        <f>SUM(M11:M18)</f>
        <v>1167.6615000000002</v>
      </c>
      <c r="N25" s="21">
        <f t="shared" si="2"/>
        <v>-226.44200000000012</v>
      </c>
      <c r="O25" s="22">
        <f>SUM(O11:O18)</f>
        <v>107275.44769394364</v>
      </c>
      <c r="P25" s="19">
        <f>SUM(P11:P18)</f>
        <v>92810.018398999993</v>
      </c>
      <c r="Q25" s="20">
        <f t="shared" si="3"/>
        <v>-14465.429294943649</v>
      </c>
      <c r="R25" s="24">
        <f>SUM(R11:R18)</f>
        <v>118057.85093399999</v>
      </c>
      <c r="S25" s="21">
        <f t="shared" si="4"/>
        <v>-25247.832534999994</v>
      </c>
      <c r="T25" s="22">
        <f>SUM(T11:T18)</f>
        <v>9125.6095568258188</v>
      </c>
      <c r="U25" s="19">
        <f>SUM(U11:U18)</f>
        <v>5328.4576270000007</v>
      </c>
      <c r="V25" s="20">
        <f t="shared" si="5"/>
        <v>-3797.1519298258181</v>
      </c>
      <c r="W25" s="24">
        <f>SUM(W11:W18)</f>
        <v>12953.641460000006</v>
      </c>
      <c r="X25" s="21">
        <f t="shared" si="6"/>
        <v>-7625.1838330000055</v>
      </c>
      <c r="Y25" s="22">
        <f>+[12]영남권!$Q$85</f>
        <v>100539.31367754792</v>
      </c>
      <c r="Z25" s="19">
        <f>+[12]영남권!$R$85</f>
        <v>98629.965402647387</v>
      </c>
      <c r="AA25" s="23">
        <f>+[13]영남권!$Q$85</f>
        <v>101125.79342513959</v>
      </c>
      <c r="AB25" s="28">
        <f>+[12]영남권!$Q$89</f>
        <v>78962.690095191341</v>
      </c>
      <c r="AC25" s="19">
        <f>+[12]영남권!$R$89</f>
        <v>78970.312886936183</v>
      </c>
      <c r="AD25" s="29">
        <f>+[13]영남권!$Q$89</f>
        <v>78591.615110637038</v>
      </c>
      <c r="AE25" s="28">
        <f t="shared" si="7"/>
        <v>21576.62358235658</v>
      </c>
      <c r="AF25" s="19">
        <f t="shared" si="7"/>
        <v>19659.652515711205</v>
      </c>
      <c r="AG25" s="29">
        <f t="shared" si="7"/>
        <v>22534.178314502555</v>
      </c>
      <c r="AH25" s="17"/>
      <c r="AI25" s="611">
        <f t="shared" si="8"/>
        <v>0.88211761949390821</v>
      </c>
      <c r="AJ25" s="494"/>
      <c r="AK25" s="495">
        <f>+U25/T25</f>
        <v>0.58390155680224065</v>
      </c>
    </row>
    <row r="26" spans="2:44" s="8" customFormat="1" ht="22.5" customHeight="1" x14ac:dyDescent="0.3">
      <c r="F26" s="495">
        <f>+K26/J26</f>
        <v>0.89750907150480241</v>
      </c>
      <c r="G26" s="334" t="str">
        <f t="shared" si="1"/>
        <v>중부권</v>
      </c>
      <c r="H26" s="74"/>
      <c r="I26" s="78" t="s">
        <v>106</v>
      </c>
      <c r="J26" s="22">
        <f>SUM(J19:J23)</f>
        <v>468.5</v>
      </c>
      <c r="K26" s="19">
        <f>SUM(K19:K23)</f>
        <v>420.48299999999995</v>
      </c>
      <c r="L26" s="20">
        <f t="shared" si="0"/>
        <v>-48.017000000000053</v>
      </c>
      <c r="M26" s="24">
        <f>SUM(M19:M23)</f>
        <v>465.79449999999997</v>
      </c>
      <c r="N26" s="21">
        <f t="shared" si="2"/>
        <v>-45.311500000000024</v>
      </c>
      <c r="O26" s="22">
        <f>SUM(O19:O23)</f>
        <v>50116.229639600002</v>
      </c>
      <c r="P26" s="19">
        <f>SUM(P19:P23)</f>
        <v>42857.516905000004</v>
      </c>
      <c r="Q26" s="20">
        <f t="shared" si="3"/>
        <v>-7258.7127345999979</v>
      </c>
      <c r="R26" s="24">
        <f>SUM(R19:R23)</f>
        <v>49047.337527000003</v>
      </c>
      <c r="S26" s="21">
        <f t="shared" si="4"/>
        <v>-6189.8206219999993</v>
      </c>
      <c r="T26" s="22">
        <f>SUM(T19:T23)</f>
        <v>7356.3563913970802</v>
      </c>
      <c r="U26" s="19">
        <f>SUM(U19:U23)</f>
        <v>3513.7653409999998</v>
      </c>
      <c r="V26" s="20">
        <f t="shared" si="5"/>
        <v>-3842.5910503970804</v>
      </c>
      <c r="W26" s="24">
        <f>SUM(W19:W23)</f>
        <v>7754.3687380000038</v>
      </c>
      <c r="X26" s="21">
        <f t="shared" si="6"/>
        <v>-4240.6033970000044</v>
      </c>
      <c r="Y26" s="22">
        <f>+[12]중부권!$Q$85</f>
        <v>106971.67479103523</v>
      </c>
      <c r="Z26" s="19">
        <f>+[12]중부권!$R$85</f>
        <v>101814.44470863468</v>
      </c>
      <c r="AA26" s="23">
        <f>+[13]중부권!$Q$85</f>
        <v>105285.08994136998</v>
      </c>
      <c r="AB26" s="28">
        <f>+[12]중부권!$Q$89</f>
        <v>78121.32806696216</v>
      </c>
      <c r="AC26" s="19">
        <f>+[12]중부권!$R$89</f>
        <v>79222.815541004355</v>
      </c>
      <c r="AD26" s="29">
        <f>+[13]중부권!$Q$89</f>
        <v>75825.962706816747</v>
      </c>
      <c r="AE26" s="28">
        <f t="shared" si="7"/>
        <v>28850.346724073068</v>
      </c>
      <c r="AF26" s="19">
        <f t="shared" si="7"/>
        <v>22591.629167630323</v>
      </c>
      <c r="AG26" s="29">
        <f t="shared" si="7"/>
        <v>29459.127234553234</v>
      </c>
      <c r="AH26" s="17"/>
      <c r="AI26" s="611">
        <f t="shared" si="8"/>
        <v>0.89750907150480241</v>
      </c>
      <c r="AJ26" s="494"/>
      <c r="AK26" s="495">
        <f>+U26/T26</f>
        <v>0.47765023254028127</v>
      </c>
    </row>
    <row r="27" spans="2:44" s="3" customFormat="1" ht="22.5" customHeight="1" x14ac:dyDescent="0.3">
      <c r="B27" s="25"/>
      <c r="F27" s="483">
        <f>+K27/M27</f>
        <v>0.83180985904492521</v>
      </c>
      <c r="G27" s="336">
        <f>+K27/J27</f>
        <v>0.86258307156038538</v>
      </c>
      <c r="H27" s="267" t="s">
        <v>94</v>
      </c>
      <c r="I27" s="268"/>
      <c r="J27" s="269">
        <f>SUM(J24:J26)</f>
        <v>2438.5</v>
      </c>
      <c r="K27" s="270">
        <f>SUM(K24:K26)</f>
        <v>2103.4088199999997</v>
      </c>
      <c r="L27" s="271">
        <f t="shared" si="0"/>
        <v>-335.09118000000035</v>
      </c>
      <c r="M27" s="272">
        <f>SUM(M24:M26)</f>
        <v>2528.7135000000003</v>
      </c>
      <c r="N27" s="273">
        <f t="shared" si="2"/>
        <v>-425.30468000000064</v>
      </c>
      <c r="O27" s="269">
        <f>SUM(O24:O26)</f>
        <v>245750.61396451111</v>
      </c>
      <c r="P27" s="270">
        <f>SUM(P24:P26)</f>
        <v>206858.461625</v>
      </c>
      <c r="Q27" s="271">
        <f t="shared" si="3"/>
        <v>-38892.152339511114</v>
      </c>
      <c r="R27" s="272">
        <f>SUM(R24:R26)</f>
        <v>255794.30918599997</v>
      </c>
      <c r="S27" s="273">
        <f t="shared" si="4"/>
        <v>-48935.847560999973</v>
      </c>
      <c r="T27" s="269">
        <f>SUM(T24:T26)</f>
        <v>22537.746023635991</v>
      </c>
      <c r="U27" s="270">
        <f>SUM(U24:U26)</f>
        <v>10640.473596010002</v>
      </c>
      <c r="V27" s="271">
        <f t="shared" si="5"/>
        <v>-11897.272427625989</v>
      </c>
      <c r="W27" s="272">
        <f>SUM(W24:W26)</f>
        <v>28131.86530201001</v>
      </c>
      <c r="X27" s="273">
        <f t="shared" si="6"/>
        <v>-17491.391706000009</v>
      </c>
      <c r="Y27" s="269">
        <f>+[12]합계!$Q$85</f>
        <v>100779.41930059918</v>
      </c>
      <c r="Z27" s="270">
        <f>+[12]합계!$R$85</f>
        <v>98349.367117269881</v>
      </c>
      <c r="AA27" s="274">
        <f>+[13]합계!$Q$85</f>
        <v>101167.04881691915</v>
      </c>
      <c r="AB27" s="275">
        <f>+[12]합계!$Q$89</f>
        <v>79512.456626254221</v>
      </c>
      <c r="AC27" s="270">
        <f>+[12]합계!$R$89</f>
        <v>79731.411913534525</v>
      </c>
      <c r="AD27" s="276">
        <f>+[13]합계!$Q$89</f>
        <v>78862.46728159608</v>
      </c>
      <c r="AE27" s="275">
        <f t="shared" si="7"/>
        <v>21266.962674344963</v>
      </c>
      <c r="AF27" s="270">
        <f t="shared" si="7"/>
        <v>18617.955203735357</v>
      </c>
      <c r="AG27" s="276">
        <f t="shared" si="7"/>
        <v>22304.581535323072</v>
      </c>
      <c r="AH27" s="26"/>
      <c r="AI27" s="611">
        <f t="shared" si="8"/>
        <v>0.86258307156038538</v>
      </c>
      <c r="AJ27" s="494"/>
      <c r="AK27" s="483">
        <f>+U27/T27</f>
        <v>0.4721179120951593</v>
      </c>
      <c r="AL27" s="25"/>
    </row>
    <row r="28" spans="2:44" s="8" customFormat="1" ht="22.5" customHeight="1" x14ac:dyDescent="0.3">
      <c r="B28" s="8" t="s">
        <v>115</v>
      </c>
      <c r="C28" s="73" t="s">
        <v>46</v>
      </c>
      <c r="F28" s="495"/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+IFERROR(HLOOKUP($B28,'[1]9월누계'!$D$6:$BN$259,2,),)/1000</f>
        <v>185.78787891473473</v>
      </c>
      <c r="K28" s="56">
        <f>+IFERROR(HLOOKUP($C28,'[2]9월누계'!$F$6:$CP$99,2,),)/1000</f>
        <v>219.14099999999999</v>
      </c>
      <c r="L28" s="37">
        <f t="shared" si="0"/>
        <v>33.353121085265258</v>
      </c>
      <c r="M28" s="37">
        <f>+IFERROR(HLOOKUP($C28,'[3]9월누계'!$F$6:$CC$57,2,),)/1000</f>
        <v>169.70699999999999</v>
      </c>
      <c r="N28" s="57">
        <f t="shared" si="2"/>
        <v>49.433999999999997</v>
      </c>
      <c r="O28" s="55">
        <f>+IFERROR(HLOOKUP($B28,'[1]9월누계'!$D$6:$BN$259,3,),)/1000</f>
        <v>5446.7276202807243</v>
      </c>
      <c r="P28" s="56">
        <f>+IFERROR(HLOOKUP($C28,'[2]9월누계'!$F$6:$CP$99,3,),)/1000</f>
        <v>6231.5050000000001</v>
      </c>
      <c r="Q28" s="37">
        <f t="shared" si="3"/>
        <v>784.77737971927581</v>
      </c>
      <c r="R28" s="37">
        <f>+IFERROR(HLOOKUP($C28,'[3]9월누계'!$F$6:$CC$57,3,),)/1000</f>
        <v>5011.7635799999998</v>
      </c>
      <c r="S28" s="57">
        <f t="shared" si="4"/>
        <v>1219.7414200000003</v>
      </c>
      <c r="T28" s="55">
        <f>+IFERROR(HLOOKUP($B28,'[1]9월누계'!$D$6:$BN$259,21,),)/1000</f>
        <v>642.93119943249508</v>
      </c>
      <c r="U28" s="56">
        <f>+IFERROR(HLOOKUP($C28,'[2]9월누계'!$F$6:$CP$99,21,),)/1000</f>
        <v>78.552224456381339</v>
      </c>
      <c r="V28" s="37">
        <f t="shared" si="5"/>
        <v>-564.3789749761138</v>
      </c>
      <c r="W28" s="37">
        <f>+IFERROR(HLOOKUP($C28,'[3]9월누계'!$F$6:$CC$57,21,),)/1000</f>
        <v>305.22036228727217</v>
      </c>
      <c r="X28" s="57">
        <f t="shared" si="6"/>
        <v>-226.66813783089083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</row>
    <row r="29" spans="2:44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+IFERROR(HLOOKUP($B29,'[1]9월누계'!$D$6:$BN$259,2,),)/1000</f>
        <v>436.3479224387097</v>
      </c>
      <c r="K29" s="58">
        <f>+IFERROR(HLOOKUP($C29,'[2]9월누계'!$F$6:$CP$99,2,),)/1000</f>
        <v>204.12200000000001</v>
      </c>
      <c r="L29" s="47">
        <f t="shared" si="0"/>
        <v>-232.22592243870969</v>
      </c>
      <c r="M29" s="47">
        <f>+IFERROR(HLOOKUP($C29,'[3]9월누계'!$F$6:$CC$57,2,),)/1000</f>
        <v>168.53</v>
      </c>
      <c r="N29" s="59">
        <f t="shared" si="2"/>
        <v>35.592000000000013</v>
      </c>
      <c r="O29" s="53">
        <f>+IFERROR(HLOOKUP($B29,'[1]9월누계'!$D$6:$BN$259,3,),)/1000</f>
        <v>6380.3764278860217</v>
      </c>
      <c r="P29" s="58">
        <f>+IFERROR(HLOOKUP($C29,'[2]9월누계'!$F$6:$CP$99,3,),)/1000</f>
        <v>2775.9580000000001</v>
      </c>
      <c r="Q29" s="47">
        <f t="shared" si="3"/>
        <v>-3604.4184278860216</v>
      </c>
      <c r="R29" s="47">
        <f>+IFERROR(HLOOKUP($C29,'[3]9월누계'!$F$6:$CC$57,3,),)/1000</f>
        <v>2372.0990000000002</v>
      </c>
      <c r="S29" s="59">
        <f t="shared" si="4"/>
        <v>403.85899999999992</v>
      </c>
      <c r="T29" s="53">
        <f>+IFERROR(HLOOKUP($B29,'[1]9월누계'!$D$6:$BN$259,21,),)/1000</f>
        <v>1063.1683126469973</v>
      </c>
      <c r="U29" s="58">
        <f>+IFERROR(HLOOKUP($C29,'[2]9월누계'!$F$6:$CP$99,21,),)/1000</f>
        <v>379.88297812831979</v>
      </c>
      <c r="V29" s="47">
        <f t="shared" si="5"/>
        <v>-683.28533451867747</v>
      </c>
      <c r="W29" s="47">
        <f>+IFERROR(HLOOKUP($C29,'[3]9월누계'!$F$6:$CC$57,21,),)/1000</f>
        <v>27.374989941775095</v>
      </c>
      <c r="X29" s="59">
        <f t="shared" si="6"/>
        <v>352.50798818654471</v>
      </c>
      <c r="Y29" s="497" t="s">
        <v>164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333"/>
      <c r="AK29" s="86"/>
      <c r="AL29" s="86"/>
    </row>
    <row r="30" spans="2:44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+IFERROR(HLOOKUP($B30,'[1]9월누계'!$D$6:$BN$259,2,),)/1000</f>
        <v>241.11028549999997</v>
      </c>
      <c r="K30" s="58">
        <f>+IFERROR(HLOOKUP($C30,'[2]9월누계'!$F$6:$CP$99,2,),)/1000</f>
        <v>160.18</v>
      </c>
      <c r="L30" s="47">
        <f t="shared" si="0"/>
        <v>-80.930285499999968</v>
      </c>
      <c r="M30" s="47">
        <f>+IFERROR(HLOOKUP($C30,'[3]9월누계'!$F$6:$CC$57,2,),)/1000</f>
        <v>315.97800000000001</v>
      </c>
      <c r="N30" s="59">
        <f t="shared" si="2"/>
        <v>-155.798</v>
      </c>
      <c r="O30" s="53">
        <f>+IFERROR(HLOOKUP($B30,'[1]9월누계'!$D$6:$BN$259,3,),)/1000</f>
        <v>4119.4511161166665</v>
      </c>
      <c r="P30" s="58">
        <f>+IFERROR(HLOOKUP($C30,'[2]9월누계'!$F$6:$CP$99,3,),)/1000</f>
        <v>3069.826</v>
      </c>
      <c r="Q30" s="47">
        <f t="shared" si="3"/>
        <v>-1049.6251161166665</v>
      </c>
      <c r="R30" s="47">
        <f>+IFERROR(HLOOKUP($C30,'[3]9월누계'!$F$6:$CC$57,3,),)/1000</f>
        <v>5745.9229999999998</v>
      </c>
      <c r="S30" s="59">
        <f t="shared" si="4"/>
        <v>-2676.0969999999998</v>
      </c>
      <c r="T30" s="53">
        <f>+IFERROR(HLOOKUP($B30,'[1]9월누계'!$D$6:$BN$259,21,),)/1000</f>
        <v>-191.74050994098104</v>
      </c>
      <c r="U30" s="58">
        <f>+IFERROR(HLOOKUP($C30,'[2]9월누계'!$F$6:$CP$99,21,),)/1000</f>
        <v>-1162.3448219299996</v>
      </c>
      <c r="V30" s="47">
        <f t="shared" si="5"/>
        <v>-970.60431198901858</v>
      </c>
      <c r="W30" s="47">
        <f>+IFERROR(HLOOKUP($C30,'[3]9월누계'!$F$6:$CC$57,21,),)/1000</f>
        <v>-186.63275386999899</v>
      </c>
      <c r="X30" s="59">
        <f t="shared" si="6"/>
        <v>-975.71206806000066</v>
      </c>
      <c r="Y30" s="266" t="s">
        <v>198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44" s="3" customFormat="1" ht="22.5" customHeight="1" x14ac:dyDescent="0.3">
      <c r="G31" s="338"/>
      <c r="H31" s="134" t="s">
        <v>33</v>
      </c>
      <c r="I31" s="135"/>
      <c r="J31" s="136">
        <f>SUM(J28:J30)</f>
        <v>863.24608685344447</v>
      </c>
      <c r="K31" s="140">
        <f>SUM(K28:K30)</f>
        <v>583.44299999999998</v>
      </c>
      <c r="L31" s="138">
        <f t="shared" si="0"/>
        <v>-279.80308685344448</v>
      </c>
      <c r="M31" s="138">
        <f>SUM(M28:M30)</f>
        <v>654.21499999999992</v>
      </c>
      <c r="N31" s="139">
        <f t="shared" si="2"/>
        <v>-70.771999999999935</v>
      </c>
      <c r="O31" s="136">
        <f>SUM(O28:O30)</f>
        <v>15946.555164283413</v>
      </c>
      <c r="P31" s="140">
        <f>SUM(P28:P30)</f>
        <v>12077.289000000001</v>
      </c>
      <c r="Q31" s="138">
        <f t="shared" si="3"/>
        <v>-3869.2661642834119</v>
      </c>
      <c r="R31" s="138">
        <f>SUM(R28:R30)</f>
        <v>13129.78558</v>
      </c>
      <c r="S31" s="139">
        <f t="shared" si="4"/>
        <v>-1052.4965799999991</v>
      </c>
      <c r="T31" s="136">
        <f>SUM(T28:T30)</f>
        <v>1514.3590021385112</v>
      </c>
      <c r="U31" s="140">
        <f>SUM(U28:U30)</f>
        <v>-703.90961934529855</v>
      </c>
      <c r="V31" s="138">
        <f t="shared" si="5"/>
        <v>-2218.2686214838095</v>
      </c>
      <c r="W31" s="138">
        <f>SUM(W28:W30)</f>
        <v>145.96259835904826</v>
      </c>
      <c r="X31" s="139">
        <f t="shared" si="6"/>
        <v>-849.87221770434678</v>
      </c>
      <c r="Y31" s="482" t="s">
        <v>226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18"/>
      <c r="AJ31" s="333"/>
    </row>
    <row r="32" spans="2:44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(IFERROR(HLOOKUP($B32,'[1]9월누계'!$D$6:$BN$259,3,),)++IFERROR(HLOOKUP($C32,'[1]9월누계'!$D$6:$BN$259,3,),)+IFERROR(HLOOKUP($D32,'[1]9월누계'!$D$6:$BN$259,3,),))/1000</f>
        <v>672.52</v>
      </c>
      <c r="P32" s="46">
        <f>+IFERROR(HLOOKUP($E32,'[2]9월누계'!$F$6:$CP$99,3,),)/1000</f>
        <v>507.56</v>
      </c>
      <c r="Q32" s="48">
        <f t="shared" si="3"/>
        <v>-164.95999999999998</v>
      </c>
      <c r="R32" s="47">
        <f>+IFERROR(HLOOKUP($E32,'[3]9월누계'!$F$6:$CC$57,3,),)/1000</f>
        <v>817.56</v>
      </c>
      <c r="S32" s="59">
        <f t="shared" si="4"/>
        <v>-309.99999999999994</v>
      </c>
      <c r="T32" s="45">
        <f>(IFERROR(HLOOKUP($B32,'[1]9월누계'!$D$6:$BN$259,21,),)++IFERROR(HLOOKUP($C32,'[1]9월누계'!$D$6:$BN$259,21,),)+IFERROR(HLOOKUP($D32,'[1]9월누계'!$D$6:$BN$259,21,),))/1000</f>
        <v>463.57074699999998</v>
      </c>
      <c r="U32" s="46">
        <f>+IFERROR(HLOOKUP($E32,'[2]9월누계'!$F$6:$CP$99,16,),)/1000</f>
        <v>278.12364200000002</v>
      </c>
      <c r="V32" s="48">
        <f t="shared" si="5"/>
        <v>-185.44710499999997</v>
      </c>
      <c r="W32" s="47">
        <f>+IFERROR(HLOOKUP($E32,'[3]9월누계'!$F$6:$CC$57,16,),)/1000</f>
        <v>556.78798500000005</v>
      </c>
      <c r="X32" s="59">
        <f t="shared" si="6"/>
        <v>-278.66434300000003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333"/>
      <c r="AK32" s="229"/>
      <c r="AL32" s="229"/>
      <c r="AM32" s="229"/>
      <c r="AN32" s="229"/>
      <c r="AO32" s="229"/>
      <c r="AP32" s="229"/>
      <c r="AQ32" s="229"/>
      <c r="AR32" s="50"/>
    </row>
    <row r="33" spans="2:44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9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0">+K33-M33</f>
        <v>0</v>
      </c>
      <c r="O33" s="45">
        <f>(+IFERROR(HLOOKUP($B33,'[1]9월누계'!$D$6:$BN$259,3,),)+IFERROR(HLOOKUP($C33,'[1]9월누계'!$D$6:$BN$259,3,),))/1000</f>
        <v>668.02350000000001</v>
      </c>
      <c r="P33" s="46">
        <f>+IFERROR(HLOOKUP($E33,'[2]9월누계'!$F$6:$CP$99,3,),)/1000</f>
        <v>663.18566500000009</v>
      </c>
      <c r="Q33" s="48">
        <f>+P33-O33</f>
        <v>-4.8378349999999273</v>
      </c>
      <c r="R33" s="47">
        <f>+IFERROR(HLOOKUP($E33,'[3]9월누계'!$F$6:$CC$57,3,),)/1000</f>
        <v>656.6491410000001</v>
      </c>
      <c r="S33" s="59">
        <f t="shared" si="4"/>
        <v>6.5365239999999858</v>
      </c>
      <c r="T33" s="45">
        <f>(+IFERROR(HLOOKUP($B33,'[1]9월누계'!$D$6:$BN$259,21,),)+IFERROR(HLOOKUP($C33,'[1]9월누계'!$D$6:$BN$259,21,),))/1000</f>
        <v>614.58583199999998</v>
      </c>
      <c r="U33" s="46">
        <f>+IFERROR(HLOOKUP($E33,'[2]9월누계'!$F$6:$CP$99,16,),)/1000</f>
        <v>609.53101500000014</v>
      </c>
      <c r="V33" s="48">
        <f t="shared" si="5"/>
        <v>-5.0548169999998436</v>
      </c>
      <c r="W33" s="47">
        <f>+IFERROR(HLOOKUP($E33,'[3]9월누계'!$F$6:$CC$57,16,),)/1000</f>
        <v>603.40156600000012</v>
      </c>
      <c r="X33" s="59">
        <f t="shared" si="6"/>
        <v>6.1294490000000224</v>
      </c>
      <c r="Y33" s="479" t="s">
        <v>201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333"/>
      <c r="AK33" s="229"/>
      <c r="AL33" s="229"/>
      <c r="AM33" s="229"/>
      <c r="AN33" s="229"/>
      <c r="AO33" s="229"/>
      <c r="AP33" s="229"/>
      <c r="AQ33" s="229"/>
      <c r="AR33" s="50"/>
    </row>
    <row r="34" spans="2:44" s="8" customFormat="1" ht="22.5" customHeight="1" x14ac:dyDescent="0.3">
      <c r="B34" s="8" t="s">
        <v>122</v>
      </c>
      <c r="D34"/>
      <c r="E34"/>
      <c r="F34"/>
      <c r="G34" s="334" t="str">
        <f t="shared" si="9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0"/>
        <v>0</v>
      </c>
      <c r="O34" s="45"/>
      <c r="P34" s="46"/>
      <c r="Q34" s="48">
        <f>+P34-O34</f>
        <v>0</v>
      </c>
      <c r="R34" s="47"/>
      <c r="S34" s="59">
        <f t="shared" si="4"/>
        <v>0</v>
      </c>
      <c r="T34" s="45">
        <f>-'[1]9월누계'!$Z$22/1000</f>
        <v>-13933.983613111202</v>
      </c>
      <c r="U34" s="46">
        <f>+-'[2]9월누계'!$Z$22/1000</f>
        <v>-14172.401834705126</v>
      </c>
      <c r="V34" s="48">
        <f t="shared" si="5"/>
        <v>-238.41822159392359</v>
      </c>
      <c r="W34" s="47">
        <f>+-'[3]9월누계'!$Z$22/1000</f>
        <v>-12891.838653357487</v>
      </c>
      <c r="X34" s="59">
        <f t="shared" si="6"/>
        <v>-1280.5631813476393</v>
      </c>
      <c r="Y34" s="266" t="s">
        <v>165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333"/>
      <c r="AK34" s="234"/>
      <c r="AL34" s="86"/>
    </row>
    <row r="35" spans="2:44" s="8" customFormat="1" ht="22.5" customHeight="1" x14ac:dyDescent="0.3">
      <c r="D35"/>
      <c r="E35"/>
      <c r="F35"/>
      <c r="G35" s="334" t="str">
        <f t="shared" si="9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0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/>
      <c r="U35" s="46">
        <f>'[2]9월누계'!$BD$26/1000</f>
        <v>0</v>
      </c>
      <c r="V35" s="48">
        <f t="shared" si="5"/>
        <v>0</v>
      </c>
      <c r="W35" s="47">
        <f>'[3]9월누계'!$BD$26/1000</f>
        <v>500</v>
      </c>
      <c r="X35" s="59">
        <f t="shared" si="6"/>
        <v>-500</v>
      </c>
      <c r="Y35" s="266" t="s">
        <v>199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333"/>
      <c r="AK35" s="86"/>
      <c r="AL35" s="86"/>
    </row>
    <row r="36" spans="2:44" s="8" customFormat="1" ht="22.5" customHeight="1" x14ac:dyDescent="0.3">
      <c r="D36"/>
      <c r="E36"/>
      <c r="F36"/>
      <c r="G36" s="334" t="str">
        <f t="shared" si="9"/>
        <v>대손</v>
      </c>
      <c r="H36" s="81"/>
      <c r="I36" s="82" t="s">
        <v>96</v>
      </c>
      <c r="J36" s="45"/>
      <c r="K36" s="46"/>
      <c r="L36" s="48"/>
      <c r="M36" s="47"/>
      <c r="N36" s="59">
        <f t="shared" si="10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'[2]9월누계'!$BE$26/1000</f>
        <v>-1243.0000719999998</v>
      </c>
      <c r="V36" s="48">
        <f t="shared" si="5"/>
        <v>-1243.0000719999998</v>
      </c>
      <c r="W36" s="47">
        <f>'[3]9월누계'!$BE$26/1000</f>
        <v>-573.85933299999999</v>
      </c>
      <c r="X36" s="59">
        <f t="shared" si="6"/>
        <v>-669.14073899999983</v>
      </c>
      <c r="Y36" s="266" t="s">
        <v>200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333"/>
      <c r="AK36" s="86"/>
      <c r="AL36" s="86"/>
    </row>
    <row r="37" spans="2:44" s="8" customFormat="1" ht="22.5" customHeight="1" x14ac:dyDescent="0.3">
      <c r="D37"/>
      <c r="E37"/>
      <c r="F37"/>
      <c r="G37" s="334" t="str">
        <f t="shared" si="9"/>
        <v>미운영 공장</v>
      </c>
      <c r="H37" s="81"/>
      <c r="I37" s="82" t="s">
        <v>112</v>
      </c>
      <c r="J37" s="45"/>
      <c r="K37" s="46"/>
      <c r="L37" s="48"/>
      <c r="M37" s="47"/>
      <c r="N37" s="59"/>
      <c r="O37" s="45"/>
      <c r="P37" s="46"/>
      <c r="Q37" s="48">
        <f>+P37-O37</f>
        <v>0</v>
      </c>
      <c r="R37" s="47">
        <f>+IFERROR(HLOOKUP($I$37,'[3]9월누계'!$F$6:$BJ$50,3,),)/1000</f>
        <v>0</v>
      </c>
      <c r="S37" s="59">
        <f t="shared" si="4"/>
        <v>0</v>
      </c>
      <c r="T37" s="45">
        <f>SUM('[1]9월누계'!$AM$26:$AQ$26)/1000</f>
        <v>-252.74784300000002</v>
      </c>
      <c r="U37" s="46">
        <f>+'[2]9월누계'!$BF$26/1000</f>
        <v>-252.00262299999997</v>
      </c>
      <c r="V37" s="48">
        <f t="shared" si="5"/>
        <v>0.74522000000004596</v>
      </c>
      <c r="W37" s="47">
        <f>+'[3]9월누계'!$BF$26/1000</f>
        <v>-339.52040299999993</v>
      </c>
      <c r="X37" s="59">
        <f>+U37-W37</f>
        <v>87.517779999999959</v>
      </c>
      <c r="Y37" s="266"/>
      <c r="Z37" s="491"/>
      <c r="AA37" s="229"/>
      <c r="AB37" s="229"/>
      <c r="AC37" s="229"/>
      <c r="AD37" s="229"/>
      <c r="AE37" s="229"/>
      <c r="AF37" s="229"/>
      <c r="AG37" s="50"/>
      <c r="AH37" s="17"/>
      <c r="AI37" s="18"/>
      <c r="AJ37" s="333"/>
      <c r="AK37" s="86"/>
      <c r="AL37" s="86"/>
    </row>
    <row r="38" spans="2:44" s="8" customFormat="1" ht="22.5" customHeight="1" x14ac:dyDescent="0.3">
      <c r="B38" t="s">
        <v>30</v>
      </c>
      <c r="D38"/>
      <c r="G38" s="334" t="str">
        <f t="shared" si="9"/>
        <v>퇴직위로금</v>
      </c>
      <c r="H38" s="81"/>
      <c r="I38" s="82" t="s">
        <v>162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+'[2]9월누계'!$BG$26/1000</f>
        <v>-759.34318890999998</v>
      </c>
      <c r="V38" s="48">
        <f t="shared" si="5"/>
        <v>-759.34318890999998</v>
      </c>
      <c r="W38" s="47"/>
      <c r="X38" s="59">
        <f>+U38-W38</f>
        <v>-759.34318890999998</v>
      </c>
      <c r="Y38" s="479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333"/>
    </row>
    <row r="39" spans="2:44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IFERROR(HLOOKUP($B38,'[1]9월누계'!$D$6:$BN$259,3,),)/1000</f>
        <v>15.93</v>
      </c>
      <c r="P39" s="46">
        <f>+('[2]9월누계'!$F$8-SUM('[2]9월누계'!$Z$8,'[2]9월누계'!$AH$8,'[2]9월누계'!$AN$8,'[2]9월누계'!$AO$8,'[2]9월누계'!$BA$8,'[2]9월누계'!$BD$8,'[2]9월누계'!$BE$8,'[2]9월누계'!$BF$8))/1000</f>
        <v>15.139550000011921</v>
      </c>
      <c r="Q39" s="54">
        <f>+P39-O39</f>
        <v>-0.79044999998807874</v>
      </c>
      <c r="R39" s="60">
        <f>+('[3]9월누계'!$F$8-SUM('[3]9월누계'!$Z$8,'[3]9월누계'!$AH$8,'[3]9월누계'!$AN$8,'[3]9월누계'!$AO$8,'[3]9월누계'!$BA$8,'[3]9월누계'!$BD$8,'[3]9월누계'!$BE$8,'[3]9월누계'!$BF$8))/1000</f>
        <v>15.666199999988079</v>
      </c>
      <c r="S39" s="61">
        <f>+P39-R39</f>
        <v>-0.5266499999761578</v>
      </c>
      <c r="T39" s="45">
        <f>+('[1]9월누계'!$E$26-'[1]9월누계'!$Z$26-'[1]9월누계'!$AA$26-'[1]9월누계'!$AE$26-'[1]9월누계'!$AL$26-'[1]9월누계'!$AM$26-'[1]9월누계'!$AN$26-'[1]9월누계'!$AO$26-'[1]9월누계'!$AP$26-'[1]9월누계'!$AQ$26-'[1]9월누계'!$AS$26)/1000+'[1]9월누계'!$AS$26/1000</f>
        <v>-599.7066520000019</v>
      </c>
      <c r="U39" s="46">
        <f>+('[2]9월누계'!$F$26-SUM('[2]9월누계'!$Z$26,'[2]9월누계'!$AH$26,'[2]9월누계'!$AN$26,'[2]9월누계'!$AO$26,'[2]9월누계'!$BA$26,'[2]9월누계'!$BD$26,'[2]9월누계'!$BE$26,'[2]9월누계'!$BF$26))/1000-U38</f>
        <v>-67.933380999897622</v>
      </c>
      <c r="V39" s="48">
        <f>+U39-T39</f>
        <v>531.77327100010427</v>
      </c>
      <c r="W39" s="60">
        <f>+('[3]9월누계'!$F$26-SUM('[3]9월누계'!$Z$26,'[3]9월누계'!$AH$26,'[3]9월누계'!$AN$26,'[3]9월누계'!$AO$26,'[3]9월누계'!$BA$26,'[3]9월누계'!$BD$26,'[3]9월누계'!$BE$26,'[3]9월누계'!$BF$26))/1000</f>
        <v>-199.43228099998831</v>
      </c>
      <c r="X39" s="59">
        <f>+U39-W39</f>
        <v>131.49890000009069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30"/>
      <c r="AI39" s="18"/>
      <c r="AJ39" s="333"/>
    </row>
    <row r="40" spans="2:44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0"/>
        <v>0</v>
      </c>
      <c r="O40" s="136">
        <f>SUM(O32:O39)</f>
        <v>1356.4735000000001</v>
      </c>
      <c r="P40" s="137">
        <f>SUM(P32:P39)</f>
        <v>1185.8852150000121</v>
      </c>
      <c r="Q40" s="141">
        <f t="shared" si="3"/>
        <v>-170.58828499998799</v>
      </c>
      <c r="R40" s="142">
        <f>SUM(R32:R39)</f>
        <v>1489.8753409999881</v>
      </c>
      <c r="S40" s="143">
        <f>+P40-R40</f>
        <v>-303.99012599997604</v>
      </c>
      <c r="T40" s="136">
        <f>SUM(T32:T39)</f>
        <v>-13708.281529111204</v>
      </c>
      <c r="U40" s="137">
        <f>SUM(U32:U39)</f>
        <v>-15607.026442615021</v>
      </c>
      <c r="V40" s="141">
        <f>+U40-T40</f>
        <v>-1898.7449135038169</v>
      </c>
      <c r="W40" s="142">
        <f>SUM(W32:W39)</f>
        <v>-12344.461119357476</v>
      </c>
      <c r="X40" s="143">
        <f>+U40-W40</f>
        <v>-3262.5653232575442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I40" s="18"/>
      <c r="AJ40" s="333"/>
    </row>
    <row r="41" spans="2:44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I41" s="18"/>
      <c r="AJ41" s="333"/>
    </row>
    <row r="42" spans="2:44" s="3" customFormat="1" ht="22.5" customHeight="1" x14ac:dyDescent="0.3">
      <c r="G42" s="339">
        <f>+P42/O42</f>
        <v>0.83679371872687736</v>
      </c>
      <c r="H42" s="277" t="s">
        <v>32</v>
      </c>
      <c r="I42" s="278"/>
      <c r="J42" s="290"/>
      <c r="K42" s="291"/>
      <c r="L42" s="291"/>
      <c r="M42" s="291"/>
      <c r="N42" s="292"/>
      <c r="O42" s="279">
        <f>+O27+O31+O40</f>
        <v>263053.64262879454</v>
      </c>
      <c r="P42" s="279">
        <f>+P27+P31+P40</f>
        <v>220121.63584</v>
      </c>
      <c r="Q42" s="281">
        <f t="shared" si="3"/>
        <v>-42932.006788794533</v>
      </c>
      <c r="R42" s="279">
        <f>+R27+R31+R40</f>
        <v>270413.97010699997</v>
      </c>
      <c r="S42" s="283">
        <f>+P42-R42</f>
        <v>-50292.334266999969</v>
      </c>
      <c r="T42" s="279">
        <f>+T27+T31+T40</f>
        <v>10343.823496663297</v>
      </c>
      <c r="U42" s="279">
        <f>+U27+U31+U40</f>
        <v>-5670.462465950317</v>
      </c>
      <c r="V42" s="281">
        <f>+U42-T42</f>
        <v>-16014.285962613614</v>
      </c>
      <c r="W42" s="279">
        <f>+W27+W31+W40</f>
        <v>15933.366781011582</v>
      </c>
      <c r="X42" s="283">
        <f>+U42-W42</f>
        <v>-21603.829246961897</v>
      </c>
      <c r="Y42" s="648"/>
      <c r="Z42" s="649"/>
      <c r="AA42" s="649"/>
      <c r="AB42" s="649"/>
      <c r="AC42" s="649"/>
      <c r="AD42" s="649"/>
      <c r="AE42" s="649"/>
      <c r="AF42" s="649"/>
      <c r="AG42" s="650"/>
      <c r="AH42" s="25"/>
    </row>
    <row r="43" spans="2:44" s="33" customFormat="1" x14ac:dyDescent="0.3">
      <c r="G43" s="336">
        <f>+U42/T42</f>
        <v>-0.54819791422190167</v>
      </c>
      <c r="K43" s="295"/>
      <c r="L43" s="295"/>
      <c r="M43" s="295"/>
      <c r="P43" s="295">
        <f>+P42/O42</f>
        <v>0.83679371872687736</v>
      </c>
      <c r="R43" s="295">
        <f>+P42/R42</f>
        <v>0.81401724826901578</v>
      </c>
      <c r="T43" s="295">
        <f>+T42/O42</f>
        <v>3.9322107055023293E-2</v>
      </c>
      <c r="U43" s="295">
        <f>+U42/P42</f>
        <v>-2.5760586615265802E-2</v>
      </c>
      <c r="V43" s="33">
        <f>+V42/100</f>
        <v>-160.14285962613613</v>
      </c>
      <c r="X43" s="33">
        <f>+X42/100</f>
        <v>-216.03829246961897</v>
      </c>
      <c r="AC43" s="34"/>
      <c r="AF43" s="34"/>
    </row>
    <row r="44" spans="2:44" s="33" customFormat="1" ht="17.25" thickBot="1" x14ac:dyDescent="0.35">
      <c r="G44" s="340"/>
      <c r="K44" s="295">
        <f>+K31/J31</f>
        <v>0.67587100467106154</v>
      </c>
      <c r="L44" s="295"/>
      <c r="M44" s="295">
        <f>+K31/M31</f>
        <v>0.89182149599137905</v>
      </c>
      <c r="AC44" s="34"/>
      <c r="AF44" s="34"/>
    </row>
    <row r="45" spans="2:44" s="33" customFormat="1" x14ac:dyDescent="0.3">
      <c r="G45" s="340"/>
      <c r="I45" s="645" t="s">
        <v>82</v>
      </c>
      <c r="J45" s="126">
        <f>+'[1]9월누계'!$Z$7/1000</f>
        <v>2438.5</v>
      </c>
      <c r="K45" s="127">
        <f>+'[2]9월누계'!$AI$7/1000</f>
        <v>2103.4088200000001</v>
      </c>
      <c r="L45" s="127"/>
      <c r="M45" s="127">
        <f>+'[3]9월누계'!$Z$7/1000</f>
        <v>2528.7134999999998</v>
      </c>
      <c r="N45" s="127"/>
      <c r="O45" s="127">
        <f>('[1]9월누계'!$E$8-'[1]9월누계'!$AA$8)/1000</f>
        <v>263053.64262879454</v>
      </c>
      <c r="P45" s="127">
        <f>('[2]9월누계'!$F$8-'[2]9월누계'!$AO$8)/1000</f>
        <v>220121.63584000009</v>
      </c>
      <c r="Q45" s="127"/>
      <c r="R45" s="127">
        <f>('[3]9월누계'!$F$8-'[3]9월누계'!$AO$8)/1000</f>
        <v>270413.97010699991</v>
      </c>
      <c r="S45" s="127"/>
      <c r="T45" s="132">
        <f>('[1]9월누계'!$E$26-'[1]9월누계'!$AA$26)/1000</f>
        <v>10343.823496663303</v>
      </c>
      <c r="U45" s="127">
        <f>('[2]9월누계'!$F$26-'[2]9월누계'!$AO$26)/1000</f>
        <v>-5670.4624659503188</v>
      </c>
      <c r="V45" s="127"/>
      <c r="W45" s="127">
        <f>('[3]9월누계'!$F$26-'[3]9월누계'!$AO$26)/1000</f>
        <v>15933.366781011575</v>
      </c>
      <c r="X45" s="128"/>
      <c r="AC45" s="34"/>
      <c r="AF45" s="34"/>
    </row>
    <row r="46" spans="2:44" s="33" customFormat="1" ht="17.25" thickBot="1" x14ac:dyDescent="0.35">
      <c r="G46" s="340"/>
      <c r="I46" s="645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0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</row>
    <row r="48" spans="2:44" x14ac:dyDescent="0.3">
      <c r="T48" s="236">
        <f>+(T27+T34)/100</f>
        <v>86.037624105247886</v>
      </c>
      <c r="U48" s="236">
        <f>+(U27+U34)/100</f>
        <v>-35.319282386951237</v>
      </c>
      <c r="V48" s="236">
        <f>+U48-T48</f>
        <v>-121.35690649219913</v>
      </c>
    </row>
    <row r="49" spans="20:22" x14ac:dyDescent="0.3">
      <c r="T49" s="236">
        <f>+T31/100</f>
        <v>15.143590021385112</v>
      </c>
      <c r="U49" s="236">
        <f>+U31/100</f>
        <v>-7.0390961934529859</v>
      </c>
      <c r="V49" s="236">
        <f>+U49-T49</f>
        <v>-22.1826862148381</v>
      </c>
    </row>
    <row r="50" spans="20:22" x14ac:dyDescent="0.3">
      <c r="T50" s="6">
        <f>+(T32+T33)/100</f>
        <v>10.78156579</v>
      </c>
      <c r="U50" s="6">
        <f>+(U32+U33)/100</f>
        <v>8.8765465700000021</v>
      </c>
      <c r="V50" s="294">
        <f>+U50-T50</f>
        <v>-1.905019219999998</v>
      </c>
    </row>
    <row r="51" spans="20:22" x14ac:dyDescent="0.3">
      <c r="T51" s="6">
        <f>+T42/100-T48-T49-T50</f>
        <v>-8.5245449500000223</v>
      </c>
      <c r="U51" s="600">
        <f>+U42/100-U48-U49-U50</f>
        <v>-23.222792649098949</v>
      </c>
      <c r="V51" s="294">
        <f>+U51-T51</f>
        <v>-14.698247699098927</v>
      </c>
    </row>
    <row r="52" spans="20:22" x14ac:dyDescent="0.3">
      <c r="T52" s="236">
        <f>+SUM(T48:T51)</f>
        <v>103.43823496663298</v>
      </c>
      <c r="U52" s="236">
        <f>+SUM(U48:U51)</f>
        <v>-56.704624659503168</v>
      </c>
      <c r="V52" s="236">
        <f>+U52-T52</f>
        <v>-160.14285962613616</v>
      </c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A1:Z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214</v>
      </c>
      <c r="F4" s="398"/>
      <c r="I4" s="398"/>
      <c r="J4" s="398"/>
    </row>
    <row r="5" spans="1:26" ht="21.95" customHeight="1" x14ac:dyDescent="0.3">
      <c r="W5" s="397" t="s">
        <v>140</v>
      </c>
    </row>
    <row r="6" spans="1:26" ht="24" customHeight="1" thickBot="1" x14ac:dyDescent="0.35">
      <c r="A6" s="6" t="s">
        <v>139</v>
      </c>
      <c r="D6" s="651" t="s">
        <v>11</v>
      </c>
      <c r="E6" s="396" t="s">
        <v>138</v>
      </c>
      <c r="F6" s="395"/>
      <c r="G6" s="394"/>
      <c r="H6" s="396" t="s">
        <v>137</v>
      </c>
      <c r="I6" s="395"/>
      <c r="J6" s="395"/>
      <c r="K6" s="394"/>
      <c r="L6" s="396" t="s">
        <v>136</v>
      </c>
      <c r="M6" s="395"/>
      <c r="N6" s="395"/>
      <c r="O6" s="394"/>
      <c r="P6" s="396" t="s">
        <v>135</v>
      </c>
      <c r="Q6" s="395"/>
      <c r="R6" s="395"/>
      <c r="S6" s="394"/>
      <c r="T6" s="396" t="s">
        <v>134</v>
      </c>
      <c r="U6" s="395"/>
      <c r="V6" s="395"/>
      <c r="W6" s="394"/>
    </row>
    <row r="7" spans="1:26" ht="24" customHeight="1" x14ac:dyDescent="0.3">
      <c r="D7" s="652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133</v>
      </c>
      <c r="L7" s="392" t="s">
        <v>12</v>
      </c>
      <c r="M7" s="391" t="s">
        <v>13</v>
      </c>
      <c r="N7" s="390" t="s">
        <v>38</v>
      </c>
      <c r="O7" s="389" t="s">
        <v>133</v>
      </c>
      <c r="P7" s="392" t="s">
        <v>12</v>
      </c>
      <c r="Q7" s="391" t="s">
        <v>13</v>
      </c>
      <c r="R7" s="390" t="s">
        <v>38</v>
      </c>
      <c r="S7" s="389" t="s">
        <v>133</v>
      </c>
      <c r="T7" s="392" t="s">
        <v>12</v>
      </c>
      <c r="U7" s="391" t="s">
        <v>13</v>
      </c>
      <c r="V7" s="390" t="s">
        <v>38</v>
      </c>
      <c r="W7" s="389" t="s">
        <v>133</v>
      </c>
    </row>
    <row r="8" spans="1:26" ht="24" customHeight="1" x14ac:dyDescent="0.3">
      <c r="D8" s="388" t="s">
        <v>32</v>
      </c>
      <c r="E8" s="386">
        <f>+[4]합계!$H$86/1000</f>
        <v>3554.6274791329024</v>
      </c>
      <c r="F8" s="385">
        <f>+[4]합계!$I$86/1000</f>
        <v>978.69211799999766</v>
      </c>
      <c r="G8" s="384">
        <f t="shared" ref="G8:G28" si="0">+F8-E8</f>
        <v>-2575.9353611329047</v>
      </c>
      <c r="H8" s="386">
        <f>+[4]합계!$T$5/1000</f>
        <v>300</v>
      </c>
      <c r="I8" s="385">
        <f>+[4]합계!$U$5/1000</f>
        <v>250.34100000000001</v>
      </c>
      <c r="J8" s="384">
        <f t="shared" ref="J8:J28" si="1">+I8-H8</f>
        <v>-49.658999999999992</v>
      </c>
      <c r="K8" s="387">
        <f>+[4]합계!$M$86/1000</f>
        <v>-781.4003956046347</v>
      </c>
      <c r="L8" s="386">
        <f>+[4]합계!$Q$85</f>
        <v>101901.72440560866</v>
      </c>
      <c r="M8" s="385">
        <f>+[4]합계!$R$85</f>
        <v>97987.042142871491</v>
      </c>
      <c r="N8" s="384">
        <f t="shared" ref="N8:N28" si="2">+M8-L8</f>
        <v>-3914.682262737173</v>
      </c>
      <c r="O8" s="387">
        <f>+[4]합계!$K$86/1000</f>
        <v>-975.16692505914341</v>
      </c>
      <c r="P8" s="386">
        <f>+[4]합계!$Q$50</f>
        <v>86561.105570661544</v>
      </c>
      <c r="Q8" s="385">
        <f>+[4]합계!$R$50</f>
        <v>89434.878787149952</v>
      </c>
      <c r="R8" s="384">
        <f t="shared" ref="R8:R28" si="3">+Q8-P8</f>
        <v>2873.7732164884073</v>
      </c>
      <c r="S8" s="387">
        <f>+[4]합계!$L$56/1000</f>
        <v>-645.21392815036165</v>
      </c>
      <c r="T8" s="386">
        <f>+([4]합계!$H$80+[4]합계!$H$85)/1000</f>
        <v>1047.5581713512345</v>
      </c>
      <c r="U8" s="385">
        <f>+([4]합계!$I$80+[4]합계!$I$85)/1000</f>
        <v>1221.71228367</v>
      </c>
      <c r="V8" s="384">
        <f t="shared" ref="V8:V28" si="4">+U8-T8</f>
        <v>174.15411231876556</v>
      </c>
      <c r="W8" s="383">
        <f>+([4]합계!$L$80+[4]합계!$L$85)/1000</f>
        <v>-174.1541123187655</v>
      </c>
      <c r="Y8" s="6">
        <f t="shared" ref="Y8:Y28" si="5">+G8-K8-O8-S8-W8</f>
        <v>5.1159076974727213E-13</v>
      </c>
      <c r="Z8" s="6">
        <f t="shared" ref="Z8:Z28" si="6">+Y8*1000000</f>
        <v>5.1159076974727213E-7</v>
      </c>
    </row>
    <row r="9" spans="1:26" ht="24" customHeight="1" x14ac:dyDescent="0.3">
      <c r="D9" s="382" t="s">
        <v>16</v>
      </c>
      <c r="E9" s="381">
        <f>+[4]수도권!$H$86/1000</f>
        <v>1155.2460981348206</v>
      </c>
      <c r="F9" s="380">
        <f>+[4]수도권!$I$86/1000</f>
        <v>63.243236999998871</v>
      </c>
      <c r="G9" s="379">
        <f t="shared" si="0"/>
        <v>-1092.0028611348218</v>
      </c>
      <c r="H9" s="381">
        <f>+[4]수도권!$T$5/1000</f>
        <v>113</v>
      </c>
      <c r="I9" s="380">
        <f>+[4]수도권!$U$5/1000</f>
        <v>88.903000000000006</v>
      </c>
      <c r="J9" s="379">
        <f t="shared" si="1"/>
        <v>-24.096999999999994</v>
      </c>
      <c r="K9" s="378">
        <f>+[4]수도권!$M$86/1000</f>
        <v>-323.40069071131524</v>
      </c>
      <c r="L9" s="381">
        <f>+[4]수도권!$Q$85</f>
        <v>100156.13336246088</v>
      </c>
      <c r="M9" s="380">
        <f>+[4]수도권!$R$85</f>
        <v>95819.565702643042</v>
      </c>
      <c r="N9" s="379">
        <f t="shared" si="2"/>
        <v>-4336.5676598178397</v>
      </c>
      <c r="O9" s="378">
        <f>+[4]수도권!$K$86/1000</f>
        <v>-383.11406990660703</v>
      </c>
      <c r="P9" s="381">
        <f>+[4]수도권!$Q$50</f>
        <v>86966.934793760214</v>
      </c>
      <c r="Q9" s="380">
        <f>+[4]수도권!$R$50</f>
        <v>90735.833109047933</v>
      </c>
      <c r="R9" s="379">
        <f t="shared" si="3"/>
        <v>3768.898315287719</v>
      </c>
      <c r="S9" s="378">
        <f>+[4]수도권!$L$56/1000</f>
        <v>-332.81865387525647</v>
      </c>
      <c r="T9" s="381">
        <f>+([4]수도권!$H$80+[4]수도권!$H$85)/1000</f>
        <v>335.13334012835554</v>
      </c>
      <c r="U9" s="380">
        <f>+([4]수도권!$I$80+[4]수도권!$I$85)/1000</f>
        <v>387.80278677000007</v>
      </c>
      <c r="V9" s="379">
        <f t="shared" si="4"/>
        <v>52.669446641644527</v>
      </c>
      <c r="W9" s="378">
        <f>+([4]수도권!$L$80+[4]수도권!$L$85)/1000</f>
        <v>-52.669446641644434</v>
      </c>
      <c r="Y9" s="6">
        <f t="shared" si="5"/>
        <v>1.3855583347321954E-12</v>
      </c>
      <c r="Z9" s="6">
        <f t="shared" si="6"/>
        <v>1.3855583347321954E-6</v>
      </c>
    </row>
    <row r="10" spans="1:26" ht="24" customHeight="1" x14ac:dyDescent="0.3">
      <c r="D10" s="377" t="s">
        <v>17</v>
      </c>
      <c r="E10" s="376">
        <f>+[4]영남권!$H$86/1000</f>
        <v>1271.95982464247</v>
      </c>
      <c r="F10" s="375">
        <f>+[4]영남권!$I$86/1000</f>
        <v>522.80346000000145</v>
      </c>
      <c r="G10" s="374">
        <f t="shared" si="0"/>
        <v>-749.15636464246859</v>
      </c>
      <c r="H10" s="376">
        <f>+[4]영남권!$T$5/1000</f>
        <v>126</v>
      </c>
      <c r="I10" s="375">
        <f>+[4]영남권!$U$5/1000</f>
        <v>110.37</v>
      </c>
      <c r="J10" s="374">
        <f t="shared" si="1"/>
        <v>-15.629999999999995</v>
      </c>
      <c r="K10" s="373">
        <f>+[4]영남권!$M$86/1000</f>
        <v>-231.17741191214509</v>
      </c>
      <c r="L10" s="376">
        <f>+[4]영남권!$Q$85</f>
        <v>100736.67464384541</v>
      </c>
      <c r="M10" s="375">
        <f>+[4]영남권!$R$85</f>
        <v>98462.66845790144</v>
      </c>
      <c r="N10" s="374">
        <f t="shared" si="2"/>
        <v>-2274.0061859439738</v>
      </c>
      <c r="O10" s="373">
        <f>+[4]영남권!$K$86/1000</f>
        <v>-250.09520033011825</v>
      </c>
      <c r="P10" s="376">
        <f>+[4]영남권!$Q$50</f>
        <v>86609.308107506789</v>
      </c>
      <c r="Q10" s="375">
        <f>+[4]영남권!$R$50</f>
        <v>88782.938447296299</v>
      </c>
      <c r="R10" s="374">
        <f t="shared" si="3"/>
        <v>2173.6303397895099</v>
      </c>
      <c r="S10" s="373">
        <f>+[4]영남권!$L$56/1000</f>
        <v>-168.70032608640412</v>
      </c>
      <c r="T10" s="376">
        <f>+([4]영남권!$H$80+[4]영남권!$H$85)/1000</f>
        <v>508.08835893619806</v>
      </c>
      <c r="U10" s="375">
        <f>+([4]영남권!$I$80+[4]영남권!$I$85)/1000</f>
        <v>607.27178525000011</v>
      </c>
      <c r="V10" s="374">
        <f t="shared" si="4"/>
        <v>99.183426313802045</v>
      </c>
      <c r="W10" s="373">
        <f>+([4]영남권!$L$80+[4]영남권!$L$85)/1000</f>
        <v>-99.183426313801959</v>
      </c>
      <c r="Y10" s="6">
        <f t="shared" si="5"/>
        <v>8.2422957348171622E-13</v>
      </c>
      <c r="Z10" s="6">
        <f t="shared" si="6"/>
        <v>8.2422957348171622E-7</v>
      </c>
    </row>
    <row r="11" spans="1:26" ht="24" customHeight="1" x14ac:dyDescent="0.3">
      <c r="D11" s="372" t="s">
        <v>132</v>
      </c>
      <c r="E11" s="371">
        <f>+[4]중부권!$H$86/1000</f>
        <v>1127.4215563556188</v>
      </c>
      <c r="F11" s="370">
        <f>+[4]중부권!$I$86/1000</f>
        <v>392.64542100000006</v>
      </c>
      <c r="G11" s="369">
        <f t="shared" si="0"/>
        <v>-734.77613535561875</v>
      </c>
      <c r="H11" s="371">
        <f>+[4]중부권!$T$5/1000</f>
        <v>61</v>
      </c>
      <c r="I11" s="370">
        <f>+[4]중부권!$U$5/1000</f>
        <v>51.067999999999998</v>
      </c>
      <c r="J11" s="369">
        <f t="shared" si="1"/>
        <v>-9.9320000000000022</v>
      </c>
      <c r="K11" s="368">
        <f>+[4]중부권!$M$86/1000</f>
        <v>-220.68565004466043</v>
      </c>
      <c r="L11" s="371">
        <f>+[4]중부권!$Q$85</f>
        <v>107541.85650163934</v>
      </c>
      <c r="M11" s="370">
        <f>+[4]중부권!$R$85</f>
        <v>100727.81260338718</v>
      </c>
      <c r="N11" s="369">
        <f t="shared" si="2"/>
        <v>-6814.0438982521591</v>
      </c>
      <c r="O11" s="368">
        <f>+[4]중부권!$K$86/1000</f>
        <v>-346.01714915324465</v>
      </c>
      <c r="P11" s="371">
        <f>+[4]중부권!$Q$50</f>
        <v>85709.757671437721</v>
      </c>
      <c r="Q11" s="370">
        <f>+[4]중부권!$R$50</f>
        <v>88585.141334487023</v>
      </c>
      <c r="R11" s="369">
        <f t="shared" si="3"/>
        <v>2875.3836630493024</v>
      </c>
      <c r="S11" s="368">
        <f>+[4]중부권!$L$56/1000</f>
        <v>-145.77209679439309</v>
      </c>
      <c r="T11" s="371">
        <f>+([4]중부권!$H$80+[4]중부권!$H$85)/1000</f>
        <v>204.33647228668076</v>
      </c>
      <c r="U11" s="370">
        <f>+([4]중부권!$I$80+[4]중부권!$I$85)/1000</f>
        <v>226.63771165</v>
      </c>
      <c r="V11" s="369">
        <f t="shared" si="4"/>
        <v>22.30123936331924</v>
      </c>
      <c r="W11" s="368">
        <f>+([4]중부권!$L$80+[4]중부권!$L$85)/1000</f>
        <v>-22.301239363319254</v>
      </c>
      <c r="Y11" s="6">
        <f t="shared" si="5"/>
        <v>-1.3500311979441904E-12</v>
      </c>
      <c r="Z11" s="6">
        <f t="shared" si="6"/>
        <v>-1.3500311979441904E-6</v>
      </c>
    </row>
    <row r="12" spans="1:26" ht="24" customHeight="1" x14ac:dyDescent="0.3">
      <c r="D12" s="367" t="s">
        <v>18</v>
      </c>
      <c r="E12" s="365">
        <f>+[4]안양!$H$86/1000</f>
        <v>524.41266908205898</v>
      </c>
      <c r="F12" s="364">
        <f>+[4]안양!$I$86/1000</f>
        <v>252.54889800000035</v>
      </c>
      <c r="G12" s="366">
        <f t="shared" si="0"/>
        <v>-271.86377108205863</v>
      </c>
      <c r="H12" s="365">
        <f>+[4]안양!$T$5/1000</f>
        <v>41</v>
      </c>
      <c r="I12" s="364">
        <f>+[4]안양!$U$5/1000</f>
        <v>31.876999999999999</v>
      </c>
      <c r="J12" s="363">
        <f t="shared" si="1"/>
        <v>-9.1230000000000011</v>
      </c>
      <c r="K12" s="362">
        <f>+[4]안양!$M$86/1000</f>
        <v>-140.20802069852152</v>
      </c>
      <c r="L12" s="365">
        <f>+[4]안양!$Q$85</f>
        <v>101524.3948780488</v>
      </c>
      <c r="M12" s="364">
        <f>+[4]안양!$R$85</f>
        <v>98622.171955928046</v>
      </c>
      <c r="N12" s="363">
        <f t="shared" si="2"/>
        <v>-2902.2229221207526</v>
      </c>
      <c r="O12" s="362">
        <f>+[4]안양!$K$86/1000</f>
        <v>-92.456115630000809</v>
      </c>
      <c r="P12" s="365">
        <f>+[4]안양!$Q$50</f>
        <v>86180.435488513467</v>
      </c>
      <c r="Q12" s="364">
        <f>+[4]안양!$R$50</f>
        <v>87109.195832941099</v>
      </c>
      <c r="R12" s="363">
        <f t="shared" si="3"/>
        <v>928.76034442763194</v>
      </c>
      <c r="S12" s="362">
        <f>+[4]안양!$L$56/1000</f>
        <v>-29.656167102425915</v>
      </c>
      <c r="T12" s="365">
        <f>+([4]안양!$H$80+[4]안양!$H$85)/1000</f>
        <v>104.68966588888888</v>
      </c>
      <c r="U12" s="364">
        <f>+([4]안양!$I$80+[4]안양!$I$85)/1000</f>
        <v>114.23313354000001</v>
      </c>
      <c r="V12" s="363">
        <f t="shared" si="4"/>
        <v>9.5434676511111292</v>
      </c>
      <c r="W12" s="362">
        <f>+([4]안양!$L$80+[4]안양!$L$85)/1000</f>
        <v>-9.5434676511111203</v>
      </c>
      <c r="Y12" s="6">
        <f t="shared" si="5"/>
        <v>7.3363537467230344E-13</v>
      </c>
      <c r="Z12" s="6">
        <f t="shared" si="6"/>
        <v>7.3363537467230344E-7</v>
      </c>
    </row>
    <row r="13" spans="1:26" ht="24" customHeight="1" x14ac:dyDescent="0.3">
      <c r="D13" s="354" t="s">
        <v>19</v>
      </c>
      <c r="E13" s="351">
        <f>+[4]인천!$H$86/1000</f>
        <v>387.61290209828422</v>
      </c>
      <c r="F13" s="350">
        <f>+[4]인천!$I$86/1000</f>
        <v>-66.326553000000388</v>
      </c>
      <c r="G13" s="352">
        <f t="shared" si="0"/>
        <v>-453.93945509828461</v>
      </c>
      <c r="H13" s="351">
        <f>+[4]인천!$T$5/1000</f>
        <v>32</v>
      </c>
      <c r="I13" s="350">
        <f>+[4]인천!$U$5/1000</f>
        <v>30.29</v>
      </c>
      <c r="J13" s="152">
        <f t="shared" si="1"/>
        <v>-1.7100000000000009</v>
      </c>
      <c r="K13" s="349">
        <f>+[4]인천!$M$86/1000</f>
        <v>-26.249292508048558</v>
      </c>
      <c r="L13" s="351">
        <f>+[4]인천!$Q$85</f>
        <v>103707.95234868999</v>
      </c>
      <c r="M13" s="350">
        <f>+[4]인천!$R$85</f>
        <v>96088.332353912177</v>
      </c>
      <c r="N13" s="152">
        <f t="shared" si="2"/>
        <v>-7619.6199947778077</v>
      </c>
      <c r="O13" s="349">
        <f>+[4]인천!$K$86/1000</f>
        <v>-230.79828964181982</v>
      </c>
      <c r="P13" s="351">
        <f>+[4]인천!$Q$50</f>
        <v>88357.488893690825</v>
      </c>
      <c r="Q13" s="350">
        <f>+[4]인천!$R$50</f>
        <v>94307.209316115448</v>
      </c>
      <c r="R13" s="152">
        <f t="shared" si="3"/>
        <v>5949.7204224246234</v>
      </c>
      <c r="S13" s="349">
        <f>+[4]인천!$L$56/1000</f>
        <v>-180.21163074010536</v>
      </c>
      <c r="T13" s="351">
        <f>+([4]인천!$H$80+[4]인천!$H$85)/1000</f>
        <v>103.6019284616889</v>
      </c>
      <c r="U13" s="350">
        <f>+([4]인천!$I$80+[4]인천!$I$85)/1000</f>
        <v>120.28217067</v>
      </c>
      <c r="V13" s="152">
        <f t="shared" si="4"/>
        <v>16.6802422083111</v>
      </c>
      <c r="W13" s="349">
        <f>+([4]인천!$L$80+[4]인천!$L$85)/1000</f>
        <v>-16.6802422083111</v>
      </c>
      <c r="Y13" s="6">
        <f t="shared" si="5"/>
        <v>2.1316282072803006E-13</v>
      </c>
      <c r="Z13" s="6">
        <f t="shared" si="6"/>
        <v>2.1316282072803006E-7</v>
      </c>
    </row>
    <row r="14" spans="1:26" ht="24" customHeight="1" x14ac:dyDescent="0.3">
      <c r="D14" s="354" t="s">
        <v>20</v>
      </c>
      <c r="E14" s="351">
        <f>+[4]파주!$H$86/1000</f>
        <v>132.59525919306</v>
      </c>
      <c r="F14" s="350">
        <f>+[4]파주!$I$86/1000</f>
        <v>-43.489316000000009</v>
      </c>
      <c r="G14" s="352">
        <f t="shared" si="0"/>
        <v>-176.08457519306</v>
      </c>
      <c r="H14" s="351">
        <f>+[4]파주!$T$5/1000</f>
        <v>24</v>
      </c>
      <c r="I14" s="350">
        <f>+[4]파주!$U$5/1000</f>
        <v>16.448</v>
      </c>
      <c r="J14" s="152">
        <f t="shared" si="1"/>
        <v>-7.5519999999999996</v>
      </c>
      <c r="K14" s="349">
        <f>+[4]파주!$M$86/1000</f>
        <v>-66.700024138073786</v>
      </c>
      <c r="L14" s="351">
        <f>+[4]파주!$Q$85</f>
        <v>96393.268949999998</v>
      </c>
      <c r="M14" s="350">
        <f>+[4]파주!$R$85</f>
        <v>91863.06401491609</v>
      </c>
      <c r="N14" s="152">
        <f t="shared" si="2"/>
        <v>-4530.2049350839079</v>
      </c>
      <c r="O14" s="349">
        <f>+[4]파주!$K$86/1000</f>
        <v>-72.890997405500073</v>
      </c>
      <c r="P14" s="351">
        <f>+[4]파주!$Q$50</f>
        <v>87869.220386400295</v>
      </c>
      <c r="Q14" s="350">
        <f>+[4]파주!$R$50</f>
        <v>89248.123865755129</v>
      </c>
      <c r="R14" s="152">
        <f t="shared" si="3"/>
        <v>1378.9034793548344</v>
      </c>
      <c r="S14" s="349">
        <f>+[4]파주!$L$56/1000</f>
        <v>-22.186556042819671</v>
      </c>
      <c r="T14" s="351">
        <f>+([4]파주!$H$80+[4]파주!$H$85)/1000</f>
        <v>71.981906333333328</v>
      </c>
      <c r="U14" s="350">
        <f>+([4]파주!$I$80+[4]파주!$I$85)/1000</f>
        <v>86.288903939999997</v>
      </c>
      <c r="V14" s="152">
        <f t="shared" si="4"/>
        <v>14.30699760666667</v>
      </c>
      <c r="W14" s="349">
        <f>+([4]파주!$L$80+[4]파주!$L$85)/1000</f>
        <v>-14.306997606666668</v>
      </c>
      <c r="Y14" s="6">
        <f t="shared" si="5"/>
        <v>1.936228954946273E-13</v>
      </c>
      <c r="Z14" s="6">
        <f t="shared" si="6"/>
        <v>1.936228954946273E-7</v>
      </c>
    </row>
    <row r="15" spans="1:26" ht="24" customHeight="1" x14ac:dyDescent="0.3">
      <c r="D15" s="354" t="s">
        <v>108</v>
      </c>
      <c r="E15" s="351">
        <f>+[4]김포!$H$86/1000</f>
        <v>110.62526776141796</v>
      </c>
      <c r="F15" s="350">
        <f>+[4]김포!$I$86/1000</f>
        <v>-79.489791999999966</v>
      </c>
      <c r="G15" s="352">
        <f t="shared" si="0"/>
        <v>-190.11505976141791</v>
      </c>
      <c r="H15" s="351">
        <f>+[4]김포!$T$5/1000</f>
        <v>16</v>
      </c>
      <c r="I15" s="350">
        <f>+[4]김포!$U$5/1000</f>
        <v>10.288</v>
      </c>
      <c r="J15" s="152">
        <f t="shared" si="1"/>
        <v>-5.7119999999999997</v>
      </c>
      <c r="K15" s="349">
        <f>+[4]김포!$M$86/1000</f>
        <v>-59.967890728558821</v>
      </c>
      <c r="L15" s="351">
        <f>+[4]김포!$Q$85</f>
        <v>95190.621875000012</v>
      </c>
      <c r="M15" s="350">
        <f>+[4]김포!$R$85</f>
        <v>92479.294914918879</v>
      </c>
      <c r="N15" s="152">
        <f t="shared" si="2"/>
        <v>-2711.3269600811327</v>
      </c>
      <c r="O15" s="349">
        <f>+[4]김포!$K$86/1000</f>
        <v>-27.406092912500092</v>
      </c>
      <c r="P15" s="351">
        <f>+[4]김포!$Q$50</f>
        <v>84847.802674633611</v>
      </c>
      <c r="Q15" s="361">
        <f>+[4]김포!$R$50</f>
        <v>93810.961538461532</v>
      </c>
      <c r="R15" s="152">
        <f t="shared" si="3"/>
        <v>8963.1588638279209</v>
      </c>
      <c r="S15" s="349">
        <f>+[4]김포!$L$56/1000</f>
        <v>-90.602336944803454</v>
      </c>
      <c r="T15" s="351">
        <f>+([4]김포!$H$80+[4]김포!$H$85)/1000</f>
        <v>54.859839444444447</v>
      </c>
      <c r="U15" s="350">
        <f>+([4]김포!$I$80+[4]김포!$I$85)/1000</f>
        <v>66.998578620000004</v>
      </c>
      <c r="V15" s="152">
        <f t="shared" si="4"/>
        <v>12.138739175555557</v>
      </c>
      <c r="W15" s="349">
        <f>+([4]김포!$L$80+[4]김포!$L$85)/1000</f>
        <v>-12.138739175555555</v>
      </c>
      <c r="Y15" s="6">
        <f t="shared" si="5"/>
        <v>0</v>
      </c>
      <c r="Z15" s="6">
        <f t="shared" si="6"/>
        <v>0</v>
      </c>
    </row>
    <row r="16" spans="1:26" ht="24" customHeight="1" x14ac:dyDescent="0.3">
      <c r="D16" s="360" t="s">
        <v>21</v>
      </c>
      <c r="E16" s="358">
        <f>+[4]부산!$H$86/1000</f>
        <v>222.14546281991505</v>
      </c>
      <c r="F16" s="357">
        <f>+[4]부산!$I$86/1000</f>
        <v>155.08343899999994</v>
      </c>
      <c r="G16" s="359">
        <f t="shared" si="0"/>
        <v>-67.062023819915112</v>
      </c>
      <c r="H16" s="358">
        <f>+[4]부산!$T$5/1000</f>
        <v>21</v>
      </c>
      <c r="I16" s="357">
        <f>+[4]부산!$U$5/1000</f>
        <v>20.199000000000002</v>
      </c>
      <c r="J16" s="356">
        <f t="shared" si="1"/>
        <v>-0.80099999999999838</v>
      </c>
      <c r="K16" s="355">
        <f>+[4]부산!$M$86/1000</f>
        <v>-12.148157758464368</v>
      </c>
      <c r="L16" s="358">
        <f>+[4]부산!$Q$85</f>
        <v>107699.87436819047</v>
      </c>
      <c r="M16" s="357">
        <f>+[4]부산!$R$85</f>
        <v>107168.00470320313</v>
      </c>
      <c r="N16" s="356">
        <f t="shared" si="2"/>
        <v>-531.86966498734546</v>
      </c>
      <c r="O16" s="355">
        <f>+[4]부산!$K$86/1000</f>
        <v>-10.743235363079391</v>
      </c>
      <c r="P16" s="358">
        <f>+[4]부산!$Q$50</f>
        <v>92533.634969358536</v>
      </c>
      <c r="Q16" s="357">
        <f>+[4]부산!$R$50</f>
        <v>93318.704997788576</v>
      </c>
      <c r="R16" s="356">
        <f t="shared" si="3"/>
        <v>785.07002843004011</v>
      </c>
      <c r="S16" s="355">
        <f>+[4]부산!$L$56/1000</f>
        <v>32.448783886073478</v>
      </c>
      <c r="T16" s="358">
        <f>+([4]부산!$H$80+[4]부산!$H$85)/1000</f>
        <v>96.345564555555555</v>
      </c>
      <c r="U16" s="357">
        <f>+([4]부산!$I$80+[4]부산!$I$85)/1000</f>
        <v>172.96497914</v>
      </c>
      <c r="V16" s="356">
        <f t="shared" si="4"/>
        <v>76.619414584444442</v>
      </c>
      <c r="W16" s="355">
        <f>+([4]부산!$L$80+[4]부산!$L$85)/1000</f>
        <v>-76.619414584444456</v>
      </c>
      <c r="Y16" s="6">
        <f t="shared" si="5"/>
        <v>-3.694822225952521E-13</v>
      </c>
      <c r="Z16" s="6">
        <f t="shared" si="6"/>
        <v>-3.694822225952521E-7</v>
      </c>
    </row>
    <row r="17" spans="4:26" ht="24" customHeight="1" x14ac:dyDescent="0.3">
      <c r="D17" s="354" t="s">
        <v>22</v>
      </c>
      <c r="E17" s="351">
        <f>+[4]서부산!$H$86/1000</f>
        <v>262.68394872244687</v>
      </c>
      <c r="F17" s="350">
        <f>+[4]서부산!$I$86/1000</f>
        <v>149.8511689999998</v>
      </c>
      <c r="G17" s="352">
        <f t="shared" si="0"/>
        <v>-112.83277972244707</v>
      </c>
      <c r="H17" s="351">
        <f>+[4]서부산!$T$5/1000</f>
        <v>21</v>
      </c>
      <c r="I17" s="350">
        <f>+[4]서부산!$U$5/1000</f>
        <v>19.617999999999999</v>
      </c>
      <c r="J17" s="152">
        <f t="shared" si="1"/>
        <v>-1.3820000000000014</v>
      </c>
      <c r="K17" s="349">
        <f>+[4]서부산!$M$86/1000</f>
        <v>-20.754279403776671</v>
      </c>
      <c r="L17" s="351">
        <f>+[4]서부산!$Q$85</f>
        <v>99299.860476190486</v>
      </c>
      <c r="M17" s="350">
        <f>+[4]서부산!$R$85</f>
        <v>97055.586706086251</v>
      </c>
      <c r="N17" s="152">
        <f t="shared" si="2"/>
        <v>-2244.2737701042352</v>
      </c>
      <c r="O17" s="349">
        <f>+[4]서부산!$K$86/1000</f>
        <v>-44.028162821904878</v>
      </c>
      <c r="P17" s="351">
        <f>+[4]서부산!$Q$50</f>
        <v>84282.292166655985</v>
      </c>
      <c r="Q17" s="350">
        <f>+[4]서부산!$R$50</f>
        <v>85552.304633401218</v>
      </c>
      <c r="R17" s="152">
        <f t="shared" si="3"/>
        <v>1270.0124667452328</v>
      </c>
      <c r="S17" s="349">
        <f>+[4]서부산!$L$56/1000</f>
        <v>-13.589037404543177</v>
      </c>
      <c r="T17" s="351">
        <f>+([4]서부산!$H$80+[4]서부산!$H$85)/1000</f>
        <v>52.684985777777783</v>
      </c>
      <c r="U17" s="350">
        <f>+([4]서부산!$I$80+[4]서부산!$I$85)/1000</f>
        <v>87.146285869999986</v>
      </c>
      <c r="V17" s="152">
        <f t="shared" si="4"/>
        <v>34.461300092222203</v>
      </c>
      <c r="W17" s="349">
        <f>+([4]서부산!$L$80+[4]서부산!$L$85)/1000</f>
        <v>-34.461300092222224</v>
      </c>
      <c r="Y17" s="6">
        <f t="shared" si="5"/>
        <v>-1.1368683772161603E-13</v>
      </c>
      <c r="Z17" s="6">
        <f t="shared" si="6"/>
        <v>-1.1368683772161603E-7</v>
      </c>
    </row>
    <row r="18" spans="4:26" ht="24" customHeight="1" x14ac:dyDescent="0.3">
      <c r="D18" s="354" t="s">
        <v>23</v>
      </c>
      <c r="E18" s="351">
        <f>+[4]김해!$H$86/1000</f>
        <v>115.18250597613853</v>
      </c>
      <c r="F18" s="350">
        <f>+[4]김해!$I$86/1000</f>
        <v>-78.322141000000059</v>
      </c>
      <c r="G18" s="352">
        <f t="shared" si="0"/>
        <v>-193.50464697613859</v>
      </c>
      <c r="H18" s="351">
        <f>+[4]김해!$T$5/1000</f>
        <v>14</v>
      </c>
      <c r="I18" s="350">
        <f>+[4]김해!$U$5/1000</f>
        <v>7.9880000000000004</v>
      </c>
      <c r="J18" s="152">
        <f t="shared" si="1"/>
        <v>-6.0119999999999996</v>
      </c>
      <c r="K18" s="349">
        <f>+[4]김해!$M$86/1000</f>
        <v>-81.462582701040901</v>
      </c>
      <c r="L18" s="351">
        <f>+[4]김해!$Q$85</f>
        <v>96299.900000000009</v>
      </c>
      <c r="M18" s="350">
        <f>+[4]김해!$R$85</f>
        <v>88617.201895235587</v>
      </c>
      <c r="N18" s="152">
        <f t="shared" si="2"/>
        <v>-7682.6981047644222</v>
      </c>
      <c r="O18" s="349">
        <f>+[4]김해!$K$86/1000</f>
        <v>-58.373140200000073</v>
      </c>
      <c r="P18" s="351">
        <f>+[4]김해!$Q$50</f>
        <v>84334.01704138692</v>
      </c>
      <c r="Q18" s="350">
        <f>+[4]김해!$R$50</f>
        <v>91788.873782574359</v>
      </c>
      <c r="R18" s="152">
        <f t="shared" si="3"/>
        <v>7454.8567411874392</v>
      </c>
      <c r="S18" s="349">
        <f>+[4]김해!$L$56/1000</f>
        <v>-54.119317099541973</v>
      </c>
      <c r="T18" s="351">
        <f>+([4]김해!$H$80+[4]김해!$H$85)/1000</f>
        <v>52.339855444444446</v>
      </c>
      <c r="U18" s="350">
        <f>+([4]김해!$I$80+[4]김해!$I$85)/1000</f>
        <v>51.889462419999994</v>
      </c>
      <c r="V18" s="152">
        <f t="shared" si="4"/>
        <v>-0.45039302444445184</v>
      </c>
      <c r="W18" s="349">
        <f>+([4]김해!$L$80+[4]김해!$L$85)/1000</f>
        <v>0.45039302444444368</v>
      </c>
      <c r="Y18" s="6">
        <f t="shared" si="5"/>
        <v>-8.4210416417818124E-14</v>
      </c>
      <c r="Z18" s="6">
        <f t="shared" si="6"/>
        <v>-8.4210416417818124E-8</v>
      </c>
    </row>
    <row r="19" spans="4:26" ht="24" customHeight="1" x14ac:dyDescent="0.3">
      <c r="D19" s="354" t="s">
        <v>24</v>
      </c>
      <c r="E19" s="351">
        <f>+[4]정관!$H$86/1000</f>
        <v>164.10726125668998</v>
      </c>
      <c r="F19" s="350">
        <f>+[4]정관!$I$86/1000</f>
        <v>173.69429000000002</v>
      </c>
      <c r="G19" s="352">
        <f t="shared" si="0"/>
        <v>9.587028743310043</v>
      </c>
      <c r="H19" s="351">
        <f>+[4]정관!$T$5/1000</f>
        <v>19</v>
      </c>
      <c r="I19" s="350">
        <f>+[4]정관!$U$5/1000</f>
        <v>23.4405</v>
      </c>
      <c r="J19" s="152">
        <f t="shared" si="1"/>
        <v>4.4405000000000001</v>
      </c>
      <c r="K19" s="349">
        <f>+[4]정관!$M$86/1000</f>
        <v>57.321679618289458</v>
      </c>
      <c r="L19" s="351">
        <f>+[4]정관!$Q$85</f>
        <v>102000.09438105264</v>
      </c>
      <c r="M19" s="350">
        <f>+[4]정관!$R$85</f>
        <v>100259.80674473668</v>
      </c>
      <c r="N19" s="152">
        <f t="shared" si="2"/>
        <v>-1740.2876363159594</v>
      </c>
      <c r="O19" s="349">
        <f>+[4]정관!$K$86/1000</f>
        <v>-40.793212339064247</v>
      </c>
      <c r="P19" s="351">
        <f>+[4]정관!$Q$50</f>
        <v>89091.259876314565</v>
      </c>
      <c r="Q19" s="350">
        <f>+[4]정관!$R$50</f>
        <v>89800.263127598329</v>
      </c>
      <c r="R19" s="152">
        <f t="shared" si="3"/>
        <v>709.00325128376426</v>
      </c>
      <c r="S19" s="349">
        <f>+[4]정관!$L$56/1000</f>
        <v>-10.386348119248163</v>
      </c>
      <c r="T19" s="351">
        <f>+([4]정관!$H$80+[4]정관!$H$85)/1000</f>
        <v>81.160594333333336</v>
      </c>
      <c r="U19" s="350">
        <f>+([4]정관!$I$80+[4]정관!$I$85)/1000</f>
        <v>77.715684749999994</v>
      </c>
      <c r="V19" s="152">
        <f t="shared" si="4"/>
        <v>-3.4449095833333416</v>
      </c>
      <c r="W19" s="349">
        <f>+([4]정관!$L$80+[4]정관!$L$85)/1000</f>
        <v>3.4449095833333376</v>
      </c>
      <c r="Y19" s="6">
        <f t="shared" si="5"/>
        <v>-3.4239278079439828E-13</v>
      </c>
      <c r="Z19" s="6">
        <f t="shared" si="6"/>
        <v>-3.4239278079439828E-7</v>
      </c>
    </row>
    <row r="20" spans="4:26" ht="24" customHeight="1" x14ac:dyDescent="0.3">
      <c r="D20" s="354" t="s">
        <v>25</v>
      </c>
      <c r="E20" s="351">
        <f>+[4]양산!$H$86/1000</f>
        <v>106.81806731510582</v>
      </c>
      <c r="F20" s="350">
        <f>+[4]양산!$I$86/1000</f>
        <v>-35.259845999999982</v>
      </c>
      <c r="G20" s="352">
        <f t="shared" si="0"/>
        <v>-142.0779133151058</v>
      </c>
      <c r="H20" s="351">
        <f>+[4]양산!$T$5/1000</f>
        <v>12</v>
      </c>
      <c r="I20" s="350">
        <f>+[4]양산!$U$5/1000</f>
        <v>6.0609999999999999</v>
      </c>
      <c r="J20" s="152">
        <f t="shared" si="1"/>
        <v>-5.9390000000000001</v>
      </c>
      <c r="K20" s="349">
        <f>+[4]양산!$M$86/1000</f>
        <v>-72.932217057580772</v>
      </c>
      <c r="L20" s="351">
        <f>+[4]양산!$Q$85</f>
        <v>94305</v>
      </c>
      <c r="M20" s="350">
        <f>+[4]양산!$R$85</f>
        <v>94190.381125226864</v>
      </c>
      <c r="N20" s="152">
        <f t="shared" si="2"/>
        <v>-114.61887477313576</v>
      </c>
      <c r="O20" s="349">
        <f>+[4]양산!$K$86/1000</f>
        <v>-0.69470499999997581</v>
      </c>
      <c r="P20" s="351">
        <f>+[4]양산!$Q$50</f>
        <v>82024.781603370837</v>
      </c>
      <c r="Q20" s="350">
        <f>+[4]양산!$R$50</f>
        <v>92181.012869163518</v>
      </c>
      <c r="R20" s="152">
        <f t="shared" si="3"/>
        <v>10156.231265792681</v>
      </c>
      <c r="S20" s="349">
        <f>+[4]양산!$L$56/1000</f>
        <v>-61.149291241969507</v>
      </c>
      <c r="T20" s="351">
        <f>+([4]양산!$H$80+[4]양산!$H$85)/1000</f>
        <v>40.544553444444432</v>
      </c>
      <c r="U20" s="350">
        <f>+([4]양산!$I$80+[4]양산!$I$85)/1000</f>
        <v>47.84625346</v>
      </c>
      <c r="V20" s="152">
        <f t="shared" si="4"/>
        <v>7.3017000155555678</v>
      </c>
      <c r="W20" s="349">
        <f>+([4]양산!$L$80+[4]양산!$L$85)/1000</f>
        <v>-7.3017000155555651</v>
      </c>
      <c r="Y20" s="6">
        <f t="shared" si="5"/>
        <v>1.1546319456101628E-14</v>
      </c>
      <c r="Z20" s="6">
        <f t="shared" si="6"/>
        <v>1.1546319456101628E-8</v>
      </c>
    </row>
    <row r="21" spans="4:26" ht="24" customHeight="1" x14ac:dyDescent="0.3">
      <c r="D21" s="354" t="s">
        <v>26</v>
      </c>
      <c r="E21" s="351">
        <f>+[4]창원!$H$86/1000</f>
        <v>145.20620337555414</v>
      </c>
      <c r="F21" s="350">
        <f>+[4]창원!$I$86/1000</f>
        <v>-63.359207999999896</v>
      </c>
      <c r="G21" s="352">
        <f t="shared" si="0"/>
        <v>-208.56541137555405</v>
      </c>
      <c r="H21" s="351">
        <f>+[4]창원!$T$5/1000</f>
        <v>13</v>
      </c>
      <c r="I21" s="350">
        <f>+[4]창원!$U$5/1000</f>
        <v>6.5460000000000003</v>
      </c>
      <c r="J21" s="152">
        <f t="shared" si="1"/>
        <v>-6.4539999999999997</v>
      </c>
      <c r="K21" s="349">
        <f>+[4]창원!$M$86/1000</f>
        <v>-106.93885229308066</v>
      </c>
      <c r="L21" s="351">
        <f>+[4]창원!$Q$85</f>
        <v>101100.38024584616</v>
      </c>
      <c r="M21" s="350">
        <f>+[4]창원!$R$85</f>
        <v>91406.721662083728</v>
      </c>
      <c r="N21" s="152">
        <f t="shared" si="2"/>
        <v>-9693.6585837624298</v>
      </c>
      <c r="O21" s="349">
        <f>+[4]창원!$K$86/1000</f>
        <v>-63.454689089308864</v>
      </c>
      <c r="P21" s="351">
        <f>+[4]창원!$Q$50</f>
        <v>84530.988815247969</v>
      </c>
      <c r="Q21" s="350">
        <f>+[4]창원!$R$50</f>
        <v>91218.369233119476</v>
      </c>
      <c r="R21" s="152">
        <f t="shared" si="3"/>
        <v>6687.3804178715072</v>
      </c>
      <c r="S21" s="349">
        <f>+[4]창원!$L$56/1000</f>
        <v>-43.154705515386581</v>
      </c>
      <c r="T21" s="351">
        <f>+([4]창원!$H$80+[4]창원!$H$85)/1000</f>
        <v>70.195885222222216</v>
      </c>
      <c r="U21" s="350">
        <f>+([4]창원!$I$80+[4]창원!$I$85)/1000</f>
        <v>65.213049699999999</v>
      </c>
      <c r="V21" s="152">
        <f t="shared" si="4"/>
        <v>-4.9828355222222172</v>
      </c>
      <c r="W21" s="349">
        <f>+([4]창원!$L$80+[4]창원!$L$85)/1000</f>
        <v>4.9828355222222189</v>
      </c>
      <c r="Y21" s="6">
        <f t="shared" si="5"/>
        <v>-1.6520118606422329E-13</v>
      </c>
      <c r="Z21" s="6">
        <f t="shared" si="6"/>
        <v>-1.6520118606422329E-7</v>
      </c>
    </row>
    <row r="22" spans="4:26" ht="24" customHeight="1" x14ac:dyDescent="0.3">
      <c r="D22" s="354" t="s">
        <v>131</v>
      </c>
      <c r="E22" s="351">
        <f>+[4]대구!$H$86/1000</f>
        <v>99.040366540709684</v>
      </c>
      <c r="F22" s="350">
        <f>+[4]대구!$I$86/1000</f>
        <v>42.684097000000023</v>
      </c>
      <c r="G22" s="352">
        <f t="shared" si="0"/>
        <v>-56.356269540709661</v>
      </c>
      <c r="H22" s="351">
        <f>+[4]대구!$T$5/1000</f>
        <v>12</v>
      </c>
      <c r="I22" s="350">
        <f>+[4]대구!$U$5/1000</f>
        <v>13.3385</v>
      </c>
      <c r="J22" s="152">
        <f t="shared" si="1"/>
        <v>1.3384999999999998</v>
      </c>
      <c r="K22" s="349">
        <f>+[4]대구!$M$86/1000</f>
        <v>18.002495156352829</v>
      </c>
      <c r="L22" s="351">
        <f>+[4]대구!$Q$85</f>
        <v>96233.019746376798</v>
      </c>
      <c r="M22" s="350">
        <f>+[4]대구!$R$85</f>
        <v>84891.280878659527</v>
      </c>
      <c r="N22" s="152">
        <f t="shared" si="2"/>
        <v>-11341.738867717271</v>
      </c>
      <c r="O22" s="349">
        <f>+[4]대구!$K$86/1000</f>
        <v>-151.28178388704683</v>
      </c>
      <c r="P22" s="351">
        <f>+[4]대구!$Q$50</f>
        <v>82783.266174204342</v>
      </c>
      <c r="Q22" s="350">
        <f>+[4]대구!$R$50</f>
        <v>77593.739700865903</v>
      </c>
      <c r="R22" s="152">
        <f t="shared" si="3"/>
        <v>-5189.5264733384392</v>
      </c>
      <c r="S22" s="349">
        <f>+[4]대구!$L$56/1000</f>
        <v>69.220492534624469</v>
      </c>
      <c r="T22" s="351">
        <f>+([4]대구!$H$80+[4]대구!$H$85)/1000</f>
        <v>62.356676325359793</v>
      </c>
      <c r="U22" s="350">
        <f>+([4]대구!$I$80+[4]대구!$I$85)/1000</f>
        <v>54.654149669999995</v>
      </c>
      <c r="V22" s="152">
        <f t="shared" si="4"/>
        <v>-7.7025266553597973</v>
      </c>
      <c r="W22" s="349">
        <f>+([4]대구!$L$80+[4]대구!$L$85)/1000</f>
        <v>7.7025266553597831</v>
      </c>
      <c r="Y22" s="6">
        <f t="shared" si="5"/>
        <v>7.815970093361102E-14</v>
      </c>
      <c r="Z22" s="6">
        <f t="shared" si="6"/>
        <v>7.815970093361102E-8</v>
      </c>
    </row>
    <row r="23" spans="4:26" ht="24" customHeight="1" x14ac:dyDescent="0.3">
      <c r="D23" s="354" t="s">
        <v>130</v>
      </c>
      <c r="E23" s="351">
        <f>+[4]울산!$H$86/1000</f>
        <v>156.77600863590894</v>
      </c>
      <c r="F23" s="350">
        <f>+[4]울산!$I$86/1000</f>
        <v>178.43166000000005</v>
      </c>
      <c r="G23" s="352">
        <f t="shared" si="0"/>
        <v>21.655651364091113</v>
      </c>
      <c r="H23" s="351">
        <f>+[4]울산!$T$5/1000</f>
        <v>14</v>
      </c>
      <c r="I23" s="350">
        <f>+[4]울산!$U$5/1000</f>
        <v>13.179</v>
      </c>
      <c r="J23" s="152">
        <f t="shared" si="1"/>
        <v>-0.82099999999999973</v>
      </c>
      <c r="K23" s="349">
        <f>+[4]울산!$M$86/1000</f>
        <v>-12.270211662644579</v>
      </c>
      <c r="L23" s="351">
        <f>+[4]울산!$Q$85</f>
        <v>104204.64285714286</v>
      </c>
      <c r="M23" s="350">
        <f>+[4]울산!$R$85</f>
        <v>108899.69648683512</v>
      </c>
      <c r="N23" s="152">
        <f t="shared" si="2"/>
        <v>4695.0536296922655</v>
      </c>
      <c r="O23" s="349">
        <f>+[4]울산!$K$86/1000</f>
        <v>61.876111785714372</v>
      </c>
      <c r="P23" s="351">
        <f>+[4]울산!$Q$50</f>
        <v>89259.196252216469</v>
      </c>
      <c r="Q23" s="350">
        <f>+[4]울산!$R$50</f>
        <v>91598.919299840869</v>
      </c>
      <c r="R23" s="152">
        <f t="shared" si="3"/>
        <v>2339.7230476244004</v>
      </c>
      <c r="S23" s="349">
        <f>+[4]울산!$L$56/1000</f>
        <v>-30.568572352039144</v>
      </c>
      <c r="T23" s="351">
        <f>+([4]울산!$H$80+[4]울산!$H$85)/1000</f>
        <v>52.46024383306051</v>
      </c>
      <c r="U23" s="350">
        <f>+([4]울산!$I$80+[4]울산!$I$85)/1000</f>
        <v>49.841920240000007</v>
      </c>
      <c r="V23" s="152">
        <f t="shared" si="4"/>
        <v>-2.6183235930605022</v>
      </c>
      <c r="W23" s="349">
        <f>+([4]울산!$L$80+[4]울산!$L$85)/1000</f>
        <v>2.6183235930605009</v>
      </c>
      <c r="Y23" s="6">
        <f t="shared" si="5"/>
        <v>-3.7747582837255322E-14</v>
      </c>
      <c r="Z23" s="6">
        <f t="shared" si="6"/>
        <v>-3.7747582837255322E-8</v>
      </c>
    </row>
    <row r="24" spans="4:26" ht="24" customHeight="1" x14ac:dyDescent="0.3">
      <c r="D24" s="360" t="s">
        <v>27</v>
      </c>
      <c r="E24" s="358">
        <f>+[4]아산!$H$86/1000</f>
        <v>399.79482460005875</v>
      </c>
      <c r="F24" s="357">
        <f>+[4]아산!$I$86/1000</f>
        <v>79.527224000000047</v>
      </c>
      <c r="G24" s="359">
        <f t="shared" si="0"/>
        <v>-320.2676006000587</v>
      </c>
      <c r="H24" s="358">
        <f>+[4]아산!$T$5/1000</f>
        <v>26</v>
      </c>
      <c r="I24" s="357">
        <f>+[4]아산!$U$5/1000</f>
        <v>23.459</v>
      </c>
      <c r="J24" s="356">
        <f t="shared" si="1"/>
        <v>-2.5410000000000004</v>
      </c>
      <c r="K24" s="355">
        <f>+[4]아산!$M$86/1000</f>
        <v>-46.274623532618541</v>
      </c>
      <c r="L24" s="358">
        <f>+[4]아산!$Q$85</f>
        <v>103000</v>
      </c>
      <c r="M24" s="357">
        <f>+[4]아산!$R$85</f>
        <v>93724.434588004602</v>
      </c>
      <c r="N24" s="356">
        <f t="shared" si="2"/>
        <v>-9275.5654119953979</v>
      </c>
      <c r="O24" s="355">
        <f>+[4]아산!$K$86/1000</f>
        <v>-217.59548900000004</v>
      </c>
      <c r="P24" s="358">
        <f>+[4]아산!$Q$50</f>
        <v>84788.814036749885</v>
      </c>
      <c r="Q24" s="357">
        <f>+[4]아산!$R$50</f>
        <v>86790.108274009981</v>
      </c>
      <c r="R24" s="356">
        <f t="shared" si="3"/>
        <v>2001.2942372600955</v>
      </c>
      <c r="S24" s="355">
        <f>+[4]아산!$L$56/1000</f>
        <v>-46.948351081884262</v>
      </c>
      <c r="T24" s="358">
        <f>+([4]아산!$H$80+[4]아산!$H$85)/1000</f>
        <v>73.69601044444444</v>
      </c>
      <c r="U24" s="357">
        <f>+([4]아산!$I$80+[4]아산!$I$85)/1000</f>
        <v>83.145147430000009</v>
      </c>
      <c r="V24" s="356">
        <f t="shared" si="4"/>
        <v>9.4491369855555689</v>
      </c>
      <c r="W24" s="355">
        <f>+([4]아산!$L$80+[4]아산!$L$85)/1000</f>
        <v>-9.4491369855555583</v>
      </c>
      <c r="Y24" s="6">
        <f t="shared" si="5"/>
        <v>-3.0198066269804258E-13</v>
      </c>
      <c r="Z24" s="6">
        <f t="shared" si="6"/>
        <v>-3.0198066269804258E-7</v>
      </c>
    </row>
    <row r="25" spans="4:26" ht="24" customHeight="1" x14ac:dyDescent="0.3">
      <c r="D25" s="354" t="s">
        <v>129</v>
      </c>
      <c r="E25" s="351">
        <f>+[4]전주!$H$86/1000</f>
        <v>175.60275045370437</v>
      </c>
      <c r="F25" s="350">
        <f>+[4]전주!$I$86/1000</f>
        <v>174.72593199999991</v>
      </c>
      <c r="G25" s="352">
        <f t="shared" si="0"/>
        <v>-0.87681845370445899</v>
      </c>
      <c r="H25" s="351">
        <f>+[4]전주!$T$5/1000</f>
        <v>12</v>
      </c>
      <c r="I25" s="350">
        <f>+[4]전주!$U$5/1000</f>
        <v>15.058</v>
      </c>
      <c r="J25" s="152">
        <f t="shared" si="1"/>
        <v>3.0579999999999998</v>
      </c>
      <c r="K25" s="349">
        <f>+[4]전주!$M$86/1000</f>
        <v>59.426865307656087</v>
      </c>
      <c r="L25" s="351">
        <f>+[4]전주!$Q$85</f>
        <v>100725.59138333335</v>
      </c>
      <c r="M25" s="350">
        <f>+[4]전주!$R$85</f>
        <v>98374.996679505915</v>
      </c>
      <c r="N25" s="152">
        <f t="shared" si="2"/>
        <v>-2350.5947038274317</v>
      </c>
      <c r="O25" s="349">
        <f>+[4]전주!$K$86/1000</f>
        <v>-35.395255050233473</v>
      </c>
      <c r="P25" s="351">
        <f>+[4]전주!$Q$50</f>
        <v>81292.345697376499</v>
      </c>
      <c r="Q25" s="350">
        <f>+[4]전주!$R$50</f>
        <v>82789.021390728478</v>
      </c>
      <c r="R25" s="152">
        <f t="shared" si="3"/>
        <v>1496.6756933519791</v>
      </c>
      <c r="S25" s="349">
        <f>+[4]전주!$L$56/1000</f>
        <v>-22.568122438904631</v>
      </c>
      <c r="T25" s="351">
        <f>+([4]전주!$H$80+[4]전주!$H$85)/1000</f>
        <v>57.596197777777782</v>
      </c>
      <c r="U25" s="350">
        <f>+([4]전주!$I$80+[4]전주!$I$85)/1000</f>
        <v>59.936504050000003</v>
      </c>
      <c r="V25" s="152">
        <f t="shared" si="4"/>
        <v>2.3403062722222217</v>
      </c>
      <c r="W25" s="349">
        <f>+([4]전주!$L$80+[4]전주!$L$85)/1000</f>
        <v>-2.3403062722222248</v>
      </c>
      <c r="Y25" s="6">
        <f t="shared" si="5"/>
        <v>-2.1715962361668062E-13</v>
      </c>
      <c r="Z25" s="6">
        <f t="shared" si="6"/>
        <v>-2.1715962361668062E-7</v>
      </c>
    </row>
    <row r="26" spans="4:26" ht="24" customHeight="1" x14ac:dyDescent="0.3">
      <c r="D26" s="353" t="s">
        <v>128</v>
      </c>
      <c r="E26" s="351">
        <f>+[4]군산!$H$86/1000</f>
        <v>232.8928068662382</v>
      </c>
      <c r="F26" s="350">
        <f>+[4]군산!$I$86/1000</f>
        <v>70.142529999999937</v>
      </c>
      <c r="G26" s="352">
        <f t="shared" si="0"/>
        <v>-162.75027686623827</v>
      </c>
      <c r="H26" s="351">
        <f>+[4]군산!$T$5/1000</f>
        <v>8</v>
      </c>
      <c r="I26" s="350">
        <f>+[4]군산!$U$5/1000</f>
        <v>4.3985000000000003</v>
      </c>
      <c r="J26" s="152">
        <f t="shared" si="1"/>
        <v>-3.6014999999999997</v>
      </c>
      <c r="K26" s="349">
        <f>+[4]군산!$M$86/1000</f>
        <v>-119.20744989219692</v>
      </c>
      <c r="L26" s="351">
        <f>+[4]군산!$Q$85</f>
        <v>111798.26875000002</v>
      </c>
      <c r="M26" s="350">
        <f>+[4]군산!$R$85</f>
        <v>110265.30369665993</v>
      </c>
      <c r="N26" s="152">
        <f t="shared" si="2"/>
        <v>-1532.9650533400854</v>
      </c>
      <c r="O26" s="349">
        <f>+[4]군산!$K$86/1000</f>
        <v>-6.4484174968750692</v>
      </c>
      <c r="P26" s="351">
        <f>+[4]군산!$Q$50</f>
        <v>79731.351683386907</v>
      </c>
      <c r="Q26" s="350">
        <f>+[4]군산!$R$50</f>
        <v>87683.543026706233</v>
      </c>
      <c r="R26" s="152">
        <f t="shared" si="3"/>
        <v>7952.1913433193258</v>
      </c>
      <c r="S26" s="349">
        <f>+[4]군산!$L$56/1000</f>
        <v>-33.514299843832966</v>
      </c>
      <c r="T26" s="351">
        <f>+([4]군산!$H$80+[4]군산!$H$85)/1000</f>
        <v>23.642529666666668</v>
      </c>
      <c r="U26" s="350">
        <f>+([4]군산!$I$80+[4]군산!$I$85)/1000</f>
        <v>27.222639300000001</v>
      </c>
      <c r="V26" s="152">
        <f t="shared" si="4"/>
        <v>3.5801096333333327</v>
      </c>
      <c r="W26" s="349">
        <f>+([4]군산!$L$80+[4]군산!$L$85)/1000</f>
        <v>-3.5801096333333327</v>
      </c>
      <c r="Y26" s="6">
        <f t="shared" si="5"/>
        <v>1.7763568394002505E-14</v>
      </c>
      <c r="Z26" s="6">
        <f t="shared" si="6"/>
        <v>1.7763568394002505E-8</v>
      </c>
    </row>
    <row r="27" spans="4:26" ht="24" customHeight="1" x14ac:dyDescent="0.3">
      <c r="D27" s="353" t="s">
        <v>127</v>
      </c>
      <c r="E27" s="351">
        <f>+[4]원주!$H$86/1000</f>
        <v>128.61965173588288</v>
      </c>
      <c r="F27" s="350">
        <f>+[4]원주!$I$86/1000</f>
        <v>32.57209600000003</v>
      </c>
      <c r="G27" s="352">
        <f t="shared" si="0"/>
        <v>-96.047555735882852</v>
      </c>
      <c r="H27" s="351">
        <f>+[4]원주!$T$5/1000</f>
        <v>6</v>
      </c>
      <c r="I27" s="350">
        <f>+[4]원주!$U$5/1000</f>
        <v>3.3584999999999998</v>
      </c>
      <c r="J27" s="152">
        <f t="shared" si="1"/>
        <v>-2.6415000000000002</v>
      </c>
      <c r="K27" s="349">
        <f>+[4]원주!$M$86/1000</f>
        <v>-65.680034395889123</v>
      </c>
      <c r="L27" s="351">
        <f>+[4]원주!$Q$85</f>
        <v>112000</v>
      </c>
      <c r="M27" s="350">
        <f>+[4]원주!$R$85</f>
        <v>112065.54860800953</v>
      </c>
      <c r="N27" s="152">
        <f t="shared" si="2"/>
        <v>65.548608009528834</v>
      </c>
      <c r="O27" s="349">
        <f>+[4]원주!$K$86/1000</f>
        <v>0.22014500000000259</v>
      </c>
      <c r="P27" s="351">
        <f>+[4]원주!$Q$50</f>
        <v>87135.326747723229</v>
      </c>
      <c r="Q27" s="350">
        <f>+[4]원주!$R$50</f>
        <v>94907.328569301782</v>
      </c>
      <c r="R27" s="152">
        <f t="shared" si="3"/>
        <v>7772.0018215785531</v>
      </c>
      <c r="S27" s="349">
        <f>+[4]원주!$L$56/1000</f>
        <v>-26.102272667771526</v>
      </c>
      <c r="T27" s="351">
        <f>+([4]원주!$H$80+[4]원주!$H$85)/1000</f>
        <v>20.568387777777779</v>
      </c>
      <c r="U27" s="350">
        <f>+([4]원주!$I$80+[4]원주!$I$85)/1000</f>
        <v>25.053781449999999</v>
      </c>
      <c r="V27" s="152">
        <f t="shared" si="4"/>
        <v>4.4853936722222194</v>
      </c>
      <c r="W27" s="349">
        <f>+([4]원주!$L$80+[4]원주!$L$85)/1000</f>
        <v>-4.4853936722222221</v>
      </c>
      <c r="Y27" s="6">
        <f t="shared" si="5"/>
        <v>1.6875389974302379E-14</v>
      </c>
      <c r="Z27" s="6">
        <f t="shared" si="6"/>
        <v>1.6875389974302379E-8</v>
      </c>
    </row>
    <row r="28" spans="4:26" ht="24" customHeight="1" thickBot="1" x14ac:dyDescent="0.35">
      <c r="D28" s="348" t="s">
        <v>126</v>
      </c>
      <c r="E28" s="346">
        <f>+[4]제주!$H$86/1000</f>
        <v>190.51152269973417</v>
      </c>
      <c r="F28" s="345">
        <f>+[4]제주!$I$86/1000</f>
        <v>35.677638999999985</v>
      </c>
      <c r="G28" s="347">
        <f t="shared" si="0"/>
        <v>-154.8338836997342</v>
      </c>
      <c r="H28" s="346">
        <f>+[4]제주!$T$5/1000</f>
        <v>9</v>
      </c>
      <c r="I28" s="345">
        <f>+[4]제주!$U$5/1000</f>
        <v>4.7939999999999996</v>
      </c>
      <c r="J28" s="344">
        <f t="shared" si="1"/>
        <v>-4.2060000000000004</v>
      </c>
      <c r="K28" s="343">
        <f>+[4]제주!$M$86/1000</f>
        <v>-104.84684753483971</v>
      </c>
      <c r="L28" s="346">
        <f>+[4]제주!$Q$85</f>
        <v>122995.55555555556</v>
      </c>
      <c r="M28" s="345">
        <f>+[4]제주!$R$85</f>
        <v>126594.92720306512</v>
      </c>
      <c r="N28" s="344">
        <f t="shared" si="2"/>
        <v>3599.3716475095571</v>
      </c>
      <c r="O28" s="343">
        <f>+[4]제주!$K$86/1000</f>
        <v>16.909847999999901</v>
      </c>
      <c r="P28" s="346">
        <f>+[4]제주!$Q$50</f>
        <v>98623.903408916856</v>
      </c>
      <c r="Q28" s="345">
        <f>+[4]제주!$R$50</f>
        <v>112350.44715102731</v>
      </c>
      <c r="R28" s="344">
        <f t="shared" si="3"/>
        <v>13726.543742110458</v>
      </c>
      <c r="S28" s="343">
        <f>+[4]제주!$L$56/1000</f>
        <v>-64.450591364908618</v>
      </c>
      <c r="T28" s="346">
        <f>+([4]제주!$H$80+[4]제주!$H$85)/1000</f>
        <v>28.833346620014098</v>
      </c>
      <c r="U28" s="345">
        <f>+([4]제주!$I$80+[4]제주!$I$85)/1000</f>
        <v>31.279639419999999</v>
      </c>
      <c r="V28" s="344">
        <f t="shared" si="4"/>
        <v>2.4462927999859012</v>
      </c>
      <c r="W28" s="343">
        <f>+([4]제주!$L$80+[4]제주!$L$85)/1000</f>
        <v>-2.4462927999859043</v>
      </c>
      <c r="Y28" s="6">
        <f t="shared" si="5"/>
        <v>1.3455903058456897E-13</v>
      </c>
      <c r="Z28" s="6">
        <f t="shared" si="6"/>
        <v>1.3455903058456897E-7</v>
      </c>
    </row>
    <row r="29" spans="4:26" ht="24" customHeight="1" x14ac:dyDescent="0.3">
      <c r="Y29" s="480"/>
    </row>
    <row r="30" spans="4:26" ht="24" customHeight="1" x14ac:dyDescent="0.3">
      <c r="Y30" s="480"/>
    </row>
    <row r="31" spans="4:26" ht="24" customHeight="1" x14ac:dyDescent="0.3">
      <c r="Y31" s="480"/>
    </row>
    <row r="32" spans="4:26" ht="21.95" customHeight="1" x14ac:dyDescent="0.3">
      <c r="F32" s="342"/>
      <c r="Y32" s="480"/>
    </row>
    <row r="33" spans="25:25" ht="21.95" customHeight="1" x14ac:dyDescent="0.3"/>
    <row r="34" spans="25:25" ht="21.95" customHeight="1" x14ac:dyDescent="0.3">
      <c r="Y34" s="481"/>
    </row>
    <row r="35" spans="25:25" ht="21.95" customHeight="1" x14ac:dyDescent="0.3">
      <c r="Y35" s="6" t="s">
        <v>161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213</v>
      </c>
      <c r="F4" s="398"/>
      <c r="I4" s="398"/>
    </row>
    <row r="5" spans="1:22" ht="21.95" customHeight="1" x14ac:dyDescent="0.3">
      <c r="V5" s="397" t="s">
        <v>146</v>
      </c>
    </row>
    <row r="6" spans="1:22" ht="24" customHeight="1" thickBot="1" x14ac:dyDescent="0.35">
      <c r="A6" s="6" t="s">
        <v>139</v>
      </c>
      <c r="D6" s="651" t="s">
        <v>11</v>
      </c>
      <c r="E6" s="396" t="s">
        <v>53</v>
      </c>
      <c r="F6" s="395"/>
      <c r="G6" s="394"/>
      <c r="H6" s="396" t="s">
        <v>145</v>
      </c>
      <c r="I6" s="395"/>
      <c r="J6" s="394"/>
      <c r="K6" s="396" t="s">
        <v>144</v>
      </c>
      <c r="L6" s="395"/>
      <c r="M6" s="394"/>
      <c r="N6" s="396" t="s">
        <v>143</v>
      </c>
      <c r="O6" s="395"/>
      <c r="P6" s="394"/>
      <c r="Q6" s="396" t="s">
        <v>142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65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+[4]합계!$Q$85</f>
        <v>101901.72440560866</v>
      </c>
      <c r="F8" s="385">
        <f>+[4]합계!$R$85</f>
        <v>97987.042142871491</v>
      </c>
      <c r="G8" s="416">
        <f t="shared" ref="G8:G28" si="0">+F8-E8</f>
        <v>-3914.682262737173</v>
      </c>
      <c r="H8" s="386">
        <f>+[4]합계!$Q$20</f>
        <v>60350.744032817165</v>
      </c>
      <c r="I8" s="385">
        <f>+[4]합계!$R$20</f>
        <v>60449.760240036565</v>
      </c>
      <c r="J8" s="416">
        <f t="shared" ref="J8:J28" si="1">+I8-H8</f>
        <v>99.016207219399803</v>
      </c>
      <c r="K8" s="386">
        <f>+[4]합계!$Q$21</f>
        <v>18860.129559682318</v>
      </c>
      <c r="L8" s="385">
        <f>+[4]합계!$R$21</f>
        <v>19670.463465377492</v>
      </c>
      <c r="M8" s="416">
        <f t="shared" ref="M8:M28" si="2">+L8-K8</f>
        <v>810.3339056951736</v>
      </c>
      <c r="N8" s="386">
        <f>+[4]합계!$Q$22</f>
        <v>203.73333333333332</v>
      </c>
      <c r="O8" s="385">
        <f>+[4]합계!$R$22</f>
        <v>204.96777865967556</v>
      </c>
      <c r="P8" s="416">
        <f t="shared" ref="P8:P28" si="3">+O8-N8</f>
        <v>1.2344453263422395</v>
      </c>
      <c r="Q8" s="386">
        <f t="shared" ref="Q8:Q28" si="4">H8+K8+N8</f>
        <v>79414.606925832821</v>
      </c>
      <c r="R8" s="385">
        <f t="shared" ref="R8:R28" si="5">I8+L8+O8</f>
        <v>80325.19148407373</v>
      </c>
      <c r="S8" s="416">
        <f t="shared" ref="S8:S28" si="6">+R8-Q8</f>
        <v>910.58455824090925</v>
      </c>
      <c r="T8" s="386">
        <f t="shared" ref="T8:T28" si="7">+E8-Q8</f>
        <v>22487.117479775843</v>
      </c>
      <c r="U8" s="385">
        <f t="shared" ref="U8:U28" si="8">+F8-R8</f>
        <v>17661.850658797761</v>
      </c>
      <c r="V8" s="416">
        <f t="shared" ref="V8:V28" si="9">+U8-T8</f>
        <v>-4825.2668209780823</v>
      </c>
    </row>
    <row r="9" spans="1:22" ht="24" customHeight="1" x14ac:dyDescent="0.3">
      <c r="D9" s="382" t="s">
        <v>16</v>
      </c>
      <c r="E9" s="381">
        <f>+[4]수도권!$Q$85</f>
        <v>100156.13336246088</v>
      </c>
      <c r="F9" s="380">
        <f>+[4]수도권!$R$85</f>
        <v>95819.565702643042</v>
      </c>
      <c r="G9" s="415">
        <f t="shared" si="0"/>
        <v>-4336.5676598178397</v>
      </c>
      <c r="H9" s="381">
        <f>+[4]수도권!$Q$20</f>
        <v>61922.105552330955</v>
      </c>
      <c r="I9" s="380">
        <f>+[4]수도권!$R$20</f>
        <v>62043.781157764985</v>
      </c>
      <c r="J9" s="415">
        <f t="shared" si="1"/>
        <v>121.67560543402942</v>
      </c>
      <c r="K9" s="381">
        <f>+[4]수도권!$Q$21</f>
        <v>18734.574335936773</v>
      </c>
      <c r="L9" s="380">
        <f>+[4]수도권!$R$21</f>
        <v>20125.955410555358</v>
      </c>
      <c r="M9" s="415">
        <f t="shared" si="2"/>
        <v>1391.3810746185845</v>
      </c>
      <c r="N9" s="381">
        <f>+[4]수도권!$Q$22</f>
        <v>229.20353982300884</v>
      </c>
      <c r="O9" s="380">
        <f>+[4]수도권!$R$22</f>
        <v>225.52634316796525</v>
      </c>
      <c r="P9" s="415">
        <f t="shared" si="3"/>
        <v>-3.6771966550435877</v>
      </c>
      <c r="Q9" s="381">
        <f t="shared" si="4"/>
        <v>80885.883428090732</v>
      </c>
      <c r="R9" s="380">
        <f t="shared" si="5"/>
        <v>82395.262911488302</v>
      </c>
      <c r="S9" s="415">
        <f t="shared" si="6"/>
        <v>1509.3794833975699</v>
      </c>
      <c r="T9" s="381">
        <f t="shared" si="7"/>
        <v>19270.249934370149</v>
      </c>
      <c r="U9" s="380">
        <f t="shared" si="8"/>
        <v>13424.30279115474</v>
      </c>
      <c r="V9" s="415">
        <f t="shared" si="9"/>
        <v>-5845.9471432154096</v>
      </c>
    </row>
    <row r="10" spans="1:22" ht="24" customHeight="1" x14ac:dyDescent="0.3">
      <c r="D10" s="377" t="s">
        <v>17</v>
      </c>
      <c r="E10" s="376">
        <f>+[4]영남권!$Q$85</f>
        <v>100736.67464384541</v>
      </c>
      <c r="F10" s="375">
        <f>+[4]영남권!$R$85</f>
        <v>98462.66845790144</v>
      </c>
      <c r="G10" s="414">
        <f t="shared" si="0"/>
        <v>-2274.0061859439738</v>
      </c>
      <c r="H10" s="376">
        <f>+[4]영남권!$Q$20</f>
        <v>59276.739135248557</v>
      </c>
      <c r="I10" s="375">
        <f>+[4]영남권!$R$20</f>
        <v>59246.668294276744</v>
      </c>
      <c r="J10" s="414">
        <f t="shared" si="1"/>
        <v>-30.070840971813595</v>
      </c>
      <c r="K10" s="376">
        <f>+[4]영남권!$Q$21</f>
        <v>19405.997473031704</v>
      </c>
      <c r="L10" s="375">
        <f>+[4]영남권!$R$21</f>
        <v>19914.041730954239</v>
      </c>
      <c r="M10" s="414">
        <f t="shared" si="2"/>
        <v>508.0442579225346</v>
      </c>
      <c r="N10" s="376">
        <f>+[4]영남권!$Q$22</f>
        <v>198.57142857142856</v>
      </c>
      <c r="O10" s="375">
        <f>+[4]영남권!$R$22</f>
        <v>177.19815396344234</v>
      </c>
      <c r="P10" s="414">
        <f t="shared" si="3"/>
        <v>-21.373274607986218</v>
      </c>
      <c r="Q10" s="376">
        <f t="shared" si="4"/>
        <v>78881.308036851697</v>
      </c>
      <c r="R10" s="375">
        <f t="shared" si="5"/>
        <v>79337.908179194419</v>
      </c>
      <c r="S10" s="414">
        <f t="shared" si="6"/>
        <v>456.60014234272239</v>
      </c>
      <c r="T10" s="376">
        <f t="shared" si="7"/>
        <v>21855.366606993717</v>
      </c>
      <c r="U10" s="375">
        <f t="shared" si="8"/>
        <v>19124.760278707021</v>
      </c>
      <c r="V10" s="414">
        <f t="shared" si="9"/>
        <v>-2730.6063282866962</v>
      </c>
    </row>
    <row r="11" spans="1:22" ht="24" customHeight="1" x14ac:dyDescent="0.3">
      <c r="D11" s="372" t="s">
        <v>132</v>
      </c>
      <c r="E11" s="371">
        <f>+[4]중부권!$Q$85</f>
        <v>107541.85650163934</v>
      </c>
      <c r="F11" s="370">
        <f>+[4]중부권!$R$85</f>
        <v>100727.81260338718</v>
      </c>
      <c r="G11" s="413">
        <f t="shared" si="0"/>
        <v>-6814.0438982521591</v>
      </c>
      <c r="H11" s="371">
        <f>+[4]중부권!$Q$20</f>
        <v>59658.297563777596</v>
      </c>
      <c r="I11" s="370">
        <f>+[4]중부권!$R$20</f>
        <v>60284.599299915433</v>
      </c>
      <c r="J11" s="413">
        <f t="shared" si="1"/>
        <v>626.301736137837</v>
      </c>
      <c r="K11" s="371">
        <f>+[4]중부권!$Q$21</f>
        <v>17965.185021997473</v>
      </c>
      <c r="L11" s="370">
        <f>+[4]중부권!$R$21</f>
        <v>18350.594875223695</v>
      </c>
      <c r="M11" s="413">
        <f t="shared" si="2"/>
        <v>385.40985322622146</v>
      </c>
      <c r="N11" s="371">
        <f>+[4]중부권!$Q$22</f>
        <v>167.21311475409837</v>
      </c>
      <c r="O11" s="370">
        <f>+[4]중부권!$R$22</f>
        <v>229.38695404220175</v>
      </c>
      <c r="P11" s="413">
        <f t="shared" si="3"/>
        <v>62.17383928810338</v>
      </c>
      <c r="Q11" s="371">
        <f t="shared" si="4"/>
        <v>77790.695700529162</v>
      </c>
      <c r="R11" s="370">
        <f t="shared" si="5"/>
        <v>78864.58112918133</v>
      </c>
      <c r="S11" s="413">
        <f t="shared" si="6"/>
        <v>1073.8854286521673</v>
      </c>
      <c r="T11" s="371">
        <f t="shared" si="7"/>
        <v>29751.160801110178</v>
      </c>
      <c r="U11" s="370">
        <f t="shared" si="8"/>
        <v>21863.231474205852</v>
      </c>
      <c r="V11" s="413">
        <f t="shared" si="9"/>
        <v>-7887.9293269043264</v>
      </c>
    </row>
    <row r="12" spans="1:22" ht="24" customHeight="1" x14ac:dyDescent="0.3">
      <c r="D12" s="412" t="s">
        <v>18</v>
      </c>
      <c r="E12" s="411">
        <f>+[4]안양!$Q$85</f>
        <v>101524.3948780488</v>
      </c>
      <c r="F12" s="410">
        <f>+[4]안양!$R$85</f>
        <v>98622.171955928046</v>
      </c>
      <c r="G12" s="409">
        <f t="shared" si="0"/>
        <v>-2902.2229221207526</v>
      </c>
      <c r="H12" s="411">
        <f>+[4]안양!$Q$20</f>
        <v>62997.505806451612</v>
      </c>
      <c r="I12" s="410">
        <f>+[4]안양!$R$20</f>
        <v>60886.717844927676</v>
      </c>
      <c r="J12" s="409">
        <f t="shared" si="1"/>
        <v>-2110.7879615239362</v>
      </c>
      <c r="K12" s="411">
        <f>+[4]안양!$Q$21</f>
        <v>17934.899120667524</v>
      </c>
      <c r="L12" s="410">
        <f>+[4]안양!$R$21</f>
        <v>19205.96987668267</v>
      </c>
      <c r="M12" s="409">
        <f t="shared" si="2"/>
        <v>1271.0707560151459</v>
      </c>
      <c r="N12" s="411">
        <f>+[4]안양!$Q$22</f>
        <v>195.1219512195122</v>
      </c>
      <c r="O12" s="410">
        <f>+[4]안양!$R$22</f>
        <v>154.20741159120146</v>
      </c>
      <c r="P12" s="409">
        <f t="shared" si="3"/>
        <v>-40.914539628310735</v>
      </c>
      <c r="Q12" s="411">
        <f t="shared" si="4"/>
        <v>81127.526878338642</v>
      </c>
      <c r="R12" s="410">
        <f t="shared" si="5"/>
        <v>80246.895133201542</v>
      </c>
      <c r="S12" s="409">
        <f t="shared" si="6"/>
        <v>-880.63174513709964</v>
      </c>
      <c r="T12" s="411">
        <f t="shared" si="7"/>
        <v>20396.867999710157</v>
      </c>
      <c r="U12" s="410">
        <f t="shared" si="8"/>
        <v>18375.276822726504</v>
      </c>
      <c r="V12" s="409">
        <f t="shared" si="9"/>
        <v>-2021.591176983653</v>
      </c>
    </row>
    <row r="13" spans="1:22" ht="24" customHeight="1" x14ac:dyDescent="0.3">
      <c r="D13" s="353" t="s">
        <v>19</v>
      </c>
      <c r="E13" s="404">
        <f>+[4]인천!$Q$85</f>
        <v>103707.95234868999</v>
      </c>
      <c r="F13" s="403">
        <f>+[4]인천!$R$85</f>
        <v>96088.332353912177</v>
      </c>
      <c r="G13" s="402">
        <f t="shared" si="0"/>
        <v>-7619.6199947778077</v>
      </c>
      <c r="H13" s="404">
        <f>+[4]인천!$Q$20</f>
        <v>63512.901099519484</v>
      </c>
      <c r="I13" s="403">
        <f>+[4]인천!$R$20</f>
        <v>65364.575306364488</v>
      </c>
      <c r="J13" s="402">
        <f t="shared" si="1"/>
        <v>1851.6742068450039</v>
      </c>
      <c r="K13" s="404">
        <f>+[4]인천!$Q$21</f>
        <v>18365.015216924399</v>
      </c>
      <c r="L13" s="403">
        <f>+[4]인천!$R$21</f>
        <v>20679.618592699961</v>
      </c>
      <c r="M13" s="402">
        <f t="shared" si="2"/>
        <v>2314.6033757755613</v>
      </c>
      <c r="N13" s="404">
        <f>+[4]인천!$Q$22</f>
        <v>375</v>
      </c>
      <c r="O13" s="403">
        <f>+[4]인천!$R$22</f>
        <v>361.85548161813153</v>
      </c>
      <c r="P13" s="402">
        <f t="shared" si="3"/>
        <v>-13.144518381868465</v>
      </c>
      <c r="Q13" s="404">
        <f t="shared" si="4"/>
        <v>82252.91631644388</v>
      </c>
      <c r="R13" s="403">
        <f t="shared" si="5"/>
        <v>86406.049380682569</v>
      </c>
      <c r="S13" s="402">
        <f t="shared" si="6"/>
        <v>4153.1330642386893</v>
      </c>
      <c r="T13" s="404">
        <f t="shared" si="7"/>
        <v>21455.036032246106</v>
      </c>
      <c r="U13" s="403">
        <f t="shared" si="8"/>
        <v>9682.2829732296086</v>
      </c>
      <c r="V13" s="402">
        <f t="shared" si="9"/>
        <v>-11772.753059016497</v>
      </c>
    </row>
    <row r="14" spans="1:22" ht="24" customHeight="1" x14ac:dyDescent="0.3">
      <c r="D14" s="353" t="s">
        <v>20</v>
      </c>
      <c r="E14" s="404">
        <f>+[4]파주!$Q$85</f>
        <v>96393.268949999998</v>
      </c>
      <c r="F14" s="403">
        <f>+[4]파주!$R$85</f>
        <v>91863.06401491609</v>
      </c>
      <c r="G14" s="402">
        <f t="shared" si="0"/>
        <v>-4530.2049350839079</v>
      </c>
      <c r="H14" s="404">
        <f>+[4]파주!$Q$20</f>
        <v>60798.642871415774</v>
      </c>
      <c r="I14" s="403">
        <f>+[4]파주!$R$20</f>
        <v>59082.816034804229</v>
      </c>
      <c r="J14" s="402">
        <f t="shared" si="1"/>
        <v>-1715.8268366115444</v>
      </c>
      <c r="K14" s="404">
        <f>+[4]파주!$Q$21</f>
        <v>20554.567147001933</v>
      </c>
      <c r="L14" s="403">
        <f>+[4]파주!$R$21</f>
        <v>20656.884711000621</v>
      </c>
      <c r="M14" s="402">
        <f t="shared" si="2"/>
        <v>102.31756399868755</v>
      </c>
      <c r="N14" s="404">
        <f>+[4]파주!$Q$22</f>
        <v>202.5</v>
      </c>
      <c r="O14" s="403">
        <f>+[4]파주!$R$22</f>
        <v>203.61361093847111</v>
      </c>
      <c r="P14" s="402">
        <f t="shared" si="3"/>
        <v>1.1136109384711119</v>
      </c>
      <c r="Q14" s="404">
        <f t="shared" si="4"/>
        <v>81555.710018417711</v>
      </c>
      <c r="R14" s="403">
        <f t="shared" si="5"/>
        <v>79943.314356743314</v>
      </c>
      <c r="S14" s="402">
        <f t="shared" si="6"/>
        <v>-1612.3956616743963</v>
      </c>
      <c r="T14" s="404">
        <f t="shared" si="7"/>
        <v>14837.558931582287</v>
      </c>
      <c r="U14" s="403">
        <f t="shared" si="8"/>
        <v>11919.749658172776</v>
      </c>
      <c r="V14" s="402">
        <f t="shared" si="9"/>
        <v>-2917.8092734095117</v>
      </c>
    </row>
    <row r="15" spans="1:22" ht="24" customHeight="1" x14ac:dyDescent="0.3">
      <c r="D15" s="353" t="s">
        <v>108</v>
      </c>
      <c r="E15" s="404">
        <f>+[4]김포!$Q$85</f>
        <v>95190.621875000012</v>
      </c>
      <c r="F15" s="403">
        <f>+[4]김포!$R$85</f>
        <v>92479.294914918879</v>
      </c>
      <c r="G15" s="402">
        <f t="shared" si="0"/>
        <v>-2711.3269600811327</v>
      </c>
      <c r="H15" s="404">
        <f>+[4]김포!$Q$20</f>
        <v>57669.99532814238</v>
      </c>
      <c r="I15" s="403">
        <f>+[4]김포!$R$20</f>
        <v>60433.177279019183</v>
      </c>
      <c r="J15" s="402">
        <f t="shared" si="1"/>
        <v>2763.1819508768021</v>
      </c>
      <c r="K15" s="404">
        <f>+[4]김포!$Q$21</f>
        <v>18792.871096491232</v>
      </c>
      <c r="L15" s="403">
        <f>+[4]김포!$R$21</f>
        <v>20518.41803440775</v>
      </c>
      <c r="M15" s="402">
        <f t="shared" si="2"/>
        <v>1725.5469379165188</v>
      </c>
      <c r="N15" s="404">
        <f>+[4]김포!$Q$22</f>
        <v>65</v>
      </c>
      <c r="O15" s="403">
        <f>+[4]김포!$R$22</f>
        <v>75.934842792169263</v>
      </c>
      <c r="P15" s="402">
        <f t="shared" si="3"/>
        <v>10.934842792169263</v>
      </c>
      <c r="Q15" s="404">
        <f t="shared" si="4"/>
        <v>76527.866424633612</v>
      </c>
      <c r="R15" s="403">
        <f t="shared" si="5"/>
        <v>81027.530156219102</v>
      </c>
      <c r="S15" s="402">
        <f t="shared" si="6"/>
        <v>4499.6637315854896</v>
      </c>
      <c r="T15" s="404">
        <f t="shared" si="7"/>
        <v>18662.7554503664</v>
      </c>
      <c r="U15" s="403">
        <f t="shared" si="8"/>
        <v>11451.764758699777</v>
      </c>
      <c r="V15" s="402">
        <f t="shared" si="9"/>
        <v>-7210.9906916666223</v>
      </c>
    </row>
    <row r="16" spans="1:22" ht="24" customHeight="1" x14ac:dyDescent="0.3">
      <c r="D16" s="408" t="s">
        <v>21</v>
      </c>
      <c r="E16" s="407">
        <f>+[4]부산!$Q$85</f>
        <v>107699.87436819047</v>
      </c>
      <c r="F16" s="406">
        <f>+[4]부산!$R$85</f>
        <v>107168.00470320313</v>
      </c>
      <c r="G16" s="405">
        <f t="shared" si="0"/>
        <v>-531.86966498734546</v>
      </c>
      <c r="H16" s="407">
        <f>+[4]부산!$Q$20</f>
        <v>63880.519194503482</v>
      </c>
      <c r="I16" s="406">
        <f>+[4]부산!$R$20</f>
        <v>63670.936458794044</v>
      </c>
      <c r="J16" s="405">
        <f t="shared" si="1"/>
        <v>-209.58273570943857</v>
      </c>
      <c r="K16" s="407">
        <f>+[4]부산!$Q$21</f>
        <v>20705.659444444442</v>
      </c>
      <c r="L16" s="406">
        <f>+[4]부산!$R$21</f>
        <v>22086.105852867462</v>
      </c>
      <c r="M16" s="405">
        <f t="shared" si="2"/>
        <v>1380.4464084230203</v>
      </c>
      <c r="N16" s="407">
        <f>+[4]부산!$Q$22</f>
        <v>95.238095238095227</v>
      </c>
      <c r="O16" s="406">
        <f>+[4]부산!$R$22</f>
        <v>0</v>
      </c>
      <c r="P16" s="405">
        <f t="shared" si="3"/>
        <v>-95.238095238095227</v>
      </c>
      <c r="Q16" s="407">
        <f t="shared" si="4"/>
        <v>84681.416734186016</v>
      </c>
      <c r="R16" s="406">
        <f t="shared" si="5"/>
        <v>85757.042311661498</v>
      </c>
      <c r="S16" s="405">
        <f t="shared" si="6"/>
        <v>1075.6255774754827</v>
      </c>
      <c r="T16" s="407">
        <f t="shared" si="7"/>
        <v>23018.457634004459</v>
      </c>
      <c r="U16" s="406">
        <f t="shared" si="8"/>
        <v>21410.96239154163</v>
      </c>
      <c r="V16" s="405">
        <f t="shared" si="9"/>
        <v>-1607.4952424628282</v>
      </c>
    </row>
    <row r="17" spans="4:22" ht="24" customHeight="1" x14ac:dyDescent="0.3">
      <c r="D17" s="353" t="s">
        <v>22</v>
      </c>
      <c r="E17" s="404">
        <f>+[4]서부산!$Q$85</f>
        <v>99299.860476190486</v>
      </c>
      <c r="F17" s="403">
        <f>+[4]서부산!$R$85</f>
        <v>97055.586706086251</v>
      </c>
      <c r="G17" s="402">
        <f t="shared" si="0"/>
        <v>-2244.2737701042352</v>
      </c>
      <c r="H17" s="404">
        <f>+[4]서부산!$Q$20</f>
        <v>59485.289345063538</v>
      </c>
      <c r="I17" s="403">
        <f>+[4]서부산!$R$20</f>
        <v>60265.37698574338</v>
      </c>
      <c r="J17" s="402">
        <f t="shared" si="1"/>
        <v>780.08764067984157</v>
      </c>
      <c r="K17" s="404">
        <f>+[4]서부산!$Q$21</f>
        <v>17691.748535878163</v>
      </c>
      <c r="L17" s="403">
        <f>+[4]서부산!$R$21</f>
        <v>17146.210997963339</v>
      </c>
      <c r="M17" s="402">
        <f t="shared" si="2"/>
        <v>-545.5375379148245</v>
      </c>
      <c r="N17" s="404">
        <f>+[4]서부산!$Q$22</f>
        <v>142.85714285714286</v>
      </c>
      <c r="O17" s="403">
        <f>+[4]서부산!$R$22</f>
        <v>130.72617107942975</v>
      </c>
      <c r="P17" s="402">
        <f t="shared" si="3"/>
        <v>-12.130971777713114</v>
      </c>
      <c r="Q17" s="404">
        <f t="shared" si="4"/>
        <v>77319.895023798847</v>
      </c>
      <c r="R17" s="403">
        <f t="shared" si="5"/>
        <v>77542.314154786145</v>
      </c>
      <c r="S17" s="402">
        <f t="shared" si="6"/>
        <v>222.41913098729856</v>
      </c>
      <c r="T17" s="404">
        <f t="shared" si="7"/>
        <v>21979.96545239164</v>
      </c>
      <c r="U17" s="403">
        <f t="shared" si="8"/>
        <v>19513.272551300106</v>
      </c>
      <c r="V17" s="402">
        <f t="shared" si="9"/>
        <v>-2466.6929010915337</v>
      </c>
    </row>
    <row r="18" spans="4:22" ht="24" customHeight="1" x14ac:dyDescent="0.3">
      <c r="D18" s="353" t="s">
        <v>23</v>
      </c>
      <c r="E18" s="404">
        <f>+[4]김해!$Q$85</f>
        <v>96299.900000000009</v>
      </c>
      <c r="F18" s="403">
        <f>+[4]김해!$R$85</f>
        <v>88617.201895235587</v>
      </c>
      <c r="G18" s="402">
        <f t="shared" si="0"/>
        <v>-7682.6981047644222</v>
      </c>
      <c r="H18" s="404">
        <f>+[4]김해!$Q$20</f>
        <v>56532.734430693519</v>
      </c>
      <c r="I18" s="403">
        <f>+[4]김해!$R$20</f>
        <v>54267.076862332193</v>
      </c>
      <c r="J18" s="402">
        <f t="shared" si="1"/>
        <v>-2265.6575683613264</v>
      </c>
      <c r="K18" s="404">
        <f>+[4]김해!$Q$21</f>
        <v>20304.726896407687</v>
      </c>
      <c r="L18" s="403">
        <f>+[4]김해!$R$21</f>
        <v>23133.126875493548</v>
      </c>
      <c r="M18" s="402">
        <f t="shared" si="2"/>
        <v>2828.3999790858616</v>
      </c>
      <c r="N18" s="404">
        <f>+[4]김해!$Q$22</f>
        <v>357.14285714285717</v>
      </c>
      <c r="O18" s="403">
        <f>+[4]김해!$R$22</f>
        <v>471.50539615688342</v>
      </c>
      <c r="P18" s="402">
        <f t="shared" si="3"/>
        <v>114.36253901402625</v>
      </c>
      <c r="Q18" s="404">
        <f t="shared" si="4"/>
        <v>77194.604184244061</v>
      </c>
      <c r="R18" s="403">
        <f t="shared" si="5"/>
        <v>77871.709133982615</v>
      </c>
      <c r="S18" s="402">
        <f t="shared" si="6"/>
        <v>677.10494973855384</v>
      </c>
      <c r="T18" s="404">
        <f t="shared" si="7"/>
        <v>19105.295815755948</v>
      </c>
      <c r="U18" s="403">
        <f t="shared" si="8"/>
        <v>10745.492761252972</v>
      </c>
      <c r="V18" s="402">
        <f t="shared" si="9"/>
        <v>-8359.803054502976</v>
      </c>
    </row>
    <row r="19" spans="4:22" ht="24" customHeight="1" x14ac:dyDescent="0.3">
      <c r="D19" s="353" t="s">
        <v>24</v>
      </c>
      <c r="E19" s="404">
        <f>+[4]정관!$Q$85</f>
        <v>102000.09438105264</v>
      </c>
      <c r="F19" s="403">
        <f>+[4]정관!$R$85</f>
        <v>100259.80674473668</v>
      </c>
      <c r="G19" s="402">
        <f t="shared" si="0"/>
        <v>-1740.2876363159594</v>
      </c>
      <c r="H19" s="404">
        <f>+[4]정관!$Q$20</f>
        <v>62328.428560525092</v>
      </c>
      <c r="I19" s="403">
        <f>+[4]정관!$R$20</f>
        <v>63236.309604519774</v>
      </c>
      <c r="J19" s="402">
        <f t="shared" si="1"/>
        <v>907.88104399468284</v>
      </c>
      <c r="K19" s="404">
        <f>+[4]정관!$Q$21</f>
        <v>19614.005526315792</v>
      </c>
      <c r="L19" s="403">
        <f>+[4]정관!$R$21</f>
        <v>18567.266133674446</v>
      </c>
      <c r="M19" s="402">
        <f t="shared" si="2"/>
        <v>-1046.7393926413461</v>
      </c>
      <c r="N19" s="404">
        <f>+[4]정관!$Q$22</f>
        <v>210.52631578947367</v>
      </c>
      <c r="O19" s="403">
        <f>+[4]정관!$R$22</f>
        <v>287.20055431190707</v>
      </c>
      <c r="P19" s="402">
        <f t="shared" si="3"/>
        <v>76.674238522433399</v>
      </c>
      <c r="Q19" s="404">
        <f t="shared" si="4"/>
        <v>82152.960402630371</v>
      </c>
      <c r="R19" s="403">
        <f t="shared" si="5"/>
        <v>82090.776292506125</v>
      </c>
      <c r="S19" s="402">
        <f t="shared" si="6"/>
        <v>-62.184110124246217</v>
      </c>
      <c r="T19" s="404">
        <f t="shared" si="7"/>
        <v>19847.133978422265</v>
      </c>
      <c r="U19" s="403">
        <f t="shared" si="8"/>
        <v>18169.030452230552</v>
      </c>
      <c r="V19" s="402">
        <f t="shared" si="9"/>
        <v>-1678.1035261917132</v>
      </c>
    </row>
    <row r="20" spans="4:22" ht="24" customHeight="1" x14ac:dyDescent="0.3">
      <c r="D20" s="353" t="s">
        <v>25</v>
      </c>
      <c r="E20" s="404">
        <f>+[4]양산!$Q$85</f>
        <v>94305</v>
      </c>
      <c r="F20" s="403">
        <f>+[4]양산!$R$85</f>
        <v>94190.381125226864</v>
      </c>
      <c r="G20" s="402">
        <f t="shared" si="0"/>
        <v>-114.61887477313576</v>
      </c>
      <c r="H20" s="404">
        <f>+[4]양산!$Q$20</f>
        <v>54934.336939628134</v>
      </c>
      <c r="I20" s="403">
        <f>+[4]양산!$R$20</f>
        <v>52626.573007754501</v>
      </c>
      <c r="J20" s="402">
        <f t="shared" si="1"/>
        <v>-2307.7639318736328</v>
      </c>
      <c r="K20" s="404">
        <f>+[4]양산!$Q$21</f>
        <v>18437.427997076025</v>
      </c>
      <c r="L20" s="403">
        <f>+[4]양산!$R$21</f>
        <v>24152.75004124732</v>
      </c>
      <c r="M20" s="402">
        <f t="shared" si="2"/>
        <v>5715.3220441712947</v>
      </c>
      <c r="N20" s="404">
        <f>+[4]양산!$Q$22</f>
        <v>66.666666666666671</v>
      </c>
      <c r="O20" s="403">
        <f>+[4]양산!$R$22</f>
        <v>56.453390529615575</v>
      </c>
      <c r="P20" s="402">
        <f t="shared" si="3"/>
        <v>-10.213276137051096</v>
      </c>
      <c r="Q20" s="404">
        <f t="shared" si="4"/>
        <v>73438.431603370831</v>
      </c>
      <c r="R20" s="403">
        <f t="shared" si="5"/>
        <v>76835.77643953143</v>
      </c>
      <c r="S20" s="402">
        <f t="shared" si="6"/>
        <v>3397.3448361605988</v>
      </c>
      <c r="T20" s="404">
        <f t="shared" si="7"/>
        <v>20866.568396629169</v>
      </c>
      <c r="U20" s="403">
        <f t="shared" si="8"/>
        <v>17354.604685695434</v>
      </c>
      <c r="V20" s="402">
        <f t="shared" si="9"/>
        <v>-3511.9637109337345</v>
      </c>
    </row>
    <row r="21" spans="4:22" ht="24" customHeight="1" x14ac:dyDescent="0.3">
      <c r="D21" s="353" t="s">
        <v>26</v>
      </c>
      <c r="E21" s="404">
        <f>+[4]창원!$Q$85</f>
        <v>101100.38024584616</v>
      </c>
      <c r="F21" s="403">
        <f>+[4]창원!$R$85</f>
        <v>91406.721662083728</v>
      </c>
      <c r="G21" s="402">
        <f t="shared" si="0"/>
        <v>-9693.6585837624298</v>
      </c>
      <c r="H21" s="404">
        <f>+[4]창원!$Q$20</f>
        <v>57643.676195773078</v>
      </c>
      <c r="I21" s="403">
        <f>+[4]창원!$R$20</f>
        <v>51743.783837457995</v>
      </c>
      <c r="J21" s="402">
        <f t="shared" si="1"/>
        <v>-5899.8923583150827</v>
      </c>
      <c r="K21" s="404">
        <f>+[4]창원!$Q$21</f>
        <v>18301.509015275507</v>
      </c>
      <c r="L21" s="403">
        <f>+[4]창원!$R$21</f>
        <v>19880.523373052245</v>
      </c>
      <c r="M21" s="402">
        <f t="shared" si="2"/>
        <v>1579.0143577767376</v>
      </c>
      <c r="N21" s="404">
        <f>+[4]창원!$Q$22</f>
        <v>115.38461538461539</v>
      </c>
      <c r="O21" s="403">
        <f>+[4]창원!$R$22</f>
        <v>99.844790711885111</v>
      </c>
      <c r="P21" s="402">
        <f t="shared" si="3"/>
        <v>-15.539824672730276</v>
      </c>
      <c r="Q21" s="404">
        <f t="shared" si="4"/>
        <v>76060.569826433188</v>
      </c>
      <c r="R21" s="403">
        <f t="shared" si="5"/>
        <v>71724.15200122213</v>
      </c>
      <c r="S21" s="402">
        <f t="shared" si="6"/>
        <v>-4336.4178252110578</v>
      </c>
      <c r="T21" s="404">
        <f t="shared" si="7"/>
        <v>25039.81041941297</v>
      </c>
      <c r="U21" s="403">
        <f t="shared" si="8"/>
        <v>19682.569660861598</v>
      </c>
      <c r="V21" s="402">
        <f t="shared" si="9"/>
        <v>-5357.240758551372</v>
      </c>
    </row>
    <row r="22" spans="4:22" ht="24" customHeight="1" x14ac:dyDescent="0.3">
      <c r="D22" s="353" t="s">
        <v>131</v>
      </c>
      <c r="E22" s="404">
        <f>+[4]대구!$Q$85</f>
        <v>96233.019746376798</v>
      </c>
      <c r="F22" s="403">
        <f>+[4]대구!$R$85</f>
        <v>84891.280878659527</v>
      </c>
      <c r="G22" s="402">
        <f t="shared" si="0"/>
        <v>-11341.738867717271</v>
      </c>
      <c r="H22" s="404">
        <f>+[4]대구!$Q$20</f>
        <v>53494.537358414869</v>
      </c>
      <c r="I22" s="403">
        <f>+[4]대구!$R$20</f>
        <v>51960.582674213736</v>
      </c>
      <c r="J22" s="402">
        <f t="shared" si="1"/>
        <v>-1533.9546842011332</v>
      </c>
      <c r="K22" s="404">
        <f>+[4]대구!$Q$21</f>
        <v>18656.076315789473</v>
      </c>
      <c r="L22" s="403">
        <f>+[4]대구!$R$21</f>
        <v>17805.216778498332</v>
      </c>
      <c r="M22" s="402">
        <f t="shared" si="2"/>
        <v>-850.85953729114044</v>
      </c>
      <c r="N22" s="404">
        <f>+[4]대구!$Q$22</f>
        <v>400</v>
      </c>
      <c r="O22" s="403">
        <f>+[4]대구!$R$22</f>
        <v>164.78966900326122</v>
      </c>
      <c r="P22" s="402">
        <f t="shared" si="3"/>
        <v>-235.21033099673878</v>
      </c>
      <c r="Q22" s="404">
        <f t="shared" si="4"/>
        <v>72550.613674204345</v>
      </c>
      <c r="R22" s="403">
        <f t="shared" si="5"/>
        <v>69930.589121715326</v>
      </c>
      <c r="S22" s="402">
        <f t="shared" si="6"/>
        <v>-2620.0245524890197</v>
      </c>
      <c r="T22" s="404">
        <f t="shared" si="7"/>
        <v>23682.406072172453</v>
      </c>
      <c r="U22" s="403">
        <f t="shared" si="8"/>
        <v>14960.691756944201</v>
      </c>
      <c r="V22" s="402">
        <f t="shared" si="9"/>
        <v>-8721.7143152282515</v>
      </c>
    </row>
    <row r="23" spans="4:22" ht="24" customHeight="1" x14ac:dyDescent="0.3">
      <c r="D23" s="353" t="s">
        <v>130</v>
      </c>
      <c r="E23" s="404">
        <f>+[4]울산!$Q$85</f>
        <v>104204.64285714286</v>
      </c>
      <c r="F23" s="403">
        <f>+[4]울산!$R$85</f>
        <v>108899.69648683512</v>
      </c>
      <c r="G23" s="402">
        <f t="shared" si="0"/>
        <v>4695.0536296922655</v>
      </c>
      <c r="H23" s="404">
        <f>+[4]울산!$Q$20</f>
        <v>60855.317493511306</v>
      </c>
      <c r="I23" s="403">
        <f>+[4]울산!$R$20</f>
        <v>60811.776540122752</v>
      </c>
      <c r="J23" s="402">
        <f t="shared" si="1"/>
        <v>-43.540953388554044</v>
      </c>
      <c r="K23" s="404">
        <f>+[4]울산!$Q$21</f>
        <v>21345.440250896056</v>
      </c>
      <c r="L23" s="403">
        <f>+[4]울산!$R$21</f>
        <v>21425.345078426915</v>
      </c>
      <c r="M23" s="402">
        <f t="shared" si="2"/>
        <v>79.90482753085962</v>
      </c>
      <c r="N23" s="404">
        <f>+[4]울산!$Q$22</f>
        <v>280</v>
      </c>
      <c r="O23" s="403">
        <f>+[4]울산!$R$22</f>
        <v>261.02303553837993</v>
      </c>
      <c r="P23" s="402">
        <f t="shared" si="3"/>
        <v>-18.976964461620071</v>
      </c>
      <c r="Q23" s="404">
        <f t="shared" si="4"/>
        <v>82480.757744407369</v>
      </c>
      <c r="R23" s="403">
        <f t="shared" si="5"/>
        <v>82498.144654088042</v>
      </c>
      <c r="S23" s="402">
        <f t="shared" si="6"/>
        <v>17.386909680673853</v>
      </c>
      <c r="T23" s="404">
        <f t="shared" si="7"/>
        <v>21723.885112735486</v>
      </c>
      <c r="U23" s="403">
        <f t="shared" si="8"/>
        <v>26401.551832747078</v>
      </c>
      <c r="V23" s="402">
        <f t="shared" si="9"/>
        <v>4677.6667200115917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93724.434588004602</v>
      </c>
      <c r="G24" s="405">
        <f t="shared" si="0"/>
        <v>-9275.5654119953979</v>
      </c>
      <c r="H24" s="407">
        <f>+[4]아산!$Q$20</f>
        <v>57221.380421836235</v>
      </c>
      <c r="I24" s="406">
        <f>+[4]아산!$R$20</f>
        <v>57814.413828381439</v>
      </c>
      <c r="J24" s="405">
        <f t="shared" si="1"/>
        <v>593.03340654520434</v>
      </c>
      <c r="K24" s="407">
        <f>+[4]아산!$Q$21</f>
        <v>20600.503314238955</v>
      </c>
      <c r="L24" s="406">
        <f>+[4]아산!$R$21</f>
        <v>21491.164712903363</v>
      </c>
      <c r="M24" s="405">
        <f t="shared" si="2"/>
        <v>890.6613986644079</v>
      </c>
      <c r="N24" s="407">
        <f>+[4]아산!$Q$22</f>
        <v>96.15384615384616</v>
      </c>
      <c r="O24" s="406">
        <f>+[4]아산!$R$22</f>
        <v>181.59904514258918</v>
      </c>
      <c r="P24" s="405">
        <f t="shared" si="3"/>
        <v>85.445198988743016</v>
      </c>
      <c r="Q24" s="407">
        <f t="shared" si="4"/>
        <v>77918.037582229037</v>
      </c>
      <c r="R24" s="406">
        <f t="shared" si="5"/>
        <v>79487.177586427395</v>
      </c>
      <c r="S24" s="405">
        <f t="shared" si="6"/>
        <v>1569.1400041983579</v>
      </c>
      <c r="T24" s="407">
        <f t="shared" si="7"/>
        <v>25081.962417770963</v>
      </c>
      <c r="U24" s="406">
        <f t="shared" si="8"/>
        <v>14237.257001577207</v>
      </c>
      <c r="V24" s="405">
        <f t="shared" si="9"/>
        <v>-10844.705416193756</v>
      </c>
    </row>
    <row r="25" spans="4:22" ht="24" customHeight="1" x14ac:dyDescent="0.3">
      <c r="D25" s="353" t="s">
        <v>129</v>
      </c>
      <c r="E25" s="404">
        <f>+[4]전주!$Q$85</f>
        <v>100725.59138333335</v>
      </c>
      <c r="F25" s="403">
        <f>+[4]전주!$R$85</f>
        <v>98374.996679505915</v>
      </c>
      <c r="G25" s="402">
        <f t="shared" si="0"/>
        <v>-2350.5947038274317</v>
      </c>
      <c r="H25" s="404">
        <f>+[4]전주!$Q$20</f>
        <v>56346.573915461617</v>
      </c>
      <c r="I25" s="403">
        <f>+[4]전주!$R$20</f>
        <v>59969.062913907284</v>
      </c>
      <c r="J25" s="402">
        <f t="shared" si="1"/>
        <v>3622.4889984456677</v>
      </c>
      <c r="K25" s="404">
        <f>+[4]전주!$Q$21</f>
        <v>16650.867615248226</v>
      </c>
      <c r="L25" s="403">
        <f>+[4]전주!$R$21</f>
        <v>15464.143973509934</v>
      </c>
      <c r="M25" s="402">
        <f t="shared" si="2"/>
        <v>-1186.7236417382919</v>
      </c>
      <c r="N25" s="404">
        <f>+[4]전주!$Q$22</f>
        <v>250</v>
      </c>
      <c r="O25" s="403">
        <f>+[4]전주!$R$22</f>
        <v>283.45192052980133</v>
      </c>
      <c r="P25" s="402">
        <f t="shared" si="3"/>
        <v>33.451920529801328</v>
      </c>
      <c r="Q25" s="404">
        <f t="shared" si="4"/>
        <v>73247.441530709839</v>
      </c>
      <c r="R25" s="403">
        <f t="shared" si="5"/>
        <v>75716.658807947009</v>
      </c>
      <c r="S25" s="402">
        <f t="shared" si="6"/>
        <v>2469.2172772371705</v>
      </c>
      <c r="T25" s="404">
        <f t="shared" si="7"/>
        <v>27478.149852623508</v>
      </c>
      <c r="U25" s="403">
        <f t="shared" si="8"/>
        <v>22658.337871558906</v>
      </c>
      <c r="V25" s="402">
        <f t="shared" si="9"/>
        <v>-4819.8119810646022</v>
      </c>
    </row>
    <row r="26" spans="4:22" ht="24" customHeight="1" x14ac:dyDescent="0.3">
      <c r="D26" s="353" t="s">
        <v>128</v>
      </c>
      <c r="E26" s="404">
        <f>+[4]군산!$Q$85</f>
        <v>111798.26875000002</v>
      </c>
      <c r="F26" s="403">
        <f>+[4]군산!$R$85</f>
        <v>110265.30369665993</v>
      </c>
      <c r="G26" s="402">
        <f t="shared" si="0"/>
        <v>-1532.9650533400854</v>
      </c>
      <c r="H26" s="404">
        <f>+[4]군산!$Q$20</f>
        <v>58285.287419354834</v>
      </c>
      <c r="I26" s="403">
        <f>+[4]군산!$R$20</f>
        <v>57321.71204747774</v>
      </c>
      <c r="J26" s="402">
        <f t="shared" si="1"/>
        <v>-963.57537187709386</v>
      </c>
      <c r="K26" s="404">
        <f>+[4]군산!$Q$21</f>
        <v>14094.098014032073</v>
      </c>
      <c r="L26" s="403">
        <f>+[4]군산!$R$21</f>
        <v>14885.378041543026</v>
      </c>
      <c r="M26" s="402">
        <f t="shared" si="2"/>
        <v>791.280027510953</v>
      </c>
      <c r="N26" s="404">
        <f>+[4]군산!$Q$22</f>
        <v>56.25</v>
      </c>
      <c r="O26" s="403">
        <f>+[4]군산!$R$22</f>
        <v>0</v>
      </c>
      <c r="P26" s="402">
        <f t="shared" si="3"/>
        <v>-56.25</v>
      </c>
      <c r="Q26" s="404">
        <f t="shared" si="4"/>
        <v>72435.635433386909</v>
      </c>
      <c r="R26" s="403">
        <f t="shared" si="5"/>
        <v>72207.09008902077</v>
      </c>
      <c r="S26" s="402">
        <f t="shared" si="6"/>
        <v>-228.54534436613903</v>
      </c>
      <c r="T26" s="404">
        <f t="shared" si="7"/>
        <v>39362.633316613108</v>
      </c>
      <c r="U26" s="403">
        <f t="shared" si="8"/>
        <v>38058.213607639162</v>
      </c>
      <c r="V26" s="402">
        <f t="shared" si="9"/>
        <v>-1304.4197089739464</v>
      </c>
    </row>
    <row r="27" spans="4:22" ht="24" customHeight="1" x14ac:dyDescent="0.3">
      <c r="D27" s="353" t="s">
        <v>127</v>
      </c>
      <c r="E27" s="404">
        <f>+[4]원주!$Q$85</f>
        <v>112000</v>
      </c>
      <c r="F27" s="403">
        <f>+[4]원주!$R$85</f>
        <v>112065.54860800953</v>
      </c>
      <c r="G27" s="402">
        <f t="shared" si="0"/>
        <v>65.548608009528834</v>
      </c>
      <c r="H27" s="404">
        <f>+[4]원주!$Q$20</f>
        <v>57608.53333333334</v>
      </c>
      <c r="I27" s="403">
        <f>+[4]원주!$R$20</f>
        <v>56864.703587911274</v>
      </c>
      <c r="J27" s="402">
        <f t="shared" si="1"/>
        <v>-743.82974542206648</v>
      </c>
      <c r="K27" s="404">
        <f>+[4]원주!$Q$21</f>
        <v>15172.019679743249</v>
      </c>
      <c r="L27" s="403">
        <f>+[4]원주!$R$21</f>
        <v>14578.080988536549</v>
      </c>
      <c r="M27" s="402">
        <f t="shared" si="2"/>
        <v>-593.93869120670024</v>
      </c>
      <c r="N27" s="404">
        <f>+[4]원주!$Q$22</f>
        <v>291.66666666666669</v>
      </c>
      <c r="O27" s="403">
        <f>+[4]원주!$R$22</f>
        <v>354.90278398094387</v>
      </c>
      <c r="P27" s="402">
        <f t="shared" si="3"/>
        <v>63.23611731427718</v>
      </c>
      <c r="Q27" s="404">
        <f t="shared" si="4"/>
        <v>73072.219679743255</v>
      </c>
      <c r="R27" s="403">
        <f t="shared" si="5"/>
        <v>71797.687360428768</v>
      </c>
      <c r="S27" s="402">
        <f t="shared" si="6"/>
        <v>-1274.5323193144868</v>
      </c>
      <c r="T27" s="404">
        <f t="shared" si="7"/>
        <v>38927.780320256745</v>
      </c>
      <c r="U27" s="403">
        <f t="shared" si="8"/>
        <v>40267.86124758076</v>
      </c>
      <c r="V27" s="402">
        <f t="shared" si="9"/>
        <v>1340.0809273240156</v>
      </c>
    </row>
    <row r="28" spans="4:22" ht="24" customHeight="1" x14ac:dyDescent="0.3">
      <c r="D28" s="348" t="s">
        <v>126</v>
      </c>
      <c r="E28" s="401">
        <f>+[4]제주!$Q$85</f>
        <v>122995.55555555556</v>
      </c>
      <c r="F28" s="400">
        <f>+[4]제주!$R$85</f>
        <v>126594.92720306512</v>
      </c>
      <c r="G28" s="399">
        <f t="shared" si="0"/>
        <v>3599.3716475095571</v>
      </c>
      <c r="H28" s="401">
        <f>+[4]제주!$Q$20</f>
        <v>73700.874898034846</v>
      </c>
      <c r="I28" s="400">
        <f>+[4]제주!$R$20</f>
        <v>78645.023511967796</v>
      </c>
      <c r="J28" s="399">
        <f t="shared" si="1"/>
        <v>4944.14861393295</v>
      </c>
      <c r="K28" s="401">
        <f>+[4]제주!$Q$21</f>
        <v>17407.542955326458</v>
      </c>
      <c r="L28" s="400">
        <f>+[4]제주!$R$21</f>
        <v>17752.839017157385</v>
      </c>
      <c r="M28" s="399">
        <f t="shared" si="2"/>
        <v>345.29606183092619</v>
      </c>
      <c r="N28" s="401">
        <f>+[4]제주!$Q$22</f>
        <v>277.77777777777777</v>
      </c>
      <c r="O28" s="400">
        <f>+[4]제주!$R$22</f>
        <v>409.31137470874813</v>
      </c>
      <c r="P28" s="399">
        <f t="shared" si="3"/>
        <v>131.53359693097036</v>
      </c>
      <c r="Q28" s="401">
        <f t="shared" si="4"/>
        <v>91386.195631139082</v>
      </c>
      <c r="R28" s="400">
        <f t="shared" si="5"/>
        <v>96807.173903833929</v>
      </c>
      <c r="S28" s="399">
        <f t="shared" si="6"/>
        <v>5420.978272694847</v>
      </c>
      <c r="T28" s="401">
        <f t="shared" si="7"/>
        <v>31609.35992441648</v>
      </c>
      <c r="U28" s="400">
        <f t="shared" si="8"/>
        <v>29787.75329923119</v>
      </c>
      <c r="V28" s="399">
        <f t="shared" si="9"/>
        <v>-1821.6066251852899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A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212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139</v>
      </c>
      <c r="D6" s="651" t="s">
        <v>11</v>
      </c>
      <c r="E6" s="396" t="s">
        <v>152</v>
      </c>
      <c r="F6" s="395"/>
      <c r="G6" s="394"/>
      <c r="H6" s="396" t="s">
        <v>151</v>
      </c>
      <c r="I6" s="395"/>
      <c r="J6" s="394"/>
      <c r="K6" s="396" t="s">
        <v>150</v>
      </c>
      <c r="L6" s="395"/>
      <c r="M6" s="394"/>
      <c r="N6" s="396" t="s">
        <v>149</v>
      </c>
      <c r="O6" s="395"/>
      <c r="P6" s="394"/>
      <c r="Q6" s="396" t="s">
        <v>148</v>
      </c>
      <c r="R6" s="395"/>
      <c r="S6" s="394"/>
      <c r="T6" s="396" t="s">
        <v>147</v>
      </c>
      <c r="U6" s="395"/>
      <c r="V6" s="394"/>
    </row>
    <row r="7" spans="1:22" ht="24" customHeight="1" x14ac:dyDescent="0.3">
      <c r="D7" s="65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441">
        <f>+[4]합계!$G$9</f>
        <v>100601.80801981625</v>
      </c>
      <c r="F8" s="440">
        <f>+[4]합계!$H$9</f>
        <v>100371.00820880003</v>
      </c>
      <c r="G8" s="439">
        <f t="shared" ref="G8:G28" si="0">+F8-E8</f>
        <v>-230.79981101621524</v>
      </c>
      <c r="H8" s="441">
        <f>+[4]합계!$G$10</f>
        <v>93781.42798886224</v>
      </c>
      <c r="I8" s="440">
        <f>+[4]합계!$H$10</f>
        <v>94037.51837054186</v>
      </c>
      <c r="J8" s="439">
        <f t="shared" ref="J8:J28" si="1">+I8-H8</f>
        <v>256.0903816796199</v>
      </c>
      <c r="K8" s="441">
        <f>+[4]합계!$G$12</f>
        <v>63650.816468478748</v>
      </c>
      <c r="L8" s="440">
        <f>+[4]합계!$H$12</f>
        <v>61644.138679032716</v>
      </c>
      <c r="M8" s="439">
        <f t="shared" ref="M8:M28" si="2">+L8-K8</f>
        <v>-2006.677789446032</v>
      </c>
      <c r="N8" s="441">
        <f>+[4]합계!$G$13</f>
        <v>41266.382163089307</v>
      </c>
      <c r="O8" s="440">
        <f>+[4]합계!$H$13</f>
        <v>38841.92369788207</v>
      </c>
      <c r="P8" s="439">
        <f t="shared" ref="P8:P28" si="3">+O8-N8</f>
        <v>-2424.4584652072372</v>
      </c>
      <c r="Q8" s="441">
        <f>+[4]합계!$G$16</f>
        <v>13312.083698759812</v>
      </c>
      <c r="R8" s="440">
        <f>+[4]합계!$H$16</f>
        <v>12900.690153659718</v>
      </c>
      <c r="S8" s="439">
        <f t="shared" ref="S8:S28" si="4">+R8-Q8</f>
        <v>-411.39354510009434</v>
      </c>
      <c r="T8" s="441">
        <f>+[4]합계!$G$17</f>
        <v>15782.413098804051</v>
      </c>
      <c r="U8" s="440">
        <f>+[4]합계!$H$17</f>
        <v>15520.540587263149</v>
      </c>
      <c r="V8" s="439">
        <f t="shared" ref="V8:V28" si="5">+U8-T8</f>
        <v>-261.87251154090154</v>
      </c>
    </row>
    <row r="9" spans="1:22" ht="24" customHeight="1" x14ac:dyDescent="0.3">
      <c r="D9" s="382" t="s">
        <v>16</v>
      </c>
      <c r="E9" s="438">
        <f>+[4]수도권!$G$9</f>
        <v>100000</v>
      </c>
      <c r="F9" s="437">
        <f>+[4]수도권!$H$9</f>
        <v>99848.679893605178</v>
      </c>
      <c r="G9" s="436">
        <f t="shared" si="0"/>
        <v>-151.32010639482178</v>
      </c>
      <c r="H9" s="438">
        <f>+[4]수도권!$G$10</f>
        <v>98000.000000000015</v>
      </c>
      <c r="I9" s="437">
        <f>+[4]수도권!$H$10</f>
        <v>98512.621103300931</v>
      </c>
      <c r="J9" s="436">
        <f t="shared" si="1"/>
        <v>512.62110330091673</v>
      </c>
      <c r="K9" s="438">
        <f>+[4]수도권!$G$12</f>
        <v>64176.026267181143</v>
      </c>
      <c r="L9" s="437">
        <f>+[4]수도권!$H$12</f>
        <v>62079.727713895729</v>
      </c>
      <c r="M9" s="436">
        <f t="shared" si="2"/>
        <v>-2096.2985532854145</v>
      </c>
      <c r="N9" s="438">
        <f>+[4]수도권!$G$13</f>
        <v>47143.960088529122</v>
      </c>
      <c r="O9" s="437">
        <f>+[4]수도권!$H$13</f>
        <v>42771.477238277723</v>
      </c>
      <c r="P9" s="436">
        <f t="shared" si="3"/>
        <v>-4372.4828502513992</v>
      </c>
      <c r="Q9" s="438">
        <f>+[4]수도권!$G$16</f>
        <v>15814.204475699036</v>
      </c>
      <c r="R9" s="437">
        <f>+[4]수도권!$H$16</f>
        <v>14960.763044691303</v>
      </c>
      <c r="S9" s="436">
        <f t="shared" si="4"/>
        <v>-853.44143100773363</v>
      </c>
      <c r="T9" s="438">
        <f>+[4]수도권!$G$17</f>
        <v>14168.360872827647</v>
      </c>
      <c r="U9" s="437">
        <f>+[4]수도권!$H$17</f>
        <v>13552.56294439167</v>
      </c>
      <c r="V9" s="436">
        <f t="shared" si="5"/>
        <v>-615.79792843597716</v>
      </c>
    </row>
    <row r="10" spans="1:22" ht="24" customHeight="1" x14ac:dyDescent="0.3">
      <c r="D10" s="377" t="s">
        <v>17</v>
      </c>
      <c r="E10" s="435">
        <f>+[4]영남권!$G$9</f>
        <v>100000</v>
      </c>
      <c r="F10" s="434">
        <f>+[4]영남권!$H$9</f>
        <v>100000.08563928594</v>
      </c>
      <c r="G10" s="433">
        <f t="shared" si="0"/>
        <v>8.5639285942306742E-2</v>
      </c>
      <c r="H10" s="435">
        <f>+[4]영남권!$G$10</f>
        <v>92475.963911143161</v>
      </c>
      <c r="I10" s="434">
        <f>+[4]영남권!$H$10</f>
        <v>92250.5885875151</v>
      </c>
      <c r="J10" s="433">
        <f t="shared" si="1"/>
        <v>-225.37532362806087</v>
      </c>
      <c r="K10" s="435">
        <f>+[4]영남권!$G$12</f>
        <v>62630.285687482858</v>
      </c>
      <c r="L10" s="434">
        <f>+[4]영남권!$H$12</f>
        <v>60849.718861740228</v>
      </c>
      <c r="M10" s="433">
        <f t="shared" si="2"/>
        <v>-1780.5668257426296</v>
      </c>
      <c r="N10" s="435">
        <f>+[4]영남권!$G$13</f>
        <v>35548.783774447984</v>
      </c>
      <c r="O10" s="434">
        <f>+[4]영남권!$H$13</f>
        <v>35387.376201995219</v>
      </c>
      <c r="P10" s="433">
        <f t="shared" si="3"/>
        <v>-161.40757245276473</v>
      </c>
      <c r="Q10" s="435">
        <f>+[4]영남권!$G$16</f>
        <v>10967.762304855911</v>
      </c>
      <c r="R10" s="434">
        <f>+[4]영남권!$H$16</f>
        <v>11075.854276570659</v>
      </c>
      <c r="S10" s="433">
        <f t="shared" si="4"/>
        <v>108.09197171474807</v>
      </c>
      <c r="T10" s="435">
        <f>+[4]영남권!$G$17</f>
        <v>17705.236298547192</v>
      </c>
      <c r="U10" s="434">
        <f>+[4]영남권!$H$17</f>
        <v>17598.895951305556</v>
      </c>
      <c r="V10" s="433">
        <f t="shared" si="5"/>
        <v>-106.34034724163575</v>
      </c>
    </row>
    <row r="11" spans="1:22" ht="24" customHeight="1" x14ac:dyDescent="0.3">
      <c r="D11" s="372" t="s">
        <v>132</v>
      </c>
      <c r="E11" s="432">
        <f>+[4]중부권!$G$9</f>
        <v>102880.75935116109</v>
      </c>
      <c r="F11" s="431">
        <f>+[4]중부권!$H$9</f>
        <v>101931.06449323121</v>
      </c>
      <c r="G11" s="430">
        <f t="shared" si="0"/>
        <v>-949.69485792987689</v>
      </c>
      <c r="H11" s="432">
        <f>+[4]중부권!$G$10</f>
        <v>97451.265103790152</v>
      </c>
      <c r="I11" s="431">
        <f>+[4]중부권!$H$10</f>
        <v>93897.577234571931</v>
      </c>
      <c r="J11" s="430">
        <f t="shared" si="1"/>
        <v>-3553.6878692182217</v>
      </c>
      <c r="K11" s="432">
        <f>+[4]중부권!$G$12</f>
        <v>64553.9411954303</v>
      </c>
      <c r="L11" s="431">
        <f>+[4]중부권!$H$12</f>
        <v>62203.545325425308</v>
      </c>
      <c r="M11" s="430">
        <f t="shared" si="2"/>
        <v>-2350.3958700049916</v>
      </c>
      <c r="N11" s="432">
        <f>+[4]중부권!$G$13</f>
        <v>42231.014505523563</v>
      </c>
      <c r="O11" s="431">
        <f>+[4]중부권!$H$13</f>
        <v>39340.990197138191</v>
      </c>
      <c r="P11" s="430">
        <f t="shared" si="3"/>
        <v>-2890.0243083853711</v>
      </c>
      <c r="Q11" s="432">
        <f>+[4]중부권!$G$16</f>
        <v>13159.969021424551</v>
      </c>
      <c r="R11" s="431">
        <f>+[4]중부권!$H$16</f>
        <v>13111.48100161798</v>
      </c>
      <c r="S11" s="430">
        <f t="shared" si="4"/>
        <v>-48.488019806571174</v>
      </c>
      <c r="T11" s="432">
        <f>+[4]중부권!$G$17</f>
        <v>14667.91233441829</v>
      </c>
      <c r="U11" s="431">
        <f>+[4]중부권!$H$17</f>
        <v>14496.612999097722</v>
      </c>
      <c r="V11" s="430">
        <f t="shared" si="5"/>
        <v>-171.29933532056748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99711.228008360456</v>
      </c>
      <c r="G12" s="427">
        <f t="shared" si="0"/>
        <v>-288.77199163954356</v>
      </c>
      <c r="H12" s="429">
        <f>+[4]안양!$G$10</f>
        <v>0</v>
      </c>
      <c r="I12" s="428">
        <f>+[4]안양!$H$10</f>
        <v>0</v>
      </c>
      <c r="J12" s="427">
        <f t="shared" si="1"/>
        <v>0</v>
      </c>
      <c r="K12" s="429">
        <f>+[4]안양!$G$12</f>
        <v>64100.000000000007</v>
      </c>
      <c r="L12" s="428">
        <f>+[4]안양!$H$12</f>
        <v>62093.335820623979</v>
      </c>
      <c r="M12" s="427">
        <f t="shared" si="2"/>
        <v>-2006.6641793760282</v>
      </c>
      <c r="N12" s="429">
        <f>+[4]안양!$G$13</f>
        <v>46100</v>
      </c>
      <c r="O12" s="428">
        <f>+[4]안양!$H$13</f>
        <v>42215.264366464253</v>
      </c>
      <c r="P12" s="427">
        <f t="shared" si="3"/>
        <v>-3884.7356335357472</v>
      </c>
      <c r="Q12" s="429">
        <f>+[4]안양!$G$16</f>
        <v>15800</v>
      </c>
      <c r="R12" s="428">
        <f>+[4]안양!$H$16</f>
        <v>14226.196535804456</v>
      </c>
      <c r="S12" s="427">
        <f t="shared" si="4"/>
        <v>-1573.8034641955437</v>
      </c>
      <c r="T12" s="429">
        <f>+[4]안양!$G$17</f>
        <v>15032.258064516132</v>
      </c>
      <c r="U12" s="428">
        <f>+[4]안양!$H$17</f>
        <v>13689.929282201314</v>
      </c>
      <c r="V12" s="427">
        <f t="shared" si="5"/>
        <v>-1342.3287823148185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99882.683036346541</v>
      </c>
      <c r="G13" s="420">
        <f t="shared" si="0"/>
        <v>-117.31696365345852</v>
      </c>
      <c r="H13" s="422">
        <f>+[4]인천!$G$10</f>
        <v>98000.000000000015</v>
      </c>
      <c r="I13" s="421">
        <f>+[4]인천!$H$10</f>
        <v>98893.675693387166</v>
      </c>
      <c r="J13" s="420">
        <f t="shared" si="1"/>
        <v>893.67569338715111</v>
      </c>
      <c r="K13" s="422">
        <f>+[4]인천!$G$12</f>
        <v>64399.999999999993</v>
      </c>
      <c r="L13" s="421">
        <f>+[4]인천!$H$12</f>
        <v>62182.752897980259</v>
      </c>
      <c r="M13" s="420">
        <f t="shared" si="2"/>
        <v>-2217.2471020197336</v>
      </c>
      <c r="N13" s="422">
        <f>+[4]인천!$G$13</f>
        <v>47599.999999999993</v>
      </c>
      <c r="O13" s="421">
        <f>+[4]인천!$H$13</f>
        <v>41964.179416664578</v>
      </c>
      <c r="P13" s="420">
        <f t="shared" si="3"/>
        <v>-5635.820583335415</v>
      </c>
      <c r="Q13" s="422">
        <f>+[4]인천!$G$16</f>
        <v>16000</v>
      </c>
      <c r="R13" s="421">
        <f>+[4]인천!$H$16</f>
        <v>15374.77064525592</v>
      </c>
      <c r="S13" s="420">
        <f t="shared" si="4"/>
        <v>-625.22935474408041</v>
      </c>
      <c r="T13" s="422">
        <f>+[4]인천!$G$17</f>
        <v>14318.131256952169</v>
      </c>
      <c r="U13" s="421">
        <f>+[4]인천!$H$17</f>
        <v>14085.971624296144</v>
      </c>
      <c r="V13" s="420">
        <f t="shared" si="5"/>
        <v>-232.15963265602477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100009.9627894205</v>
      </c>
      <c r="G14" s="420">
        <f t="shared" si="0"/>
        <v>9.962789420504123</v>
      </c>
      <c r="H14" s="422">
        <f>+[4]파주!$G$10</f>
        <v>0</v>
      </c>
      <c r="I14" s="421">
        <f>+[4]파주!$H$10</f>
        <v>0</v>
      </c>
      <c r="J14" s="420">
        <f t="shared" si="1"/>
        <v>0</v>
      </c>
      <c r="K14" s="422">
        <f>+[4]파주!$G$12</f>
        <v>64300.000000000015</v>
      </c>
      <c r="L14" s="421">
        <f>+[4]파주!$H$12</f>
        <v>62042.29321797481</v>
      </c>
      <c r="M14" s="420">
        <f t="shared" si="2"/>
        <v>-2257.706782025205</v>
      </c>
      <c r="N14" s="422">
        <f>+[4]파주!$G$13</f>
        <v>48199.999999999993</v>
      </c>
      <c r="O14" s="421">
        <f>+[4]파주!$H$13</f>
        <v>44602.230858178395</v>
      </c>
      <c r="P14" s="420">
        <f t="shared" si="3"/>
        <v>-3597.7691418215982</v>
      </c>
      <c r="Q14" s="422">
        <f>+[4]파주!$G$16</f>
        <v>16333.333333333332</v>
      </c>
      <c r="R14" s="421">
        <f>+[4]파주!$H$16</f>
        <v>15727.16710449265</v>
      </c>
      <c r="S14" s="420">
        <f t="shared" si="4"/>
        <v>-606.16622884068238</v>
      </c>
      <c r="T14" s="422">
        <f>+[4]파주!$G$17</f>
        <v>12580.645161290322</v>
      </c>
      <c r="U14" s="421">
        <f>+[4]파주!$H$17</f>
        <v>11974.628012731859</v>
      </c>
      <c r="V14" s="420">
        <f t="shared" si="5"/>
        <v>-606.0171485584633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99999.999999999854</v>
      </c>
      <c r="G15" s="420">
        <f t="shared" si="0"/>
        <v>-1.4551915228366852E-10</v>
      </c>
      <c r="H15" s="422">
        <f>+[4]김포!$G$10</f>
        <v>0</v>
      </c>
      <c r="I15" s="421">
        <f>+[4]김포!$H$10</f>
        <v>94500.00205164215</v>
      </c>
      <c r="J15" s="420">
        <f t="shared" si="1"/>
        <v>94500.00205164215</v>
      </c>
      <c r="K15" s="422">
        <f>+[4]김포!$G$12</f>
        <v>63800</v>
      </c>
      <c r="L15" s="421">
        <f>+[4]김포!$H$12</f>
        <v>61876.499094597777</v>
      </c>
      <c r="M15" s="420">
        <f t="shared" si="2"/>
        <v>-1923.500905402223</v>
      </c>
      <c r="N15" s="422">
        <f>+[4]김포!$G$13</f>
        <v>47600</v>
      </c>
      <c r="O15" s="421">
        <f>+[4]김포!$H$13</f>
        <v>43670.506794088462</v>
      </c>
      <c r="P15" s="420">
        <f t="shared" si="3"/>
        <v>-3929.4932059115381</v>
      </c>
      <c r="Q15" s="422">
        <f>+[4]김포!$G$16</f>
        <v>14600</v>
      </c>
      <c r="R15" s="421">
        <f>+[4]김포!$H$16</f>
        <v>14772.968041928516</v>
      </c>
      <c r="S15" s="420">
        <f t="shared" si="4"/>
        <v>172.96804192851596</v>
      </c>
      <c r="T15" s="422">
        <f>+[4]김포!$G$17</f>
        <v>14016.626661202507</v>
      </c>
      <c r="U15" s="421">
        <f>+[4]김포!$H$17</f>
        <v>14184.511060011642</v>
      </c>
      <c r="V15" s="420">
        <f t="shared" si="5"/>
        <v>167.88439880913575</v>
      </c>
    </row>
    <row r="16" spans="1:22" ht="24" customHeight="1" x14ac:dyDescent="0.3">
      <c r="D16" s="408" t="s">
        <v>21</v>
      </c>
      <c r="E16" s="425">
        <f>+[4]부산!$G$9</f>
        <v>100000.00000000001</v>
      </c>
      <c r="F16" s="424">
        <f>+[4]부산!$H$9</f>
        <v>99999.999999999985</v>
      </c>
      <c r="G16" s="423">
        <f t="shared" si="0"/>
        <v>0</v>
      </c>
      <c r="H16" s="425">
        <f>+[4]부산!$G$10</f>
        <v>92899.999999999985</v>
      </c>
      <c r="I16" s="424">
        <f>+[4]부산!$H$10</f>
        <v>92346.450354755478</v>
      </c>
      <c r="J16" s="423">
        <f t="shared" si="1"/>
        <v>-553.5496452445077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</v>
      </c>
      <c r="O16" s="424">
        <f>+[4]부산!$H$13</f>
        <v>36055.041936451082</v>
      </c>
      <c r="P16" s="423">
        <f t="shared" si="3"/>
        <v>-444.95806354891829</v>
      </c>
      <c r="Q16" s="425">
        <f>+[4]부산!$G$16</f>
        <v>11711.806666666667</v>
      </c>
      <c r="R16" s="424">
        <f>+[4]부산!$H$16</f>
        <v>11750.261480024979</v>
      </c>
      <c r="S16" s="423">
        <f t="shared" si="4"/>
        <v>38.454813358312094</v>
      </c>
      <c r="T16" s="425">
        <f>+[4]부산!$G$17</f>
        <v>18098.229077374239</v>
      </c>
      <c r="U16" s="424">
        <f>+[4]부산!$H$17</f>
        <v>18440.815413040891</v>
      </c>
      <c r="V16" s="423">
        <f t="shared" si="5"/>
        <v>342.5863356666523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100000.39436398954</v>
      </c>
      <c r="G17" s="420">
        <f t="shared" si="0"/>
        <v>0.39436398954421747</v>
      </c>
      <c r="H17" s="422">
        <f>+[4]서부산!$G$10</f>
        <v>92100</v>
      </c>
      <c r="I17" s="421">
        <f>+[4]서부산!$H$10</f>
        <v>92099.999972830512</v>
      </c>
      <c r="J17" s="420">
        <f t="shared" si="1"/>
        <v>-2.7169488021172583E-5</v>
      </c>
      <c r="K17" s="422">
        <f>+[4]서부산!$G$12</f>
        <v>65000</v>
      </c>
      <c r="L17" s="421">
        <f>+[4]서부산!$H$12</f>
        <v>62999.98664173689</v>
      </c>
      <c r="M17" s="420">
        <f t="shared" si="2"/>
        <v>-2000.0133582631097</v>
      </c>
      <c r="N17" s="422">
        <f>+[4]서부산!$G$13</f>
        <v>35300</v>
      </c>
      <c r="O17" s="421">
        <f>+[4]서부산!$H$13</f>
        <v>35149.480784273124</v>
      </c>
      <c r="P17" s="420">
        <f t="shared" si="3"/>
        <v>-150.5192157268757</v>
      </c>
      <c r="Q17" s="422">
        <f>+[4]서부산!$G$16</f>
        <v>11333.333333333334</v>
      </c>
      <c r="R17" s="421">
        <f>+[4]서부산!$H$16</f>
        <v>10669.796527479708</v>
      </c>
      <c r="S17" s="420">
        <f t="shared" si="4"/>
        <v>-663.53680585362599</v>
      </c>
      <c r="T17" s="422">
        <f>+[4]서부산!$G$17</f>
        <v>17725.722479879081</v>
      </c>
      <c r="U17" s="421">
        <f>+[4]서부산!$H$17</f>
        <v>16669.621047558354</v>
      </c>
      <c r="V17" s="420">
        <f t="shared" si="5"/>
        <v>-1056.1014323207273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99999.999999999971</v>
      </c>
      <c r="G18" s="420">
        <f t="shared" si="0"/>
        <v>0</v>
      </c>
      <c r="H18" s="422">
        <f>+[4]김해!$G$10</f>
        <v>92100</v>
      </c>
      <c r="I18" s="421">
        <f>+[4]김해!$H$10</f>
        <v>92099.996599128062</v>
      </c>
      <c r="J18" s="420">
        <f t="shared" si="1"/>
        <v>-3.4008719376288354E-3</v>
      </c>
      <c r="K18" s="422">
        <f>+[4]김해!$G$12</f>
        <v>64000</v>
      </c>
      <c r="L18" s="421">
        <f>+[4]김해!$H$12</f>
        <v>62006.499145785863</v>
      </c>
      <c r="M18" s="420">
        <f t="shared" si="2"/>
        <v>-1993.5008542141368</v>
      </c>
      <c r="N18" s="422">
        <f>+[4]김해!$G$13</f>
        <v>35000</v>
      </c>
      <c r="O18" s="421">
        <f>+[4]김해!$H$13</f>
        <v>34264.256157823707</v>
      </c>
      <c r="P18" s="420">
        <f t="shared" si="3"/>
        <v>-735.74384217629267</v>
      </c>
      <c r="Q18" s="422">
        <f>+[4]김해!$G$16</f>
        <v>9066.6666666666661</v>
      </c>
      <c r="R18" s="421">
        <f>+[4]김해!$H$16</f>
        <v>9046.7176388159078</v>
      </c>
      <c r="S18" s="420">
        <f t="shared" si="4"/>
        <v>-19.949027850758284</v>
      </c>
      <c r="T18" s="422">
        <f>+[4]김해!$G$17</f>
        <v>15880.190628800197</v>
      </c>
      <c r="U18" s="421">
        <f>+[4]김해!$H$17</f>
        <v>16886.473333564656</v>
      </c>
      <c r="V18" s="420">
        <f t="shared" si="5"/>
        <v>1006.2827047644587</v>
      </c>
    </row>
    <row r="19" spans="4:25" ht="24" customHeight="1" x14ac:dyDescent="0.3">
      <c r="D19" s="353" t="s">
        <v>24</v>
      </c>
      <c r="E19" s="422">
        <f>+[4]정관!$G$9</f>
        <v>99999.999999999985</v>
      </c>
      <c r="F19" s="421">
        <f>+[4]정관!$H$9</f>
        <v>100000.00186611585</v>
      </c>
      <c r="G19" s="420">
        <f t="shared" si="0"/>
        <v>1.8661158683244139E-3</v>
      </c>
      <c r="H19" s="422">
        <f>+[4]정관!$G$10</f>
        <v>92100</v>
      </c>
      <c r="I19" s="421">
        <f>+[4]정관!$H$10</f>
        <v>92099.997612766063</v>
      </c>
      <c r="J19" s="420">
        <f t="shared" si="1"/>
        <v>-2.3872339370427653E-3</v>
      </c>
      <c r="K19" s="422">
        <f>+[4]정관!$G$12</f>
        <v>62000.000000000007</v>
      </c>
      <c r="L19" s="421">
        <f>+[4]정관!$H$12</f>
        <v>61143.709928868215</v>
      </c>
      <c r="M19" s="420">
        <f t="shared" si="2"/>
        <v>-856.2900711317925</v>
      </c>
      <c r="N19" s="422">
        <f>+[4]정관!$G$13</f>
        <v>35500</v>
      </c>
      <c r="O19" s="421">
        <f>+[4]정관!$H$13</f>
        <v>35351.473492612859</v>
      </c>
      <c r="P19" s="420">
        <f t="shared" si="3"/>
        <v>-148.52650738714146</v>
      </c>
      <c r="Q19" s="422">
        <f>+[4]정관!$G$16</f>
        <v>11362.368829163101</v>
      </c>
      <c r="R19" s="421">
        <f>+[4]정관!$H$16</f>
        <v>11262.221312834257</v>
      </c>
      <c r="S19" s="420">
        <f t="shared" si="4"/>
        <v>-100.14751632884327</v>
      </c>
      <c r="T19" s="422">
        <f>+[4]정관!$G$17</f>
        <v>19373.56766140111</v>
      </c>
      <c r="U19" s="421">
        <f>+[4]정관!$H$17</f>
        <v>18720.085774477993</v>
      </c>
      <c r="V19" s="420">
        <f t="shared" si="5"/>
        <v>-653.48188692311669</v>
      </c>
    </row>
    <row r="20" spans="4:25" ht="24" customHeight="1" x14ac:dyDescent="0.3">
      <c r="D20" s="353" t="s">
        <v>25</v>
      </c>
      <c r="E20" s="422">
        <f>+[4]양산!$G$9</f>
        <v>100000</v>
      </c>
      <c r="F20" s="421">
        <f>+[4]양산!$H$9</f>
        <v>100000.06821078746</v>
      </c>
      <c r="G20" s="420">
        <f t="shared" si="0"/>
        <v>6.8210787459975109E-2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62200</v>
      </c>
      <c r="L20" s="421">
        <f>+[4]양산!$H$12</f>
        <v>61115.209228214502</v>
      </c>
      <c r="M20" s="420">
        <f t="shared" si="2"/>
        <v>-1084.7907717854978</v>
      </c>
      <c r="N20" s="422">
        <f>+[4]양산!$G$13</f>
        <v>36000</v>
      </c>
      <c r="O20" s="421">
        <f>+[4]양산!$H$13</f>
        <v>35654.798236690367</v>
      </c>
      <c r="P20" s="420">
        <f t="shared" si="3"/>
        <v>-345.20176330963295</v>
      </c>
      <c r="Q20" s="422">
        <f>+[4]양산!$G$16</f>
        <v>9600</v>
      </c>
      <c r="R20" s="421">
        <f>+[4]양산!$H$16</f>
        <v>9420.8745111980134</v>
      </c>
      <c r="S20" s="420">
        <f t="shared" si="4"/>
        <v>-179.12548880198665</v>
      </c>
      <c r="T20" s="422">
        <f>+[4]양산!$G$17</f>
        <v>17974.860423314243</v>
      </c>
      <c r="U20" s="421">
        <f>+[4]양산!$H$17</f>
        <v>17199.713878294373</v>
      </c>
      <c r="V20" s="420">
        <f t="shared" si="5"/>
        <v>-775.14654501987025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99999.999999999985</v>
      </c>
      <c r="G21" s="420">
        <f t="shared" si="0"/>
        <v>0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63000.001203124259</v>
      </c>
      <c r="M21" s="420">
        <f t="shared" si="2"/>
        <v>-1499.9987968757414</v>
      </c>
      <c r="N21" s="422">
        <f>+[4]창원!$G$13</f>
        <v>33000</v>
      </c>
      <c r="O21" s="421">
        <f>+[4]창원!$H$13</f>
        <v>32681.293017535823</v>
      </c>
      <c r="P21" s="420">
        <f t="shared" si="3"/>
        <v>-318.70698246417669</v>
      </c>
      <c r="Q21" s="422">
        <f>+[4]창원!$G$16</f>
        <v>11000</v>
      </c>
      <c r="R21" s="421">
        <f>+[4]창원!$H$16</f>
        <v>11497.908972444518</v>
      </c>
      <c r="S21" s="420">
        <f t="shared" si="4"/>
        <v>497.90897244451844</v>
      </c>
      <c r="T21" s="422">
        <f>+[4]창원!$G$17</f>
        <v>17410.359576177849</v>
      </c>
      <c r="U21" s="421">
        <f>+[4]창원!$H$17</f>
        <v>16626.22495240772</v>
      </c>
      <c r="V21" s="420">
        <f t="shared" si="5"/>
        <v>-784.13462377012911</v>
      </c>
      <c r="Y21" s="426"/>
    </row>
    <row r="22" spans="4:25" ht="24" customHeight="1" x14ac:dyDescent="0.3">
      <c r="D22" s="353" t="s">
        <v>131</v>
      </c>
      <c r="E22" s="422">
        <f>+[4]대구!$G$9</f>
        <v>100000</v>
      </c>
      <c r="F22" s="421">
        <f>+[4]대구!$H$9</f>
        <v>100000.00000000001</v>
      </c>
      <c r="G22" s="420">
        <f t="shared" si="0"/>
        <v>0</v>
      </c>
      <c r="H22" s="422">
        <f>+[4]대구!$G$10</f>
        <v>0</v>
      </c>
      <c r="I22" s="421">
        <f>+[4]대구!$H$10</f>
        <v>96500.032516820895</v>
      </c>
      <c r="J22" s="420">
        <f t="shared" si="1"/>
        <v>96500.032516820895</v>
      </c>
      <c r="K22" s="422">
        <f>+[4]대구!$G$12</f>
        <v>61400</v>
      </c>
      <c r="L22" s="421">
        <f>+[4]대구!$H$12</f>
        <v>59223.37823259845</v>
      </c>
      <c r="M22" s="420">
        <f t="shared" si="2"/>
        <v>-2176.6217674015497</v>
      </c>
      <c r="N22" s="422">
        <f>+[4]대구!$G$13</f>
        <v>35300</v>
      </c>
      <c r="O22" s="421">
        <f>+[4]대구!$H$13</f>
        <v>33872.522774169585</v>
      </c>
      <c r="P22" s="420">
        <f t="shared" si="3"/>
        <v>-1427.4772258304147</v>
      </c>
      <c r="Q22" s="422">
        <f>+[4]대구!$G$16</f>
        <v>11133.333333333334</v>
      </c>
      <c r="R22" s="421">
        <f>+[4]대구!$H$16</f>
        <v>10934.494308630003</v>
      </c>
      <c r="S22" s="420">
        <f t="shared" si="4"/>
        <v>-198.83902470333123</v>
      </c>
      <c r="T22" s="422">
        <f>+[4]대구!$G$17</f>
        <v>14763.292547274748</v>
      </c>
      <c r="U22" s="421">
        <f>+[4]대구!$H$17</f>
        <v>14403.554933566102</v>
      </c>
      <c r="V22" s="420">
        <f t="shared" si="5"/>
        <v>-359.73761370864668</v>
      </c>
    </row>
    <row r="23" spans="4:25" ht="24" customHeight="1" x14ac:dyDescent="0.3">
      <c r="D23" s="353" t="s">
        <v>130</v>
      </c>
      <c r="E23" s="422">
        <f>+[4]울산!$G$9</f>
        <v>100000</v>
      </c>
      <c r="F23" s="421">
        <f>+[4]울산!$H$9</f>
        <v>100000.00000000003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60199.999999999993</v>
      </c>
      <c r="L23" s="421">
        <f>+[4]울산!$H$12</f>
        <v>59199.995408330717</v>
      </c>
      <c r="M23" s="420">
        <f t="shared" si="2"/>
        <v>-1000.0045916692761</v>
      </c>
      <c r="N23" s="422">
        <f>+[4]울산!$G$13</f>
        <v>37000</v>
      </c>
      <c r="O23" s="421">
        <f>+[4]울산!$H$13</f>
        <v>36915.614421533006</v>
      </c>
      <c r="P23" s="420">
        <f t="shared" si="3"/>
        <v>-84.385578466994048</v>
      </c>
      <c r="Q23" s="422">
        <f>+[4]울산!$G$16</f>
        <v>11533.333333333334</v>
      </c>
      <c r="R23" s="421">
        <f>+[4]울산!$H$16</f>
        <v>12001.162288978994</v>
      </c>
      <c r="S23" s="420">
        <f t="shared" si="4"/>
        <v>467.82895564566024</v>
      </c>
      <c r="T23" s="422">
        <f>+[4]울산!$G$17</f>
        <v>19459.673620102163</v>
      </c>
      <c r="U23" s="421">
        <f>+[4]울산!$H$17</f>
        <v>20310.68362629287</v>
      </c>
      <c r="V23" s="420">
        <f t="shared" si="5"/>
        <v>851.01000619070692</v>
      </c>
    </row>
    <row r="24" spans="4:25" ht="24" customHeight="1" x14ac:dyDescent="0.3">
      <c r="D24" s="408" t="s">
        <v>27</v>
      </c>
      <c r="E24" s="425">
        <f>+[4]아산!$G$9</f>
        <v>100000</v>
      </c>
      <c r="F24" s="424">
        <f>+[4]아산!$H$9</f>
        <v>99833.002239743728</v>
      </c>
      <c r="G24" s="423">
        <f t="shared" si="0"/>
        <v>-166.99776025627216</v>
      </c>
      <c r="H24" s="425">
        <f>+[4]아산!$G$10</f>
        <v>86800.000000000015</v>
      </c>
      <c r="I24" s="424">
        <f>+[4]아산!$H$10</f>
        <v>86600.008885842311</v>
      </c>
      <c r="J24" s="423">
        <f t="shared" si="1"/>
        <v>-199.99111415770312</v>
      </c>
      <c r="K24" s="425">
        <f>+[4]아산!$G$12</f>
        <v>64300.000000000015</v>
      </c>
      <c r="L24" s="424">
        <f>+[4]아산!$H$12</f>
        <v>62161.018627678168</v>
      </c>
      <c r="M24" s="423">
        <f t="shared" si="2"/>
        <v>-2138.9813723218467</v>
      </c>
      <c r="N24" s="425">
        <f>+[4]아산!$G$13</f>
        <v>42900</v>
      </c>
      <c r="O24" s="424">
        <f>+[4]아산!$H$13</f>
        <v>39332.692028962396</v>
      </c>
      <c r="P24" s="423">
        <f t="shared" si="3"/>
        <v>-3567.3079710376041</v>
      </c>
      <c r="Q24" s="425">
        <f>+[4]아산!$G$16</f>
        <v>11400</v>
      </c>
      <c r="R24" s="424">
        <f>+[4]아산!$H$16</f>
        <v>10855.886775902774</v>
      </c>
      <c r="S24" s="423">
        <f t="shared" si="4"/>
        <v>-544.11322409722561</v>
      </c>
      <c r="T24" s="425">
        <f>+[4]아산!$G$17</f>
        <v>13225.806451612903</v>
      </c>
      <c r="U24" s="424">
        <f>+[4]아산!$H$17</f>
        <v>12559.747723544126</v>
      </c>
      <c r="V24" s="423">
        <f t="shared" si="5"/>
        <v>-666.05872806877778</v>
      </c>
    </row>
    <row r="25" spans="4:25" ht="24" customHeight="1" x14ac:dyDescent="0.3">
      <c r="D25" s="353" t="s">
        <v>129</v>
      </c>
      <c r="E25" s="422">
        <f>+[4]전주!$G$9</f>
        <v>99999.999999999985</v>
      </c>
      <c r="F25" s="421">
        <f>+[4]전주!$H$9</f>
        <v>100000</v>
      </c>
      <c r="G25" s="420">
        <f t="shared" si="0"/>
        <v>0</v>
      </c>
      <c r="H25" s="422">
        <f>+[4]전주!$G$10</f>
        <v>96800</v>
      </c>
      <c r="I25" s="421">
        <f>+[4]전주!$H$10</f>
        <v>97255.12319371436</v>
      </c>
      <c r="J25" s="420">
        <f t="shared" si="1"/>
        <v>455.12319371436024</v>
      </c>
      <c r="K25" s="422">
        <f>+[4]전주!$G$12</f>
        <v>65000</v>
      </c>
      <c r="L25" s="421">
        <f>+[4]전주!$H$12</f>
        <v>62000.000608119575</v>
      </c>
      <c r="M25" s="420">
        <f t="shared" si="2"/>
        <v>-2999.9993918804248</v>
      </c>
      <c r="N25" s="422">
        <f>+[4]전주!$G$13</f>
        <v>36000</v>
      </c>
      <c r="O25" s="421">
        <f>+[4]전주!$H$13</f>
        <v>35803.888540810854</v>
      </c>
      <c r="P25" s="420">
        <f t="shared" si="3"/>
        <v>-196.11145918914553</v>
      </c>
      <c r="Q25" s="422">
        <f>+[4]전주!$G$16</f>
        <v>13333.333333333332</v>
      </c>
      <c r="R25" s="421">
        <f>+[4]전주!$H$16</f>
        <v>14762.830157080782</v>
      </c>
      <c r="S25" s="420">
        <f t="shared" si="4"/>
        <v>1429.4968237474495</v>
      </c>
      <c r="T25" s="422">
        <f>+[4]전주!$G$17</f>
        <v>15310.195807375589</v>
      </c>
      <c r="U25" s="421">
        <f>+[4]전주!$H$17</f>
        <v>15964.912614114579</v>
      </c>
      <c r="V25" s="420">
        <f t="shared" si="5"/>
        <v>654.71680673899027</v>
      </c>
    </row>
    <row r="26" spans="4:25" ht="24" customHeight="1" x14ac:dyDescent="0.3">
      <c r="D26" s="353" t="s">
        <v>128</v>
      </c>
      <c r="E26" s="422">
        <f>+[4]군산!$G$9</f>
        <v>100000</v>
      </c>
      <c r="F26" s="421">
        <f>+[4]군산!$H$9</f>
        <v>100000.00000000001</v>
      </c>
      <c r="G26" s="420">
        <f t="shared" si="0"/>
        <v>0</v>
      </c>
      <c r="H26" s="422">
        <f>+[4]군산!$G$10</f>
        <v>94199.999999999985</v>
      </c>
      <c r="I26" s="421">
        <f>+[4]군산!$H$10</f>
        <v>93101.1360549034</v>
      </c>
      <c r="J26" s="420">
        <f t="shared" si="1"/>
        <v>-1098.8639450965857</v>
      </c>
      <c r="K26" s="422">
        <f>+[4]군산!$G$12</f>
        <v>64900.000000000007</v>
      </c>
      <c r="L26" s="421">
        <f>+[4]군산!$H$12</f>
        <v>63507.700866375308</v>
      </c>
      <c r="M26" s="420">
        <f t="shared" si="2"/>
        <v>-1392.2991336246996</v>
      </c>
      <c r="N26" s="422">
        <f>+[4]군산!$G$13</f>
        <v>39300</v>
      </c>
      <c r="O26" s="421">
        <f>+[4]군산!$H$13</f>
        <v>34081.638046548316</v>
      </c>
      <c r="P26" s="420">
        <f t="shared" si="3"/>
        <v>-5218.3619534516838</v>
      </c>
      <c r="Q26" s="422">
        <f>+[4]군산!$G$16</f>
        <v>14200</v>
      </c>
      <c r="R26" s="421">
        <f>+[4]군산!$H$16</f>
        <v>15158.705164901237</v>
      </c>
      <c r="S26" s="420">
        <f t="shared" si="4"/>
        <v>958.70516490123737</v>
      </c>
      <c r="T26" s="422">
        <f>+[4]군산!$G$17</f>
        <v>15212.903225806449</v>
      </c>
      <c r="U26" s="421">
        <f>+[4]군산!$H$17</f>
        <v>15211.177849044874</v>
      </c>
      <c r="V26" s="420">
        <f t="shared" si="5"/>
        <v>-1.7253767615748075</v>
      </c>
    </row>
    <row r="27" spans="4:25" ht="24" customHeight="1" x14ac:dyDescent="0.3">
      <c r="D27" s="353" t="s">
        <v>127</v>
      </c>
      <c r="E27" s="422">
        <f>+[4]원주!$G$9</f>
        <v>100000</v>
      </c>
      <c r="F27" s="421">
        <f>+[4]원주!$H$9</f>
        <v>100000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62005.268710848104</v>
      </c>
      <c r="M27" s="420">
        <f t="shared" si="2"/>
        <v>-1994.7312891518959</v>
      </c>
      <c r="N27" s="422">
        <f>+[4]원주!$G$13</f>
        <v>49000</v>
      </c>
      <c r="O27" s="421">
        <f>+[4]원주!$H$13</f>
        <v>47293.2789451762</v>
      </c>
      <c r="P27" s="420">
        <f t="shared" si="3"/>
        <v>-1706.7210548237999</v>
      </c>
      <c r="Q27" s="422">
        <f>+[4]원주!$G$16</f>
        <v>13666.666666666668</v>
      </c>
      <c r="R27" s="421">
        <f>+[4]원주!$H$16</f>
        <v>12437.848496861918</v>
      </c>
      <c r="S27" s="420">
        <f t="shared" si="4"/>
        <v>-1228.8181698047501</v>
      </c>
      <c r="T27" s="422">
        <f>+[4]원주!$G$17</f>
        <v>13806.451612903224</v>
      </c>
      <c r="U27" s="421">
        <f>+[4]원주!$H$17</f>
        <v>12287.989607283151</v>
      </c>
      <c r="V27" s="420">
        <f t="shared" si="5"/>
        <v>-1518.4620056200729</v>
      </c>
    </row>
    <row r="28" spans="4:25" ht="24" customHeight="1" x14ac:dyDescent="0.3">
      <c r="D28" s="348" t="s">
        <v>126</v>
      </c>
      <c r="E28" s="419">
        <f>+[4]제주!$G$9</f>
        <v>117000</v>
      </c>
      <c r="F28" s="418">
        <f>+[4]제주!$H$9</f>
        <v>116999.99804219838</v>
      </c>
      <c r="G28" s="417">
        <f t="shared" si="0"/>
        <v>-1.9578016217565164E-3</v>
      </c>
      <c r="H28" s="419">
        <f>+[4]제주!$G$10</f>
        <v>117000</v>
      </c>
      <c r="I28" s="418">
        <f>+[4]제주!$H$10</f>
        <v>116999.99154271353</v>
      </c>
      <c r="J28" s="417">
        <f t="shared" si="1"/>
        <v>-8.4572864725487307E-3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18027.783570526673</v>
      </c>
      <c r="S28" s="417">
        <f t="shared" si="4"/>
        <v>361.11690386000555</v>
      </c>
      <c r="T28" s="419">
        <f>+[4]제주!$G$17</f>
        <v>17551.55520645791</v>
      </c>
      <c r="U28" s="418">
        <f>+[4]제주!$H$17</f>
        <v>19926.321033226275</v>
      </c>
      <c r="V28" s="417">
        <f t="shared" si="5"/>
        <v>2374.7658267683655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211</v>
      </c>
      <c r="F4" s="398"/>
      <c r="I4" s="398"/>
    </row>
    <row r="5" spans="1:22" ht="21.95" customHeight="1" x14ac:dyDescent="0.3">
      <c r="V5" s="397" t="s">
        <v>159</v>
      </c>
    </row>
    <row r="6" spans="1:22" ht="24" customHeight="1" thickBot="1" x14ac:dyDescent="0.35">
      <c r="A6" s="6" t="s">
        <v>139</v>
      </c>
      <c r="D6" s="651" t="s">
        <v>11</v>
      </c>
      <c r="E6" s="396" t="s">
        <v>158</v>
      </c>
      <c r="F6" s="395"/>
      <c r="G6" s="394"/>
      <c r="H6" s="396" t="s">
        <v>157</v>
      </c>
      <c r="I6" s="395"/>
      <c r="J6" s="394"/>
      <c r="K6" s="396" t="s">
        <v>156</v>
      </c>
      <c r="L6" s="395"/>
      <c r="M6" s="394"/>
      <c r="N6" s="396" t="s">
        <v>155</v>
      </c>
      <c r="O6" s="395"/>
      <c r="P6" s="394"/>
      <c r="Q6" s="396" t="s">
        <v>154</v>
      </c>
      <c r="R6" s="395"/>
      <c r="S6" s="394"/>
      <c r="T6" s="396" t="s">
        <v>153</v>
      </c>
      <c r="U6" s="395"/>
      <c r="V6" s="394"/>
    </row>
    <row r="7" spans="1:22" ht="24" customHeight="1" x14ac:dyDescent="0.3">
      <c r="D7" s="65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+[4]합계!$E$9</f>
        <v>246.60688311417891</v>
      </c>
      <c r="F8" s="385">
        <f>+[4]합계!$F$9</f>
        <v>246.87300069750106</v>
      </c>
      <c r="G8" s="416">
        <f t="shared" ref="G8:G28" si="0">+F8-E8</f>
        <v>0.26611758332214208</v>
      </c>
      <c r="H8" s="386">
        <f>+[4]합계!$E$15</f>
        <v>364.61853063936837</v>
      </c>
      <c r="I8" s="385">
        <f>+[4]합계!$F$15</f>
        <v>374.60016828214322</v>
      </c>
      <c r="J8" s="416">
        <f t="shared" ref="J8:J28" si="1">+I8-H8</f>
        <v>9.9816376427748423</v>
      </c>
      <c r="K8" s="478">
        <f>+([4]합계!$E$10*0.4+[4]합계!$E$11+[4]합계!$E$12+[4]합계!$E$13+[4]합계!$E$14)/[4]합계!$E$15</f>
        <v>0.26601650077044164</v>
      </c>
      <c r="L8" s="477">
        <f>+([4]합계!$F$10*0.4+[4]합계!$F$11+[4]합계!$F$12+[4]합계!$F$13+[4]합계!$F$14)/[4]합계!$F$15</f>
        <v>0.2675701486363754</v>
      </c>
      <c r="M8" s="476">
        <f t="shared" ref="M8:M28" si="2">+L8-K8</f>
        <v>1.5536478659337605E-3</v>
      </c>
      <c r="N8" s="386">
        <f>+[4]합계!$E$16</f>
        <v>823.15870473001678</v>
      </c>
      <c r="O8" s="385">
        <f>+[4]합계!$F$16</f>
        <v>798.98941321724328</v>
      </c>
      <c r="P8" s="416">
        <f t="shared" ref="P8:P28" si="3">+O8-N8</f>
        <v>-24.169291512773498</v>
      </c>
      <c r="Q8" s="386">
        <f>+[4]합계!$E$17</f>
        <v>898.46752444326899</v>
      </c>
      <c r="R8" s="385">
        <f>+[4]합계!$F$17</f>
        <v>901.18569561696756</v>
      </c>
      <c r="S8" s="416">
        <f t="shared" ref="S8:S28" si="4">+R8-Q8</f>
        <v>2.718171173698579</v>
      </c>
      <c r="T8" s="386">
        <f>+[4]합계!$E$19</f>
        <v>3.1239590073716705</v>
      </c>
      <c r="U8" s="385">
        <f>+[4]합계!$F$19</f>
        <v>3.0238456598600196</v>
      </c>
      <c r="V8" s="416">
        <f t="shared" ref="V8:V28" si="5">+U8-T8</f>
        <v>-0.10011334751165091</v>
      </c>
    </row>
    <row r="9" spans="1:22" ht="24" customHeight="1" x14ac:dyDescent="0.3">
      <c r="D9" s="382" t="s">
        <v>16</v>
      </c>
      <c r="E9" s="381">
        <f>+[4]수도권!$E$9</f>
        <v>275.11623893805307</v>
      </c>
      <c r="F9" s="380">
        <f>+[4]수도권!$F$9</f>
        <v>267.30491705209846</v>
      </c>
      <c r="G9" s="415">
        <f t="shared" si="0"/>
        <v>-7.8113218859546123</v>
      </c>
      <c r="H9" s="381">
        <f>+[4]수도권!$E$15</f>
        <v>371.69508849557519</v>
      </c>
      <c r="I9" s="380">
        <f>+[4]수도권!$F$15</f>
        <v>387.58114905743605</v>
      </c>
      <c r="J9" s="415">
        <f t="shared" si="1"/>
        <v>15.886060561860859</v>
      </c>
      <c r="K9" s="475">
        <f>+([4]수도권!$E$10*0.4+[4]수도권!$E$11+[4]수도권!$E$12+[4]수도권!$E$13+[4]수도권!$E$14)/[4]수도권!$E$15</f>
        <v>0.24927392551869226</v>
      </c>
      <c r="L9" s="474">
        <f>+([4]수도권!$F$10*0.4+[4]수도권!$F$11+[4]수도권!$F$12+[4]수도권!$F$13+[4]수도권!$F$14)/[4]수도권!$F$15</f>
        <v>0.25572111304000911</v>
      </c>
      <c r="M9" s="473">
        <f t="shared" si="2"/>
        <v>6.4471875213168439E-3</v>
      </c>
      <c r="N9" s="381">
        <f>+[4]수도권!$E$16</f>
        <v>859.46094584862351</v>
      </c>
      <c r="O9" s="380">
        <f>+[4]수도권!$F$16</f>
        <v>825.48335953137519</v>
      </c>
      <c r="P9" s="415">
        <f t="shared" si="3"/>
        <v>-33.977586317248324</v>
      </c>
      <c r="Q9" s="381">
        <f>+[4]수도권!$E$17</f>
        <v>869.72748302977084</v>
      </c>
      <c r="R9" s="380">
        <f>+[4]수도권!$F$17</f>
        <v>885.07779122233649</v>
      </c>
      <c r="S9" s="415">
        <f t="shared" si="4"/>
        <v>15.350308192565649</v>
      </c>
      <c r="T9" s="381">
        <f>+[4]수도권!$E$19</f>
        <v>3.1753982300884958</v>
      </c>
      <c r="U9" s="380">
        <f>+[4]수도권!$F$19</f>
        <v>3.1622273236155576</v>
      </c>
      <c r="V9" s="415">
        <f t="shared" si="5"/>
        <v>-1.3170906472938171E-2</v>
      </c>
    </row>
    <row r="10" spans="1:22" ht="24" customHeight="1" x14ac:dyDescent="0.3">
      <c r="D10" s="377" t="s">
        <v>17</v>
      </c>
      <c r="E10" s="376">
        <f>+[4]영남권!$E$9</f>
        <v>217.7669042401086</v>
      </c>
      <c r="F10" s="375">
        <f>+[4]영남권!$F$9</f>
        <v>220.22258417890399</v>
      </c>
      <c r="G10" s="414">
        <f t="shared" si="0"/>
        <v>2.4556799387953845</v>
      </c>
      <c r="H10" s="376">
        <f>+[4]영남권!$E$15</f>
        <v>360.19011263341696</v>
      </c>
      <c r="I10" s="375">
        <f>+[4]영남권!$F$15</f>
        <v>366.32890490279721</v>
      </c>
      <c r="J10" s="414">
        <f t="shared" si="1"/>
        <v>6.1387922693802466</v>
      </c>
      <c r="K10" s="472">
        <f>+([4]영남권!$E$10*0.4+[4]영남권!$E$11+[4]영남권!$E$12+[4]영남권!$E$13+[4]영남권!$E$14)/[4]영남권!$E$15</f>
        <v>0.29185807907001671</v>
      </c>
      <c r="L10" s="471">
        <f>+([4]영남권!$F$10*0.4+[4]영남권!$F$11+[4]영남권!$F$12+[4]영남권!$F$13+[4]영남권!$F$14)/[4]영남권!$F$15</f>
        <v>0.2833549932500557</v>
      </c>
      <c r="M10" s="470">
        <f t="shared" si="2"/>
        <v>-8.5030858199610093E-3</v>
      </c>
      <c r="N10" s="376">
        <f>+[4]영남권!$E$16</f>
        <v>797.24178204849625</v>
      </c>
      <c r="O10" s="375">
        <f>+[4]영남권!$F$16</f>
        <v>789.18447659327285</v>
      </c>
      <c r="P10" s="414">
        <f t="shared" si="3"/>
        <v>-8.0573054552233998</v>
      </c>
      <c r="Q10" s="376">
        <f>+[4]영남권!$E$17</f>
        <v>913.23691865568708</v>
      </c>
      <c r="R10" s="375">
        <f>+[4]영남권!$F$17</f>
        <v>889.59718465811125</v>
      </c>
      <c r="S10" s="414">
        <f t="shared" si="4"/>
        <v>-23.639733997575831</v>
      </c>
      <c r="T10" s="376">
        <f>+[4]영남권!$E$19</f>
        <v>3.2874579540595339</v>
      </c>
      <c r="U10" s="375">
        <f>+[4]영남권!$F$19</f>
        <v>2.9038361619865309</v>
      </c>
      <c r="V10" s="414">
        <f t="shared" si="5"/>
        <v>-0.38362179207300295</v>
      </c>
    </row>
    <row r="11" spans="1:22" ht="24" customHeight="1" x14ac:dyDescent="0.3">
      <c r="D11" s="372" t="s">
        <v>132</v>
      </c>
      <c r="E11" s="371">
        <f>+[4]중부권!$E$9</f>
        <v>253.36557377049178</v>
      </c>
      <c r="F11" s="370">
        <f>+[4]중부권!$F$9</f>
        <v>269.0873575740892</v>
      </c>
      <c r="G11" s="413">
        <f t="shared" si="0"/>
        <v>15.721783803597418</v>
      </c>
      <c r="H11" s="371">
        <f>+[4]중부권!$E$15</f>
        <v>360.65672131147539</v>
      </c>
      <c r="I11" s="370">
        <f>+[4]중부권!$F$15</f>
        <v>369.94832648325524</v>
      </c>
      <c r="J11" s="413">
        <f t="shared" si="1"/>
        <v>9.2916051717798496</v>
      </c>
      <c r="K11" s="469">
        <f>+([4]중부권!$E$10*0.4+[4]중부권!$E$11+[4]중부권!$E$12+[4]중부권!$E$13+[4]중부권!$E$14)/[4]중부권!$E$15</f>
        <v>0.24467205998529098</v>
      </c>
      <c r="L11" s="468">
        <f>+([4]중부권!$F$10*0.4+[4]중부권!$F$11+[4]중부권!$F$12+[4]중부권!$F$13+[4]중부권!$F$14)/[4]중부권!$F$15</f>
        <v>0.25529014301689545</v>
      </c>
      <c r="M11" s="467">
        <f t="shared" si="2"/>
        <v>1.0618083031604469E-2</v>
      </c>
      <c r="N11" s="371">
        <f>+[4]중부권!$E$16</f>
        <v>809.44360655737705</v>
      </c>
      <c r="O11" s="370">
        <f>+[4]중부권!$F$16</f>
        <v>774.16186505673443</v>
      </c>
      <c r="P11" s="413">
        <f t="shared" si="3"/>
        <v>-35.281741500642624</v>
      </c>
      <c r="Q11" s="371">
        <f>+[4]중부권!$E$17</f>
        <v>921.19999999999993</v>
      </c>
      <c r="R11" s="370">
        <f>+[4]중부권!$F$17</f>
        <v>954.30660164008623</v>
      </c>
      <c r="S11" s="413">
        <f t="shared" si="4"/>
        <v>33.106601640086296</v>
      </c>
      <c r="T11" s="371">
        <f>+[4]중부권!$E$19</f>
        <v>2.690950819672131</v>
      </c>
      <c r="U11" s="370">
        <f>+[4]중부권!$F$19</f>
        <v>3.0432343513401912</v>
      </c>
      <c r="V11" s="413">
        <f t="shared" si="5"/>
        <v>0.35228353166806015</v>
      </c>
    </row>
    <row r="12" spans="1:22" ht="24" customHeight="1" x14ac:dyDescent="0.3">
      <c r="D12" s="412" t="s">
        <v>18</v>
      </c>
      <c r="E12" s="365">
        <f>+[4]안양!$E$9</f>
        <v>280</v>
      </c>
      <c r="F12" s="364">
        <f>+[4]안양!$F$9</f>
        <v>301.98368665474305</v>
      </c>
      <c r="G12" s="366">
        <f t="shared" si="0"/>
        <v>21.983686654743053</v>
      </c>
      <c r="H12" s="365">
        <f>+[4]안양!$E$15</f>
        <v>374</v>
      </c>
      <c r="I12" s="364">
        <f>+[4]안양!$F$15</f>
        <v>388.35063290344874</v>
      </c>
      <c r="J12" s="366">
        <f t="shared" si="1"/>
        <v>14.350632903448741</v>
      </c>
      <c r="K12" s="466">
        <f>+([4]안양!$E$10*0.4+[4]안양!$E$11+[4]안양!$E$12+[4]안양!$E$13+[4]안양!$E$14)/[4]안양!$E$15</f>
        <v>0.25133689839572193</v>
      </c>
      <c r="L12" s="465">
        <f>+([4]안양!$F$10*0.4+[4]안양!$F$11+[4]안양!$F$12+[4]안양!$F$13+[4]안양!$F$14)/[4]안양!$F$15</f>
        <v>0.22239424615583947</v>
      </c>
      <c r="M12" s="464">
        <f t="shared" si="2"/>
        <v>-2.894265223988246E-2</v>
      </c>
      <c r="N12" s="365">
        <f>+[4]안양!$E$16</f>
        <v>845</v>
      </c>
      <c r="O12" s="364">
        <f>+[4]안양!$F$16</f>
        <v>810.03294737833016</v>
      </c>
      <c r="P12" s="366">
        <f t="shared" si="3"/>
        <v>-34.967052621669836</v>
      </c>
      <c r="Q12" s="365">
        <f>+[4]안양!$E$17</f>
        <v>875</v>
      </c>
      <c r="R12" s="364">
        <f>+[4]안양!$F$17</f>
        <v>861.66980451222253</v>
      </c>
      <c r="S12" s="366">
        <f t="shared" si="4"/>
        <v>-13.330195487777473</v>
      </c>
      <c r="T12" s="463">
        <f>+[4]안양!$E$19</f>
        <v>3.38</v>
      </c>
      <c r="U12" s="462">
        <f>+[4]안양!$F$19</f>
        <v>3.0564890646082419</v>
      </c>
      <c r="V12" s="461">
        <f t="shared" si="5"/>
        <v>-0.32351093539175801</v>
      </c>
    </row>
    <row r="13" spans="1:22" ht="24" customHeight="1" x14ac:dyDescent="0.3">
      <c r="D13" s="353" t="s">
        <v>19</v>
      </c>
      <c r="E13" s="351">
        <f>+[4]인천!$E$9</f>
        <v>265.64999999999998</v>
      </c>
      <c r="F13" s="350">
        <f>+[4]인천!$F$9</f>
        <v>236.45612761892218</v>
      </c>
      <c r="G13" s="352">
        <f t="shared" si="0"/>
        <v>-29.193872381077796</v>
      </c>
      <c r="H13" s="351">
        <f>+[4]인천!$E$15</f>
        <v>385</v>
      </c>
      <c r="I13" s="350">
        <f>+[4]인천!$F$15</f>
        <v>409.74639708789039</v>
      </c>
      <c r="J13" s="352">
        <f t="shared" si="1"/>
        <v>24.746397087890387</v>
      </c>
      <c r="K13" s="454">
        <f>+([4]인천!$E$10*0.4+[4]인천!$E$11+[4]인천!$E$12+[4]인천!$E$13+[4]인천!$E$14)/[4]인천!$E$15</f>
        <v>0.27399999999999997</v>
      </c>
      <c r="L13" s="453">
        <f>+([4]인천!$F$10*0.4+[4]인천!$F$11+[4]인천!$F$12+[4]인천!$F$13+[4]인천!$F$14)/[4]인천!$F$15</f>
        <v>0.28550910421716225</v>
      </c>
      <c r="M13" s="452">
        <f t="shared" si="2"/>
        <v>1.150910421716228E-2</v>
      </c>
      <c r="N13" s="351">
        <f>+[4]인천!$E$16</f>
        <v>901.37380877795181</v>
      </c>
      <c r="O13" s="350">
        <f>+[4]인천!$F$16</f>
        <v>841.13816049545392</v>
      </c>
      <c r="P13" s="352">
        <f t="shared" si="3"/>
        <v>-60.235648282497891</v>
      </c>
      <c r="Q13" s="351">
        <f>+[4]인천!$E$17</f>
        <v>832.03736194887858</v>
      </c>
      <c r="R13" s="350">
        <f>+[4]인천!$F$17</f>
        <v>862.84816840163387</v>
      </c>
      <c r="S13" s="352">
        <f t="shared" si="4"/>
        <v>30.810806452755287</v>
      </c>
      <c r="T13" s="451">
        <f>+[4]인천!$E$19</f>
        <v>3.33</v>
      </c>
      <c r="U13" s="450">
        <f>+[4]인천!$F$19</f>
        <v>3.3348118988008988</v>
      </c>
      <c r="V13" s="449">
        <f t="shared" si="5"/>
        <v>4.8118988008987174E-3</v>
      </c>
    </row>
    <row r="14" spans="1:22" ht="24" customHeight="1" x14ac:dyDescent="0.3">
      <c r="D14" s="353" t="s">
        <v>20</v>
      </c>
      <c r="E14" s="351">
        <f>+[4]파주!$E$9</f>
        <v>296.13895833333333</v>
      </c>
      <c r="F14" s="350">
        <f>+[4]파주!$F$9</f>
        <v>276.81001367308875</v>
      </c>
      <c r="G14" s="352">
        <f t="shared" si="0"/>
        <v>-19.328944660244588</v>
      </c>
      <c r="H14" s="351">
        <f>+[4]파주!$E$15</f>
        <v>369.81437499999998</v>
      </c>
      <c r="I14" s="350">
        <f>+[4]파주!$F$15</f>
        <v>362.57677874456169</v>
      </c>
      <c r="J14" s="352">
        <f t="shared" si="1"/>
        <v>-7.2375962554382909</v>
      </c>
      <c r="K14" s="454">
        <f>+([4]파주!$E$10*0.4+[4]파주!$E$11+[4]파주!$E$12+[4]파주!$E$13+[4]파주!$E$14)/[4]파주!$E$15</f>
        <v>0.19922269562038161</v>
      </c>
      <c r="L14" s="453">
        <f>+([4]파주!$F$10*0.4+[4]파주!$F$11+[4]파주!$F$12+[4]파주!$F$13+[4]파주!$F$14)/[4]파주!$F$15</f>
        <v>0.23654787095975696</v>
      </c>
      <c r="M14" s="452">
        <f t="shared" si="2"/>
        <v>3.7325175339375349E-2</v>
      </c>
      <c r="N14" s="351">
        <f>+[4]파주!$E$16</f>
        <v>864.58854166666663</v>
      </c>
      <c r="O14" s="350">
        <f>+[4]파주!$F$16</f>
        <v>811.37569919204407</v>
      </c>
      <c r="P14" s="352">
        <f t="shared" si="3"/>
        <v>-53.212842474622562</v>
      </c>
      <c r="Q14" s="351">
        <f>+[4]파주!$E$17</f>
        <v>857.4587499999999</v>
      </c>
      <c r="R14" s="350">
        <f>+[4]파주!$F$17</f>
        <v>936.46488502175214</v>
      </c>
      <c r="S14" s="352">
        <f t="shared" si="4"/>
        <v>79.006135021752243</v>
      </c>
      <c r="T14" s="451">
        <f>+[4]파주!$E$19</f>
        <v>2.87</v>
      </c>
      <c r="U14" s="450">
        <f>+[4]파주!$F$19</f>
        <v>2.9310907395898069</v>
      </c>
      <c r="V14" s="449">
        <f t="shared" si="5"/>
        <v>6.109073958980682E-2</v>
      </c>
    </row>
    <row r="15" spans="1:22" ht="24" customHeight="1" x14ac:dyDescent="0.3">
      <c r="D15" s="353" t="s">
        <v>108</v>
      </c>
      <c r="E15" s="351">
        <f>+[4]김포!$E$9</f>
        <v>250</v>
      </c>
      <c r="F15" s="350">
        <f>+[4]김포!$F$9</f>
        <v>235.50060015819687</v>
      </c>
      <c r="G15" s="352">
        <f t="shared" si="0"/>
        <v>-14.499399841803125</v>
      </c>
      <c r="H15" s="351">
        <f>+[4]김포!$E$15</f>
        <v>342</v>
      </c>
      <c r="I15" s="350">
        <f>+[4]김포!$F$15</f>
        <v>358.40865236306132</v>
      </c>
      <c r="J15" s="352">
        <f t="shared" si="1"/>
        <v>16.408652363061321</v>
      </c>
      <c r="K15" s="454">
        <f>+([4]김포!$E$10*0.4+[4]김포!$E$11+[4]김포!$E$12+[4]김포!$E$13+[4]김포!$E$14)/[4]김포!$E$15</f>
        <v>0.26900584795321636</v>
      </c>
      <c r="L15" s="453">
        <f>+([4]김포!$F$10*0.4+[4]김포!$F$11+[4]김포!$F$12+[4]김포!$F$13+[4]김포!$F$14)/[4]김포!$F$15</f>
        <v>0.29815155849352953</v>
      </c>
      <c r="M15" s="452">
        <f t="shared" si="2"/>
        <v>2.9145710540313174E-2</v>
      </c>
      <c r="N15" s="351">
        <f>+[4]김포!$E$16</f>
        <v>805</v>
      </c>
      <c r="O15" s="350">
        <f>+[4]김포!$F$16</f>
        <v>849.62457979038913</v>
      </c>
      <c r="P15" s="352">
        <f t="shared" si="3"/>
        <v>44.624579790389134</v>
      </c>
      <c r="Q15" s="351">
        <f>+[4]김포!$E$17</f>
        <v>950</v>
      </c>
      <c r="R15" s="350">
        <f>+[4]김포!$F$17</f>
        <v>943.80561597785152</v>
      </c>
      <c r="S15" s="352">
        <f t="shared" si="4"/>
        <v>-6.1943840221484834</v>
      </c>
      <c r="T15" s="451">
        <f>+[4]김포!$E$19</f>
        <v>2.8</v>
      </c>
      <c r="U15" s="450">
        <f>+[4]김포!$F$19</f>
        <v>3.3451206248764085</v>
      </c>
      <c r="V15" s="449">
        <f t="shared" si="5"/>
        <v>0.54512062487640867</v>
      </c>
    </row>
    <row r="16" spans="1:22" ht="24" customHeight="1" x14ac:dyDescent="0.3">
      <c r="D16" s="408" t="s">
        <v>21</v>
      </c>
      <c r="E16" s="358">
        <f>+[4]부산!$E$9</f>
        <v>171.477</v>
      </c>
      <c r="F16" s="357">
        <f>+[4]부산!$F$9</f>
        <v>165.86343849820634</v>
      </c>
      <c r="G16" s="359">
        <f t="shared" si="0"/>
        <v>-5.6135615017936686</v>
      </c>
      <c r="H16" s="358">
        <f>+[4]부산!$E$15</f>
        <v>381.06</v>
      </c>
      <c r="I16" s="357">
        <f>+[4]부산!$F$15</f>
        <v>385.90288466263718</v>
      </c>
      <c r="J16" s="359">
        <f t="shared" si="1"/>
        <v>4.8428846626371751</v>
      </c>
      <c r="K16" s="460">
        <f>+([4]부산!$E$10*0.4+[4]부산!$E$11+[4]부산!$E$12+[4]부산!$E$13+[4]부산!$E$14)/[4]부산!$E$15</f>
        <v>0.27399999999999997</v>
      </c>
      <c r="L16" s="459">
        <f>+([4]부산!$F$10*0.4+[4]부산!$F$11+[4]부산!$F$12+[4]부산!$F$13+[4]부산!$F$14)/[4]부산!$F$15</f>
        <v>0.27230821866992683</v>
      </c>
      <c r="M16" s="458">
        <f t="shared" si="2"/>
        <v>-1.6917813300731388E-3</v>
      </c>
      <c r="N16" s="358">
        <f>+[4]부산!$E$16</f>
        <v>820</v>
      </c>
      <c r="O16" s="357">
        <f>+[4]부산!$F$16</f>
        <v>889.98820580863924</v>
      </c>
      <c r="P16" s="359">
        <f t="shared" si="3"/>
        <v>69.988205808639236</v>
      </c>
      <c r="Q16" s="358">
        <f>+[4]부산!$E$17</f>
        <v>900</v>
      </c>
      <c r="R16" s="357">
        <f>+[4]부산!$F$17</f>
        <v>824.51226104476859</v>
      </c>
      <c r="S16" s="359">
        <f t="shared" si="4"/>
        <v>-75.487738955231407</v>
      </c>
      <c r="T16" s="457">
        <f>+[4]부산!$E$19</f>
        <v>3.6242616600000002</v>
      </c>
      <c r="U16" s="456">
        <f>+[4]부산!$F$19</f>
        <v>2.9228659885006616</v>
      </c>
      <c r="V16" s="455">
        <f t="shared" si="5"/>
        <v>-0.70139567149933857</v>
      </c>
    </row>
    <row r="17" spans="4:22" ht="24" customHeight="1" x14ac:dyDescent="0.3">
      <c r="D17" s="353" t="s">
        <v>22</v>
      </c>
      <c r="E17" s="351">
        <f>+[4]서부산!$E$9</f>
        <v>230</v>
      </c>
      <c r="F17" s="350">
        <f>+[4]서부산!$F$9</f>
        <v>255.76772505091648</v>
      </c>
      <c r="G17" s="352">
        <f t="shared" si="0"/>
        <v>25.767725050916482</v>
      </c>
      <c r="H17" s="351">
        <f>+[4]서부산!$E$15</f>
        <v>363</v>
      </c>
      <c r="I17" s="350">
        <f>+[4]서부산!$F$15</f>
        <v>374.65749643584525</v>
      </c>
      <c r="J17" s="352">
        <f t="shared" si="1"/>
        <v>11.657496435845246</v>
      </c>
      <c r="K17" s="454">
        <f>+([4]서부산!$E$10*0.4+[4]서부산!$E$11+[4]서부산!$E$12+[4]서부산!$E$13+[4]서부산!$E$14)/[4]서부산!$E$15</f>
        <v>0.30853994490358128</v>
      </c>
      <c r="L17" s="453">
        <f>+([4]서부산!$F$10*0.4+[4]서부산!$F$11+[4]서부산!$F$12+[4]서부산!$F$13+[4]서부산!$F$14)/[4]서부산!$F$15</f>
        <v>0.22429197617604643</v>
      </c>
      <c r="M17" s="452">
        <f t="shared" si="2"/>
        <v>-8.4247968727534844E-2</v>
      </c>
      <c r="N17" s="351">
        <f>+[4]서부산!$E$16</f>
        <v>823</v>
      </c>
      <c r="O17" s="350">
        <f>+[4]서부산!$F$16</f>
        <v>833.3541242362528</v>
      </c>
      <c r="P17" s="352">
        <f t="shared" si="3"/>
        <v>10.354124236252801</v>
      </c>
      <c r="Q17" s="351">
        <f>+[4]서부산!$E$17</f>
        <v>908</v>
      </c>
      <c r="R17" s="350">
        <f>+[4]서부산!$F$17</f>
        <v>891.64765784114047</v>
      </c>
      <c r="S17" s="352">
        <f t="shared" si="4"/>
        <v>-16.352342158859528</v>
      </c>
      <c r="T17" s="451">
        <f>+[4]서부산!$E$19</f>
        <v>3.2</v>
      </c>
      <c r="U17" s="450">
        <f>+[4]서부산!$F$19</f>
        <v>2.8284712830957228</v>
      </c>
      <c r="V17" s="449">
        <f t="shared" si="5"/>
        <v>-0.37152871690427736</v>
      </c>
    </row>
    <row r="18" spans="4:22" ht="24" customHeight="1" x14ac:dyDescent="0.3">
      <c r="D18" s="353" t="s">
        <v>23</v>
      </c>
      <c r="E18" s="351">
        <f>+[4]김해!$E$9</f>
        <v>170</v>
      </c>
      <c r="F18" s="350">
        <f>+[4]김해!$F$9</f>
        <v>157.35194261647806</v>
      </c>
      <c r="G18" s="352">
        <f t="shared" si="0"/>
        <v>-12.648057383521945</v>
      </c>
      <c r="H18" s="351">
        <f>+[4]김해!$E$15</f>
        <v>339.99999999999994</v>
      </c>
      <c r="I18" s="350">
        <f>+[4]김해!$F$15</f>
        <v>348.90249407738889</v>
      </c>
      <c r="J18" s="352">
        <f t="shared" si="1"/>
        <v>8.9024940773889512</v>
      </c>
      <c r="K18" s="454">
        <f>+([4]김해!$E$10*0.4+[4]김해!$E$11+[4]김해!$E$12+[4]김해!$E$13+[4]김해!$E$14)/[4]김해!$E$15</f>
        <v>0.24199999999999999</v>
      </c>
      <c r="L18" s="453">
        <f>+([4]김해!$F$10*0.4+[4]김해!$F$11+[4]김해!$F$12+[4]김해!$F$13+[4]김해!$F$14)/[4]김해!$F$15</f>
        <v>0.37564226846553367</v>
      </c>
      <c r="M18" s="452">
        <f t="shared" si="2"/>
        <v>0.13364226846553368</v>
      </c>
      <c r="N18" s="351">
        <f>+[4]김해!$E$16</f>
        <v>770</v>
      </c>
      <c r="O18" s="350">
        <f>+[4]김해!$F$16</f>
        <v>751.38194261647777</v>
      </c>
      <c r="P18" s="352">
        <f t="shared" si="3"/>
        <v>-18.618057383522228</v>
      </c>
      <c r="Q18" s="351">
        <f>+[4]김해!$E$17</f>
        <v>950</v>
      </c>
      <c r="R18" s="350">
        <f>+[4]김해!$F$17</f>
        <v>910.31324032640214</v>
      </c>
      <c r="S18" s="352">
        <f t="shared" si="4"/>
        <v>-39.686759673597862</v>
      </c>
      <c r="T18" s="451">
        <f>+[4]김해!$E$19</f>
        <v>3.3</v>
      </c>
      <c r="U18" s="450">
        <f>+[4]김해!$F$19</f>
        <v>2.7745525138194247</v>
      </c>
      <c r="V18" s="449">
        <f t="shared" si="5"/>
        <v>-0.52544748618057513</v>
      </c>
    </row>
    <row r="19" spans="4:22" ht="24" customHeight="1" x14ac:dyDescent="0.3">
      <c r="D19" s="353" t="s">
        <v>24</v>
      </c>
      <c r="E19" s="351">
        <f>+[4]정관!$E$9</f>
        <v>227.11688075264991</v>
      </c>
      <c r="F19" s="350">
        <f>+[4]정관!$F$9</f>
        <v>228.49266346871329</v>
      </c>
      <c r="G19" s="352">
        <f t="shared" si="0"/>
        <v>1.3757827160633838</v>
      </c>
      <c r="H19" s="351">
        <f>+[4]정관!$E$15</f>
        <v>360.50298532166653</v>
      </c>
      <c r="I19" s="350">
        <f>+[4]정관!$F$15</f>
        <v>377.43349323099881</v>
      </c>
      <c r="J19" s="352">
        <f t="shared" si="1"/>
        <v>16.930507909332277</v>
      </c>
      <c r="K19" s="454">
        <f>+([4]정관!$E$10*0.4+[4]정관!$E$11+[4]정관!$E$12+[4]정관!$E$13+[4]정관!$E$14)/[4]정관!$E$15</f>
        <v>0.25</v>
      </c>
      <c r="L19" s="453">
        <f>+([4]정관!$F$10*0.4+[4]정관!$F$11+[4]정관!$F$12+[4]정관!$F$13+[4]정관!$F$14)/[4]정관!$F$15</f>
        <v>0.2647689721331094</v>
      </c>
      <c r="M19" s="452">
        <f t="shared" si="2"/>
        <v>1.4768972133109404E-2</v>
      </c>
      <c r="N19" s="351">
        <f>+[4]정관!$E$16</f>
        <v>788.44547368421047</v>
      </c>
      <c r="O19" s="350">
        <f>+[4]정관!$F$16</f>
        <v>796.05393881249302</v>
      </c>
      <c r="P19" s="352">
        <f t="shared" si="3"/>
        <v>7.6084651282825462</v>
      </c>
      <c r="Q19" s="351">
        <f>+[4]정관!$E$17</f>
        <v>919.86989542743243</v>
      </c>
      <c r="R19" s="350">
        <f>+[4]정관!$F$17</f>
        <v>934.76622961304736</v>
      </c>
      <c r="S19" s="352">
        <f t="shared" si="4"/>
        <v>14.896334185614933</v>
      </c>
      <c r="T19" s="451">
        <f>+[4]정관!$E$19</f>
        <v>3.4247783605558322</v>
      </c>
      <c r="U19" s="450">
        <f>+[4]정관!$F$19</f>
        <v>3.2620978573712831</v>
      </c>
      <c r="V19" s="449">
        <f t="shared" si="5"/>
        <v>-0.16268050318454907</v>
      </c>
    </row>
    <row r="20" spans="4:22" ht="24" customHeight="1" x14ac:dyDescent="0.3">
      <c r="D20" s="353" t="s">
        <v>25</v>
      </c>
      <c r="E20" s="351">
        <f>+[4]양산!$E$9</f>
        <v>227.25768332944466</v>
      </c>
      <c r="F20" s="350">
        <f>+[4]양산!$F$9</f>
        <v>210.43690480118789</v>
      </c>
      <c r="G20" s="352">
        <f t="shared" si="0"/>
        <v>-16.820778528256767</v>
      </c>
      <c r="H20" s="351">
        <f>+[4]양산!$E$15</f>
        <v>356.01978922490633</v>
      </c>
      <c r="I20" s="350">
        <f>+[4]양산!$F$15</f>
        <v>355.75534730242543</v>
      </c>
      <c r="J20" s="352">
        <f t="shared" si="1"/>
        <v>-0.26444192248089848</v>
      </c>
      <c r="K20" s="454">
        <f>+([4]양산!$E$10*0.4+[4]양산!$E$11+[4]양산!$E$12+[4]양산!$E$13+[4]양산!$E$14)/[4]양산!$E$15</f>
        <v>0.36167120422095284</v>
      </c>
      <c r="L20" s="453">
        <f>+([4]양산!$F$10*0.4+[4]양산!$F$11+[4]양산!$F$12+[4]양산!$F$13+[4]양산!$F$14)/[4]양산!$F$15</f>
        <v>0.40847858957887484</v>
      </c>
      <c r="M20" s="452">
        <f t="shared" si="2"/>
        <v>4.6807385357922004E-2</v>
      </c>
      <c r="N20" s="351">
        <f>+[4]양산!$E$16</f>
        <v>772.4</v>
      </c>
      <c r="O20" s="350">
        <f>+[4]양산!$F$16</f>
        <v>719.37799043062171</v>
      </c>
      <c r="P20" s="352">
        <f t="shared" si="3"/>
        <v>-53.02200956937827</v>
      </c>
      <c r="Q20" s="351">
        <f>+[4]양산!$E$17</f>
        <v>877.88719000000003</v>
      </c>
      <c r="R20" s="350">
        <f>+[4]양산!$F$17</f>
        <v>889.17917835340677</v>
      </c>
      <c r="S20" s="352">
        <f t="shared" si="4"/>
        <v>11.291988353406737</v>
      </c>
      <c r="T20" s="451">
        <f>+[4]양산!$E$19</f>
        <v>3.016951541745037</v>
      </c>
      <c r="U20" s="450">
        <f>+[4]양산!$F$19</f>
        <v>2.5303910245834014</v>
      </c>
      <c r="V20" s="449">
        <f t="shared" si="5"/>
        <v>-0.48656051716163562</v>
      </c>
    </row>
    <row r="21" spans="4:22" ht="24" customHeight="1" x14ac:dyDescent="0.3">
      <c r="D21" s="353" t="s">
        <v>26</v>
      </c>
      <c r="E21" s="351">
        <f>+[4]창원!$E$9</f>
        <v>254.30000000000004</v>
      </c>
      <c r="F21" s="350">
        <f>+[4]창원!$F$9</f>
        <v>201.98519706691116</v>
      </c>
      <c r="G21" s="352">
        <f t="shared" si="0"/>
        <v>-52.314802933088885</v>
      </c>
      <c r="H21" s="351">
        <f>+[4]창원!$E$15</f>
        <v>354.50000000000006</v>
      </c>
      <c r="I21" s="350">
        <f>+[4]창원!$F$15</f>
        <v>300.47798655667589</v>
      </c>
      <c r="J21" s="352">
        <f t="shared" si="1"/>
        <v>-54.02201344332417</v>
      </c>
      <c r="K21" s="454">
        <f>+([4]창원!$E$10*0.4+[4]창원!$E$11+[4]창원!$E$12+[4]창원!$E$13+[4]창원!$E$14)/[4]창원!$E$15</f>
        <v>0.28265162200282085</v>
      </c>
      <c r="L21" s="453">
        <f>+([4]창원!$F$10*0.4+[4]창원!$F$11+[4]창원!$F$12+[4]창원!$F$13+[4]창원!$F$14)/[4]창원!$F$15</f>
        <v>0.32778703897227779</v>
      </c>
      <c r="M21" s="452">
        <f t="shared" si="2"/>
        <v>4.5135416969456943E-2</v>
      </c>
      <c r="N21" s="351">
        <f>+[4]창원!$E$16</f>
        <v>843</v>
      </c>
      <c r="O21" s="350">
        <f>+[4]창원!$F$16</f>
        <v>706.90345249006975</v>
      </c>
      <c r="P21" s="352">
        <f t="shared" si="3"/>
        <v>-136.09654750993025</v>
      </c>
      <c r="Q21" s="351">
        <f>+[4]창원!$E$17</f>
        <v>887.7</v>
      </c>
      <c r="R21" s="350">
        <f>+[4]창원!$F$17</f>
        <v>983.42422853651135</v>
      </c>
      <c r="S21" s="352">
        <f t="shared" si="4"/>
        <v>95.724228536511305</v>
      </c>
      <c r="T21" s="451">
        <f>+[4]창원!$E$19</f>
        <v>3.08</v>
      </c>
      <c r="U21" s="450">
        <f>+[4]창원!$F$19</f>
        <v>2.4691032691720127</v>
      </c>
      <c r="V21" s="449">
        <f t="shared" si="5"/>
        <v>-0.61089673082798734</v>
      </c>
    </row>
    <row r="22" spans="4:22" ht="24" customHeight="1" x14ac:dyDescent="0.3">
      <c r="D22" s="353" t="s">
        <v>131</v>
      </c>
      <c r="E22" s="351">
        <f>+[4]대구!$E$9</f>
        <v>225.55</v>
      </c>
      <c r="F22" s="350">
        <f>+[4]대구!$F$9</f>
        <v>245.72163736552079</v>
      </c>
      <c r="G22" s="352">
        <f t="shared" si="0"/>
        <v>20.17163736552078</v>
      </c>
      <c r="H22" s="351">
        <f>+[4]대구!$E$15</f>
        <v>347</v>
      </c>
      <c r="I22" s="350">
        <f>+[4]대구!$F$15</f>
        <v>326.17985680548782</v>
      </c>
      <c r="J22" s="352">
        <f t="shared" si="1"/>
        <v>-20.820143194512184</v>
      </c>
      <c r="K22" s="454">
        <f>+([4]대구!$E$10*0.4+[4]대구!$E$11+[4]대구!$E$12+[4]대구!$E$13+[4]대구!$E$14)/[4]대구!$E$15</f>
        <v>0.35000000000000003</v>
      </c>
      <c r="L22" s="453">
        <f>+([4]대구!$F$10*0.4+[4]대구!$F$11+[4]대구!$F$12+[4]대구!$F$13+[4]대구!$F$14)/[4]대구!$F$15</f>
        <v>0.24011575778835492</v>
      </c>
      <c r="M22" s="452">
        <f t="shared" si="2"/>
        <v>-0.10988424221164511</v>
      </c>
      <c r="N22" s="351">
        <f>+[4]대구!$E$16</f>
        <v>731.96671150921077</v>
      </c>
      <c r="O22" s="350">
        <f>+[4]대구!$F$16</f>
        <v>694.62503279979012</v>
      </c>
      <c r="P22" s="352">
        <f t="shared" si="3"/>
        <v>-37.341678709420648</v>
      </c>
      <c r="Q22" s="351">
        <f>+[4]대구!$E$17</f>
        <v>970.28145479127943</v>
      </c>
      <c r="R22" s="350">
        <f>+[4]대구!$F$17</f>
        <v>909.09510064849928</v>
      </c>
      <c r="S22" s="352">
        <f t="shared" si="4"/>
        <v>-61.186354142780147</v>
      </c>
      <c r="T22" s="451">
        <f>+[4]대구!$E$19</f>
        <v>3.1230000000000002</v>
      </c>
      <c r="U22" s="450">
        <f>+[4]대구!$F$19</f>
        <v>2.7740038235183881</v>
      </c>
      <c r="V22" s="449">
        <f t="shared" si="5"/>
        <v>-0.34899617648161207</v>
      </c>
    </row>
    <row r="23" spans="4:22" ht="24" customHeight="1" x14ac:dyDescent="0.3">
      <c r="D23" s="353" t="s">
        <v>130</v>
      </c>
      <c r="E23" s="351">
        <f>+[4]울산!$E$9</f>
        <v>255.20000000000005</v>
      </c>
      <c r="F23" s="350">
        <f>+[4]울산!$F$9</f>
        <v>260.41040009092961</v>
      </c>
      <c r="G23" s="352">
        <f t="shared" si="0"/>
        <v>5.2104000909295678</v>
      </c>
      <c r="H23" s="351">
        <f>+[4]울산!$E$15</f>
        <v>364.6</v>
      </c>
      <c r="I23" s="350">
        <f>+[4]울산!$F$15</f>
        <v>392.15034780631942</v>
      </c>
      <c r="J23" s="352">
        <f t="shared" si="1"/>
        <v>27.550347806319394</v>
      </c>
      <c r="K23" s="454">
        <f>+([4]울산!$E$10*0.4+[4]울산!$E$11+[4]울산!$E$12+[4]울산!$E$13+[4]울산!$E$14)/[4]울산!$E$15</f>
        <v>0.30005485463521664</v>
      </c>
      <c r="L23" s="453">
        <f>+([4]울산!$F$10*0.4+[4]울산!$F$11+[4]울산!$F$12+[4]울산!$F$13+[4]울산!$F$14)/[4]울산!$F$15</f>
        <v>0.33594244771766807</v>
      </c>
      <c r="M23" s="452">
        <f t="shared" si="2"/>
        <v>3.588759308245143E-2</v>
      </c>
      <c r="N23" s="351">
        <f>+[4]울산!$E$16</f>
        <v>798.4</v>
      </c>
      <c r="O23" s="350">
        <f>+[4]울산!$F$16</f>
        <v>746.02015609608202</v>
      </c>
      <c r="P23" s="352">
        <f t="shared" si="3"/>
        <v>-52.379843903917958</v>
      </c>
      <c r="Q23" s="351">
        <f>+[4]울산!$E$17</f>
        <v>900.30000000000007</v>
      </c>
      <c r="R23" s="350">
        <f>+[4]울산!$F$17</f>
        <v>828.65022353565178</v>
      </c>
      <c r="S23" s="352">
        <f t="shared" si="4"/>
        <v>-71.649776464348292</v>
      </c>
      <c r="T23" s="451">
        <f>+[4]울산!$E$19</f>
        <v>3.28</v>
      </c>
      <c r="U23" s="450">
        <f>+[4]울산!$F$19</f>
        <v>2.9427900280366752</v>
      </c>
      <c r="V23" s="449">
        <f t="shared" si="5"/>
        <v>-0.33720997196332458</v>
      </c>
    </row>
    <row r="24" spans="4:22" ht="24" customHeight="1" x14ac:dyDescent="0.3">
      <c r="D24" s="408" t="s">
        <v>27</v>
      </c>
      <c r="E24" s="358">
        <f>+[4]아산!$E$9</f>
        <v>251.25769230769228</v>
      </c>
      <c r="F24" s="357">
        <f>+[4]아산!$F$9</f>
        <v>281.37504369325234</v>
      </c>
      <c r="G24" s="359">
        <f t="shared" si="0"/>
        <v>30.117351385560056</v>
      </c>
      <c r="H24" s="358">
        <f>+[4]아산!$E$15</f>
        <v>381.81923076923078</v>
      </c>
      <c r="I24" s="357">
        <f>+[4]아산!$F$15</f>
        <v>387.13561916535258</v>
      </c>
      <c r="J24" s="359">
        <f t="shared" si="1"/>
        <v>5.3163883961217948</v>
      </c>
      <c r="K24" s="460">
        <f>+([4]아산!$E$10*0.4+[4]아산!$E$11+[4]아산!$E$12+[4]아산!$E$13+[4]아산!$E$14)/[4]아산!$E$15</f>
        <v>0.28294501022433088</v>
      </c>
      <c r="L24" s="459">
        <f>+([4]아산!$F$10*0.4+[4]아산!$F$11+[4]아산!$F$12+[4]아산!$F$13+[4]아산!$F$14)/[4]아산!$F$15</f>
        <v>0.25678583157229828</v>
      </c>
      <c r="M24" s="458">
        <f t="shared" si="2"/>
        <v>-2.61591786520326E-2</v>
      </c>
      <c r="N24" s="358">
        <f>+[4]아산!$E$16</f>
        <v>868</v>
      </c>
      <c r="O24" s="357">
        <f>+[4]아산!$F$16</f>
        <v>781.93635704846793</v>
      </c>
      <c r="P24" s="359">
        <f t="shared" si="3"/>
        <v>-86.063642951532074</v>
      </c>
      <c r="Q24" s="358">
        <f>+[4]아산!$E$17</f>
        <v>869</v>
      </c>
      <c r="R24" s="357">
        <f>+[4]아산!$F$17</f>
        <v>962.15823351379072</v>
      </c>
      <c r="S24" s="359">
        <f t="shared" si="4"/>
        <v>93.158233513790719</v>
      </c>
      <c r="T24" s="457">
        <f>+[4]아산!$E$19</f>
        <v>2.8</v>
      </c>
      <c r="U24" s="456">
        <f>+[4]아산!$F$19</f>
        <v>3.1954217997357119</v>
      </c>
      <c r="V24" s="455">
        <f t="shared" si="5"/>
        <v>0.39542179973571212</v>
      </c>
    </row>
    <row r="25" spans="4:22" ht="24" customHeight="1" x14ac:dyDescent="0.3">
      <c r="D25" s="353" t="s">
        <v>129</v>
      </c>
      <c r="E25" s="351">
        <f>+[4]전주!$E$9</f>
        <v>222.35</v>
      </c>
      <c r="F25" s="350">
        <f>+[4]전주!$F$9</f>
        <v>235.26847947019868</v>
      </c>
      <c r="G25" s="352">
        <f t="shared" si="0"/>
        <v>12.91847947019869</v>
      </c>
      <c r="H25" s="351">
        <f>+[4]전주!$E$15</f>
        <v>334.23</v>
      </c>
      <c r="I25" s="350">
        <f>+[4]전주!$F$15</f>
        <v>354.49186622516561</v>
      </c>
      <c r="J25" s="352">
        <f t="shared" si="1"/>
        <v>20.261866225165591</v>
      </c>
      <c r="K25" s="454">
        <f>+([4]전주!$E$10*0.4+[4]전주!$E$11+[4]전주!$E$12+[4]전주!$E$13+[4]전주!$E$14)/[4]전주!$E$15</f>
        <v>0.277024803279179</v>
      </c>
      <c r="L25" s="453">
        <f>+([4]전주!$F$10*0.4+[4]전주!$F$11+[4]전주!$F$12+[4]전주!$F$13+[4]전주!$F$14)/[4]전주!$F$15</f>
        <v>0.31997164683355239</v>
      </c>
      <c r="M25" s="452">
        <f t="shared" si="2"/>
        <v>4.2946843554373393E-2</v>
      </c>
      <c r="N25" s="351">
        <f>+[4]전주!$E$16</f>
        <v>740.85</v>
      </c>
      <c r="O25" s="350">
        <f>+[4]전주!$F$16</f>
        <v>676.20331125827806</v>
      </c>
      <c r="P25" s="352">
        <f t="shared" si="3"/>
        <v>-64.64668874172196</v>
      </c>
      <c r="Q25" s="351">
        <f>+[4]전주!$E$17</f>
        <v>991.87</v>
      </c>
      <c r="R25" s="350">
        <f>+[4]전주!$F$17</f>
        <v>1041.9264900662256</v>
      </c>
      <c r="S25" s="352">
        <f t="shared" si="4"/>
        <v>50.056490066225592</v>
      </c>
      <c r="T25" s="451">
        <f>+[4]전주!$E$19</f>
        <v>2.25</v>
      </c>
      <c r="U25" s="450">
        <f>+[4]전주!$F$19</f>
        <v>2.6742549668874172</v>
      </c>
      <c r="V25" s="449">
        <f t="shared" si="5"/>
        <v>0.42425496688741715</v>
      </c>
    </row>
    <row r="26" spans="4:22" ht="24" customHeight="1" x14ac:dyDescent="0.3">
      <c r="D26" s="353" t="s">
        <v>128</v>
      </c>
      <c r="E26" s="351">
        <f>+[4]군산!$E$9</f>
        <v>253.8</v>
      </c>
      <c r="F26" s="350">
        <f>+[4]군산!$F$9</f>
        <v>229.1086077151335</v>
      </c>
      <c r="G26" s="352">
        <f t="shared" si="0"/>
        <v>-24.691392284866509</v>
      </c>
      <c r="H26" s="351">
        <f>+[4]군산!$E$15</f>
        <v>346.70000000000005</v>
      </c>
      <c r="I26" s="350">
        <f>+[4]군산!$F$15</f>
        <v>342.34435608308604</v>
      </c>
      <c r="J26" s="352">
        <f t="shared" si="1"/>
        <v>-4.3556439169140049</v>
      </c>
      <c r="K26" s="454">
        <f>+([4]군산!$E$10*0.4+[4]군산!$E$11+[4]군산!$E$12+[4]군산!$E$13+[4]군산!$E$14)/[4]군산!$E$15</f>
        <v>0.26241707528122288</v>
      </c>
      <c r="L26" s="453">
        <f>+([4]군산!$F$10*0.4+[4]군산!$F$11+[4]군산!$F$12+[4]군산!$F$13+[4]군산!$F$14)/[4]군산!$F$15</f>
        <v>0.29356845478646237</v>
      </c>
      <c r="M26" s="452">
        <f t="shared" si="2"/>
        <v>3.1151379505239496E-2</v>
      </c>
      <c r="N26" s="351">
        <f>+[4]군산!$E$16</f>
        <v>810</v>
      </c>
      <c r="O26" s="350">
        <f>+[4]군산!$F$16</f>
        <v>1022.6065281899108</v>
      </c>
      <c r="P26" s="352">
        <f t="shared" si="3"/>
        <v>212.60652818991082</v>
      </c>
      <c r="Q26" s="351">
        <f>+[4]군산!$E$17</f>
        <v>905</v>
      </c>
      <c r="R26" s="350">
        <f>+[4]군산!$F$17</f>
        <v>637.69614243323451</v>
      </c>
      <c r="S26" s="352">
        <f t="shared" si="4"/>
        <v>-267.30385756676549</v>
      </c>
      <c r="T26" s="451">
        <f>+[4]군산!$E$19</f>
        <v>2.78</v>
      </c>
      <c r="U26" s="450">
        <f>+[4]군산!$F$19</f>
        <v>2.6434540059347178</v>
      </c>
      <c r="V26" s="449">
        <f t="shared" si="5"/>
        <v>-0.13654599406528201</v>
      </c>
    </row>
    <row r="27" spans="4:22" ht="24" customHeight="1" x14ac:dyDescent="0.3">
      <c r="D27" s="353" t="s">
        <v>127</v>
      </c>
      <c r="E27" s="351">
        <f>+[4]원주!$E$9</f>
        <v>267.5</v>
      </c>
      <c r="F27" s="350">
        <f>+[4]원주!$F$9</f>
        <v>281.59803781450057</v>
      </c>
      <c r="G27" s="352">
        <f t="shared" si="0"/>
        <v>14.098037814500572</v>
      </c>
      <c r="H27" s="351">
        <f>+[4]원주!$E$15</f>
        <v>353.4</v>
      </c>
      <c r="I27" s="350">
        <f>+[4]원주!$F$15</f>
        <v>373.97916927199651</v>
      </c>
      <c r="J27" s="352">
        <f t="shared" si="1"/>
        <v>20.579169271996534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0.2470221313056791</v>
      </c>
      <c r="M27" s="452">
        <f t="shared" si="2"/>
        <v>3.9547855218647066E-3</v>
      </c>
      <c r="N27" s="351">
        <f>+[4]원주!$E$16</f>
        <v>837.8599999999999</v>
      </c>
      <c r="O27" s="350">
        <f>+[4]원주!$F$16</f>
        <v>867.4720857525682</v>
      </c>
      <c r="P27" s="352">
        <f t="shared" si="3"/>
        <v>29.612085752568305</v>
      </c>
      <c r="Q27" s="351">
        <f>+[4]원주!$E$17</f>
        <v>921.0100000000001</v>
      </c>
      <c r="R27" s="350">
        <f>+[4]원주!$F$17</f>
        <v>866.37784725323809</v>
      </c>
      <c r="S27" s="352">
        <f t="shared" si="4"/>
        <v>-54.632152746762017</v>
      </c>
      <c r="T27" s="451">
        <f>+[4]원주!$E$19</f>
        <v>2.9380000000000002</v>
      </c>
      <c r="U27" s="450">
        <f>+[4]원주!$F$19</f>
        <v>3.077579276462707</v>
      </c>
      <c r="V27" s="449">
        <f t="shared" si="5"/>
        <v>0.13957927646270685</v>
      </c>
    </row>
    <row r="28" spans="4:22" ht="24" customHeight="1" x14ac:dyDescent="0.3">
      <c r="D28" s="348" t="s">
        <v>126</v>
      </c>
      <c r="E28" s="346">
        <f>+[4]제주!$E$9</f>
        <v>291</v>
      </c>
      <c r="F28" s="445">
        <f>+[4]제주!$F$9</f>
        <v>342.97034738402868</v>
      </c>
      <c r="G28" s="347">
        <f t="shared" si="0"/>
        <v>51.970347384028685</v>
      </c>
      <c r="H28" s="346">
        <f>+[4]제주!$E$15</f>
        <v>352</v>
      </c>
      <c r="I28" s="445">
        <f>+[4]제주!$F$15</f>
        <v>355.74370684177069</v>
      </c>
      <c r="J28" s="347">
        <f t="shared" si="1"/>
        <v>3.7437068417706882</v>
      </c>
      <c r="K28" s="448">
        <f>+([4]제주!$E$10*0.4+[4]제주!$E$11+[4]제주!$E$12+[4]제주!$E$13+[4]제주!$E$14)/[4]제주!$E$15</f>
        <v>6.931818181818182E-2</v>
      </c>
      <c r="L28" s="447">
        <f>+([4]제주!$F$10*0.4+[4]제주!$F$11+[4]제주!$F$12+[4]제주!$F$13+[4]제주!$F$14)/[4]제주!$F$15</f>
        <v>1.4362429144444031E-2</v>
      </c>
      <c r="M28" s="446">
        <f t="shared" si="2"/>
        <v>-5.4955752673737791E-2</v>
      </c>
      <c r="N28" s="346">
        <f>+[4]제주!$E$16</f>
        <v>712.3</v>
      </c>
      <c r="O28" s="445">
        <f>+[4]제주!$F$16</f>
        <v>760.78267316246581</v>
      </c>
      <c r="P28" s="347">
        <f t="shared" si="3"/>
        <v>48.482673162465858</v>
      </c>
      <c r="Q28" s="346">
        <f>+[4]제주!$E$17</f>
        <v>992.30000000000007</v>
      </c>
      <c r="R28" s="445">
        <f>+[4]제주!$F$17</f>
        <v>980.10167337428538</v>
      </c>
      <c r="S28" s="347">
        <f t="shared" si="4"/>
        <v>-12.198326625714685</v>
      </c>
      <c r="T28" s="444">
        <f>+[4]제주!$E$19</f>
        <v>2.72</v>
      </c>
      <c r="U28" s="443">
        <f>+[4]제주!$F$19</f>
        <v>3.7994619783944077</v>
      </c>
      <c r="V28" s="442">
        <f t="shared" si="5"/>
        <v>1.0794619783944075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34998626667073579"/>
    <pageSetUpPr fitToPage="1"/>
  </sheetPr>
  <dimension ref="D3:AY55"/>
  <sheetViews>
    <sheetView showGridLines="0" topLeftCell="H4" zoomScale="70" zoomScaleNormal="70" workbookViewId="0">
      <pane ySplit="6" topLeftCell="A22" activePane="bottomLeft" state="frozenSplit"/>
      <selection pane="bottomLeft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500" customWidth="1"/>
    <col min="18" max="18" width="9" style="6"/>
    <col min="19" max="38" width="10.25" style="6" hidden="1" customWidth="1"/>
    <col min="39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224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501"/>
      <c r="O7" s="397" t="s">
        <v>166</v>
      </c>
    </row>
    <row r="8" spans="4:17" ht="25.5" customHeight="1" thickTop="1" x14ac:dyDescent="0.3">
      <c r="D8" s="653" t="s">
        <v>11</v>
      </c>
      <c r="E8" s="654"/>
      <c r="F8" s="657" t="s">
        <v>208</v>
      </c>
      <c r="G8" s="658"/>
      <c r="H8" s="658"/>
      <c r="I8" s="658"/>
      <c r="J8" s="659"/>
      <c r="K8" s="627" t="s">
        <v>221</v>
      </c>
      <c r="L8" s="627"/>
      <c r="M8" s="627"/>
      <c r="N8" s="627"/>
      <c r="O8" s="630"/>
      <c r="P8" s="502"/>
      <c r="Q8" s="502"/>
    </row>
    <row r="9" spans="4:17" ht="25.5" customHeight="1" x14ac:dyDescent="0.3">
      <c r="D9" s="655"/>
      <c r="E9" s="656"/>
      <c r="F9" s="503" t="s">
        <v>36</v>
      </c>
      <c r="G9" s="504" t="s">
        <v>37</v>
      </c>
      <c r="H9" s="505" t="s">
        <v>56</v>
      </c>
      <c r="I9" s="504" t="s">
        <v>39</v>
      </c>
      <c r="J9" s="506" t="s">
        <v>57</v>
      </c>
      <c r="K9" s="505" t="s">
        <v>36</v>
      </c>
      <c r="L9" s="504" t="s">
        <v>37</v>
      </c>
      <c r="M9" s="505" t="s">
        <v>56</v>
      </c>
      <c r="N9" s="504" t="s">
        <v>39</v>
      </c>
      <c r="O9" s="507" t="s">
        <v>57</v>
      </c>
      <c r="P9" s="502"/>
      <c r="Q9" s="502"/>
    </row>
    <row r="10" spans="4:17" ht="25.5" customHeight="1" x14ac:dyDescent="0.3">
      <c r="D10" s="508" t="s">
        <v>89</v>
      </c>
      <c r="E10" s="509" t="s">
        <v>69</v>
      </c>
      <c r="F10" s="510">
        <f>+IFERROR(HLOOKUP($F$8,[14]손익!$G$5:$AI$63,2,),)</f>
        <v>12600</v>
      </c>
      <c r="G10" s="511">
        <f>+'[6]9월'!$G$8</f>
        <v>7943.9050000000007</v>
      </c>
      <c r="H10" s="512">
        <f>+G10-F10</f>
        <v>-4656.0949999999993</v>
      </c>
      <c r="I10" s="511">
        <f>+IFERROR(HLOOKUP($F$8,[7]월별!$E$2:$T$53,2,),)</f>
        <v>7354.6280000000006</v>
      </c>
      <c r="J10" s="513">
        <f>+G10-I10</f>
        <v>589.27700000000004</v>
      </c>
      <c r="K10" s="510">
        <f>+F10+[15]건자재!K10</f>
        <v>100900</v>
      </c>
      <c r="L10" s="511">
        <f>+G10+[15]건자재!L10</f>
        <v>84893.854999999996</v>
      </c>
      <c r="M10" s="512">
        <f>+L10-K10</f>
        <v>-16006.145000000004</v>
      </c>
      <c r="N10" s="511">
        <f>+I10+[15]건자재!N10</f>
        <v>77967.343999999997</v>
      </c>
      <c r="O10" s="513">
        <f>+L10-N10</f>
        <v>6926.5109999999986</v>
      </c>
      <c r="P10" s="514"/>
      <c r="Q10" s="514"/>
    </row>
    <row r="11" spans="4:17" ht="25.5" customHeight="1" x14ac:dyDescent="0.3">
      <c r="D11" s="515" t="s">
        <v>53</v>
      </c>
      <c r="E11" s="516" t="s">
        <v>168</v>
      </c>
      <c r="F11" s="517">
        <f>+F12/F10*1000</f>
        <v>873809.5238095239</v>
      </c>
      <c r="G11" s="518">
        <f>+G12/G10*1000</f>
        <v>791593.63411319733</v>
      </c>
      <c r="H11" s="519">
        <f t="shared" ref="H11:H28" si="0">+G11-F11</f>
        <v>-82215.889696326572</v>
      </c>
      <c r="I11" s="518">
        <f>+I12/I10*1000</f>
        <v>879572.42936012533</v>
      </c>
      <c r="J11" s="520">
        <f t="shared" ref="J11:J28" si="1">+G11-I11</f>
        <v>-87978.795246927999</v>
      </c>
      <c r="K11" s="517">
        <f>+K12/K10*1000</f>
        <v>872794.84638255707</v>
      </c>
      <c r="L11" s="518">
        <f>+L12/L10*1000</f>
        <v>771445.90550164098</v>
      </c>
      <c r="M11" s="519">
        <f t="shared" ref="M11:M28" si="2">+L11-K11</f>
        <v>-101348.94088091608</v>
      </c>
      <c r="N11" s="518">
        <f>+N12/N10*1000</f>
        <v>836183.62807126029</v>
      </c>
      <c r="O11" s="520">
        <f t="shared" ref="O11:O28" si="3">+L11-N11</f>
        <v>-64737.722569619305</v>
      </c>
      <c r="P11" s="514"/>
      <c r="Q11" s="514"/>
    </row>
    <row r="12" spans="4:17" ht="25.5" customHeight="1" x14ac:dyDescent="0.3">
      <c r="D12" s="521" t="s">
        <v>169</v>
      </c>
      <c r="E12" s="522" t="s">
        <v>168</v>
      </c>
      <c r="F12" s="523">
        <f>+IFERROR(HLOOKUP($F$8,[14]손익!$G$5:$AI$63,22,),)</f>
        <v>11010000</v>
      </c>
      <c r="G12" s="524">
        <f>+'[6]9월'!$G$9</f>
        <v>6288344.6279999996</v>
      </c>
      <c r="H12" s="525">
        <f t="shared" si="0"/>
        <v>-4721655.3720000004</v>
      </c>
      <c r="I12" s="524">
        <f>+IFERROR(HLOOKUP($F$8,[7]월별!$E$2:$T$53,5,),)</f>
        <v>6468928.017</v>
      </c>
      <c r="J12" s="526">
        <f t="shared" si="1"/>
        <v>-180583.38900000043</v>
      </c>
      <c r="K12" s="523">
        <f>+F12+[15]건자재!K12</f>
        <v>88065000</v>
      </c>
      <c r="L12" s="524">
        <f>+G12+[15]건자재!L12</f>
        <v>65491016.842</v>
      </c>
      <c r="M12" s="525">
        <f t="shared" si="2"/>
        <v>-22573983.158</v>
      </c>
      <c r="N12" s="524">
        <f>+I12+[15]건자재!N12</f>
        <v>65195016.577000007</v>
      </c>
      <c r="O12" s="526">
        <f t="shared" si="3"/>
        <v>296000.26499999315</v>
      </c>
      <c r="P12" s="514"/>
      <c r="Q12" s="514"/>
    </row>
    <row r="13" spans="4:17" ht="25.5" customHeight="1" x14ac:dyDescent="0.3">
      <c r="D13" s="521"/>
      <c r="E13" s="527" t="s">
        <v>170</v>
      </c>
      <c r="F13" s="528">
        <f>+IFERROR(HLOOKUP($F$8,[14]손익!$G$5:$AI$63,23,),)</f>
        <v>2702918.8800000008</v>
      </c>
      <c r="G13" s="529">
        <f>+'[6]9월'!$J$9</f>
        <v>1321863.1440000003</v>
      </c>
      <c r="H13" s="530">
        <f t="shared" si="0"/>
        <v>-1381055.7360000005</v>
      </c>
      <c r="I13" s="529">
        <f>+IFERROR(HLOOKUP($F$8,[7]월별!$E$2:$T$53,6,),)</f>
        <v>1251897.8439999996</v>
      </c>
      <c r="J13" s="531">
        <f t="shared" si="1"/>
        <v>69965.300000000745</v>
      </c>
      <c r="K13" s="528">
        <f>+F13+[15]건자재!K13</f>
        <v>22139908.870400004</v>
      </c>
      <c r="L13" s="529">
        <f>+G13+[15]건자재!L13</f>
        <v>11406573.164999999</v>
      </c>
      <c r="M13" s="530">
        <f t="shared" si="2"/>
        <v>-10733335.705400005</v>
      </c>
      <c r="N13" s="529">
        <f>+I13+[15]건자재!N13</f>
        <v>12737374.479999997</v>
      </c>
      <c r="O13" s="531">
        <f t="shared" si="3"/>
        <v>-1330801.3149999976</v>
      </c>
      <c r="P13" s="514"/>
      <c r="Q13" s="514"/>
    </row>
    <row r="14" spans="4:17" ht="25.5" customHeight="1" x14ac:dyDescent="0.3">
      <c r="D14" s="521"/>
      <c r="E14" s="532" t="s">
        <v>171</v>
      </c>
      <c r="F14" s="533">
        <f>SUM(F12:F13)</f>
        <v>13712918.880000001</v>
      </c>
      <c r="G14" s="534">
        <f>SUM(G12:G13)</f>
        <v>7610207.7719999999</v>
      </c>
      <c r="H14" s="170">
        <f t="shared" si="0"/>
        <v>-6102711.1080000009</v>
      </c>
      <c r="I14" s="534">
        <f>SUM(I12:I13)</f>
        <v>7720825.8609999996</v>
      </c>
      <c r="J14" s="535">
        <f t="shared" si="1"/>
        <v>-110618.08899999969</v>
      </c>
      <c r="K14" s="533">
        <f>SUM(K12:K13)</f>
        <v>110204908.87040001</v>
      </c>
      <c r="L14" s="534">
        <f>SUM(L12:L13)</f>
        <v>76897590.006999999</v>
      </c>
      <c r="M14" s="170">
        <f t="shared" si="2"/>
        <v>-33307318.863400012</v>
      </c>
      <c r="N14" s="534">
        <f>SUM(N12:N13)</f>
        <v>77932391.057000011</v>
      </c>
      <c r="O14" s="535">
        <f t="shared" si="3"/>
        <v>-1034801.0500000119</v>
      </c>
      <c r="P14" s="514"/>
      <c r="Q14" s="514"/>
    </row>
    <row r="15" spans="4:17" ht="25.5" customHeight="1" x14ac:dyDescent="0.3">
      <c r="D15" s="508" t="s">
        <v>5</v>
      </c>
      <c r="E15" s="509" t="s">
        <v>168</v>
      </c>
      <c r="F15" s="510">
        <f>+IFERROR(HLOOKUP($F$8,[14]손익!$G$5:$AI$63,25,),)</f>
        <v>10745115</v>
      </c>
      <c r="G15" s="511">
        <f>+'[6]9월'!$G$11</f>
        <v>6136719.0360000003</v>
      </c>
      <c r="H15" s="512">
        <f t="shared" si="0"/>
        <v>-4608395.9639999997</v>
      </c>
      <c r="I15" s="511">
        <f>+IFERROR(HLOOKUP($F$8,[7]월별!$E$2:$T$53,8,),)</f>
        <v>6357038.1430000002</v>
      </c>
      <c r="J15" s="513">
        <f t="shared" si="1"/>
        <v>-220319.10699999984</v>
      </c>
      <c r="K15" s="510">
        <f>+F15+[15]건자재!K15</f>
        <v>85951977.5</v>
      </c>
      <c r="L15" s="511">
        <f>+G15+[15]건자재!L15</f>
        <v>64492631.672999993</v>
      </c>
      <c r="M15" s="512">
        <f t="shared" si="2"/>
        <v>-21459345.827000007</v>
      </c>
      <c r="N15" s="511">
        <f>+I15+[15]건자재!N15</f>
        <v>63813886.884999998</v>
      </c>
      <c r="O15" s="513">
        <f t="shared" si="3"/>
        <v>678744.78799999505</v>
      </c>
      <c r="P15" s="514"/>
      <c r="Q15" s="514"/>
    </row>
    <row r="16" spans="4:17" ht="25.5" customHeight="1" x14ac:dyDescent="0.3">
      <c r="D16" s="521"/>
      <c r="E16" s="527" t="s">
        <v>170</v>
      </c>
      <c r="F16" s="528">
        <f>+IFERROR(HLOOKUP($F$8,[14]손익!$G$5:$AI$63,26,),)</f>
        <v>2597621.2691918425</v>
      </c>
      <c r="G16" s="529">
        <f>+'[6]9월'!$J$11</f>
        <v>1289769.3579999991</v>
      </c>
      <c r="H16" s="530">
        <f t="shared" si="0"/>
        <v>-1307851.9111918435</v>
      </c>
      <c r="I16" s="529">
        <f>+IFERROR(HLOOKUP($F$8,[7]월별!$E$2:$T$53,9,),)</f>
        <v>1218157.1009999998</v>
      </c>
      <c r="J16" s="531">
        <f t="shared" si="1"/>
        <v>71612.256999999285</v>
      </c>
      <c r="K16" s="528">
        <f>+F16+[15]건자재!K16</f>
        <v>21277404.440535825</v>
      </c>
      <c r="L16" s="529">
        <f>+G16+[15]건자재!L16</f>
        <v>11098457.655999999</v>
      </c>
      <c r="M16" s="530">
        <f t="shared" si="2"/>
        <v>-10178946.784535825</v>
      </c>
      <c r="N16" s="529">
        <f>+I16+[15]건자재!N16</f>
        <v>12418097.271000002</v>
      </c>
      <c r="O16" s="531">
        <f t="shared" si="3"/>
        <v>-1319639.6150000021</v>
      </c>
      <c r="P16" s="514"/>
      <c r="Q16" s="514"/>
    </row>
    <row r="17" spans="4:17" ht="25.5" customHeight="1" x14ac:dyDescent="0.3">
      <c r="D17" s="515"/>
      <c r="E17" s="536" t="s">
        <v>172</v>
      </c>
      <c r="F17" s="537">
        <f>SUM(F15:F16)</f>
        <v>13342736.269191843</v>
      </c>
      <c r="G17" s="538">
        <f>SUM(G15:G16)</f>
        <v>7426488.3939999994</v>
      </c>
      <c r="H17" s="539">
        <f t="shared" si="0"/>
        <v>-5916247.8751918431</v>
      </c>
      <c r="I17" s="538">
        <f>SUM(I15:I16)</f>
        <v>7575195.2439999999</v>
      </c>
      <c r="J17" s="540">
        <f t="shared" si="1"/>
        <v>-148706.85000000056</v>
      </c>
      <c r="K17" s="537">
        <f>SUM(K15:K16)</f>
        <v>107229381.94053583</v>
      </c>
      <c r="L17" s="538">
        <f>SUM(L15:L16)</f>
        <v>75591089.328999996</v>
      </c>
      <c r="M17" s="539">
        <f t="shared" si="2"/>
        <v>-31638292.611535832</v>
      </c>
      <c r="N17" s="538">
        <f>SUM(N15:N16)</f>
        <v>76231984.156000003</v>
      </c>
      <c r="O17" s="540">
        <f t="shared" si="3"/>
        <v>-640894.82700000703</v>
      </c>
      <c r="P17" s="514"/>
      <c r="Q17" s="514"/>
    </row>
    <row r="18" spans="4:17" ht="25.5" customHeight="1" x14ac:dyDescent="0.3">
      <c r="D18" s="521" t="s">
        <v>15</v>
      </c>
      <c r="E18" s="522" t="s">
        <v>168</v>
      </c>
      <c r="F18" s="523">
        <f>+F12-F15</f>
        <v>264885</v>
      </c>
      <c r="G18" s="524">
        <f>+G12-G15</f>
        <v>151625.59199999925</v>
      </c>
      <c r="H18" s="525">
        <f t="shared" si="0"/>
        <v>-113259.40800000075</v>
      </c>
      <c r="I18" s="524">
        <f>+I12-I15</f>
        <v>111889.87399999984</v>
      </c>
      <c r="J18" s="526">
        <f t="shared" si="1"/>
        <v>39735.717999999411</v>
      </c>
      <c r="K18" s="523">
        <f>+K12-K15</f>
        <v>2113022.5</v>
      </c>
      <c r="L18" s="524">
        <f>+L12-L15</f>
        <v>998385.16900000721</v>
      </c>
      <c r="M18" s="525">
        <f t="shared" si="2"/>
        <v>-1114637.3309999928</v>
      </c>
      <c r="N18" s="524">
        <f>+N12-N15</f>
        <v>1381129.6920000091</v>
      </c>
      <c r="O18" s="526">
        <f t="shared" si="3"/>
        <v>-382744.52300000191</v>
      </c>
      <c r="P18" s="514"/>
      <c r="Q18" s="514"/>
    </row>
    <row r="19" spans="4:17" ht="25.5" customHeight="1" x14ac:dyDescent="0.3">
      <c r="D19" s="521"/>
      <c r="E19" s="541" t="s">
        <v>9</v>
      </c>
      <c r="F19" s="542">
        <f>+F18/F12</f>
        <v>2.4058583106267031E-2</v>
      </c>
      <c r="G19" s="543">
        <f>+G18/G12</f>
        <v>2.4112163211421126E-2</v>
      </c>
      <c r="H19" s="544">
        <f t="shared" si="0"/>
        <v>5.3580105154094754E-5</v>
      </c>
      <c r="I19" s="543">
        <f>+I18/I12</f>
        <v>1.7296509360740942E-2</v>
      </c>
      <c r="J19" s="545">
        <f t="shared" si="1"/>
        <v>6.8156538506801839E-3</v>
      </c>
      <c r="K19" s="542">
        <f>+K18/K12</f>
        <v>2.3993896553681938E-2</v>
      </c>
      <c r="L19" s="543">
        <f>+L18/L12</f>
        <v>1.5244612423848235E-2</v>
      </c>
      <c r="M19" s="544">
        <f t="shared" si="2"/>
        <v>-8.7492841298337024E-3</v>
      </c>
      <c r="N19" s="543">
        <f>+N18/N12</f>
        <v>2.1184589935164685E-2</v>
      </c>
      <c r="O19" s="545">
        <f t="shared" si="3"/>
        <v>-5.93997751131645E-3</v>
      </c>
      <c r="P19" s="514"/>
      <c r="Q19" s="514"/>
    </row>
    <row r="20" spans="4:17" ht="25.5" customHeight="1" x14ac:dyDescent="0.3">
      <c r="D20" s="521"/>
      <c r="E20" s="546" t="s">
        <v>170</v>
      </c>
      <c r="F20" s="533">
        <f>+F13-F16</f>
        <v>105297.61080815829</v>
      </c>
      <c r="G20" s="534">
        <f>+G13-G16</f>
        <v>32093.786000001244</v>
      </c>
      <c r="H20" s="170">
        <f t="shared" si="0"/>
        <v>-73203.824808157049</v>
      </c>
      <c r="I20" s="534">
        <f>+I13-I16</f>
        <v>33740.742999999784</v>
      </c>
      <c r="J20" s="535">
        <f t="shared" si="1"/>
        <v>-1646.9569999985397</v>
      </c>
      <c r="K20" s="533">
        <f>+K13-K16</f>
        <v>862504.42986417934</v>
      </c>
      <c r="L20" s="534">
        <f>+L13-L16</f>
        <v>308115.50899999961</v>
      </c>
      <c r="M20" s="170">
        <f t="shared" si="2"/>
        <v>-554388.92086417973</v>
      </c>
      <c r="N20" s="534">
        <f>+N13-N16</f>
        <v>319277.20899999514</v>
      </c>
      <c r="O20" s="535">
        <f t="shared" si="3"/>
        <v>-11161.69999999553</v>
      </c>
      <c r="P20" s="514"/>
      <c r="Q20" s="514"/>
    </row>
    <row r="21" spans="4:17" ht="25.5" customHeight="1" x14ac:dyDescent="0.3">
      <c r="D21" s="521"/>
      <c r="E21" s="547" t="s">
        <v>9</v>
      </c>
      <c r="F21" s="548">
        <f>+F20/F13</f>
        <v>3.895699999999936E-2</v>
      </c>
      <c r="G21" s="549">
        <f>+G20/G13</f>
        <v>2.4279204807000229E-2</v>
      </c>
      <c r="H21" s="550">
        <f t="shared" si="0"/>
        <v>-1.4677795192999131E-2</v>
      </c>
      <c r="I21" s="549">
        <f>+I20/I13</f>
        <v>2.6951674341249041E-2</v>
      </c>
      <c r="J21" s="551">
        <f t="shared" si="1"/>
        <v>-2.6724695342488121E-3</v>
      </c>
      <c r="K21" s="548">
        <f>+K20/K13</f>
        <v>3.895700000000029E-2</v>
      </c>
      <c r="L21" s="549">
        <f>+L20/L13</f>
        <v>2.7012101228213146E-2</v>
      </c>
      <c r="M21" s="550">
        <f t="shared" si="2"/>
        <v>-1.1944898771787144E-2</v>
      </c>
      <c r="N21" s="549">
        <f>+N20/N13</f>
        <v>2.5066171172192404E-2</v>
      </c>
      <c r="O21" s="551">
        <f t="shared" si="3"/>
        <v>1.9459300560207421E-3</v>
      </c>
      <c r="P21" s="514"/>
      <c r="Q21" s="514"/>
    </row>
    <row r="22" spans="4:17" ht="25.5" customHeight="1" x14ac:dyDescent="0.3">
      <c r="D22" s="521"/>
      <c r="E22" s="532" t="s">
        <v>171</v>
      </c>
      <c r="F22" s="533">
        <f>SUM(F18,F20)</f>
        <v>370182.61080815829</v>
      </c>
      <c r="G22" s="534">
        <f>SUM(G18,G20)</f>
        <v>183719.37800000049</v>
      </c>
      <c r="H22" s="170">
        <f t="shared" si="0"/>
        <v>-186463.2328081578</v>
      </c>
      <c r="I22" s="534">
        <f>SUM(I18,I20)</f>
        <v>145630.61699999962</v>
      </c>
      <c r="J22" s="535">
        <f t="shared" si="1"/>
        <v>38088.761000000872</v>
      </c>
      <c r="K22" s="533">
        <f>SUM(K18,K20)</f>
        <v>2975526.9298641793</v>
      </c>
      <c r="L22" s="534">
        <f>SUM(L18,L20)</f>
        <v>1306500.6780000068</v>
      </c>
      <c r="M22" s="170">
        <f t="shared" si="2"/>
        <v>-1669026.2518641725</v>
      </c>
      <c r="N22" s="534">
        <f>SUM(N18,N20)</f>
        <v>1700406.9010000043</v>
      </c>
      <c r="O22" s="535">
        <f t="shared" si="3"/>
        <v>-393906.22299999744</v>
      </c>
      <c r="P22" s="514"/>
      <c r="Q22" s="514"/>
    </row>
    <row r="23" spans="4:17" ht="25.5" customHeight="1" x14ac:dyDescent="0.3">
      <c r="D23" s="521"/>
      <c r="E23" s="552" t="s">
        <v>9</v>
      </c>
      <c r="F23" s="542">
        <f>+F22/F14</f>
        <v>2.6995172511963279E-2</v>
      </c>
      <c r="G23" s="543">
        <f>+G22/G14</f>
        <v>2.4141177679268294E-2</v>
      </c>
      <c r="H23" s="544">
        <f t="shared" si="0"/>
        <v>-2.8539948326949845E-3</v>
      </c>
      <c r="I23" s="543">
        <f>+I22/I14</f>
        <v>1.8862051757392903E-2</v>
      </c>
      <c r="J23" s="545">
        <f t="shared" si="1"/>
        <v>5.2791259218753911E-3</v>
      </c>
      <c r="K23" s="542">
        <f>+K22/K14</f>
        <v>2.6999949098123862E-2</v>
      </c>
      <c r="L23" s="543">
        <f>+L22/L14</f>
        <v>1.699013815492886E-2</v>
      </c>
      <c r="M23" s="544">
        <f t="shared" si="2"/>
        <v>-1.0009810943195002E-2</v>
      </c>
      <c r="N23" s="543">
        <f>+N22/N14</f>
        <v>2.1819000776664495E-2</v>
      </c>
      <c r="O23" s="545">
        <f t="shared" si="3"/>
        <v>-4.8288626217356349E-3</v>
      </c>
      <c r="P23" s="514"/>
      <c r="Q23" s="514"/>
    </row>
    <row r="24" spans="4:17" ht="25.5" customHeight="1" x14ac:dyDescent="0.3">
      <c r="D24" s="508" t="s">
        <v>173</v>
      </c>
      <c r="E24" s="509" t="s">
        <v>174</v>
      </c>
      <c r="F24" s="510">
        <f>+IFERROR(HLOOKUP($F$8,[14]판매4!$G$4:$U$50,7,),)</f>
        <v>89090.290000000008</v>
      </c>
      <c r="G24" s="511">
        <f>+'[6]9월'!$M$19</f>
        <v>106151.787</v>
      </c>
      <c r="H24" s="512">
        <f t="shared" si="0"/>
        <v>17061.496999999988</v>
      </c>
      <c r="I24" s="511">
        <f>+IFERROR(HLOOKUP($F$8,[7]월별!$E$2:$T$53,17,),)</f>
        <v>106849.64499999999</v>
      </c>
      <c r="J24" s="513">
        <f t="shared" si="1"/>
        <v>-697.8579999999929</v>
      </c>
      <c r="K24" s="510">
        <f>+F24+[15]건자재!K24</f>
        <v>798636.5900000002</v>
      </c>
      <c r="L24" s="511">
        <f>+G24+[15]건자재!L24</f>
        <v>859925.48600000003</v>
      </c>
      <c r="M24" s="512">
        <f t="shared" si="2"/>
        <v>61288.895999999833</v>
      </c>
      <c r="N24" s="511">
        <f>+I24+[15]건자재!N24</f>
        <v>815896.326</v>
      </c>
      <c r="O24" s="513">
        <f t="shared" si="3"/>
        <v>44029.160000000033</v>
      </c>
      <c r="P24" s="514"/>
      <c r="Q24" s="514"/>
    </row>
    <row r="25" spans="4:17" ht="25.5" customHeight="1" x14ac:dyDescent="0.3">
      <c r="D25" s="521"/>
      <c r="E25" s="527" t="s">
        <v>175</v>
      </c>
      <c r="F25" s="528">
        <f>+IFERROR(HLOOKUP($F$8,[14]판매4!$G$4:$U$50,31,),)+IFERROR(HLOOKUP($F$8,[14]판매4!$G$4:$U$50,34,),)</f>
        <v>56746.898000000001</v>
      </c>
      <c r="G25" s="529">
        <f>+'[6]9월'!$M$37+'[6]9월'!$M$40</f>
        <v>63894.951000000001</v>
      </c>
      <c r="H25" s="530">
        <f t="shared" si="0"/>
        <v>7148.0529999999999</v>
      </c>
      <c r="I25" s="529">
        <f>+IFERROR(HLOOKUP($F$8,[7]월별!$E$2:$T$53,35,),)+IFERROR(HLOOKUP($F$8,[7]월별!$E$2:$T$53,38,),)</f>
        <v>54360.173999999999</v>
      </c>
      <c r="J25" s="531">
        <f t="shared" si="1"/>
        <v>9534.7770000000019</v>
      </c>
      <c r="K25" s="528">
        <f>+F25+[15]건자재!K25</f>
        <v>361718.24200000003</v>
      </c>
      <c r="L25" s="529">
        <f>+G25+[15]건자재!L25</f>
        <v>486238.54099999997</v>
      </c>
      <c r="M25" s="530">
        <f t="shared" si="2"/>
        <v>124520.29899999994</v>
      </c>
      <c r="N25" s="529">
        <f>+I25+[15]건자재!N25</f>
        <v>445012.20499999996</v>
      </c>
      <c r="O25" s="531">
        <f t="shared" si="3"/>
        <v>41226.33600000001</v>
      </c>
      <c r="P25" s="514"/>
      <c r="Q25" s="514"/>
    </row>
    <row r="26" spans="4:17" ht="25.5" customHeight="1" x14ac:dyDescent="0.3">
      <c r="D26" s="515"/>
      <c r="E26" s="536" t="s">
        <v>171</v>
      </c>
      <c r="F26" s="537">
        <f>SUM(F24:F25)</f>
        <v>145837.18800000002</v>
      </c>
      <c r="G26" s="538">
        <f>SUM(G24:G25)</f>
        <v>170046.73800000001</v>
      </c>
      <c r="H26" s="539">
        <f t="shared" si="0"/>
        <v>24209.549999999988</v>
      </c>
      <c r="I26" s="538">
        <f>SUM(I24:I25)</f>
        <v>161209.81899999999</v>
      </c>
      <c r="J26" s="540">
        <f t="shared" si="1"/>
        <v>8836.9190000000235</v>
      </c>
      <c r="K26" s="537">
        <f>SUM(K24:K25)</f>
        <v>1160354.8320000002</v>
      </c>
      <c r="L26" s="538">
        <f>SUM(L24:L25)</f>
        <v>1346164.027</v>
      </c>
      <c r="M26" s="539">
        <f t="shared" si="2"/>
        <v>185809.19499999983</v>
      </c>
      <c r="N26" s="538">
        <f>SUM(N24:N25)</f>
        <v>1260908.531</v>
      </c>
      <c r="O26" s="540">
        <f t="shared" si="3"/>
        <v>85255.496000000043</v>
      </c>
      <c r="P26" s="514"/>
      <c r="Q26" s="514"/>
    </row>
    <row r="27" spans="4:17" ht="25.5" customHeight="1" x14ac:dyDescent="0.3">
      <c r="D27" s="521" t="s">
        <v>7</v>
      </c>
      <c r="E27" s="552"/>
      <c r="F27" s="523">
        <f>+F22-F26</f>
        <v>224345.42280815827</v>
      </c>
      <c r="G27" s="524">
        <f>+G22-G26</f>
        <v>13672.64000000048</v>
      </c>
      <c r="H27" s="525">
        <f t="shared" si="0"/>
        <v>-210672.78280815779</v>
      </c>
      <c r="I27" s="524">
        <f>+I22-I26</f>
        <v>-15579.202000000369</v>
      </c>
      <c r="J27" s="526">
        <f t="shared" si="1"/>
        <v>29251.842000000848</v>
      </c>
      <c r="K27" s="523">
        <f>+K22-K26</f>
        <v>1815172.0978641792</v>
      </c>
      <c r="L27" s="524">
        <f>+L22-L26</f>
        <v>-39663.348999993177</v>
      </c>
      <c r="M27" s="525">
        <f t="shared" si="2"/>
        <v>-1854835.4468641724</v>
      </c>
      <c r="N27" s="524">
        <f>+N22-N26</f>
        <v>439498.3700000043</v>
      </c>
      <c r="O27" s="526">
        <f t="shared" si="3"/>
        <v>-479161.71899999748</v>
      </c>
      <c r="P27" s="514"/>
      <c r="Q27" s="514"/>
    </row>
    <row r="28" spans="4:17" ht="25.5" customHeight="1" thickBot="1" x14ac:dyDescent="0.35">
      <c r="D28" s="521"/>
      <c r="E28" s="553" t="s">
        <v>10</v>
      </c>
      <c r="F28" s="554">
        <f>+F27/F14</f>
        <v>1.6360150947539058E-2</v>
      </c>
      <c r="G28" s="555">
        <f>+G27/G14</f>
        <v>1.7966184905365919E-3</v>
      </c>
      <c r="H28" s="556">
        <f t="shared" si="0"/>
        <v>-1.4563532457002466E-2</v>
      </c>
      <c r="I28" s="555">
        <f>+I27/I14</f>
        <v>-2.0178154876792616E-3</v>
      </c>
      <c r="J28" s="557">
        <f t="shared" si="1"/>
        <v>3.8144339782158537E-3</v>
      </c>
      <c r="K28" s="554">
        <f>+K27/K14</f>
        <v>1.6470882435906782E-2</v>
      </c>
      <c r="L28" s="555">
        <f>+L27/L14</f>
        <v>-5.1579443512316339E-4</v>
      </c>
      <c r="M28" s="556">
        <f t="shared" si="2"/>
        <v>-1.6986676871029945E-2</v>
      </c>
      <c r="N28" s="555">
        <f>+N27/N14</f>
        <v>5.6394826854286265E-3</v>
      </c>
      <c r="O28" s="557">
        <f t="shared" si="3"/>
        <v>-6.1552771205517897E-3</v>
      </c>
      <c r="P28" s="514"/>
      <c r="Q28" s="514"/>
    </row>
    <row r="29" spans="4:17" ht="25.5" customHeight="1" thickTop="1" x14ac:dyDescent="0.3">
      <c r="D29" s="660" t="s">
        <v>204</v>
      </c>
      <c r="E29" s="661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514"/>
      <c r="Q29" s="514"/>
    </row>
    <row r="30" spans="4:17" ht="25.5" customHeight="1" x14ac:dyDescent="0.3">
      <c r="D30" s="662"/>
      <c r="E30" s="663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514"/>
      <c r="Q30" s="514"/>
    </row>
    <row r="31" spans="4:17" ht="25.5" customHeight="1" x14ac:dyDescent="0.3">
      <c r="D31" s="662"/>
      <c r="E31" s="663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514"/>
      <c r="Q31" s="514"/>
    </row>
    <row r="32" spans="4:17" ht="25.5" customHeight="1" x14ac:dyDescent="0.3">
      <c r="D32" s="662"/>
      <c r="E32" s="663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514"/>
      <c r="Q32" s="514"/>
    </row>
    <row r="33" spans="4:51" ht="25.5" customHeight="1" x14ac:dyDescent="0.3">
      <c r="D33" s="662"/>
      <c r="E33" s="663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514"/>
      <c r="Q33" s="514"/>
    </row>
    <row r="34" spans="4:51" ht="25.5" customHeight="1" x14ac:dyDescent="0.3">
      <c r="D34" s="664"/>
      <c r="E34" s="665"/>
      <c r="F34" s="344"/>
      <c r="G34" s="344"/>
      <c r="H34" s="344"/>
      <c r="I34" s="344"/>
      <c r="J34" s="344"/>
      <c r="K34" s="344"/>
      <c r="L34" s="344"/>
      <c r="M34" s="344"/>
      <c r="N34" s="558"/>
      <c r="O34" s="347"/>
      <c r="R34" s="6" t="s">
        <v>176</v>
      </c>
    </row>
    <row r="35" spans="4:51" ht="21.95" customHeight="1" x14ac:dyDescent="0.3"/>
    <row r="36" spans="4:51" ht="21.95" customHeight="1" x14ac:dyDescent="0.3">
      <c r="F36" s="6">
        <f>+IFERROR(HLOOKUP($F$8,[14]손익!$G$5:$AJ$65,17,),)</f>
        <v>224345.42280815827</v>
      </c>
      <c r="G36" s="6">
        <f>+'[6]9월'!$M$41</f>
        <v>13672.640000000487</v>
      </c>
      <c r="I36" s="6">
        <f>+IFERROR(HLOOKUP($F$8,[7]월별!$E$2:$T$53,39,),)</f>
        <v>-15579.202000000358</v>
      </c>
      <c r="R36" s="559"/>
      <c r="S36" s="560" t="s">
        <v>177</v>
      </c>
      <c r="T36" s="560" t="s">
        <v>178</v>
      </c>
      <c r="U36" s="560" t="s">
        <v>179</v>
      </c>
      <c r="V36" s="560" t="s">
        <v>180</v>
      </c>
      <c r="W36" s="560" t="s">
        <v>167</v>
      </c>
      <c r="X36" s="560" t="s">
        <v>160</v>
      </c>
      <c r="Y36" s="560" t="s">
        <v>181</v>
      </c>
      <c r="Z36" s="560" t="s">
        <v>182</v>
      </c>
      <c r="AA36" s="560" t="s">
        <v>183</v>
      </c>
      <c r="AB36" s="560" t="s">
        <v>184</v>
      </c>
      <c r="AC36" s="560" t="s">
        <v>185</v>
      </c>
      <c r="AD36" s="560" t="s">
        <v>186</v>
      </c>
      <c r="AE36" s="560" t="s">
        <v>177</v>
      </c>
      <c r="AF36" s="560" t="s">
        <v>187</v>
      </c>
      <c r="AG36" s="560" t="s">
        <v>188</v>
      </c>
      <c r="AH36" s="560" t="s">
        <v>189</v>
      </c>
      <c r="AI36" s="560" t="s">
        <v>167</v>
      </c>
      <c r="AJ36" s="560" t="s">
        <v>160</v>
      </c>
      <c r="AK36" s="560" t="s">
        <v>181</v>
      </c>
      <c r="AL36" s="560" t="s">
        <v>190</v>
      </c>
      <c r="AM36" s="560" t="s">
        <v>183</v>
      </c>
      <c r="AN36" s="560" t="s">
        <v>184</v>
      </c>
      <c r="AO36" s="560" t="s">
        <v>191</v>
      </c>
      <c r="AP36" s="560" t="s">
        <v>192</v>
      </c>
      <c r="AQ36" s="560" t="s">
        <v>186</v>
      </c>
      <c r="AR36" s="560" t="s">
        <v>187</v>
      </c>
      <c r="AS36" s="560" t="s">
        <v>179</v>
      </c>
      <c r="AT36" s="560" t="s">
        <v>180</v>
      </c>
      <c r="AU36" s="560" t="s">
        <v>193</v>
      </c>
      <c r="AV36" s="560" t="s">
        <v>197</v>
      </c>
      <c r="AW36" s="560" t="s">
        <v>181</v>
      </c>
      <c r="AX36" s="560" t="s">
        <v>190</v>
      </c>
      <c r="AY36" s="560" t="s">
        <v>225</v>
      </c>
    </row>
    <row r="37" spans="4:51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R37" s="561" t="s">
        <v>194</v>
      </c>
      <c r="S37" s="562" t="s">
        <v>177</v>
      </c>
      <c r="T37" s="562" t="s">
        <v>178</v>
      </c>
      <c r="U37" s="562">
        <v>3</v>
      </c>
      <c r="V37" s="562" t="s">
        <v>180</v>
      </c>
      <c r="W37" s="562" t="s">
        <v>167</v>
      </c>
      <c r="X37" s="562" t="s">
        <v>160</v>
      </c>
      <c r="Y37" s="562" t="s">
        <v>181</v>
      </c>
      <c r="Z37" s="562" t="str">
        <f t="shared" ref="Z37:AU37" si="4">+Z36</f>
        <v>8월</v>
      </c>
      <c r="AA37" s="562" t="str">
        <f t="shared" si="4"/>
        <v>9월</v>
      </c>
      <c r="AB37" s="562" t="str">
        <f t="shared" si="4"/>
        <v>10월</v>
      </c>
      <c r="AC37" s="562" t="str">
        <f t="shared" si="4"/>
        <v>11월</v>
      </c>
      <c r="AD37" s="562" t="str">
        <f t="shared" si="4"/>
        <v>1월</v>
      </c>
      <c r="AE37" s="562" t="str">
        <f t="shared" si="4"/>
        <v>1월</v>
      </c>
      <c r="AF37" s="562" t="str">
        <f t="shared" si="4"/>
        <v>2월</v>
      </c>
      <c r="AG37" s="562" t="str">
        <f t="shared" si="4"/>
        <v>3월</v>
      </c>
      <c r="AH37" s="562" t="str">
        <f t="shared" si="4"/>
        <v>4월</v>
      </c>
      <c r="AI37" s="562" t="str">
        <f t="shared" si="4"/>
        <v>5월</v>
      </c>
      <c r="AJ37" s="562" t="str">
        <f t="shared" si="4"/>
        <v>6월</v>
      </c>
      <c r="AK37" s="562" t="str">
        <f t="shared" si="4"/>
        <v>7월</v>
      </c>
      <c r="AL37" s="562" t="str">
        <f t="shared" si="4"/>
        <v>8월</v>
      </c>
      <c r="AM37" s="562" t="str">
        <f t="shared" si="4"/>
        <v>9월</v>
      </c>
      <c r="AN37" s="562" t="str">
        <f t="shared" si="4"/>
        <v>10월</v>
      </c>
      <c r="AO37" s="562" t="str">
        <f t="shared" si="4"/>
        <v>11월</v>
      </c>
      <c r="AP37" s="562" t="str">
        <f t="shared" si="4"/>
        <v>12월</v>
      </c>
      <c r="AQ37" s="562" t="str">
        <f t="shared" si="4"/>
        <v>1월</v>
      </c>
      <c r="AR37" s="562" t="str">
        <f t="shared" si="4"/>
        <v>2월</v>
      </c>
      <c r="AS37" s="562" t="str">
        <f t="shared" si="4"/>
        <v>3월</v>
      </c>
      <c r="AT37" s="562" t="str">
        <f t="shared" si="4"/>
        <v>4월</v>
      </c>
      <c r="AU37" s="562" t="str">
        <f t="shared" si="4"/>
        <v>5월</v>
      </c>
      <c r="AV37" s="562" t="str">
        <f>+AV36</f>
        <v>6월</v>
      </c>
      <c r="AW37" s="562" t="str">
        <f>+AW36</f>
        <v>7월</v>
      </c>
      <c r="AX37" s="562" t="str">
        <f>+AX36</f>
        <v>8월</v>
      </c>
      <c r="AY37" s="562" t="str">
        <f>+AY36</f>
        <v>9월</v>
      </c>
    </row>
    <row r="38" spans="4:51" ht="21.95" customHeight="1" x14ac:dyDescent="0.3">
      <c r="F38" s="563">
        <f>+F27-F36</f>
        <v>0</v>
      </c>
      <c r="G38" s="563">
        <f>+G27-G36</f>
        <v>0</v>
      </c>
      <c r="I38" s="563">
        <f>+I27-I36</f>
        <v>0</v>
      </c>
      <c r="K38" s="563"/>
      <c r="L38" s="563"/>
      <c r="N38" s="86"/>
      <c r="R38" s="564" t="s">
        <v>195</v>
      </c>
      <c r="S38" s="362">
        <f>+IFERROR(HLOOKUP(S$36,[7]월별!$E$2:$S$67,42,),)</f>
        <v>920730.85338998202</v>
      </c>
      <c r="T38" s="362">
        <f>+IFERROR(HLOOKUP(T$36,[7]월별!$E$2:$S$67,42,),)</f>
        <v>886130.8859870329</v>
      </c>
      <c r="U38" s="362">
        <f>+IFERROR(HLOOKUP(U$36,[7]월별!$E$2:$S$67,42,),)</f>
        <v>873530.5235919673</v>
      </c>
      <c r="V38" s="362">
        <f>+IFERROR(HLOOKUP(V$36,[7]월별!$E$2:$S$67,42,),)</f>
        <v>853042.90795678552</v>
      </c>
      <c r="W38" s="362">
        <f>+IFERROR(HLOOKUP(W$36,[7]월별!$E$2:$S$67,42,),)</f>
        <v>811389.30758305453</v>
      </c>
      <c r="X38" s="362">
        <f>+IFERROR(HLOOKUP(X$36,[7]월별!$E$2:$S$67,42,),)</f>
        <v>785072.67759542307</v>
      </c>
      <c r="Y38" s="362">
        <f>+IFERROR(HLOOKUP(Y$36,[7]월별!$E$2:$S$67,42,),)</f>
        <v>751049.2097042331</v>
      </c>
      <c r="Z38" s="362">
        <f>+IFERROR(HLOOKUP(Z$36,[7]월별!$E$2:$S$67,42,),)</f>
        <v>846014.52770958561</v>
      </c>
      <c r="AA38" s="362">
        <f>+IFERROR(HLOOKUP(AA$36,[7]월별!$E$2:$S$67,42,),)</f>
        <v>879572.42936012533</v>
      </c>
      <c r="AB38" s="362">
        <f>+IFERROR(HLOOKUP(AB$36,[7]월별!$E$2:$S$67,42,),)</f>
        <v>818946.47731031897</v>
      </c>
      <c r="AC38" s="362">
        <f>+IFERROR(HLOOKUP(AC$36,[7]월별!$E$2:$S$67,42,),)</f>
        <v>798803.69146262086</v>
      </c>
      <c r="AD38" s="362">
        <f>+IFERROR(HLOOKUP(AD$36,[7]월별!$E$2:$S$67,42,),)</f>
        <v>920730.85338998202</v>
      </c>
      <c r="AE38" s="362">
        <f>+IFERROR(HLOOKUP(AE$36,[7]월별!$E$2:$S$67,42,),)</f>
        <v>920730.85338998202</v>
      </c>
      <c r="AF38" s="362">
        <f>+IFERROR(HLOOKUP(AF$36,[7]월별!$E$2:$S$67,42,),)</f>
        <v>886130.8859870329</v>
      </c>
      <c r="AG38" s="362">
        <f>+IFERROR(HLOOKUP(AG$36,[7]월별!$E$2:$S$67,42,),)</f>
        <v>873530.5235919673</v>
      </c>
      <c r="AH38" s="362">
        <f>+IFERROR(HLOOKUP(AH$36,[7]월별!$E$2:$S$67,42,),)</f>
        <v>853042.90795678552</v>
      </c>
      <c r="AI38" s="362">
        <f>+IFERROR(HLOOKUP(AI$36,[7]월별!$E$2:$S$67,42,),)</f>
        <v>811389.30758305453</v>
      </c>
      <c r="AJ38" s="362">
        <f>+IFERROR(HLOOKUP(AJ$36,[7]월별!$E$2:$S$67,42,),)</f>
        <v>785072.67759542307</v>
      </c>
      <c r="AK38" s="362">
        <f>+IFERROR(HLOOKUP(AK$36,[7]월별!$E$2:$S$67,42,),)</f>
        <v>751049.2097042331</v>
      </c>
      <c r="AL38" s="362">
        <f>+IFERROR(HLOOKUP(AL$36,[7]월별!$E$2:$S$67,42,),)</f>
        <v>846014.52770958561</v>
      </c>
      <c r="AM38" s="362">
        <f>+IFERROR(HLOOKUP(AM$36,[7]월별!$E$2:$S$67,42,),)</f>
        <v>879572.42936012533</v>
      </c>
      <c r="AN38" s="362">
        <f>+IFERROR(HLOOKUP(AN$36,[7]월별!$E$2:$S$67,42,),)</f>
        <v>818946.47731031897</v>
      </c>
      <c r="AO38" s="362">
        <f>+IFERROR(HLOOKUP(AO$36,[7]월별!$E$2:$S$67,42,),)</f>
        <v>798803.69146262086</v>
      </c>
      <c r="AP38" s="362">
        <f>+IFERROR(HLOOKUP(AP$36,[7]월별!$E$2:$S$67,42,),)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  <c r="AV38" s="362">
        <f>+IFERROR(HLOOKUP(AV$36,[6]월별!$E$2:$S$67,43,),)</f>
        <v>779915.72567572771</v>
      </c>
      <c r="AW38" s="362">
        <f>+IFERROR(HLOOKUP(AW$36,[6]월별!$E$2:$S$67,43,),)</f>
        <v>794077.93162643479</v>
      </c>
      <c r="AX38" s="362">
        <f>+IFERROR(HLOOKUP(AX$36,[6]월별!$E$2:$S$67,43,),)</f>
        <v>765881.71758050087</v>
      </c>
      <c r="AY38" s="362">
        <f>+IFERROR(HLOOKUP(AY$36,[6]월별!$E$2:$S$67,43,),)</f>
        <v>791593.63411319733</v>
      </c>
    </row>
    <row r="39" spans="4:51" ht="21.95" customHeight="1" x14ac:dyDescent="0.3">
      <c r="R39" s="565" t="s">
        <v>196</v>
      </c>
      <c r="S39" s="566">
        <f>+IFERROR(HLOOKUP(S$36,[7]월별!$E$2:$S$67,43,),)</f>
        <v>0</v>
      </c>
      <c r="T39" s="566">
        <f>+IFERROR(HLOOKUP(T$36,[7]월별!$E$2:$S$67,43,),)</f>
        <v>0</v>
      </c>
      <c r="U39" s="566">
        <f>+IFERROR(HLOOKUP(U$36,[7]월별!$E$2:$S$67,43,),)</f>
        <v>0</v>
      </c>
      <c r="V39" s="566">
        <f>+IFERROR(HLOOKUP(V$36,[7]월별!$E$2:$S$67,43,),)</f>
        <v>0</v>
      </c>
      <c r="W39" s="566">
        <f>+IFERROR(HLOOKUP(W$36,[7]월별!$E$2:$S$67,43,),)</f>
        <v>0</v>
      </c>
      <c r="X39" s="566">
        <f>+IFERROR(HLOOKUP(X$36,[7]월별!$E$2:$S$67,43,),)</f>
        <v>0</v>
      </c>
      <c r="Y39" s="566">
        <f>+IFERROR(HLOOKUP(Y$36,[7]월별!$E$2:$S$67,43,),)</f>
        <v>0</v>
      </c>
      <c r="Z39" s="566">
        <f>+IFERROR(HLOOKUP(Z$36,[7]월별!$E$2:$S$67,43,),)</f>
        <v>0</v>
      </c>
      <c r="AA39" s="566">
        <f>+IFERROR(HLOOKUP(AA$36,[7]월별!$E$2:$S$67,43,),)</f>
        <v>0</v>
      </c>
      <c r="AB39" s="566">
        <f>+IFERROR(HLOOKUP(AB$36,[7]월별!$E$2:$S$67,43,),)</f>
        <v>0</v>
      </c>
      <c r="AC39" s="566">
        <f>+IFERROR(HLOOKUP(AC$36,[7]월별!$E$2:$S$67,43,),)</f>
        <v>0</v>
      </c>
      <c r="AD39" s="566">
        <f>+IFERROR(HLOOKUP(AD$36,[7]월별!$E$2:$S$67,43,),)</f>
        <v>0</v>
      </c>
      <c r="AE39" s="566">
        <f>+IFERROR(HLOOKUP(AE$36,[7]월별!$E$2:$S$67,51,),)</f>
        <v>2.7823178707229314E-2</v>
      </c>
      <c r="AF39" s="566">
        <f>+IFERROR(HLOOKUP(AF$36,[7]월별!$E$2:$S$67,51,),)</f>
        <v>2.7130154457106714E-2</v>
      </c>
      <c r="AG39" s="566">
        <f>+IFERROR(HLOOKUP(AG$36,[7]월별!$E$2:$S$67,51,),)</f>
        <v>1.8797000201944851E-2</v>
      </c>
      <c r="AH39" s="566">
        <f>+IFERROR(HLOOKUP(AH$36,[7]월별!$E$2:$S$67,51,),)</f>
        <v>1.8146921038230335E-2</v>
      </c>
      <c r="AI39" s="566">
        <f>+IFERROR(HLOOKUP(AI$36,[7]월별!$E$2:$S$67,51,),)</f>
        <v>2.5679335587291203E-2</v>
      </c>
      <c r="AJ39" s="566">
        <f>+IFERROR(HLOOKUP(AJ$36,[7]월별!$E$2:$S$67,51,),)</f>
        <v>3.7059976070507129E-2</v>
      </c>
      <c r="AK39" s="566">
        <f>+IFERROR(HLOOKUP(AK$36,[7]월별!$E$2:$S$67,51,),)</f>
        <v>8.2866316338170258E-3</v>
      </c>
      <c r="AL39" s="566">
        <f>+IFERROR(HLOOKUP(AL$36,[7]월별!$E$2:$S$67,51,),)</f>
        <v>1.8929258347069412E-2</v>
      </c>
      <c r="AM39" s="566">
        <f>+IFERROR(HLOOKUP(AM$36,[7]월별!$E$2:$S$67,51,),)</f>
        <v>1.7296509360740942E-2</v>
      </c>
      <c r="AN39" s="566">
        <f>+IFERROR(HLOOKUP(AN$36,[7]월별!$E$2:$S$67,51,),)</f>
        <v>2.3542137855523892E-2</v>
      </c>
      <c r="AO39" s="566">
        <f>+IFERROR(HLOOKUP(AO$36,[7]월별!$E$2:$S$67,51,),)</f>
        <v>2.3726716491380119E-2</v>
      </c>
      <c r="AP39" s="566">
        <f>+IFERROR(HLOOKUP(AP$36,[7]월별!$E$2:$S$67,51,),)</f>
        <v>1.4154492203434744E-2</v>
      </c>
      <c r="AQ39" s="566">
        <f>+IFERROR(HLOOKUP(AQ$36,[6]월별!$E$2:$S$67,49,),)</f>
        <v>1.7727214453804725E-2</v>
      </c>
      <c r="AR39" s="566">
        <f>+IFERROR(HLOOKUP(AR$36,[6]월별!$E$2:$S$67,49,),)</f>
        <v>1.5585145342365754E-2</v>
      </c>
      <c r="AS39" s="566">
        <f>+IFERROR(HLOOKUP(AS$36,[6]월별!$E$2:$S$67,49,),)</f>
        <v>1.4844907762880278E-3</v>
      </c>
      <c r="AT39" s="566">
        <f>+IFERROR(HLOOKUP(AT$36,[6]월별!$E$2:$S$67,49,),)</f>
        <v>1.4249312193258659E-2</v>
      </c>
      <c r="AU39" s="566">
        <f>+IFERROR(HLOOKUP(AU$36,[6]월별!$E$2:$S$67,49,),)</f>
        <v>1.6605663837480539E-2</v>
      </c>
      <c r="AV39" s="566">
        <f>+IFERROR(HLOOKUP(AV$36,[6]월별!$E$2:$S$67,49,),)</f>
        <v>2.5690430727950502E-2</v>
      </c>
      <c r="AW39" s="566">
        <f>+IFERROR(HLOOKUP(AW$36,[6]월별!$E$2:$S$67,49,),)</f>
        <v>1.3537465010160435E-2</v>
      </c>
      <c r="AX39" s="566">
        <f>+IFERROR(HLOOKUP(AX$36,[6]월별!$E$2:$S$67,49,),)</f>
        <v>2.2615170311533105E-2</v>
      </c>
      <c r="AY39" s="566">
        <f>+IFERROR(HLOOKUP(AY$36,[6]월별!$E$2:$S$67,49,),)</f>
        <v>2.4112163211421126E-2</v>
      </c>
    </row>
    <row r="40" spans="4:51" ht="21.95" customHeight="1" x14ac:dyDescent="0.3"/>
    <row r="41" spans="4:51" ht="21.95" customHeight="1" x14ac:dyDescent="0.3"/>
    <row r="42" spans="4:51" ht="21.95" customHeight="1" x14ac:dyDescent="0.3"/>
    <row r="43" spans="4:51" ht="21.95" customHeight="1" x14ac:dyDescent="0.3"/>
    <row r="44" spans="4:51" ht="21.95" customHeight="1" x14ac:dyDescent="0.3"/>
    <row r="45" spans="4:51" ht="21.95" customHeight="1" x14ac:dyDescent="0.3"/>
    <row r="46" spans="4:51" ht="21.95" customHeight="1" x14ac:dyDescent="0.3"/>
    <row r="47" spans="4:51" ht="21.95" customHeight="1" x14ac:dyDescent="0.3"/>
    <row r="48" spans="4:51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파워BI용</vt:lpstr>
      <vt:lpstr>표지</vt:lpstr>
      <vt:lpstr>손익총괄</vt:lpstr>
      <vt:lpstr>레미콘 영업이익</vt:lpstr>
      <vt:lpstr>사업장별(당월)</vt:lpstr>
      <vt:lpstr>사업장별(누계)</vt:lpstr>
      <vt:lpstr>사업장별(당월)_건자재제외</vt:lpstr>
      <vt:lpstr>사업장별(누계)_건자재제외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'사업장별(누계)_건자재제외'!Print_Area</vt:lpstr>
      <vt:lpstr>'사업장별(당월)'!Print_Area</vt:lpstr>
      <vt:lpstr>'사업장별(당월)_건자재제외'!Print_Area</vt:lpstr>
      <vt:lpstr>손익총괄!Print_Area</vt:lpstr>
      <vt:lpstr>영업이익!Print_Area</vt:lpstr>
      <vt:lpstr>원단위!Print_Area</vt:lpstr>
      <vt:lpstr>재료비단가!Print_Area</vt:lpstr>
      <vt:lpstr>파워BI용!Print_Area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2025-10-20T06:06:17Z</cp:lastPrinted>
  <dcterms:created xsi:type="dcterms:W3CDTF">2018-12-20T00:38:36Z</dcterms:created>
  <dcterms:modified xsi:type="dcterms:W3CDTF">2025-10-22T06:29:02Z</dcterms:modified>
</cp:coreProperties>
</file>