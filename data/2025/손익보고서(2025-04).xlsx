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2025년\원가손익\202506\00_보고서\"/>
    </mc:Choice>
  </mc:AlternateContent>
  <xr:revisionPtr revIDLastSave="0" documentId="13_ncr:1_{99BE127A-6D88-4576-9B20-1D81D9315C5C}" xr6:coauthVersionLast="36" xr6:coauthVersionMax="36" xr10:uidLastSave="{00000000-0000-0000-0000-000000000000}"/>
  <bookViews>
    <workbookView xWindow="480" yWindow="75" windowWidth="27975" windowHeight="12495" activeTab="3" xr2:uid="{00000000-000D-0000-FFFF-FFFF00000000}"/>
  </bookViews>
  <sheets>
    <sheet name="표지" sheetId="24" r:id="rId1"/>
    <sheet name="손익총괄" sheetId="1" r:id="rId2"/>
    <sheet name="사업장별(당월)" sheetId="2" r:id="rId3"/>
    <sheet name="사업장별(누계)" sheetId="31" r:id="rId4"/>
    <sheet name="영업이익" sheetId="25" r:id="rId5"/>
    <sheet name="공헌이익" sheetId="26" r:id="rId6"/>
    <sheet name="재료비단가" sheetId="27" r:id="rId7"/>
    <sheet name="원단위" sheetId="28" r:id="rId8"/>
    <sheet name="건자재" sheetId="29" r:id="rId9"/>
    <sheet name="골재사업소(당월)" sheetId="30" state="hidden" r:id="rId10"/>
    <sheet name="골재사업소(누계)" sheetId="33" state="hidden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ASSUMPTIONS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ASSUMPTIONS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BudvsAct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d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d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dfdfdf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dfdfdf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edsd" localSheetId="8" hidden="1">{"Header",#N/A,TRUE,"Summary";"ProjectInfo",#N/A,TRUE,"Total Value"}</definedName>
    <definedName name="edsd" localSheetId="10" hidden="1">{"Header",#N/A,TRUE,"Summary";"ProjectInfo",#N/A,TRUE,"Total Value"}</definedName>
    <definedName name="edsd" localSheetId="9" hidden="1">{"Header",#N/A,TRUE,"Summary";"ProjectInfo",#N/A,TRUE,"Total Value"}</definedName>
    <definedName name="edsd" localSheetId="5" hidden="1">{"Header",#N/A,TRUE,"Summary";"ProjectInfo",#N/A,TRUE,"Total Value"}</definedName>
    <definedName name="edsd" localSheetId="4" hidden="1">{"Header",#N/A,TRUE,"Summary";"ProjectInfo",#N/A,TRUE,"Total Value"}</definedName>
    <definedName name="edsd" localSheetId="7" hidden="1">{"Header",#N/A,TRUE,"Summary";"ProjectInfo",#N/A,TRUE,"Total Value"}</definedName>
    <definedName name="edsd" localSheetId="6" hidden="1">{"Header",#N/A,TRUE,"Summary";"ProjectInfo",#N/A,TRUE,"Total Value"}</definedName>
    <definedName name="edsd" hidden="1">{"Header",#N/A,TRUE,"Summary";"ProjectInfo",#N/A,TRUE,"Total Value"}</definedName>
    <definedName name="ff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f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FJHS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JHS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ijk" localSheetId="8" hidden="1">{"Header",#N/A,TRUE,"Summary";"ProjectInfo",#N/A,TRUE,"Total Value"}</definedName>
    <definedName name="jijk" localSheetId="10" hidden="1">{"Header",#N/A,TRUE,"Summary";"ProjectInfo",#N/A,TRUE,"Total Value"}</definedName>
    <definedName name="jijk" localSheetId="9" hidden="1">{"Header",#N/A,TRUE,"Summary";"ProjectInfo",#N/A,TRUE,"Total Value"}</definedName>
    <definedName name="jijk" localSheetId="5" hidden="1">{"Header",#N/A,TRUE,"Summary";"ProjectInfo",#N/A,TRUE,"Total Value"}</definedName>
    <definedName name="jijk" localSheetId="4" hidden="1">{"Header",#N/A,TRUE,"Summary";"ProjectInfo",#N/A,TRUE,"Total Value"}</definedName>
    <definedName name="jijk" localSheetId="7" hidden="1">{"Header",#N/A,TRUE,"Summary";"ProjectInfo",#N/A,TRUE,"Total Value"}</definedName>
    <definedName name="jijk" localSheetId="6" hidden="1">{"Header",#N/A,TRUE,"Summary";"ProjectInfo",#N/A,TRUE,"Total Value"}</definedName>
    <definedName name="jijk" hidden="1">{"Header",#N/A,TRUE,"Summary";"ProjectInfo",#N/A,TRUE,"Total Value"}</definedName>
    <definedName name="jjj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j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csq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csqd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DCS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dcs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jk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kkkkk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kkkkk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_xlnm.Print_Area" localSheetId="8">건자재!$D$6:$O$34</definedName>
    <definedName name="_xlnm.Print_Area" localSheetId="10">'골재사업소(누계)'!$D$4:$AV$33</definedName>
    <definedName name="_xlnm.Print_Area" localSheetId="9">'골재사업소(당월)'!$D$4:$AV$33</definedName>
    <definedName name="_xlnm.Print_Area" localSheetId="5">공헌이익!$D$4:$V$29</definedName>
    <definedName name="_xlnm.Print_Area" localSheetId="3">'사업장별(누계)'!$H$3:$AG$43</definedName>
    <definedName name="_xlnm.Print_Area" localSheetId="2">'사업장별(당월)'!$H$3:$AG$43</definedName>
    <definedName name="_xlnm.Print_Area" localSheetId="1">손익총괄!$C$3:$X$36</definedName>
    <definedName name="_xlnm.Print_Area" localSheetId="4">영업이익!$D$4:$W$29</definedName>
    <definedName name="_xlnm.Print_Area" localSheetId="7">원단위!$D$4:$V$29</definedName>
    <definedName name="_xlnm.Print_Area" localSheetId="6">재료비단가!$D$4:$V$29</definedName>
    <definedName name="sa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a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f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dsd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sdsffssds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" localSheetId="8" hidden="1">{"Header",#N/A,TRUE,"Summary";"ProjectInfo",#N/A,TRUE,"Total Value"}</definedName>
    <definedName name="w" localSheetId="10" hidden="1">{"Header",#N/A,TRUE,"Summary";"ProjectInfo",#N/A,TRUE,"Total Value"}</definedName>
    <definedName name="w" localSheetId="9" hidden="1">{"Header",#N/A,TRUE,"Summary";"ProjectInfo",#N/A,TRUE,"Total Value"}</definedName>
    <definedName name="w" localSheetId="5" hidden="1">{"Header",#N/A,TRUE,"Summary";"ProjectInfo",#N/A,TRUE,"Total Value"}</definedName>
    <definedName name="w" localSheetId="4" hidden="1">{"Header",#N/A,TRUE,"Summary";"ProjectInfo",#N/A,TRUE,"Total Value"}</definedName>
    <definedName name="w" localSheetId="7" hidden="1">{"Header",#N/A,TRUE,"Summary";"ProjectInfo",#N/A,TRUE,"Total Value"}</definedName>
    <definedName name="w" localSheetId="6" hidden="1">{"Header",#N/A,TRUE,"Summary";"ProjectInfo",#N/A,TRUE,"Total Value"}</definedName>
    <definedName name="w" hidden="1">{"Header",#N/A,TRUE,"Summary";"ProjectInfo",#N/A,TRUE,"Total Value"}</definedName>
    <definedName name="wrn.iIMPRESSION._.DOC.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IMPRESSION._.DOC.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wrn.IMPRESSION._.RP2.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IMPRESSION._.RP2.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rn.SummaryReport." localSheetId="8" hidden="1">{"Header",#N/A,TRUE,"Summary";"ProjectInfo",#N/A,TRUE,"Total Value"}</definedName>
    <definedName name="wrn.SummaryReport." localSheetId="10" hidden="1">{"Header",#N/A,TRUE,"Summary";"ProjectInfo",#N/A,TRUE,"Total Value"}</definedName>
    <definedName name="wrn.SummaryReport." localSheetId="9" hidden="1">{"Header",#N/A,TRUE,"Summary";"ProjectInfo",#N/A,TRUE,"Total Value"}</definedName>
    <definedName name="wrn.SummaryReport." localSheetId="5" hidden="1">{"Header",#N/A,TRUE,"Summary";"ProjectInfo",#N/A,TRUE,"Total Value"}</definedName>
    <definedName name="wrn.SummaryReport." localSheetId="4" hidden="1">{"Header",#N/A,TRUE,"Summary";"ProjectInfo",#N/A,TRUE,"Total Value"}</definedName>
    <definedName name="wrn.SummaryReport." localSheetId="7" hidden="1">{"Header",#N/A,TRUE,"Summary";"ProjectInfo",#N/A,TRUE,"Total Value"}</definedName>
    <definedName name="wrn.SummaryReport." localSheetId="6" hidden="1">{"Header",#N/A,TRUE,"Summary";"ProjectInfo",#N/A,TRUE,"Total Value"}</definedName>
    <definedName name="wrn.SummaryReport." hidden="1">{"Header",#N/A,TRUE,"Summary";"ProjectInfo",#N/A,TRUE,"Total Value"}</definedName>
    <definedName name="ww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ww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김춘모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ㄴ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ㅁ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ㅁ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ㄴ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ㄴ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로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로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ㅀ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ㄴㄴㅇ" localSheetId="8" hidden="1">{"Header",#N/A,TRUE,"Summary";"ProjectInfo",#N/A,TRUE,"Total Value"}</definedName>
    <definedName name="ㅁㄴㄴㅇ" localSheetId="10" hidden="1">{"Header",#N/A,TRUE,"Summary";"ProjectInfo",#N/A,TRUE,"Total Value"}</definedName>
    <definedName name="ㅁㄴㄴㅇ" localSheetId="9" hidden="1">{"Header",#N/A,TRUE,"Summary";"ProjectInfo",#N/A,TRUE,"Total Value"}</definedName>
    <definedName name="ㅁㄴㄴㅇ" localSheetId="5" hidden="1">{"Header",#N/A,TRUE,"Summary";"ProjectInfo",#N/A,TRUE,"Total Value"}</definedName>
    <definedName name="ㅁㄴㄴㅇ" localSheetId="4" hidden="1">{"Header",#N/A,TRUE,"Summary";"ProjectInfo",#N/A,TRUE,"Total Value"}</definedName>
    <definedName name="ㅁㄴㄴㅇ" localSheetId="7" hidden="1">{"Header",#N/A,TRUE,"Summary";"ProjectInfo",#N/A,TRUE,"Total Value"}</definedName>
    <definedName name="ㅁㄴㄴㅇ" localSheetId="6" hidden="1">{"Header",#N/A,TRUE,"Summary";"ProjectInfo",#N/A,TRUE,"Total Value"}</definedName>
    <definedName name="ㅁㄴㄴㅇ" hidden="1">{"Header",#N/A,TRUE,"Summary";"ProjectInfo",#N/A,TRUE,"Total Value"}</definedName>
    <definedName name="ㅁㅂㅁㅂㅂㅁㅁㅂ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ㅁㅂㅁㅂㅂㅁㅁㅂ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ㅅ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ㅅ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ㄴㄹㅇㅇ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ㄴㄹㅇㅇ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ㄹ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ㅇㅈㅇ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ㅇㅈㅇ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ㅈㅇ" localSheetId="8" hidden="1">{"Header",#N/A,TRUE,"Summary";"ProjectInfo",#N/A,TRUE,"Total Value"}</definedName>
    <definedName name="ㅈㅇ" localSheetId="10" hidden="1">{"Header",#N/A,TRUE,"Summary";"ProjectInfo",#N/A,TRUE,"Total Value"}</definedName>
    <definedName name="ㅈㅇ" localSheetId="9" hidden="1">{"Header",#N/A,TRUE,"Summary";"ProjectInfo",#N/A,TRUE,"Total Value"}</definedName>
    <definedName name="ㅈㅇ" localSheetId="5" hidden="1">{"Header",#N/A,TRUE,"Summary";"ProjectInfo",#N/A,TRUE,"Total Value"}</definedName>
    <definedName name="ㅈㅇ" localSheetId="4" hidden="1">{"Header",#N/A,TRUE,"Summary";"ProjectInfo",#N/A,TRUE,"Total Value"}</definedName>
    <definedName name="ㅈㅇ" localSheetId="7" hidden="1">{"Header",#N/A,TRUE,"Summary";"ProjectInfo",#N/A,TRUE,"Total Value"}</definedName>
    <definedName name="ㅈㅇ" localSheetId="6" hidden="1">{"Header",#N/A,TRUE,"Summary";"ProjectInfo",#N/A,TRUE,"Total Value"}</definedName>
    <definedName name="ㅈㅇ" hidden="1">{"Header",#N/A,TRUE,"Summary";"ProjectInfo",#N/A,TRUE,"Total Value"}</definedName>
    <definedName name="차이분서II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차이분서I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ㅎㅎㅎ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ㅎ호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ㅏㅏ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ㅏㅏ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ㅐㅏ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ㅓㅓㅓㄴ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ㅓㅓㅓㄴ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ㅓㅣ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ㅓㅣ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ㅓㅣㅏㅣ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ㅓㅣㅏㅣ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8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10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9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5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7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localSheetId="6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ㅓㅗㅓㅓ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ㅗㅗㅗ" localSheetId="8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10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9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5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7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localSheetId="6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ㅗㅗㅗ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</definedNames>
  <calcPr calcId="191029"/>
</workbook>
</file>

<file path=xl/calcChain.xml><?xml version="1.0" encoding="utf-8"?>
<calcChain xmlns="http://schemas.openxmlformats.org/spreadsheetml/2006/main">
  <c r="AF40" i="33" l="1"/>
  <c r="AE40" i="33"/>
  <c r="AF39" i="33"/>
  <c r="AE39" i="33"/>
  <c r="AF38" i="33"/>
  <c r="AE38" i="33"/>
  <c r="AF37" i="33"/>
  <c r="AE37" i="33"/>
  <c r="AF36" i="33"/>
  <c r="AE36" i="33"/>
  <c r="AF35" i="33"/>
  <c r="AE35" i="33"/>
  <c r="AE26" i="33"/>
  <c r="S26" i="33"/>
  <c r="M26" i="33"/>
  <c r="AE25" i="33"/>
  <c r="S25" i="33"/>
  <c r="M25" i="33"/>
  <c r="AE24" i="33"/>
  <c r="S24" i="33"/>
  <c r="M24" i="33"/>
  <c r="AE23" i="33"/>
  <c r="S23" i="33"/>
  <c r="M23" i="33"/>
  <c r="AE22" i="33"/>
  <c r="S22" i="33"/>
  <c r="M22" i="33"/>
  <c r="AE21" i="33"/>
  <c r="S21" i="33"/>
  <c r="M21" i="33"/>
  <c r="S19" i="33"/>
  <c r="S18" i="33"/>
  <c r="S15" i="33"/>
  <c r="AE13" i="33"/>
  <c r="S13" i="33"/>
  <c r="S10" i="33"/>
  <c r="AE8" i="33"/>
  <c r="S8" i="33"/>
  <c r="AO40" i="30"/>
  <c r="AO40" i="33" s="1"/>
  <c r="AL40" i="30"/>
  <c r="AL40" i="33" s="1"/>
  <c r="AC40" i="30"/>
  <c r="AC40" i="33" s="1"/>
  <c r="Z40" i="30"/>
  <c r="Z40" i="33" s="1"/>
  <c r="K40" i="30"/>
  <c r="K40" i="33" s="1"/>
  <c r="H40" i="30"/>
  <c r="H40" i="33" s="1"/>
  <c r="AX39" i="30"/>
  <c r="AO39" i="30"/>
  <c r="AO39" i="33" s="1"/>
  <c r="AL39" i="30"/>
  <c r="AL39" i="33" s="1"/>
  <c r="AC39" i="30"/>
  <c r="AC39" i="33" s="1"/>
  <c r="Z39" i="30"/>
  <c r="Z39" i="33" s="1"/>
  <c r="K39" i="30"/>
  <c r="K39" i="33" s="1"/>
  <c r="H39" i="30"/>
  <c r="H39" i="33" s="1"/>
  <c r="AX38" i="30"/>
  <c r="AO38" i="30"/>
  <c r="AO38" i="33" s="1"/>
  <c r="AL38" i="30"/>
  <c r="AL38" i="33" s="1"/>
  <c r="AC38" i="30"/>
  <c r="AC38" i="33" s="1"/>
  <c r="Z38" i="30"/>
  <c r="Z38" i="33" s="1"/>
  <c r="K38" i="30"/>
  <c r="K38" i="33" s="1"/>
  <c r="H38" i="30"/>
  <c r="H38" i="33" s="1"/>
  <c r="AX37" i="30"/>
  <c r="AO37" i="30"/>
  <c r="AO37" i="33" s="1"/>
  <c r="AL37" i="30"/>
  <c r="AL37" i="33" s="1"/>
  <c r="AC37" i="30"/>
  <c r="AC37" i="33" s="1"/>
  <c r="Z37" i="30"/>
  <c r="Z37" i="33" s="1"/>
  <c r="K37" i="30"/>
  <c r="K37" i="33" s="1"/>
  <c r="H37" i="30"/>
  <c r="H37" i="33" s="1"/>
  <c r="AX36" i="30"/>
  <c r="AO36" i="30"/>
  <c r="AO36" i="33" s="1"/>
  <c r="AL36" i="30"/>
  <c r="AL36" i="33" s="1"/>
  <c r="AC36" i="30"/>
  <c r="AC36" i="33" s="1"/>
  <c r="Z36" i="30"/>
  <c r="Z36" i="33" s="1"/>
  <c r="K36" i="30"/>
  <c r="K36" i="33" s="1"/>
  <c r="H36" i="30"/>
  <c r="H36" i="33" s="1"/>
  <c r="AX35" i="30"/>
  <c r="AO35" i="30"/>
  <c r="AO35" i="33" s="1"/>
  <c r="AL35" i="30"/>
  <c r="AL35" i="33" s="1"/>
  <c r="AC35" i="30"/>
  <c r="AC35" i="33" s="1"/>
  <c r="Z35" i="30"/>
  <c r="Z35" i="33" s="1"/>
  <c r="K35" i="30"/>
  <c r="K35" i="33" s="1"/>
  <c r="H35" i="30"/>
  <c r="H35" i="33" s="1"/>
  <c r="AO32" i="30"/>
  <c r="AL32" i="30"/>
  <c r="AO31" i="30"/>
  <c r="AL31" i="30"/>
  <c r="AO30" i="30"/>
  <c r="AL30" i="30"/>
  <c r="AO29" i="30"/>
  <c r="AL29" i="30"/>
  <c r="AO28" i="30"/>
  <c r="AL28" i="30"/>
  <c r="AO27" i="30"/>
  <c r="AL27" i="30"/>
  <c r="AO26" i="30"/>
  <c r="AO26" i="33" s="1"/>
  <c r="AL26" i="30"/>
  <c r="AL26" i="33" s="1"/>
  <c r="AO25" i="30"/>
  <c r="AO25" i="33" s="1"/>
  <c r="AL25" i="30"/>
  <c r="AL25" i="33" s="1"/>
  <c r="AO24" i="30"/>
  <c r="AO24" i="33" s="1"/>
  <c r="AL24" i="30"/>
  <c r="AL24" i="33" s="1"/>
  <c r="AO23" i="30"/>
  <c r="AO23" i="33" s="1"/>
  <c r="AL23" i="30"/>
  <c r="AL23" i="33" s="1"/>
  <c r="AO22" i="30"/>
  <c r="AO22" i="33" s="1"/>
  <c r="AL22" i="30"/>
  <c r="AL22" i="33" s="1"/>
  <c r="AO21" i="30"/>
  <c r="AO21" i="33" s="1"/>
  <c r="AL21" i="30"/>
  <c r="AL21" i="33" s="1"/>
  <c r="AO19" i="30"/>
  <c r="AO19" i="33" s="1"/>
  <c r="AL19" i="30"/>
  <c r="AL19" i="33" s="1"/>
  <c r="AO18" i="30"/>
  <c r="AO18" i="33" s="1"/>
  <c r="AL18" i="30"/>
  <c r="AL18" i="33" s="1"/>
  <c r="AO15" i="30"/>
  <c r="AO15" i="33" s="1"/>
  <c r="AL15" i="30"/>
  <c r="AL15" i="33" s="1"/>
  <c r="AO13" i="30"/>
  <c r="AO13" i="33" s="1"/>
  <c r="AL13" i="30"/>
  <c r="AL13" i="33" s="1"/>
  <c r="AO10" i="30"/>
  <c r="AO10" i="33" s="1"/>
  <c r="AL10" i="30"/>
  <c r="AL10" i="33" s="1"/>
  <c r="AO8" i="30"/>
  <c r="AO8" i="33" s="1"/>
  <c r="AL8" i="30"/>
  <c r="AL8" i="33" s="1"/>
  <c r="AT37" i="29"/>
  <c r="W46" i="2"/>
  <c r="T46" i="2"/>
  <c r="R46" i="2"/>
  <c r="P46" i="2"/>
  <c r="P49" i="2" s="1"/>
  <c r="O46" i="2"/>
  <c r="M46" i="2"/>
  <c r="J46" i="2"/>
  <c r="W40" i="2"/>
  <c r="T40" i="2"/>
  <c r="R40" i="2"/>
  <c r="P40" i="2"/>
  <c r="O40" i="2"/>
  <c r="U39" i="2"/>
  <c r="W38" i="2"/>
  <c r="T38" i="2"/>
  <c r="R38" i="2"/>
  <c r="W37" i="2"/>
  <c r="U37" i="2"/>
  <c r="W36" i="2"/>
  <c r="U36" i="2"/>
  <c r="W35" i="2"/>
  <c r="T35" i="2"/>
  <c r="W34" i="2"/>
  <c r="U34" i="2"/>
  <c r="T34" i="2"/>
  <c r="R34" i="2"/>
  <c r="P34" i="2"/>
  <c r="O34" i="2"/>
  <c r="W33" i="2"/>
  <c r="U33" i="2"/>
  <c r="T33" i="2"/>
  <c r="R33" i="2"/>
  <c r="P33" i="2"/>
  <c r="O33" i="2"/>
  <c r="W31" i="2"/>
  <c r="U31" i="2"/>
  <c r="T31" i="2"/>
  <c r="R31" i="2"/>
  <c r="P31" i="2"/>
  <c r="O31" i="2"/>
  <c r="M31" i="2"/>
  <c r="J31" i="2"/>
  <c r="W30" i="2"/>
  <c r="T30" i="2"/>
  <c r="R30" i="2"/>
  <c r="P30" i="2"/>
  <c r="O30" i="2"/>
  <c r="M30" i="2"/>
  <c r="J30" i="2"/>
  <c r="W29" i="2"/>
  <c r="T29" i="2"/>
  <c r="R29" i="2"/>
  <c r="P29" i="2"/>
  <c r="O29" i="2"/>
  <c r="M29" i="2"/>
  <c r="J29" i="2"/>
  <c r="W28" i="2"/>
  <c r="U28" i="2"/>
  <c r="T28" i="2"/>
  <c r="R28" i="2"/>
  <c r="P28" i="2"/>
  <c r="O28" i="2"/>
  <c r="M28" i="2"/>
  <c r="J28" i="2"/>
  <c r="W23" i="2"/>
  <c r="U23" i="2"/>
  <c r="T23" i="2"/>
  <c r="R23" i="2"/>
  <c r="P23" i="2"/>
  <c r="O23" i="2"/>
  <c r="M23" i="2"/>
  <c r="J23" i="2"/>
  <c r="W22" i="2"/>
  <c r="U22" i="2"/>
  <c r="T22" i="2"/>
  <c r="R22" i="2"/>
  <c r="P22" i="2"/>
  <c r="O22" i="2"/>
  <c r="M22" i="2"/>
  <c r="J22" i="2"/>
  <c r="W21" i="2"/>
  <c r="U21" i="2"/>
  <c r="T21" i="2"/>
  <c r="R21" i="2"/>
  <c r="P21" i="2"/>
  <c r="O21" i="2"/>
  <c r="M21" i="2"/>
  <c r="J21" i="2"/>
  <c r="W20" i="2"/>
  <c r="U20" i="2"/>
  <c r="T20" i="2"/>
  <c r="R20" i="2"/>
  <c r="P20" i="2"/>
  <c r="O20" i="2"/>
  <c r="M20" i="2"/>
  <c r="J20" i="2"/>
  <c r="W19" i="2"/>
  <c r="U19" i="2"/>
  <c r="T19" i="2"/>
  <c r="R19" i="2"/>
  <c r="P19" i="2"/>
  <c r="O19" i="2"/>
  <c r="M19" i="2"/>
  <c r="J19" i="2"/>
  <c r="W18" i="2"/>
  <c r="U18" i="2"/>
  <c r="T18" i="2"/>
  <c r="R18" i="2"/>
  <c r="P18" i="2"/>
  <c r="O18" i="2"/>
  <c r="M18" i="2"/>
  <c r="J18" i="2"/>
  <c r="W17" i="2"/>
  <c r="U17" i="2"/>
  <c r="T17" i="2"/>
  <c r="R17" i="2"/>
  <c r="P17" i="2"/>
  <c r="O17" i="2"/>
  <c r="M17" i="2"/>
  <c r="J17" i="2"/>
  <c r="W16" i="2"/>
  <c r="U16" i="2"/>
  <c r="T16" i="2"/>
  <c r="R16" i="2"/>
  <c r="P16" i="2"/>
  <c r="O16" i="2"/>
  <c r="M16" i="2"/>
  <c r="J16" i="2"/>
  <c r="W15" i="2"/>
  <c r="U15" i="2"/>
  <c r="T15" i="2"/>
  <c r="R15" i="2"/>
  <c r="P15" i="2"/>
  <c r="O15" i="2"/>
  <c r="M15" i="2"/>
  <c r="J15" i="2"/>
  <c r="W14" i="2"/>
  <c r="U14" i="2"/>
  <c r="T14" i="2"/>
  <c r="R14" i="2"/>
  <c r="P14" i="2"/>
  <c r="O14" i="2"/>
  <c r="M14" i="2"/>
  <c r="J14" i="2"/>
  <c r="W13" i="2"/>
  <c r="U13" i="2"/>
  <c r="T13" i="2"/>
  <c r="R13" i="2"/>
  <c r="P13" i="2"/>
  <c r="O13" i="2"/>
  <c r="M13" i="2"/>
  <c r="J13" i="2"/>
  <c r="W12" i="2"/>
  <c r="U12" i="2"/>
  <c r="T12" i="2"/>
  <c r="R12" i="2"/>
  <c r="P12" i="2"/>
  <c r="O12" i="2"/>
  <c r="M12" i="2"/>
  <c r="J12" i="2"/>
  <c r="W11" i="2"/>
  <c r="U11" i="2"/>
  <c r="T11" i="2"/>
  <c r="R11" i="2"/>
  <c r="P11" i="2"/>
  <c r="O11" i="2"/>
  <c r="M11" i="2"/>
  <c r="J11" i="2"/>
  <c r="W10" i="2"/>
  <c r="U10" i="2"/>
  <c r="T10" i="2"/>
  <c r="R10" i="2"/>
  <c r="P10" i="2"/>
  <c r="O10" i="2"/>
  <c r="M10" i="2"/>
  <c r="J10" i="2"/>
  <c r="W9" i="2"/>
  <c r="U9" i="2"/>
  <c r="T9" i="2"/>
  <c r="R9" i="2"/>
  <c r="P9" i="2"/>
  <c r="O9" i="2"/>
  <c r="M9" i="2"/>
  <c r="J9" i="2"/>
  <c r="W8" i="2"/>
  <c r="U8" i="2"/>
  <c r="T8" i="2"/>
  <c r="R8" i="2"/>
  <c r="P8" i="2"/>
  <c r="O8" i="2"/>
  <c r="M8" i="2"/>
  <c r="J8" i="2"/>
  <c r="W7" i="2"/>
  <c r="U7" i="2"/>
  <c r="T7" i="2"/>
  <c r="R7" i="2"/>
  <c r="P7" i="2"/>
  <c r="O7" i="2"/>
  <c r="M7" i="2"/>
  <c r="J7" i="2"/>
  <c r="W46" i="31"/>
  <c r="T46" i="31"/>
  <c r="R46" i="31"/>
  <c r="P46" i="31"/>
  <c r="O46" i="31"/>
  <c r="M46" i="31"/>
  <c r="J46" i="31"/>
  <c r="W40" i="31"/>
  <c r="T40" i="31"/>
  <c r="R40" i="31"/>
  <c r="P40" i="31"/>
  <c r="O40" i="31"/>
  <c r="U39" i="31"/>
  <c r="W38" i="31"/>
  <c r="T38" i="31"/>
  <c r="R38" i="31"/>
  <c r="W37" i="31"/>
  <c r="U37" i="31"/>
  <c r="W36" i="31"/>
  <c r="U36" i="31"/>
  <c r="T36" i="31"/>
  <c r="W35" i="31"/>
  <c r="T35" i="31"/>
  <c r="W34" i="31"/>
  <c r="U34" i="31"/>
  <c r="T34" i="31"/>
  <c r="R34" i="31"/>
  <c r="P34" i="31"/>
  <c r="O34" i="31"/>
  <c r="W33" i="31"/>
  <c r="U33" i="31"/>
  <c r="T33" i="31"/>
  <c r="R33" i="31"/>
  <c r="P33" i="31"/>
  <c r="O33" i="31"/>
  <c r="W31" i="31"/>
  <c r="U31" i="31"/>
  <c r="T31" i="31"/>
  <c r="R31" i="31"/>
  <c r="P31" i="31"/>
  <c r="O31" i="31"/>
  <c r="M31" i="31"/>
  <c r="J31" i="31"/>
  <c r="W30" i="31"/>
  <c r="T30" i="31"/>
  <c r="R30" i="31"/>
  <c r="P30" i="31"/>
  <c r="O30" i="31"/>
  <c r="M30" i="31"/>
  <c r="J30" i="31"/>
  <c r="W29" i="31"/>
  <c r="T29" i="31"/>
  <c r="R29" i="31"/>
  <c r="P29" i="31"/>
  <c r="O29" i="31"/>
  <c r="M29" i="31"/>
  <c r="J29" i="31"/>
  <c r="W28" i="31"/>
  <c r="U28" i="31"/>
  <c r="T28" i="31"/>
  <c r="R28" i="31"/>
  <c r="P28" i="31"/>
  <c r="O28" i="31"/>
  <c r="M28" i="31"/>
  <c r="J28" i="31"/>
  <c r="W23" i="31"/>
  <c r="U23" i="31"/>
  <c r="T23" i="31"/>
  <c r="R23" i="31"/>
  <c r="P23" i="31"/>
  <c r="O23" i="31"/>
  <c r="M23" i="31"/>
  <c r="J23" i="31"/>
  <c r="W22" i="31"/>
  <c r="U22" i="31"/>
  <c r="T22" i="31"/>
  <c r="R22" i="31"/>
  <c r="P22" i="31"/>
  <c r="O22" i="31"/>
  <c r="M22" i="31"/>
  <c r="J22" i="31"/>
  <c r="W21" i="31"/>
  <c r="U21" i="31"/>
  <c r="T21" i="31"/>
  <c r="R21" i="31"/>
  <c r="P21" i="31"/>
  <c r="O21" i="31"/>
  <c r="M21" i="31"/>
  <c r="J21" i="31"/>
  <c r="W20" i="31"/>
  <c r="U20" i="31"/>
  <c r="T20" i="31"/>
  <c r="R20" i="31"/>
  <c r="P20" i="31"/>
  <c r="O20" i="31"/>
  <c r="M20" i="31"/>
  <c r="J20" i="31"/>
  <c r="W19" i="31"/>
  <c r="U19" i="31"/>
  <c r="T19" i="31"/>
  <c r="R19" i="31"/>
  <c r="P19" i="31"/>
  <c r="O19" i="31"/>
  <c r="M19" i="31"/>
  <c r="J19" i="31"/>
  <c r="W18" i="31"/>
  <c r="U18" i="31"/>
  <c r="T18" i="31"/>
  <c r="R18" i="31"/>
  <c r="P18" i="31"/>
  <c r="O18" i="31"/>
  <c r="M18" i="31"/>
  <c r="J18" i="31"/>
  <c r="W17" i="31"/>
  <c r="U17" i="31"/>
  <c r="T17" i="31"/>
  <c r="R17" i="31"/>
  <c r="P17" i="31"/>
  <c r="O17" i="31"/>
  <c r="M17" i="31"/>
  <c r="J17" i="31"/>
  <c r="W16" i="31"/>
  <c r="U16" i="31"/>
  <c r="T16" i="31"/>
  <c r="R16" i="31"/>
  <c r="P16" i="31"/>
  <c r="O16" i="31"/>
  <c r="M16" i="31"/>
  <c r="J16" i="31"/>
  <c r="W15" i="31"/>
  <c r="U15" i="31"/>
  <c r="T15" i="31"/>
  <c r="R15" i="31"/>
  <c r="P15" i="31"/>
  <c r="O15" i="31"/>
  <c r="M15" i="31"/>
  <c r="J15" i="31"/>
  <c r="W14" i="31"/>
  <c r="U14" i="31"/>
  <c r="T14" i="31"/>
  <c r="R14" i="31"/>
  <c r="P14" i="31"/>
  <c r="O14" i="31"/>
  <c r="M14" i="31"/>
  <c r="J14" i="31"/>
  <c r="W13" i="31"/>
  <c r="U13" i="31"/>
  <c r="T13" i="31"/>
  <c r="R13" i="31"/>
  <c r="P13" i="31"/>
  <c r="O13" i="31"/>
  <c r="M13" i="31"/>
  <c r="J13" i="31"/>
  <c r="W12" i="31"/>
  <c r="U12" i="31"/>
  <c r="T12" i="31"/>
  <c r="R12" i="31"/>
  <c r="P12" i="31"/>
  <c r="O12" i="31"/>
  <c r="M12" i="31"/>
  <c r="J12" i="31"/>
  <c r="W11" i="31"/>
  <c r="U11" i="31"/>
  <c r="T11" i="31"/>
  <c r="R11" i="31"/>
  <c r="P11" i="31"/>
  <c r="O11" i="31"/>
  <c r="M11" i="31"/>
  <c r="J11" i="31"/>
  <c r="W10" i="31"/>
  <c r="U10" i="31"/>
  <c r="T10" i="31"/>
  <c r="R10" i="31"/>
  <c r="P10" i="31"/>
  <c r="O10" i="31"/>
  <c r="M10" i="31"/>
  <c r="J10" i="31"/>
  <c r="W9" i="31"/>
  <c r="U9" i="31"/>
  <c r="T9" i="31"/>
  <c r="R9" i="31"/>
  <c r="P9" i="31"/>
  <c r="O9" i="31"/>
  <c r="M9" i="31"/>
  <c r="J9" i="31"/>
  <c r="W8" i="31"/>
  <c r="U8" i="31"/>
  <c r="T8" i="31"/>
  <c r="R8" i="31"/>
  <c r="P8" i="31"/>
  <c r="O8" i="31"/>
  <c r="M8" i="31"/>
  <c r="J8" i="31"/>
  <c r="W7" i="31"/>
  <c r="U7" i="31"/>
  <c r="T7" i="31"/>
  <c r="R7" i="31"/>
  <c r="P7" i="31"/>
  <c r="O7" i="31"/>
  <c r="M7" i="31"/>
  <c r="J7" i="31"/>
  <c r="AD27" i="31"/>
  <c r="AA27" i="31"/>
  <c r="AD26" i="31"/>
  <c r="AA26" i="31"/>
  <c r="AD25" i="31"/>
  <c r="AA25" i="31"/>
  <c r="AD24" i="31"/>
  <c r="AA24" i="31"/>
  <c r="AD23" i="31"/>
  <c r="AA23" i="31"/>
  <c r="AD22" i="31"/>
  <c r="AA22" i="31"/>
  <c r="AD21" i="31"/>
  <c r="AA21" i="31"/>
  <c r="AD20" i="31"/>
  <c r="AA20" i="31"/>
  <c r="AD19" i="31"/>
  <c r="AA19" i="31"/>
  <c r="AD18" i="31"/>
  <c r="AA18" i="31"/>
  <c r="AD17" i="31"/>
  <c r="AA17" i="31"/>
  <c r="AD16" i="31"/>
  <c r="AA16" i="31"/>
  <c r="AD15" i="31"/>
  <c r="AA15" i="31"/>
  <c r="AD14" i="31"/>
  <c r="AA14" i="31"/>
  <c r="AD13" i="31"/>
  <c r="AA13" i="31"/>
  <c r="AD12" i="31"/>
  <c r="AA12" i="31"/>
  <c r="AD11" i="31"/>
  <c r="AA11" i="31"/>
  <c r="AD10" i="31"/>
  <c r="AA10" i="31"/>
  <c r="AD9" i="31"/>
  <c r="AA9" i="31"/>
  <c r="AD8" i="31"/>
  <c r="AA8" i="31"/>
  <c r="AD7" i="31"/>
  <c r="AA7" i="31"/>
  <c r="W28" i="25"/>
  <c r="U28" i="25"/>
  <c r="T28" i="25"/>
  <c r="S28" i="25"/>
  <c r="Q28" i="25"/>
  <c r="P28" i="25"/>
  <c r="O28" i="25"/>
  <c r="M28" i="25"/>
  <c r="L28" i="25"/>
  <c r="K28" i="25"/>
  <c r="I28" i="25"/>
  <c r="H28" i="25"/>
  <c r="F28" i="25"/>
  <c r="E28" i="25"/>
  <c r="W27" i="25"/>
  <c r="U27" i="25"/>
  <c r="T27" i="25"/>
  <c r="S27" i="25"/>
  <c r="Q27" i="25"/>
  <c r="P27" i="25"/>
  <c r="O27" i="25"/>
  <c r="M27" i="25"/>
  <c r="L27" i="25"/>
  <c r="K27" i="25"/>
  <c r="I27" i="25"/>
  <c r="H27" i="25"/>
  <c r="F27" i="25"/>
  <c r="E27" i="25"/>
  <c r="W26" i="25"/>
  <c r="U26" i="25"/>
  <c r="T26" i="25"/>
  <c r="S26" i="25"/>
  <c r="Q26" i="25"/>
  <c r="P26" i="25"/>
  <c r="O26" i="25"/>
  <c r="M26" i="25"/>
  <c r="L26" i="25"/>
  <c r="K26" i="25"/>
  <c r="I26" i="25"/>
  <c r="H26" i="25"/>
  <c r="F26" i="25"/>
  <c r="E26" i="25"/>
  <c r="W25" i="25"/>
  <c r="U25" i="25"/>
  <c r="T25" i="25"/>
  <c r="S25" i="25"/>
  <c r="Q25" i="25"/>
  <c r="P25" i="25"/>
  <c r="O25" i="25"/>
  <c r="M25" i="25"/>
  <c r="L25" i="25"/>
  <c r="K25" i="25"/>
  <c r="I25" i="25"/>
  <c r="H25" i="25"/>
  <c r="F25" i="25"/>
  <c r="E25" i="25"/>
  <c r="W24" i="25"/>
  <c r="U24" i="25"/>
  <c r="T24" i="25"/>
  <c r="S24" i="25"/>
  <c r="Q24" i="25"/>
  <c r="P24" i="25"/>
  <c r="O24" i="25"/>
  <c r="M24" i="25"/>
  <c r="L24" i="25"/>
  <c r="K24" i="25"/>
  <c r="I24" i="25"/>
  <c r="H24" i="25"/>
  <c r="F24" i="25"/>
  <c r="E24" i="25"/>
  <c r="W23" i="25"/>
  <c r="U23" i="25"/>
  <c r="T23" i="25"/>
  <c r="S23" i="25"/>
  <c r="Q23" i="25"/>
  <c r="P23" i="25"/>
  <c r="O23" i="25"/>
  <c r="M23" i="25"/>
  <c r="L23" i="25"/>
  <c r="K23" i="25"/>
  <c r="I23" i="25"/>
  <c r="H23" i="25"/>
  <c r="F23" i="25"/>
  <c r="E23" i="25"/>
  <c r="W22" i="25"/>
  <c r="U22" i="25"/>
  <c r="T22" i="25"/>
  <c r="S22" i="25"/>
  <c r="Q22" i="25"/>
  <c r="P22" i="25"/>
  <c r="O22" i="25"/>
  <c r="M22" i="25"/>
  <c r="L22" i="25"/>
  <c r="K22" i="25"/>
  <c r="I22" i="25"/>
  <c r="H22" i="25"/>
  <c r="F22" i="25"/>
  <c r="E22" i="25"/>
  <c r="W21" i="25"/>
  <c r="U21" i="25"/>
  <c r="T21" i="25"/>
  <c r="S21" i="25"/>
  <c r="Q21" i="25"/>
  <c r="P21" i="25"/>
  <c r="O21" i="25"/>
  <c r="M21" i="25"/>
  <c r="L21" i="25"/>
  <c r="K21" i="25"/>
  <c r="I21" i="25"/>
  <c r="H21" i="25"/>
  <c r="F21" i="25"/>
  <c r="E21" i="25"/>
  <c r="W20" i="25"/>
  <c r="U20" i="25"/>
  <c r="T20" i="25"/>
  <c r="S20" i="25"/>
  <c r="Q20" i="25"/>
  <c r="P20" i="25"/>
  <c r="O20" i="25"/>
  <c r="M20" i="25"/>
  <c r="L20" i="25"/>
  <c r="K20" i="25"/>
  <c r="I20" i="25"/>
  <c r="H20" i="25"/>
  <c r="F20" i="25"/>
  <c r="E20" i="25"/>
  <c r="W19" i="25"/>
  <c r="U19" i="25"/>
  <c r="T19" i="25"/>
  <c r="S19" i="25"/>
  <c r="Q19" i="25"/>
  <c r="P19" i="25"/>
  <c r="O19" i="25"/>
  <c r="M19" i="25"/>
  <c r="L19" i="25"/>
  <c r="K19" i="25"/>
  <c r="I19" i="25"/>
  <c r="H19" i="25"/>
  <c r="F19" i="25"/>
  <c r="E19" i="25"/>
  <c r="W18" i="25"/>
  <c r="U18" i="25"/>
  <c r="T18" i="25"/>
  <c r="S18" i="25"/>
  <c r="Q18" i="25"/>
  <c r="P18" i="25"/>
  <c r="O18" i="25"/>
  <c r="M18" i="25"/>
  <c r="L18" i="25"/>
  <c r="K18" i="25"/>
  <c r="I18" i="25"/>
  <c r="H18" i="25"/>
  <c r="F18" i="25"/>
  <c r="E18" i="25"/>
  <c r="W17" i="25"/>
  <c r="U17" i="25"/>
  <c r="T17" i="25"/>
  <c r="S17" i="25"/>
  <c r="Q17" i="25"/>
  <c r="P17" i="25"/>
  <c r="O17" i="25"/>
  <c r="M17" i="25"/>
  <c r="L17" i="25"/>
  <c r="K17" i="25"/>
  <c r="I17" i="25"/>
  <c r="H17" i="25"/>
  <c r="F17" i="25"/>
  <c r="E17" i="25"/>
  <c r="W16" i="25"/>
  <c r="U16" i="25"/>
  <c r="T16" i="25"/>
  <c r="S16" i="25"/>
  <c r="Q16" i="25"/>
  <c r="P16" i="25"/>
  <c r="O16" i="25"/>
  <c r="M16" i="25"/>
  <c r="L16" i="25"/>
  <c r="K16" i="25"/>
  <c r="I16" i="25"/>
  <c r="H16" i="25"/>
  <c r="F16" i="25"/>
  <c r="E16" i="25"/>
  <c r="W15" i="25"/>
  <c r="U15" i="25"/>
  <c r="T15" i="25"/>
  <c r="S15" i="25"/>
  <c r="Q15" i="25"/>
  <c r="P15" i="25"/>
  <c r="O15" i="25"/>
  <c r="M15" i="25"/>
  <c r="L15" i="25"/>
  <c r="K15" i="25"/>
  <c r="I15" i="25"/>
  <c r="H15" i="25"/>
  <c r="F15" i="25"/>
  <c r="E15" i="25"/>
  <c r="W14" i="25"/>
  <c r="U14" i="25"/>
  <c r="T14" i="25"/>
  <c r="S14" i="25"/>
  <c r="Q14" i="25"/>
  <c r="P14" i="25"/>
  <c r="O14" i="25"/>
  <c r="M14" i="25"/>
  <c r="L14" i="25"/>
  <c r="K14" i="25"/>
  <c r="I14" i="25"/>
  <c r="H14" i="25"/>
  <c r="F14" i="25"/>
  <c r="E14" i="25"/>
  <c r="W13" i="25"/>
  <c r="U13" i="25"/>
  <c r="T13" i="25"/>
  <c r="S13" i="25"/>
  <c r="Q13" i="25"/>
  <c r="P13" i="25"/>
  <c r="O13" i="25"/>
  <c r="M13" i="25"/>
  <c r="L13" i="25"/>
  <c r="K13" i="25"/>
  <c r="I13" i="25"/>
  <c r="H13" i="25"/>
  <c r="F13" i="25"/>
  <c r="E13" i="25"/>
  <c r="W12" i="25"/>
  <c r="U12" i="25"/>
  <c r="T12" i="25"/>
  <c r="S12" i="25"/>
  <c r="Q12" i="25"/>
  <c r="P12" i="25"/>
  <c r="O12" i="25"/>
  <c r="M12" i="25"/>
  <c r="L12" i="25"/>
  <c r="K12" i="25"/>
  <c r="I12" i="25"/>
  <c r="H12" i="25"/>
  <c r="F12" i="25"/>
  <c r="E12" i="25"/>
  <c r="W11" i="25"/>
  <c r="U11" i="25"/>
  <c r="T11" i="25"/>
  <c r="S11" i="25"/>
  <c r="Q11" i="25"/>
  <c r="P11" i="25"/>
  <c r="O11" i="25"/>
  <c r="M11" i="25"/>
  <c r="L11" i="25"/>
  <c r="K11" i="25"/>
  <c r="I11" i="25"/>
  <c r="H11" i="25"/>
  <c r="F11" i="25"/>
  <c r="E11" i="25"/>
  <c r="W10" i="25"/>
  <c r="U10" i="25"/>
  <c r="T10" i="25"/>
  <c r="S10" i="25"/>
  <c r="Q10" i="25"/>
  <c r="P10" i="25"/>
  <c r="O10" i="25"/>
  <c r="M10" i="25"/>
  <c r="L10" i="25"/>
  <c r="K10" i="25"/>
  <c r="I10" i="25"/>
  <c r="H10" i="25"/>
  <c r="F10" i="25"/>
  <c r="E10" i="25"/>
  <c r="W9" i="25"/>
  <c r="U9" i="25"/>
  <c r="T9" i="25"/>
  <c r="S9" i="25"/>
  <c r="Q9" i="25"/>
  <c r="P9" i="25"/>
  <c r="O9" i="25"/>
  <c r="M9" i="25"/>
  <c r="L9" i="25"/>
  <c r="K9" i="25"/>
  <c r="I9" i="25"/>
  <c r="H9" i="25"/>
  <c r="F9" i="25"/>
  <c r="E9" i="25"/>
  <c r="W8" i="25"/>
  <c r="U8" i="25"/>
  <c r="T8" i="25"/>
  <c r="S8" i="25"/>
  <c r="Q8" i="25"/>
  <c r="P8" i="25"/>
  <c r="O8" i="25"/>
  <c r="M8" i="25"/>
  <c r="L8" i="25"/>
  <c r="K8" i="25"/>
  <c r="I8" i="25"/>
  <c r="H8" i="25"/>
  <c r="F8" i="25"/>
  <c r="E8" i="25"/>
  <c r="O28" i="26"/>
  <c r="N28" i="26"/>
  <c r="L28" i="26"/>
  <c r="K28" i="26"/>
  <c r="I28" i="26"/>
  <c r="H28" i="26"/>
  <c r="F28" i="26"/>
  <c r="E28" i="26"/>
  <c r="O27" i="26"/>
  <c r="N27" i="26"/>
  <c r="L27" i="26"/>
  <c r="K27" i="26"/>
  <c r="I27" i="26"/>
  <c r="H27" i="26"/>
  <c r="F27" i="26"/>
  <c r="E27" i="26"/>
  <c r="O26" i="26"/>
  <c r="N26" i="26"/>
  <c r="L26" i="26"/>
  <c r="K26" i="26"/>
  <c r="I26" i="26"/>
  <c r="H26" i="26"/>
  <c r="F26" i="26"/>
  <c r="E26" i="26"/>
  <c r="O25" i="26"/>
  <c r="N25" i="26"/>
  <c r="L25" i="26"/>
  <c r="K25" i="26"/>
  <c r="I25" i="26"/>
  <c r="H25" i="26"/>
  <c r="F25" i="26"/>
  <c r="E25" i="26"/>
  <c r="O24" i="26"/>
  <c r="N24" i="26"/>
  <c r="L24" i="26"/>
  <c r="K24" i="26"/>
  <c r="I24" i="26"/>
  <c r="H24" i="26"/>
  <c r="F24" i="26"/>
  <c r="E24" i="26"/>
  <c r="O23" i="26"/>
  <c r="N23" i="26"/>
  <c r="L23" i="26"/>
  <c r="K23" i="26"/>
  <c r="I23" i="26"/>
  <c r="H23" i="26"/>
  <c r="F23" i="26"/>
  <c r="E23" i="26"/>
  <c r="O22" i="26"/>
  <c r="N22" i="26"/>
  <c r="L22" i="26"/>
  <c r="K22" i="26"/>
  <c r="I22" i="26"/>
  <c r="H22" i="26"/>
  <c r="F22" i="26"/>
  <c r="E22" i="26"/>
  <c r="O21" i="26"/>
  <c r="N21" i="26"/>
  <c r="L21" i="26"/>
  <c r="K21" i="26"/>
  <c r="I21" i="26"/>
  <c r="H21" i="26"/>
  <c r="F21" i="26"/>
  <c r="E21" i="26"/>
  <c r="O20" i="26"/>
  <c r="N20" i="26"/>
  <c r="L20" i="26"/>
  <c r="K20" i="26"/>
  <c r="I20" i="26"/>
  <c r="H20" i="26"/>
  <c r="F20" i="26"/>
  <c r="E20" i="26"/>
  <c r="O19" i="26"/>
  <c r="N19" i="26"/>
  <c r="L19" i="26"/>
  <c r="K19" i="26"/>
  <c r="I19" i="26"/>
  <c r="H19" i="26"/>
  <c r="F19" i="26"/>
  <c r="E19" i="26"/>
  <c r="O18" i="26"/>
  <c r="N18" i="26"/>
  <c r="L18" i="26"/>
  <c r="K18" i="26"/>
  <c r="I18" i="26"/>
  <c r="H18" i="26"/>
  <c r="F18" i="26"/>
  <c r="E18" i="26"/>
  <c r="O17" i="26"/>
  <c r="N17" i="26"/>
  <c r="L17" i="26"/>
  <c r="K17" i="26"/>
  <c r="I17" i="26"/>
  <c r="H17" i="26"/>
  <c r="F17" i="26"/>
  <c r="E17" i="26"/>
  <c r="O16" i="26"/>
  <c r="N16" i="26"/>
  <c r="L16" i="26"/>
  <c r="K16" i="26"/>
  <c r="I16" i="26"/>
  <c r="H16" i="26"/>
  <c r="F16" i="26"/>
  <c r="E16" i="26"/>
  <c r="O15" i="26"/>
  <c r="N15" i="26"/>
  <c r="L15" i="26"/>
  <c r="K15" i="26"/>
  <c r="I15" i="26"/>
  <c r="H15" i="26"/>
  <c r="F15" i="26"/>
  <c r="E15" i="26"/>
  <c r="O14" i="26"/>
  <c r="N14" i="26"/>
  <c r="L14" i="26"/>
  <c r="K14" i="26"/>
  <c r="I14" i="26"/>
  <c r="H14" i="26"/>
  <c r="F14" i="26"/>
  <c r="E14" i="26"/>
  <c r="O13" i="26"/>
  <c r="N13" i="26"/>
  <c r="L13" i="26"/>
  <c r="K13" i="26"/>
  <c r="I13" i="26"/>
  <c r="H13" i="26"/>
  <c r="F13" i="26"/>
  <c r="E13" i="26"/>
  <c r="O12" i="26"/>
  <c r="N12" i="26"/>
  <c r="L12" i="26"/>
  <c r="K12" i="26"/>
  <c r="I12" i="26"/>
  <c r="H12" i="26"/>
  <c r="F12" i="26"/>
  <c r="E12" i="26"/>
  <c r="O11" i="26"/>
  <c r="N11" i="26"/>
  <c r="L11" i="26"/>
  <c r="K11" i="26"/>
  <c r="I11" i="26"/>
  <c r="H11" i="26"/>
  <c r="F11" i="26"/>
  <c r="E11" i="26"/>
  <c r="O10" i="26"/>
  <c r="N10" i="26"/>
  <c r="L10" i="26"/>
  <c r="K10" i="26"/>
  <c r="I10" i="26"/>
  <c r="H10" i="26"/>
  <c r="F10" i="26"/>
  <c r="E10" i="26"/>
  <c r="O9" i="26"/>
  <c r="N9" i="26"/>
  <c r="L9" i="26"/>
  <c r="K9" i="26"/>
  <c r="I9" i="26"/>
  <c r="H9" i="26"/>
  <c r="F9" i="26"/>
  <c r="E9" i="26"/>
  <c r="O8" i="26"/>
  <c r="N8" i="26"/>
  <c r="L8" i="26"/>
  <c r="K8" i="26"/>
  <c r="I8" i="26"/>
  <c r="H8" i="26"/>
  <c r="F8" i="26"/>
  <c r="E8" i="26"/>
  <c r="U28" i="27"/>
  <c r="T28" i="27"/>
  <c r="R28" i="27"/>
  <c r="Q28" i="27"/>
  <c r="O28" i="27"/>
  <c r="N28" i="27"/>
  <c r="L28" i="27"/>
  <c r="K28" i="27"/>
  <c r="I28" i="27"/>
  <c r="H28" i="27"/>
  <c r="F28" i="27"/>
  <c r="E28" i="27"/>
  <c r="U27" i="27"/>
  <c r="T27" i="27"/>
  <c r="R27" i="27"/>
  <c r="Q27" i="27"/>
  <c r="O27" i="27"/>
  <c r="N27" i="27"/>
  <c r="L27" i="27"/>
  <c r="K27" i="27"/>
  <c r="I27" i="27"/>
  <c r="H27" i="27"/>
  <c r="F27" i="27"/>
  <c r="E27" i="27"/>
  <c r="U26" i="27"/>
  <c r="T26" i="27"/>
  <c r="R26" i="27"/>
  <c r="Q26" i="27"/>
  <c r="O26" i="27"/>
  <c r="N26" i="27"/>
  <c r="L26" i="27"/>
  <c r="K26" i="27"/>
  <c r="I26" i="27"/>
  <c r="H26" i="27"/>
  <c r="F26" i="27"/>
  <c r="E26" i="27"/>
  <c r="U25" i="27"/>
  <c r="T25" i="27"/>
  <c r="R25" i="27"/>
  <c r="Q25" i="27"/>
  <c r="O25" i="27"/>
  <c r="N25" i="27"/>
  <c r="L25" i="27"/>
  <c r="K25" i="27"/>
  <c r="I25" i="27"/>
  <c r="H25" i="27"/>
  <c r="F25" i="27"/>
  <c r="E25" i="27"/>
  <c r="U24" i="27"/>
  <c r="T24" i="27"/>
  <c r="R24" i="27"/>
  <c r="Q24" i="27"/>
  <c r="O24" i="27"/>
  <c r="N24" i="27"/>
  <c r="L24" i="27"/>
  <c r="K24" i="27"/>
  <c r="I24" i="27"/>
  <c r="H24" i="27"/>
  <c r="F24" i="27"/>
  <c r="E24" i="27"/>
  <c r="U23" i="27"/>
  <c r="T23" i="27"/>
  <c r="R23" i="27"/>
  <c r="Q23" i="27"/>
  <c r="O23" i="27"/>
  <c r="N23" i="27"/>
  <c r="L23" i="27"/>
  <c r="K23" i="27"/>
  <c r="I23" i="27"/>
  <c r="H23" i="27"/>
  <c r="F23" i="27"/>
  <c r="E23" i="27"/>
  <c r="U22" i="27"/>
  <c r="T22" i="27"/>
  <c r="R22" i="27"/>
  <c r="Q22" i="27"/>
  <c r="O22" i="27"/>
  <c r="N22" i="27"/>
  <c r="L22" i="27"/>
  <c r="K22" i="27"/>
  <c r="I22" i="27"/>
  <c r="H22" i="27"/>
  <c r="F22" i="27"/>
  <c r="E22" i="27"/>
  <c r="U21" i="27"/>
  <c r="T21" i="27"/>
  <c r="R21" i="27"/>
  <c r="Q21" i="27"/>
  <c r="O21" i="27"/>
  <c r="N21" i="27"/>
  <c r="L21" i="27"/>
  <c r="K21" i="27"/>
  <c r="I21" i="27"/>
  <c r="H21" i="27"/>
  <c r="F21" i="27"/>
  <c r="E21" i="27"/>
  <c r="U20" i="27"/>
  <c r="T20" i="27"/>
  <c r="R20" i="27"/>
  <c r="Q20" i="27"/>
  <c r="O20" i="27"/>
  <c r="N20" i="27"/>
  <c r="L20" i="27"/>
  <c r="K20" i="27"/>
  <c r="I20" i="27"/>
  <c r="H20" i="27"/>
  <c r="F20" i="27"/>
  <c r="E20" i="27"/>
  <c r="U19" i="27"/>
  <c r="T19" i="27"/>
  <c r="R19" i="27"/>
  <c r="Q19" i="27"/>
  <c r="O19" i="27"/>
  <c r="N19" i="27"/>
  <c r="L19" i="27"/>
  <c r="K19" i="27"/>
  <c r="I19" i="27"/>
  <c r="H19" i="27"/>
  <c r="F19" i="27"/>
  <c r="E19" i="27"/>
  <c r="U18" i="27"/>
  <c r="T18" i="27"/>
  <c r="R18" i="27"/>
  <c r="Q18" i="27"/>
  <c r="O18" i="27"/>
  <c r="N18" i="27"/>
  <c r="L18" i="27"/>
  <c r="K18" i="27"/>
  <c r="I18" i="27"/>
  <c r="H18" i="27"/>
  <c r="F18" i="27"/>
  <c r="E18" i="27"/>
  <c r="U17" i="27"/>
  <c r="T17" i="27"/>
  <c r="R17" i="27"/>
  <c r="Q17" i="27"/>
  <c r="O17" i="27"/>
  <c r="N17" i="27"/>
  <c r="L17" i="27"/>
  <c r="K17" i="27"/>
  <c r="I17" i="27"/>
  <c r="H17" i="27"/>
  <c r="F17" i="27"/>
  <c r="E17" i="27"/>
  <c r="U16" i="27"/>
  <c r="T16" i="27"/>
  <c r="R16" i="27"/>
  <c r="Q16" i="27"/>
  <c r="O16" i="27"/>
  <c r="N16" i="27"/>
  <c r="L16" i="27"/>
  <c r="K16" i="27"/>
  <c r="I16" i="27"/>
  <c r="H16" i="27"/>
  <c r="F16" i="27"/>
  <c r="E16" i="27"/>
  <c r="U15" i="27"/>
  <c r="T15" i="27"/>
  <c r="R15" i="27"/>
  <c r="Q15" i="27"/>
  <c r="O15" i="27"/>
  <c r="N15" i="27"/>
  <c r="L15" i="27"/>
  <c r="K15" i="27"/>
  <c r="I15" i="27"/>
  <c r="H15" i="27"/>
  <c r="F15" i="27"/>
  <c r="E15" i="27"/>
  <c r="U14" i="27"/>
  <c r="T14" i="27"/>
  <c r="R14" i="27"/>
  <c r="Q14" i="27"/>
  <c r="O14" i="27"/>
  <c r="N14" i="27"/>
  <c r="L14" i="27"/>
  <c r="K14" i="27"/>
  <c r="I14" i="27"/>
  <c r="H14" i="27"/>
  <c r="F14" i="27"/>
  <c r="E14" i="27"/>
  <c r="U13" i="27"/>
  <c r="T13" i="27"/>
  <c r="R13" i="27"/>
  <c r="Q13" i="27"/>
  <c r="O13" i="27"/>
  <c r="N13" i="27"/>
  <c r="L13" i="27"/>
  <c r="K13" i="27"/>
  <c r="I13" i="27"/>
  <c r="H13" i="27"/>
  <c r="F13" i="27"/>
  <c r="E13" i="27"/>
  <c r="U12" i="27"/>
  <c r="T12" i="27"/>
  <c r="R12" i="27"/>
  <c r="Q12" i="27"/>
  <c r="O12" i="27"/>
  <c r="N12" i="27"/>
  <c r="L12" i="27"/>
  <c r="K12" i="27"/>
  <c r="I12" i="27"/>
  <c r="H12" i="27"/>
  <c r="F12" i="27"/>
  <c r="E12" i="27"/>
  <c r="U11" i="27"/>
  <c r="T11" i="27"/>
  <c r="R11" i="27"/>
  <c r="Q11" i="27"/>
  <c r="O11" i="27"/>
  <c r="N11" i="27"/>
  <c r="L11" i="27"/>
  <c r="K11" i="27"/>
  <c r="I11" i="27"/>
  <c r="H11" i="27"/>
  <c r="F11" i="27"/>
  <c r="E11" i="27"/>
  <c r="U10" i="27"/>
  <c r="T10" i="27"/>
  <c r="R10" i="27"/>
  <c r="Q10" i="27"/>
  <c r="O10" i="27"/>
  <c r="N10" i="27"/>
  <c r="L10" i="27"/>
  <c r="K10" i="27"/>
  <c r="I10" i="27"/>
  <c r="H10" i="27"/>
  <c r="F10" i="27"/>
  <c r="E10" i="27"/>
  <c r="U9" i="27"/>
  <c r="T9" i="27"/>
  <c r="R9" i="27"/>
  <c r="Q9" i="27"/>
  <c r="O9" i="27"/>
  <c r="N9" i="27"/>
  <c r="L9" i="27"/>
  <c r="K9" i="27"/>
  <c r="I9" i="27"/>
  <c r="H9" i="27"/>
  <c r="F9" i="27"/>
  <c r="E9" i="27"/>
  <c r="U8" i="27"/>
  <c r="T8" i="27"/>
  <c r="R8" i="27"/>
  <c r="Q8" i="27"/>
  <c r="O8" i="27"/>
  <c r="N8" i="27"/>
  <c r="L8" i="27"/>
  <c r="K8" i="27"/>
  <c r="I8" i="27"/>
  <c r="H8" i="27"/>
  <c r="F8" i="27"/>
  <c r="E8" i="27"/>
  <c r="U28" i="28"/>
  <c r="T28" i="28"/>
  <c r="R28" i="28"/>
  <c r="Q28" i="28"/>
  <c r="O28" i="28"/>
  <c r="N28" i="28"/>
  <c r="L28" i="28"/>
  <c r="K28" i="28"/>
  <c r="I28" i="28"/>
  <c r="H28" i="28"/>
  <c r="F28" i="28"/>
  <c r="E28" i="28"/>
  <c r="U27" i="28"/>
  <c r="T27" i="28"/>
  <c r="R27" i="28"/>
  <c r="Q27" i="28"/>
  <c r="O27" i="28"/>
  <c r="N27" i="28"/>
  <c r="L27" i="28"/>
  <c r="K27" i="28"/>
  <c r="I27" i="28"/>
  <c r="H27" i="28"/>
  <c r="F27" i="28"/>
  <c r="E27" i="28"/>
  <c r="U26" i="28"/>
  <c r="T26" i="28"/>
  <c r="R26" i="28"/>
  <c r="Q26" i="28"/>
  <c r="O26" i="28"/>
  <c r="N26" i="28"/>
  <c r="L26" i="28"/>
  <c r="K26" i="28"/>
  <c r="I26" i="28"/>
  <c r="H26" i="28"/>
  <c r="F26" i="28"/>
  <c r="E26" i="28"/>
  <c r="U25" i="28"/>
  <c r="T25" i="28"/>
  <c r="R25" i="28"/>
  <c r="Q25" i="28"/>
  <c r="O25" i="28"/>
  <c r="N25" i="28"/>
  <c r="L25" i="28"/>
  <c r="K25" i="28"/>
  <c r="I25" i="28"/>
  <c r="H25" i="28"/>
  <c r="F25" i="28"/>
  <c r="E25" i="28"/>
  <c r="U24" i="28"/>
  <c r="T24" i="28"/>
  <c r="R24" i="28"/>
  <c r="Q24" i="28"/>
  <c r="O24" i="28"/>
  <c r="N24" i="28"/>
  <c r="L24" i="28"/>
  <c r="K24" i="28"/>
  <c r="I24" i="28"/>
  <c r="H24" i="28"/>
  <c r="F24" i="28"/>
  <c r="E24" i="28"/>
  <c r="U23" i="28"/>
  <c r="T23" i="28"/>
  <c r="R23" i="28"/>
  <c r="Q23" i="28"/>
  <c r="O23" i="28"/>
  <c r="N23" i="28"/>
  <c r="L23" i="28"/>
  <c r="K23" i="28"/>
  <c r="I23" i="28"/>
  <c r="H23" i="28"/>
  <c r="F23" i="28"/>
  <c r="E23" i="28"/>
  <c r="U22" i="28"/>
  <c r="T22" i="28"/>
  <c r="R22" i="28"/>
  <c r="Q22" i="28"/>
  <c r="O22" i="28"/>
  <c r="N22" i="28"/>
  <c r="L22" i="28"/>
  <c r="K22" i="28"/>
  <c r="I22" i="28"/>
  <c r="H22" i="28"/>
  <c r="F22" i="28"/>
  <c r="E22" i="28"/>
  <c r="U21" i="28"/>
  <c r="T21" i="28"/>
  <c r="R21" i="28"/>
  <c r="Q21" i="28"/>
  <c r="O21" i="28"/>
  <c r="N21" i="28"/>
  <c r="L21" i="28"/>
  <c r="K21" i="28"/>
  <c r="I21" i="28"/>
  <c r="H21" i="28"/>
  <c r="F21" i="28"/>
  <c r="E21" i="28"/>
  <c r="U20" i="28"/>
  <c r="T20" i="28"/>
  <c r="R20" i="28"/>
  <c r="Q20" i="28"/>
  <c r="O20" i="28"/>
  <c r="N20" i="28"/>
  <c r="L20" i="28"/>
  <c r="K20" i="28"/>
  <c r="I20" i="28"/>
  <c r="H20" i="28"/>
  <c r="F20" i="28"/>
  <c r="E20" i="28"/>
  <c r="U19" i="28"/>
  <c r="T19" i="28"/>
  <c r="R19" i="28"/>
  <c r="Q19" i="28"/>
  <c r="O19" i="28"/>
  <c r="N19" i="28"/>
  <c r="L19" i="28"/>
  <c r="K19" i="28"/>
  <c r="I19" i="28"/>
  <c r="H19" i="28"/>
  <c r="F19" i="28"/>
  <c r="E19" i="28"/>
  <c r="U18" i="28"/>
  <c r="T18" i="28"/>
  <c r="R18" i="28"/>
  <c r="Q18" i="28"/>
  <c r="O18" i="28"/>
  <c r="N18" i="28"/>
  <c r="L18" i="28"/>
  <c r="K18" i="28"/>
  <c r="I18" i="28"/>
  <c r="H18" i="28"/>
  <c r="F18" i="28"/>
  <c r="E18" i="28"/>
  <c r="U17" i="28"/>
  <c r="T17" i="28"/>
  <c r="R17" i="28"/>
  <c r="Q17" i="28"/>
  <c r="O17" i="28"/>
  <c r="N17" i="28"/>
  <c r="L17" i="28"/>
  <c r="K17" i="28"/>
  <c r="I17" i="28"/>
  <c r="H17" i="28"/>
  <c r="F17" i="28"/>
  <c r="E17" i="28"/>
  <c r="U16" i="28"/>
  <c r="T16" i="28"/>
  <c r="R16" i="28"/>
  <c r="Q16" i="28"/>
  <c r="O16" i="28"/>
  <c r="N16" i="28"/>
  <c r="L16" i="28"/>
  <c r="K16" i="28"/>
  <c r="I16" i="28"/>
  <c r="H16" i="28"/>
  <c r="F16" i="28"/>
  <c r="E16" i="28"/>
  <c r="U15" i="28"/>
  <c r="T15" i="28"/>
  <c r="R15" i="28"/>
  <c r="Q15" i="28"/>
  <c r="O15" i="28"/>
  <c r="N15" i="28"/>
  <c r="L15" i="28"/>
  <c r="K15" i="28"/>
  <c r="I15" i="28"/>
  <c r="H15" i="28"/>
  <c r="F15" i="28"/>
  <c r="E15" i="28"/>
  <c r="U14" i="28"/>
  <c r="T14" i="28"/>
  <c r="R14" i="28"/>
  <c r="Q14" i="28"/>
  <c r="O14" i="28"/>
  <c r="N14" i="28"/>
  <c r="L14" i="28"/>
  <c r="K14" i="28"/>
  <c r="I14" i="28"/>
  <c r="H14" i="28"/>
  <c r="F14" i="28"/>
  <c r="E14" i="28"/>
  <c r="U13" i="28"/>
  <c r="T13" i="28"/>
  <c r="R13" i="28"/>
  <c r="Q13" i="28"/>
  <c r="O13" i="28"/>
  <c r="N13" i="28"/>
  <c r="L13" i="28"/>
  <c r="K13" i="28"/>
  <c r="I13" i="28"/>
  <c r="H13" i="28"/>
  <c r="F13" i="28"/>
  <c r="E13" i="28"/>
  <c r="U12" i="28"/>
  <c r="T12" i="28"/>
  <c r="R12" i="28"/>
  <c r="Q12" i="28"/>
  <c r="O12" i="28"/>
  <c r="N12" i="28"/>
  <c r="L12" i="28"/>
  <c r="K12" i="28"/>
  <c r="I12" i="28"/>
  <c r="H12" i="28"/>
  <c r="F12" i="28"/>
  <c r="E12" i="28"/>
  <c r="U11" i="28"/>
  <c r="T11" i="28"/>
  <c r="R11" i="28"/>
  <c r="Q11" i="28"/>
  <c r="O11" i="28"/>
  <c r="N11" i="28"/>
  <c r="L11" i="28"/>
  <c r="K11" i="28"/>
  <c r="I11" i="28"/>
  <c r="H11" i="28"/>
  <c r="F11" i="28"/>
  <c r="E11" i="28"/>
  <c r="U10" i="28"/>
  <c r="T10" i="28"/>
  <c r="R10" i="28"/>
  <c r="Q10" i="28"/>
  <c r="O10" i="28"/>
  <c r="N10" i="28"/>
  <c r="L10" i="28"/>
  <c r="K10" i="28"/>
  <c r="I10" i="28"/>
  <c r="H10" i="28"/>
  <c r="F10" i="28"/>
  <c r="E10" i="28"/>
  <c r="U9" i="28"/>
  <c r="T9" i="28"/>
  <c r="R9" i="28"/>
  <c r="Q9" i="28"/>
  <c r="O9" i="28"/>
  <c r="N9" i="28"/>
  <c r="L9" i="28"/>
  <c r="K9" i="28"/>
  <c r="I9" i="28"/>
  <c r="H9" i="28"/>
  <c r="F9" i="28"/>
  <c r="E9" i="28"/>
  <c r="U8" i="28"/>
  <c r="T8" i="28"/>
  <c r="R8" i="28"/>
  <c r="Q8" i="28"/>
  <c r="O8" i="28"/>
  <c r="N8" i="28"/>
  <c r="L8" i="28"/>
  <c r="K8" i="28"/>
  <c r="I8" i="28"/>
  <c r="H8" i="28"/>
  <c r="F8" i="28"/>
  <c r="E8" i="28"/>
  <c r="AD27" i="2"/>
  <c r="AC27" i="2"/>
  <c r="AB27" i="2"/>
  <c r="AA27" i="2"/>
  <c r="Z27" i="2"/>
  <c r="Y27" i="2"/>
  <c r="AD26" i="2"/>
  <c r="AC26" i="2"/>
  <c r="AB26" i="2"/>
  <c r="AA26" i="2"/>
  <c r="Z26" i="2"/>
  <c r="Y26" i="2"/>
  <c r="AD25" i="2"/>
  <c r="AC25" i="2"/>
  <c r="AB25" i="2"/>
  <c r="AA25" i="2"/>
  <c r="Z25" i="2"/>
  <c r="Y25" i="2"/>
  <c r="AD24" i="2"/>
  <c r="AC24" i="2"/>
  <c r="AB24" i="2"/>
  <c r="AA24" i="2"/>
  <c r="Z24" i="2"/>
  <c r="Y24" i="2"/>
  <c r="AD23" i="2"/>
  <c r="AC23" i="2"/>
  <c r="AB23" i="2"/>
  <c r="AA23" i="2"/>
  <c r="Z23" i="2"/>
  <c r="Y23" i="2"/>
  <c r="AD22" i="2"/>
  <c r="AC22" i="2"/>
  <c r="AB22" i="2"/>
  <c r="AA22" i="2"/>
  <c r="Z22" i="2"/>
  <c r="Y22" i="2"/>
  <c r="AD21" i="2"/>
  <c r="AC21" i="2"/>
  <c r="AB21" i="2"/>
  <c r="AA21" i="2"/>
  <c r="Z21" i="2"/>
  <c r="Y21" i="2"/>
  <c r="AD20" i="2"/>
  <c r="AC20" i="2"/>
  <c r="AB20" i="2"/>
  <c r="AA20" i="2"/>
  <c r="Z20" i="2"/>
  <c r="Y20" i="2"/>
  <c r="AD19" i="2"/>
  <c r="AC19" i="2"/>
  <c r="AB19" i="2"/>
  <c r="AA19" i="2"/>
  <c r="Z19" i="2"/>
  <c r="Y19" i="2"/>
  <c r="AD18" i="2"/>
  <c r="AC18" i="2"/>
  <c r="AB18" i="2"/>
  <c r="AA18" i="2"/>
  <c r="Z18" i="2"/>
  <c r="Y18" i="2"/>
  <c r="AD17" i="2"/>
  <c r="AC17" i="2"/>
  <c r="AB17" i="2"/>
  <c r="AA17" i="2"/>
  <c r="Z17" i="2"/>
  <c r="Y17" i="2"/>
  <c r="AD16" i="2"/>
  <c r="AC16" i="2"/>
  <c r="AB16" i="2"/>
  <c r="AA16" i="2"/>
  <c r="Z16" i="2"/>
  <c r="Y16" i="2"/>
  <c r="AD15" i="2"/>
  <c r="AC15" i="2"/>
  <c r="AB15" i="2"/>
  <c r="AA15" i="2"/>
  <c r="Z15" i="2"/>
  <c r="Y15" i="2"/>
  <c r="AD14" i="2"/>
  <c r="AC14" i="2"/>
  <c r="AB14" i="2"/>
  <c r="AA14" i="2"/>
  <c r="Z14" i="2"/>
  <c r="Y14" i="2"/>
  <c r="AD13" i="2"/>
  <c r="AC13" i="2"/>
  <c r="AB13" i="2"/>
  <c r="AA13" i="2"/>
  <c r="Z13" i="2"/>
  <c r="Y13" i="2"/>
  <c r="AD12" i="2"/>
  <c r="AC12" i="2"/>
  <c r="AB12" i="2"/>
  <c r="AA12" i="2"/>
  <c r="Z12" i="2"/>
  <c r="Y12" i="2"/>
  <c r="AD11" i="2"/>
  <c r="AC11" i="2"/>
  <c r="AB11" i="2"/>
  <c r="AA11" i="2"/>
  <c r="Z11" i="2"/>
  <c r="Y11" i="2"/>
  <c r="AD10" i="2"/>
  <c r="AC10" i="2"/>
  <c r="AB10" i="2"/>
  <c r="AA10" i="2"/>
  <c r="Z10" i="2"/>
  <c r="Y10" i="2"/>
  <c r="AD9" i="2"/>
  <c r="AC9" i="2"/>
  <c r="AB9" i="2"/>
  <c r="AA9" i="2"/>
  <c r="Z9" i="2"/>
  <c r="Y9" i="2"/>
  <c r="AD8" i="2"/>
  <c r="AC8" i="2"/>
  <c r="AB8" i="2"/>
  <c r="AA8" i="2"/>
  <c r="Z8" i="2"/>
  <c r="Y8" i="2"/>
  <c r="AD7" i="2"/>
  <c r="AC7" i="2"/>
  <c r="AB7" i="2"/>
  <c r="AA7" i="2"/>
  <c r="Z7" i="2"/>
  <c r="Y7" i="2"/>
  <c r="M38" i="1"/>
  <c r="J38" i="1"/>
  <c r="H38" i="1"/>
  <c r="E38" i="1"/>
  <c r="M27" i="1"/>
  <c r="J27" i="1"/>
  <c r="H27" i="1"/>
  <c r="E27" i="1"/>
  <c r="M26" i="1"/>
  <c r="K26" i="1"/>
  <c r="J26" i="1"/>
  <c r="H26" i="1"/>
  <c r="F26" i="1"/>
  <c r="E26" i="1"/>
  <c r="M25" i="1"/>
  <c r="K25" i="1"/>
  <c r="J25" i="1"/>
  <c r="H25" i="1"/>
  <c r="F25" i="1"/>
  <c r="E25" i="1"/>
  <c r="M17" i="1"/>
  <c r="K17" i="1"/>
  <c r="J17" i="1"/>
  <c r="H17" i="1"/>
  <c r="F17" i="1"/>
  <c r="E17" i="1"/>
  <c r="M16" i="1"/>
  <c r="K16" i="1"/>
  <c r="J16" i="1"/>
  <c r="H16" i="1"/>
  <c r="F16" i="1"/>
  <c r="E16" i="1"/>
  <c r="M15" i="1"/>
  <c r="K15" i="1"/>
  <c r="J15" i="1"/>
  <c r="H15" i="1"/>
  <c r="F15" i="1"/>
  <c r="E15" i="1"/>
  <c r="M12" i="1"/>
  <c r="K12" i="1"/>
  <c r="J12" i="1"/>
  <c r="H12" i="1"/>
  <c r="F12" i="1"/>
  <c r="E12" i="1"/>
  <c r="M11" i="1"/>
  <c r="K11" i="1"/>
  <c r="J11" i="1"/>
  <c r="H11" i="1"/>
  <c r="F11" i="1"/>
  <c r="E11" i="1"/>
  <c r="M10" i="1"/>
  <c r="K10" i="1"/>
  <c r="J10" i="1"/>
  <c r="H10" i="1"/>
  <c r="F10" i="1"/>
  <c r="E10" i="1"/>
  <c r="M9" i="1"/>
  <c r="J9" i="1"/>
  <c r="H9" i="1"/>
  <c r="E9" i="1"/>
  <c r="M8" i="1"/>
  <c r="J8" i="1"/>
  <c r="H8" i="1"/>
  <c r="E8" i="1"/>
  <c r="M7" i="1"/>
  <c r="J7" i="1"/>
  <c r="H7" i="1"/>
  <c r="E7" i="1"/>
  <c r="V28" i="1"/>
  <c r="V27" i="1"/>
  <c r="V20" i="1"/>
  <c r="T20" i="1"/>
  <c r="S20" i="1"/>
  <c r="V19" i="1"/>
  <c r="T19" i="1"/>
  <c r="S19" i="1"/>
  <c r="V18" i="1"/>
  <c r="T18" i="1"/>
  <c r="S18" i="1"/>
  <c r="V17" i="1"/>
  <c r="T17" i="1"/>
  <c r="S17" i="1"/>
  <c r="V16" i="1"/>
  <c r="T16" i="1"/>
  <c r="S16" i="1"/>
  <c r="V15" i="1"/>
  <c r="T15" i="1"/>
  <c r="S15" i="1"/>
  <c r="V14" i="1"/>
  <c r="T14" i="1"/>
  <c r="S14" i="1"/>
  <c r="V13" i="1"/>
  <c r="T13" i="1"/>
  <c r="S13" i="1"/>
  <c r="V11" i="1"/>
  <c r="T11" i="1"/>
  <c r="S11" i="1"/>
  <c r="V10" i="1"/>
  <c r="T10" i="1"/>
  <c r="S10" i="1"/>
  <c r="V9" i="1"/>
  <c r="T9" i="1"/>
  <c r="S9" i="1"/>
  <c r="AX39" i="33"/>
  <c r="AX38" i="33"/>
  <c r="AX37" i="33"/>
  <c r="AX36" i="33"/>
  <c r="AX35" i="33"/>
  <c r="AO32" i="33"/>
  <c r="AL32" i="33"/>
  <c r="AO31" i="33"/>
  <c r="AL31" i="33"/>
  <c r="AO30" i="33"/>
  <c r="AL30" i="33"/>
  <c r="AO29" i="33"/>
  <c r="AL29" i="33"/>
  <c r="AO28" i="33"/>
  <c r="AL28" i="33"/>
  <c r="AO27" i="33"/>
  <c r="AL27" i="33"/>
  <c r="Q26" i="33"/>
  <c r="Q25" i="33"/>
  <c r="Q24" i="33"/>
  <c r="Q23" i="33"/>
  <c r="Q22" i="33"/>
  <c r="Q21" i="33"/>
  <c r="Q19" i="33"/>
  <c r="Q18" i="33"/>
  <c r="Q15" i="33"/>
  <c r="Q13" i="33"/>
  <c r="Q10" i="33"/>
  <c r="Q8" i="33"/>
  <c r="H18" i="1" l="1"/>
  <c r="H28" i="1"/>
  <c r="J18" i="1"/>
  <c r="K18" i="1"/>
  <c r="E18" i="1"/>
  <c r="M18" i="1"/>
  <c r="M13" i="1"/>
  <c r="J28" i="1"/>
  <c r="E28" i="1"/>
  <c r="H13" i="1"/>
  <c r="F18" i="1"/>
  <c r="F13" i="1"/>
  <c r="K13" i="1"/>
  <c r="J13" i="1"/>
  <c r="M28" i="1"/>
  <c r="E13" i="1"/>
  <c r="AN19" i="30" l="1"/>
  <c r="AN19" i="33" s="1"/>
  <c r="AN18" i="30"/>
  <c r="AN18" i="33" s="1"/>
  <c r="AK19" i="30"/>
  <c r="AK19" i="33" s="1"/>
  <c r="AK18" i="30"/>
  <c r="AK18" i="33" s="1"/>
  <c r="BF17" i="33" l="1"/>
  <c r="BE17" i="33" l="1"/>
  <c r="BD17" i="33" l="1"/>
  <c r="BG17" i="33" s="1"/>
  <c r="AG41" i="33" l="1"/>
  <c r="O41" i="33"/>
  <c r="AG40" i="33"/>
  <c r="O40" i="33"/>
  <c r="AG39" i="33"/>
  <c r="O39" i="33"/>
  <c r="AG38" i="33"/>
  <c r="O38" i="33"/>
  <c r="AG37" i="33"/>
  <c r="O37" i="33"/>
  <c r="AG36" i="33"/>
  <c r="O36" i="33"/>
  <c r="AG35" i="33"/>
  <c r="O35" i="33"/>
  <c r="AN32" i="33"/>
  <c r="AK32" i="33"/>
  <c r="AH32" i="33"/>
  <c r="AB32" i="33"/>
  <c r="Y32" i="33"/>
  <c r="V32" i="33"/>
  <c r="J32" i="33"/>
  <c r="G32" i="33"/>
  <c r="AN31" i="33"/>
  <c r="AK31" i="33"/>
  <c r="AH31" i="33"/>
  <c r="AB31" i="33"/>
  <c r="Y31" i="33"/>
  <c r="V31" i="33"/>
  <c r="J31" i="33"/>
  <c r="G31" i="33"/>
  <c r="AN30" i="33"/>
  <c r="AK30" i="33"/>
  <c r="AH30" i="33"/>
  <c r="AB30" i="33"/>
  <c r="Y30" i="33"/>
  <c r="V30" i="33"/>
  <c r="J30" i="33"/>
  <c r="G30" i="33"/>
  <c r="AN29" i="33"/>
  <c r="AK29" i="33"/>
  <c r="AH29" i="33"/>
  <c r="AB29" i="33"/>
  <c r="Y29" i="33"/>
  <c r="V29" i="33"/>
  <c r="J29" i="33"/>
  <c r="G29" i="33"/>
  <c r="AN28" i="33"/>
  <c r="AK28" i="33"/>
  <c r="AH28" i="33"/>
  <c r="AB28" i="33"/>
  <c r="Y28" i="33"/>
  <c r="V28" i="33"/>
  <c r="J28" i="33"/>
  <c r="G28" i="33"/>
  <c r="AN27" i="33"/>
  <c r="AP27" i="33" s="1"/>
  <c r="AK27" i="33"/>
  <c r="AH27" i="33"/>
  <c r="AB27" i="33"/>
  <c r="Y27" i="33"/>
  <c r="V27" i="33"/>
  <c r="J27" i="33"/>
  <c r="G27" i="33"/>
  <c r="R26" i="33"/>
  <c r="R25" i="33"/>
  <c r="R24" i="33"/>
  <c r="Q29" i="33"/>
  <c r="R29" i="33" s="1"/>
  <c r="Q28" i="33"/>
  <c r="R28" i="33" s="1"/>
  <c r="R21" i="33"/>
  <c r="R15" i="33"/>
  <c r="AE14" i="33"/>
  <c r="R13" i="33"/>
  <c r="AR39" i="33"/>
  <c r="AK13" i="30"/>
  <c r="AK13" i="33" s="1"/>
  <c r="AM27" i="33" l="1"/>
  <c r="Q17" i="33"/>
  <c r="R17" i="33" s="1"/>
  <c r="AO41" i="33"/>
  <c r="R22" i="33"/>
  <c r="AR37" i="33"/>
  <c r="AM30" i="33"/>
  <c r="AR36" i="33"/>
  <c r="AR38" i="33"/>
  <c r="AP31" i="33"/>
  <c r="AM28" i="33"/>
  <c r="Q27" i="33"/>
  <c r="R27" i="33" s="1"/>
  <c r="AR40" i="33"/>
  <c r="Q31" i="33"/>
  <c r="R31" i="33" s="1"/>
  <c r="AK20" i="33"/>
  <c r="AM29" i="33"/>
  <c r="AP29" i="33"/>
  <c r="AM31" i="33"/>
  <c r="AP28" i="33"/>
  <c r="Q12" i="33"/>
  <c r="Q11" i="33" s="1"/>
  <c r="R11" i="33" s="1"/>
  <c r="R8" i="33"/>
  <c r="AP30" i="33"/>
  <c r="AM32" i="33"/>
  <c r="AR35" i="33"/>
  <c r="AL41" i="33"/>
  <c r="Q32" i="33"/>
  <c r="R32" i="33" s="1"/>
  <c r="Q14" i="33"/>
  <c r="R14" i="33" s="1"/>
  <c r="R10" i="33"/>
  <c r="Q16" i="33"/>
  <c r="R16" i="33" s="1"/>
  <c r="AP32" i="33"/>
  <c r="R23" i="33"/>
  <c r="Q30" i="33"/>
  <c r="R30" i="33" s="1"/>
  <c r="R12" i="33" l="1"/>
  <c r="Q9" i="33"/>
  <c r="R9" i="33" s="1"/>
  <c r="AR41" i="33"/>
  <c r="AO20" i="33" l="1"/>
  <c r="AO12" i="33" l="1"/>
  <c r="AO9" i="33" s="1"/>
  <c r="AO42" i="33"/>
  <c r="AO17" i="33"/>
  <c r="AO14" i="33"/>
  <c r="AO16" i="33"/>
  <c r="AO11" i="33"/>
  <c r="AR13" i="33" l="1"/>
  <c r="AM13" i="33"/>
  <c r="AL42" i="33"/>
  <c r="AR42" i="33" l="1"/>
  <c r="R19" i="33" l="1"/>
  <c r="Q20" i="33" l="1"/>
  <c r="R20" i="33" s="1"/>
  <c r="R18" i="33"/>
  <c r="AS37" i="29" l="1"/>
  <c r="AP39" i="29" l="1"/>
  <c r="AO39" i="29"/>
  <c r="AN39" i="29"/>
  <c r="AM39" i="29"/>
  <c r="AL39" i="29"/>
  <c r="AK39" i="29"/>
  <c r="AJ39" i="29"/>
  <c r="AI39" i="29"/>
  <c r="AH39" i="29"/>
  <c r="AG39" i="29"/>
  <c r="AF39" i="29"/>
  <c r="AE39" i="29"/>
  <c r="K41" i="33" l="1"/>
  <c r="AC41" i="33"/>
  <c r="AR8" i="33"/>
  <c r="AL12" i="33"/>
  <c r="AL9" i="33" s="1"/>
  <c r="AL14" i="33"/>
  <c r="AR10" i="33"/>
  <c r="W35" i="33"/>
  <c r="AL14" i="30"/>
  <c r="H41" i="30"/>
  <c r="T69" i="31" l="1"/>
  <c r="T66" i="2"/>
  <c r="AR12" i="33"/>
  <c r="AR9" i="33"/>
  <c r="AR14" i="33"/>
  <c r="AR24" i="33"/>
  <c r="AR19" i="33"/>
  <c r="AM19" i="33"/>
  <c r="AL20" i="33"/>
  <c r="AM20" i="33" s="1"/>
  <c r="AR18" i="33"/>
  <c r="AM18" i="33"/>
  <c r="AR15" i="33"/>
  <c r="AL16" i="33"/>
  <c r="AL17" i="33"/>
  <c r="AL11" i="33"/>
  <c r="AR23" i="33"/>
  <c r="AR22" i="33"/>
  <c r="AR25" i="33"/>
  <c r="AR26" i="33"/>
  <c r="AR21" i="33"/>
  <c r="W39" i="33"/>
  <c r="W36" i="33"/>
  <c r="H41" i="33"/>
  <c r="W38" i="33"/>
  <c r="W37" i="33"/>
  <c r="W40" i="33"/>
  <c r="AI35" i="33"/>
  <c r="Z41" i="33"/>
  <c r="AI37" i="33"/>
  <c r="AI38" i="33"/>
  <c r="AI40" i="33"/>
  <c r="AI39" i="33"/>
  <c r="AI36" i="33"/>
  <c r="AU39" i="33" l="1"/>
  <c r="AR16" i="33"/>
  <c r="AR17" i="33"/>
  <c r="AR20" i="33"/>
  <c r="AR27" i="33"/>
  <c r="AR32" i="33"/>
  <c r="AR30" i="33"/>
  <c r="AR31" i="33"/>
  <c r="AR29" i="33"/>
  <c r="AR28" i="33"/>
  <c r="AR11" i="33"/>
  <c r="W41" i="33"/>
  <c r="AU38" i="33"/>
  <c r="AU37" i="33"/>
  <c r="AU36" i="33"/>
  <c r="AU40" i="33"/>
  <c r="AI41" i="33"/>
  <c r="AU35" i="33"/>
  <c r="AN40" i="30"/>
  <c r="AN40" i="33" s="1"/>
  <c r="AU41" i="33" l="1"/>
  <c r="AR37" i="29" l="1"/>
  <c r="M21" i="1" l="1"/>
  <c r="J21" i="1"/>
  <c r="J20" i="1" l="1"/>
  <c r="J32" i="1"/>
  <c r="M32" i="1"/>
  <c r="M29" i="1"/>
  <c r="M22" i="1"/>
  <c r="M33" i="1" s="1"/>
  <c r="J22" i="1"/>
  <c r="J33" i="1" s="1"/>
  <c r="M19" i="1"/>
  <c r="J29" i="1"/>
  <c r="M14" i="1"/>
  <c r="J30" i="1"/>
  <c r="J23" i="1"/>
  <c r="M23" i="1"/>
  <c r="M34" i="1" s="1"/>
  <c r="M20" i="1"/>
  <c r="J19" i="1"/>
  <c r="AG27" i="31"/>
  <c r="AG24" i="31"/>
  <c r="AG22" i="31"/>
  <c r="AG19" i="31"/>
  <c r="AG18" i="31"/>
  <c r="AG17" i="31"/>
  <c r="AG15" i="31"/>
  <c r="AG14" i="31"/>
  <c r="AG8" i="31"/>
  <c r="AG7" i="31"/>
  <c r="AG26" i="31"/>
  <c r="AG25" i="31"/>
  <c r="AG16" i="31"/>
  <c r="AG13" i="31"/>
  <c r="AG12" i="31"/>
  <c r="AG10" i="31"/>
  <c r="AG9" i="31"/>
  <c r="S62" i="31"/>
  <c r="S61" i="31"/>
  <c r="T60" i="31"/>
  <c r="S60" i="31"/>
  <c r="T59" i="31"/>
  <c r="S59" i="31"/>
  <c r="T53" i="31"/>
  <c r="T51" i="31"/>
  <c r="K41" i="31"/>
  <c r="J41" i="31"/>
  <c r="T62" i="31"/>
  <c r="N40" i="31"/>
  <c r="L40" i="31"/>
  <c r="G40" i="31"/>
  <c r="G39" i="31"/>
  <c r="T61" i="31"/>
  <c r="S38" i="31"/>
  <c r="Q38" i="31"/>
  <c r="M38" i="31"/>
  <c r="N38" i="31" s="1"/>
  <c r="G38" i="31"/>
  <c r="S37" i="31"/>
  <c r="Q37" i="31"/>
  <c r="N37" i="31"/>
  <c r="G37" i="31"/>
  <c r="S36" i="31"/>
  <c r="Q36" i="31"/>
  <c r="N36" i="31"/>
  <c r="G36" i="31"/>
  <c r="W41" i="31"/>
  <c r="S35" i="31"/>
  <c r="Q35" i="31"/>
  <c r="N35" i="31"/>
  <c r="L35" i="31"/>
  <c r="G35" i="31"/>
  <c r="N34" i="31"/>
  <c r="L34" i="31"/>
  <c r="G34" i="31"/>
  <c r="T58" i="31"/>
  <c r="O41" i="31"/>
  <c r="N33" i="31"/>
  <c r="L33" i="31"/>
  <c r="G33" i="31"/>
  <c r="T32" i="31"/>
  <c r="G31" i="31"/>
  <c r="W32" i="31"/>
  <c r="R32" i="31"/>
  <c r="G30" i="31"/>
  <c r="O32" i="31"/>
  <c r="J32" i="31"/>
  <c r="G29" i="31"/>
  <c r="G26" i="31"/>
  <c r="G25" i="31"/>
  <c r="G24" i="31"/>
  <c r="AG23" i="31"/>
  <c r="G23" i="31"/>
  <c r="J26" i="31"/>
  <c r="G22" i="31"/>
  <c r="AG21" i="31"/>
  <c r="O26" i="31"/>
  <c r="G21" i="31"/>
  <c r="AG20" i="31"/>
  <c r="T26" i="31"/>
  <c r="G20" i="31"/>
  <c r="G19" i="31"/>
  <c r="G18" i="31"/>
  <c r="G17" i="31"/>
  <c r="G16" i="31"/>
  <c r="G15" i="31"/>
  <c r="G14" i="31"/>
  <c r="O25" i="31"/>
  <c r="G13" i="31"/>
  <c r="T25" i="31"/>
  <c r="G12" i="31"/>
  <c r="AG11" i="31"/>
  <c r="J25" i="31"/>
  <c r="G11" i="31"/>
  <c r="G10" i="31"/>
  <c r="G9" i="31"/>
  <c r="T24" i="31"/>
  <c r="G8" i="31"/>
  <c r="J24" i="31"/>
  <c r="G7" i="31"/>
  <c r="J57" i="31" l="1"/>
  <c r="T52" i="31"/>
  <c r="J58" i="31"/>
  <c r="J34" i="1"/>
  <c r="J35" i="1" s="1"/>
  <c r="J27" i="31"/>
  <c r="J47" i="31" s="1"/>
  <c r="W25" i="31"/>
  <c r="W24" i="31"/>
  <c r="R26" i="31"/>
  <c r="M25" i="31"/>
  <c r="M32" i="31"/>
  <c r="W26" i="31"/>
  <c r="R25" i="31"/>
  <c r="R41" i="31"/>
  <c r="M24" i="31"/>
  <c r="R24" i="31"/>
  <c r="M26" i="31"/>
  <c r="M30" i="1"/>
  <c r="M24" i="1"/>
  <c r="J24" i="1"/>
  <c r="J31" i="1"/>
  <c r="J14" i="1"/>
  <c r="T63" i="31"/>
  <c r="T27" i="31"/>
  <c r="L41" i="31"/>
  <c r="M41" i="31"/>
  <c r="N41" i="31" s="1"/>
  <c r="O24" i="31"/>
  <c r="O27" i="31" s="1"/>
  <c r="O43" i="31" s="1"/>
  <c r="O47" i="31" s="1"/>
  <c r="T41" i="31"/>
  <c r="G39" i="2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I36" i="29"/>
  <c r="F36" i="29"/>
  <c r="I25" i="29"/>
  <c r="N25" i="29" s="1"/>
  <c r="F25" i="29"/>
  <c r="K25" i="29" s="1"/>
  <c r="I24" i="29"/>
  <c r="N24" i="29" s="1"/>
  <c r="F24" i="29"/>
  <c r="K24" i="29" s="1"/>
  <c r="I16" i="29"/>
  <c r="N16" i="29" s="1"/>
  <c r="F16" i="29"/>
  <c r="K16" i="29" s="1"/>
  <c r="I15" i="29"/>
  <c r="N15" i="29" s="1"/>
  <c r="F15" i="29"/>
  <c r="K15" i="29" s="1"/>
  <c r="I13" i="29"/>
  <c r="N13" i="29" s="1"/>
  <c r="F13" i="29"/>
  <c r="K13" i="29" s="1"/>
  <c r="I12" i="29"/>
  <c r="N12" i="29" s="1"/>
  <c r="F12" i="29"/>
  <c r="K12" i="29" s="1"/>
  <c r="I10" i="29"/>
  <c r="N10" i="29" s="1"/>
  <c r="F10" i="29"/>
  <c r="K10" i="29" s="1"/>
  <c r="AK40" i="30"/>
  <c r="AB40" i="30"/>
  <c r="Y40" i="30"/>
  <c r="Y40" i="33" s="1"/>
  <c r="J40" i="30"/>
  <c r="G40" i="30"/>
  <c r="G40" i="33" s="1"/>
  <c r="AN39" i="30"/>
  <c r="AN39" i="33" s="1"/>
  <c r="AK39" i="30"/>
  <c r="AK39" i="33" s="1"/>
  <c r="AB39" i="30"/>
  <c r="Y39" i="30"/>
  <c r="Y39" i="33" s="1"/>
  <c r="J39" i="30"/>
  <c r="G39" i="30"/>
  <c r="G39" i="33" s="1"/>
  <c r="AN38" i="30"/>
  <c r="AN38" i="33" s="1"/>
  <c r="AK38" i="30"/>
  <c r="AK38" i="33" s="1"/>
  <c r="AB38" i="30"/>
  <c r="Y38" i="30"/>
  <c r="Y38" i="33" s="1"/>
  <c r="J38" i="30"/>
  <c r="G38" i="30"/>
  <c r="G38" i="33" s="1"/>
  <c r="AN37" i="30"/>
  <c r="AN37" i="33" s="1"/>
  <c r="AK37" i="30"/>
  <c r="AK37" i="33" s="1"/>
  <c r="AB37" i="30"/>
  <c r="Y37" i="30"/>
  <c r="Y37" i="33" s="1"/>
  <c r="J37" i="30"/>
  <c r="G37" i="30"/>
  <c r="G37" i="33" s="1"/>
  <c r="AN36" i="30"/>
  <c r="AN36" i="33" s="1"/>
  <c r="AK36" i="30"/>
  <c r="AK36" i="33" s="1"/>
  <c r="AB36" i="30"/>
  <c r="Y36" i="30"/>
  <c r="Y36" i="33" s="1"/>
  <c r="J36" i="30"/>
  <c r="G36" i="30"/>
  <c r="G36" i="33" s="1"/>
  <c r="AN35" i="30"/>
  <c r="AN35" i="33" s="1"/>
  <c r="AK35" i="30"/>
  <c r="AK35" i="33" s="1"/>
  <c r="AB35" i="30"/>
  <c r="AB35" i="33" s="1"/>
  <c r="Y35" i="30"/>
  <c r="Y35" i="33" s="1"/>
  <c r="J35" i="30"/>
  <c r="J35" i="33" s="1"/>
  <c r="G35" i="30"/>
  <c r="G35" i="33" s="1"/>
  <c r="AN32" i="30"/>
  <c r="AK32" i="30"/>
  <c r="AH32" i="30"/>
  <c r="AB32" i="30"/>
  <c r="Y32" i="30"/>
  <c r="J32" i="30"/>
  <c r="G32" i="30"/>
  <c r="AN31" i="30"/>
  <c r="AK31" i="30"/>
  <c r="AH31" i="30"/>
  <c r="AB31" i="30"/>
  <c r="Y31" i="30"/>
  <c r="J31" i="30"/>
  <c r="G31" i="30"/>
  <c r="AN30" i="30"/>
  <c r="AK30" i="30"/>
  <c r="AH30" i="30"/>
  <c r="AB30" i="30"/>
  <c r="Y30" i="30"/>
  <c r="J30" i="30"/>
  <c r="G30" i="30"/>
  <c r="AN29" i="30"/>
  <c r="AK29" i="30"/>
  <c r="AH29" i="30"/>
  <c r="AB29" i="30"/>
  <c r="Y29" i="30"/>
  <c r="J29" i="30"/>
  <c r="G29" i="30"/>
  <c r="AN28" i="30"/>
  <c r="AK28" i="30"/>
  <c r="AH28" i="30"/>
  <c r="AB28" i="30"/>
  <c r="Y28" i="30"/>
  <c r="J28" i="30"/>
  <c r="G28" i="30"/>
  <c r="AN27" i="30"/>
  <c r="AK27" i="30"/>
  <c r="AH27" i="30"/>
  <c r="AB27" i="30"/>
  <c r="Y27" i="30"/>
  <c r="J27" i="30"/>
  <c r="G27" i="30"/>
  <c r="AN26" i="30"/>
  <c r="AK26" i="30"/>
  <c r="AK26" i="33" s="1"/>
  <c r="AB26" i="30"/>
  <c r="Y26" i="30"/>
  <c r="Y26" i="33" s="1"/>
  <c r="J26" i="30"/>
  <c r="J26" i="33" s="1"/>
  <c r="G26" i="30"/>
  <c r="G26" i="33" s="1"/>
  <c r="AN25" i="30"/>
  <c r="AK25" i="30"/>
  <c r="AK25" i="33" s="1"/>
  <c r="AB25" i="30"/>
  <c r="Y25" i="30"/>
  <c r="Y25" i="33" s="1"/>
  <c r="J25" i="30"/>
  <c r="J25" i="33" s="1"/>
  <c r="G25" i="30"/>
  <c r="G25" i="33" s="1"/>
  <c r="AN24" i="30"/>
  <c r="AK24" i="30"/>
  <c r="AK24" i="33" s="1"/>
  <c r="AB24" i="30"/>
  <c r="Y24" i="30"/>
  <c r="Y24" i="33" s="1"/>
  <c r="J24" i="30"/>
  <c r="J24" i="33" s="1"/>
  <c r="G24" i="30"/>
  <c r="G24" i="33" s="1"/>
  <c r="AN23" i="30"/>
  <c r="AK23" i="30"/>
  <c r="AK23" i="33" s="1"/>
  <c r="AB23" i="30"/>
  <c r="Y23" i="30"/>
  <c r="Y23" i="33" s="1"/>
  <c r="J23" i="30"/>
  <c r="J23" i="33" s="1"/>
  <c r="G23" i="30"/>
  <c r="G23" i="33" s="1"/>
  <c r="AN22" i="30"/>
  <c r="AK22" i="30"/>
  <c r="AK22" i="33" s="1"/>
  <c r="AB22" i="30"/>
  <c r="Y22" i="30"/>
  <c r="Y22" i="33" s="1"/>
  <c r="J22" i="30"/>
  <c r="J22" i="33" s="1"/>
  <c r="G22" i="30"/>
  <c r="G22" i="33" s="1"/>
  <c r="AN21" i="30"/>
  <c r="AK21" i="30"/>
  <c r="AK21" i="33" s="1"/>
  <c r="AB21" i="30"/>
  <c r="Y21" i="30"/>
  <c r="Y21" i="33" s="1"/>
  <c r="J21" i="30"/>
  <c r="J21" i="33" s="1"/>
  <c r="G21" i="30"/>
  <c r="G21" i="33" s="1"/>
  <c r="AE19" i="30"/>
  <c r="AE19" i="33" s="1"/>
  <c r="AB19" i="30"/>
  <c r="AB19" i="33" s="1"/>
  <c r="Y19" i="30"/>
  <c r="Y19" i="33" s="1"/>
  <c r="M19" i="30"/>
  <c r="M19" i="33" s="1"/>
  <c r="J19" i="30"/>
  <c r="J19" i="33" s="1"/>
  <c r="G19" i="30"/>
  <c r="G19" i="33" s="1"/>
  <c r="AE18" i="30"/>
  <c r="AE18" i="33" s="1"/>
  <c r="AB18" i="30"/>
  <c r="AB18" i="33" s="1"/>
  <c r="Y18" i="30"/>
  <c r="Y18" i="33" s="1"/>
  <c r="M18" i="30"/>
  <c r="M18" i="33" s="1"/>
  <c r="J18" i="30"/>
  <c r="J18" i="33" s="1"/>
  <c r="G18" i="30"/>
  <c r="G18" i="33" s="1"/>
  <c r="AN15" i="30"/>
  <c r="AN15" i="33" s="1"/>
  <c r="AK15" i="30"/>
  <c r="AK15" i="33" s="1"/>
  <c r="AE15" i="30"/>
  <c r="AE15" i="33" s="1"/>
  <c r="AB15" i="30"/>
  <c r="AB15" i="33" s="1"/>
  <c r="Y15" i="30"/>
  <c r="Y15" i="33" s="1"/>
  <c r="M15" i="30"/>
  <c r="M15" i="33" s="1"/>
  <c r="J15" i="30"/>
  <c r="J15" i="33" s="1"/>
  <c r="G15" i="30"/>
  <c r="G15" i="33" s="1"/>
  <c r="AN13" i="30"/>
  <c r="AN13" i="33" s="1"/>
  <c r="AB13" i="30"/>
  <c r="AB13" i="33" s="1"/>
  <c r="Y13" i="30"/>
  <c r="Y13" i="33" s="1"/>
  <c r="M13" i="30"/>
  <c r="M13" i="33" s="1"/>
  <c r="J13" i="30"/>
  <c r="J13" i="33" s="1"/>
  <c r="G13" i="30"/>
  <c r="G13" i="33" s="1"/>
  <c r="AN10" i="30"/>
  <c r="AN10" i="33" s="1"/>
  <c r="AK10" i="30"/>
  <c r="AK10" i="33" s="1"/>
  <c r="AE10" i="30"/>
  <c r="AE10" i="33" s="1"/>
  <c r="AB10" i="30"/>
  <c r="AB10" i="33" s="1"/>
  <c r="Y10" i="30"/>
  <c r="Y10" i="33" s="1"/>
  <c r="M10" i="30"/>
  <c r="M10" i="33" s="1"/>
  <c r="J10" i="30"/>
  <c r="J10" i="33" s="1"/>
  <c r="G10" i="30"/>
  <c r="G10" i="33" s="1"/>
  <c r="AN8" i="30"/>
  <c r="AN8" i="33" s="1"/>
  <c r="AK8" i="30"/>
  <c r="AK8" i="33" s="1"/>
  <c r="AB8" i="30"/>
  <c r="AB8" i="33" s="1"/>
  <c r="Y8" i="30"/>
  <c r="Y8" i="33" s="1"/>
  <c r="M8" i="30"/>
  <c r="M8" i="33" s="1"/>
  <c r="J8" i="30"/>
  <c r="J8" i="33" s="1"/>
  <c r="G8" i="30"/>
  <c r="G8" i="33" s="1"/>
  <c r="AN23" i="33" l="1"/>
  <c r="AP23" i="33" s="1"/>
  <c r="AN24" i="33"/>
  <c r="AP24" i="33" s="1"/>
  <c r="AB36" i="33"/>
  <c r="AD36" i="33" s="1"/>
  <c r="AB22" i="33"/>
  <c r="AN25" i="33"/>
  <c r="AP25" i="33" s="1"/>
  <c r="J40" i="33"/>
  <c r="L40" i="33" s="1"/>
  <c r="J38" i="33"/>
  <c r="L38" i="33" s="1"/>
  <c r="AN22" i="33"/>
  <c r="AP22" i="33" s="1"/>
  <c r="J37" i="33"/>
  <c r="L37" i="33" s="1"/>
  <c r="AB40" i="33"/>
  <c r="AD40" i="33" s="1"/>
  <c r="AB21" i="33"/>
  <c r="AK40" i="33"/>
  <c r="AQ40" i="33" s="1"/>
  <c r="AB38" i="33"/>
  <c r="AD38" i="33" s="1"/>
  <c r="AN21" i="33"/>
  <c r="AP21" i="33" s="1"/>
  <c r="AB26" i="33"/>
  <c r="AB37" i="33"/>
  <c r="AD37" i="33" s="1"/>
  <c r="AB24" i="33"/>
  <c r="J36" i="33"/>
  <c r="L36" i="33" s="1"/>
  <c r="AB25" i="33"/>
  <c r="J39" i="33"/>
  <c r="L39" i="33" s="1"/>
  <c r="AB39" i="33"/>
  <c r="AD39" i="33" s="1"/>
  <c r="AB23" i="33"/>
  <c r="AN26" i="33"/>
  <c r="AP26" i="33" s="1"/>
  <c r="R27" i="31"/>
  <c r="AP19" i="33"/>
  <c r="AQ19" i="33"/>
  <c r="M20" i="33"/>
  <c r="AB20" i="33"/>
  <c r="AH19" i="33"/>
  <c r="V24" i="30"/>
  <c r="V25" i="30"/>
  <c r="V22" i="30"/>
  <c r="V13" i="30"/>
  <c r="V26" i="30"/>
  <c r="V10" i="30"/>
  <c r="V23" i="30"/>
  <c r="V8" i="30"/>
  <c r="V15" i="30"/>
  <c r="K18" i="29"/>
  <c r="K14" i="29"/>
  <c r="V19" i="30"/>
  <c r="V21" i="30"/>
  <c r="V18" i="30"/>
  <c r="N18" i="29"/>
  <c r="N14" i="29"/>
  <c r="R43" i="31"/>
  <c r="W27" i="31"/>
  <c r="W43" i="31" s="1"/>
  <c r="W47" i="31" s="1"/>
  <c r="M27" i="31"/>
  <c r="J36" i="1"/>
  <c r="J40" i="1"/>
  <c r="J39" i="1"/>
  <c r="M35" i="1"/>
  <c r="M31" i="1"/>
  <c r="T50" i="31"/>
  <c r="T43" i="31"/>
  <c r="R47" i="31" l="1"/>
  <c r="M47" i="31"/>
  <c r="AQ38" i="33"/>
  <c r="K11" i="29"/>
  <c r="AQ37" i="33"/>
  <c r="V10" i="33"/>
  <c r="J12" i="33"/>
  <c r="J9" i="33" s="1"/>
  <c r="J16" i="33"/>
  <c r="V26" i="33"/>
  <c r="V25" i="33"/>
  <c r="V21" i="33"/>
  <c r="AN14" i="33"/>
  <c r="AP14" i="33" s="1"/>
  <c r="AP13" i="33"/>
  <c r="AQ13" i="33"/>
  <c r="AN17" i="33"/>
  <c r="AP17" i="33" s="1"/>
  <c r="AQ26" i="33"/>
  <c r="AM26" i="33"/>
  <c r="AQ25" i="33"/>
  <c r="AS25" i="33" s="1"/>
  <c r="AM25" i="33"/>
  <c r="AP15" i="33"/>
  <c r="AN16" i="33"/>
  <c r="AP16" i="33" s="1"/>
  <c r="AQ8" i="33"/>
  <c r="AK12" i="33"/>
  <c r="AK9" i="33" s="1"/>
  <c r="AM9" i="33" s="1"/>
  <c r="AK14" i="33"/>
  <c r="AM14" i="33" s="1"/>
  <c r="AM8" i="33"/>
  <c r="AK16" i="33"/>
  <c r="AM16" i="33" s="1"/>
  <c r="AK17" i="33"/>
  <c r="AM17" i="33" s="1"/>
  <c r="AQ15" i="33"/>
  <c r="AM15" i="33"/>
  <c r="AQ36" i="33"/>
  <c r="AN20" i="33"/>
  <c r="AP20" i="33" s="1"/>
  <c r="AQ18" i="33"/>
  <c r="AS18" i="33" s="1"/>
  <c r="AP18" i="33"/>
  <c r="J20" i="33"/>
  <c r="AS19" i="33"/>
  <c r="AP10" i="33"/>
  <c r="AQ39" i="33"/>
  <c r="AQ23" i="33"/>
  <c r="AM23" i="33"/>
  <c r="AP8" i="33"/>
  <c r="AN12" i="33"/>
  <c r="AP12" i="33" s="1"/>
  <c r="AQ21" i="33"/>
  <c r="AS21" i="33" s="1"/>
  <c r="AM21" i="33"/>
  <c r="AQ10" i="33"/>
  <c r="AM10" i="33"/>
  <c r="AQ22" i="33"/>
  <c r="AS22" i="33" s="1"/>
  <c r="AM22" i="33"/>
  <c r="AN41" i="33"/>
  <c r="AN42" i="33" s="1"/>
  <c r="AQ24" i="33"/>
  <c r="AM24" i="33"/>
  <c r="AK41" i="33"/>
  <c r="AQ35" i="33"/>
  <c r="J14" i="33"/>
  <c r="J17" i="33"/>
  <c r="V37" i="33"/>
  <c r="X37" i="33" s="1"/>
  <c r="I37" i="33"/>
  <c r="V36" i="33"/>
  <c r="X36" i="33" s="1"/>
  <c r="I36" i="33"/>
  <c r="M14" i="33"/>
  <c r="M17" i="33"/>
  <c r="V38" i="33"/>
  <c r="X38" i="33" s="1"/>
  <c r="I38" i="33"/>
  <c r="M16" i="33"/>
  <c r="V35" i="33"/>
  <c r="X35" i="33" s="1"/>
  <c r="G41" i="33"/>
  <c r="I35" i="33"/>
  <c r="G16" i="33"/>
  <c r="V15" i="33"/>
  <c r="L35" i="33"/>
  <c r="J41" i="33"/>
  <c r="G17" i="33"/>
  <c r="G14" i="33"/>
  <c r="V13" i="33"/>
  <c r="M12" i="33"/>
  <c r="V40" i="33"/>
  <c r="X40" i="33" s="1"/>
  <c r="I40" i="33"/>
  <c r="V24" i="33"/>
  <c r="G12" i="33"/>
  <c r="G11" i="33" s="1"/>
  <c r="V8" i="33"/>
  <c r="V39" i="33"/>
  <c r="X39" i="33" s="1"/>
  <c r="I39" i="33"/>
  <c r="V23" i="33"/>
  <c r="V18" i="33"/>
  <c r="G20" i="33"/>
  <c r="V19" i="33"/>
  <c r="V22" i="33"/>
  <c r="AH15" i="33"/>
  <c r="Y16" i="33"/>
  <c r="AH36" i="33"/>
  <c r="AA36" i="33"/>
  <c r="AB14" i="33"/>
  <c r="AB17" i="33"/>
  <c r="AE17" i="33"/>
  <c r="AE16" i="33"/>
  <c r="AB16" i="33"/>
  <c r="Y12" i="33"/>
  <c r="AH8" i="33"/>
  <c r="AH37" i="33"/>
  <c r="AA37" i="33"/>
  <c r="Y20" i="33"/>
  <c r="AH18" i="33"/>
  <c r="Y14" i="33"/>
  <c r="Y17" i="33"/>
  <c r="AH13" i="33"/>
  <c r="AH26" i="33"/>
  <c r="AH39" i="33"/>
  <c r="AA39" i="33"/>
  <c r="AH25" i="33"/>
  <c r="AH40" i="33"/>
  <c r="AA40" i="33"/>
  <c r="AH10" i="33"/>
  <c r="AH23" i="33"/>
  <c r="AB12" i="33"/>
  <c r="AE20" i="33"/>
  <c r="AH38" i="33"/>
  <c r="AA38" i="33"/>
  <c r="AH21" i="33"/>
  <c r="AE12" i="33"/>
  <c r="AE11" i="33" s="1"/>
  <c r="AH24" i="33"/>
  <c r="AD35" i="33"/>
  <c r="AB41" i="33"/>
  <c r="AH22" i="33"/>
  <c r="AH35" i="33"/>
  <c r="Y41" i="33"/>
  <c r="AA35" i="33"/>
  <c r="N17" i="29"/>
  <c r="N20" i="29"/>
  <c r="N22" i="29" s="1"/>
  <c r="K17" i="29"/>
  <c r="K20" i="29"/>
  <c r="K26" i="29"/>
  <c r="N11" i="29"/>
  <c r="N26" i="29"/>
  <c r="V12" i="30"/>
  <c r="K21" i="29"/>
  <c r="K19" i="29"/>
  <c r="N19" i="29"/>
  <c r="M40" i="1"/>
  <c r="M39" i="1"/>
  <c r="M36" i="1"/>
  <c r="T54" i="31"/>
  <c r="T55" i="31" s="1"/>
  <c r="T44" i="31"/>
  <c r="T47" i="31"/>
  <c r="AR22" i="30"/>
  <c r="AR18" i="30"/>
  <c r="AR15" i="30"/>
  <c r="AR21" i="30"/>
  <c r="AR10" i="30"/>
  <c r="AR8" i="30"/>
  <c r="AR40" i="30"/>
  <c r="AR39" i="30"/>
  <c r="AR38" i="30"/>
  <c r="AQ20" i="33" l="1"/>
  <c r="AS20" i="33" s="1"/>
  <c r="G9" i="33"/>
  <c r="AQ31" i="33"/>
  <c r="AS31" i="33" s="1"/>
  <c r="AQ27" i="33"/>
  <c r="AS27" i="33" s="1"/>
  <c r="AB9" i="33"/>
  <c r="AQ28" i="33"/>
  <c r="AS28" i="33" s="1"/>
  <c r="N21" i="29"/>
  <c r="J11" i="33"/>
  <c r="V16" i="33"/>
  <c r="AS10" i="33"/>
  <c r="AQ16" i="33"/>
  <c r="AS16" i="33" s="1"/>
  <c r="AS15" i="33"/>
  <c r="AK42" i="33"/>
  <c r="AQ41" i="33"/>
  <c r="AQ42" i="33" s="1"/>
  <c r="AN9" i="33"/>
  <c r="AP9" i="33" s="1"/>
  <c r="AK11" i="33"/>
  <c r="AM11" i="33" s="1"/>
  <c r="AM12" i="33"/>
  <c r="AQ29" i="33"/>
  <c r="AS29" i="33" s="1"/>
  <c r="AS23" i="33"/>
  <c r="AQ12" i="33"/>
  <c r="AS8" i="33"/>
  <c r="AN11" i="33"/>
  <c r="AP11" i="33" s="1"/>
  <c r="AQ30" i="33"/>
  <c r="AS30" i="33" s="1"/>
  <c r="AS24" i="33"/>
  <c r="AS26" i="33"/>
  <c r="AQ32" i="33"/>
  <c r="AS32" i="33" s="1"/>
  <c r="AQ14" i="33"/>
  <c r="AS14" i="33" s="1"/>
  <c r="AQ17" i="33"/>
  <c r="AS17" i="33" s="1"/>
  <c r="AS13" i="33"/>
  <c r="V20" i="33"/>
  <c r="G42" i="33"/>
  <c r="V41" i="33"/>
  <c r="I41" i="33"/>
  <c r="V12" i="33"/>
  <c r="V11" i="33" s="1"/>
  <c r="M9" i="33"/>
  <c r="M11" i="33"/>
  <c r="V17" i="33"/>
  <c r="V14" i="33"/>
  <c r="J42" i="33"/>
  <c r="L41" i="33"/>
  <c r="AT19" i="33"/>
  <c r="AE9" i="33"/>
  <c r="AT40" i="33"/>
  <c r="AV40" i="33" s="1"/>
  <c r="AJ40" i="33"/>
  <c r="Y9" i="33"/>
  <c r="AT25" i="33"/>
  <c r="AT21" i="33"/>
  <c r="AT38" i="33"/>
  <c r="AJ38" i="33"/>
  <c r="AT24" i="33"/>
  <c r="AJ39" i="33"/>
  <c r="AT39" i="33"/>
  <c r="AT37" i="33"/>
  <c r="AV37" i="33" s="1"/>
  <c r="AJ37" i="33"/>
  <c r="AH41" i="33"/>
  <c r="Y42" i="33"/>
  <c r="AA41" i="33"/>
  <c r="AT26" i="33"/>
  <c r="AT35" i="33"/>
  <c r="AJ35" i="33"/>
  <c r="AH17" i="33"/>
  <c r="AH14" i="33"/>
  <c r="AT13" i="33"/>
  <c r="AT22" i="33"/>
  <c r="AH12" i="33"/>
  <c r="AH9" i="33" s="1"/>
  <c r="AT8" i="33"/>
  <c r="AH20" i="33"/>
  <c r="AT18" i="33"/>
  <c r="AT36" i="33"/>
  <c r="AJ36" i="33"/>
  <c r="AT10" i="33"/>
  <c r="AB42" i="33"/>
  <c r="AD41" i="33"/>
  <c r="AT23" i="33"/>
  <c r="AB11" i="33"/>
  <c r="Y11" i="33"/>
  <c r="AH16" i="33"/>
  <c r="AT15" i="33"/>
  <c r="K22" i="29"/>
  <c r="K23" i="29" s="1"/>
  <c r="N23" i="29"/>
  <c r="N27" i="29"/>
  <c r="T56" i="31"/>
  <c r="AR24" i="30"/>
  <c r="AR25" i="30"/>
  <c r="AR26" i="30"/>
  <c r="AR32" i="30" s="1"/>
  <c r="AR23" i="30"/>
  <c r="AR13" i="30"/>
  <c r="AR19" i="30"/>
  <c r="AR35" i="30"/>
  <c r="AR27" i="30" s="1"/>
  <c r="AR36" i="30"/>
  <c r="AR28" i="30" s="1"/>
  <c r="AR37" i="30"/>
  <c r="AR12" i="30"/>
  <c r="AR11" i="30" s="1"/>
  <c r="AR16" i="30"/>
  <c r="AO41" i="30"/>
  <c r="AO42" i="30" s="1"/>
  <c r="AR14" i="30" l="1"/>
  <c r="V9" i="33"/>
  <c r="K27" i="29"/>
  <c r="AQ9" i="33"/>
  <c r="AS9" i="33" s="1"/>
  <c r="AS12" i="33"/>
  <c r="AQ11" i="33"/>
  <c r="AS11" i="33" s="1"/>
  <c r="AT20" i="33"/>
  <c r="V42" i="33"/>
  <c r="X41" i="33"/>
  <c r="AT31" i="33"/>
  <c r="AV39" i="33"/>
  <c r="AT12" i="33"/>
  <c r="AT30" i="33"/>
  <c r="AV38" i="33"/>
  <c r="AT11" i="33"/>
  <c r="AT17" i="33"/>
  <c r="AT14" i="33"/>
  <c r="AT28" i="33"/>
  <c r="AV36" i="33"/>
  <c r="AH11" i="33"/>
  <c r="AT29" i="33"/>
  <c r="AT27" i="33"/>
  <c r="AT41" i="33"/>
  <c r="AV35" i="33"/>
  <c r="AH42" i="33"/>
  <c r="AJ41" i="33"/>
  <c r="AT16" i="33"/>
  <c r="AT32" i="33"/>
  <c r="K28" i="29"/>
  <c r="N28" i="29"/>
  <c r="AR17" i="30"/>
  <c r="AR31" i="30"/>
  <c r="AR30" i="30"/>
  <c r="AR29" i="30"/>
  <c r="AR20" i="30"/>
  <c r="AR9" i="30"/>
  <c r="AT42" i="33" l="1"/>
  <c r="AV41" i="33"/>
  <c r="AT9" i="33"/>
  <c r="AQ40" i="30"/>
  <c r="AQ39" i="30" l="1"/>
  <c r="AQ38" i="30"/>
  <c r="AQ37" i="30"/>
  <c r="AQ36" i="30"/>
  <c r="AQ35" i="30"/>
  <c r="AN41" i="30" l="1"/>
  <c r="AN42" i="30" l="1"/>
  <c r="AN12" i="30"/>
  <c r="AQ25" i="30" l="1"/>
  <c r="AQ23" i="30"/>
  <c r="AQ21" i="30"/>
  <c r="AQ22" i="30"/>
  <c r="AQ24" i="30"/>
  <c r="AQ26" i="30"/>
  <c r="AN16" i="30"/>
  <c r="AN17" i="30"/>
  <c r="AN11" i="30"/>
  <c r="AN9" i="30"/>
  <c r="AN14" i="30"/>
  <c r="AS24" i="30" l="1"/>
  <c r="AQ30" i="30"/>
  <c r="AS30" i="30" s="1"/>
  <c r="AS26" i="30"/>
  <c r="AQ32" i="30"/>
  <c r="AS32" i="30" s="1"/>
  <c r="AS22" i="30"/>
  <c r="AQ28" i="30"/>
  <c r="AS28" i="30" s="1"/>
  <c r="AS21" i="30"/>
  <c r="AQ27" i="30"/>
  <c r="AS27" i="30" s="1"/>
  <c r="AS23" i="30"/>
  <c r="AQ29" i="30"/>
  <c r="AS29" i="30" s="1"/>
  <c r="AS25" i="30"/>
  <c r="AQ31" i="30"/>
  <c r="AS31" i="30" s="1"/>
  <c r="AQ18" i="30" l="1"/>
  <c r="AS18" i="30" l="1"/>
  <c r="AN20" i="30"/>
  <c r="AQ19" i="30"/>
  <c r="AS19" i="30" s="1"/>
  <c r="AQ20" i="30" l="1"/>
  <c r="AQ4" i="33" s="1"/>
  <c r="AO12" i="30"/>
  <c r="AO9" i="30" s="1"/>
  <c r="AO17" i="30"/>
  <c r="AO16" i="30"/>
  <c r="AP21" i="30"/>
  <c r="AP22" i="30"/>
  <c r="AP23" i="30"/>
  <c r="AP25" i="30"/>
  <c r="AP28" i="30"/>
  <c r="AP24" i="30"/>
  <c r="AP18" i="30"/>
  <c r="AP19" i="30"/>
  <c r="AP30" i="30"/>
  <c r="AP29" i="30"/>
  <c r="AP32" i="30"/>
  <c r="AP26" i="30"/>
  <c r="AO20" i="30"/>
  <c r="AP20" i="30" s="1"/>
  <c r="AO14" i="30"/>
  <c r="AP27" i="30"/>
  <c r="AP31" i="30"/>
  <c r="AS20" i="30" l="1"/>
  <c r="AO11" i="30"/>
  <c r="AQ10" i="30"/>
  <c r="AS10" i="30" l="1"/>
  <c r="AQ8" i="30"/>
  <c r="AS8" i="30" l="1"/>
  <c r="AQ12" i="30"/>
  <c r="AQ13" i="30"/>
  <c r="AQ14" i="30" l="1"/>
  <c r="AS14" i="30" s="1"/>
  <c r="AS13" i="30"/>
  <c r="AS12" i="30"/>
  <c r="AQ11" i="30"/>
  <c r="AS11" i="30" s="1"/>
  <c r="AQ9" i="30"/>
  <c r="AS9" i="30" s="1"/>
  <c r="AQ15" i="30"/>
  <c r="AS15" i="30" l="1"/>
  <c r="AQ16" i="30"/>
  <c r="AS16" i="30" s="1"/>
  <c r="AQ17" i="30"/>
  <c r="AS17" i="30" s="1"/>
  <c r="AP13" i="30"/>
  <c r="AP8" i="30" l="1"/>
  <c r="AP14" i="30"/>
  <c r="AP10" i="30" l="1"/>
  <c r="AP11" i="30"/>
  <c r="AP16" i="30" l="1"/>
  <c r="AP15" i="30"/>
  <c r="AP17" i="30"/>
  <c r="AP12" i="30"/>
  <c r="AP9" i="30"/>
  <c r="AE16" i="30" l="1"/>
  <c r="AE12" i="30"/>
  <c r="AE11" i="30" s="1"/>
  <c r="AE14" i="30"/>
  <c r="AE17" i="30"/>
  <c r="AB16" i="30"/>
  <c r="AB12" i="30"/>
  <c r="AB9" i="30" s="1"/>
  <c r="AB14" i="30"/>
  <c r="AB17" i="30"/>
  <c r="AB11" i="30" l="1"/>
  <c r="AE9" i="30"/>
  <c r="AB20" i="30" l="1"/>
  <c r="O40" i="30"/>
  <c r="O39" i="30"/>
  <c r="O38" i="30"/>
  <c r="O37" i="30"/>
  <c r="O41" i="30"/>
  <c r="O35" i="30"/>
  <c r="AE20" i="30" l="1"/>
  <c r="O36" i="30"/>
  <c r="J41" i="30"/>
  <c r="M16" i="30"/>
  <c r="M12" i="30"/>
  <c r="M9" i="30" s="1"/>
  <c r="M14" i="30"/>
  <c r="M17" i="30"/>
  <c r="J16" i="30"/>
  <c r="J12" i="30"/>
  <c r="J9" i="30" s="1"/>
  <c r="J14" i="30"/>
  <c r="J17" i="30"/>
  <c r="M11" i="30" l="1"/>
  <c r="J11" i="30"/>
  <c r="M20" i="30" l="1"/>
  <c r="J20" i="30"/>
  <c r="G20" i="30"/>
  <c r="AL20" i="30"/>
  <c r="AH38" i="30"/>
  <c r="AH26" i="30"/>
  <c r="AH24" i="30"/>
  <c r="AH23" i="30"/>
  <c r="AM26" i="30"/>
  <c r="AG41" i="30"/>
  <c r="AG40" i="30"/>
  <c r="W40" i="30"/>
  <c r="AG39" i="30"/>
  <c r="AG38" i="30"/>
  <c r="AG37" i="30"/>
  <c r="AG36" i="30"/>
  <c r="AG35" i="30"/>
  <c r="AP37" i="29"/>
  <c r="F26" i="29"/>
  <c r="F11" i="29"/>
  <c r="AQ37" i="29"/>
  <c r="AO37" i="29"/>
  <c r="AN37" i="29"/>
  <c r="AM37" i="29"/>
  <c r="AL37" i="29"/>
  <c r="AK37" i="29"/>
  <c r="AJ37" i="29"/>
  <c r="AI37" i="29"/>
  <c r="AH37" i="29"/>
  <c r="AG37" i="29"/>
  <c r="AF37" i="29"/>
  <c r="AE37" i="29"/>
  <c r="AD37" i="29"/>
  <c r="AC37" i="29"/>
  <c r="AB37" i="29"/>
  <c r="AA37" i="29"/>
  <c r="Z37" i="29"/>
  <c r="Q8" i="26"/>
  <c r="Q18" i="26"/>
  <c r="T18" i="26" s="1"/>
  <c r="Q28" i="26"/>
  <c r="Q14" i="26"/>
  <c r="Q19" i="26" l="1"/>
  <c r="T19" i="26" s="1"/>
  <c r="Q9" i="26"/>
  <c r="T9" i="26" s="1"/>
  <c r="Q25" i="26"/>
  <c r="AT23" i="30"/>
  <c r="AT24" i="30"/>
  <c r="Q21" i="26"/>
  <c r="T21" i="26" s="1"/>
  <c r="T14" i="26"/>
  <c r="T25" i="26"/>
  <c r="Q12" i="26"/>
  <c r="T12" i="26" s="1"/>
  <c r="Q20" i="26"/>
  <c r="T20" i="26" s="1"/>
  <c r="Q10" i="26"/>
  <c r="T10" i="26" s="1"/>
  <c r="Q22" i="26"/>
  <c r="T22" i="26" s="1"/>
  <c r="T28" i="26"/>
  <c r="Q15" i="26"/>
  <c r="T15" i="26" s="1"/>
  <c r="T8" i="26"/>
  <c r="Q11" i="26"/>
  <c r="T11" i="26" s="1"/>
  <c r="Q27" i="26"/>
  <c r="T27" i="26" s="1"/>
  <c r="Q23" i="26"/>
  <c r="T23" i="26" s="1"/>
  <c r="Q17" i="26"/>
  <c r="T17" i="26" s="1"/>
  <c r="Q13" i="26"/>
  <c r="T13" i="26" s="1"/>
  <c r="Q26" i="26"/>
  <c r="T26" i="26" s="1"/>
  <c r="Q16" i="26"/>
  <c r="T16" i="26" s="1"/>
  <c r="I11" i="29"/>
  <c r="AL41" i="30"/>
  <c r="AL42" i="30" s="1"/>
  <c r="AH36" i="30"/>
  <c r="AM24" i="30"/>
  <c r="AI38" i="30"/>
  <c r="AJ38" i="30" s="1"/>
  <c r="AH40" i="30"/>
  <c r="AL17" i="30"/>
  <c r="AD37" i="30"/>
  <c r="W37" i="30"/>
  <c r="V39" i="30"/>
  <c r="AD38" i="30"/>
  <c r="L39" i="30"/>
  <c r="AM8" i="30"/>
  <c r="L40" i="30"/>
  <c r="AM29" i="30"/>
  <c r="Y41" i="30"/>
  <c r="Y42" i="30" s="1"/>
  <c r="AI37" i="30"/>
  <c r="V37" i="30"/>
  <c r="L35" i="30"/>
  <c r="V38" i="30"/>
  <c r="AT38" i="30" s="1"/>
  <c r="V36" i="30"/>
  <c r="V35" i="30"/>
  <c r="W39" i="30"/>
  <c r="AI36" i="30"/>
  <c r="AI39" i="30"/>
  <c r="L37" i="30"/>
  <c r="AC41" i="30"/>
  <c r="I36" i="30"/>
  <c r="AD36" i="30"/>
  <c r="AH19" i="30"/>
  <c r="AT19" i="30" s="1"/>
  <c r="AA38" i="30"/>
  <c r="K41" i="30"/>
  <c r="AD35" i="30"/>
  <c r="AL16" i="30"/>
  <c r="L36" i="30"/>
  <c r="AK17" i="30"/>
  <c r="AA39" i="30"/>
  <c r="L38" i="30"/>
  <c r="AM15" i="30"/>
  <c r="AD39" i="30"/>
  <c r="AM18" i="30"/>
  <c r="AM19" i="30"/>
  <c r="AD40" i="30"/>
  <c r="AH10" i="30"/>
  <c r="AM21" i="30"/>
  <c r="AH25" i="30"/>
  <c r="AM22" i="30"/>
  <c r="W35" i="30"/>
  <c r="AH21" i="30"/>
  <c r="W36" i="30"/>
  <c r="AT26" i="30"/>
  <c r="AH39" i="30"/>
  <c r="AA40" i="30"/>
  <c r="G17" i="30"/>
  <c r="I39" i="30"/>
  <c r="AK41" i="30"/>
  <c r="AH37" i="30"/>
  <c r="V40" i="30"/>
  <c r="AM25" i="30"/>
  <c r="AB41" i="30"/>
  <c r="I38" i="30"/>
  <c r="AL12" i="30"/>
  <c r="G12" i="30"/>
  <c r="G11" i="30" s="1"/>
  <c r="G14" i="30"/>
  <c r="G16" i="30"/>
  <c r="J42" i="30"/>
  <c r="I35" i="30"/>
  <c r="G41" i="30"/>
  <c r="G42" i="30" s="1"/>
  <c r="I40" i="30"/>
  <c r="AH22" i="30"/>
  <c r="AT22" i="30" s="1"/>
  <c r="AA37" i="30"/>
  <c r="AK20" i="30"/>
  <c r="AM20" i="30" s="1"/>
  <c r="AM32" i="30"/>
  <c r="AM13" i="30"/>
  <c r="AK14" i="30"/>
  <c r="I37" i="30"/>
  <c r="Y12" i="30"/>
  <c r="Y11" i="30" s="1"/>
  <c r="AH8" i="30"/>
  <c r="AH18" i="30"/>
  <c r="AT18" i="30" s="1"/>
  <c r="AM23" i="30"/>
  <c r="AK16" i="30"/>
  <c r="AM10" i="30"/>
  <c r="Y16" i="30"/>
  <c r="AH15" i="30"/>
  <c r="Z41" i="30"/>
  <c r="AI35" i="30"/>
  <c r="AA35" i="30"/>
  <c r="AA36" i="30"/>
  <c r="W38" i="30"/>
  <c r="AK12" i="30"/>
  <c r="AK9" i="30" s="1"/>
  <c r="AI40" i="30"/>
  <c r="AU40" i="30" s="1"/>
  <c r="Y20" i="30"/>
  <c r="AH35" i="30"/>
  <c r="Y17" i="30"/>
  <c r="Y14" i="30"/>
  <c r="AH13" i="30"/>
  <c r="F20" i="29"/>
  <c r="F21" i="29" s="1"/>
  <c r="I17" i="29"/>
  <c r="I14" i="29"/>
  <c r="I18" i="29"/>
  <c r="I20" i="29"/>
  <c r="I21" i="29" s="1"/>
  <c r="I26" i="29"/>
  <c r="F14" i="29"/>
  <c r="F18" i="29"/>
  <c r="F17" i="29"/>
  <c r="Q24" i="26"/>
  <c r="T24" i="26" s="1"/>
  <c r="AL9" i="30" l="1"/>
  <c r="AL11" i="30"/>
  <c r="AT30" i="30"/>
  <c r="AT37" i="30"/>
  <c r="AT29" i="30" s="1"/>
  <c r="AT8" i="30"/>
  <c r="AU37" i="30"/>
  <c r="AT13" i="30"/>
  <c r="AU38" i="30"/>
  <c r="AT25" i="30"/>
  <c r="AU39" i="30"/>
  <c r="AT35" i="30"/>
  <c r="AT39" i="30"/>
  <c r="AT15" i="30"/>
  <c r="AK42" i="30"/>
  <c r="AQ41" i="30"/>
  <c r="AQ42" i="30" s="1"/>
  <c r="AT40" i="30"/>
  <c r="AT32" i="30" s="1"/>
  <c r="AU36" i="30"/>
  <c r="AT21" i="30"/>
  <c r="AT36" i="30"/>
  <c r="AT28" i="30" s="1"/>
  <c r="AT10" i="30"/>
  <c r="AU35" i="30"/>
  <c r="AR41" i="30"/>
  <c r="AR42" i="30" s="1"/>
  <c r="X37" i="30"/>
  <c r="AJ36" i="30"/>
  <c r="AM31" i="30"/>
  <c r="AM30" i="30"/>
  <c r="AM17" i="30"/>
  <c r="AM28" i="30"/>
  <c r="AH41" i="30"/>
  <c r="AH42" i="30" s="1"/>
  <c r="Y9" i="30"/>
  <c r="X39" i="30"/>
  <c r="V17" i="30"/>
  <c r="AM16" i="30"/>
  <c r="AD41" i="30"/>
  <c r="AH20" i="30"/>
  <c r="AH4" i="33" s="1"/>
  <c r="AB42" i="30"/>
  <c r="X36" i="30"/>
  <c r="AM14" i="30"/>
  <c r="V16" i="30"/>
  <c r="X35" i="30"/>
  <c r="AJ37" i="30"/>
  <c r="AJ39" i="30"/>
  <c r="G9" i="30"/>
  <c r="V11" i="30"/>
  <c r="X40" i="30"/>
  <c r="V14" i="30"/>
  <c r="V41" i="30"/>
  <c r="V42" i="30" s="1"/>
  <c r="AM27" i="30"/>
  <c r="AM12" i="30"/>
  <c r="AM9" i="30"/>
  <c r="L41" i="30"/>
  <c r="AJ35" i="30"/>
  <c r="AK11" i="30"/>
  <c r="AM11" i="30" s="1"/>
  <c r="V20" i="30"/>
  <c r="V4" i="33" s="1"/>
  <c r="AH16" i="30"/>
  <c r="AH12" i="30"/>
  <c r="AH11" i="30" s="1"/>
  <c r="X38" i="30"/>
  <c r="W41" i="30"/>
  <c r="I41" i="30"/>
  <c r="AH14" i="30"/>
  <c r="AH17" i="30"/>
  <c r="AI41" i="30"/>
  <c r="AA41" i="30"/>
  <c r="AJ40" i="30"/>
  <c r="I22" i="29"/>
  <c r="I19" i="29"/>
  <c r="F19" i="29"/>
  <c r="F22" i="29"/>
  <c r="AT31" i="30" l="1"/>
  <c r="AT41" i="30"/>
  <c r="AT42" i="30" s="1"/>
  <c r="AT27" i="30"/>
  <c r="AU41" i="30"/>
  <c r="AV37" i="30"/>
  <c r="AV36" i="30"/>
  <c r="AV39" i="30"/>
  <c r="AT16" i="30"/>
  <c r="V9" i="30"/>
  <c r="AT14" i="30"/>
  <c r="AV40" i="30"/>
  <c r="AV38" i="30"/>
  <c r="AT20" i="30"/>
  <c r="AJ41" i="30"/>
  <c r="AH9" i="30"/>
  <c r="AV35" i="30"/>
  <c r="X41" i="30"/>
  <c r="AT17" i="30"/>
  <c r="AT12" i="30"/>
  <c r="AT9" i="30" s="1"/>
  <c r="I27" i="29"/>
  <c r="I23" i="29"/>
  <c r="F27" i="29"/>
  <c r="F23" i="29"/>
  <c r="AT11" i="30" l="1"/>
  <c r="AV41" i="30"/>
  <c r="I38" i="29"/>
  <c r="I37" i="29"/>
  <c r="I28" i="29"/>
  <c r="F37" i="29"/>
  <c r="F28" i="29"/>
  <c r="F38" i="29"/>
  <c r="S62" i="2" l="1"/>
  <c r="S61" i="2"/>
  <c r="T60" i="2"/>
  <c r="S60" i="2"/>
  <c r="S59" i="2"/>
  <c r="M41" i="2"/>
  <c r="K41" i="2"/>
  <c r="N41" i="2" s="1"/>
  <c r="J41" i="2"/>
  <c r="N40" i="2"/>
  <c r="L40" i="2"/>
  <c r="G40" i="2"/>
  <c r="Q38" i="2"/>
  <c r="N38" i="2"/>
  <c r="M38" i="2"/>
  <c r="G38" i="2"/>
  <c r="S37" i="2"/>
  <c r="Q37" i="2"/>
  <c r="N37" i="2"/>
  <c r="G37" i="2"/>
  <c r="S36" i="2"/>
  <c r="Q36" i="2"/>
  <c r="N36" i="2"/>
  <c r="G36" i="2"/>
  <c r="V34" i="1"/>
  <c r="S34" i="1"/>
  <c r="S35" i="2"/>
  <c r="Q35" i="2"/>
  <c r="N35" i="2"/>
  <c r="L35" i="2"/>
  <c r="G35" i="2"/>
  <c r="V33" i="1"/>
  <c r="N34" i="2"/>
  <c r="L34" i="2"/>
  <c r="G34" i="2"/>
  <c r="S32" i="1"/>
  <c r="N33" i="2"/>
  <c r="L33" i="2"/>
  <c r="G33" i="2"/>
  <c r="G31" i="2"/>
  <c r="G30" i="2"/>
  <c r="G29" i="2"/>
  <c r="T51" i="2"/>
  <c r="AG27" i="2"/>
  <c r="AG26" i="2"/>
  <c r="G26" i="2"/>
  <c r="AG25" i="2"/>
  <c r="G25" i="2"/>
  <c r="AG24" i="2"/>
  <c r="G24" i="2"/>
  <c r="AG23" i="2"/>
  <c r="G23" i="2"/>
  <c r="AG22" i="2"/>
  <c r="G22" i="2"/>
  <c r="AG21" i="2"/>
  <c r="G21" i="2"/>
  <c r="AG20" i="2"/>
  <c r="G20" i="2"/>
  <c r="AG19" i="2"/>
  <c r="G19" i="2"/>
  <c r="AG18" i="2"/>
  <c r="G18" i="2"/>
  <c r="AG17" i="2"/>
  <c r="G17" i="2"/>
  <c r="AG16" i="2"/>
  <c r="G16" i="2"/>
  <c r="AG15" i="2"/>
  <c r="G15" i="2"/>
  <c r="AG14" i="2"/>
  <c r="G14" i="2"/>
  <c r="AG13" i="2"/>
  <c r="G13" i="2"/>
  <c r="AG12" i="2"/>
  <c r="G12" i="2"/>
  <c r="AG11" i="2"/>
  <c r="G11" i="2"/>
  <c r="AG10" i="2"/>
  <c r="G10" i="2"/>
  <c r="AG9" i="2"/>
  <c r="G9" i="2"/>
  <c r="AG8" i="2"/>
  <c r="AE8" i="2"/>
  <c r="G8" i="2"/>
  <c r="AG7" i="2"/>
  <c r="G7" i="2"/>
  <c r="V32" i="1"/>
  <c r="H20" i="1"/>
  <c r="H30" i="1" s="1"/>
  <c r="H31" i="1" s="1"/>
  <c r="V12" i="1"/>
  <c r="E20" i="1"/>
  <c r="L41" i="2" l="1"/>
  <c r="H29" i="1"/>
  <c r="W26" i="2"/>
  <c r="H19" i="1"/>
  <c r="T59" i="2"/>
  <c r="AE16" i="2"/>
  <c r="E22" i="1"/>
  <c r="E33" i="1" s="1"/>
  <c r="T61" i="2"/>
  <c r="AE20" i="2"/>
  <c r="AE11" i="2"/>
  <c r="AE7" i="2"/>
  <c r="S33" i="1"/>
  <c r="R24" i="2"/>
  <c r="W24" i="2"/>
  <c r="E30" i="1"/>
  <c r="H21" i="1"/>
  <c r="H32" i="1" s="1"/>
  <c r="H14" i="1"/>
  <c r="R25" i="2"/>
  <c r="R32" i="2"/>
  <c r="O41" i="2"/>
  <c r="T25" i="2"/>
  <c r="O32" i="2"/>
  <c r="T58" i="2"/>
  <c r="T24" i="2"/>
  <c r="E21" i="1"/>
  <c r="E32" i="1" s="1"/>
  <c r="H22" i="1"/>
  <c r="H33" i="1" s="1"/>
  <c r="O26" i="2"/>
  <c r="E29" i="1"/>
  <c r="O24" i="2"/>
  <c r="R26" i="2"/>
  <c r="J32" i="2"/>
  <c r="W25" i="2"/>
  <c r="T26" i="2"/>
  <c r="R41" i="2"/>
  <c r="J24" i="2"/>
  <c r="T41" i="2"/>
  <c r="T62" i="2"/>
  <c r="J25" i="2"/>
  <c r="W41" i="2"/>
  <c r="T53" i="2"/>
  <c r="T32" i="2"/>
  <c r="J26" i="2"/>
  <c r="W32" i="2"/>
  <c r="S38" i="2"/>
  <c r="O25" i="2"/>
  <c r="AE19" i="2"/>
  <c r="AE13" i="2"/>
  <c r="AE15" i="2"/>
  <c r="AE22" i="2"/>
  <c r="AE23" i="2"/>
  <c r="AE9" i="2"/>
  <c r="AE10" i="2"/>
  <c r="AE12" i="2"/>
  <c r="AE14" i="2"/>
  <c r="AE21" i="2"/>
  <c r="AE17" i="2"/>
  <c r="AE18" i="2"/>
  <c r="AX12" i="30" l="1"/>
  <c r="AX12" i="33" s="1"/>
  <c r="AX17" i="30"/>
  <c r="AX20" i="30"/>
  <c r="AX20" i="33" s="1"/>
  <c r="T63" i="2"/>
  <c r="T27" i="2"/>
  <c r="V36" i="1"/>
  <c r="V35" i="1" s="1"/>
  <c r="E23" i="1"/>
  <c r="H23" i="1"/>
  <c r="E31" i="1"/>
  <c r="W27" i="2"/>
  <c r="J27" i="2"/>
  <c r="E14" i="1"/>
  <c r="R27" i="2"/>
  <c r="E19" i="1"/>
  <c r="O27" i="2"/>
  <c r="S36" i="1"/>
  <c r="S35" i="1" s="1"/>
  <c r="T52" i="2"/>
  <c r="AX17" i="33" l="1"/>
  <c r="AX16" i="33" s="1"/>
  <c r="AX18" i="33"/>
  <c r="AX13" i="33"/>
  <c r="AX16" i="30"/>
  <c r="R43" i="2"/>
  <c r="W43" i="2"/>
  <c r="J47" i="2"/>
  <c r="O43" i="2"/>
  <c r="AX22" i="30"/>
  <c r="AX21" i="30"/>
  <c r="AX18" i="30"/>
  <c r="AX13" i="30"/>
  <c r="H34" i="1"/>
  <c r="H35" i="1" s="1"/>
  <c r="H24" i="1"/>
  <c r="E34" i="1"/>
  <c r="E35" i="1" s="1"/>
  <c r="E24" i="1"/>
  <c r="T50" i="2"/>
  <c r="T43" i="2"/>
  <c r="AX22" i="33" l="1"/>
  <c r="AX21" i="33"/>
  <c r="W47" i="2"/>
  <c r="R47" i="2"/>
  <c r="O47" i="2"/>
  <c r="S12" i="1"/>
  <c r="AE25" i="2"/>
  <c r="E36" i="1"/>
  <c r="E40" i="1"/>
  <c r="E39" i="1"/>
  <c r="H39" i="1"/>
  <c r="H36" i="1"/>
  <c r="H40" i="1"/>
  <c r="T54" i="2"/>
  <c r="T55" i="2" s="1"/>
  <c r="T44" i="2"/>
  <c r="T47" i="2"/>
  <c r="AE26" i="2" l="1"/>
  <c r="AE27" i="2"/>
  <c r="AE24" i="2"/>
  <c r="T56" i="2"/>
  <c r="M26" i="2" l="1"/>
  <c r="M24" i="2"/>
  <c r="M32" i="2"/>
  <c r="M25" i="2"/>
  <c r="M27" i="2" l="1"/>
  <c r="M47" i="2" l="1"/>
  <c r="V29" i="1" l="1"/>
  <c r="V31" i="30" l="1"/>
  <c r="V30" i="30"/>
  <c r="V28" i="30"/>
  <c r="V29" i="30"/>
  <c r="V27" i="30"/>
  <c r="V32" i="30"/>
  <c r="V18" i="25" l="1"/>
  <c r="V16" i="25"/>
  <c r="V22" i="25"/>
  <c r="V12" i="25"/>
  <c r="V21" i="25"/>
  <c r="V27" i="25"/>
  <c r="V19" i="25"/>
  <c r="V13" i="25"/>
  <c r="V14" i="25"/>
  <c r="V15" i="25"/>
  <c r="V23" i="25"/>
  <c r="V24" i="25"/>
  <c r="V25" i="25"/>
  <c r="V17" i="25" l="1"/>
  <c r="J17" i="25"/>
  <c r="J15" i="25"/>
  <c r="J25" i="25"/>
  <c r="V26" i="25"/>
  <c r="J12" i="25"/>
  <c r="J24" i="25"/>
  <c r="J14" i="25"/>
  <c r="N13" i="25"/>
  <c r="J26" i="25"/>
  <c r="V20" i="25"/>
  <c r="J18" i="25"/>
  <c r="J13" i="25"/>
  <c r="J20" i="25"/>
  <c r="N12" i="25"/>
  <c r="J27" i="25"/>
  <c r="J19" i="25"/>
  <c r="J28" i="25"/>
  <c r="N14" i="25"/>
  <c r="J21" i="25"/>
  <c r="V28" i="25"/>
  <c r="J16" i="25"/>
  <c r="J22" i="25"/>
  <c r="N16" i="25"/>
  <c r="J23" i="25"/>
  <c r="P20" i="26"/>
  <c r="P21" i="26"/>
  <c r="M26" i="26"/>
  <c r="P26" i="26"/>
  <c r="V8" i="25"/>
  <c r="P15" i="26"/>
  <c r="V11" i="25"/>
  <c r="P19" i="26"/>
  <c r="M15" i="26"/>
  <c r="M20" i="26"/>
  <c r="M19" i="26"/>
  <c r="M21" i="26"/>
  <c r="M23" i="26"/>
  <c r="M27" i="26"/>
  <c r="P23" i="26"/>
  <c r="M22" i="26"/>
  <c r="P22" i="26"/>
  <c r="P27" i="26"/>
  <c r="J8" i="25"/>
  <c r="P28" i="26"/>
  <c r="M28" i="26"/>
  <c r="P16" i="26"/>
  <c r="M16" i="26"/>
  <c r="P13" i="26"/>
  <c r="M13" i="26"/>
  <c r="V9" i="25"/>
  <c r="M14" i="26"/>
  <c r="P14" i="26"/>
  <c r="P12" i="26"/>
  <c r="M12" i="26"/>
  <c r="P25" i="26"/>
  <c r="M25" i="26"/>
  <c r="P24" i="26"/>
  <c r="M24" i="26"/>
  <c r="P18" i="26"/>
  <c r="M18" i="26"/>
  <c r="P17" i="26"/>
  <c r="M17" i="26"/>
  <c r="N21" i="25" l="1"/>
  <c r="J11" i="25"/>
  <c r="G16" i="26"/>
  <c r="G13" i="26"/>
  <c r="N20" i="25"/>
  <c r="N23" i="25"/>
  <c r="N26" i="25"/>
  <c r="G12" i="26"/>
  <c r="N25" i="25"/>
  <c r="N22" i="25"/>
  <c r="N28" i="25"/>
  <c r="G14" i="26"/>
  <c r="W14" i="1"/>
  <c r="U14" i="1"/>
  <c r="N17" i="25"/>
  <c r="J10" i="25"/>
  <c r="V10" i="25"/>
  <c r="N24" i="25"/>
  <c r="W16" i="1"/>
  <c r="U16" i="1"/>
  <c r="J9" i="25"/>
  <c r="N19" i="25"/>
  <c r="N27" i="25"/>
  <c r="N18" i="25"/>
  <c r="N15" i="25"/>
  <c r="P11" i="26"/>
  <c r="M11" i="26"/>
  <c r="P10" i="26"/>
  <c r="M10" i="26"/>
  <c r="P9" i="26"/>
  <c r="M9" i="26"/>
  <c r="G18" i="26" l="1"/>
  <c r="G25" i="26"/>
  <c r="W9" i="1"/>
  <c r="T12" i="1"/>
  <c r="U9" i="1"/>
  <c r="N8" i="25"/>
  <c r="N10" i="25"/>
  <c r="M8" i="26"/>
  <c r="G17" i="26"/>
  <c r="G26" i="26"/>
  <c r="G24" i="26"/>
  <c r="U10" i="1"/>
  <c r="W10" i="1"/>
  <c r="G23" i="26"/>
  <c r="G20" i="26"/>
  <c r="G19" i="26"/>
  <c r="W13" i="1"/>
  <c r="U13" i="1"/>
  <c r="W15" i="1"/>
  <c r="U15" i="1"/>
  <c r="G28" i="26"/>
  <c r="N9" i="25"/>
  <c r="N11" i="25"/>
  <c r="G27" i="26"/>
  <c r="G22" i="26"/>
  <c r="U11" i="1"/>
  <c r="W11" i="1"/>
  <c r="G21" i="26"/>
  <c r="P8" i="26"/>
  <c r="G15" i="26"/>
  <c r="G16" i="25"/>
  <c r="Y16" i="25" l="1"/>
  <c r="Z16" i="25" s="1"/>
  <c r="G10" i="26"/>
  <c r="W12" i="1"/>
  <c r="U12" i="1"/>
  <c r="G8" i="26"/>
  <c r="G11" i="26"/>
  <c r="G9" i="26"/>
  <c r="G20" i="25"/>
  <c r="G12" i="25"/>
  <c r="G22" i="25"/>
  <c r="Y22" i="25" s="1"/>
  <c r="Z22" i="25" s="1"/>
  <c r="G24" i="25"/>
  <c r="G13" i="25"/>
  <c r="G28" i="25"/>
  <c r="Y28" i="25" s="1"/>
  <c r="Z28" i="25" s="1"/>
  <c r="G23" i="25"/>
  <c r="Y23" i="25" s="1"/>
  <c r="Z23" i="25" s="1"/>
  <c r="G14" i="25"/>
  <c r="Y14" i="25" s="1"/>
  <c r="Z14" i="25" s="1"/>
  <c r="G26" i="25"/>
  <c r="G21" i="25"/>
  <c r="Y21" i="25" s="1"/>
  <c r="Z21" i="25" s="1"/>
  <c r="G18" i="25"/>
  <c r="G27" i="25"/>
  <c r="Y27" i="25" s="1"/>
  <c r="Z27" i="25" s="1"/>
  <c r="G17" i="25"/>
  <c r="Y17" i="25" s="1"/>
  <c r="Z17" i="25" s="1"/>
  <c r="G15" i="25"/>
  <c r="Y15" i="25" s="1"/>
  <c r="Z15" i="25" s="1"/>
  <c r="G19" i="25"/>
  <c r="Y20" i="25" l="1"/>
  <c r="Z20" i="25" s="1"/>
  <c r="Y24" i="25"/>
  <c r="Z24" i="25" s="1"/>
  <c r="Y19" i="25"/>
  <c r="Z19" i="25" s="1"/>
  <c r="Y18" i="25"/>
  <c r="Z18" i="25" s="1"/>
  <c r="Y26" i="25"/>
  <c r="Z26" i="25" s="1"/>
  <c r="Y13" i="25"/>
  <c r="Z13" i="25" s="1"/>
  <c r="Y12" i="25"/>
  <c r="Z12" i="25" s="1"/>
  <c r="G25" i="25"/>
  <c r="Y25" i="25" s="1"/>
  <c r="Z25" i="25" s="1"/>
  <c r="G9" i="25"/>
  <c r="Y9" i="25" s="1"/>
  <c r="Z9" i="25" s="1"/>
  <c r="G8" i="25"/>
  <c r="Y8" i="25" s="1"/>
  <c r="Z8" i="25" s="1"/>
  <c r="G10" i="25"/>
  <c r="Y10" i="25" s="1"/>
  <c r="Z10" i="25" s="1"/>
  <c r="G11" i="25" l="1"/>
  <c r="Y11" i="25" s="1"/>
  <c r="Z11" i="25" s="1"/>
  <c r="V14" i="28" l="1"/>
  <c r="J14" i="27"/>
  <c r="M17" i="27"/>
  <c r="P20" i="27"/>
  <c r="V12" i="27"/>
  <c r="S8" i="28"/>
  <c r="S12" i="28"/>
  <c r="V15" i="28"/>
  <c r="P26" i="27"/>
  <c r="V13" i="27"/>
  <c r="S13" i="28"/>
  <c r="V24" i="28"/>
  <c r="M19" i="27"/>
  <c r="P25" i="27"/>
  <c r="V14" i="27"/>
  <c r="S14" i="28"/>
  <c r="V22" i="28"/>
  <c r="M20" i="27"/>
  <c r="P27" i="27"/>
  <c r="P12" i="28"/>
  <c r="S12" i="27"/>
  <c r="V15" i="27"/>
  <c r="S15" i="28"/>
  <c r="V21" i="28"/>
  <c r="P23" i="27"/>
  <c r="S13" i="27"/>
  <c r="P13" i="28"/>
  <c r="V24" i="27"/>
  <c r="S24" i="28"/>
  <c r="V16" i="28"/>
  <c r="S28" i="27"/>
  <c r="P28" i="28"/>
  <c r="J15" i="27"/>
  <c r="M25" i="27"/>
  <c r="P28" i="27"/>
  <c r="S14" i="27"/>
  <c r="P14" i="28"/>
  <c r="V22" i="27"/>
  <c r="S22" i="28"/>
  <c r="V17" i="28"/>
  <c r="J22" i="27"/>
  <c r="M27" i="27"/>
  <c r="S15" i="27"/>
  <c r="P15" i="28"/>
  <c r="S21" i="28"/>
  <c r="V18" i="28"/>
  <c r="J16" i="27"/>
  <c r="J18" i="27"/>
  <c r="M23" i="27"/>
  <c r="S24" i="27"/>
  <c r="P24" i="28"/>
  <c r="S16" i="28"/>
  <c r="V19" i="28"/>
  <c r="J24" i="27"/>
  <c r="G21" i="27"/>
  <c r="G21" i="28"/>
  <c r="M28" i="27"/>
  <c r="S22" i="27"/>
  <c r="P22" i="28"/>
  <c r="S17" i="28"/>
  <c r="V20" i="28"/>
  <c r="J13" i="27"/>
  <c r="G14" i="27"/>
  <c r="G14" i="28"/>
  <c r="G16" i="27"/>
  <c r="G16" i="28"/>
  <c r="J20" i="27"/>
  <c r="P12" i="27"/>
  <c r="P21" i="28"/>
  <c r="S18" i="28"/>
  <c r="V26" i="28"/>
  <c r="J26" i="27"/>
  <c r="P13" i="27"/>
  <c r="P16" i="28"/>
  <c r="S19" i="28"/>
  <c r="V25" i="28"/>
  <c r="J21" i="27"/>
  <c r="G18" i="27"/>
  <c r="G18" i="28"/>
  <c r="J25" i="27"/>
  <c r="P14" i="27"/>
  <c r="P17" i="28"/>
  <c r="S20" i="28"/>
  <c r="V27" i="28"/>
  <c r="P19" i="27"/>
  <c r="G15" i="27"/>
  <c r="G15" i="28"/>
  <c r="G17" i="27"/>
  <c r="G17" i="28"/>
  <c r="J27" i="27"/>
  <c r="M12" i="27"/>
  <c r="P15" i="27"/>
  <c r="P18" i="28"/>
  <c r="V26" i="27"/>
  <c r="S26" i="28"/>
  <c r="V23" i="28"/>
  <c r="M18" i="27"/>
  <c r="J17" i="27"/>
  <c r="G26" i="27"/>
  <c r="G26" i="28"/>
  <c r="J23" i="27"/>
  <c r="M13" i="27"/>
  <c r="P24" i="27"/>
  <c r="P19" i="28"/>
  <c r="V25" i="27"/>
  <c r="S25" i="28"/>
  <c r="V28" i="28"/>
  <c r="M26" i="27"/>
  <c r="J28" i="27"/>
  <c r="M14" i="27"/>
  <c r="P22" i="27"/>
  <c r="P20" i="28"/>
  <c r="V27" i="27"/>
  <c r="S27" i="28"/>
  <c r="M16" i="27"/>
  <c r="G24" i="27"/>
  <c r="G24" i="28"/>
  <c r="G25" i="27"/>
  <c r="G25" i="28"/>
  <c r="P21" i="27"/>
  <c r="P26" i="28"/>
  <c r="S26" i="27"/>
  <c r="V23" i="27"/>
  <c r="S23" i="28"/>
  <c r="G13" i="27"/>
  <c r="G13" i="28"/>
  <c r="G22" i="27"/>
  <c r="G22" i="28"/>
  <c r="G20" i="27"/>
  <c r="G20" i="28"/>
  <c r="G23" i="27"/>
  <c r="G23" i="28"/>
  <c r="P16" i="27"/>
  <c r="V28" i="27"/>
  <c r="S28" i="28"/>
  <c r="G12" i="27"/>
  <c r="G12" i="28"/>
  <c r="J19" i="27"/>
  <c r="G19" i="27"/>
  <c r="G19" i="28"/>
  <c r="G27" i="27"/>
  <c r="G27" i="28"/>
  <c r="M15" i="27"/>
  <c r="M24" i="27"/>
  <c r="S25" i="27"/>
  <c r="P25" i="28"/>
  <c r="G28" i="27"/>
  <c r="G28" i="28"/>
  <c r="M22" i="27"/>
  <c r="P17" i="27"/>
  <c r="S27" i="27"/>
  <c r="P27" i="28"/>
  <c r="V12" i="28"/>
  <c r="J12" i="27"/>
  <c r="M21" i="27"/>
  <c r="P18" i="27"/>
  <c r="S23" i="27"/>
  <c r="P23" i="28"/>
  <c r="V13" i="28"/>
  <c r="M20" i="28" l="1"/>
  <c r="P10" i="27"/>
  <c r="G11" i="27"/>
  <c r="G11" i="28"/>
  <c r="J16" i="28"/>
  <c r="J10" i="27"/>
  <c r="V9" i="28"/>
  <c r="J12" i="28"/>
  <c r="G10" i="27"/>
  <c r="G10" i="28"/>
  <c r="V8" i="28"/>
  <c r="J23" i="28"/>
  <c r="V10" i="28"/>
  <c r="M11" i="27"/>
  <c r="G8" i="27"/>
  <c r="G8" i="28"/>
  <c r="M10" i="27"/>
  <c r="M8" i="27"/>
  <c r="P8" i="28"/>
  <c r="G9" i="27"/>
  <c r="G9" i="28"/>
  <c r="M9" i="27"/>
  <c r="J14" i="28"/>
  <c r="S10" i="28"/>
  <c r="P9" i="28"/>
  <c r="S11" i="28"/>
  <c r="S9" i="28"/>
  <c r="J9" i="27"/>
  <c r="J20" i="28"/>
  <c r="P11" i="27"/>
  <c r="J17" i="28"/>
  <c r="J21" i="28"/>
  <c r="P11" i="28"/>
  <c r="J27" i="28"/>
  <c r="V11" i="28"/>
  <c r="J15" i="28"/>
  <c r="P8" i="27"/>
  <c r="J28" i="28"/>
  <c r="J19" i="28"/>
  <c r="J25" i="28"/>
  <c r="P9" i="27"/>
  <c r="J11" i="27"/>
  <c r="J13" i="28"/>
  <c r="J26" i="28"/>
  <c r="J8" i="27"/>
  <c r="J24" i="28"/>
  <c r="J18" i="28"/>
  <c r="P10" i="28"/>
  <c r="J22" i="28" l="1"/>
  <c r="M16" i="28"/>
  <c r="M28" i="28"/>
  <c r="M15" i="28"/>
  <c r="M12" i="28"/>
  <c r="M24" i="28"/>
  <c r="V9" i="27"/>
  <c r="S9" i="27"/>
  <c r="M22" i="28"/>
  <c r="M21" i="28"/>
  <c r="M25" i="28"/>
  <c r="S11" i="27"/>
  <c r="M19" i="28"/>
  <c r="M27" i="28"/>
  <c r="V11" i="27"/>
  <c r="M14" i="28"/>
  <c r="M13" i="28"/>
  <c r="M17" i="28"/>
  <c r="M23" i="28"/>
  <c r="M18" i="28"/>
  <c r="M26" i="28"/>
  <c r="J10" i="28"/>
  <c r="J11" i="28"/>
  <c r="J9" i="28"/>
  <c r="J28" i="26" l="1"/>
  <c r="R28" i="26"/>
  <c r="J15" i="26"/>
  <c r="R15" i="26"/>
  <c r="J8" i="28"/>
  <c r="J13" i="26"/>
  <c r="R13" i="26"/>
  <c r="M9" i="28"/>
  <c r="J24" i="26"/>
  <c r="R24" i="26"/>
  <c r="M8" i="28"/>
  <c r="R27" i="26"/>
  <c r="J27" i="26"/>
  <c r="R12" i="26"/>
  <c r="J12" i="26"/>
  <c r="R25" i="26"/>
  <c r="J25" i="26"/>
  <c r="J23" i="26"/>
  <c r="R23" i="26"/>
  <c r="J14" i="26"/>
  <c r="R14" i="26"/>
  <c r="M11" i="28"/>
  <c r="M10" i="28"/>
  <c r="R22" i="26"/>
  <c r="J22" i="26"/>
  <c r="J26" i="26"/>
  <c r="R26" i="26"/>
  <c r="S26" i="26" l="1"/>
  <c r="U26" i="26"/>
  <c r="V26" i="26" s="1"/>
  <c r="S15" i="26"/>
  <c r="U15" i="26"/>
  <c r="V15" i="26" s="1"/>
  <c r="R9" i="26"/>
  <c r="J9" i="26"/>
  <c r="S14" i="26"/>
  <c r="U14" i="26"/>
  <c r="V14" i="26" s="1"/>
  <c r="S23" i="26"/>
  <c r="U23" i="26"/>
  <c r="V23" i="26" s="1"/>
  <c r="S22" i="26"/>
  <c r="U22" i="26"/>
  <c r="V22" i="26" s="1"/>
  <c r="S25" i="26"/>
  <c r="U25" i="26"/>
  <c r="V25" i="26" s="1"/>
  <c r="J11" i="26"/>
  <c r="R11" i="26"/>
  <c r="S27" i="26"/>
  <c r="U27" i="26"/>
  <c r="V27" i="26" s="1"/>
  <c r="S13" i="26"/>
  <c r="U13" i="26"/>
  <c r="V13" i="26" s="1"/>
  <c r="S12" i="26"/>
  <c r="U12" i="26"/>
  <c r="V12" i="26" s="1"/>
  <c r="S28" i="26"/>
  <c r="U28" i="26"/>
  <c r="V28" i="26" s="1"/>
  <c r="S24" i="26"/>
  <c r="U24" i="26"/>
  <c r="V24" i="26" s="1"/>
  <c r="AF22" i="2"/>
  <c r="AF21" i="2"/>
  <c r="AF10" i="2"/>
  <c r="AF7" i="2"/>
  <c r="AF20" i="2"/>
  <c r="AF19" i="2"/>
  <c r="AF18" i="2"/>
  <c r="AF23" i="2"/>
  <c r="AF9" i="2"/>
  <c r="AF17" i="2"/>
  <c r="AF8" i="2"/>
  <c r="R26" i="25" l="1"/>
  <c r="S11" i="26"/>
  <c r="U11" i="26"/>
  <c r="V11" i="26" s="1"/>
  <c r="R23" i="25"/>
  <c r="R15" i="25"/>
  <c r="R14" i="25"/>
  <c r="R13" i="25"/>
  <c r="R12" i="25"/>
  <c r="R25" i="25"/>
  <c r="R24" i="25"/>
  <c r="R27" i="25"/>
  <c r="S9" i="26"/>
  <c r="U9" i="26"/>
  <c r="V9" i="26" s="1"/>
  <c r="R28" i="25"/>
  <c r="R22" i="25"/>
  <c r="AF24" i="2"/>
  <c r="AF26" i="2"/>
  <c r="R11" i="25" l="1"/>
  <c r="R9" i="25"/>
  <c r="W17" i="1" l="1"/>
  <c r="U17" i="1"/>
  <c r="W19" i="1"/>
  <c r="U19" i="1"/>
  <c r="S20" i="27" l="1"/>
  <c r="S19" i="27" l="1"/>
  <c r="S18" i="27" l="1"/>
  <c r="S17" i="27"/>
  <c r="S21" i="27"/>
  <c r="S16" i="27" l="1"/>
  <c r="S10" i="27" l="1"/>
  <c r="S8" i="27" l="1"/>
  <c r="V20" i="27"/>
  <c r="V21" i="27"/>
  <c r="V18" i="27" l="1"/>
  <c r="V19" i="27"/>
  <c r="V17" i="27" l="1"/>
  <c r="R21" i="26" l="1"/>
  <c r="J21" i="26"/>
  <c r="J20" i="26"/>
  <c r="R20" i="26"/>
  <c r="R19" i="26" l="1"/>
  <c r="J19" i="26"/>
  <c r="S20" i="26"/>
  <c r="U20" i="26"/>
  <c r="V20" i="26" s="1"/>
  <c r="J18" i="26"/>
  <c r="R18" i="26"/>
  <c r="S21" i="26"/>
  <c r="U21" i="26"/>
  <c r="V21" i="26" s="1"/>
  <c r="AF15" i="2"/>
  <c r="AF16" i="2"/>
  <c r="S18" i="26" l="1"/>
  <c r="U18" i="26"/>
  <c r="V18" i="26" s="1"/>
  <c r="R20" i="25"/>
  <c r="S19" i="26"/>
  <c r="U19" i="26"/>
  <c r="V19" i="26" s="1"/>
  <c r="R17" i="26"/>
  <c r="J17" i="26"/>
  <c r="R21" i="25"/>
  <c r="AF14" i="2"/>
  <c r="AF13" i="2"/>
  <c r="R18" i="25" l="1"/>
  <c r="S17" i="26"/>
  <c r="U17" i="26"/>
  <c r="V17" i="26" s="1"/>
  <c r="R19" i="25"/>
  <c r="AF12" i="2"/>
  <c r="R17" i="25" l="1"/>
  <c r="V16" i="27"/>
  <c r="V10" i="27" l="1"/>
  <c r="V8" i="27" l="1"/>
  <c r="R16" i="26" l="1"/>
  <c r="J16" i="26"/>
  <c r="J8" i="26" l="1"/>
  <c r="R8" i="26"/>
  <c r="S16" i="26"/>
  <c r="U16" i="26"/>
  <c r="V16" i="26" s="1"/>
  <c r="J10" i="26"/>
  <c r="R10" i="26"/>
  <c r="AF11" i="2"/>
  <c r="S10" i="26" l="1"/>
  <c r="U10" i="26"/>
  <c r="V10" i="26" s="1"/>
  <c r="S8" i="26"/>
  <c r="U8" i="26"/>
  <c r="V8" i="26" s="1"/>
  <c r="R16" i="25"/>
  <c r="AF25" i="2"/>
  <c r="AF27" i="2"/>
  <c r="AI27" i="2" l="1"/>
  <c r="AJ27" i="2"/>
  <c r="R8" i="25"/>
  <c r="R10" i="25"/>
  <c r="W20" i="1" l="1"/>
  <c r="U20" i="1"/>
  <c r="W18" i="1" l="1"/>
  <c r="U18" i="1"/>
  <c r="V39" i="2" l="1"/>
  <c r="X39" i="2"/>
  <c r="S19" i="2" l="1"/>
  <c r="Q19" i="2"/>
  <c r="S21" i="2"/>
  <c r="Q21" i="2"/>
  <c r="S15" i="2"/>
  <c r="Q15" i="2"/>
  <c r="Q20" i="2"/>
  <c r="S20" i="2"/>
  <c r="S14" i="2" l="1"/>
  <c r="Q14" i="2"/>
  <c r="Q22" i="2"/>
  <c r="S22" i="2"/>
  <c r="I16" i="1"/>
  <c r="G16" i="1"/>
  <c r="Q13" i="2"/>
  <c r="S13" i="2"/>
  <c r="P32" i="2"/>
  <c r="Q31" i="2"/>
  <c r="S31" i="2"/>
  <c r="Q23" i="2"/>
  <c r="S23" i="2"/>
  <c r="S7" i="2"/>
  <c r="Q7" i="2"/>
  <c r="P24" i="2"/>
  <c r="S30" i="2"/>
  <c r="Q30" i="2"/>
  <c r="S12" i="2"/>
  <c r="Q12" i="2"/>
  <c r="S9" i="2"/>
  <c r="Q9" i="2"/>
  <c r="S18" i="2"/>
  <c r="Q18" i="2"/>
  <c r="S29" i="2"/>
  <c r="Q29" i="2"/>
  <c r="S11" i="2"/>
  <c r="Q11" i="2"/>
  <c r="P25" i="2"/>
  <c r="Q10" i="2"/>
  <c r="S10" i="2"/>
  <c r="P26" i="2"/>
  <c r="Q16" i="2"/>
  <c r="S16" i="2"/>
  <c r="S17" i="2"/>
  <c r="Q17" i="2"/>
  <c r="Q8" i="2"/>
  <c r="S8" i="2"/>
  <c r="Q28" i="2" l="1"/>
  <c r="S28" i="2"/>
  <c r="Q33" i="2"/>
  <c r="S33" i="2"/>
  <c r="F20" i="1"/>
  <c r="I15" i="1"/>
  <c r="G15" i="1"/>
  <c r="Q32" i="2"/>
  <c r="S32" i="2"/>
  <c r="AY17" i="30"/>
  <c r="AY17" i="33" s="1"/>
  <c r="I12" i="1"/>
  <c r="G12" i="1"/>
  <c r="G10" i="1"/>
  <c r="I10" i="1"/>
  <c r="S26" i="2"/>
  <c r="Q26" i="2"/>
  <c r="G11" i="1"/>
  <c r="I11" i="1"/>
  <c r="F21" i="1"/>
  <c r="S34" i="2"/>
  <c r="Q34" i="2"/>
  <c r="X20" i="2"/>
  <c r="V20" i="2"/>
  <c r="S25" i="2"/>
  <c r="Q25" i="2"/>
  <c r="Q24" i="2"/>
  <c r="S24" i="2"/>
  <c r="P27" i="2"/>
  <c r="X22" i="2" l="1"/>
  <c r="V22" i="2"/>
  <c r="X10" i="2"/>
  <c r="V10" i="2"/>
  <c r="G20" i="1"/>
  <c r="I20" i="1"/>
  <c r="V19" i="2"/>
  <c r="U26" i="2"/>
  <c r="X19" i="2"/>
  <c r="X18" i="2"/>
  <c r="V18" i="2"/>
  <c r="V16" i="2"/>
  <c r="X16" i="2"/>
  <c r="G21" i="1"/>
  <c r="I21" i="1"/>
  <c r="V39" i="31"/>
  <c r="X39" i="31"/>
  <c r="X17" i="2"/>
  <c r="V17" i="2"/>
  <c r="V23" i="2"/>
  <c r="X23" i="2"/>
  <c r="X9" i="2"/>
  <c r="V9" i="2"/>
  <c r="S27" i="2"/>
  <c r="Q27" i="2"/>
  <c r="F22" i="1"/>
  <c r="G17" i="1"/>
  <c r="I17" i="1"/>
  <c r="X31" i="2"/>
  <c r="V31" i="2"/>
  <c r="V21" i="2"/>
  <c r="X21" i="2"/>
  <c r="V14" i="2"/>
  <c r="X14" i="2"/>
  <c r="X37" i="2"/>
  <c r="V37" i="2"/>
  <c r="U60" i="2"/>
  <c r="V60" i="2" s="1"/>
  <c r="V15" i="2"/>
  <c r="X15" i="2"/>
  <c r="X36" i="2"/>
  <c r="U59" i="2"/>
  <c r="V59" i="2" s="1"/>
  <c r="V36" i="2"/>
  <c r="V12" i="2"/>
  <c r="X12" i="2"/>
  <c r="X11" i="2"/>
  <c r="V11" i="2"/>
  <c r="U25" i="2"/>
  <c r="V7" i="2"/>
  <c r="U24" i="2"/>
  <c r="X7" i="2"/>
  <c r="F32" i="1"/>
  <c r="G26" i="1"/>
  <c r="I26" i="1"/>
  <c r="X8" i="2"/>
  <c r="V8" i="2"/>
  <c r="V13" i="2"/>
  <c r="X13" i="2"/>
  <c r="F30" i="1"/>
  <c r="F31" i="1" l="1"/>
  <c r="I30" i="1"/>
  <c r="G30" i="1"/>
  <c r="V26" i="2"/>
  <c r="X26" i="2"/>
  <c r="T32" i="1"/>
  <c r="X33" i="2"/>
  <c r="V33" i="2"/>
  <c r="I32" i="1"/>
  <c r="G32" i="1"/>
  <c r="G22" i="1"/>
  <c r="I22" i="1"/>
  <c r="F19" i="1"/>
  <c r="G18" i="1"/>
  <c r="I18" i="1"/>
  <c r="X24" i="2"/>
  <c r="V24" i="2"/>
  <c r="U27" i="2"/>
  <c r="X25" i="2"/>
  <c r="V25" i="2"/>
  <c r="G25" i="1"/>
  <c r="I25" i="1"/>
  <c r="V28" i="2"/>
  <c r="U51" i="2"/>
  <c r="V51" i="2" s="1"/>
  <c r="X28" i="2"/>
  <c r="X34" i="2" l="1"/>
  <c r="T33" i="1"/>
  <c r="V34" i="2"/>
  <c r="W32" i="1"/>
  <c r="U32" i="1"/>
  <c r="U58" i="2"/>
  <c r="G13" i="1"/>
  <c r="I13" i="1"/>
  <c r="F23" i="1"/>
  <c r="F14" i="1"/>
  <c r="Q40" i="2"/>
  <c r="S40" i="2"/>
  <c r="P41" i="2"/>
  <c r="I19" i="1"/>
  <c r="G19" i="1"/>
  <c r="X27" i="2"/>
  <c r="V27" i="2"/>
  <c r="U53" i="2"/>
  <c r="G31" i="1"/>
  <c r="I31" i="1"/>
  <c r="V58" i="2" l="1"/>
  <c r="V53" i="2"/>
  <c r="Q41" i="2"/>
  <c r="S41" i="2"/>
  <c r="P43" i="2"/>
  <c r="R44" i="2" s="1"/>
  <c r="W33" i="1"/>
  <c r="U33" i="1"/>
  <c r="A14" i="1"/>
  <c r="I14" i="1"/>
  <c r="G14" i="1"/>
  <c r="I23" i="1"/>
  <c r="G23" i="1"/>
  <c r="F24" i="1"/>
  <c r="S43" i="2" l="1"/>
  <c r="G43" i="2"/>
  <c r="Q43" i="2"/>
  <c r="P44" i="2"/>
  <c r="P47" i="2"/>
  <c r="G24" i="1"/>
  <c r="I24" i="1"/>
  <c r="Q31" i="31" l="1"/>
  <c r="S31" i="31"/>
  <c r="S22" i="31"/>
  <c r="Q22" i="31"/>
  <c r="Q20" i="31"/>
  <c r="S20" i="31"/>
  <c r="S19" i="31"/>
  <c r="Q19" i="31"/>
  <c r="P26" i="31"/>
  <c r="S26" i="31" l="1"/>
  <c r="Q26" i="31"/>
  <c r="S23" i="31"/>
  <c r="Q23" i="31"/>
  <c r="S21" i="31"/>
  <c r="Q21" i="31"/>
  <c r="S18" i="31"/>
  <c r="Q18" i="31"/>
  <c r="X21" i="31" l="1"/>
  <c r="V21" i="31"/>
  <c r="X20" i="31"/>
  <c r="V20" i="31"/>
  <c r="U26" i="31"/>
  <c r="U59" i="31"/>
  <c r="V59" i="31" s="1"/>
  <c r="V36" i="31"/>
  <c r="X36" i="31"/>
  <c r="V18" i="31"/>
  <c r="X18" i="31"/>
  <c r="V19" i="31"/>
  <c r="X19" i="31"/>
  <c r="V37" i="31"/>
  <c r="X37" i="31"/>
  <c r="U60" i="31"/>
  <c r="V60" i="31" s="1"/>
  <c r="V22" i="31"/>
  <c r="X22" i="31"/>
  <c r="X26" i="31" l="1"/>
  <c r="V26" i="31"/>
  <c r="V23" i="31"/>
  <c r="X23" i="31"/>
  <c r="Q10" i="31" l="1"/>
  <c r="S10" i="31"/>
  <c r="S8" i="31" l="1"/>
  <c r="Q8" i="31"/>
  <c r="Q9" i="31"/>
  <c r="S9" i="31"/>
  <c r="Q14" i="31"/>
  <c r="S14" i="31"/>
  <c r="Q29" i="31" l="1"/>
  <c r="S29" i="31"/>
  <c r="P32" i="31"/>
  <c r="S16" i="31"/>
  <c r="Q16" i="31"/>
  <c r="S12" i="31"/>
  <c r="Q12" i="31"/>
  <c r="Q30" i="31"/>
  <c r="S30" i="31"/>
  <c r="S13" i="31"/>
  <c r="Q13" i="31"/>
  <c r="P24" i="31"/>
  <c r="Q7" i="31"/>
  <c r="S7" i="31"/>
  <c r="S17" i="31"/>
  <c r="Q17" i="31"/>
  <c r="S11" i="31"/>
  <c r="P25" i="31"/>
  <c r="Q11" i="31"/>
  <c r="S15" i="31"/>
  <c r="Q15" i="31"/>
  <c r="L12" i="1" l="1"/>
  <c r="N12" i="1"/>
  <c r="S25" i="31"/>
  <c r="Q25" i="31"/>
  <c r="Q24" i="31"/>
  <c r="P27" i="31"/>
  <c r="S24" i="31"/>
  <c r="N11" i="1"/>
  <c r="L11" i="1"/>
  <c r="S28" i="31"/>
  <c r="Q28" i="31"/>
  <c r="Q33" i="31"/>
  <c r="S33" i="31"/>
  <c r="L10" i="1"/>
  <c r="N10" i="1"/>
  <c r="S32" i="31"/>
  <c r="Q32" i="31"/>
  <c r="S34" i="31" l="1"/>
  <c r="Q34" i="31"/>
  <c r="Q27" i="31"/>
  <c r="S27" i="31"/>
  <c r="Q40" i="31" l="1"/>
  <c r="S40" i="31"/>
  <c r="P41" i="31"/>
  <c r="L13" i="1"/>
  <c r="N13" i="1"/>
  <c r="K14" i="1"/>
  <c r="L14" i="1" l="1"/>
  <c r="B14" i="1"/>
  <c r="N14" i="1"/>
  <c r="Q41" i="31"/>
  <c r="S41" i="31"/>
  <c r="P43" i="31"/>
  <c r="P49" i="31" l="1"/>
  <c r="R44" i="31"/>
  <c r="S43" i="31"/>
  <c r="Q43" i="31"/>
  <c r="P44" i="31"/>
  <c r="G43" i="31"/>
  <c r="P47" i="31"/>
  <c r="N16" i="1" l="1"/>
  <c r="L16" i="1"/>
  <c r="K21" i="1"/>
  <c r="L21" i="1" l="1"/>
  <c r="N21" i="1"/>
  <c r="N17" i="1" l="1"/>
  <c r="L17" i="1"/>
  <c r="K22" i="1"/>
  <c r="N15" i="1"/>
  <c r="L15" i="1"/>
  <c r="K20" i="1"/>
  <c r="N20" i="1" l="1"/>
  <c r="L20" i="1"/>
  <c r="L22" i="1"/>
  <c r="N22" i="1"/>
  <c r="N18" i="1" l="1"/>
  <c r="L18" i="1"/>
  <c r="K23" i="1"/>
  <c r="K19" i="1"/>
  <c r="X34" i="31" l="1"/>
  <c r="V34" i="31"/>
  <c r="N19" i="1"/>
  <c r="L19" i="1"/>
  <c r="N23" i="1"/>
  <c r="L23" i="1"/>
  <c r="K24" i="1"/>
  <c r="N24" i="1" l="1"/>
  <c r="L24" i="1"/>
  <c r="X10" i="31" l="1"/>
  <c r="V10" i="31"/>
  <c r="X7" i="31" l="1"/>
  <c r="V7" i="31"/>
  <c r="V8" i="31" l="1"/>
  <c r="X8" i="31"/>
  <c r="V9" i="31" l="1"/>
  <c r="X9" i="31"/>
  <c r="U24" i="31"/>
  <c r="X24" i="31" l="1"/>
  <c r="V24" i="31"/>
  <c r="X17" i="31" l="1"/>
  <c r="V17" i="31"/>
  <c r="V16" i="31" l="1"/>
  <c r="X16" i="31"/>
  <c r="X11" i="31" l="1"/>
  <c r="V11" i="31"/>
  <c r="X14" i="31" l="1"/>
  <c r="V14" i="31"/>
  <c r="X12" i="31"/>
  <c r="V12" i="31"/>
  <c r="V15" i="31" l="1"/>
  <c r="X15" i="31"/>
  <c r="V13" i="31" l="1"/>
  <c r="X13" i="31"/>
  <c r="U25" i="31"/>
  <c r="L25" i="1"/>
  <c r="N25" i="1"/>
  <c r="K30" i="1"/>
  <c r="N30" i="1" l="1"/>
  <c r="L30" i="1"/>
  <c r="K31" i="1"/>
  <c r="V25" i="31"/>
  <c r="X25" i="31"/>
  <c r="U27" i="31"/>
  <c r="X27" i="31" l="1"/>
  <c r="V27" i="31"/>
  <c r="N31" i="1"/>
  <c r="L31" i="1"/>
  <c r="U53" i="31" l="1"/>
  <c r="X33" i="31"/>
  <c r="V33" i="31"/>
  <c r="U58" i="31"/>
  <c r="V58" i="31" l="1"/>
  <c r="V53" i="31"/>
  <c r="X31" i="31" l="1"/>
  <c r="V31" i="31"/>
  <c r="L26" i="1" l="1"/>
  <c r="N26" i="1"/>
  <c r="K32" i="1"/>
  <c r="U51" i="31" l="1"/>
  <c r="V51" i="31" s="1"/>
  <c r="V28" i="31"/>
  <c r="X28" i="31"/>
  <c r="L32" i="1"/>
  <c r="N32" i="1"/>
  <c r="F8" i="1" l="1"/>
  <c r="K28" i="2"/>
  <c r="F46" i="2" l="1"/>
  <c r="G46" i="2"/>
  <c r="L28" i="2"/>
  <c r="N28" i="2"/>
  <c r="I8" i="1"/>
  <c r="G8" i="1"/>
  <c r="K8" i="2" l="1"/>
  <c r="K19" i="2"/>
  <c r="K10" i="2"/>
  <c r="K18" i="2"/>
  <c r="K17" i="2"/>
  <c r="K16" i="2"/>
  <c r="K15" i="2"/>
  <c r="K14" i="2"/>
  <c r="K13" i="2"/>
  <c r="K9" i="2"/>
  <c r="K31" i="2"/>
  <c r="K12" i="2"/>
  <c r="K30" i="2"/>
  <c r="K23" i="2"/>
  <c r="K20" i="2"/>
  <c r="K21" i="2"/>
  <c r="N13" i="2" l="1"/>
  <c r="L13" i="2"/>
  <c r="L15" i="2"/>
  <c r="N15" i="2"/>
  <c r="L14" i="2"/>
  <c r="N14" i="2"/>
  <c r="N20" i="2"/>
  <c r="L20" i="2"/>
  <c r="N17" i="2"/>
  <c r="L17" i="2"/>
  <c r="L21" i="2"/>
  <c r="N21" i="2"/>
  <c r="L23" i="2"/>
  <c r="N23" i="2"/>
  <c r="N18" i="2"/>
  <c r="L18" i="2"/>
  <c r="L10" i="2"/>
  <c r="N10" i="2"/>
  <c r="L19" i="2"/>
  <c r="N19" i="2"/>
  <c r="N30" i="2"/>
  <c r="L30" i="2"/>
  <c r="L12" i="2"/>
  <c r="N12" i="2"/>
  <c r="N8" i="2"/>
  <c r="L8" i="2"/>
  <c r="L16" i="2"/>
  <c r="N16" i="2"/>
  <c r="L31" i="2"/>
  <c r="N31" i="2"/>
  <c r="L9" i="2"/>
  <c r="N9" i="2"/>
  <c r="K7" i="2"/>
  <c r="K29" i="2"/>
  <c r="K11" i="2"/>
  <c r="K22" i="2"/>
  <c r="K32" i="2" l="1"/>
  <c r="L29" i="2"/>
  <c r="N29" i="2"/>
  <c r="L22" i="2"/>
  <c r="N22" i="2"/>
  <c r="L11" i="2"/>
  <c r="N11" i="2"/>
  <c r="K25" i="2"/>
  <c r="F25" i="2" s="1"/>
  <c r="N7" i="2"/>
  <c r="L7" i="2"/>
  <c r="K24" i="2"/>
  <c r="F24" i="2" s="1"/>
  <c r="K26" i="2"/>
  <c r="F26" i="2" s="1"/>
  <c r="F7" i="1"/>
  <c r="F9" i="1" l="1"/>
  <c r="N26" i="2"/>
  <c r="L26" i="2"/>
  <c r="K27" i="2"/>
  <c r="L24" i="2"/>
  <c r="N24" i="2"/>
  <c r="L25" i="2"/>
  <c r="N25" i="2"/>
  <c r="I7" i="1"/>
  <c r="G7" i="1"/>
  <c r="A7" i="1"/>
  <c r="N32" i="2"/>
  <c r="G47" i="2"/>
  <c r="F47" i="2"/>
  <c r="AY12" i="30"/>
  <c r="L32" i="2"/>
  <c r="K46" i="2"/>
  <c r="K47" i="2" s="1"/>
  <c r="AY12" i="33" l="1"/>
  <c r="N27" i="2"/>
  <c r="L27" i="2"/>
  <c r="G27" i="2"/>
  <c r="F27" i="2"/>
  <c r="G9" i="1"/>
  <c r="I9" i="1"/>
  <c r="K28" i="31" l="1"/>
  <c r="K8" i="1"/>
  <c r="N8" i="1" l="1"/>
  <c r="L8" i="1"/>
  <c r="L28" i="31"/>
  <c r="N28" i="31"/>
  <c r="K44" i="31"/>
  <c r="M44" i="31"/>
  <c r="K8" i="31" l="1"/>
  <c r="K7" i="31" l="1"/>
  <c r="K9" i="31"/>
  <c r="K31" i="31"/>
  <c r="N8" i="31"/>
  <c r="L8" i="31"/>
  <c r="K30" i="31"/>
  <c r="K18" i="31"/>
  <c r="K14" i="31"/>
  <c r="K11" i="31"/>
  <c r="K23" i="31"/>
  <c r="K12" i="31"/>
  <c r="K17" i="31"/>
  <c r="L18" i="31" l="1"/>
  <c r="N18" i="31"/>
  <c r="K29" i="31"/>
  <c r="K15" i="31"/>
  <c r="K21" i="31"/>
  <c r="K7" i="1"/>
  <c r="K10" i="31"/>
  <c r="K22" i="31"/>
  <c r="L30" i="31"/>
  <c r="N30" i="31"/>
  <c r="K19" i="31"/>
  <c r="L11" i="31"/>
  <c r="N11" i="31"/>
  <c r="N23" i="31"/>
  <c r="L23" i="31"/>
  <c r="L31" i="31"/>
  <c r="N31" i="31"/>
  <c r="L17" i="31"/>
  <c r="N17" i="31"/>
  <c r="K13" i="31"/>
  <c r="K16" i="31"/>
  <c r="N9" i="31"/>
  <c r="L9" i="31"/>
  <c r="L12" i="31"/>
  <c r="N12" i="31"/>
  <c r="K20" i="31"/>
  <c r="N14" i="31"/>
  <c r="L14" i="31"/>
  <c r="L7" i="31"/>
  <c r="N7" i="31"/>
  <c r="K9" i="1"/>
  <c r="K25" i="31" l="1"/>
  <c r="F25" i="31" s="1"/>
  <c r="K46" i="31"/>
  <c r="L19" i="31"/>
  <c r="K26" i="31"/>
  <c r="F26" i="31" s="1"/>
  <c r="N19" i="31"/>
  <c r="N25" i="31"/>
  <c r="L25" i="31"/>
  <c r="N22" i="31"/>
  <c r="L22" i="31"/>
  <c r="N9" i="1"/>
  <c r="L9" i="1"/>
  <c r="L16" i="31"/>
  <c r="N16" i="31"/>
  <c r="L10" i="31"/>
  <c r="N10" i="31"/>
  <c r="L7" i="1"/>
  <c r="B7" i="1"/>
  <c r="N7" i="1"/>
  <c r="N13" i="31"/>
  <c r="L13" i="31"/>
  <c r="L21" i="31"/>
  <c r="N21" i="31"/>
  <c r="N15" i="31"/>
  <c r="L15" i="31"/>
  <c r="L29" i="31"/>
  <c r="N29" i="31"/>
  <c r="K32" i="31"/>
  <c r="K24" i="31"/>
  <c r="F24" i="31" s="1"/>
  <c r="N20" i="31"/>
  <c r="L20" i="31"/>
  <c r="N24" i="31" l="1"/>
  <c r="K27" i="31"/>
  <c r="L24" i="31"/>
  <c r="N32" i="31"/>
  <c r="M45" i="31"/>
  <c r="K45" i="31"/>
  <c r="K57" i="31"/>
  <c r="L57" i="31" s="1"/>
  <c r="L32" i="31"/>
  <c r="L26" i="31"/>
  <c r="N26" i="31"/>
  <c r="F27" i="31" l="1"/>
  <c r="L27" i="31"/>
  <c r="N27" i="31"/>
  <c r="G27" i="31"/>
  <c r="K47" i="31"/>
  <c r="U30" i="31" l="1"/>
  <c r="K27" i="1" l="1"/>
  <c r="X30" i="31"/>
  <c r="V30" i="31"/>
  <c r="U30" i="2"/>
  <c r="U29" i="2"/>
  <c r="F27" i="1"/>
  <c r="U35" i="2"/>
  <c r="X35" i="2" l="1"/>
  <c r="V35" i="2"/>
  <c r="T34" i="1"/>
  <c r="U50" i="2"/>
  <c r="F28" i="1"/>
  <c r="G27" i="1"/>
  <c r="I27" i="1"/>
  <c r="F33" i="1"/>
  <c r="U32" i="2"/>
  <c r="V29" i="2"/>
  <c r="X29" i="2"/>
  <c r="X30" i="2"/>
  <c r="V30" i="2"/>
  <c r="U38" i="2"/>
  <c r="U35" i="31"/>
  <c r="U29" i="31"/>
  <c r="N27" i="1"/>
  <c r="L27" i="1"/>
  <c r="K33" i="1"/>
  <c r="F34" i="1" l="1"/>
  <c r="I28" i="1"/>
  <c r="G28" i="1"/>
  <c r="AY20" i="30"/>
  <c r="V32" i="2"/>
  <c r="U52" i="2"/>
  <c r="V52" i="2" s="1"/>
  <c r="X32" i="2"/>
  <c r="V38" i="2"/>
  <c r="U61" i="2"/>
  <c r="X38" i="2"/>
  <c r="V50" i="2"/>
  <c r="W50" i="2"/>
  <c r="N33" i="1"/>
  <c r="L33" i="1"/>
  <c r="U34" i="1"/>
  <c r="W34" i="1"/>
  <c r="V35" i="31"/>
  <c r="X35" i="31"/>
  <c r="U50" i="31"/>
  <c r="U38" i="31"/>
  <c r="X29" i="31"/>
  <c r="U32" i="31"/>
  <c r="V29" i="31"/>
  <c r="F29" i="1"/>
  <c r="U46" i="2"/>
  <c r="F38" i="1"/>
  <c r="U40" i="2"/>
  <c r="U66" i="2" s="1"/>
  <c r="V66" i="2" s="1"/>
  <c r="G33" i="1"/>
  <c r="I33" i="1"/>
  <c r="F35" i="1"/>
  <c r="AY20" i="33" l="1"/>
  <c r="V61" i="2"/>
  <c r="K28" i="1"/>
  <c r="U62" i="2"/>
  <c r="V62" i="2" s="1"/>
  <c r="V63" i="2" s="1"/>
  <c r="X40" i="2"/>
  <c r="V40" i="2"/>
  <c r="K58" i="31"/>
  <c r="L58" i="31" s="1"/>
  <c r="U52" i="31"/>
  <c r="V52" i="31" s="1"/>
  <c r="V32" i="31"/>
  <c r="X32" i="31"/>
  <c r="U54" i="2"/>
  <c r="G29" i="1"/>
  <c r="I29" i="1"/>
  <c r="U61" i="31"/>
  <c r="V38" i="31"/>
  <c r="X38" i="31"/>
  <c r="V50" i="31"/>
  <c r="W50" i="31"/>
  <c r="I34" i="1"/>
  <c r="G34" i="1"/>
  <c r="G35" i="1"/>
  <c r="F36" i="1"/>
  <c r="I35" i="1"/>
  <c r="F40" i="1"/>
  <c r="F39" i="1"/>
  <c r="U41" i="2"/>
  <c r="V54" i="2" l="1"/>
  <c r="V55" i="2" s="1"/>
  <c r="U55" i="2"/>
  <c r="N28" i="1"/>
  <c r="L28" i="1"/>
  <c r="K34" i="1"/>
  <c r="K29" i="1"/>
  <c r="U46" i="31"/>
  <c r="K38" i="1"/>
  <c r="U40" i="31"/>
  <c r="U63" i="2"/>
  <c r="T36" i="1"/>
  <c r="V41" i="2"/>
  <c r="X41" i="2"/>
  <c r="U43" i="2"/>
  <c r="U56" i="2"/>
  <c r="V56" i="2" s="1"/>
  <c r="G36" i="1"/>
  <c r="I36" i="1"/>
  <c r="V61" i="31"/>
  <c r="U54" i="31" l="1"/>
  <c r="G44" i="2"/>
  <c r="V43" i="2"/>
  <c r="X43" i="2"/>
  <c r="U44" i="2"/>
  <c r="U47" i="2"/>
  <c r="L29" i="1"/>
  <c r="N29" i="1"/>
  <c r="N34" i="1"/>
  <c r="L34" i="1"/>
  <c r="K35" i="1"/>
  <c r="X40" i="31"/>
  <c r="V40" i="31"/>
  <c r="U62" i="31"/>
  <c r="U69" i="31"/>
  <c r="V69" i="31" s="1"/>
  <c r="U41" i="31"/>
  <c r="W36" i="1"/>
  <c r="U36" i="1"/>
  <c r="T35" i="1"/>
  <c r="W35" i="1" l="1"/>
  <c r="U35" i="1"/>
  <c r="V62" i="31"/>
  <c r="V63" i="31" s="1"/>
  <c r="U63" i="31"/>
  <c r="K40" i="1"/>
  <c r="K39" i="1"/>
  <c r="L35" i="1"/>
  <c r="N35" i="1"/>
  <c r="K36" i="1"/>
  <c r="X41" i="31"/>
  <c r="V41" i="31"/>
  <c r="U43" i="31"/>
  <c r="V54" i="31"/>
  <c r="V55" i="31" s="1"/>
  <c r="U55" i="31"/>
  <c r="U56" i="31"/>
  <c r="V56" i="31" s="1"/>
  <c r="U44" i="31" l="1"/>
  <c r="V43" i="31"/>
  <c r="V44" i="31" s="1"/>
  <c r="X43" i="31"/>
  <c r="X44" i="31" s="1"/>
  <c r="G44" i="31"/>
  <c r="U47" i="31"/>
  <c r="L36" i="1"/>
  <c r="N36" i="1"/>
  <c r="Q13" i="30" l="1"/>
  <c r="T13" i="30"/>
  <c r="N13" i="30"/>
  <c r="K13" i="30"/>
  <c r="H13" i="30"/>
  <c r="Q15" i="30"/>
  <c r="T15" i="30"/>
  <c r="N15" i="30"/>
  <c r="K15" i="30"/>
  <c r="H15" i="30"/>
  <c r="Q26" i="30"/>
  <c r="T26" i="30"/>
  <c r="N26" i="30"/>
  <c r="K26" i="30"/>
  <c r="Q25" i="30"/>
  <c r="T25" i="30"/>
  <c r="N25" i="30"/>
  <c r="K25" i="30"/>
  <c r="Q24" i="30"/>
  <c r="T24" i="30"/>
  <c r="N24" i="30"/>
  <c r="K24" i="30"/>
  <c r="Q23" i="30"/>
  <c r="T23" i="30"/>
  <c r="N23" i="30"/>
  <c r="K23" i="30"/>
  <c r="Q22" i="30"/>
  <c r="T22" i="30"/>
  <c r="N22" i="30"/>
  <c r="K22" i="30"/>
  <c r="Q21" i="30"/>
  <c r="T21" i="30"/>
  <c r="N21" i="30"/>
  <c r="K21" i="30"/>
  <c r="Q10" i="30"/>
  <c r="T10" i="30"/>
  <c r="N10" i="30"/>
  <c r="K10" i="30"/>
  <c r="AF13" i="30"/>
  <c r="AC13" i="30"/>
  <c r="Z13" i="30"/>
  <c r="AF15" i="30"/>
  <c r="AC15" i="30"/>
  <c r="Z15" i="30"/>
  <c r="AF26" i="30"/>
  <c r="AC26" i="30"/>
  <c r="Z26" i="30"/>
  <c r="AF25" i="30"/>
  <c r="AC25" i="30"/>
  <c r="Z25" i="30"/>
  <c r="AF24" i="30"/>
  <c r="AC24" i="30"/>
  <c r="Z24" i="30"/>
  <c r="AF23" i="30"/>
  <c r="AC23" i="30"/>
  <c r="Z23" i="30"/>
  <c r="AF22" i="30"/>
  <c r="AC22" i="30"/>
  <c r="Z22" i="30"/>
  <c r="AF21" i="30"/>
  <c r="AC21" i="30"/>
  <c r="Z21" i="30"/>
  <c r="AF10" i="30"/>
  <c r="AC10" i="30"/>
  <c r="Z10" i="30"/>
  <c r="H24" i="30" l="1"/>
  <c r="H25" i="30"/>
  <c r="H22" i="30"/>
  <c r="H26" i="30"/>
  <c r="H21" i="30"/>
  <c r="H10" i="30"/>
  <c r="H16" i="30" s="1"/>
  <c r="I16" i="30" s="1"/>
  <c r="H23" i="30"/>
  <c r="I23" i="30" s="1"/>
  <c r="K21" i="33"/>
  <c r="K27" i="30"/>
  <c r="L27" i="30" s="1"/>
  <c r="L21" i="30"/>
  <c r="T25" i="33"/>
  <c r="U25" i="30"/>
  <c r="T31" i="30"/>
  <c r="U31" i="30" s="1"/>
  <c r="T15" i="33"/>
  <c r="T16" i="30"/>
  <c r="U16" i="30" s="1"/>
  <c r="U15" i="30"/>
  <c r="AF22" i="33"/>
  <c r="AG22" i="30"/>
  <c r="AF28" i="30"/>
  <c r="AG28" i="30" s="1"/>
  <c r="AC15" i="33"/>
  <c r="AC16" i="30"/>
  <c r="AD16" i="30" s="1"/>
  <c r="AD15" i="30"/>
  <c r="Q27" i="30"/>
  <c r="R27" i="30" s="1"/>
  <c r="R21" i="30"/>
  <c r="Q31" i="30"/>
  <c r="R31" i="30" s="1"/>
  <c r="R25" i="30"/>
  <c r="R15" i="30"/>
  <c r="Q16" i="30"/>
  <c r="R16" i="30" s="1"/>
  <c r="AC23" i="33"/>
  <c r="AC29" i="30"/>
  <c r="AD29" i="30" s="1"/>
  <c r="AD23" i="30"/>
  <c r="Z13" i="33"/>
  <c r="AI13" i="30"/>
  <c r="AA13" i="30"/>
  <c r="Z17" i="30"/>
  <c r="AA17" i="30" s="1"/>
  <c r="Z42" i="30"/>
  <c r="K22" i="33"/>
  <c r="K28" i="30"/>
  <c r="L28" i="30" s="1"/>
  <c r="L22" i="30"/>
  <c r="K26" i="33"/>
  <c r="L26" i="30"/>
  <c r="K32" i="30"/>
  <c r="L32" i="30" s="1"/>
  <c r="K13" i="33"/>
  <c r="K17" i="30"/>
  <c r="L17" i="30" s="1"/>
  <c r="K42" i="30"/>
  <c r="L13" i="30"/>
  <c r="Z22" i="33"/>
  <c r="AA22" i="30"/>
  <c r="Z28" i="30"/>
  <c r="AI22" i="30"/>
  <c r="AJ22" i="30" s="1"/>
  <c r="AF23" i="33"/>
  <c r="AF29" i="30"/>
  <c r="AG29" i="30" s="1"/>
  <c r="AG23" i="30"/>
  <c r="AC13" i="33"/>
  <c r="AC17" i="30"/>
  <c r="AD17" i="30" s="1"/>
  <c r="AC42" i="30"/>
  <c r="AD13" i="30"/>
  <c r="N22" i="33"/>
  <c r="O22" i="30"/>
  <c r="N28" i="30"/>
  <c r="O28" i="30" s="1"/>
  <c r="N26" i="33"/>
  <c r="N32" i="30"/>
  <c r="O32" i="30" s="1"/>
  <c r="O26" i="30"/>
  <c r="N13" i="33"/>
  <c r="N17" i="30"/>
  <c r="O17" i="30" s="1"/>
  <c r="O13" i="30"/>
  <c r="N25" i="33"/>
  <c r="N31" i="30"/>
  <c r="O31" i="30" s="1"/>
  <c r="O25" i="30"/>
  <c r="Z15" i="33"/>
  <c r="Z16" i="30"/>
  <c r="AA16" i="30" s="1"/>
  <c r="AI15" i="30"/>
  <c r="AA15" i="30"/>
  <c r="Z24" i="33"/>
  <c r="AA24" i="30"/>
  <c r="Z30" i="30"/>
  <c r="AI24" i="30"/>
  <c r="AJ24" i="30" s="1"/>
  <c r="AF13" i="33"/>
  <c r="AF17" i="30"/>
  <c r="AG17" i="30" s="1"/>
  <c r="AG13" i="30"/>
  <c r="T22" i="33"/>
  <c r="T28" i="30"/>
  <c r="U28" i="30" s="1"/>
  <c r="U22" i="30"/>
  <c r="T26" i="33"/>
  <c r="U26" i="30"/>
  <c r="T32" i="30"/>
  <c r="U32" i="30" s="1"/>
  <c r="T13" i="33"/>
  <c r="T17" i="30"/>
  <c r="U17" i="30" s="1"/>
  <c r="U13" i="30"/>
  <c r="N21" i="33"/>
  <c r="N27" i="30"/>
  <c r="O27" i="30" s="1"/>
  <c r="O21" i="30"/>
  <c r="H13" i="33"/>
  <c r="W13" i="30"/>
  <c r="I13" i="30"/>
  <c r="H42" i="30"/>
  <c r="H17" i="30"/>
  <c r="I17" i="30" s="1"/>
  <c r="AC24" i="33"/>
  <c r="AC30" i="30"/>
  <c r="AD30" i="30" s="1"/>
  <c r="AD24" i="30"/>
  <c r="Q28" i="30"/>
  <c r="R28" i="30" s="1"/>
  <c r="R22" i="30"/>
  <c r="Q32" i="30"/>
  <c r="R32" i="30" s="1"/>
  <c r="R26" i="30"/>
  <c r="Q17" i="30"/>
  <c r="R17" i="30" s="1"/>
  <c r="R13" i="30"/>
  <c r="T21" i="33"/>
  <c r="T27" i="30"/>
  <c r="U27" i="30" s="1"/>
  <c r="U21" i="30"/>
  <c r="AF24" i="33"/>
  <c r="AG24" i="30"/>
  <c r="AF30" i="30"/>
  <c r="AG30" i="30" s="1"/>
  <c r="H23" i="33"/>
  <c r="H29" i="30"/>
  <c r="I29" i="30" s="1"/>
  <c r="H22" i="33"/>
  <c r="H28" i="30"/>
  <c r="I28" i="30" s="1"/>
  <c r="I22" i="30"/>
  <c r="W22" i="30"/>
  <c r="Z25" i="33"/>
  <c r="Z31" i="30"/>
  <c r="AA25" i="30"/>
  <c r="AI25" i="30"/>
  <c r="AJ25" i="30" s="1"/>
  <c r="K23" i="33"/>
  <c r="K29" i="30"/>
  <c r="L29" i="30" s="1"/>
  <c r="L23" i="30"/>
  <c r="AC25" i="33"/>
  <c r="AD25" i="30"/>
  <c r="AC31" i="30"/>
  <c r="AD31" i="30" s="1"/>
  <c r="N23" i="33"/>
  <c r="O23" i="30"/>
  <c r="N29" i="30"/>
  <c r="O29" i="30" s="1"/>
  <c r="AF25" i="33"/>
  <c r="AG25" i="30"/>
  <c r="AF31" i="30"/>
  <c r="AG31" i="30" s="1"/>
  <c r="T23" i="33"/>
  <c r="T29" i="30"/>
  <c r="U29" i="30" s="1"/>
  <c r="U23" i="30"/>
  <c r="AC22" i="33"/>
  <c r="AD22" i="30"/>
  <c r="AC28" i="30"/>
  <c r="AD28" i="30" s="1"/>
  <c r="Z26" i="33"/>
  <c r="AA26" i="30"/>
  <c r="Z32" i="30"/>
  <c r="AI26" i="30"/>
  <c r="AJ26" i="30" s="1"/>
  <c r="Q29" i="30"/>
  <c r="R29" i="30" s="1"/>
  <c r="R23" i="30"/>
  <c r="H26" i="33"/>
  <c r="I26" i="30"/>
  <c r="H32" i="30"/>
  <c r="I32" i="30" s="1"/>
  <c r="W26" i="30"/>
  <c r="AC26" i="33"/>
  <c r="AD26" i="30"/>
  <c r="AC32" i="30"/>
  <c r="AD32" i="30" s="1"/>
  <c r="W10" i="30"/>
  <c r="H24" i="33"/>
  <c r="I24" i="30"/>
  <c r="H30" i="30"/>
  <c r="I30" i="30" s="1"/>
  <c r="W24" i="30"/>
  <c r="Z10" i="33"/>
  <c r="AA10" i="30"/>
  <c r="AI10" i="30"/>
  <c r="AF26" i="33"/>
  <c r="AF32" i="30"/>
  <c r="AG32" i="30" s="1"/>
  <c r="AG26" i="30"/>
  <c r="K10" i="33"/>
  <c r="L10" i="30"/>
  <c r="K24" i="33"/>
  <c r="K30" i="30"/>
  <c r="L30" i="30" s="1"/>
  <c r="L24" i="30"/>
  <c r="AF21" i="33"/>
  <c r="AG21" i="30"/>
  <c r="AF27" i="30"/>
  <c r="AG27" i="30" s="1"/>
  <c r="AC10" i="33"/>
  <c r="AD10" i="30"/>
  <c r="N10" i="33"/>
  <c r="O10" i="30"/>
  <c r="N24" i="33"/>
  <c r="N30" i="30"/>
  <c r="O30" i="30" s="1"/>
  <c r="O24" i="30"/>
  <c r="Z23" i="33"/>
  <c r="Z29" i="30"/>
  <c r="AA23" i="30"/>
  <c r="AI23" i="30"/>
  <c r="AJ23" i="30" s="1"/>
  <c r="AF10" i="33"/>
  <c r="AG10" i="33" s="1"/>
  <c r="AG10" i="30"/>
  <c r="T10" i="33"/>
  <c r="U10" i="30"/>
  <c r="T24" i="33"/>
  <c r="U24" i="30"/>
  <c r="T30" i="30"/>
  <c r="U30" i="30" s="1"/>
  <c r="K15" i="33"/>
  <c r="K16" i="30"/>
  <c r="L16" i="30" s="1"/>
  <c r="L15" i="30"/>
  <c r="Z21" i="33"/>
  <c r="AI21" i="30"/>
  <c r="AJ21" i="30" s="1"/>
  <c r="AA21" i="30"/>
  <c r="Z27" i="30"/>
  <c r="R10" i="30"/>
  <c r="Q30" i="30"/>
  <c r="R30" i="30" s="1"/>
  <c r="R24" i="30"/>
  <c r="K25" i="33"/>
  <c r="L25" i="30"/>
  <c r="K31" i="30"/>
  <c r="L31" i="30" s="1"/>
  <c r="N15" i="33"/>
  <c r="N16" i="30"/>
  <c r="O16" i="30" s="1"/>
  <c r="O15" i="30"/>
  <c r="AF15" i="33"/>
  <c r="AG15" i="30"/>
  <c r="AF16" i="30"/>
  <c r="AG16" i="30" s="1"/>
  <c r="AC21" i="33"/>
  <c r="AC27" i="30"/>
  <c r="AD27" i="30" s="1"/>
  <c r="AD21" i="30"/>
  <c r="H21" i="33"/>
  <c r="I21" i="30"/>
  <c r="H27" i="30"/>
  <c r="I27" i="30" s="1"/>
  <c r="W21" i="30"/>
  <c r="H25" i="33"/>
  <c r="I25" i="30"/>
  <c r="H31" i="30"/>
  <c r="I31" i="30" s="1"/>
  <c r="W25" i="30"/>
  <c r="H15" i="33"/>
  <c r="I15" i="30"/>
  <c r="W15" i="30"/>
  <c r="I10" i="30" l="1"/>
  <c r="H10" i="33"/>
  <c r="W23" i="30"/>
  <c r="AF16" i="33"/>
  <c r="AG16" i="33" s="1"/>
  <c r="AG15" i="33"/>
  <c r="W29" i="30"/>
  <c r="X29" i="30" s="1"/>
  <c r="X23" i="30"/>
  <c r="AU23" i="30"/>
  <c r="W17" i="30"/>
  <c r="X17" i="30" s="1"/>
  <c r="AU15" i="30"/>
  <c r="W16" i="30"/>
  <c r="X16" i="30" s="1"/>
  <c r="X15" i="30"/>
  <c r="L24" i="33"/>
  <c r="K30" i="33"/>
  <c r="L30" i="33" s="1"/>
  <c r="AG25" i="33"/>
  <c r="AF31" i="33"/>
  <c r="AG31" i="33" s="1"/>
  <c r="AG13" i="33"/>
  <c r="AF17" i="33"/>
  <c r="AG17" i="33" s="1"/>
  <c r="H28" i="33"/>
  <c r="I28" i="33" s="1"/>
  <c r="W22" i="33"/>
  <c r="I22" i="33"/>
  <c r="N32" i="33"/>
  <c r="O32" i="33" s="1"/>
  <c r="O26" i="33"/>
  <c r="AC32" i="33"/>
  <c r="AD32" i="33" s="1"/>
  <c r="AD26" i="33"/>
  <c r="W23" i="33"/>
  <c r="I23" i="33"/>
  <c r="H29" i="33"/>
  <c r="I29" i="33" s="1"/>
  <c r="N28" i="33"/>
  <c r="O28" i="33" s="1"/>
  <c r="O22" i="33"/>
  <c r="K32" i="33"/>
  <c r="L32" i="33" s="1"/>
  <c r="L26" i="33"/>
  <c r="K17" i="33"/>
  <c r="L17" i="33" s="1"/>
  <c r="K42" i="33"/>
  <c r="L13" i="33"/>
  <c r="W32" i="30"/>
  <c r="X32" i="30" s="1"/>
  <c r="AU26" i="30"/>
  <c r="X26" i="30"/>
  <c r="X13" i="30"/>
  <c r="AU13" i="30"/>
  <c r="W42" i="30"/>
  <c r="AA30" i="30"/>
  <c r="AI30" i="30"/>
  <c r="AJ30" i="30" s="1"/>
  <c r="AC16" i="33"/>
  <c r="AD16" i="33" s="1"/>
  <c r="AD15" i="33"/>
  <c r="U10" i="33"/>
  <c r="L10" i="33"/>
  <c r="O23" i="33"/>
  <c r="N29" i="33"/>
  <c r="O29" i="33" s="1"/>
  <c r="I13" i="33"/>
  <c r="W13" i="33"/>
  <c r="H42" i="33"/>
  <c r="H17" i="33"/>
  <c r="I17" i="33" s="1"/>
  <c r="AC30" i="33"/>
  <c r="AD30" i="33" s="1"/>
  <c r="AD24" i="33"/>
  <c r="AF30" i="33"/>
  <c r="AG30" i="33" s="1"/>
  <c r="AG24" i="33"/>
  <c r="AI24" i="33"/>
  <c r="AJ24" i="33" s="1"/>
  <c r="Z30" i="33"/>
  <c r="AA24" i="33"/>
  <c r="L22" i="33"/>
  <c r="K28" i="33"/>
  <c r="L28" i="33" s="1"/>
  <c r="W10" i="33"/>
  <c r="I10" i="33"/>
  <c r="H32" i="33"/>
  <c r="I32" i="33" s="1"/>
  <c r="I26" i="33"/>
  <c r="W26" i="33"/>
  <c r="AG22" i="33"/>
  <c r="AF28" i="33"/>
  <c r="AG28" i="33" s="1"/>
  <c r="T30" i="33"/>
  <c r="U30" i="33" s="1"/>
  <c r="U24" i="33"/>
  <c r="W15" i="33"/>
  <c r="H16" i="33"/>
  <c r="I16" i="33" s="1"/>
  <c r="I15" i="33"/>
  <c r="N27" i="33"/>
  <c r="O27" i="33" s="1"/>
  <c r="O21" i="33"/>
  <c r="AJ15" i="30"/>
  <c r="AI16" i="30"/>
  <c r="AJ16" i="30" s="1"/>
  <c r="AC17" i="33"/>
  <c r="AD17" i="33" s="1"/>
  <c r="AC42" i="33"/>
  <c r="AD13" i="33"/>
  <c r="N16" i="33"/>
  <c r="O16" i="33" s="1"/>
  <c r="O15" i="33"/>
  <c r="K31" i="33"/>
  <c r="L31" i="33" s="1"/>
  <c r="L25" i="33"/>
  <c r="U21" i="33"/>
  <c r="T27" i="33"/>
  <c r="U27" i="33" s="1"/>
  <c r="U23" i="33"/>
  <c r="T29" i="33"/>
  <c r="U29" i="33" s="1"/>
  <c r="Z16" i="33"/>
  <c r="AA16" i="33" s="1"/>
  <c r="AI15" i="33"/>
  <c r="AA15" i="33"/>
  <c r="U15" i="33"/>
  <c r="T16" i="33"/>
  <c r="U16" i="33" s="1"/>
  <c r="U22" i="33"/>
  <c r="T28" i="33"/>
  <c r="U28" i="33" s="1"/>
  <c r="AA32" i="30"/>
  <c r="AI32" i="30"/>
  <c r="AJ32" i="30" s="1"/>
  <c r="L23" i="33"/>
  <c r="K29" i="33"/>
  <c r="L29" i="33" s="1"/>
  <c r="AF29" i="33"/>
  <c r="AG29" i="33" s="1"/>
  <c r="AG23" i="33"/>
  <c r="AI17" i="30"/>
  <c r="AJ17" i="30" s="1"/>
  <c r="AJ13" i="30"/>
  <c r="AI42" i="30"/>
  <c r="AI10" i="33"/>
  <c r="AA10" i="33"/>
  <c r="T17" i="33"/>
  <c r="U17" i="33" s="1"/>
  <c r="U13" i="33"/>
  <c r="Z17" i="33"/>
  <c r="AA17" i="33" s="1"/>
  <c r="AI13" i="33"/>
  <c r="Z42" i="33"/>
  <c r="AA13" i="33"/>
  <c r="N17" i="33"/>
  <c r="O17" i="33" s="1"/>
  <c r="O13" i="33"/>
  <c r="AU10" i="30"/>
  <c r="X10" i="30"/>
  <c r="H31" i="33"/>
  <c r="I31" i="33" s="1"/>
  <c r="I25" i="33"/>
  <c r="W25" i="33"/>
  <c r="AJ10" i="30"/>
  <c r="O10" i="33"/>
  <c r="W30" i="30"/>
  <c r="X30" i="30" s="1"/>
  <c r="X24" i="30"/>
  <c r="AU24" i="30"/>
  <c r="Z32" i="33"/>
  <c r="AI26" i="33"/>
  <c r="AJ26" i="33" s="1"/>
  <c r="AA26" i="33"/>
  <c r="O25" i="33"/>
  <c r="N31" i="33"/>
  <c r="O31" i="33" s="1"/>
  <c r="AA28" i="30"/>
  <c r="AI28" i="30"/>
  <c r="AJ28" i="30" s="1"/>
  <c r="T31" i="33"/>
  <c r="U31" i="33" s="1"/>
  <c r="U25" i="33"/>
  <c r="AG21" i="33"/>
  <c r="AF27" i="33"/>
  <c r="AG27" i="33" s="1"/>
  <c r="Z29" i="33"/>
  <c r="AI23" i="33"/>
  <c r="AJ23" i="33" s="1"/>
  <c r="AA23" i="33"/>
  <c r="AA27" i="30"/>
  <c r="AI27" i="30"/>
  <c r="AJ27" i="30" s="1"/>
  <c r="AC27" i="33"/>
  <c r="AD27" i="33" s="1"/>
  <c r="AD21" i="33"/>
  <c r="K16" i="33"/>
  <c r="L16" i="33" s="1"/>
  <c r="L15" i="33"/>
  <c r="AA31" i="30"/>
  <c r="AI31" i="30"/>
  <c r="AJ31" i="30" s="1"/>
  <c r="X25" i="30"/>
  <c r="AU25" i="30"/>
  <c r="W31" i="30"/>
  <c r="X31" i="30" s="1"/>
  <c r="AC31" i="33"/>
  <c r="AD31" i="33" s="1"/>
  <c r="AD25" i="33"/>
  <c r="H27" i="33"/>
  <c r="I27" i="33" s="1"/>
  <c r="I21" i="33"/>
  <c r="W21" i="33"/>
  <c r="Z31" i="33"/>
  <c r="AI25" i="33"/>
  <c r="AJ25" i="33" s="1"/>
  <c r="AA25" i="33"/>
  <c r="U26" i="33"/>
  <c r="T32" i="33"/>
  <c r="U32" i="33" s="1"/>
  <c r="AI22" i="33"/>
  <c r="AJ22" i="33" s="1"/>
  <c r="Z28" i="33"/>
  <c r="AA22" i="33"/>
  <c r="AC29" i="33"/>
  <c r="AD29" i="33" s="1"/>
  <c r="AD23" i="33"/>
  <c r="AA29" i="30"/>
  <c r="AI29" i="30"/>
  <c r="AJ29" i="30" s="1"/>
  <c r="X21" i="30"/>
  <c r="W27" i="30"/>
  <c r="X27" i="30" s="1"/>
  <c r="AU21" i="30"/>
  <c r="AG26" i="33"/>
  <c r="AF32" i="33"/>
  <c r="AG32" i="33" s="1"/>
  <c r="O24" i="33"/>
  <c r="N30" i="33"/>
  <c r="O30" i="33" s="1"/>
  <c r="AI21" i="33"/>
  <c r="AJ21" i="33" s="1"/>
  <c r="Z27" i="33"/>
  <c r="AA21" i="33"/>
  <c r="AD10" i="33"/>
  <c r="H30" i="33"/>
  <c r="I30" i="33" s="1"/>
  <c r="I24" i="33"/>
  <c r="W24" i="33"/>
  <c r="AC28" i="33"/>
  <c r="AD28" i="33" s="1"/>
  <c r="AD22" i="33"/>
  <c r="W28" i="30"/>
  <c r="X28" i="30" s="1"/>
  <c r="X22" i="30"/>
  <c r="AU22" i="30"/>
  <c r="L21" i="33"/>
  <c r="K27" i="33"/>
  <c r="L27" i="33" s="1"/>
  <c r="W28" i="33" l="1"/>
  <c r="X28" i="33" s="1"/>
  <c r="AU22" i="33"/>
  <c r="X22" i="33"/>
  <c r="W17" i="33"/>
  <c r="X17" i="33" s="1"/>
  <c r="X15" i="33"/>
  <c r="AU15" i="33"/>
  <c r="W16" i="33"/>
  <c r="X16" i="33" s="1"/>
  <c r="X24" i="33"/>
  <c r="W30" i="33"/>
  <c r="X30" i="33" s="1"/>
  <c r="AU24" i="33"/>
  <c r="AU30" i="30"/>
  <c r="AV30" i="30" s="1"/>
  <c r="AV24" i="30"/>
  <c r="AI16" i="33"/>
  <c r="AJ16" i="33" s="1"/>
  <c r="AJ15" i="33"/>
  <c r="W42" i="33"/>
  <c r="X13" i="33"/>
  <c r="AU13" i="33"/>
  <c r="AV22" i="30"/>
  <c r="AU28" i="30"/>
  <c r="AV28" i="30" s="1"/>
  <c r="AJ10" i="33"/>
  <c r="AI17" i="33"/>
  <c r="AJ17" i="33" s="1"/>
  <c r="AI42" i="33"/>
  <c r="AJ13" i="33"/>
  <c r="AV26" i="30"/>
  <c r="AU32" i="30"/>
  <c r="AV32" i="30" s="1"/>
  <c r="X25" i="33"/>
  <c r="AU25" i="33"/>
  <c r="W31" i="33"/>
  <c r="X31" i="33" s="1"/>
  <c r="W32" i="33"/>
  <c r="X32" i="33" s="1"/>
  <c r="X26" i="33"/>
  <c r="AU26" i="33"/>
  <c r="AA29" i="33"/>
  <c r="AI29" i="33"/>
  <c r="AJ29" i="33" s="1"/>
  <c r="AU42" i="30"/>
  <c r="AV13" i="30"/>
  <c r="AU17" i="30"/>
  <c r="AA27" i="33"/>
  <c r="AI27" i="33"/>
  <c r="AJ27" i="33" s="1"/>
  <c r="AA31" i="33"/>
  <c r="AI31" i="33"/>
  <c r="AJ31" i="33" s="1"/>
  <c r="AU21" i="33"/>
  <c r="W27" i="33"/>
  <c r="X27" i="33" s="1"/>
  <c r="X21" i="33"/>
  <c r="AU16" i="30"/>
  <c r="AV16" i="30" s="1"/>
  <c r="AV15" i="30"/>
  <c r="X10" i="33"/>
  <c r="AU10" i="33"/>
  <c r="AU29" i="30"/>
  <c r="AV29" i="30" s="1"/>
  <c r="AV23" i="30"/>
  <c r="W29" i="33"/>
  <c r="X29" i="33" s="1"/>
  <c r="X23" i="33"/>
  <c r="AU23" i="33"/>
  <c r="AU27" i="30"/>
  <c r="AV27" i="30" s="1"/>
  <c r="AV21" i="30"/>
  <c r="AA28" i="33"/>
  <c r="AI28" i="33"/>
  <c r="AJ28" i="33" s="1"/>
  <c r="AV10" i="30"/>
  <c r="AV25" i="30"/>
  <c r="AU31" i="30"/>
  <c r="AV31" i="30" s="1"/>
  <c r="AI30" i="33"/>
  <c r="AJ30" i="33" s="1"/>
  <c r="AA30" i="33"/>
  <c r="AI32" i="33"/>
  <c r="AJ32" i="33" s="1"/>
  <c r="AA32" i="33"/>
  <c r="AV17" i="30" l="1"/>
  <c r="AY18" i="30"/>
  <c r="AU42" i="33"/>
  <c r="AV13" i="33"/>
  <c r="AU29" i="33"/>
  <c r="AV29" i="33" s="1"/>
  <c r="AV23" i="33"/>
  <c r="AV26" i="33"/>
  <c r="AU32" i="33"/>
  <c r="AV32" i="33" s="1"/>
  <c r="AU17" i="33"/>
  <c r="AU16" i="33"/>
  <c r="AV16" i="33" s="1"/>
  <c r="AV15" i="33"/>
  <c r="AV10" i="33"/>
  <c r="AU30" i="33"/>
  <c r="AV30" i="33" s="1"/>
  <c r="AV24" i="33"/>
  <c r="AU27" i="33"/>
  <c r="AV27" i="33" s="1"/>
  <c r="AV21" i="33"/>
  <c r="AV22" i="33"/>
  <c r="AU28" i="33"/>
  <c r="AV28" i="33" s="1"/>
  <c r="AV25" i="33"/>
  <c r="AU31" i="33"/>
  <c r="AV31" i="33" s="1"/>
  <c r="AV17" i="33" l="1"/>
  <c r="AY18" i="33"/>
  <c r="Q8" i="30" l="1"/>
  <c r="R8" i="30" l="1"/>
  <c r="Q12" i="30"/>
  <c r="Q14" i="30"/>
  <c r="R14" i="30" s="1"/>
  <c r="Q9" i="30" l="1"/>
  <c r="R9" i="30" s="1"/>
  <c r="R12" i="30"/>
  <c r="Q11" i="30"/>
  <c r="R11" i="30" s="1"/>
  <c r="T28" i="1" l="1"/>
  <c r="W28" i="1" l="1"/>
  <c r="S28" i="1" l="1"/>
  <c r="U28" i="1" s="1"/>
  <c r="S27" i="1" l="1"/>
  <c r="S29" i="1" s="1"/>
  <c r="N8" i="30" l="1"/>
  <c r="N8" i="33" l="1"/>
  <c r="N12" i="30"/>
  <c r="O8" i="30"/>
  <c r="N14" i="30"/>
  <c r="O14" i="30" s="1"/>
  <c r="T8" i="30"/>
  <c r="N9" i="30" l="1"/>
  <c r="O9" i="30" s="1"/>
  <c r="O12" i="30"/>
  <c r="N11" i="30"/>
  <c r="O11" i="30" s="1"/>
  <c r="T8" i="33"/>
  <c r="T12" i="30"/>
  <c r="U8" i="30"/>
  <c r="T14" i="30"/>
  <c r="U14" i="30" s="1"/>
  <c r="N12" i="33"/>
  <c r="O8" i="33"/>
  <c r="N14" i="33"/>
  <c r="O14" i="33" s="1"/>
  <c r="T9" i="30" l="1"/>
  <c r="U9" i="30" s="1"/>
  <c r="U12" i="30"/>
  <c r="T11" i="30"/>
  <c r="U11" i="30" s="1"/>
  <c r="N9" i="33"/>
  <c r="O9" i="33" s="1"/>
  <c r="O12" i="33"/>
  <c r="N11" i="33"/>
  <c r="O11" i="33" s="1"/>
  <c r="T12" i="33"/>
  <c r="T9" i="33" s="1"/>
  <c r="U9" i="33" s="1"/>
  <c r="U8" i="33"/>
  <c r="T14" i="33"/>
  <c r="U14" i="33" s="1"/>
  <c r="U12" i="33" l="1"/>
  <c r="T11" i="33"/>
  <c r="U11" i="33" s="1"/>
  <c r="AF8" i="30" l="1"/>
  <c r="AF8" i="33" l="1"/>
  <c r="AG8" i="30"/>
  <c r="AF12" i="30"/>
  <c r="AF14" i="30"/>
  <c r="AG14" i="30" s="1"/>
  <c r="AC8" i="30"/>
  <c r="AC8" i="33" l="1"/>
  <c r="AD8" i="30"/>
  <c r="AC12" i="30"/>
  <c r="AC9" i="30"/>
  <c r="AD9" i="30" s="1"/>
  <c r="AC14" i="30"/>
  <c r="AD14" i="30" s="1"/>
  <c r="AF9" i="30"/>
  <c r="AG9" i="30" s="1"/>
  <c r="AG12" i="30"/>
  <c r="AF11" i="30"/>
  <c r="AG11" i="30" s="1"/>
  <c r="AG8" i="33"/>
  <c r="AF12" i="33"/>
  <c r="AF9" i="33" s="1"/>
  <c r="AG9" i="33" s="1"/>
  <c r="AF14" i="33"/>
  <c r="AG14" i="33" s="1"/>
  <c r="Z8" i="30"/>
  <c r="AF11" i="33" l="1"/>
  <c r="AG11" i="33" s="1"/>
  <c r="AG12" i="33"/>
  <c r="Z8" i="33"/>
  <c r="AA8" i="30"/>
  <c r="Z12" i="30"/>
  <c r="AI8" i="30"/>
  <c r="Z9" i="30"/>
  <c r="AA9" i="30" s="1"/>
  <c r="Z14" i="30"/>
  <c r="AA14" i="30" s="1"/>
  <c r="AD12" i="30"/>
  <c r="AC11" i="30"/>
  <c r="AD11" i="30" s="1"/>
  <c r="AC12" i="33"/>
  <c r="AD8" i="33"/>
  <c r="AC14" i="33"/>
  <c r="AD14" i="33" s="1"/>
  <c r="Z12" i="33" l="1"/>
  <c r="AI8" i="33"/>
  <c r="AA8" i="33"/>
  <c r="Z14" i="33"/>
  <c r="AA14" i="33" s="1"/>
  <c r="AC9" i="33"/>
  <c r="AD9" i="33" s="1"/>
  <c r="AD12" i="33"/>
  <c r="AC11" i="33"/>
  <c r="AD11" i="33" s="1"/>
  <c r="AI12" i="30"/>
  <c r="AJ8" i="30"/>
  <c r="AI9" i="30"/>
  <c r="AJ9" i="30" s="1"/>
  <c r="AI14" i="30"/>
  <c r="AJ14" i="30" s="1"/>
  <c r="AA12" i="30"/>
  <c r="Z11" i="30"/>
  <c r="AA11" i="30" s="1"/>
  <c r="Z9" i="33" l="1"/>
  <c r="AA9" i="33" s="1"/>
  <c r="AA12" i="33"/>
  <c r="Z11" i="33"/>
  <c r="AA11" i="33" s="1"/>
  <c r="AJ12" i="30"/>
  <c r="AI11" i="30"/>
  <c r="AJ11" i="30" s="1"/>
  <c r="AI12" i="33"/>
  <c r="AJ8" i="33"/>
  <c r="AI14" i="33"/>
  <c r="AJ14" i="33" s="1"/>
  <c r="AJ12" i="33" l="1"/>
  <c r="AI11" i="33"/>
  <c r="AJ11" i="33" s="1"/>
  <c r="AI9" i="33"/>
  <c r="AJ9" i="33" s="1"/>
  <c r="Q18" i="30" l="1"/>
  <c r="Q19" i="30"/>
  <c r="R19" i="30" s="1"/>
  <c r="T18" i="30"/>
  <c r="R18" i="30" l="1"/>
  <c r="Q20" i="30"/>
  <c r="R20" i="30" s="1"/>
  <c r="T18" i="33"/>
  <c r="U18" i="30"/>
  <c r="T19" i="30"/>
  <c r="T20" i="30" s="1"/>
  <c r="U20" i="30" s="1"/>
  <c r="N18" i="30"/>
  <c r="N19" i="30"/>
  <c r="K8" i="30"/>
  <c r="H8" i="30" l="1"/>
  <c r="N18" i="33"/>
  <c r="O18" i="30"/>
  <c r="N20" i="30"/>
  <c r="O20" i="30" s="1"/>
  <c r="H8" i="33"/>
  <c r="H12" i="30"/>
  <c r="I8" i="30"/>
  <c r="W8" i="30"/>
  <c r="H14" i="30"/>
  <c r="I14" i="30" s="1"/>
  <c r="K8" i="33"/>
  <c r="K12" i="30"/>
  <c r="K9" i="30" s="1"/>
  <c r="L9" i="30" s="1"/>
  <c r="L8" i="30"/>
  <c r="K14" i="30"/>
  <c r="L14" i="30" s="1"/>
  <c r="U18" i="33"/>
  <c r="T19" i="33"/>
  <c r="U19" i="33" s="1"/>
  <c r="U19" i="30"/>
  <c r="N19" i="33"/>
  <c r="O19" i="33" s="1"/>
  <c r="O19" i="30"/>
  <c r="T27" i="1"/>
  <c r="T20" i="33" l="1"/>
  <c r="U20" i="33" s="1"/>
  <c r="L12" i="30"/>
  <c r="K11" i="30"/>
  <c r="L11" i="30" s="1"/>
  <c r="K12" i="33"/>
  <c r="L8" i="33"/>
  <c r="K14" i="33"/>
  <c r="L14" i="33" s="1"/>
  <c r="W27" i="1"/>
  <c r="T29" i="1"/>
  <c r="U27" i="1"/>
  <c r="W12" i="30"/>
  <c r="AU8" i="30"/>
  <c r="X8" i="30"/>
  <c r="W14" i="30"/>
  <c r="X14" i="30" s="1"/>
  <c r="H9" i="30"/>
  <c r="I9" i="30" s="1"/>
  <c r="I12" i="30"/>
  <c r="H11" i="30"/>
  <c r="I11" i="30" s="1"/>
  <c r="H12" i="33"/>
  <c r="H9" i="33" s="1"/>
  <c r="I9" i="33" s="1"/>
  <c r="I8" i="33"/>
  <c r="W8" i="33"/>
  <c r="H14" i="33"/>
  <c r="I14" i="33" s="1"/>
  <c r="O18" i="33"/>
  <c r="N20" i="33"/>
  <c r="O20" i="33" s="1"/>
  <c r="K19" i="30"/>
  <c r="H18" i="30" l="1"/>
  <c r="W9" i="30"/>
  <c r="X9" i="30" s="1"/>
  <c r="X12" i="30"/>
  <c r="W11" i="30"/>
  <c r="X11" i="30" s="1"/>
  <c r="W12" i="33"/>
  <c r="W9" i="33" s="1"/>
  <c r="X9" i="33" s="1"/>
  <c r="AU8" i="33"/>
  <c r="X8" i="33"/>
  <c r="W14" i="33"/>
  <c r="X14" i="33" s="1"/>
  <c r="W29" i="1"/>
  <c r="U29" i="1"/>
  <c r="I12" i="33"/>
  <c r="H11" i="33"/>
  <c r="I11" i="33" s="1"/>
  <c r="K19" i="33"/>
  <c r="L19" i="33" s="1"/>
  <c r="L19" i="30"/>
  <c r="AV8" i="30"/>
  <c r="AU12" i="30"/>
  <c r="AU9" i="30" s="1"/>
  <c r="AV9" i="30" s="1"/>
  <c r="AU14" i="30"/>
  <c r="AV14" i="30" s="1"/>
  <c r="K9" i="33"/>
  <c r="L9" i="33" s="1"/>
  <c r="L12" i="33"/>
  <c r="K11" i="33"/>
  <c r="L11" i="33" s="1"/>
  <c r="H18" i="33"/>
  <c r="I18" i="30"/>
  <c r="AV12" i="30" l="1"/>
  <c r="AY13" i="30"/>
  <c r="AZ12" i="30"/>
  <c r="AU11" i="30"/>
  <c r="AV11" i="30" s="1"/>
  <c r="H19" i="30"/>
  <c r="X12" i="33"/>
  <c r="W11" i="33"/>
  <c r="X11" i="33" s="1"/>
  <c r="K18" i="30"/>
  <c r="I18" i="33"/>
  <c r="AU12" i="33"/>
  <c r="AU9" i="33" s="1"/>
  <c r="AV9" i="33" s="1"/>
  <c r="AV8" i="33"/>
  <c r="AU14" i="33"/>
  <c r="AV14" i="33" s="1"/>
  <c r="AV12" i="33" l="1"/>
  <c r="AY13" i="33"/>
  <c r="AZ12" i="33"/>
  <c r="AU11" i="33"/>
  <c r="AV11" i="33" s="1"/>
  <c r="H19" i="33"/>
  <c r="W19" i="30"/>
  <c r="I19" i="30"/>
  <c r="H20" i="30"/>
  <c r="I20" i="30" s="1"/>
  <c r="K18" i="33"/>
  <c r="L18" i="30"/>
  <c r="K20" i="30"/>
  <c r="L20" i="30" s="1"/>
  <c r="W18" i="30"/>
  <c r="K20" i="33" l="1"/>
  <c r="L20" i="33" s="1"/>
  <c r="L18" i="33"/>
  <c r="W18" i="33"/>
  <c r="X19" i="30"/>
  <c r="X18" i="30"/>
  <c r="W20" i="30"/>
  <c r="X20" i="30" s="1"/>
  <c r="W19" i="33"/>
  <c r="I19" i="33"/>
  <c r="H20" i="33"/>
  <c r="I20" i="33" s="1"/>
  <c r="X19" i="33" l="1"/>
  <c r="X18" i="33"/>
  <c r="W20" i="33"/>
  <c r="X20" i="33" s="1"/>
  <c r="AF18" i="30" l="1"/>
  <c r="AF18" i="33" l="1"/>
  <c r="AG18" i="30"/>
  <c r="AC19" i="30"/>
  <c r="Z19" i="30"/>
  <c r="AC18" i="30"/>
  <c r="AF19" i="30"/>
  <c r="Z18" i="30"/>
  <c r="AF19" i="33" l="1"/>
  <c r="AG19" i="33" s="1"/>
  <c r="AG19" i="30"/>
  <c r="AC18" i="33"/>
  <c r="AD18" i="30"/>
  <c r="AC20" i="30"/>
  <c r="AD20" i="30" s="1"/>
  <c r="Z18" i="33"/>
  <c r="AA18" i="30"/>
  <c r="Z20" i="30"/>
  <c r="AA20" i="30" s="1"/>
  <c r="AI18" i="30"/>
  <c r="Z19" i="33"/>
  <c r="AA19" i="30"/>
  <c r="AI19" i="30"/>
  <c r="AC19" i="33"/>
  <c r="AD19" i="33" s="1"/>
  <c r="AD19" i="30"/>
  <c r="AF20" i="30"/>
  <c r="AG20" i="30" s="1"/>
  <c r="AG18" i="33"/>
  <c r="AF20" i="33"/>
  <c r="AG20" i="33" s="1"/>
  <c r="AI20" i="30" l="1"/>
  <c r="AJ20" i="30" s="1"/>
  <c r="AJ18" i="30"/>
  <c r="AU18" i="30"/>
  <c r="AJ19" i="30"/>
  <c r="AU19" i="30"/>
  <c r="AV19" i="30" s="1"/>
  <c r="AA18" i="33"/>
  <c r="Z20" i="33"/>
  <c r="AA20" i="33" s="1"/>
  <c r="AI18" i="33"/>
  <c r="AC20" i="33"/>
  <c r="AD20" i="33" s="1"/>
  <c r="AD18" i="33"/>
  <c r="AI19" i="33"/>
  <c r="AA19" i="33"/>
  <c r="AJ19" i="33" l="1"/>
  <c r="AU19" i="33"/>
  <c r="AV19" i="33" s="1"/>
  <c r="AI20" i="33"/>
  <c r="AJ20" i="33" s="1"/>
  <c r="AJ18" i="33"/>
  <c r="AU18" i="33"/>
  <c r="AV18" i="30"/>
  <c r="AU20" i="30"/>
  <c r="AV20" i="30" l="1"/>
  <c r="AY21" i="30"/>
  <c r="AY22" i="30"/>
  <c r="AU20" i="33"/>
  <c r="AV18" i="33"/>
  <c r="AV20" i="33" l="1"/>
  <c r="AY21" i="33"/>
  <c r="AY22" i="33"/>
  <c r="AB9" i="31" l="1"/>
  <c r="AB13" i="31"/>
  <c r="AB22" i="31"/>
  <c r="AB18" i="31"/>
  <c r="AB14" i="31"/>
  <c r="AB15" i="31"/>
  <c r="AB16" i="31"/>
  <c r="AB17" i="31" l="1"/>
  <c r="AB8" i="31"/>
  <c r="AB10" i="31"/>
  <c r="AB23" i="31"/>
  <c r="AB25" i="31"/>
  <c r="AB12" i="31"/>
  <c r="AB20" i="31"/>
  <c r="AB24" i="31"/>
  <c r="AB21" i="31"/>
  <c r="AB26" i="31" l="1"/>
  <c r="AB19" i="31"/>
  <c r="AB27" i="31"/>
  <c r="AB11" i="31"/>
  <c r="AB7" i="31"/>
  <c r="Y20" i="31" l="1"/>
  <c r="AE20" i="31" s="1"/>
  <c r="Y11" i="31"/>
  <c r="AE11" i="31" s="1"/>
  <c r="Y18" i="31"/>
  <c r="AE18" i="31" s="1"/>
  <c r="Y7" i="31" l="1"/>
  <c r="AE7" i="31" s="1"/>
  <c r="Y17" i="31"/>
  <c r="AE17" i="31" s="1"/>
  <c r="Y14" i="31" l="1"/>
  <c r="AE14" i="31" s="1"/>
  <c r="Y13" i="31"/>
  <c r="AE13" i="31" s="1"/>
  <c r="Y10" i="31"/>
  <c r="AE10" i="31" s="1"/>
  <c r="Y21" i="31"/>
  <c r="AE21" i="31" s="1"/>
  <c r="Y16" i="31"/>
  <c r="AE16" i="31" s="1"/>
  <c r="Y15" i="31"/>
  <c r="AE15" i="31" s="1"/>
  <c r="Y23" i="31"/>
  <c r="AE23" i="31" s="1"/>
  <c r="Y8" i="31"/>
  <c r="AE8" i="31" s="1"/>
  <c r="Y9" i="31"/>
  <c r="AE9" i="31" s="1"/>
  <c r="Y22" i="31"/>
  <c r="AE22" i="31" s="1"/>
  <c r="Y12" i="31"/>
  <c r="AE12" i="31" s="1"/>
  <c r="Y19" i="31"/>
  <c r="AE19" i="31" s="1"/>
  <c r="Y27" i="31" l="1"/>
  <c r="AE27" i="31" s="1"/>
  <c r="Y25" i="31"/>
  <c r="AE25" i="31" s="1"/>
  <c r="Y26" i="31"/>
  <c r="AE26" i="31" s="1"/>
  <c r="Y24" i="31"/>
  <c r="AE24" i="31" s="1"/>
  <c r="Z10" i="31" l="1"/>
  <c r="Z13" i="31"/>
  <c r="Z8" i="31"/>
  <c r="Z11" i="31"/>
  <c r="Z7" i="31"/>
  <c r="Z16" i="31"/>
  <c r="Z23" i="31"/>
  <c r="Z17" i="31"/>
  <c r="Z20" i="31"/>
  <c r="Z18" i="31"/>
  <c r="Z21" i="31"/>
  <c r="Z9" i="31"/>
  <c r="Z19" i="31"/>
  <c r="Z14" i="31"/>
  <c r="Z12" i="31"/>
  <c r="Z15" i="31"/>
  <c r="Z22" i="31"/>
  <c r="Z27" i="31" l="1"/>
  <c r="Z26" i="31"/>
  <c r="Z24" i="31"/>
  <c r="Z25" i="31"/>
  <c r="AC21" i="31" l="1"/>
  <c r="AF21" i="31" s="1"/>
  <c r="AC14" i="31"/>
  <c r="AF14" i="31" s="1"/>
  <c r="AC23" i="31"/>
  <c r="AF23" i="31" s="1"/>
  <c r="AC19" i="31"/>
  <c r="AF19" i="31" s="1"/>
  <c r="AC12" i="31"/>
  <c r="AF12" i="31" s="1"/>
  <c r="AC16" i="31"/>
  <c r="AF16" i="31" s="1"/>
  <c r="AC15" i="31"/>
  <c r="AF15" i="31" s="1"/>
  <c r="AC7" i="31"/>
  <c r="AF7" i="31" s="1"/>
  <c r="AC22" i="31"/>
  <c r="AF22" i="31" s="1"/>
  <c r="AC13" i="31"/>
  <c r="AF13" i="31" s="1"/>
  <c r="AC18" i="31"/>
  <c r="AF18" i="31" s="1"/>
  <c r="AC8" i="31"/>
  <c r="AF8" i="31" s="1"/>
  <c r="AC10" i="31"/>
  <c r="AF10" i="31" s="1"/>
  <c r="AC17" i="31"/>
  <c r="AF17" i="31" s="1"/>
  <c r="AC9" i="31"/>
  <c r="AF9" i="31" s="1"/>
  <c r="AC20" i="31"/>
  <c r="AF20" i="31" s="1"/>
  <c r="AC11" i="31"/>
  <c r="AF11" i="31" s="1"/>
  <c r="AC27" i="31" l="1"/>
  <c r="AF27" i="31" s="1"/>
  <c r="AC25" i="31"/>
  <c r="AF25" i="31" s="1"/>
  <c r="AC24" i="31"/>
  <c r="AF24" i="31" s="1"/>
  <c r="AC26" i="31"/>
  <c r="AF26" i="31" s="1"/>
  <c r="AI27" i="31" l="1"/>
  <c r="AJ27" i="31"/>
  <c r="G10" i="29" l="1"/>
  <c r="G12" i="29"/>
  <c r="AT39" i="29"/>
  <c r="G15" i="29"/>
  <c r="V24" i="1" l="1"/>
  <c r="T24" i="1"/>
  <c r="W24" i="1" s="1"/>
  <c r="T23" i="1"/>
  <c r="V23" i="1"/>
  <c r="L15" i="29"/>
  <c r="H15" i="29"/>
  <c r="J15" i="29"/>
  <c r="L12" i="29"/>
  <c r="G11" i="29"/>
  <c r="H12" i="29"/>
  <c r="J12" i="29"/>
  <c r="G18" i="29"/>
  <c r="AT38" i="29"/>
  <c r="L10" i="29"/>
  <c r="J10" i="29"/>
  <c r="H10" i="29"/>
  <c r="W23" i="1" l="1"/>
  <c r="O10" i="29"/>
  <c r="M10" i="29"/>
  <c r="M15" i="29"/>
  <c r="O15" i="29"/>
  <c r="H11" i="29"/>
  <c r="J11" i="29"/>
  <c r="G19" i="29"/>
  <c r="H18" i="29"/>
  <c r="J18" i="29"/>
  <c r="L18" i="29"/>
  <c r="L11" i="29"/>
  <c r="M12" i="29"/>
  <c r="O12" i="29"/>
  <c r="G24" i="29"/>
  <c r="L19" i="29" l="1"/>
  <c r="M18" i="29"/>
  <c r="O18" i="29"/>
  <c r="J19" i="29"/>
  <c r="H19" i="29"/>
  <c r="O11" i="29"/>
  <c r="M11" i="29"/>
  <c r="L24" i="29"/>
  <c r="H24" i="29"/>
  <c r="J24" i="29"/>
  <c r="G25" i="29"/>
  <c r="M19" i="29" l="1"/>
  <c r="O19" i="29"/>
  <c r="L25" i="29"/>
  <c r="J25" i="29"/>
  <c r="H25" i="29"/>
  <c r="G36" i="29"/>
  <c r="G26" i="29"/>
  <c r="L26" i="29"/>
  <c r="M24" i="29"/>
  <c r="O24" i="29"/>
  <c r="AS39" i="29"/>
  <c r="AS38" i="29" l="1"/>
  <c r="O26" i="29"/>
  <c r="M26" i="29"/>
  <c r="H26" i="29"/>
  <c r="J26" i="29"/>
  <c r="M25" i="29"/>
  <c r="O25" i="29"/>
  <c r="AR38" i="29" l="1"/>
  <c r="AR39" i="29"/>
  <c r="AQ39" i="29" l="1"/>
  <c r="G16" i="29" l="1"/>
  <c r="S23" i="1"/>
  <c r="U23" i="1" s="1"/>
  <c r="S24" i="1"/>
  <c r="U24" i="1" s="1"/>
  <c r="G13" i="29" l="1"/>
  <c r="L16" i="29"/>
  <c r="G17" i="29"/>
  <c r="J16" i="29"/>
  <c r="H16" i="29"/>
  <c r="L17" i="29" l="1"/>
  <c r="M16" i="29"/>
  <c r="O16" i="29"/>
  <c r="L13" i="29"/>
  <c r="J13" i="29"/>
  <c r="G14" i="29"/>
  <c r="H13" i="29"/>
  <c r="G20" i="29"/>
  <c r="H17" i="29"/>
  <c r="J17" i="29"/>
  <c r="G21" i="29" l="1"/>
  <c r="H20" i="29"/>
  <c r="J20" i="29"/>
  <c r="G22" i="29"/>
  <c r="J14" i="29"/>
  <c r="H14" i="29"/>
  <c r="L20" i="29"/>
  <c r="L14" i="29"/>
  <c r="O13" i="29"/>
  <c r="M13" i="29"/>
  <c r="M17" i="29"/>
  <c r="O17" i="29"/>
  <c r="L21" i="29" l="1"/>
  <c r="L22" i="29"/>
  <c r="M20" i="29"/>
  <c r="O20" i="29"/>
  <c r="O14" i="29"/>
  <c r="M14" i="29"/>
  <c r="G27" i="29"/>
  <c r="G23" i="29"/>
  <c r="J22" i="29"/>
  <c r="H22" i="29"/>
  <c r="H21" i="29"/>
  <c r="J21" i="29"/>
  <c r="H23" i="29" l="1"/>
  <c r="J23" i="29"/>
  <c r="L27" i="29"/>
  <c r="L23" i="29"/>
  <c r="O22" i="29"/>
  <c r="M22" i="29"/>
  <c r="H27" i="29"/>
  <c r="G28" i="29"/>
  <c r="G38" i="29"/>
  <c r="J27" i="29"/>
  <c r="G37" i="29"/>
  <c r="M21" i="29"/>
  <c r="O21" i="29"/>
  <c r="J28" i="29" l="1"/>
  <c r="H28" i="29"/>
  <c r="O23" i="29"/>
  <c r="M23" i="29"/>
  <c r="L28" i="29"/>
  <c r="M27" i="29"/>
  <c r="O27" i="29"/>
  <c r="O28" i="29" l="1"/>
  <c r="M28" i="29"/>
  <c r="AQ38" i="29" l="1"/>
</calcChain>
</file>

<file path=xl/sharedStrings.xml><?xml version="1.0" encoding="utf-8"?>
<sst xmlns="http://schemas.openxmlformats.org/spreadsheetml/2006/main" count="847" uniqueCount="253">
  <si>
    <t>물량</t>
    <phoneticPr fontId="1" type="noConversion"/>
  </si>
  <si>
    <t>골재</t>
    <phoneticPr fontId="1" type="noConversion"/>
  </si>
  <si>
    <t>매출</t>
    <phoneticPr fontId="1" type="noConversion"/>
  </si>
  <si>
    <t>건자재</t>
    <phoneticPr fontId="1" type="noConversion"/>
  </si>
  <si>
    <t>기타</t>
    <phoneticPr fontId="1" type="noConversion"/>
  </si>
  <si>
    <t>매출원가</t>
    <phoneticPr fontId="1" type="noConversion"/>
  </si>
  <si>
    <t>판관비</t>
    <phoneticPr fontId="1" type="noConversion"/>
  </si>
  <si>
    <t>영업이익</t>
    <phoneticPr fontId="1" type="noConversion"/>
  </si>
  <si>
    <t>계</t>
    <phoneticPr fontId="1" type="noConversion"/>
  </si>
  <si>
    <t>%</t>
  </si>
  <si>
    <t>%</t>
    <phoneticPr fontId="1" type="noConversion"/>
  </si>
  <si>
    <t>구분</t>
    <phoneticPr fontId="1" type="noConversion"/>
  </si>
  <si>
    <t>계획</t>
  </si>
  <si>
    <t>실적</t>
  </si>
  <si>
    <t>전년</t>
  </si>
  <si>
    <t>매출이익</t>
    <phoneticPr fontId="1" type="noConversion"/>
  </si>
  <si>
    <t>수도권</t>
  </si>
  <si>
    <t>영남권</t>
  </si>
  <si>
    <t>안양</t>
  </si>
  <si>
    <t>인천</t>
  </si>
  <si>
    <t>파주</t>
  </si>
  <si>
    <t>부산</t>
  </si>
  <si>
    <t>서부산</t>
  </si>
  <si>
    <t>김해</t>
  </si>
  <si>
    <t>정관</t>
  </si>
  <si>
    <t>양산</t>
  </si>
  <si>
    <t>창원</t>
  </si>
  <si>
    <t>아산</t>
  </si>
  <si>
    <t>차이</t>
  </si>
  <si>
    <t>공통비</t>
    <phoneticPr fontId="1" type="noConversion"/>
  </si>
  <si>
    <t>기타 계</t>
  </si>
  <si>
    <t>임대 계</t>
    <phoneticPr fontId="1" type="noConversion"/>
  </si>
  <si>
    <t>합계</t>
    <phoneticPr fontId="1" type="noConversion"/>
  </si>
  <si>
    <t>골재 계</t>
    <phoneticPr fontId="1" type="noConversion"/>
  </si>
  <si>
    <t>변동비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</si>
  <si>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</si>
  <si>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</si>
  <si>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</si>
  <si>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차이</t>
    <phoneticPr fontId="1" type="noConversion"/>
  </si>
  <si>
    <t>전년</t>
    <phoneticPr fontId="1" type="noConversion"/>
  </si>
  <si>
    <t>레미콘</t>
    <phoneticPr fontId="1" type="noConversion"/>
  </si>
  <si>
    <t>직영</t>
    <phoneticPr fontId="1" type="noConversion"/>
  </si>
  <si>
    <t>수도권</t>
    <phoneticPr fontId="1" type="noConversion"/>
  </si>
  <si>
    <t>영남권</t>
    <phoneticPr fontId="1" type="noConversion"/>
  </si>
  <si>
    <t>임대</t>
    <phoneticPr fontId="1" type="noConversion"/>
  </si>
  <si>
    <t>골재</t>
    <phoneticPr fontId="1" type="noConversion"/>
  </si>
  <si>
    <t>부산골재</t>
    <phoneticPr fontId="1" type="noConversion"/>
  </si>
  <si>
    <t>서부산골재</t>
    <phoneticPr fontId="1" type="noConversion"/>
  </si>
  <si>
    <t>건자재</t>
    <phoneticPr fontId="1" type="noConversion"/>
  </si>
  <si>
    <t>기타</t>
    <phoneticPr fontId="1" type="noConversion"/>
  </si>
  <si>
    <t>공통비</t>
    <phoneticPr fontId="1" type="noConversion"/>
  </si>
  <si>
    <t>물량</t>
    <phoneticPr fontId="1" type="noConversion"/>
  </si>
  <si>
    <t>매출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</si>
  <si>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</si>
  <si>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</si>
  <si>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</si>
  <si>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계획대비</t>
    <phoneticPr fontId="1" type="noConversion"/>
  </si>
  <si>
    <t>전년대비</t>
    <phoneticPr fontId="1" type="noConversion"/>
  </si>
  <si>
    <t>계</t>
    <phoneticPr fontId="1" type="noConversion"/>
  </si>
  <si>
    <t>판매단가</t>
    <phoneticPr fontId="1" type="noConversion"/>
  </si>
  <si>
    <t>공헌이익</t>
    <phoneticPr fontId="1" type="noConversion"/>
  </si>
  <si>
    <t>구분</t>
    <phoneticPr fontId="1" type="noConversion"/>
  </si>
  <si>
    <t>계획</t>
    <phoneticPr fontId="1" type="noConversion"/>
  </si>
  <si>
    <t>실적</t>
    <phoneticPr fontId="1" type="noConversion"/>
  </si>
  <si>
    <t>계획대비</t>
    <phoneticPr fontId="1" type="noConversion"/>
  </si>
  <si>
    <t>전년</t>
    <phoneticPr fontId="1" type="noConversion"/>
  </si>
  <si>
    <t>전년대비</t>
    <phoneticPr fontId="1" type="noConversion"/>
  </si>
  <si>
    <t>실적</t>
    <phoneticPr fontId="1" type="noConversion"/>
  </si>
  <si>
    <t>건자재</t>
    <phoneticPr fontId="1" type="noConversion"/>
  </si>
  <si>
    <t>철강재</t>
    <phoneticPr fontId="1" type="noConversion"/>
  </si>
  <si>
    <t>대구</t>
    <phoneticPr fontId="1" type="noConversion"/>
  </si>
  <si>
    <t>울산</t>
    <phoneticPr fontId="1" type="noConversion"/>
  </si>
  <si>
    <t>전주</t>
    <phoneticPr fontId="1" type="noConversion"/>
  </si>
  <si>
    <t>군산</t>
    <phoneticPr fontId="1" type="noConversion"/>
  </si>
  <si>
    <t>원주</t>
    <phoneticPr fontId="1" type="noConversion"/>
  </si>
  <si>
    <t>제주</t>
    <phoneticPr fontId="1" type="noConversion"/>
  </si>
  <si>
    <t>아산</t>
    <phoneticPr fontId="1" type="noConversion"/>
  </si>
  <si>
    <t>[단위 : 천㎥, 톤, 백만원]</t>
  </si>
  <si>
    <t>대구</t>
    <phoneticPr fontId="1" type="noConversion"/>
  </si>
  <si>
    <t>울산</t>
    <phoneticPr fontId="1" type="noConversion"/>
  </si>
  <si>
    <t>레미콘임대</t>
    <phoneticPr fontId="1" type="noConversion"/>
  </si>
  <si>
    <t>레미콘임대 계</t>
    <phoneticPr fontId="1" type="noConversion"/>
  </si>
  <si>
    <t>확인</t>
    <phoneticPr fontId="1" type="noConversion"/>
  </si>
  <si>
    <t xml:space="preserve"> </t>
    <phoneticPr fontId="1" type="noConversion"/>
  </si>
  <si>
    <t>□ 레미콘</t>
    <phoneticPr fontId="1" type="noConversion"/>
  </si>
  <si>
    <t>□ 건자재</t>
    <phoneticPr fontId="1" type="noConversion"/>
  </si>
  <si>
    <t>철강재 판매단가</t>
    <phoneticPr fontId="1" type="noConversion"/>
  </si>
  <si>
    <t>철강재 마진률</t>
    <phoneticPr fontId="1" type="noConversion"/>
  </si>
  <si>
    <t>□ 골재</t>
    <phoneticPr fontId="1" type="noConversion"/>
  </si>
  <si>
    <t>판매량</t>
    <phoneticPr fontId="1" type="noConversion"/>
  </si>
  <si>
    <t>자가</t>
    <phoneticPr fontId="1" type="noConversion"/>
  </si>
  <si>
    <t>외판</t>
    <phoneticPr fontId="1" type="noConversion"/>
  </si>
  <si>
    <t>계획대비</t>
  </si>
  <si>
    <t>전년대비</t>
  </si>
  <si>
    <t>레미콘 계</t>
    <phoneticPr fontId="1" type="noConversion"/>
  </si>
  <si>
    <t>OPC 소급분</t>
    <phoneticPr fontId="1" type="noConversion"/>
  </si>
  <si>
    <t>대손</t>
    <phoneticPr fontId="1" type="noConversion"/>
  </si>
  <si>
    <t>기타 계</t>
    <phoneticPr fontId="1" type="noConversion"/>
  </si>
  <si>
    <t>영업이익(공통비 배부전)</t>
    <phoneticPr fontId="1" type="noConversion"/>
  </si>
  <si>
    <t>건재사업본부</t>
    <phoneticPr fontId="1" type="noConversion"/>
  </si>
  <si>
    <t>합 계</t>
    <phoneticPr fontId="1" type="noConversion"/>
  </si>
  <si>
    <t>[단위 : 천㎥, 톤, 원/㎥, 원/톤, 백만원]</t>
    <phoneticPr fontId="1" type="noConversion"/>
  </si>
  <si>
    <t>합계</t>
    <phoneticPr fontId="1" type="noConversion"/>
  </si>
  <si>
    <t>기타</t>
    <phoneticPr fontId="1" type="noConversion"/>
  </si>
  <si>
    <t>레미콘임대</t>
    <phoneticPr fontId="1" type="noConversion"/>
  </si>
  <si>
    <t>중부권</t>
  </si>
  <si>
    <t>중부권</t>
    <phoneticPr fontId="1" type="noConversion"/>
  </si>
  <si>
    <t>중부권</t>
    <phoneticPr fontId="1" type="noConversion"/>
  </si>
  <si>
    <t>김포</t>
    <phoneticPr fontId="1" type="noConversion"/>
  </si>
  <si>
    <t xml:space="preserve"> ■ 비고</t>
  </si>
  <si>
    <t>김포</t>
  </si>
  <si>
    <t>부산크라샤</t>
    <phoneticPr fontId="1" type="noConversion"/>
  </si>
  <si>
    <t>미운영 공장</t>
    <phoneticPr fontId="1" type="noConversion"/>
  </si>
  <si>
    <t>□ 기타내역(영업이익)</t>
    <phoneticPr fontId="1" type="noConversion"/>
  </si>
  <si>
    <t>건자재</t>
    <phoneticPr fontId="1" type="noConversion"/>
  </si>
  <si>
    <t>부산모래장</t>
    <phoneticPr fontId="1" type="noConversion"/>
  </si>
  <si>
    <t>서부산크라샤</t>
    <phoneticPr fontId="1" type="noConversion"/>
  </si>
  <si>
    <t>강릉임대</t>
    <phoneticPr fontId="1" type="noConversion"/>
  </si>
  <si>
    <t>속초임대</t>
    <phoneticPr fontId="1" type="noConversion"/>
  </si>
  <si>
    <t>포항임대</t>
    <phoneticPr fontId="1" type="noConversion"/>
  </si>
  <si>
    <t>부동산임대</t>
  </si>
  <si>
    <t>주유소임대</t>
  </si>
  <si>
    <t>공    통    비</t>
  </si>
  <si>
    <t>건자재영업</t>
    <phoneticPr fontId="1" type="noConversion"/>
  </si>
  <si>
    <t>매출액</t>
    <phoneticPr fontId="1" type="noConversion"/>
  </si>
  <si>
    <t>서부산CR</t>
    <phoneticPr fontId="1" type="noConversion"/>
  </si>
  <si>
    <t>부산CR</t>
    <phoneticPr fontId="1" type="noConversion"/>
  </si>
  <si>
    <t>1월</t>
  </si>
  <si>
    <t>제주</t>
  </si>
  <si>
    <t>원주</t>
  </si>
  <si>
    <t>군산</t>
  </si>
  <si>
    <t>전주</t>
  </si>
  <si>
    <t>울산</t>
  </si>
  <si>
    <t>대구</t>
  </si>
  <si>
    <t>기타권</t>
    <phoneticPr fontId="1" type="noConversion"/>
  </si>
  <si>
    <t>손익</t>
    <phoneticPr fontId="1" type="noConversion"/>
  </si>
  <si>
    <t>판관비 등 차이</t>
    <phoneticPr fontId="1" type="noConversion"/>
  </si>
  <si>
    <t>제조원가 차이</t>
    <phoneticPr fontId="1" type="noConversion"/>
  </si>
  <si>
    <t>판매단가 차이</t>
    <phoneticPr fontId="1" type="noConversion"/>
  </si>
  <si>
    <t>물량 차이</t>
    <phoneticPr fontId="1" type="noConversion"/>
  </si>
  <si>
    <t>영업이익(공통비 미배부)</t>
    <phoneticPr fontId="1" type="noConversion"/>
  </si>
  <si>
    <t>2024년 12월 마감 손익</t>
  </si>
  <si>
    <t>[단위 : 백만원, 천㎥]</t>
    <phoneticPr fontId="1" type="noConversion"/>
  </si>
  <si>
    <t>평균</t>
    <phoneticPr fontId="1" type="noConversion"/>
  </si>
  <si>
    <t>변동비 계</t>
    <phoneticPr fontId="1" type="noConversion"/>
  </si>
  <si>
    <t>유류비</t>
    <phoneticPr fontId="1" type="noConversion"/>
  </si>
  <si>
    <t>운반비</t>
    <phoneticPr fontId="1" type="noConversion"/>
  </si>
  <si>
    <t>재료비</t>
    <phoneticPr fontId="1" type="noConversion"/>
  </si>
  <si>
    <t>[단위 : 원/㎥]</t>
    <phoneticPr fontId="1" type="noConversion"/>
  </si>
  <si>
    <t>모래 (원/톤)</t>
  </si>
  <si>
    <t>자갈 (원/톤)</t>
  </si>
  <si>
    <t>FA (원/톤)</t>
  </si>
  <si>
    <t>SP (원/톤)</t>
  </si>
  <si>
    <t>SC (원/톤)</t>
    <phoneticPr fontId="1" type="noConversion"/>
  </si>
  <si>
    <t>OPC (원/톤)</t>
    <phoneticPr fontId="1" type="noConversion"/>
  </si>
  <si>
    <t>혼화제</t>
    <phoneticPr fontId="1" type="noConversion"/>
  </si>
  <si>
    <t>모래</t>
    <phoneticPr fontId="1" type="noConversion"/>
  </si>
  <si>
    <t>자갈</t>
    <phoneticPr fontId="1" type="noConversion"/>
  </si>
  <si>
    <t>분체류 치환률</t>
    <phoneticPr fontId="1" type="noConversion"/>
  </si>
  <si>
    <t>분체류</t>
    <phoneticPr fontId="1" type="noConversion"/>
  </si>
  <si>
    <t>OPC</t>
    <phoneticPr fontId="1" type="noConversion"/>
  </si>
  <si>
    <t>[단위 : kg/㎥]</t>
    <phoneticPr fontId="1" type="noConversion"/>
  </si>
  <si>
    <t>[단위 : 톤, 천원]</t>
    <phoneticPr fontId="1" type="noConversion"/>
  </si>
  <si>
    <t>철강재</t>
  </si>
  <si>
    <t>기타</t>
  </si>
  <si>
    <t>(소계)</t>
    <phoneticPr fontId="1" type="noConversion"/>
  </si>
  <si>
    <t>(소계)</t>
  </si>
  <si>
    <t>판관비</t>
  </si>
  <si>
    <t>노무비</t>
  </si>
  <si>
    <t>경비</t>
  </si>
  <si>
    <t>철강재 단가
및
마진률</t>
    <phoneticPr fontId="1" type="noConversion"/>
  </si>
  <si>
    <t>* 공통비</t>
    <phoneticPr fontId="1" type="noConversion"/>
  </si>
  <si>
    <t>1월</t>
    <phoneticPr fontId="1" type="noConversion"/>
  </si>
  <si>
    <t>2월</t>
  </si>
  <si>
    <t>3월</t>
    <phoneticPr fontId="1" type="noConversion"/>
  </si>
  <si>
    <t>4월</t>
    <phoneticPr fontId="1" type="noConversion"/>
  </si>
  <si>
    <t>5월</t>
  </si>
  <si>
    <t>6월</t>
  </si>
  <si>
    <t>7월</t>
    <phoneticPr fontId="1" type="noConversion"/>
  </si>
  <si>
    <t>8월</t>
    <phoneticPr fontId="1" type="noConversion"/>
  </si>
  <si>
    <t>9월</t>
    <phoneticPr fontId="1" type="noConversion"/>
  </si>
  <si>
    <t>10월</t>
    <phoneticPr fontId="1" type="noConversion"/>
  </si>
  <si>
    <t>11월</t>
  </si>
  <si>
    <t>12월</t>
    <phoneticPr fontId="1" type="noConversion"/>
  </si>
  <si>
    <t>2월</t>
    <phoneticPr fontId="1" type="noConversion"/>
  </si>
  <si>
    <t>3월</t>
  </si>
  <si>
    <t>4월</t>
  </si>
  <si>
    <t>8월</t>
  </si>
  <si>
    <t>11월</t>
    <phoneticPr fontId="1" type="noConversion"/>
  </si>
  <si>
    <t>구분</t>
  </si>
  <si>
    <t>판매단가</t>
  </si>
  <si>
    <t>마진률</t>
  </si>
  <si>
    <t>[단위 : ㎥, 천원]</t>
    <phoneticPr fontId="1" type="noConversion"/>
  </si>
  <si>
    <t>서부산 소계</t>
    <phoneticPr fontId="1" type="noConversion"/>
  </si>
  <si>
    <t>부산크라샤 쇄석</t>
    <phoneticPr fontId="1" type="noConversion"/>
  </si>
  <si>
    <t>부산크라샤 소계</t>
    <phoneticPr fontId="1" type="noConversion"/>
  </si>
  <si>
    <t>골재사업소 계</t>
    <phoneticPr fontId="1" type="noConversion"/>
  </si>
  <si>
    <t>자가이송</t>
    <phoneticPr fontId="1" type="noConversion"/>
  </si>
  <si>
    <t>외부판매</t>
    <phoneticPr fontId="1" type="noConversion"/>
  </si>
  <si>
    <t>단가</t>
    <phoneticPr fontId="1" type="noConversion"/>
  </si>
  <si>
    <t>자가이송</t>
  </si>
  <si>
    <t>외부판매</t>
  </si>
  <si>
    <t>부산크라샤 쇄사(습식)</t>
    <phoneticPr fontId="1" type="noConversion"/>
  </si>
  <si>
    <t>40혼합석</t>
    <phoneticPr fontId="1" type="noConversion"/>
  </si>
  <si>
    <t>부산 하천사</t>
    <phoneticPr fontId="1" type="noConversion"/>
  </si>
  <si>
    <t>부산 세척사</t>
    <phoneticPr fontId="1" type="noConversion"/>
  </si>
  <si>
    <t>부산모래장 소계</t>
    <phoneticPr fontId="1" type="noConversion"/>
  </si>
  <si>
    <t xml:space="preserve">부산 세척사 - 창원공장 </t>
    <phoneticPr fontId="1" type="noConversion"/>
  </si>
  <si>
    <t>2월</t>
    <phoneticPr fontId="1" type="noConversion"/>
  </si>
  <si>
    <t>쇄석25mm</t>
    <phoneticPr fontId="1" type="noConversion"/>
  </si>
  <si>
    <t>쇄사(습식)</t>
    <phoneticPr fontId="1" type="noConversion"/>
  </si>
  <si>
    <t>혼합석(40mm)</t>
    <phoneticPr fontId="1" type="noConversion"/>
  </si>
  <si>
    <t>쇄석40mm</t>
    <phoneticPr fontId="1" type="noConversion"/>
  </si>
  <si>
    <t>쇄사2</t>
    <phoneticPr fontId="1" type="noConversion"/>
  </si>
  <si>
    <t xml:space="preserve">   · 집합대손 2.2억 // 개별대손 3억(삼정이앤시) → 안양 2.9억, 양산 0.1억</t>
    <phoneticPr fontId="1" type="noConversion"/>
  </si>
  <si>
    <t>하천사</t>
    <phoneticPr fontId="1" type="noConversion"/>
  </si>
  <si>
    <t>세척사</t>
    <phoneticPr fontId="1" type="noConversion"/>
  </si>
  <si>
    <t>모래장</t>
    <phoneticPr fontId="1" type="noConversion"/>
  </si>
  <si>
    <t>부산</t>
    <phoneticPr fontId="1" type="noConversion"/>
  </si>
  <si>
    <t>서부산</t>
    <phoneticPr fontId="1" type="noConversion"/>
  </si>
  <si>
    <t>2025년 4월 마감 손익</t>
    <phoneticPr fontId="1" type="noConversion"/>
  </si>
  <si>
    <t>□ 건재사업본부 손익실적(2025-04)</t>
  </si>
  <si>
    <t>4월 누계</t>
  </si>
  <si>
    <t>4월 주요지표</t>
  </si>
  <si>
    <t>□ 사업장별 손익실적(2025-04)</t>
  </si>
  <si>
    <t>□ 레미콘 원재료 원단위(2025-04)</t>
  </si>
  <si>
    <t>□ 레미콘 원재료단가(2025-04)</t>
  </si>
  <si>
    <t>□ 레미콘 단위당 공헌이익(2025-04)</t>
  </si>
  <si>
    <t>□ 레미콘 영업이익 차이분석(2025-04)</t>
  </si>
  <si>
    <t>□ 사업장별 손익실적(2025-04누계)</t>
  </si>
  <si>
    <t>2024년 4월누계 마감 손익</t>
  </si>
  <si>
    <t xml:space="preserve">  - OPC 소급분 : 삼표 2.5억(총 9.9억 中 1회차) → 8~4월누계 총 4회 소급예정</t>
  </si>
  <si>
    <t>2024년 4월 마감 손익</t>
  </si>
  <si>
    <t xml:space="preserve">  - OPC 소급분 : 삼표 2.5억(총 9.9억 中 1회차) → 8~4월 총 4회 소급예정</t>
  </si>
  <si>
    <t xml:space="preserve"> - 1군 판가 소급분(마이너스 계산서) : 4.9억</t>
  </si>
  <si>
    <t xml:space="preserve">  · GS(4.4억), 라인산업(0.2억), 호반건설(0.1억), 계룡건설산업(0.1억)</t>
  </si>
  <si>
    <t xml:space="preserve"> - 대손 : 5.2억</t>
  </si>
  <si>
    <t xml:space="preserve">   · 집합대손 2.2억 // 개별대손 3억(삼정이앤시) → 안양 2.9억, 양산 0.1억</t>
  </si>
  <si>
    <t>□ 건자재 손익실적(2025-04)</t>
    <phoneticPr fontId="1" type="noConversion"/>
  </si>
  <si>
    <t>4월</t>
    <phoneticPr fontId="1" type="noConversion"/>
  </si>
  <si>
    <t>4월누계</t>
    <phoneticPr fontId="1" type="noConversion"/>
  </si>
  <si>
    <t>□ 골재사업소 손익(2025-04)</t>
  </si>
  <si>
    <t>□ 골재사업소 손익(2025-04누계)</t>
    <phoneticPr fontId="1" type="noConversion"/>
  </si>
  <si>
    <t xml:space="preserve"> - 1군 소급분 : 76백만원(단위당 : 275원/㎥↓) → 롯데 등</t>
    <phoneticPr fontId="1" type="noConversion"/>
  </si>
  <si>
    <t xml:space="preserve"> - 1군 단가협상 : 천안 아산지역 2,600원/㎥↓, 창원 2,900원/㎥↓(4/1)</t>
    <phoneticPr fontId="1" type="noConversion"/>
  </si>
  <si>
    <t xml:space="preserve"> - 판매단가 : 대구권 단가협상 4,900원/㎥↓(5/1부)</t>
    <phoneticPr fontId="1" type="noConversion"/>
  </si>
  <si>
    <t xml:space="preserve"> - 운반비 : 영남권 MT운반비 2개년 합의 인상 적용(5/1)</t>
    <phoneticPr fontId="1" type="noConversion"/>
  </si>
  <si>
    <t xml:space="preserve"> → 부산권 4천원, 창원 3.5천원 / 제주 협상完 500원/㎥ 인상</t>
    <phoneticPr fontId="1" type="noConversion"/>
  </si>
  <si>
    <t xml:space="preserve"> - 수도권/부산권 1군 판매단가 인하(3/1자)</t>
  </si>
  <si>
    <t xml:space="preserve">  · 수도권 2,300원(2.1% ↓)</t>
  </si>
  <si>
    <t xml:space="preserve">  · 부산권 1,900원(1.7% ↓)</t>
  </si>
  <si>
    <t>퇴직위로금</t>
  </si>
  <si>
    <t>퇴직위로금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</si>
</sst>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76" formatCode="#,##0_ "/>
    <numFmt numFmtId="177" formatCode="0.0%"/>
    <numFmt numFmtId="178" formatCode="#,##0_);[Red]\(#,##0\)"/>
    <numFmt numFmtId="179" formatCode="#,##0.0_);[Red]\(#,##0.0\)"/>
    <numFmt numFmtId="180" formatCode="0_ "/>
    <numFmt numFmtId="181" formatCode="_-* #,##0.0_-;\-* #,##0.0_-;_-* &quot;-&quot;_-;_-@_-"/>
    <numFmt numFmtId="182" formatCode="#,##0.000_);[Red]\(#,##0.000\)"/>
    <numFmt numFmtId="183" formatCode="#,##0.00_);[Red]\(#,##0.00\)"/>
    <numFmt numFmtId="184" formatCode="#,##0.0"/>
    <numFmt numFmtId="185" formatCode="0.0"/>
    <numFmt numFmtId="186" formatCode="#,##0.000000_ "/>
    <numFmt numFmtId="187" formatCode="0_);[Red]\(0\)"/>
  </numFmts>
  <fonts count="2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i/>
      <sz val="11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theme="1" tint="0.499984740745262"/>
        <bgColor indexed="64"/>
      </patternFill>
    </fill>
  </fills>
  <borders count="12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ck">
        <color auto="1"/>
      </left>
      <right/>
      <top/>
      <bottom style="thin">
        <color indexed="64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 style="thick">
        <color auto="1"/>
      </right>
      <top/>
      <bottom style="hair">
        <color auto="1"/>
      </bottom>
      <diagonal/>
    </border>
    <border>
      <left style="thick">
        <color auto="1"/>
      </left>
      <right/>
      <top style="hair">
        <color auto="1"/>
      </top>
      <bottom/>
      <diagonal/>
    </border>
    <border>
      <left/>
      <right style="thick">
        <color auto="1"/>
      </right>
      <top style="hair">
        <color auto="1"/>
      </top>
      <bottom/>
      <diagonal/>
    </border>
    <border>
      <left style="thick">
        <color auto="1"/>
      </left>
      <right/>
      <top style="hair">
        <color auto="1"/>
      </top>
      <bottom style="thin">
        <color auto="1"/>
      </bottom>
      <diagonal/>
    </border>
    <border>
      <left/>
      <right style="thick">
        <color auto="1"/>
      </right>
      <top style="hair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hair">
        <color auto="1"/>
      </right>
      <top style="thick">
        <color auto="1"/>
      </top>
      <bottom/>
      <diagonal/>
    </border>
    <border>
      <left style="hair">
        <color auto="1"/>
      </left>
      <right style="thick">
        <color auto="1"/>
      </right>
      <top style="thick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ck">
        <color auto="1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41" fontId="11" fillId="0" borderId="0" applyFont="0" applyFill="0" applyBorder="0" applyAlignment="0" applyProtection="0">
      <alignment vertical="center"/>
    </xf>
    <xf numFmtId="0" fontId="11" fillId="0" borderId="0"/>
  </cellStyleXfs>
  <cellXfs count="782">
    <xf numFmtId="0" fontId="0" fillId="0" borderId="0" xfId="0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0" borderId="4" xfId="0" applyFont="1" applyBorder="1" applyAlignment="1">
      <alignment horizontal="centerContinuous"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right" vertical="center"/>
    </xf>
    <xf numFmtId="178" fontId="0" fillId="0" borderId="0" xfId="0" applyNumberFormat="1">
      <alignment vertical="center"/>
    </xf>
    <xf numFmtId="0" fontId="5" fillId="0" borderId="0" xfId="0" applyFont="1">
      <alignment vertical="center"/>
    </xf>
    <xf numFmtId="0" fontId="0" fillId="0" borderId="0" xfId="0" applyFont="1">
      <alignment vertical="center"/>
    </xf>
    <xf numFmtId="178" fontId="6" fillId="0" borderId="24" xfId="1" applyNumberFormat="1" applyFont="1" applyFill="1" applyBorder="1" applyAlignment="1">
      <alignment vertical="center"/>
    </xf>
    <xf numFmtId="178" fontId="6" fillId="2" borderId="25" xfId="1" applyNumberFormat="1" applyFont="1" applyFill="1" applyBorder="1" applyAlignment="1">
      <alignment vertical="center"/>
    </xf>
    <xf numFmtId="178" fontId="6" fillId="0" borderId="49" xfId="1" applyNumberFormat="1" applyFont="1" applyFill="1" applyBorder="1">
      <alignment vertical="center"/>
    </xf>
    <xf numFmtId="178" fontId="6" fillId="0" borderId="25" xfId="1" applyNumberFormat="1" applyFont="1" applyFill="1" applyBorder="1">
      <alignment vertical="center"/>
    </xf>
    <xf numFmtId="178" fontId="6" fillId="0" borderId="26" xfId="1" applyNumberFormat="1" applyFont="1" applyFill="1" applyBorder="1">
      <alignment vertical="center"/>
    </xf>
    <xf numFmtId="178" fontId="6" fillId="0" borderId="51" xfId="1" applyNumberFormat="1" applyFont="1" applyFill="1" applyBorder="1" applyAlignment="1">
      <alignment vertical="center"/>
    </xf>
    <xf numFmtId="178" fontId="6" fillId="0" borderId="49" xfId="1" applyNumberFormat="1" applyFont="1" applyFill="1" applyBorder="1" applyAlignment="1">
      <alignment vertical="center"/>
    </xf>
    <xf numFmtId="178" fontId="6" fillId="0" borderId="26" xfId="1" applyNumberFormat="1" applyFont="1" applyFill="1" applyBorder="1" applyAlignment="1">
      <alignment vertical="center"/>
    </xf>
    <xf numFmtId="178" fontId="6" fillId="0" borderId="0" xfId="1" applyNumberFormat="1" applyFont="1">
      <alignment vertical="center"/>
    </xf>
    <xf numFmtId="41" fontId="6" fillId="0" borderId="0" xfId="1" applyFont="1">
      <alignment vertical="center"/>
    </xf>
    <xf numFmtId="178" fontId="6" fillId="2" borderId="43" xfId="1" applyNumberFormat="1" applyFont="1" applyFill="1" applyBorder="1" applyAlignment="1">
      <alignment vertical="center"/>
    </xf>
    <xf numFmtId="178" fontId="6" fillId="0" borderId="42" xfId="1" applyNumberFormat="1" applyFont="1" applyFill="1" applyBorder="1">
      <alignment vertical="center"/>
    </xf>
    <xf numFmtId="178" fontId="6" fillId="0" borderId="44" xfId="1" applyNumberFormat="1" applyFont="1" applyFill="1" applyBorder="1">
      <alignment vertical="center"/>
    </xf>
    <xf numFmtId="178" fontId="6" fillId="0" borderId="41" xfId="1" applyNumberFormat="1" applyFont="1" applyFill="1" applyBorder="1" applyAlignment="1">
      <alignment vertical="center"/>
    </xf>
    <xf numFmtId="178" fontId="6" fillId="0" borderId="52" xfId="1" applyNumberFormat="1" applyFont="1" applyFill="1" applyBorder="1" applyAlignment="1">
      <alignment vertical="center"/>
    </xf>
    <xf numFmtId="178" fontId="6" fillId="0" borderId="43" xfId="1" applyNumberFormat="1" applyFont="1" applyFill="1" applyBorder="1">
      <alignment vertical="center"/>
    </xf>
    <xf numFmtId="178" fontId="2" fillId="0" borderId="0" xfId="0" applyNumberFormat="1" applyFont="1">
      <alignment vertical="center"/>
    </xf>
    <xf numFmtId="178" fontId="2" fillId="0" borderId="0" xfId="1" applyNumberFormat="1" applyFont="1">
      <alignment vertical="center"/>
    </xf>
    <xf numFmtId="41" fontId="2" fillId="0" borderId="0" xfId="1" applyFont="1">
      <alignment vertical="center"/>
    </xf>
    <xf numFmtId="178" fontId="6" fillId="0" borderId="42" xfId="1" applyNumberFormat="1" applyFont="1" applyFill="1" applyBorder="1" applyAlignment="1">
      <alignment vertical="center"/>
    </xf>
    <xf numFmtId="178" fontId="6" fillId="0" borderId="44" xfId="1" applyNumberFormat="1" applyFont="1" applyFill="1" applyBorder="1" applyAlignment="1">
      <alignment vertical="center"/>
    </xf>
    <xf numFmtId="178" fontId="6" fillId="0" borderId="0" xfId="0" applyNumberFormat="1" applyFont="1">
      <alignment vertical="center"/>
    </xf>
    <xf numFmtId="178" fontId="6" fillId="0" borderId="0" xfId="0" applyNumberFormat="1" applyFont="1" applyFill="1">
      <alignment vertical="center"/>
    </xf>
    <xf numFmtId="178" fontId="6" fillId="0" borderId="0" xfId="0" applyNumberFormat="1" applyFont="1" applyFill="1" applyAlignment="1">
      <alignment vertical="center"/>
    </xf>
    <xf numFmtId="178" fontId="0" fillId="0" borderId="0" xfId="0" applyNumberFormat="1" applyFont="1" applyAlignment="1">
      <alignment vertical="center"/>
    </xf>
    <xf numFmtId="178" fontId="6" fillId="0" borderId="0" xfId="0" applyNumberFormat="1" applyFont="1" applyAlignment="1">
      <alignment vertical="center"/>
    </xf>
    <xf numFmtId="178" fontId="6" fillId="0" borderId="28" xfId="1" applyNumberFormat="1" applyFont="1" applyFill="1" applyBorder="1" applyAlignment="1">
      <alignment vertical="center"/>
    </xf>
    <xf numFmtId="178" fontId="6" fillId="2" borderId="29" xfId="1" applyNumberFormat="1" applyFont="1" applyFill="1" applyBorder="1" applyAlignment="1">
      <alignment vertical="center"/>
    </xf>
    <xf numFmtId="178" fontId="6" fillId="0" borderId="39" xfId="1" applyNumberFormat="1" applyFont="1" applyFill="1" applyBorder="1">
      <alignment vertical="center"/>
    </xf>
    <xf numFmtId="178" fontId="6" fillId="0" borderId="29" xfId="1" applyNumberFormat="1" applyFont="1" applyFill="1" applyBorder="1">
      <alignment vertical="center"/>
    </xf>
    <xf numFmtId="178" fontId="6" fillId="0" borderId="30" xfId="1" applyNumberFormat="1" applyFont="1" applyFill="1" applyBorder="1">
      <alignment vertical="center"/>
    </xf>
    <xf numFmtId="178" fontId="6" fillId="0" borderId="2" xfId="1" applyNumberFormat="1" applyFont="1" applyFill="1" applyBorder="1">
      <alignment vertical="center"/>
    </xf>
    <xf numFmtId="178" fontId="6" fillId="0" borderId="29" xfId="1" applyNumberFormat="1" applyFont="1" applyFill="1" applyBorder="1" applyAlignment="1">
      <alignment horizontal="right" vertical="center"/>
    </xf>
    <xf numFmtId="178" fontId="6" fillId="0" borderId="3" xfId="1" applyNumberFormat="1" applyFont="1" applyFill="1" applyBorder="1" applyAlignment="1">
      <alignment vertical="center"/>
    </xf>
    <xf numFmtId="178" fontId="6" fillId="0" borderId="39" xfId="1" applyNumberFormat="1" applyFont="1" applyFill="1" applyBorder="1" applyAlignment="1">
      <alignment vertical="center"/>
    </xf>
    <xf numFmtId="178" fontId="6" fillId="0" borderId="30" xfId="1" applyNumberFormat="1" applyFont="1" applyFill="1" applyBorder="1" applyAlignment="1">
      <alignment vertical="center"/>
    </xf>
    <xf numFmtId="178" fontId="6" fillId="0" borderId="12" xfId="1" applyNumberFormat="1" applyFont="1" applyFill="1" applyBorder="1" applyAlignment="1">
      <alignment vertical="center"/>
    </xf>
    <xf numFmtId="178" fontId="6" fillId="2" borderId="13" xfId="1" applyNumberFormat="1" applyFont="1" applyFill="1" applyBorder="1" applyAlignment="1">
      <alignment vertical="center"/>
    </xf>
    <xf numFmtId="178" fontId="6" fillId="0" borderId="46" xfId="1" applyNumberFormat="1" applyFont="1" applyFill="1" applyBorder="1">
      <alignment vertical="center"/>
    </xf>
    <xf numFmtId="178" fontId="6" fillId="0" borderId="13" xfId="1" applyNumberFormat="1" applyFont="1" applyFill="1" applyBorder="1">
      <alignment vertical="center"/>
    </xf>
    <xf numFmtId="178" fontId="6" fillId="0" borderId="14" xfId="1" applyNumberFormat="1" applyFont="1" applyFill="1" applyBorder="1">
      <alignment vertical="center"/>
    </xf>
    <xf numFmtId="178" fontId="6" fillId="0" borderId="5" xfId="1" applyNumberFormat="1" applyFont="1" applyFill="1" applyBorder="1" applyAlignment="1">
      <alignment vertical="center"/>
    </xf>
    <xf numFmtId="178" fontId="6" fillId="0" borderId="46" xfId="1" applyNumberFormat="1" applyFont="1" applyFill="1" applyBorder="1" applyAlignment="1">
      <alignment vertical="center"/>
    </xf>
    <xf numFmtId="178" fontId="6" fillId="0" borderId="14" xfId="1" applyNumberFormat="1" applyFont="1" applyFill="1" applyBorder="1" applyAlignment="1">
      <alignment vertical="center"/>
    </xf>
    <xf numFmtId="178" fontId="6" fillId="0" borderId="12" xfId="0" applyNumberFormat="1" applyFont="1" applyFill="1" applyBorder="1" applyAlignment="1">
      <alignment vertical="center"/>
    </xf>
    <xf numFmtId="178" fontId="6" fillId="0" borderId="13" xfId="0" applyNumberFormat="1" applyFont="1" applyFill="1" applyBorder="1">
      <alignment vertical="center"/>
    </xf>
    <xf numFmtId="178" fontId="6" fillId="0" borderId="28" xfId="0" applyNumberFormat="1" applyFont="1" applyFill="1" applyBorder="1" applyAlignment="1">
      <alignment vertical="center"/>
    </xf>
    <xf numFmtId="178" fontId="6" fillId="2" borderId="39" xfId="0" applyNumberFormat="1" applyFont="1" applyFill="1" applyBorder="1" applyAlignment="1">
      <alignment vertical="center"/>
    </xf>
    <xf numFmtId="178" fontId="6" fillId="0" borderId="3" xfId="1" applyNumberFormat="1" applyFont="1" applyFill="1" applyBorder="1">
      <alignment vertical="center"/>
    </xf>
    <xf numFmtId="178" fontId="6" fillId="2" borderId="46" xfId="0" applyNumberFormat="1" applyFont="1" applyFill="1" applyBorder="1" applyAlignment="1">
      <alignment vertical="center"/>
    </xf>
    <xf numFmtId="178" fontId="6" fillId="0" borderId="5" xfId="1" applyNumberFormat="1" applyFont="1" applyFill="1" applyBorder="1">
      <alignment vertical="center"/>
    </xf>
    <xf numFmtId="178" fontId="6" fillId="0" borderId="46" xfId="0" applyNumberFormat="1" applyFont="1" applyFill="1" applyBorder="1">
      <alignment vertical="center"/>
    </xf>
    <xf numFmtId="178" fontId="6" fillId="0" borderId="5" xfId="0" applyNumberFormat="1" applyFont="1" applyFill="1" applyBorder="1">
      <alignment vertical="center"/>
    </xf>
    <xf numFmtId="178" fontId="6" fillId="0" borderId="19" xfId="1" applyNumberFormat="1" applyFont="1" applyFill="1" applyBorder="1" applyAlignment="1">
      <alignment vertical="center"/>
    </xf>
    <xf numFmtId="178" fontId="6" fillId="2" borderId="20" xfId="1" applyNumberFormat="1" applyFont="1" applyFill="1" applyBorder="1" applyAlignment="1">
      <alignment vertical="center"/>
    </xf>
    <xf numFmtId="178" fontId="6" fillId="0" borderId="53" xfId="1" applyNumberFormat="1" applyFont="1" applyFill="1" applyBorder="1">
      <alignment vertical="center"/>
    </xf>
    <xf numFmtId="178" fontId="6" fillId="0" borderId="20" xfId="1" applyNumberFormat="1" applyFont="1" applyFill="1" applyBorder="1">
      <alignment vertical="center"/>
    </xf>
    <xf numFmtId="178" fontId="6" fillId="0" borderId="21" xfId="1" applyNumberFormat="1" applyFont="1" applyFill="1" applyBorder="1">
      <alignment vertical="center"/>
    </xf>
    <xf numFmtId="178" fontId="6" fillId="0" borderId="54" xfId="1" applyNumberFormat="1" applyFont="1" applyFill="1" applyBorder="1" applyAlignment="1">
      <alignment vertical="center"/>
    </xf>
    <xf numFmtId="178" fontId="6" fillId="0" borderId="53" xfId="1" applyNumberFormat="1" applyFont="1" applyFill="1" applyBorder="1" applyAlignment="1">
      <alignment vertical="center"/>
    </xf>
    <xf numFmtId="178" fontId="6" fillId="0" borderId="21" xfId="1" applyNumberFormat="1" applyFont="1" applyFill="1" applyBorder="1" applyAlignment="1">
      <alignment vertical="center"/>
    </xf>
    <xf numFmtId="178" fontId="0" fillId="0" borderId="10" xfId="0" applyNumberFormat="1" applyBorder="1">
      <alignment vertical="center"/>
    </xf>
    <xf numFmtId="178" fontId="0" fillId="0" borderId="0" xfId="0" applyNumberFormat="1" applyBorder="1">
      <alignment vertical="center"/>
    </xf>
    <xf numFmtId="14" fontId="2" fillId="0" borderId="28" xfId="0" applyNumberFormat="1" applyFont="1" applyBorder="1" applyAlignment="1">
      <alignment horizontal="center" vertical="center"/>
    </xf>
    <xf numFmtId="14" fontId="2" fillId="0" borderId="30" xfId="0" applyNumberFormat="1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center" vertical="center"/>
    </xf>
    <xf numFmtId="14" fontId="2" fillId="0" borderId="26" xfId="0" applyNumberFormat="1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78" fontId="0" fillId="0" borderId="0" xfId="0" applyNumberFormat="1" applyFont="1">
      <alignment vertical="center"/>
    </xf>
    <xf numFmtId="176" fontId="0" fillId="0" borderId="0" xfId="0" applyNumberFormat="1">
      <alignment vertical="center"/>
    </xf>
    <xf numFmtId="41" fontId="0" fillId="0" borderId="0" xfId="1" applyFont="1">
      <alignment vertical="center"/>
    </xf>
    <xf numFmtId="0" fontId="13" fillId="0" borderId="0" xfId="0" applyFont="1">
      <alignment vertical="center"/>
    </xf>
    <xf numFmtId="0" fontId="7" fillId="0" borderId="4" xfId="0" applyFont="1" applyBorder="1" applyAlignment="1">
      <alignment horizontal="centerContinuous" vertical="center"/>
    </xf>
    <xf numFmtId="0" fontId="7" fillId="0" borderId="27" xfId="0" applyFont="1" applyBorder="1" applyAlignment="1">
      <alignment horizontal="centerContinuous" vertical="center"/>
    </xf>
    <xf numFmtId="0" fontId="13" fillId="0" borderId="4" xfId="0" applyFont="1" applyBorder="1">
      <alignment vertical="center"/>
    </xf>
    <xf numFmtId="0" fontId="7" fillId="0" borderId="0" xfId="0" applyFont="1" applyBorder="1">
      <alignment vertical="center"/>
    </xf>
    <xf numFmtId="0" fontId="13" fillId="0" borderId="5" xfId="0" applyFont="1" applyBorder="1">
      <alignment vertical="center"/>
    </xf>
    <xf numFmtId="0" fontId="7" fillId="0" borderId="31" xfId="0" applyFont="1" applyBorder="1" applyAlignment="1">
      <alignment horizontal="centerContinuous"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>
      <alignment vertical="center"/>
    </xf>
    <xf numFmtId="0" fontId="7" fillId="0" borderId="18" xfId="0" applyFont="1" applyBorder="1" applyAlignment="1">
      <alignment horizontal="centerContinuous" vertical="center"/>
    </xf>
    <xf numFmtId="0" fontId="7" fillId="0" borderId="32" xfId="0" applyFont="1" applyBorder="1" applyAlignment="1">
      <alignment horizontal="centerContinuous" vertical="center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>
      <alignment vertical="center"/>
    </xf>
    <xf numFmtId="176" fontId="7" fillId="0" borderId="25" xfId="0" applyNumberFormat="1" applyFont="1" applyBorder="1">
      <alignment vertical="center"/>
    </xf>
    <xf numFmtId="176" fontId="7" fillId="0" borderId="6" xfId="0" applyNumberFormat="1" applyFont="1" applyBorder="1" applyAlignment="1">
      <alignment horizontal="centerContinuous" vertical="center"/>
    </xf>
    <xf numFmtId="176" fontId="7" fillId="0" borderId="16" xfId="0" applyNumberFormat="1" applyFont="1" applyBorder="1">
      <alignment vertical="center"/>
    </xf>
    <xf numFmtId="0" fontId="7" fillId="0" borderId="33" xfId="0" applyFont="1" applyBorder="1" applyAlignment="1">
      <alignment horizontal="centerContinuous" vertical="center"/>
    </xf>
    <xf numFmtId="0" fontId="7" fillId="0" borderId="22" xfId="0" applyFont="1" applyBorder="1" applyAlignment="1">
      <alignment horizontal="centerContinuous" vertical="center"/>
    </xf>
    <xf numFmtId="0" fontId="7" fillId="0" borderId="23" xfId="0" applyFont="1" applyBorder="1" applyAlignment="1">
      <alignment horizontal="centerContinuous" vertical="center"/>
    </xf>
    <xf numFmtId="176" fontId="7" fillId="3" borderId="29" xfId="0" applyNumberFormat="1" applyFont="1" applyFill="1" applyBorder="1">
      <alignment vertical="center"/>
    </xf>
    <xf numFmtId="176" fontId="7" fillId="3" borderId="13" xfId="0" applyNumberFormat="1" applyFont="1" applyFill="1" applyBorder="1">
      <alignment vertical="center"/>
    </xf>
    <xf numFmtId="0" fontId="7" fillId="0" borderId="0" xfId="0" applyFont="1" applyBorder="1" applyAlignment="1">
      <alignment horizontal="centerContinuous" vertical="center"/>
    </xf>
    <xf numFmtId="176" fontId="7" fillId="3" borderId="25" xfId="0" applyNumberFormat="1" applyFont="1" applyFill="1" applyBorder="1">
      <alignment vertical="center"/>
    </xf>
    <xf numFmtId="176" fontId="7" fillId="3" borderId="16" xfId="0" applyNumberFormat="1" applyFont="1" applyFill="1" applyBorder="1">
      <alignment vertical="center"/>
    </xf>
    <xf numFmtId="0" fontId="7" fillId="0" borderId="31" xfId="0" applyFont="1" applyBorder="1" applyAlignment="1">
      <alignment horizontal="right" vertical="top"/>
    </xf>
    <xf numFmtId="177" fontId="13" fillId="0" borderId="13" xfId="0" applyNumberFormat="1" applyFont="1" applyBorder="1">
      <alignment vertical="center"/>
    </xf>
    <xf numFmtId="177" fontId="13" fillId="0" borderId="14" xfId="0" applyNumberFormat="1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 applyAlignment="1">
      <alignment horizontal="right" vertical="center"/>
    </xf>
    <xf numFmtId="177" fontId="13" fillId="0" borderId="16" xfId="0" applyNumberFormat="1" applyFont="1" applyBorder="1">
      <alignment vertical="center"/>
    </xf>
    <xf numFmtId="177" fontId="13" fillId="0" borderId="17" xfId="0" applyNumberFormat="1" applyFont="1" applyBorder="1">
      <alignment vertical="center"/>
    </xf>
    <xf numFmtId="0" fontId="13" fillId="0" borderId="6" xfId="0" applyFont="1" applyBorder="1">
      <alignment vertical="center"/>
    </xf>
    <xf numFmtId="0" fontId="13" fillId="0" borderId="8" xfId="0" applyFont="1" applyBorder="1">
      <alignment vertical="center"/>
    </xf>
    <xf numFmtId="0" fontId="14" fillId="6" borderId="1" xfId="0" applyFont="1" applyFill="1" applyBorder="1" applyAlignment="1">
      <alignment horizontal="centerContinuous" vertical="center"/>
    </xf>
    <xf numFmtId="0" fontId="14" fillId="6" borderId="2" xfId="0" applyFont="1" applyFill="1" applyBorder="1" applyAlignment="1">
      <alignment horizontal="centerContinuous" vertical="center"/>
    </xf>
    <xf numFmtId="0" fontId="14" fillId="6" borderId="3" xfId="0" applyFont="1" applyFill="1" applyBorder="1" applyAlignment="1">
      <alignment horizontal="centerContinuous" vertical="center"/>
    </xf>
    <xf numFmtId="0" fontId="15" fillId="0" borderId="0" xfId="0" applyFont="1">
      <alignment vertical="center"/>
    </xf>
    <xf numFmtId="0" fontId="14" fillId="6" borderId="10" xfId="0" applyFont="1" applyFill="1" applyBorder="1" applyAlignment="1">
      <alignment horizontal="centerContinuous" vertical="center"/>
    </xf>
    <xf numFmtId="0" fontId="14" fillId="6" borderId="11" xfId="0" applyFont="1" applyFill="1" applyBorder="1" applyAlignment="1">
      <alignment horizontal="centerContinuous" vertical="center"/>
    </xf>
    <xf numFmtId="178" fontId="0" fillId="0" borderId="56" xfId="0" applyNumberFormat="1" applyFont="1" applyBorder="1" applyAlignment="1">
      <alignment vertical="center"/>
    </xf>
    <xf numFmtId="178" fontId="0" fillId="0" borderId="57" xfId="0" applyNumberFormat="1" applyFont="1" applyBorder="1" applyAlignment="1">
      <alignment vertical="center"/>
    </xf>
    <xf numFmtId="178" fontId="0" fillId="0" borderId="58" xfId="0" applyNumberFormat="1" applyFont="1" applyBorder="1" applyAlignment="1">
      <alignment vertical="center"/>
    </xf>
    <xf numFmtId="178" fontId="0" fillId="4" borderId="60" xfId="0" applyNumberFormat="1" applyFont="1" applyFill="1" applyBorder="1" applyAlignment="1">
      <alignment vertical="center"/>
    </xf>
    <xf numFmtId="178" fontId="0" fillId="4" borderId="61" xfId="0" applyNumberFormat="1" applyFont="1" applyFill="1" applyBorder="1" applyAlignment="1">
      <alignment vertical="center"/>
    </xf>
    <xf numFmtId="178" fontId="0" fillId="4" borderId="59" xfId="0" applyNumberFormat="1" applyFont="1" applyFill="1" applyBorder="1" applyAlignment="1">
      <alignment vertical="center"/>
    </xf>
    <xf numFmtId="178" fontId="0" fillId="0" borderId="57" xfId="1" applyNumberFormat="1" applyFont="1" applyBorder="1" applyAlignment="1">
      <alignment vertical="center"/>
    </xf>
    <xf numFmtId="178" fontId="0" fillId="4" borderId="60" xfId="1" applyNumberFormat="1" applyFont="1" applyFill="1" applyBorder="1" applyAlignment="1">
      <alignment vertical="center"/>
    </xf>
    <xf numFmtId="14" fontId="2" fillId="3" borderId="6" xfId="0" applyNumberFormat="1" applyFont="1" applyFill="1" applyBorder="1" applyAlignment="1">
      <alignment horizontal="centerContinuous" vertical="center"/>
    </xf>
    <xf numFmtId="14" fontId="2" fillId="3" borderId="50" xfId="0" applyNumberFormat="1" applyFont="1" applyFill="1" applyBorder="1" applyAlignment="1">
      <alignment horizontal="centerContinuous" vertical="center"/>
    </xf>
    <xf numFmtId="178" fontId="2" fillId="3" borderId="9" xfId="1" applyNumberFormat="1" applyFont="1" applyFill="1" applyBorder="1" applyAlignment="1">
      <alignment vertical="center"/>
    </xf>
    <xf numFmtId="178" fontId="2" fillId="3" borderId="10" xfId="1" applyNumberFormat="1" applyFont="1" applyFill="1" applyBorder="1" applyAlignment="1">
      <alignment vertical="center"/>
    </xf>
    <xf numFmtId="178" fontId="2" fillId="3" borderId="45" xfId="1" applyNumberFormat="1" applyFont="1" applyFill="1" applyBorder="1">
      <alignment vertical="center"/>
    </xf>
    <xf numFmtId="178" fontId="2" fillId="3" borderId="50" xfId="1" applyNumberFormat="1" applyFont="1" applyFill="1" applyBorder="1">
      <alignment vertical="center"/>
    </xf>
    <xf numFmtId="178" fontId="2" fillId="3" borderId="45" xfId="1" applyNumberFormat="1" applyFont="1" applyFill="1" applyBorder="1" applyAlignment="1">
      <alignment vertical="center"/>
    </xf>
    <xf numFmtId="178" fontId="2" fillId="3" borderId="10" xfId="0" applyNumberFormat="1" applyFont="1" applyFill="1" applyBorder="1">
      <alignment vertical="center"/>
    </xf>
    <xf numFmtId="178" fontId="2" fillId="3" borderId="45" xfId="0" applyNumberFormat="1" applyFont="1" applyFill="1" applyBorder="1">
      <alignment vertical="center"/>
    </xf>
    <xf numFmtId="178" fontId="2" fillId="3" borderId="50" xfId="0" applyNumberFormat="1" applyFont="1" applyFill="1" applyBorder="1">
      <alignment vertical="center"/>
    </xf>
    <xf numFmtId="0" fontId="2" fillId="0" borderId="0" xfId="0" applyFont="1" applyBorder="1">
      <alignment vertical="center"/>
    </xf>
    <xf numFmtId="176" fontId="2" fillId="0" borderId="2" xfId="0" applyNumberFormat="1" applyFont="1" applyBorder="1" applyAlignment="1">
      <alignment horizontal="center" vertical="center"/>
    </xf>
    <xf numFmtId="178" fontId="0" fillId="0" borderId="2" xfId="0" applyNumberFormat="1" applyBorder="1">
      <alignment vertical="center"/>
    </xf>
    <xf numFmtId="0" fontId="2" fillId="0" borderId="34" xfId="0" applyFont="1" applyBorder="1" applyAlignment="1">
      <alignment horizontal="centerContinuous" vertical="center"/>
    </xf>
    <xf numFmtId="0" fontId="2" fillId="0" borderId="35" xfId="0" applyFont="1" applyBorder="1" applyAlignment="1">
      <alignment horizontal="centerContinuous" vertical="center"/>
    </xf>
    <xf numFmtId="0" fontId="2" fillId="0" borderId="71" xfId="0" applyFont="1" applyBorder="1" applyAlignment="1">
      <alignment horizontal="centerContinuous" vertical="center"/>
    </xf>
    <xf numFmtId="176" fontId="2" fillId="0" borderId="64" xfId="0" applyNumberFormat="1" applyFont="1" applyBorder="1" applyAlignment="1">
      <alignment horizontal="centerContinuous" vertical="center"/>
    </xf>
    <xf numFmtId="176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>
      <alignment vertical="center"/>
    </xf>
    <xf numFmtId="178" fontId="6" fillId="3" borderId="28" xfId="1" applyNumberFormat="1" applyFont="1" applyFill="1" applyBorder="1" applyAlignment="1">
      <alignment vertical="center"/>
    </xf>
    <xf numFmtId="178" fontId="6" fillId="3" borderId="29" xfId="1" applyNumberFormat="1" applyFont="1" applyFill="1" applyBorder="1" applyAlignment="1">
      <alignment vertical="center"/>
    </xf>
    <xf numFmtId="178" fontId="6" fillId="3" borderId="29" xfId="1" applyNumberFormat="1" applyFont="1" applyFill="1" applyBorder="1">
      <alignment vertical="center"/>
    </xf>
    <xf numFmtId="178" fontId="6" fillId="3" borderId="39" xfId="1" applyNumberFormat="1" applyFont="1" applyFill="1" applyBorder="1">
      <alignment vertical="center"/>
    </xf>
    <xf numFmtId="178" fontId="6" fillId="3" borderId="3" xfId="1" applyNumberFormat="1" applyFont="1" applyFill="1" applyBorder="1">
      <alignment vertical="center"/>
    </xf>
    <xf numFmtId="0" fontId="16" fillId="10" borderId="34" xfId="0" applyFont="1" applyFill="1" applyBorder="1" applyAlignment="1">
      <alignment horizontal="centerContinuous" vertical="center"/>
    </xf>
    <xf numFmtId="0" fontId="16" fillId="10" borderId="35" xfId="0" applyFont="1" applyFill="1" applyBorder="1" applyAlignment="1">
      <alignment horizontal="centerContinuous" vertical="center"/>
    </xf>
    <xf numFmtId="0" fontId="16" fillId="10" borderId="36" xfId="0" applyFont="1" applyFill="1" applyBorder="1" applyAlignment="1">
      <alignment horizontal="centerContinuous"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10" xfId="0" applyFont="1" applyFill="1" applyBorder="1" applyAlignment="1">
      <alignment horizontal="center" vertical="center"/>
    </xf>
    <xf numFmtId="0" fontId="16" fillId="10" borderId="45" xfId="0" applyFont="1" applyFill="1" applyBorder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6" fillId="10" borderId="15" xfId="0" applyFont="1" applyFill="1" applyBorder="1" applyAlignment="1">
      <alignment horizontal="center" vertical="center"/>
    </xf>
    <xf numFmtId="0" fontId="16" fillId="10" borderId="16" xfId="0" applyFont="1" applyFill="1" applyBorder="1" applyAlignment="1">
      <alignment horizontal="center" vertical="center"/>
    </xf>
    <xf numFmtId="0" fontId="16" fillId="10" borderId="50" xfId="0" applyFont="1" applyFill="1" applyBorder="1" applyAlignment="1">
      <alignment horizontal="center" vertical="center"/>
    </xf>
    <xf numFmtId="0" fontId="16" fillId="10" borderId="47" xfId="0" applyFont="1" applyFill="1" applyBorder="1" applyAlignment="1">
      <alignment horizontal="center" vertical="center"/>
    </xf>
    <xf numFmtId="178" fontId="6" fillId="0" borderId="18" xfId="0" applyNumberFormat="1" applyFont="1" applyBorder="1">
      <alignment vertical="center"/>
    </xf>
    <xf numFmtId="178" fontId="6" fillId="0" borderId="66" xfId="0" applyNumberFormat="1" applyFont="1" applyBorder="1">
      <alignment vertical="center"/>
    </xf>
    <xf numFmtId="0" fontId="14" fillId="6" borderId="71" xfId="0" applyFont="1" applyFill="1" applyBorder="1" applyAlignment="1">
      <alignment horizontal="centerContinuous" vertical="center"/>
    </xf>
    <xf numFmtId="178" fontId="6" fillId="0" borderId="54" xfId="0" applyNumberFormat="1" applyFont="1" applyBorder="1">
      <alignment vertical="center"/>
    </xf>
    <xf numFmtId="176" fontId="7" fillId="9" borderId="28" xfId="0" applyNumberFormat="1" applyFont="1" applyFill="1" applyBorder="1" applyAlignment="1">
      <alignment horizontal="center" vertical="center"/>
    </xf>
    <xf numFmtId="176" fontId="7" fillId="9" borderId="12" xfId="0" applyNumberFormat="1" applyFont="1" applyFill="1" applyBorder="1" applyAlignment="1">
      <alignment horizontal="center" vertical="center"/>
    </xf>
    <xf numFmtId="176" fontId="7" fillId="9" borderId="6" xfId="0" applyNumberFormat="1" applyFont="1" applyFill="1" applyBorder="1" applyAlignment="1">
      <alignment horizontal="centerContinuous" vertical="center"/>
    </xf>
    <xf numFmtId="0" fontId="2" fillId="0" borderId="72" xfId="0" applyFont="1" applyBorder="1" applyAlignment="1">
      <alignment horizontal="centerContinuous" vertical="center"/>
    </xf>
    <xf numFmtId="176" fontId="2" fillId="0" borderId="73" xfId="0" applyNumberFormat="1" applyFont="1" applyBorder="1" applyAlignment="1">
      <alignment horizontal="centerContinuous" vertical="center"/>
    </xf>
    <xf numFmtId="176" fontId="7" fillId="0" borderId="27" xfId="0" applyNumberFormat="1" applyFont="1" applyBorder="1" applyAlignment="1">
      <alignment horizontal="center" vertical="center"/>
    </xf>
    <xf numFmtId="176" fontId="7" fillId="0" borderId="31" xfId="0" applyNumberFormat="1" applyFont="1" applyBorder="1" applyAlignment="1">
      <alignment horizontal="center" vertical="center"/>
    </xf>
    <xf numFmtId="176" fontId="7" fillId="0" borderId="33" xfId="0" applyNumberFormat="1" applyFont="1" applyBorder="1" applyAlignment="1">
      <alignment horizontal="center" vertical="center"/>
    </xf>
    <xf numFmtId="176" fontId="7" fillId="0" borderId="7" xfId="0" applyNumberFormat="1" applyFont="1" applyBorder="1" applyAlignment="1">
      <alignment horizontal="centerContinuous" vertical="center"/>
    </xf>
    <xf numFmtId="176" fontId="7" fillId="9" borderId="27" xfId="0" applyNumberFormat="1" applyFont="1" applyFill="1" applyBorder="1" applyAlignment="1">
      <alignment horizontal="center" vertical="center"/>
    </xf>
    <xf numFmtId="176" fontId="7" fillId="9" borderId="31" xfId="0" applyNumberFormat="1" applyFont="1" applyFill="1" applyBorder="1" applyAlignment="1">
      <alignment horizontal="center" vertical="center"/>
    </xf>
    <xf numFmtId="176" fontId="7" fillId="9" borderId="33" xfId="0" applyNumberFormat="1" applyFont="1" applyFill="1" applyBorder="1" applyAlignment="1">
      <alignment horizontal="center" vertical="center"/>
    </xf>
    <xf numFmtId="176" fontId="7" fillId="9" borderId="7" xfId="0" applyNumberFormat="1" applyFont="1" applyFill="1" applyBorder="1" applyAlignment="1">
      <alignment horizontal="centerContinuous" vertical="center"/>
    </xf>
    <xf numFmtId="178" fontId="2" fillId="0" borderId="36" xfId="0" applyNumberFormat="1" applyFont="1" applyBorder="1" applyAlignment="1">
      <alignment vertical="center"/>
    </xf>
    <xf numFmtId="177" fontId="0" fillId="0" borderId="50" xfId="0" applyNumberFormat="1" applyBorder="1">
      <alignment vertical="center"/>
    </xf>
    <xf numFmtId="178" fontId="0" fillId="0" borderId="50" xfId="0" applyNumberFormat="1" applyBorder="1">
      <alignment vertical="center"/>
    </xf>
    <xf numFmtId="178" fontId="2" fillId="0" borderId="63" xfId="0" applyNumberFormat="1" applyFont="1" applyBorder="1" applyAlignment="1">
      <alignment vertical="center"/>
    </xf>
    <xf numFmtId="177" fontId="0" fillId="0" borderId="10" xfId="0" applyNumberFormat="1" applyBorder="1">
      <alignment vertical="center"/>
    </xf>
    <xf numFmtId="176" fontId="13" fillId="0" borderId="1" xfId="0" applyNumberFormat="1" applyFont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22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3" fillId="9" borderId="1" xfId="0" applyNumberFormat="1" applyFont="1" applyFill="1" applyBorder="1">
      <alignment vertical="center"/>
    </xf>
    <xf numFmtId="176" fontId="13" fillId="9" borderId="4" xfId="0" applyNumberFormat="1" applyFont="1" applyFill="1" applyBorder="1">
      <alignment vertical="center"/>
    </xf>
    <xf numFmtId="176" fontId="13" fillId="9" borderId="22" xfId="0" applyNumberFormat="1" applyFont="1" applyFill="1" applyBorder="1">
      <alignment vertical="center"/>
    </xf>
    <xf numFmtId="176" fontId="13" fillId="9" borderId="6" xfId="0" applyNumberFormat="1" applyFont="1" applyFill="1" applyBorder="1">
      <alignment vertical="center"/>
    </xf>
    <xf numFmtId="177" fontId="13" fillId="0" borderId="4" xfId="0" applyNumberFormat="1" applyFont="1" applyBorder="1">
      <alignment vertical="center"/>
    </xf>
    <xf numFmtId="177" fontId="13" fillId="0" borderId="6" xfId="0" applyNumberFormat="1" applyFont="1" applyBorder="1">
      <alignment vertical="center"/>
    </xf>
    <xf numFmtId="0" fontId="14" fillId="6" borderId="45" xfId="0" applyFont="1" applyFill="1" applyBorder="1" applyAlignment="1">
      <alignment horizontal="centerContinuous" vertical="center"/>
    </xf>
    <xf numFmtId="177" fontId="13" fillId="0" borderId="46" xfId="0" applyNumberFormat="1" applyFont="1" applyBorder="1">
      <alignment vertical="center"/>
    </xf>
    <xf numFmtId="177" fontId="13" fillId="0" borderId="47" xfId="0" applyNumberFormat="1" applyFont="1" applyBorder="1">
      <alignment vertical="center"/>
    </xf>
    <xf numFmtId="0" fontId="14" fillId="6" borderId="78" xfId="0" applyFont="1" applyFill="1" applyBorder="1" applyAlignment="1">
      <alignment horizontal="centerContinuous" vertical="center"/>
    </xf>
    <xf numFmtId="177" fontId="13" fillId="0" borderId="75" xfId="0" applyNumberFormat="1" applyFont="1" applyBorder="1">
      <alignment vertical="center"/>
    </xf>
    <xf numFmtId="177" fontId="13" fillId="0" borderId="77" xfId="0" applyNumberFormat="1" applyFont="1" applyBorder="1">
      <alignment vertical="center"/>
    </xf>
    <xf numFmtId="178" fontId="2" fillId="0" borderId="34" xfId="0" applyNumberFormat="1" applyFont="1" applyBorder="1" applyAlignment="1">
      <alignment vertical="center"/>
    </xf>
    <xf numFmtId="177" fontId="0" fillId="0" borderId="71" xfId="0" applyNumberFormat="1" applyBorder="1">
      <alignment vertical="center"/>
    </xf>
    <xf numFmtId="178" fontId="0" fillId="0" borderId="71" xfId="0" applyNumberFormat="1" applyBorder="1">
      <alignment vertical="center"/>
    </xf>
    <xf numFmtId="178" fontId="2" fillId="0" borderId="35" xfId="0" applyNumberFormat="1" applyFont="1" applyFill="1" applyBorder="1" applyAlignment="1">
      <alignment vertical="center"/>
    </xf>
    <xf numFmtId="177" fontId="0" fillId="0" borderId="64" xfId="0" applyNumberFormat="1" applyBorder="1">
      <alignment vertical="center"/>
    </xf>
    <xf numFmtId="178" fontId="0" fillId="0" borderId="64" xfId="0" applyNumberFormat="1" applyBorder="1">
      <alignment vertical="center"/>
    </xf>
    <xf numFmtId="178" fontId="2" fillId="3" borderId="63" xfId="0" applyNumberFormat="1" applyFont="1" applyFill="1" applyBorder="1" applyAlignment="1">
      <alignment vertical="center"/>
    </xf>
    <xf numFmtId="177" fontId="2" fillId="3" borderId="10" xfId="0" applyNumberFormat="1" applyFont="1" applyFill="1" applyBorder="1">
      <alignment vertical="center"/>
    </xf>
    <xf numFmtId="0" fontId="7" fillId="11" borderId="48" xfId="0" applyFont="1" applyFill="1" applyBorder="1" applyAlignment="1">
      <alignment horizontal="centerContinuous" vertical="center"/>
    </xf>
    <xf numFmtId="0" fontId="7" fillId="11" borderId="67" xfId="0" applyFont="1" applyFill="1" applyBorder="1" applyAlignment="1">
      <alignment horizontal="centerContinuous" vertical="center"/>
    </xf>
    <xf numFmtId="0" fontId="7" fillId="11" borderId="1" xfId="0" applyFont="1" applyFill="1" applyBorder="1" applyAlignment="1">
      <alignment horizontal="centerContinuous" vertical="center"/>
    </xf>
    <xf numFmtId="0" fontId="7" fillId="11" borderId="29" xfId="0" applyFont="1" applyFill="1" applyBorder="1" applyAlignment="1">
      <alignment horizontal="centerContinuous" vertical="center"/>
    </xf>
    <xf numFmtId="0" fontId="7" fillId="11" borderId="39" xfId="0" applyFont="1" applyFill="1" applyBorder="1" applyAlignment="1">
      <alignment horizontal="centerContinuous" vertical="center"/>
    </xf>
    <xf numFmtId="0" fontId="7" fillId="11" borderId="30" xfId="0" applyFont="1" applyFill="1" applyBorder="1" applyAlignment="1">
      <alignment horizontal="centerContinuous" vertical="center"/>
    </xf>
    <xf numFmtId="0" fontId="2" fillId="11" borderId="48" xfId="0" applyFont="1" applyFill="1" applyBorder="1" applyAlignment="1">
      <alignment horizontal="centerContinuous" vertical="center"/>
    </xf>
    <xf numFmtId="0" fontId="2" fillId="11" borderId="67" xfId="0" applyFont="1" applyFill="1" applyBorder="1" applyAlignment="1">
      <alignment horizontal="centerContinuous" vertical="center"/>
    </xf>
    <xf numFmtId="178" fontId="2" fillId="11" borderId="1" xfId="0" applyNumberFormat="1" applyFont="1" applyFill="1" applyBorder="1" applyAlignment="1">
      <alignment horizontal="centerContinuous" vertical="center"/>
    </xf>
    <xf numFmtId="178" fontId="2" fillId="11" borderId="29" xfId="0" applyNumberFormat="1" applyFont="1" applyFill="1" applyBorder="1" applyAlignment="1">
      <alignment horizontal="centerContinuous" vertical="center"/>
    </xf>
    <xf numFmtId="178" fontId="2" fillId="11" borderId="2" xfId="0" applyNumberFormat="1" applyFont="1" applyFill="1" applyBorder="1" applyAlignment="1">
      <alignment horizontal="centerContinuous" vertical="center"/>
    </xf>
    <xf numFmtId="178" fontId="2" fillId="11" borderId="3" xfId="0" applyNumberFormat="1" applyFont="1" applyFill="1" applyBorder="1" applyAlignment="1">
      <alignment horizontal="centerContinuous" vertical="center"/>
    </xf>
    <xf numFmtId="180" fontId="0" fillId="0" borderId="0" xfId="0" applyNumberFormat="1">
      <alignment vertical="center"/>
    </xf>
    <xf numFmtId="178" fontId="6" fillId="0" borderId="4" xfId="1" applyNumberFormat="1" applyFont="1" applyFill="1" applyBorder="1" applyAlignment="1">
      <alignment vertical="center"/>
    </xf>
    <xf numFmtId="178" fontId="6" fillId="0" borderId="0" xfId="1" applyNumberFormat="1" applyFont="1" applyFill="1" applyBorder="1" applyAlignment="1">
      <alignment vertical="center"/>
    </xf>
    <xf numFmtId="178" fontId="6" fillId="0" borderId="6" xfId="1" applyNumberFormat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center"/>
    </xf>
    <xf numFmtId="178" fontId="6" fillId="0" borderId="8" xfId="1" applyNumberFormat="1" applyFont="1" applyFill="1" applyBorder="1" applyAlignment="1">
      <alignment vertical="center"/>
    </xf>
    <xf numFmtId="178" fontId="2" fillId="0" borderId="4" xfId="1" applyNumberFormat="1" applyFont="1" applyFill="1" applyBorder="1" applyAlignment="1">
      <alignment vertical="center"/>
    </xf>
    <xf numFmtId="41" fontId="0" fillId="0" borderId="0" xfId="0" applyNumberFormat="1" applyFont="1">
      <alignment vertical="center"/>
    </xf>
    <xf numFmtId="9" fontId="0" fillId="0" borderId="0" xfId="0" applyNumberFormat="1">
      <alignment vertical="center"/>
    </xf>
    <xf numFmtId="178" fontId="0" fillId="0" borderId="0" xfId="1" applyNumberFormat="1" applyFont="1">
      <alignment vertical="center"/>
    </xf>
    <xf numFmtId="176" fontId="0" fillId="9" borderId="0" xfId="0" applyNumberFormat="1" applyFill="1">
      <alignment vertical="center"/>
    </xf>
    <xf numFmtId="0" fontId="0" fillId="9" borderId="0" xfId="0" applyFill="1">
      <alignment vertical="center"/>
    </xf>
    <xf numFmtId="178" fontId="0" fillId="4" borderId="0" xfId="1" applyNumberFormat="1" applyFont="1" applyFill="1">
      <alignment vertical="center"/>
    </xf>
    <xf numFmtId="178" fontId="6" fillId="0" borderId="34" xfId="0" applyNumberFormat="1" applyFont="1" applyBorder="1" applyAlignment="1">
      <alignment vertical="center"/>
    </xf>
    <xf numFmtId="178" fontId="6" fillId="3" borderId="63" xfId="0" applyNumberFormat="1" applyFont="1" applyFill="1" applyBorder="1" applyAlignment="1">
      <alignment vertical="center"/>
    </xf>
    <xf numFmtId="178" fontId="6" fillId="0" borderId="35" xfId="0" applyNumberFormat="1" applyFont="1" applyFill="1" applyBorder="1" applyAlignment="1">
      <alignment vertical="center"/>
    </xf>
    <xf numFmtId="178" fontId="6" fillId="0" borderId="63" xfId="0" applyNumberFormat="1" applyFont="1" applyBorder="1" applyAlignment="1">
      <alignment vertical="center"/>
    </xf>
    <xf numFmtId="178" fontId="6" fillId="0" borderId="36" xfId="0" applyNumberFormat="1" applyFont="1" applyBorder="1" applyAlignment="1">
      <alignment vertical="center"/>
    </xf>
    <xf numFmtId="178" fontId="6" fillId="0" borderId="48" xfId="1" applyNumberFormat="1" applyFont="1" applyBorder="1">
      <alignment vertical="center"/>
    </xf>
    <xf numFmtId="178" fontId="6" fillId="3" borderId="38" xfId="1" applyNumberFormat="1" applyFont="1" applyFill="1" applyBorder="1">
      <alignment vertical="center"/>
    </xf>
    <xf numFmtId="178" fontId="6" fillId="0" borderId="67" xfId="0" applyNumberFormat="1" applyFont="1" applyBorder="1">
      <alignment vertical="center"/>
    </xf>
    <xf numFmtId="178" fontId="6" fillId="0" borderId="38" xfId="1" applyNumberFormat="1" applyFont="1" applyBorder="1">
      <alignment vertical="center"/>
    </xf>
    <xf numFmtId="178" fontId="6" fillId="0" borderId="55" xfId="0" applyNumberFormat="1" applyFont="1" applyBorder="1">
      <alignment vertical="center"/>
    </xf>
    <xf numFmtId="178" fontId="6" fillId="3" borderId="20" xfId="0" applyNumberFormat="1" applyFont="1" applyFill="1" applyBorder="1">
      <alignment vertical="center"/>
    </xf>
    <xf numFmtId="178" fontId="6" fillId="0" borderId="20" xfId="0" applyNumberFormat="1" applyFont="1" applyBorder="1">
      <alignment vertical="center"/>
    </xf>
    <xf numFmtId="178" fontId="6" fillId="0" borderId="6" xfId="1" applyNumberFormat="1" applyFont="1" applyBorder="1">
      <alignment vertical="center"/>
    </xf>
    <xf numFmtId="178" fontId="6" fillId="3" borderId="16" xfId="1" applyNumberFormat="1" applyFont="1" applyFill="1" applyBorder="1">
      <alignment vertical="center"/>
    </xf>
    <xf numFmtId="178" fontId="6" fillId="0" borderId="7" xfId="1" applyNumberFormat="1" applyFont="1" applyBorder="1">
      <alignment vertical="center"/>
    </xf>
    <xf numFmtId="178" fontId="6" fillId="0" borderId="16" xfId="1" applyNumberFormat="1" applyFont="1" applyBorder="1">
      <alignment vertical="center"/>
    </xf>
    <xf numFmtId="178" fontId="6" fillId="0" borderId="8" xfId="1" applyNumberFormat="1" applyFont="1" applyBorder="1">
      <alignment vertical="center"/>
    </xf>
    <xf numFmtId="178" fontId="6" fillId="0" borderId="80" xfId="1" applyNumberFormat="1" applyFont="1" applyBorder="1">
      <alignment vertical="center"/>
    </xf>
    <xf numFmtId="178" fontId="6" fillId="3" borderId="43" xfId="1" applyNumberFormat="1" applyFont="1" applyFill="1" applyBorder="1">
      <alignment vertical="center"/>
    </xf>
    <xf numFmtId="178" fontId="6" fillId="0" borderId="81" xfId="0" applyNumberFormat="1" applyFont="1" applyBorder="1">
      <alignment vertical="center"/>
    </xf>
    <xf numFmtId="178" fontId="6" fillId="0" borderId="43" xfId="1" applyNumberFormat="1" applyFont="1" applyBorder="1">
      <alignment vertical="center"/>
    </xf>
    <xf numFmtId="178" fontId="6" fillId="0" borderId="52" xfId="0" applyNumberFormat="1" applyFont="1" applyBorder="1">
      <alignment vertical="center"/>
    </xf>
    <xf numFmtId="178" fontId="6" fillId="0" borderId="80" xfId="0" applyNumberFormat="1" applyFont="1" applyBorder="1" applyAlignment="1">
      <alignment horizontal="centerContinuous" vertical="center"/>
    </xf>
    <xf numFmtId="178" fontId="6" fillId="0" borderId="81" xfId="0" applyNumberFormat="1" applyFont="1" applyBorder="1" applyAlignment="1">
      <alignment horizontal="centerContinuous" vertical="center"/>
    </xf>
    <xf numFmtId="178" fontId="6" fillId="0" borderId="6" xfId="0" applyNumberFormat="1" applyFont="1" applyBorder="1" applyAlignment="1">
      <alignment horizontal="centerContinuous" vertical="center"/>
    </xf>
    <xf numFmtId="178" fontId="6" fillId="0" borderId="7" xfId="0" applyNumberFormat="1" applyFont="1" applyBorder="1" applyAlignment="1">
      <alignment horizontal="centerContinuous" vertical="center"/>
    </xf>
    <xf numFmtId="178" fontId="6" fillId="9" borderId="4" xfId="1" applyNumberFormat="1" applyFont="1" applyFill="1" applyBorder="1" applyAlignment="1">
      <alignment vertical="center"/>
    </xf>
    <xf numFmtId="14" fontId="2" fillId="4" borderId="4" xfId="0" applyNumberFormat="1" applyFont="1" applyFill="1" applyBorder="1" applyAlignment="1">
      <alignment horizontal="centerContinuous" vertical="center"/>
    </xf>
    <xf numFmtId="14" fontId="2" fillId="4" borderId="5" xfId="0" applyNumberFormat="1" applyFont="1" applyFill="1" applyBorder="1" applyAlignment="1">
      <alignment horizontal="centerContinuous" vertical="center"/>
    </xf>
    <xf numFmtId="178" fontId="2" fillId="4" borderId="12" xfId="1" applyNumberFormat="1" applyFont="1" applyFill="1" applyBorder="1" applyAlignment="1">
      <alignment vertical="center"/>
    </xf>
    <xf numFmtId="178" fontId="2" fillId="4" borderId="13" xfId="1" applyNumberFormat="1" applyFont="1" applyFill="1" applyBorder="1" applyAlignment="1">
      <alignment vertical="center"/>
    </xf>
    <xf numFmtId="178" fontId="2" fillId="4" borderId="46" xfId="1" applyNumberFormat="1" applyFont="1" applyFill="1" applyBorder="1">
      <alignment vertical="center"/>
    </xf>
    <xf numFmtId="178" fontId="2" fillId="4" borderId="13" xfId="1" applyNumberFormat="1" applyFont="1" applyFill="1" applyBorder="1">
      <alignment vertical="center"/>
    </xf>
    <xf numFmtId="178" fontId="2" fillId="4" borderId="14" xfId="1" applyNumberFormat="1" applyFont="1" applyFill="1" applyBorder="1">
      <alignment vertical="center"/>
    </xf>
    <xf numFmtId="178" fontId="2" fillId="4" borderId="5" xfId="1" applyNumberFormat="1" applyFont="1" applyFill="1" applyBorder="1" applyAlignment="1">
      <alignment vertical="center"/>
    </xf>
    <xf numFmtId="178" fontId="2" fillId="4" borderId="46" xfId="1" applyNumberFormat="1" applyFont="1" applyFill="1" applyBorder="1" applyAlignment="1">
      <alignment vertical="center"/>
    </xf>
    <xf numFmtId="178" fontId="2" fillId="4" borderId="14" xfId="1" applyNumberFormat="1" applyFont="1" applyFill="1" applyBorder="1" applyAlignment="1">
      <alignment vertical="center"/>
    </xf>
    <xf numFmtId="14" fontId="2" fillId="4" borderId="48" xfId="0" applyNumberFormat="1" applyFont="1" applyFill="1" applyBorder="1" applyAlignment="1">
      <alignment horizontal="centerContinuous" vertical="center"/>
    </xf>
    <xf numFmtId="14" fontId="2" fillId="4" borderId="55" xfId="0" applyNumberFormat="1" applyFont="1" applyFill="1" applyBorder="1" applyAlignment="1">
      <alignment horizontal="centerContinuous" vertical="center"/>
    </xf>
    <xf numFmtId="178" fontId="2" fillId="4" borderId="37" xfId="0" applyNumberFormat="1" applyFont="1" applyFill="1" applyBorder="1" applyAlignment="1">
      <alignment vertical="center"/>
    </xf>
    <xf numFmtId="178" fontId="2" fillId="4" borderId="38" xfId="1" applyNumberFormat="1" applyFont="1" applyFill="1" applyBorder="1" applyAlignment="1">
      <alignment vertical="center"/>
    </xf>
    <xf numFmtId="178" fontId="2" fillId="4" borderId="40" xfId="0" applyNumberFormat="1" applyFont="1" applyFill="1" applyBorder="1">
      <alignment vertical="center"/>
    </xf>
    <xf numFmtId="178" fontId="2" fillId="4" borderId="40" xfId="1" applyNumberFormat="1" applyFont="1" applyFill="1" applyBorder="1">
      <alignment vertical="center"/>
    </xf>
    <xf numFmtId="178" fontId="2" fillId="4" borderId="55" xfId="1" applyNumberFormat="1" applyFont="1" applyFill="1" applyBorder="1">
      <alignment vertical="center"/>
    </xf>
    <xf numFmtId="178" fontId="2" fillId="3" borderId="71" xfId="0" applyNumberFormat="1" applyFont="1" applyFill="1" applyBorder="1" applyAlignment="1">
      <alignment vertical="center"/>
    </xf>
    <xf numFmtId="178" fontId="2" fillId="3" borderId="64" xfId="0" applyNumberFormat="1" applyFont="1" applyFill="1" applyBorder="1" applyAlignment="1">
      <alignment vertical="center"/>
    </xf>
    <xf numFmtId="178" fontId="2" fillId="3" borderId="50" xfId="0" applyNumberFormat="1" applyFont="1" applyFill="1" applyBorder="1" applyAlignment="1">
      <alignment vertical="center"/>
    </xf>
    <xf numFmtId="178" fontId="6" fillId="9" borderId="1" xfId="1" applyNumberFormat="1" applyFont="1" applyFill="1" applyBorder="1" applyAlignment="1">
      <alignment vertical="center"/>
    </xf>
    <xf numFmtId="178" fontId="6" fillId="9" borderId="2" xfId="1" applyNumberFormat="1" applyFont="1" applyFill="1" applyBorder="1" applyAlignment="1">
      <alignment vertical="center"/>
    </xf>
    <xf numFmtId="178" fontId="6" fillId="9" borderId="3" xfId="1" applyNumberFormat="1" applyFont="1" applyFill="1" applyBorder="1" applyAlignment="1">
      <alignment vertical="center"/>
    </xf>
    <xf numFmtId="178" fontId="2" fillId="4" borderId="48" xfId="0" applyNumberFormat="1" applyFont="1" applyFill="1" applyBorder="1" applyAlignment="1">
      <alignment vertical="center"/>
    </xf>
    <xf numFmtId="178" fontId="2" fillId="4" borderId="67" xfId="0" applyNumberFormat="1" applyFont="1" applyFill="1" applyBorder="1" applyAlignment="1">
      <alignment vertical="center"/>
    </xf>
    <xf numFmtId="178" fontId="2" fillId="4" borderId="55" xfId="0" applyNumberFormat="1" applyFont="1" applyFill="1" applyBorder="1" applyAlignment="1">
      <alignment vertical="center"/>
    </xf>
    <xf numFmtId="0" fontId="6" fillId="0" borderId="0" xfId="0" applyFont="1">
      <alignment vertical="center"/>
    </xf>
    <xf numFmtId="179" fontId="0" fillId="0" borderId="0" xfId="1" applyNumberFormat="1" applyFont="1">
      <alignment vertical="center"/>
    </xf>
    <xf numFmtId="9" fontId="0" fillId="0" borderId="0" xfId="0" applyNumberFormat="1" applyFont="1" applyAlignment="1">
      <alignment vertical="center"/>
    </xf>
    <xf numFmtId="178" fontId="13" fillId="0" borderId="39" xfId="0" applyNumberFormat="1" applyFont="1" applyBorder="1">
      <alignment vertical="center"/>
    </xf>
    <xf numFmtId="178" fontId="13" fillId="0" borderId="29" xfId="0" applyNumberFormat="1" applyFont="1" applyBorder="1">
      <alignment vertical="center"/>
    </xf>
    <xf numFmtId="178" fontId="13" fillId="0" borderId="30" xfId="0" applyNumberFormat="1" applyFont="1" applyBorder="1">
      <alignment vertical="center"/>
    </xf>
    <xf numFmtId="178" fontId="13" fillId="0" borderId="46" xfId="0" applyNumberFormat="1" applyFont="1" applyBorder="1">
      <alignment vertical="center"/>
    </xf>
    <xf numFmtId="178" fontId="13" fillId="0" borderId="13" xfId="0" applyNumberFormat="1" applyFont="1" applyBorder="1">
      <alignment vertical="center"/>
    </xf>
    <xf numFmtId="178" fontId="13" fillId="0" borderId="14" xfId="0" applyNumberFormat="1" applyFont="1" applyBorder="1">
      <alignment vertical="center"/>
    </xf>
    <xf numFmtId="178" fontId="13" fillId="0" borderId="49" xfId="0" applyNumberFormat="1" applyFont="1" applyBorder="1">
      <alignment vertical="center"/>
    </xf>
    <xf numFmtId="178" fontId="13" fillId="0" borderId="25" xfId="0" applyNumberFormat="1" applyFont="1" applyBorder="1">
      <alignment vertical="center"/>
    </xf>
    <xf numFmtId="178" fontId="13" fillId="0" borderId="26" xfId="0" applyNumberFormat="1" applyFont="1" applyBorder="1">
      <alignment vertical="center"/>
    </xf>
    <xf numFmtId="178" fontId="13" fillId="0" borderId="47" xfId="0" applyNumberFormat="1" applyFont="1" applyBorder="1">
      <alignment vertical="center"/>
    </xf>
    <xf numFmtId="178" fontId="13" fillId="0" borderId="16" xfId="0" applyNumberFormat="1" applyFont="1" applyBorder="1">
      <alignment vertical="center"/>
    </xf>
    <xf numFmtId="178" fontId="13" fillId="0" borderId="17" xfId="0" applyNumberFormat="1" applyFont="1" applyBorder="1">
      <alignment vertical="center"/>
    </xf>
    <xf numFmtId="178" fontId="13" fillId="9" borderId="39" xfId="0" applyNumberFormat="1" applyFont="1" applyFill="1" applyBorder="1">
      <alignment vertical="center"/>
    </xf>
    <xf numFmtId="178" fontId="13" fillId="9" borderId="29" xfId="0" applyNumberFormat="1" applyFont="1" applyFill="1" applyBorder="1">
      <alignment vertical="center"/>
    </xf>
    <xf numFmtId="178" fontId="13" fillId="9" borderId="30" xfId="0" applyNumberFormat="1" applyFont="1" applyFill="1" applyBorder="1">
      <alignment vertical="center"/>
    </xf>
    <xf numFmtId="178" fontId="13" fillId="9" borderId="46" xfId="0" applyNumberFormat="1" applyFont="1" applyFill="1" applyBorder="1">
      <alignment vertical="center"/>
    </xf>
    <xf numFmtId="178" fontId="13" fillId="9" borderId="13" xfId="0" applyNumberFormat="1" applyFont="1" applyFill="1" applyBorder="1">
      <alignment vertical="center"/>
    </xf>
    <xf numFmtId="178" fontId="13" fillId="9" borderId="14" xfId="0" applyNumberFormat="1" applyFont="1" applyFill="1" applyBorder="1">
      <alignment vertical="center"/>
    </xf>
    <xf numFmtId="178" fontId="13" fillId="9" borderId="49" xfId="0" applyNumberFormat="1" applyFont="1" applyFill="1" applyBorder="1">
      <alignment vertical="center"/>
    </xf>
    <xf numFmtId="178" fontId="13" fillId="9" borderId="25" xfId="0" applyNumberFormat="1" applyFont="1" applyFill="1" applyBorder="1">
      <alignment vertical="center"/>
    </xf>
    <xf numFmtId="178" fontId="13" fillId="9" borderId="26" xfId="0" applyNumberFormat="1" applyFont="1" applyFill="1" applyBorder="1">
      <alignment vertical="center"/>
    </xf>
    <xf numFmtId="178" fontId="13" fillId="9" borderId="47" xfId="0" applyNumberFormat="1" applyFont="1" applyFill="1" applyBorder="1">
      <alignment vertical="center"/>
    </xf>
    <xf numFmtId="178" fontId="13" fillId="9" borderId="16" xfId="0" applyNumberFormat="1" applyFont="1" applyFill="1" applyBorder="1">
      <alignment vertical="center"/>
    </xf>
    <xf numFmtId="178" fontId="13" fillId="9" borderId="17" xfId="0" applyNumberFormat="1" applyFont="1" applyFill="1" applyBorder="1">
      <alignment vertical="center"/>
    </xf>
    <xf numFmtId="178" fontId="13" fillId="0" borderId="1" xfId="0" applyNumberFormat="1" applyFont="1" applyBorder="1">
      <alignment vertical="center"/>
    </xf>
    <xf numFmtId="178" fontId="13" fillId="0" borderId="74" xfId="0" applyNumberFormat="1" applyFont="1" applyBorder="1">
      <alignment vertical="center"/>
    </xf>
    <xf numFmtId="178" fontId="13" fillId="0" borderId="4" xfId="0" applyNumberFormat="1" applyFont="1" applyBorder="1">
      <alignment vertical="center"/>
    </xf>
    <xf numFmtId="178" fontId="13" fillId="0" borderId="75" xfId="0" applyNumberFormat="1" applyFont="1" applyBorder="1">
      <alignment vertical="center"/>
    </xf>
    <xf numFmtId="178" fontId="13" fillId="0" borderId="18" xfId="0" applyNumberFormat="1" applyFont="1" applyBorder="1">
      <alignment vertical="center"/>
    </xf>
    <xf numFmtId="178" fontId="13" fillId="0" borderId="79" xfId="0" applyNumberFormat="1" applyFont="1" applyBorder="1">
      <alignment vertical="center"/>
    </xf>
    <xf numFmtId="178" fontId="13" fillId="0" borderId="53" xfId="0" applyNumberFormat="1" applyFont="1" applyBorder="1">
      <alignment vertical="center"/>
    </xf>
    <xf numFmtId="178" fontId="13" fillId="0" borderId="20" xfId="0" applyNumberFormat="1" applyFont="1" applyBorder="1">
      <alignment vertical="center"/>
    </xf>
    <xf numFmtId="178" fontId="13" fillId="0" borderId="21" xfId="0" applyNumberFormat="1" applyFont="1" applyBorder="1">
      <alignment vertical="center"/>
    </xf>
    <xf numFmtId="178" fontId="13" fillId="0" borderId="22" xfId="0" applyNumberFormat="1" applyFont="1" applyBorder="1">
      <alignment vertical="center"/>
    </xf>
    <xf numFmtId="178" fontId="13" fillId="0" borderId="76" xfId="0" applyNumberFormat="1" applyFont="1" applyBorder="1">
      <alignment vertical="center"/>
    </xf>
    <xf numFmtId="178" fontId="12" fillId="7" borderId="79" xfId="0" applyNumberFormat="1" applyFont="1" applyFill="1" applyBorder="1">
      <alignment vertical="center"/>
    </xf>
    <xf numFmtId="178" fontId="12" fillId="5" borderId="75" xfId="0" applyNumberFormat="1" applyFont="1" applyFill="1" applyBorder="1">
      <alignment vertical="center"/>
    </xf>
    <xf numFmtId="181" fontId="0" fillId="0" borderId="0" xfId="1" applyNumberFormat="1" applyFont="1">
      <alignment vertical="center"/>
    </xf>
    <xf numFmtId="0" fontId="0" fillId="0" borderId="0" xfId="0" applyFont="1" applyAlignment="1">
      <alignment horizontal="right" vertical="center"/>
    </xf>
    <xf numFmtId="14" fontId="0" fillId="0" borderId="0" xfId="0" applyNumberFormat="1" applyFont="1" applyAlignment="1">
      <alignment horizontal="right" vertical="center"/>
    </xf>
    <xf numFmtId="9" fontId="0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78" fontId="0" fillId="0" borderId="0" xfId="0" applyNumberFormat="1" applyFont="1" applyAlignment="1">
      <alignment horizontal="right" vertical="center"/>
    </xf>
    <xf numFmtId="179" fontId="6" fillId="0" borderId="0" xfId="1" applyNumberFormat="1" applyFont="1" applyFill="1" applyBorder="1" applyAlignment="1">
      <alignment vertical="center"/>
    </xf>
    <xf numFmtId="182" fontId="0" fillId="0" borderId="0" xfId="0" applyNumberFormat="1">
      <alignment vertical="center"/>
    </xf>
    <xf numFmtId="178" fontId="0" fillId="0" borderId="17" xfId="0" applyNumberFormat="1" applyBorder="1">
      <alignment vertical="center"/>
    </xf>
    <xf numFmtId="178" fontId="2" fillId="0" borderId="7" xfId="0" applyNumberFormat="1" applyFont="1" applyBorder="1">
      <alignment vertical="center"/>
    </xf>
    <xf numFmtId="178" fontId="2" fillId="0" borderId="82" xfId="0" applyNumberFormat="1" applyFon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6" xfId="0" applyNumberFormat="1" applyBorder="1" applyAlignment="1">
      <alignment horizontal="center" vertical="center"/>
    </xf>
    <xf numFmtId="178" fontId="0" fillId="0" borderId="14" xfId="0" applyNumberFormat="1" applyBorder="1">
      <alignment vertical="center"/>
    </xf>
    <xf numFmtId="178" fontId="2" fillId="0" borderId="83" xfId="0" applyNumberFormat="1" applyFont="1" applyBorder="1">
      <alignment vertical="center"/>
    </xf>
    <xf numFmtId="178" fontId="0" fillId="0" borderId="4" xfId="0" applyNumberFormat="1" applyBorder="1">
      <alignment vertical="center"/>
    </xf>
    <xf numFmtId="178" fontId="0" fillId="0" borderId="5" xfId="0" applyNumberFormat="1" applyBorder="1">
      <alignment vertical="center"/>
    </xf>
    <xf numFmtId="178" fontId="0" fillId="0" borderId="4" xfId="0" applyNumberFormat="1" applyBorder="1" applyAlignment="1">
      <alignment horizontal="center" vertical="center"/>
    </xf>
    <xf numFmtId="178" fontId="0" fillId="0" borderId="69" xfId="0" applyNumberFormat="1" applyBorder="1" applyAlignment="1">
      <alignment horizontal="center" vertical="center"/>
    </xf>
    <xf numFmtId="178" fontId="0" fillId="0" borderId="21" xfId="0" applyNumberFormat="1" applyBorder="1">
      <alignment vertical="center"/>
    </xf>
    <xf numFmtId="178" fontId="2" fillId="0" borderId="66" xfId="0" applyNumberFormat="1" applyFont="1" applyBorder="1">
      <alignment vertical="center"/>
    </xf>
    <xf numFmtId="178" fontId="2" fillId="0" borderId="84" xfId="0" applyNumberFormat="1" applyFont="1" applyBorder="1">
      <alignment vertical="center"/>
    </xf>
    <xf numFmtId="178" fontId="0" fillId="0" borderId="18" xfId="0" applyNumberFormat="1" applyBorder="1">
      <alignment vertical="center"/>
    </xf>
    <xf numFmtId="178" fontId="0" fillId="0" borderId="54" xfId="0" applyNumberFormat="1" applyBorder="1">
      <alignment vertical="center"/>
    </xf>
    <xf numFmtId="178" fontId="0" fillId="0" borderId="85" xfId="0" applyNumberFormat="1" applyBorder="1" applyAlignment="1">
      <alignment horizontal="center" vertical="center"/>
    </xf>
    <xf numFmtId="178" fontId="2" fillId="0" borderId="86" xfId="0" applyNumberFormat="1" applyFont="1" applyBorder="1">
      <alignment vertical="center"/>
    </xf>
    <xf numFmtId="178" fontId="0" fillId="0" borderId="30" xfId="0" applyNumberFormat="1" applyBorder="1">
      <alignment vertical="center"/>
    </xf>
    <xf numFmtId="178" fontId="2" fillId="0" borderId="2" xfId="0" applyNumberFormat="1" applyFont="1" applyBorder="1">
      <alignment vertical="center"/>
    </xf>
    <xf numFmtId="178" fontId="2" fillId="0" borderId="87" xfId="0" applyNumberFormat="1" applyFont="1" applyBorder="1">
      <alignment vertical="center"/>
    </xf>
    <xf numFmtId="178" fontId="0" fillId="0" borderId="1" xfId="0" applyNumberFormat="1" applyBorder="1">
      <alignment vertical="center"/>
    </xf>
    <xf numFmtId="178" fontId="0" fillId="0" borderId="3" xfId="0" applyNumberFormat="1" applyBorder="1">
      <alignment vertical="center"/>
    </xf>
    <xf numFmtId="178" fontId="0" fillId="0" borderId="68" xfId="0" applyNumberFormat="1" applyBorder="1" applyAlignment="1">
      <alignment horizontal="center" vertical="center"/>
    </xf>
    <xf numFmtId="178" fontId="17" fillId="12" borderId="17" xfId="0" applyNumberFormat="1" applyFont="1" applyFill="1" applyBorder="1" applyAlignment="1">
      <alignment horizontal="right" vertical="center"/>
    </xf>
    <xf numFmtId="178" fontId="17" fillId="12" borderId="0" xfId="0" applyNumberFormat="1" applyFont="1" applyFill="1" applyBorder="1" applyAlignment="1">
      <alignment horizontal="right" vertical="center"/>
    </xf>
    <xf numFmtId="178" fontId="17" fillId="12" borderId="83" xfId="0" applyNumberFormat="1" applyFont="1" applyFill="1" applyBorder="1" applyAlignment="1">
      <alignment horizontal="right" vertical="center"/>
    </xf>
    <xf numFmtId="178" fontId="17" fillId="12" borderId="4" xfId="0" applyNumberFormat="1" applyFont="1" applyFill="1" applyBorder="1" applyAlignment="1">
      <alignment horizontal="right" vertical="center"/>
    </xf>
    <xf numFmtId="178" fontId="17" fillId="12" borderId="69" xfId="0" applyNumberFormat="1" applyFont="1" applyFill="1" applyBorder="1" applyAlignment="1">
      <alignment horizontal="center" vertical="center"/>
    </xf>
    <xf numFmtId="178" fontId="17" fillId="12" borderId="44" xfId="0" applyNumberFormat="1" applyFont="1" applyFill="1" applyBorder="1" applyAlignment="1">
      <alignment horizontal="right" vertical="center"/>
    </xf>
    <xf numFmtId="178" fontId="17" fillId="12" borderId="81" xfId="0" applyNumberFormat="1" applyFont="1" applyFill="1" applyBorder="1" applyAlignment="1">
      <alignment horizontal="right" vertical="center"/>
    </xf>
    <xf numFmtId="178" fontId="17" fillId="12" borderId="88" xfId="0" applyNumberFormat="1" applyFont="1" applyFill="1" applyBorder="1" applyAlignment="1">
      <alignment horizontal="right" vertical="center"/>
    </xf>
    <xf numFmtId="178" fontId="17" fillId="12" borderId="80" xfId="0" applyNumberFormat="1" applyFont="1" applyFill="1" applyBorder="1" applyAlignment="1">
      <alignment horizontal="right" vertical="center"/>
    </xf>
    <xf numFmtId="178" fontId="17" fillId="12" borderId="89" xfId="0" applyNumberFormat="1" applyFont="1" applyFill="1" applyBorder="1" applyAlignment="1">
      <alignment horizontal="center" vertical="center"/>
    </xf>
    <xf numFmtId="178" fontId="17" fillId="12" borderId="30" xfId="0" applyNumberFormat="1" applyFont="1" applyFill="1" applyBorder="1" applyAlignment="1">
      <alignment horizontal="right" vertical="center"/>
    </xf>
    <xf numFmtId="178" fontId="17" fillId="12" borderId="2" xfId="0" applyNumberFormat="1" applyFont="1" applyFill="1" applyBorder="1" applyAlignment="1">
      <alignment horizontal="right" vertical="center"/>
    </xf>
    <xf numFmtId="178" fontId="17" fillId="12" borderId="87" xfId="0" applyNumberFormat="1" applyFont="1" applyFill="1" applyBorder="1" applyAlignment="1">
      <alignment horizontal="right" vertical="center"/>
    </xf>
    <xf numFmtId="178" fontId="17" fillId="12" borderId="1" xfId="0" applyNumberFormat="1" applyFont="1" applyFill="1" applyBorder="1" applyAlignment="1">
      <alignment horizontal="right" vertical="center"/>
    </xf>
    <xf numFmtId="178" fontId="17" fillId="12" borderId="68" xfId="0" applyNumberFormat="1" applyFont="1" applyFill="1" applyBorder="1" applyAlignment="1">
      <alignment horizontal="center" vertical="center"/>
    </xf>
    <xf numFmtId="178" fontId="18" fillId="13" borderId="90" xfId="0" applyNumberFormat="1" applyFont="1" applyFill="1" applyBorder="1" applyAlignment="1">
      <alignment horizontal="right" vertical="center"/>
    </xf>
    <xf numFmtId="178" fontId="18" fillId="13" borderId="67" xfId="0" applyNumberFormat="1" applyFont="1" applyFill="1" applyBorder="1" applyAlignment="1">
      <alignment horizontal="right" vertical="center"/>
    </xf>
    <xf numFmtId="178" fontId="18" fillId="13" borderId="91" xfId="0" applyNumberFormat="1" applyFont="1" applyFill="1" applyBorder="1" applyAlignment="1">
      <alignment horizontal="right" vertical="center"/>
    </xf>
    <xf numFmtId="178" fontId="18" fillId="13" borderId="48" xfId="0" applyNumberFormat="1" applyFont="1" applyFill="1" applyBorder="1" applyAlignment="1">
      <alignment horizontal="right" vertical="center"/>
    </xf>
    <xf numFmtId="178" fontId="18" fillId="13" borderId="92" xfId="0" applyNumberFormat="1" applyFont="1" applyFill="1" applyBorder="1" applyAlignment="1">
      <alignment horizontal="right" vertical="center"/>
    </xf>
    <xf numFmtId="178" fontId="18" fillId="13" borderId="65" xfId="0" applyNumberFormat="1" applyFont="1" applyFill="1" applyBorder="1" applyAlignment="1">
      <alignment horizontal="center" vertical="center"/>
    </xf>
    <xf numFmtId="178" fontId="16" fillId="14" borderId="11" xfId="0" applyNumberFormat="1" applyFont="1" applyFill="1" applyBorder="1" applyAlignment="1">
      <alignment horizontal="centerContinuous" vertical="center"/>
    </xf>
    <xf numFmtId="178" fontId="16" fillId="14" borderId="64" xfId="0" applyNumberFormat="1" applyFont="1" applyFill="1" applyBorder="1" applyAlignment="1">
      <alignment horizontal="centerContinuous" vertical="center"/>
    </xf>
    <xf numFmtId="178" fontId="16" fillId="14" borderId="93" xfId="0" applyNumberFormat="1" applyFont="1" applyFill="1" applyBorder="1" applyAlignment="1">
      <alignment horizontal="centerContinuous" vertical="center"/>
    </xf>
    <xf numFmtId="178" fontId="16" fillId="14" borderId="71" xfId="0" applyNumberFormat="1" applyFont="1" applyFill="1" applyBorder="1" applyAlignment="1">
      <alignment horizontal="centerContinuous" vertical="center"/>
    </xf>
    <xf numFmtId="178" fontId="16" fillId="14" borderId="50" xfId="0" applyNumberFormat="1" applyFont="1" applyFill="1" applyBorder="1" applyAlignment="1">
      <alignment horizontal="centerContinuous" vertical="center"/>
    </xf>
    <xf numFmtId="178" fontId="16" fillId="14" borderId="3" xfId="0" applyNumberFormat="1" applyFont="1" applyFill="1" applyBorder="1" applyAlignment="1">
      <alignment horizontal="centerContinuous" vertical="center"/>
    </xf>
    <xf numFmtId="178" fontId="16" fillId="14" borderId="2" xfId="0" applyNumberFormat="1" applyFont="1" applyFill="1" applyBorder="1" applyAlignment="1">
      <alignment horizontal="centerContinuous" vertical="center"/>
    </xf>
    <xf numFmtId="178" fontId="16" fillId="14" borderId="1" xfId="0" applyNumberFormat="1" applyFont="1" applyFill="1" applyBorder="1" applyAlignment="1">
      <alignment horizontal="centerContinuous" vertical="center"/>
    </xf>
    <xf numFmtId="178" fontId="0" fillId="0" borderId="0" xfId="0" applyNumberFormat="1" applyAlignment="1">
      <alignment horizontal="right" vertical="center"/>
    </xf>
    <xf numFmtId="178" fontId="19" fillId="0" borderId="0" xfId="0" applyNumberFormat="1" applyFont="1">
      <alignment vertical="center"/>
    </xf>
    <xf numFmtId="178" fontId="0" fillId="0" borderId="8" xfId="0" applyNumberFormat="1" applyBorder="1" applyAlignment="1">
      <alignment horizontal="right" vertical="center"/>
    </xf>
    <xf numFmtId="178" fontId="2" fillId="0" borderId="94" xfId="0" applyNumberFormat="1" applyFont="1" applyBorder="1" applyAlignment="1">
      <alignment horizontal="right" vertical="center"/>
    </xf>
    <xf numFmtId="178" fontId="0" fillId="0" borderId="6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178" fontId="2" fillId="0" borderId="83" xfId="0" applyNumberFormat="1" applyFont="1" applyBorder="1" applyAlignment="1">
      <alignment horizontal="right" vertical="center"/>
    </xf>
    <xf numFmtId="178" fontId="0" fillId="0" borderId="4" xfId="0" applyNumberFormat="1" applyBorder="1" applyAlignment="1">
      <alignment horizontal="right" vertical="center"/>
    </xf>
    <xf numFmtId="178" fontId="0" fillId="0" borderId="54" xfId="0" applyNumberFormat="1" applyBorder="1" applyAlignment="1">
      <alignment horizontal="right" vertical="center"/>
    </xf>
    <xf numFmtId="178" fontId="2" fillId="0" borderId="84" xfId="0" applyNumberFormat="1" applyFont="1" applyBorder="1" applyAlignment="1">
      <alignment horizontal="right" vertical="center"/>
    </xf>
    <xf numFmtId="178" fontId="0" fillId="0" borderId="18" xfId="0" applyNumberFormat="1" applyBorder="1" applyAlignment="1">
      <alignment horizontal="right" vertical="center"/>
    </xf>
    <xf numFmtId="178" fontId="0" fillId="0" borderId="18" xfId="0" applyNumberFormat="1" applyBorder="1" applyAlignment="1">
      <alignment horizontal="center" vertical="center"/>
    </xf>
    <xf numFmtId="178" fontId="0" fillId="0" borderId="3" xfId="0" applyNumberFormat="1" applyBorder="1" applyAlignment="1">
      <alignment horizontal="right" vertical="center"/>
    </xf>
    <xf numFmtId="178" fontId="2" fillId="0" borderId="87" xfId="0" applyNumberFormat="1" applyFon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center" vertical="center"/>
    </xf>
    <xf numFmtId="178" fontId="17" fillId="12" borderId="5" xfId="0" applyNumberFormat="1" applyFont="1" applyFill="1" applyBorder="1" applyAlignment="1">
      <alignment horizontal="right" vertical="center"/>
    </xf>
    <xf numFmtId="178" fontId="17" fillId="12" borderId="52" xfId="0" applyNumberFormat="1" applyFont="1" applyFill="1" applyBorder="1" applyAlignment="1">
      <alignment horizontal="right" vertical="center"/>
    </xf>
    <xf numFmtId="178" fontId="17" fillId="12" borderId="3" xfId="0" applyNumberFormat="1" applyFont="1" applyFill="1" applyBorder="1" applyAlignment="1">
      <alignment horizontal="right" vertical="center"/>
    </xf>
    <xf numFmtId="178" fontId="18" fillId="13" borderId="55" xfId="0" applyNumberFormat="1" applyFont="1" applyFill="1" applyBorder="1" applyAlignment="1">
      <alignment horizontal="right" vertical="center"/>
    </xf>
    <xf numFmtId="178" fontId="0" fillId="0" borderId="8" xfId="1" applyNumberFormat="1" applyFont="1" applyBorder="1">
      <alignment vertical="center"/>
    </xf>
    <xf numFmtId="178" fontId="2" fillId="0" borderId="94" xfId="1" applyNumberFormat="1" applyFont="1" applyBorder="1">
      <alignment vertical="center"/>
    </xf>
    <xf numFmtId="178" fontId="0" fillId="0" borderId="6" xfId="1" applyNumberFormat="1" applyFont="1" applyBorder="1">
      <alignment vertical="center"/>
    </xf>
    <xf numFmtId="178" fontId="0" fillId="0" borderId="5" xfId="1" applyNumberFormat="1" applyFont="1" applyBorder="1">
      <alignment vertical="center"/>
    </xf>
    <xf numFmtId="178" fontId="2" fillId="0" borderId="83" xfId="1" applyNumberFormat="1" applyFont="1" applyBorder="1">
      <alignment vertical="center"/>
    </xf>
    <xf numFmtId="178" fontId="0" fillId="0" borderId="4" xfId="1" applyNumberFormat="1" applyFont="1" applyBorder="1">
      <alignment vertical="center"/>
    </xf>
    <xf numFmtId="178" fontId="0" fillId="0" borderId="54" xfId="1" applyNumberFormat="1" applyFont="1" applyBorder="1">
      <alignment vertical="center"/>
    </xf>
    <xf numFmtId="178" fontId="2" fillId="0" borderId="84" xfId="1" applyNumberFormat="1" applyFont="1" applyBorder="1">
      <alignment vertical="center"/>
    </xf>
    <xf numFmtId="178" fontId="0" fillId="0" borderId="18" xfId="1" applyNumberFormat="1" applyFont="1" applyBorder="1">
      <alignment vertical="center"/>
    </xf>
    <xf numFmtId="178" fontId="0" fillId="0" borderId="0" xfId="0" quotePrefix="1" applyNumberFormat="1">
      <alignment vertical="center"/>
    </xf>
    <xf numFmtId="178" fontId="0" fillId="0" borderId="3" xfId="1" applyNumberFormat="1" applyFont="1" applyBorder="1">
      <alignment vertical="center"/>
    </xf>
    <xf numFmtId="178" fontId="2" fillId="0" borderId="87" xfId="1" applyNumberFormat="1" applyFont="1" applyBorder="1">
      <alignment vertical="center"/>
    </xf>
    <xf numFmtId="178" fontId="0" fillId="0" borderId="1" xfId="1" applyNumberFormat="1" applyFont="1" applyBorder="1">
      <alignment vertical="center"/>
    </xf>
    <xf numFmtId="178" fontId="17" fillId="12" borderId="5" xfId="1" applyNumberFormat="1" applyFont="1" applyFill="1" applyBorder="1" applyAlignment="1">
      <alignment horizontal="right" vertical="center"/>
    </xf>
    <xf numFmtId="178" fontId="17" fillId="12" borderId="83" xfId="1" applyNumberFormat="1" applyFont="1" applyFill="1" applyBorder="1" applyAlignment="1">
      <alignment horizontal="right" vertical="center"/>
    </xf>
    <xf numFmtId="178" fontId="17" fillId="12" borderId="4" xfId="1" applyNumberFormat="1" applyFont="1" applyFill="1" applyBorder="1" applyAlignment="1">
      <alignment horizontal="right" vertical="center"/>
    </xf>
    <xf numFmtId="178" fontId="17" fillId="12" borderId="52" xfId="1" applyNumberFormat="1" applyFont="1" applyFill="1" applyBorder="1" applyAlignment="1">
      <alignment horizontal="right" vertical="center"/>
    </xf>
    <xf numFmtId="178" fontId="17" fillId="12" borderId="88" xfId="1" applyNumberFormat="1" applyFont="1" applyFill="1" applyBorder="1" applyAlignment="1">
      <alignment horizontal="right" vertical="center"/>
    </xf>
    <xf numFmtId="178" fontId="17" fillId="12" borderId="80" xfId="1" applyNumberFormat="1" applyFont="1" applyFill="1" applyBorder="1" applyAlignment="1">
      <alignment horizontal="right" vertical="center"/>
    </xf>
    <xf numFmtId="178" fontId="17" fillId="12" borderId="3" xfId="1" applyNumberFormat="1" applyFont="1" applyFill="1" applyBorder="1" applyAlignment="1">
      <alignment horizontal="right" vertical="center"/>
    </xf>
    <xf numFmtId="178" fontId="17" fillId="12" borderId="87" xfId="1" applyNumberFormat="1" applyFont="1" applyFill="1" applyBorder="1" applyAlignment="1">
      <alignment horizontal="right" vertical="center"/>
    </xf>
    <xf numFmtId="178" fontId="17" fillId="12" borderId="1" xfId="1" applyNumberFormat="1" applyFont="1" applyFill="1" applyBorder="1" applyAlignment="1">
      <alignment horizontal="right" vertical="center"/>
    </xf>
    <xf numFmtId="178" fontId="18" fillId="13" borderId="55" xfId="1" applyNumberFormat="1" applyFont="1" applyFill="1" applyBorder="1" applyAlignment="1">
      <alignment horizontal="right" vertical="center"/>
    </xf>
    <xf numFmtId="178" fontId="18" fillId="13" borderId="91" xfId="1" applyNumberFormat="1" applyFont="1" applyFill="1" applyBorder="1" applyAlignment="1">
      <alignment horizontal="right" vertical="center"/>
    </xf>
    <xf numFmtId="178" fontId="18" fillId="13" borderId="48" xfId="1" applyNumberFormat="1" applyFont="1" applyFill="1" applyBorder="1" applyAlignment="1">
      <alignment horizontal="right" vertical="center"/>
    </xf>
    <xf numFmtId="179" fontId="0" fillId="0" borderId="8" xfId="0" applyNumberFormat="1" applyBorder="1">
      <alignment vertical="center"/>
    </xf>
    <xf numFmtId="179" fontId="2" fillId="0" borderId="94" xfId="0" applyNumberFormat="1" applyFont="1" applyBorder="1">
      <alignment vertical="center"/>
    </xf>
    <xf numFmtId="179" fontId="0" fillId="0" borderId="6" xfId="0" applyNumberFormat="1" applyBorder="1">
      <alignment vertical="center"/>
    </xf>
    <xf numFmtId="178" fontId="2" fillId="0" borderId="94" xfId="0" applyNumberFormat="1" applyFont="1" applyBorder="1">
      <alignment vertical="center"/>
    </xf>
    <xf numFmtId="9" fontId="0" fillId="0" borderId="8" xfId="0" applyNumberFormat="1" applyBorder="1">
      <alignment vertical="center"/>
    </xf>
    <xf numFmtId="9" fontId="2" fillId="0" borderId="94" xfId="0" applyNumberFormat="1" applyFont="1" applyBorder="1">
      <alignment vertical="center"/>
    </xf>
    <xf numFmtId="9" fontId="0" fillId="0" borderId="6" xfId="0" applyNumberFormat="1" applyBorder="1">
      <alignment vertical="center"/>
    </xf>
    <xf numFmtId="179" fontId="0" fillId="0" borderId="5" xfId="0" applyNumberFormat="1" applyBorder="1">
      <alignment vertical="center"/>
    </xf>
    <xf numFmtId="179" fontId="2" fillId="0" borderId="83" xfId="0" applyNumberFormat="1" applyFont="1" applyBorder="1">
      <alignment vertical="center"/>
    </xf>
    <xf numFmtId="179" fontId="0" fillId="0" borderId="4" xfId="0" applyNumberFormat="1" applyBorder="1">
      <alignment vertical="center"/>
    </xf>
    <xf numFmtId="9" fontId="0" fillId="0" borderId="5" xfId="0" applyNumberFormat="1" applyBorder="1">
      <alignment vertical="center"/>
    </xf>
    <xf numFmtId="9" fontId="2" fillId="0" borderId="83" xfId="0" applyNumberFormat="1" applyFont="1" applyBorder="1">
      <alignment vertical="center"/>
    </xf>
    <xf numFmtId="9" fontId="0" fillId="0" borderId="4" xfId="0" applyNumberFormat="1" applyBorder="1">
      <alignment vertical="center"/>
    </xf>
    <xf numFmtId="179" fontId="0" fillId="0" borderId="54" xfId="0" applyNumberFormat="1" applyBorder="1">
      <alignment vertical="center"/>
    </xf>
    <xf numFmtId="179" fontId="2" fillId="0" borderId="84" xfId="0" applyNumberFormat="1" applyFont="1" applyBorder="1">
      <alignment vertical="center"/>
    </xf>
    <xf numFmtId="179" fontId="0" fillId="0" borderId="18" xfId="0" applyNumberFormat="1" applyBorder="1">
      <alignment vertical="center"/>
    </xf>
    <xf numFmtId="9" fontId="0" fillId="0" borderId="54" xfId="0" applyNumberFormat="1" applyBorder="1">
      <alignment vertical="center"/>
    </xf>
    <xf numFmtId="9" fontId="2" fillId="0" borderId="84" xfId="0" applyNumberFormat="1" applyFont="1" applyBorder="1">
      <alignment vertical="center"/>
    </xf>
    <xf numFmtId="9" fontId="0" fillId="0" borderId="18" xfId="0" applyNumberFormat="1" applyBorder="1">
      <alignment vertical="center"/>
    </xf>
    <xf numFmtId="179" fontId="0" fillId="0" borderId="3" xfId="0" applyNumberFormat="1" applyBorder="1">
      <alignment vertical="center"/>
    </xf>
    <xf numFmtId="179" fontId="2" fillId="0" borderId="87" xfId="0" applyNumberFormat="1" applyFont="1" applyBorder="1">
      <alignment vertical="center"/>
    </xf>
    <xf numFmtId="179" fontId="0" fillId="0" borderId="1" xfId="0" applyNumberFormat="1" applyBorder="1">
      <alignment vertical="center"/>
    </xf>
    <xf numFmtId="9" fontId="0" fillId="0" borderId="3" xfId="0" applyNumberFormat="1" applyBorder="1">
      <alignment vertical="center"/>
    </xf>
    <xf numFmtId="9" fontId="2" fillId="0" borderId="87" xfId="0" applyNumberFormat="1" applyFont="1" applyBorder="1">
      <alignment vertical="center"/>
    </xf>
    <xf numFmtId="9" fontId="0" fillId="0" borderId="1" xfId="0" applyNumberFormat="1" applyBorder="1">
      <alignment vertical="center"/>
    </xf>
    <xf numFmtId="9" fontId="17" fillId="12" borderId="5" xfId="0" applyNumberFormat="1" applyFont="1" applyFill="1" applyBorder="1" applyAlignment="1">
      <alignment horizontal="right" vertical="center"/>
    </xf>
    <xf numFmtId="9" fontId="17" fillId="12" borderId="83" xfId="0" applyNumberFormat="1" applyFont="1" applyFill="1" applyBorder="1" applyAlignment="1">
      <alignment horizontal="right" vertical="center"/>
    </xf>
    <xf numFmtId="9" fontId="17" fillId="12" borderId="4" xfId="0" applyNumberFormat="1" applyFont="1" applyFill="1" applyBorder="1" applyAlignment="1">
      <alignment horizontal="right" vertical="center"/>
    </xf>
    <xf numFmtId="9" fontId="17" fillId="12" borderId="52" xfId="0" applyNumberFormat="1" applyFont="1" applyFill="1" applyBorder="1" applyAlignment="1">
      <alignment horizontal="right" vertical="center"/>
    </xf>
    <xf numFmtId="9" fontId="17" fillId="12" borderId="88" xfId="0" applyNumberFormat="1" applyFont="1" applyFill="1" applyBorder="1" applyAlignment="1">
      <alignment horizontal="right" vertical="center"/>
    </xf>
    <xf numFmtId="9" fontId="17" fillId="12" borderId="80" xfId="0" applyNumberFormat="1" applyFont="1" applyFill="1" applyBorder="1" applyAlignment="1">
      <alignment horizontal="right" vertical="center"/>
    </xf>
    <xf numFmtId="9" fontId="17" fillId="12" borderId="3" xfId="0" applyNumberFormat="1" applyFont="1" applyFill="1" applyBorder="1" applyAlignment="1">
      <alignment horizontal="right" vertical="center"/>
    </xf>
    <xf numFmtId="9" fontId="17" fillId="12" borderId="87" xfId="0" applyNumberFormat="1" applyFont="1" applyFill="1" applyBorder="1" applyAlignment="1">
      <alignment horizontal="right" vertical="center"/>
    </xf>
    <xf numFmtId="9" fontId="17" fillId="12" borderId="1" xfId="0" applyNumberFormat="1" applyFont="1" applyFill="1" applyBorder="1" applyAlignment="1">
      <alignment horizontal="right" vertical="center"/>
    </xf>
    <xf numFmtId="9" fontId="18" fillId="13" borderId="55" xfId="0" applyNumberFormat="1" applyFont="1" applyFill="1" applyBorder="1" applyAlignment="1">
      <alignment horizontal="right" vertical="center"/>
    </xf>
    <xf numFmtId="9" fontId="18" fillId="13" borderId="91" xfId="0" applyNumberFormat="1" applyFont="1" applyFill="1" applyBorder="1" applyAlignment="1">
      <alignment horizontal="right" vertical="center"/>
    </xf>
    <xf numFmtId="9" fontId="18" fillId="13" borderId="48" xfId="0" applyNumberFormat="1" applyFont="1" applyFill="1" applyBorder="1" applyAlignment="1">
      <alignment horizontal="right" vertical="center"/>
    </xf>
    <xf numFmtId="178" fontId="0" fillId="0" borderId="0" xfId="0" applyNumberFormat="1" applyFill="1" applyBorder="1">
      <alignment vertical="center"/>
    </xf>
    <xf numFmtId="178" fontId="20" fillId="0" borderId="0" xfId="0" applyNumberFormat="1" applyFont="1">
      <alignment vertical="center"/>
    </xf>
    <xf numFmtId="178" fontId="16" fillId="0" borderId="0" xfId="0" applyNumberFormat="1" applyFont="1" applyFill="1" applyBorder="1" applyAlignment="1">
      <alignment vertical="center"/>
    </xf>
    <xf numFmtId="0" fontId="14" fillId="6" borderId="98" xfId="0" applyFont="1" applyFill="1" applyBorder="1" applyAlignment="1">
      <alignment horizontal="centerContinuous" vertical="center"/>
    </xf>
    <xf numFmtId="0" fontId="14" fillId="6" borderId="65" xfId="0" applyFont="1" applyFill="1" applyBorder="1" applyAlignment="1">
      <alignment horizontal="centerContinuous" vertical="center"/>
    </xf>
    <xf numFmtId="0" fontId="14" fillId="6" borderId="67" xfId="0" applyFont="1" applyFill="1" applyBorder="1" applyAlignment="1">
      <alignment horizontal="centerContinuous" vertical="center"/>
    </xf>
    <xf numFmtId="0" fontId="14" fillId="6" borderId="99" xfId="0" applyFont="1" applyFill="1" applyBorder="1" applyAlignment="1">
      <alignment horizontal="centerContinuous" vertical="center"/>
    </xf>
    <xf numFmtId="0" fontId="14" fillId="6" borderId="55" xfId="0" applyFont="1" applyFill="1" applyBorder="1" applyAlignment="1">
      <alignment horizontal="centerContinuous" vertical="center"/>
    </xf>
    <xf numFmtId="178" fontId="2" fillId="0" borderId="1" xfId="0" applyNumberFormat="1" applyFont="1" applyBorder="1" applyAlignment="1">
      <alignment horizontal="centerContinuous" vertical="center"/>
    </xf>
    <xf numFmtId="178" fontId="2" fillId="0" borderId="27" xfId="0" applyNumberFormat="1" applyFont="1" applyBorder="1" applyAlignment="1">
      <alignment horizontal="centerContinuous" vertical="center"/>
    </xf>
    <xf numFmtId="178" fontId="6" fillId="0" borderId="100" xfId="0" applyNumberFormat="1" applyFont="1" applyBorder="1">
      <alignment vertical="center"/>
    </xf>
    <xf numFmtId="178" fontId="6" fillId="0" borderId="68" xfId="0" applyNumberFormat="1" applyFont="1" applyBorder="1">
      <alignment vertical="center"/>
    </xf>
    <xf numFmtId="178" fontId="6" fillId="0" borderId="2" xfId="0" applyNumberFormat="1" applyFont="1" applyBorder="1">
      <alignment vertical="center"/>
    </xf>
    <xf numFmtId="178" fontId="6" fillId="0" borderId="101" xfId="0" applyNumberFormat="1" applyFont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6" xfId="0" applyNumberFormat="1" applyFont="1" applyBorder="1" applyAlignment="1">
      <alignment horizontal="centerContinuous" vertical="center"/>
    </xf>
    <xf numFmtId="178" fontId="2" fillId="0" borderId="102" xfId="0" applyNumberFormat="1" applyFont="1" applyBorder="1" applyAlignment="1">
      <alignment horizontal="centerContinuous" vertical="center"/>
    </xf>
    <xf numFmtId="178" fontId="6" fillId="0" borderId="103" xfId="0" applyNumberFormat="1" applyFont="1" applyBorder="1">
      <alignment vertical="center"/>
    </xf>
    <xf numFmtId="178" fontId="6" fillId="0" borderId="70" xfId="0" applyNumberFormat="1" applyFont="1" applyBorder="1">
      <alignment vertical="center"/>
    </xf>
    <xf numFmtId="178" fontId="6" fillId="0" borderId="7" xfId="0" applyNumberFormat="1" applyFont="1" applyBorder="1">
      <alignment vertical="center"/>
    </xf>
    <xf numFmtId="178" fontId="6" fillId="0" borderId="104" xfId="0" applyNumberFormat="1" applyFont="1" applyBorder="1">
      <alignment vertical="center"/>
    </xf>
    <xf numFmtId="178" fontId="2" fillId="0" borderId="4" xfId="0" applyNumberFormat="1" applyFont="1" applyBorder="1" applyAlignment="1">
      <alignment horizontal="centerContinuous" vertical="center"/>
    </xf>
    <xf numFmtId="178" fontId="2" fillId="0" borderId="31" xfId="0" applyNumberFormat="1" applyFont="1" applyBorder="1" applyAlignment="1">
      <alignment horizontal="centerContinuous" vertical="center"/>
    </xf>
    <xf numFmtId="178" fontId="6" fillId="0" borderId="105" xfId="0" applyNumberFormat="1" applyFont="1" applyBorder="1">
      <alignment vertical="center"/>
    </xf>
    <xf numFmtId="178" fontId="6" fillId="0" borderId="69" xfId="0" applyNumberFormat="1" applyFont="1" applyBorder="1">
      <alignment vertical="center"/>
    </xf>
    <xf numFmtId="178" fontId="6" fillId="0" borderId="0" xfId="0" applyNumberFormat="1" applyFont="1" applyBorder="1">
      <alignment vertical="center"/>
    </xf>
    <xf numFmtId="178" fontId="6" fillId="0" borderId="106" xfId="0" applyNumberFormat="1" applyFont="1" applyBorder="1">
      <alignment vertical="center"/>
    </xf>
    <xf numFmtId="178" fontId="2" fillId="0" borderId="33" xfId="0" applyNumberFormat="1" applyFont="1" applyBorder="1" applyAlignment="1">
      <alignment horizontal="centerContinuous" vertical="center"/>
    </xf>
    <xf numFmtId="178" fontId="6" fillId="0" borderId="107" xfId="0" applyNumberFormat="1" applyFont="1" applyBorder="1">
      <alignment vertical="center"/>
    </xf>
    <xf numFmtId="178" fontId="6" fillId="0" borderId="108" xfId="0" applyNumberFormat="1" applyFont="1" applyBorder="1">
      <alignment vertical="center"/>
    </xf>
    <xf numFmtId="178" fontId="6" fillId="0" borderId="23" xfId="0" applyNumberFormat="1" applyFont="1" applyBorder="1">
      <alignment vertical="center"/>
    </xf>
    <xf numFmtId="178" fontId="6" fillId="0" borderId="109" xfId="0" applyNumberFormat="1" applyFont="1" applyBorder="1">
      <alignment vertical="center"/>
    </xf>
    <xf numFmtId="178" fontId="2" fillId="0" borderId="66" xfId="0" applyNumberFormat="1" applyFont="1" applyBorder="1" applyAlignment="1">
      <alignment horizontal="centerContinuous" vertical="center"/>
    </xf>
    <xf numFmtId="178" fontId="6" fillId="0" borderId="110" xfId="0" applyNumberFormat="1" applyFont="1" applyBorder="1">
      <alignment vertical="center"/>
    </xf>
    <xf numFmtId="178" fontId="6" fillId="0" borderId="85" xfId="0" applyNumberFormat="1" applyFont="1" applyBorder="1">
      <alignment vertical="center"/>
    </xf>
    <xf numFmtId="178" fontId="6" fillId="0" borderId="111" xfId="0" applyNumberFormat="1" applyFont="1" applyBorder="1">
      <alignment vertical="center"/>
    </xf>
    <xf numFmtId="178" fontId="2" fillId="0" borderId="64" xfId="0" applyNumberFormat="1" applyFont="1" applyBorder="1" applyAlignment="1">
      <alignment horizontal="centerContinuous" vertical="center"/>
    </xf>
    <xf numFmtId="178" fontId="6" fillId="0" borderId="112" xfId="0" applyNumberFormat="1" applyFont="1" applyBorder="1">
      <alignment vertical="center"/>
    </xf>
    <xf numFmtId="178" fontId="6" fillId="0" borderId="73" xfId="0" applyNumberFormat="1" applyFont="1" applyBorder="1">
      <alignment vertical="center"/>
    </xf>
    <xf numFmtId="178" fontId="6" fillId="0" borderId="64" xfId="0" applyNumberFormat="1" applyFont="1" applyBorder="1">
      <alignment vertical="center"/>
    </xf>
    <xf numFmtId="178" fontId="6" fillId="0" borderId="113" xfId="0" applyNumberFormat="1" applyFont="1" applyBorder="1">
      <alignment vertical="center"/>
    </xf>
    <xf numFmtId="178" fontId="2" fillId="0" borderId="31" xfId="0" applyNumberFormat="1" applyFont="1" applyBorder="1" applyAlignment="1">
      <alignment horizontal="right" vertical="center"/>
    </xf>
    <xf numFmtId="177" fontId="6" fillId="0" borderId="105" xfId="0" applyNumberFormat="1" applyFont="1" applyBorder="1">
      <alignment vertical="center"/>
    </xf>
    <xf numFmtId="177" fontId="6" fillId="0" borderId="69" xfId="0" applyNumberFormat="1" applyFont="1" applyBorder="1">
      <alignment vertical="center"/>
    </xf>
    <xf numFmtId="177" fontId="6" fillId="0" borderId="0" xfId="0" applyNumberFormat="1" applyFont="1" applyBorder="1">
      <alignment vertical="center"/>
    </xf>
    <xf numFmtId="177" fontId="6" fillId="0" borderId="106" xfId="0" applyNumberFormat="1" applyFont="1" applyBorder="1">
      <alignment vertical="center"/>
    </xf>
    <xf numFmtId="178" fontId="2" fillId="0" borderId="32" xfId="0" applyNumberFormat="1" applyFont="1" applyBorder="1" applyAlignment="1">
      <alignment horizontal="centerContinuous" vertical="center"/>
    </xf>
    <xf numFmtId="178" fontId="2" fillId="0" borderId="33" xfId="0" applyNumberFormat="1" applyFont="1" applyBorder="1" applyAlignment="1">
      <alignment horizontal="right" vertical="center"/>
    </xf>
    <xf numFmtId="177" fontId="6" fillId="0" borderId="107" xfId="0" applyNumberFormat="1" applyFont="1" applyBorder="1">
      <alignment vertical="center"/>
    </xf>
    <xf numFmtId="177" fontId="6" fillId="0" borderId="108" xfId="0" applyNumberFormat="1" applyFont="1" applyBorder="1">
      <alignment vertical="center"/>
    </xf>
    <xf numFmtId="177" fontId="6" fillId="0" borderId="23" xfId="0" applyNumberFormat="1" applyFont="1" applyBorder="1">
      <alignment vertical="center"/>
    </xf>
    <xf numFmtId="177" fontId="6" fillId="0" borderId="109" xfId="0" applyNumberFormat="1" applyFont="1" applyBorder="1">
      <alignment vertical="center"/>
    </xf>
    <xf numFmtId="178" fontId="2" fillId="0" borderId="0" xfId="0" applyNumberFormat="1" applyFont="1" applyBorder="1" applyAlignment="1">
      <alignment horizontal="centerContinuous" vertical="center"/>
    </xf>
    <xf numFmtId="178" fontId="2" fillId="0" borderId="7" xfId="0" applyNumberFormat="1" applyFont="1" applyBorder="1" applyAlignment="1">
      <alignment horizontal="right" vertical="center"/>
    </xf>
    <xf numFmtId="177" fontId="6" fillId="0" borderId="114" xfId="0" applyNumberFormat="1" applyFont="1" applyBorder="1">
      <alignment vertical="center"/>
    </xf>
    <xf numFmtId="177" fontId="6" fillId="0" borderId="115" xfId="0" applyNumberFormat="1" applyFont="1" applyBorder="1">
      <alignment vertical="center"/>
    </xf>
    <xf numFmtId="177" fontId="6" fillId="0" borderId="116" xfId="0" applyNumberFormat="1" applyFont="1" applyBorder="1">
      <alignment vertical="center"/>
    </xf>
    <xf numFmtId="177" fontId="6" fillId="0" borderId="117" xfId="0" applyNumberFormat="1" applyFont="1" applyBorder="1">
      <alignment vertical="center"/>
    </xf>
    <xf numFmtId="178" fontId="0" fillId="0" borderId="7" xfId="0" applyNumberFormat="1" applyBorder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55" xfId="0" applyNumberFormat="1" applyBorder="1" applyAlignment="1">
      <alignment horizontal="center" vertical="center"/>
    </xf>
    <xf numFmtId="178" fontId="0" fillId="0" borderId="30" xfId="0" applyNumberFormat="1" applyBorder="1" applyAlignment="1">
      <alignment horizontal="center" vertical="center" wrapText="1"/>
    </xf>
    <xf numFmtId="183" fontId="0" fillId="0" borderId="0" xfId="0" applyNumberFormat="1">
      <alignment vertical="center"/>
    </xf>
    <xf numFmtId="178" fontId="0" fillId="0" borderId="3" xfId="0" applyNumberFormat="1" applyBorder="1" applyAlignment="1">
      <alignment horizontal="center" vertical="center"/>
    </xf>
    <xf numFmtId="178" fontId="0" fillId="0" borderId="8" xfId="0" applyNumberFormat="1" applyBorder="1" applyAlignment="1">
      <alignment horizontal="center" vertical="center"/>
    </xf>
    <xf numFmtId="177" fontId="0" fillId="0" borderId="17" xfId="0" applyNumberFormat="1" applyBorder="1">
      <alignment vertical="center"/>
    </xf>
    <xf numFmtId="178" fontId="2" fillId="4" borderId="0" xfId="0" applyNumberFormat="1" applyFont="1" applyFill="1">
      <alignment vertical="center"/>
    </xf>
    <xf numFmtId="178" fontId="16" fillId="0" borderId="0" xfId="0" applyNumberFormat="1" applyFont="1" applyFill="1" applyBorder="1" applyAlignment="1">
      <alignment horizontal="centerContinuous" vertical="center"/>
    </xf>
    <xf numFmtId="178" fontId="16" fillId="6" borderId="28" xfId="0" applyNumberFormat="1" applyFont="1" applyFill="1" applyBorder="1" applyAlignment="1">
      <alignment horizontal="centerContinuous" vertical="center"/>
    </xf>
    <xf numFmtId="178" fontId="16" fillId="6" borderId="29" xfId="0" applyNumberFormat="1" applyFont="1" applyFill="1" applyBorder="1" applyAlignment="1">
      <alignment horizontal="centerContinuous" vertical="center"/>
    </xf>
    <xf numFmtId="178" fontId="16" fillId="6" borderId="27" xfId="0" applyNumberFormat="1" applyFont="1" applyFill="1" applyBorder="1" applyAlignment="1">
      <alignment horizontal="centerContinuous" vertical="center"/>
    </xf>
    <xf numFmtId="178" fontId="16" fillId="6" borderId="118" xfId="0" applyNumberFormat="1" applyFont="1" applyFill="1" applyBorder="1" applyAlignment="1">
      <alignment horizontal="centerContinuous" vertical="center"/>
    </xf>
    <xf numFmtId="178" fontId="16" fillId="6" borderId="119" xfId="0" applyNumberFormat="1" applyFont="1" applyFill="1" applyBorder="1" applyAlignment="1">
      <alignment horizontal="centerContinuous" vertical="center"/>
    </xf>
    <xf numFmtId="178" fontId="16" fillId="6" borderId="120" xfId="0" applyNumberFormat="1" applyFont="1" applyFill="1" applyBorder="1" applyAlignment="1">
      <alignment horizontal="centerContinuous" vertical="center"/>
    </xf>
    <xf numFmtId="178" fontId="16" fillId="6" borderId="39" xfId="0" applyNumberFormat="1" applyFont="1" applyFill="1" applyBorder="1" applyAlignment="1">
      <alignment horizontal="centerContinuous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16" fillId="6" borderId="71" xfId="0" applyNumberFormat="1" applyFont="1" applyFill="1" applyBorder="1" applyAlignment="1">
      <alignment horizontal="center" vertical="center"/>
    </xf>
    <xf numFmtId="178" fontId="16" fillId="6" borderId="10" xfId="0" applyNumberFormat="1" applyFont="1" applyFill="1" applyBorder="1" applyAlignment="1">
      <alignment horizontal="center" vertical="center"/>
    </xf>
    <xf numFmtId="178" fontId="16" fillId="6" borderId="45" xfId="0" applyNumberFormat="1" applyFont="1" applyFill="1" applyBorder="1" applyAlignment="1">
      <alignment horizontal="center" vertical="center"/>
    </xf>
    <xf numFmtId="178" fontId="16" fillId="6" borderId="121" xfId="0" applyNumberFormat="1" applyFont="1" applyFill="1" applyBorder="1" applyAlignment="1">
      <alignment horizontal="center" vertical="center"/>
    </xf>
    <xf numFmtId="178" fontId="16" fillId="6" borderId="64" xfId="0" applyNumberFormat="1" applyFont="1" applyFill="1" applyBorder="1" applyAlignment="1">
      <alignment horizontal="center" vertical="center"/>
    </xf>
    <xf numFmtId="178" fontId="16" fillId="6" borderId="112" xfId="0" applyNumberFormat="1" applyFont="1" applyFill="1" applyBorder="1" applyAlignment="1">
      <alignment horizontal="center" vertical="center"/>
    </xf>
    <xf numFmtId="178" fontId="16" fillId="6" borderId="113" xfId="0" applyNumberFormat="1" applyFont="1" applyFill="1" applyBorder="1" applyAlignment="1">
      <alignment horizontal="center" vertical="center"/>
    </xf>
    <xf numFmtId="178" fontId="2" fillId="0" borderId="28" xfId="0" applyNumberFormat="1" applyFont="1" applyFill="1" applyBorder="1" applyAlignment="1">
      <alignment horizontal="center" vertical="center"/>
    </xf>
    <xf numFmtId="178" fontId="2" fillId="0" borderId="27" xfId="0" applyNumberFormat="1" applyFont="1" applyFill="1" applyBorder="1" applyAlignment="1">
      <alignment horizontal="center" vertical="center"/>
    </xf>
    <xf numFmtId="178" fontId="6" fillId="0" borderId="1" xfId="0" applyNumberFormat="1" applyFont="1" applyFill="1" applyBorder="1" applyAlignment="1">
      <alignment vertical="center"/>
    </xf>
    <xf numFmtId="178" fontId="2" fillId="0" borderId="29" xfId="0" applyNumberFormat="1" applyFont="1" applyFill="1" applyBorder="1" applyAlignment="1">
      <alignment vertical="center"/>
    </xf>
    <xf numFmtId="178" fontId="6" fillId="0" borderId="39" xfId="0" applyNumberFormat="1" applyFont="1" applyFill="1" applyBorder="1" applyAlignment="1">
      <alignment vertical="center"/>
    </xf>
    <xf numFmtId="178" fontId="6" fillId="0" borderId="27" xfId="0" applyNumberFormat="1" applyFont="1" applyFill="1" applyBorder="1" applyAlignment="1">
      <alignment vertical="center"/>
    </xf>
    <xf numFmtId="178" fontId="6" fillId="0" borderId="2" xfId="0" applyNumberFormat="1" applyFont="1" applyFill="1" applyBorder="1" applyAlignment="1">
      <alignment vertical="center"/>
    </xf>
    <xf numFmtId="178" fontId="6" fillId="0" borderId="100" xfId="0" applyNumberFormat="1" applyFont="1" applyFill="1" applyBorder="1" applyAlignment="1">
      <alignment vertical="center"/>
    </xf>
    <xf numFmtId="178" fontId="6" fillId="0" borderId="101" xfId="0" applyNumberFormat="1" applyFont="1" applyFill="1" applyBorder="1" applyAlignment="1">
      <alignment vertical="center"/>
    </xf>
    <xf numFmtId="178" fontId="2" fillId="0" borderId="12" xfId="0" applyNumberFormat="1" applyFont="1" applyFill="1" applyBorder="1" applyAlignment="1">
      <alignment horizontal="center" vertical="center"/>
    </xf>
    <xf numFmtId="9" fontId="2" fillId="0" borderId="31" xfId="0" applyNumberFormat="1" applyFont="1" applyFill="1" applyBorder="1" applyAlignment="1">
      <alignment horizontal="right" vertical="center"/>
    </xf>
    <xf numFmtId="9" fontId="6" fillId="0" borderId="4" xfId="0" applyNumberFormat="1" applyFont="1" applyFill="1" applyBorder="1" applyAlignment="1">
      <alignment vertical="center"/>
    </xf>
    <xf numFmtId="9" fontId="2" fillId="0" borderId="13" xfId="0" applyNumberFormat="1" applyFont="1" applyFill="1" applyBorder="1" applyAlignment="1">
      <alignment vertical="center"/>
    </xf>
    <xf numFmtId="9" fontId="6" fillId="0" borderId="46" xfId="0" applyNumberFormat="1" applyFont="1" applyFill="1" applyBorder="1" applyAlignment="1">
      <alignment vertical="center"/>
    </xf>
    <xf numFmtId="9" fontId="6" fillId="0" borderId="31" xfId="0" applyNumberFormat="1" applyFont="1" applyFill="1" applyBorder="1" applyAlignment="1">
      <alignment vertical="center"/>
    </xf>
    <xf numFmtId="9" fontId="6" fillId="0" borderId="0" xfId="0" applyNumberFormat="1" applyFont="1" applyFill="1" applyBorder="1" applyAlignment="1">
      <alignment vertical="center"/>
    </xf>
    <xf numFmtId="9" fontId="6" fillId="0" borderId="105" xfId="0" applyNumberFormat="1" applyFont="1" applyFill="1" applyBorder="1" applyAlignment="1">
      <alignment vertical="center"/>
    </xf>
    <xf numFmtId="9" fontId="6" fillId="0" borderId="106" xfId="0" applyNumberFormat="1" applyFont="1" applyFill="1" applyBorder="1" applyAlignment="1">
      <alignment vertical="center"/>
    </xf>
    <xf numFmtId="178" fontId="6" fillId="0" borderId="0" xfId="0" applyNumberFormat="1" applyFont="1" applyFill="1" applyBorder="1">
      <alignment vertical="center"/>
    </xf>
    <xf numFmtId="178" fontId="2" fillId="0" borderId="32" xfId="0" applyNumberFormat="1" applyFont="1" applyFill="1" applyBorder="1" applyAlignment="1">
      <alignment horizontal="center" vertical="center"/>
    </xf>
    <xf numFmtId="178" fontId="6" fillId="0" borderId="18" xfId="0" applyNumberFormat="1" applyFont="1" applyFill="1" applyBorder="1" applyAlignment="1">
      <alignment vertical="center"/>
    </xf>
    <xf numFmtId="178" fontId="2" fillId="0" borderId="20" xfId="0" applyNumberFormat="1" applyFont="1" applyFill="1" applyBorder="1" applyAlignment="1">
      <alignment vertical="center"/>
    </xf>
    <xf numFmtId="178" fontId="6" fillId="0" borderId="53" xfId="0" applyNumberFormat="1" applyFont="1" applyFill="1" applyBorder="1" applyAlignment="1">
      <alignment vertical="center"/>
    </xf>
    <xf numFmtId="178" fontId="6" fillId="0" borderId="32" xfId="0" applyNumberFormat="1" applyFont="1" applyFill="1" applyBorder="1" applyAlignment="1">
      <alignment vertical="center"/>
    </xf>
    <xf numFmtId="178" fontId="6" fillId="0" borderId="66" xfId="0" applyNumberFormat="1" applyFont="1" applyFill="1" applyBorder="1" applyAlignment="1">
      <alignment vertical="center"/>
    </xf>
    <xf numFmtId="178" fontId="6" fillId="0" borderId="110" xfId="0" applyNumberFormat="1" applyFont="1" applyFill="1" applyBorder="1" applyAlignment="1">
      <alignment vertical="center"/>
    </xf>
    <xf numFmtId="178" fontId="6" fillId="0" borderId="111" xfId="0" applyNumberFormat="1" applyFont="1" applyFill="1" applyBorder="1" applyAlignment="1">
      <alignment vertical="center"/>
    </xf>
    <xf numFmtId="178" fontId="2" fillId="0" borderId="4" xfId="0" applyNumberFormat="1" applyFont="1" applyFill="1" applyBorder="1" applyAlignment="1">
      <alignment horizontal="center" vertical="center"/>
    </xf>
    <xf numFmtId="9" fontId="2" fillId="0" borderId="33" xfId="0" applyNumberFormat="1" applyFont="1" applyFill="1" applyBorder="1" applyAlignment="1">
      <alignment horizontal="right" vertical="center"/>
    </xf>
    <xf numFmtId="9" fontId="6" fillId="0" borderId="22" xfId="0" applyNumberFormat="1" applyFont="1" applyFill="1" applyBorder="1" applyAlignment="1">
      <alignment vertical="center"/>
    </xf>
    <xf numFmtId="9" fontId="2" fillId="0" borderId="25" xfId="0" applyNumberFormat="1" applyFont="1" applyFill="1" applyBorder="1" applyAlignment="1">
      <alignment vertical="center"/>
    </xf>
    <xf numFmtId="9" fontId="6" fillId="0" borderId="49" xfId="0" applyNumberFormat="1" applyFont="1" applyFill="1" applyBorder="1" applyAlignment="1">
      <alignment vertical="center"/>
    </xf>
    <xf numFmtId="9" fontId="6" fillId="0" borderId="33" xfId="0" applyNumberFormat="1" applyFont="1" applyFill="1" applyBorder="1" applyAlignment="1">
      <alignment vertical="center"/>
    </xf>
    <xf numFmtId="9" fontId="6" fillId="0" borderId="23" xfId="0" applyNumberFormat="1" applyFont="1" applyFill="1" applyBorder="1" applyAlignment="1">
      <alignment vertical="center"/>
    </xf>
    <xf numFmtId="9" fontId="6" fillId="0" borderId="107" xfId="0" applyNumberFormat="1" applyFont="1" applyFill="1" applyBorder="1" applyAlignment="1">
      <alignment vertical="center"/>
    </xf>
    <xf numFmtId="9" fontId="6" fillId="0" borderId="109" xfId="0" applyNumberFormat="1" applyFont="1" applyFill="1" applyBorder="1" applyAlignment="1">
      <alignment vertical="center"/>
    </xf>
    <xf numFmtId="178" fontId="2" fillId="0" borderId="6" xfId="0" applyNumberFormat="1" applyFont="1" applyFill="1" applyBorder="1" applyAlignment="1">
      <alignment horizontal="center" vertical="center"/>
    </xf>
    <xf numFmtId="178" fontId="2" fillId="0" borderId="64" xfId="0" applyNumberFormat="1" applyFont="1" applyFill="1" applyBorder="1" applyAlignment="1">
      <alignment horizontal="center" vertical="center"/>
    </xf>
    <xf numFmtId="178" fontId="6" fillId="0" borderId="71" xfId="0" applyNumberFormat="1" applyFont="1" applyFill="1" applyBorder="1" applyAlignment="1">
      <alignment vertical="center"/>
    </xf>
    <xf numFmtId="178" fontId="2" fillId="0" borderId="10" xfId="0" applyNumberFormat="1" applyFont="1" applyFill="1" applyBorder="1" applyAlignment="1">
      <alignment vertical="center"/>
    </xf>
    <xf numFmtId="178" fontId="6" fillId="0" borderId="45" xfId="0" applyNumberFormat="1" applyFont="1" applyFill="1" applyBorder="1" applyAlignment="1">
      <alignment vertical="center"/>
    </xf>
    <xf numFmtId="178" fontId="6" fillId="0" borderId="121" xfId="0" applyNumberFormat="1" applyFont="1" applyFill="1" applyBorder="1" applyAlignment="1">
      <alignment vertical="center"/>
    </xf>
    <xf numFmtId="178" fontId="6" fillId="0" borderId="64" xfId="0" applyNumberFormat="1" applyFont="1" applyFill="1" applyBorder="1" applyAlignment="1">
      <alignment vertical="center"/>
    </xf>
    <xf numFmtId="178" fontId="6" fillId="0" borderId="112" xfId="0" applyNumberFormat="1" applyFont="1" applyFill="1" applyBorder="1" applyAlignment="1">
      <alignment vertical="center"/>
    </xf>
    <xf numFmtId="178" fontId="6" fillId="0" borderId="113" xfId="0" applyNumberFormat="1" applyFont="1" applyFill="1" applyBorder="1" applyAlignment="1">
      <alignment vertical="center"/>
    </xf>
    <xf numFmtId="178" fontId="21" fillId="0" borderId="33" xfId="0" applyNumberFormat="1" applyFont="1" applyBorder="1" applyAlignment="1">
      <alignment horizontal="center" vertical="center"/>
    </xf>
    <xf numFmtId="178" fontId="22" fillId="0" borderId="22" xfId="0" applyNumberFormat="1" applyFont="1" applyBorder="1" applyAlignment="1">
      <alignment vertical="center"/>
    </xf>
    <xf numFmtId="178" fontId="21" fillId="0" borderId="25" xfId="0" applyNumberFormat="1" applyFont="1" applyBorder="1" applyAlignment="1">
      <alignment vertical="center"/>
    </xf>
    <xf numFmtId="178" fontId="22" fillId="0" borderId="49" xfId="0" applyNumberFormat="1" applyFont="1" applyBorder="1" applyAlignment="1">
      <alignment vertical="center"/>
    </xf>
    <xf numFmtId="178" fontId="22" fillId="0" borderId="33" xfId="0" applyNumberFormat="1" applyFont="1" applyBorder="1" applyAlignment="1">
      <alignment vertical="center"/>
    </xf>
    <xf numFmtId="178" fontId="22" fillId="0" borderId="23" xfId="0" applyNumberFormat="1" applyFont="1" applyBorder="1" applyAlignment="1">
      <alignment vertical="center"/>
    </xf>
    <xf numFmtId="178" fontId="22" fillId="0" borderId="107" xfId="0" applyNumberFormat="1" applyFont="1" applyBorder="1" applyAlignment="1">
      <alignment vertical="center"/>
    </xf>
    <xf numFmtId="178" fontId="22" fillId="0" borderId="109" xfId="0" applyNumberFormat="1" applyFont="1" applyBorder="1" applyAlignme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32" xfId="0" applyNumberFormat="1" applyFont="1" applyBorder="1" applyAlignment="1">
      <alignment horizontal="center" vertical="center"/>
    </xf>
    <xf numFmtId="178" fontId="6" fillId="0" borderId="18" xfId="0" applyNumberFormat="1" applyFont="1" applyBorder="1" applyAlignment="1">
      <alignment vertical="center"/>
    </xf>
    <xf numFmtId="178" fontId="2" fillId="0" borderId="20" xfId="0" applyNumberFormat="1" applyFont="1" applyBorder="1" applyAlignment="1">
      <alignment vertical="center"/>
    </xf>
    <xf numFmtId="178" fontId="6" fillId="0" borderId="53" xfId="0" applyNumberFormat="1" applyFont="1" applyBorder="1" applyAlignment="1">
      <alignment vertical="center"/>
    </xf>
    <xf numFmtId="178" fontId="6" fillId="0" borderId="32" xfId="0" applyNumberFormat="1" applyFont="1" applyBorder="1" applyAlignment="1">
      <alignment vertical="center"/>
    </xf>
    <xf numFmtId="178" fontId="6" fillId="0" borderId="66" xfId="0" applyNumberFormat="1" applyFont="1" applyBorder="1" applyAlignment="1">
      <alignment vertical="center"/>
    </xf>
    <xf numFmtId="178" fontId="6" fillId="0" borderId="110" xfId="0" applyNumberFormat="1" applyFont="1" applyBorder="1" applyAlignment="1">
      <alignment vertical="center"/>
    </xf>
    <xf numFmtId="178" fontId="6" fillId="0" borderId="111" xfId="0" applyNumberFormat="1" applyFont="1" applyBorder="1" applyAlignment="1">
      <alignment vertical="center"/>
    </xf>
    <xf numFmtId="178" fontId="2" fillId="0" borderId="66" xfId="0" applyNumberFormat="1" applyFont="1" applyBorder="1" applyAlignment="1">
      <alignment horizontal="center" vertical="center"/>
    </xf>
    <xf numFmtId="178" fontId="2" fillId="0" borderId="28" xfId="0" applyNumberFormat="1" applyFont="1" applyBorder="1" applyAlignment="1">
      <alignment horizontal="center" vertical="center"/>
    </xf>
    <xf numFmtId="178" fontId="2" fillId="0" borderId="27" xfId="0" applyNumberFormat="1" applyFont="1" applyBorder="1" applyAlignment="1">
      <alignment horizontal="center" vertical="center"/>
    </xf>
    <xf numFmtId="178" fontId="6" fillId="9" borderId="1" xfId="0" applyNumberFormat="1" applyFont="1" applyFill="1" applyBorder="1" applyAlignment="1">
      <alignment vertical="center"/>
    </xf>
    <xf numFmtId="178" fontId="2" fillId="0" borderId="29" xfId="0" applyNumberFormat="1" applyFont="1" applyBorder="1" applyAlignment="1">
      <alignment vertical="center"/>
    </xf>
    <xf numFmtId="178" fontId="6" fillId="0" borderId="39" xfId="0" applyNumberFormat="1" applyFont="1" applyBorder="1" applyAlignment="1">
      <alignment vertical="center"/>
    </xf>
    <xf numFmtId="178" fontId="6" fillId="0" borderId="27" xfId="0" applyNumberFormat="1" applyFont="1" applyBorder="1" applyAlignment="1">
      <alignment vertical="center"/>
    </xf>
    <xf numFmtId="178" fontId="6" fillId="0" borderId="2" xfId="0" applyNumberFormat="1" applyFont="1" applyBorder="1" applyAlignment="1">
      <alignment vertical="center"/>
    </xf>
    <xf numFmtId="178" fontId="6" fillId="0" borderId="100" xfId="0" applyNumberFormat="1" applyFont="1" applyBorder="1" applyAlignment="1">
      <alignment vertical="center"/>
    </xf>
    <xf numFmtId="178" fontId="6" fillId="0" borderId="101" xfId="0" applyNumberFormat="1" applyFont="1" applyBorder="1" applyAlignment="1">
      <alignment vertical="center"/>
    </xf>
    <xf numFmtId="178" fontId="2" fillId="0" borderId="12" xfId="0" applyNumberFormat="1" applyFont="1" applyBorder="1" applyAlignment="1">
      <alignment horizontal="center" vertical="center"/>
    </xf>
    <xf numFmtId="178" fontId="2" fillId="0" borderId="33" xfId="0" applyNumberFormat="1" applyFont="1" applyBorder="1" applyAlignment="1">
      <alignment horizontal="center" vertical="center"/>
    </xf>
    <xf numFmtId="178" fontId="6" fillId="0" borderId="22" xfId="0" applyNumberFormat="1" applyFont="1" applyBorder="1" applyAlignment="1">
      <alignment vertical="center"/>
    </xf>
    <xf numFmtId="178" fontId="2" fillId="0" borderId="25" xfId="0" applyNumberFormat="1" applyFont="1" applyBorder="1" applyAlignment="1">
      <alignment vertical="center"/>
    </xf>
    <xf numFmtId="178" fontId="6" fillId="0" borderId="49" xfId="0" applyNumberFormat="1" applyFont="1" applyBorder="1" applyAlignment="1">
      <alignment vertical="center"/>
    </xf>
    <xf numFmtId="178" fontId="6" fillId="0" borderId="33" xfId="0" applyNumberFormat="1" applyFont="1" applyBorder="1" applyAlignment="1">
      <alignment vertical="center"/>
    </xf>
    <xf numFmtId="178" fontId="6" fillId="0" borderId="23" xfId="0" applyNumberFormat="1" applyFont="1" applyBorder="1" applyAlignment="1">
      <alignment vertical="center"/>
    </xf>
    <xf numFmtId="178" fontId="6" fillId="0" borderId="107" xfId="0" applyNumberFormat="1" applyFont="1" applyBorder="1" applyAlignment="1">
      <alignment vertical="center"/>
    </xf>
    <xf numFmtId="178" fontId="6" fillId="0" borderId="109" xfId="0" applyNumberFormat="1" applyFont="1" applyBorder="1" applyAlignment="1">
      <alignment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7" xfId="0" applyNumberFormat="1" applyFont="1" applyBorder="1" applyAlignment="1">
      <alignment horizontal="center" vertical="center"/>
    </xf>
    <xf numFmtId="178" fontId="6" fillId="0" borderId="6" xfId="0" applyNumberFormat="1" applyFont="1" applyBorder="1" applyAlignment="1">
      <alignment vertical="center"/>
    </xf>
    <xf numFmtId="178" fontId="2" fillId="0" borderId="16" xfId="0" applyNumberFormat="1" applyFont="1" applyBorder="1" applyAlignment="1">
      <alignment vertical="center"/>
    </xf>
    <xf numFmtId="178" fontId="6" fillId="0" borderId="47" xfId="0" applyNumberFormat="1" applyFont="1" applyBorder="1" applyAlignment="1">
      <alignment vertical="center"/>
    </xf>
    <xf numFmtId="178" fontId="6" fillId="0" borderId="102" xfId="0" applyNumberFormat="1" applyFont="1" applyBorder="1" applyAlignment="1">
      <alignment vertical="center"/>
    </xf>
    <xf numFmtId="178" fontId="6" fillId="0" borderId="7" xfId="0" applyNumberFormat="1" applyFont="1" applyBorder="1" applyAlignment="1">
      <alignment vertical="center"/>
    </xf>
    <xf numFmtId="178" fontId="6" fillId="0" borderId="103" xfId="0" applyNumberFormat="1" applyFont="1" applyBorder="1" applyAlignment="1">
      <alignment vertical="center"/>
    </xf>
    <xf numFmtId="178" fontId="6" fillId="0" borderId="104" xfId="0" applyNumberFormat="1" applyFont="1" applyBorder="1" applyAlignment="1">
      <alignment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30" xfId="0" applyNumberFormat="1" applyFont="1" applyBorder="1" applyAlignment="1">
      <alignment horizontal="center" vertical="center"/>
    </xf>
    <xf numFmtId="178" fontId="6" fillId="0" borderId="1" xfId="0" applyNumberFormat="1" applyFont="1" applyBorder="1" applyAlignment="1">
      <alignment vertical="center"/>
    </xf>
    <xf numFmtId="178" fontId="0" fillId="4" borderId="0" xfId="0" applyNumberFormat="1" applyFill="1">
      <alignment vertical="center"/>
    </xf>
    <xf numFmtId="178" fontId="2" fillId="0" borderId="31" xfId="0" applyNumberFormat="1" applyFont="1" applyBorder="1" applyAlignment="1">
      <alignment horizontal="center" vertical="center"/>
    </xf>
    <xf numFmtId="178" fontId="6" fillId="0" borderId="4" xfId="0" applyNumberFormat="1" applyFont="1" applyBorder="1" applyAlignment="1">
      <alignment vertical="center"/>
    </xf>
    <xf numFmtId="178" fontId="2" fillId="0" borderId="13" xfId="0" applyNumberFormat="1" applyFont="1" applyBorder="1" applyAlignment="1">
      <alignment vertical="center"/>
    </xf>
    <xf numFmtId="178" fontId="6" fillId="0" borderId="46" xfId="0" applyNumberFormat="1" applyFont="1" applyBorder="1" applyAlignment="1">
      <alignment vertical="center"/>
    </xf>
    <xf numFmtId="178" fontId="6" fillId="0" borderId="31" xfId="0" applyNumberFormat="1" applyFont="1" applyBorder="1" applyAlignment="1">
      <alignment vertical="center"/>
    </xf>
    <xf numFmtId="178" fontId="6" fillId="0" borderId="0" xfId="0" applyNumberFormat="1" applyFont="1" applyBorder="1" applyAlignment="1">
      <alignment vertical="center"/>
    </xf>
    <xf numFmtId="178" fontId="6" fillId="0" borderId="105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vertical="center"/>
    </xf>
    <xf numFmtId="178" fontId="6" fillId="0" borderId="106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center" vertical="center"/>
    </xf>
    <xf numFmtId="178" fontId="2" fillId="0" borderId="20" xfId="0" applyNumberFormat="1" applyFont="1" applyBorder="1">
      <alignment vertical="center"/>
    </xf>
    <xf numFmtId="178" fontId="6" fillId="0" borderId="53" xfId="0" applyNumberFormat="1" applyFont="1" applyBorder="1">
      <alignment vertical="center"/>
    </xf>
    <xf numFmtId="178" fontId="6" fillId="0" borderId="32" xfId="0" applyNumberFormat="1" applyFont="1" applyBorder="1">
      <alignment vertical="center"/>
    </xf>
    <xf numFmtId="41" fontId="23" fillId="0" borderId="110" xfId="1" applyFont="1" applyFill="1" applyBorder="1" applyAlignment="1">
      <alignment vertical="center"/>
    </xf>
    <xf numFmtId="178" fontId="24" fillId="0" borderId="20" xfId="0" applyNumberFormat="1" applyFont="1" applyFill="1" applyBorder="1" applyAlignment="1">
      <alignment vertical="center"/>
    </xf>
    <xf numFmtId="178" fontId="24" fillId="0" borderId="111" xfId="0" applyNumberFormat="1" applyFont="1" applyFill="1" applyBorder="1" applyAlignment="1">
      <alignment horizontal="right" vertical="center"/>
    </xf>
    <xf numFmtId="178" fontId="6" fillId="0" borderId="4" xfId="0" applyNumberFormat="1" applyFont="1" applyBorder="1">
      <alignment vertical="center"/>
    </xf>
    <xf numFmtId="178" fontId="2" fillId="0" borderId="13" xfId="0" applyNumberFormat="1" applyFont="1" applyBorder="1">
      <alignment vertical="center"/>
    </xf>
    <xf numFmtId="178" fontId="6" fillId="0" borderId="46" xfId="0" applyNumberFormat="1" applyFont="1" applyBorder="1">
      <alignment vertical="center"/>
    </xf>
    <xf numFmtId="178" fontId="6" fillId="0" borderId="31" xfId="0" applyNumberFormat="1" applyFont="1" applyBorder="1">
      <alignment vertical="center"/>
    </xf>
    <xf numFmtId="41" fontId="23" fillId="0" borderId="105" xfId="1" applyFont="1" applyFill="1" applyBorder="1" applyAlignment="1">
      <alignment vertical="center"/>
    </xf>
    <xf numFmtId="178" fontId="24" fillId="0" borderId="13" xfId="0" applyNumberFormat="1" applyFont="1" applyFill="1" applyBorder="1" applyAlignment="1">
      <alignment vertical="center"/>
    </xf>
    <xf numFmtId="178" fontId="24" fillId="0" borderId="106" xfId="0" applyNumberFormat="1" applyFont="1" applyFill="1" applyBorder="1" applyAlignment="1">
      <alignment horizontal="right" vertical="center"/>
    </xf>
    <xf numFmtId="41" fontId="23" fillId="0" borderId="105" xfId="1" applyFont="1" applyFill="1" applyBorder="1" applyAlignment="1">
      <alignment horizontal="center" vertical="center"/>
    </xf>
    <xf numFmtId="178" fontId="24" fillId="0" borderId="13" xfId="0" applyNumberFormat="1" applyFont="1" applyFill="1" applyBorder="1" applyAlignment="1">
      <alignment horizontal="center" vertical="center"/>
    </xf>
    <xf numFmtId="178" fontId="6" fillId="0" borderId="106" xfId="0" applyNumberFormat="1" applyFont="1" applyFill="1" applyBorder="1" applyAlignment="1">
      <alignment horizontal="right" vertical="center"/>
    </xf>
    <xf numFmtId="178" fontId="2" fillId="0" borderId="15" xfId="0" applyNumberFormat="1" applyFont="1" applyBorder="1" applyAlignment="1">
      <alignment horizontal="center" vertical="center"/>
    </xf>
    <xf numFmtId="178" fontId="2" fillId="0" borderId="102" xfId="0" applyNumberFormat="1" applyFont="1" applyBorder="1" applyAlignment="1">
      <alignment horizontal="center" vertical="center"/>
    </xf>
    <xf numFmtId="178" fontId="6" fillId="0" borderId="6" xfId="0" applyNumberFormat="1" applyFont="1" applyBorder="1">
      <alignment vertical="center"/>
    </xf>
    <xf numFmtId="178" fontId="2" fillId="0" borderId="16" xfId="0" applyNumberFormat="1" applyFont="1" applyBorder="1">
      <alignment vertical="center"/>
    </xf>
    <xf numFmtId="178" fontId="6" fillId="0" borderId="47" xfId="0" applyNumberFormat="1" applyFont="1" applyBorder="1">
      <alignment vertical="center"/>
    </xf>
    <xf numFmtId="178" fontId="6" fillId="0" borderId="102" xfId="0" applyNumberFormat="1" applyFont="1" applyBorder="1">
      <alignment vertical="center"/>
    </xf>
    <xf numFmtId="41" fontId="23" fillId="0" borderId="114" xfId="1" applyFont="1" applyFill="1" applyBorder="1" applyAlignment="1">
      <alignment horizontal="center" vertical="center"/>
    </xf>
    <xf numFmtId="178" fontId="6" fillId="0" borderId="122" xfId="0" applyNumberFormat="1" applyFont="1" applyFill="1" applyBorder="1">
      <alignment vertical="center"/>
    </xf>
    <xf numFmtId="178" fontId="6" fillId="0" borderId="117" xfId="0" applyNumberFormat="1" applyFont="1" applyFill="1" applyBorder="1" applyAlignment="1">
      <alignment horizontal="right" vertical="center"/>
    </xf>
    <xf numFmtId="178" fontId="6" fillId="0" borderId="114" xfId="0" applyNumberFormat="1" applyFont="1" applyBorder="1">
      <alignment vertical="center"/>
    </xf>
    <xf numFmtId="178" fontId="2" fillId="0" borderId="122" xfId="0" applyNumberFormat="1" applyFont="1" applyBorder="1">
      <alignment vertical="center"/>
    </xf>
    <xf numFmtId="178" fontId="6" fillId="0" borderId="117" xfId="0" applyNumberFormat="1" applyFont="1" applyBorder="1">
      <alignment vertical="center"/>
    </xf>
    <xf numFmtId="178" fontId="0" fillId="0" borderId="0" xfId="0" applyNumberFormat="1" applyAlignment="1">
      <alignment vertical="center"/>
    </xf>
    <xf numFmtId="178" fontId="2" fillId="0" borderId="0" xfId="0" applyNumberFormat="1" applyFont="1" applyAlignment="1">
      <alignment horizontal="center" vertical="center"/>
    </xf>
    <xf numFmtId="41" fontId="0" fillId="0" borderId="0" xfId="1" applyFont="1" applyFill="1" applyBorder="1">
      <alignment vertical="center"/>
    </xf>
    <xf numFmtId="178" fontId="6" fillId="0" borderId="29" xfId="0" applyNumberFormat="1" applyFont="1" applyFill="1" applyBorder="1" applyAlignment="1">
      <alignment vertical="center"/>
    </xf>
    <xf numFmtId="9" fontId="6" fillId="0" borderId="13" xfId="0" applyNumberFormat="1" applyFont="1" applyFill="1" applyBorder="1" applyAlignment="1">
      <alignment vertical="center"/>
    </xf>
    <xf numFmtId="178" fontId="6" fillId="0" borderId="20" xfId="0" applyNumberFormat="1" applyFont="1" applyFill="1" applyBorder="1" applyAlignment="1">
      <alignment vertical="center"/>
    </xf>
    <xf numFmtId="9" fontId="6" fillId="0" borderId="25" xfId="0" applyNumberFormat="1" applyFont="1" applyFill="1" applyBorder="1" applyAlignment="1">
      <alignment vertical="center"/>
    </xf>
    <xf numFmtId="178" fontId="6" fillId="0" borderId="10" xfId="0" applyNumberFormat="1" applyFont="1" applyFill="1" applyBorder="1" applyAlignment="1">
      <alignment vertical="center"/>
    </xf>
    <xf numFmtId="178" fontId="22" fillId="0" borderId="25" xfId="0" applyNumberFormat="1" applyFont="1" applyBorder="1" applyAlignment="1">
      <alignment vertical="center"/>
    </xf>
    <xf numFmtId="178" fontId="6" fillId="0" borderId="20" xfId="0" applyNumberFormat="1" applyFont="1" applyBorder="1" applyAlignment="1">
      <alignment vertical="center"/>
    </xf>
    <xf numFmtId="178" fontId="6" fillId="0" borderId="29" xfId="0" applyNumberFormat="1" applyFont="1" applyBorder="1" applyAlignment="1">
      <alignment vertical="center"/>
    </xf>
    <xf numFmtId="178" fontId="6" fillId="0" borderId="25" xfId="0" applyNumberFormat="1" applyFont="1" applyBorder="1" applyAlignment="1">
      <alignment vertical="center"/>
    </xf>
    <xf numFmtId="178" fontId="6" fillId="0" borderId="16" xfId="0" applyNumberFormat="1" applyFont="1" applyBorder="1" applyAlignment="1">
      <alignment vertical="center"/>
    </xf>
    <xf numFmtId="178" fontId="6" fillId="0" borderId="13" xfId="0" applyNumberFormat="1" applyFont="1" applyBorder="1" applyAlignment="1">
      <alignment vertical="center"/>
    </xf>
    <xf numFmtId="178" fontId="6" fillId="0" borderId="13" xfId="0" applyNumberFormat="1" applyFont="1" applyBorder="1">
      <alignment vertical="center"/>
    </xf>
    <xf numFmtId="178" fontId="6" fillId="0" borderId="16" xfId="0" applyNumberFormat="1" applyFont="1" applyBorder="1">
      <alignment vertical="center"/>
    </xf>
    <xf numFmtId="3" fontId="6" fillId="4" borderId="2" xfId="0" applyNumberFormat="1" applyFont="1" applyFill="1" applyBorder="1" applyAlignment="1">
      <alignment vertical="center"/>
    </xf>
    <xf numFmtId="178" fontId="2" fillId="9" borderId="4" xfId="1" applyNumberFormat="1" applyFont="1" applyFill="1" applyBorder="1" applyAlignment="1">
      <alignment vertical="center"/>
    </xf>
    <xf numFmtId="178" fontId="0" fillId="0" borderId="0" xfId="0" applyNumberFormat="1" applyFont="1" applyFill="1" applyBorder="1">
      <alignment vertical="center"/>
    </xf>
    <xf numFmtId="178" fontId="25" fillId="0" borderId="0" xfId="0" applyNumberFormat="1" applyFont="1">
      <alignment vertical="center"/>
    </xf>
    <xf numFmtId="178" fontId="25" fillId="9" borderId="4" xfId="1" applyNumberFormat="1" applyFont="1" applyFill="1" applyBorder="1" applyAlignment="1">
      <alignment vertical="center"/>
    </xf>
    <xf numFmtId="9" fontId="2" fillId="0" borderId="0" xfId="0" applyNumberFormat="1" applyFont="1">
      <alignment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0" fillId="4" borderId="0" xfId="0" applyNumberFormat="1" applyFont="1" applyFill="1">
      <alignment vertical="center"/>
    </xf>
    <xf numFmtId="3" fontId="0" fillId="0" borderId="0" xfId="0" applyNumberFormat="1" applyFont="1">
      <alignment vertical="center"/>
    </xf>
    <xf numFmtId="3" fontId="0" fillId="0" borderId="0" xfId="1" applyNumberFormat="1" applyFont="1">
      <alignment vertical="center"/>
    </xf>
    <xf numFmtId="3" fontId="2" fillId="0" borderId="0" xfId="0" applyNumberFormat="1" applyFont="1">
      <alignment vertical="center"/>
    </xf>
    <xf numFmtId="3" fontId="0" fillId="0" borderId="0" xfId="0" applyNumberFormat="1" applyFont="1" applyAlignment="1">
      <alignment vertical="center"/>
    </xf>
    <xf numFmtId="184" fontId="0" fillId="0" borderId="0" xfId="0" applyNumberFormat="1" applyFont="1">
      <alignment vertical="center"/>
    </xf>
    <xf numFmtId="185" fontId="2" fillId="0" borderId="0" xfId="0" applyNumberFormat="1" applyFont="1">
      <alignment vertical="center"/>
    </xf>
    <xf numFmtId="186" fontId="0" fillId="0" borderId="0" xfId="0" applyNumberFormat="1" applyFont="1">
      <alignment vertical="center"/>
    </xf>
    <xf numFmtId="4" fontId="6" fillId="0" borderId="0" xfId="1" applyNumberFormat="1" applyFont="1" applyFill="1" applyBorder="1" applyAlignment="1">
      <alignment vertical="center"/>
    </xf>
    <xf numFmtId="3" fontId="0" fillId="0" borderId="0" xfId="0" applyNumberFormat="1">
      <alignment vertical="center"/>
    </xf>
    <xf numFmtId="187" fontId="6" fillId="0" borderId="0" xfId="1" applyNumberFormat="1" applyFont="1">
      <alignment vertical="center"/>
    </xf>
    <xf numFmtId="187" fontId="0" fillId="0" borderId="0" xfId="0" applyNumberFormat="1" applyFont="1">
      <alignment vertical="center"/>
    </xf>
    <xf numFmtId="9" fontId="0" fillId="0" borderId="0" xfId="0" applyNumberFormat="1" applyFont="1">
      <alignment vertical="center"/>
    </xf>
    <xf numFmtId="178" fontId="6" fillId="9" borderId="4" xfId="1" quotePrefix="1" applyNumberFormat="1" applyFont="1" applyFill="1" applyBorder="1" applyAlignment="1">
      <alignment vertical="center"/>
    </xf>
    <xf numFmtId="178" fontId="8" fillId="9" borderId="4" xfId="1" quotePrefix="1" applyNumberFormat="1" applyFont="1" applyFill="1" applyBorder="1" applyAlignment="1">
      <alignment vertical="center"/>
    </xf>
    <xf numFmtId="178" fontId="8" fillId="9" borderId="4" xfId="1" applyNumberFormat="1" applyFont="1" applyFill="1" applyBorder="1" applyAlignment="1">
      <alignment vertical="center"/>
    </xf>
    <xf numFmtId="178" fontId="8" fillId="0" borderId="4" xfId="1" applyNumberFormat="1" applyFont="1" applyFill="1" applyBorder="1" applyAlignment="1">
      <alignment vertical="center"/>
    </xf>
    <xf numFmtId="0" fontId="9" fillId="8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78" fontId="6" fillId="0" borderId="48" xfId="0" applyNumberFormat="1" applyFont="1" applyBorder="1" applyAlignment="1">
      <alignment horizontal="center" vertical="center"/>
    </xf>
    <xf numFmtId="178" fontId="6" fillId="0" borderId="55" xfId="0" applyNumberFormat="1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6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178" fontId="2" fillId="0" borderId="62" xfId="0" applyNumberFormat="1" applyFont="1" applyBorder="1" applyAlignment="1">
      <alignment horizontal="center" vertical="center"/>
    </xf>
    <xf numFmtId="0" fontId="2" fillId="3" borderId="48" xfId="0" applyFont="1" applyFill="1" applyBorder="1" applyAlignment="1">
      <alignment horizontal="center" vertical="center"/>
    </xf>
    <xf numFmtId="0" fontId="2" fillId="3" borderId="55" xfId="0" applyFont="1" applyFill="1" applyBorder="1" applyAlignment="1">
      <alignment horizontal="center" vertical="center"/>
    </xf>
    <xf numFmtId="178" fontId="2" fillId="4" borderId="48" xfId="1" applyNumberFormat="1" applyFont="1" applyFill="1" applyBorder="1" applyAlignment="1">
      <alignment horizontal="center" vertical="center"/>
    </xf>
    <xf numFmtId="178" fontId="2" fillId="4" borderId="67" xfId="1" applyNumberFormat="1" applyFont="1" applyFill="1" applyBorder="1" applyAlignment="1">
      <alignment horizontal="center" vertical="center"/>
    </xf>
    <xf numFmtId="178" fontId="2" fillId="4" borderId="55" xfId="1" applyNumberFormat="1" applyFont="1" applyFill="1" applyBorder="1" applyAlignment="1">
      <alignment horizontal="center" vertical="center"/>
    </xf>
    <xf numFmtId="178" fontId="16" fillId="14" borderId="68" xfId="0" applyNumberFormat="1" applyFont="1" applyFill="1" applyBorder="1" applyAlignment="1">
      <alignment horizontal="center" vertical="center"/>
    </xf>
    <xf numFmtId="178" fontId="16" fillId="14" borderId="70" xfId="0" applyNumberFormat="1" applyFont="1" applyFill="1" applyBorder="1" applyAlignment="1">
      <alignment horizontal="center" vertical="center"/>
    </xf>
    <xf numFmtId="178" fontId="16" fillId="14" borderId="1" xfId="0" applyNumberFormat="1" applyFont="1" applyFill="1" applyBorder="1" applyAlignment="1">
      <alignment horizontal="center" vertical="center"/>
    </xf>
    <xf numFmtId="178" fontId="16" fillId="14" borderId="2" xfId="0" applyNumberFormat="1" applyFont="1" applyFill="1" applyBorder="1" applyAlignment="1">
      <alignment horizontal="center" vertical="center"/>
    </xf>
    <xf numFmtId="178" fontId="16" fillId="14" borderId="6" xfId="0" applyNumberFormat="1" applyFont="1" applyFill="1" applyBorder="1" applyAlignment="1">
      <alignment horizontal="center" vertical="center"/>
    </xf>
    <xf numFmtId="178" fontId="16" fillId="14" borderId="7" xfId="0" applyNumberFormat="1" applyFont="1" applyFill="1" applyBorder="1" applyAlignment="1">
      <alignment horizontal="center" vertical="center"/>
    </xf>
    <xf numFmtId="0" fontId="14" fillId="6" borderId="95" xfId="0" applyFont="1" applyFill="1" applyBorder="1" applyAlignment="1">
      <alignment horizontal="center" vertical="center"/>
    </xf>
    <xf numFmtId="0" fontId="14" fillId="6" borderId="96" xfId="0" applyFont="1" applyFill="1" applyBorder="1" applyAlignment="1">
      <alignment horizontal="center" vertical="center"/>
    </xf>
    <xf numFmtId="0" fontId="14" fillId="6" borderId="97" xfId="0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 wrapText="1"/>
    </xf>
    <xf numFmtId="178" fontId="2" fillId="0" borderId="3" xfId="0" applyNumberFormat="1" applyFont="1" applyBorder="1" applyAlignment="1">
      <alignment horizontal="center" vertical="center"/>
    </xf>
    <xf numFmtId="178" fontId="2" fillId="0" borderId="4" xfId="0" applyNumberFormat="1" applyFont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178" fontId="16" fillId="6" borderId="1" xfId="0" applyNumberFormat="1" applyFont="1" applyFill="1" applyBorder="1" applyAlignment="1">
      <alignment horizontal="center" vertical="center"/>
    </xf>
    <xf numFmtId="178" fontId="16" fillId="6" borderId="3" xfId="0" applyNumberFormat="1" applyFont="1" applyFill="1" applyBorder="1" applyAlignment="1">
      <alignment horizontal="center" vertical="center"/>
    </xf>
    <xf numFmtId="178" fontId="16" fillId="6" borderId="6" xfId="0" applyNumberFormat="1" applyFont="1" applyFill="1" applyBorder="1" applyAlignment="1">
      <alignment horizontal="center" vertical="center"/>
    </xf>
    <xf numFmtId="178" fontId="16" fillId="6" borderId="8" xfId="0" applyNumberFormat="1" applyFont="1" applyFill="1" applyBorder="1" applyAlignment="1">
      <alignment horizontal="center" vertical="center"/>
    </xf>
  </cellXfs>
  <cellStyles count="5">
    <cellStyle name="백분율 3" xfId="2" xr:uid="{00000000-0005-0000-0000-000001000000}"/>
    <cellStyle name="쉼표 [0]" xfId="1" builtinId="6"/>
    <cellStyle name="쉼표 [0] 2" xfId="3" xr:uid="{00000000-0005-0000-0000-000003000000}"/>
    <cellStyle name="표준" xfId="0" builtinId="0"/>
    <cellStyle name="표준 2 2" xfId="4" xr:uid="{00000000-0005-0000-0000-000005000000}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1.7234557284159464E-2"/>
          <c:y val="0.28756197768561925"/>
          <c:w val="0.97291712426774946"/>
          <c:h val="0.48622959490478113"/>
        </c:manualLayout>
      </c:layout>
      <c:lineChart>
        <c:grouping val="standard"/>
        <c:varyColors val="0"/>
        <c:ser>
          <c:idx val="0"/>
          <c:order val="0"/>
          <c:tx>
            <c:strRef>
              <c:f>건자재!$R$38</c:f>
              <c:strCache>
                <c:ptCount val="1"/>
                <c:pt idx="0">
                  <c:v>판매단가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bg1"/>
              </a:solidFill>
              <a:ln w="31750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건자재!$Z$37:$AT$37</c:f>
              <c:strCache>
                <c:ptCount val="16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  <c:pt idx="12">
                  <c:v>1월</c:v>
                </c:pt>
                <c:pt idx="13">
                  <c:v>2월</c:v>
                </c:pt>
                <c:pt idx="14">
                  <c:v>3월</c:v>
                </c:pt>
                <c:pt idx="15">
                  <c:v>4월</c:v>
                </c:pt>
              </c:strCache>
            </c:strRef>
          </c:cat>
          <c:val>
            <c:numRef>
              <c:f>건자재!$Z$38:$AT$38</c:f>
              <c:numCache>
                <c:formatCode>#,##0_);[Red]\(#,##0\)</c:formatCode>
                <c:ptCount val="16"/>
                <c:pt idx="0">
                  <c:v>920730.85338998202</c:v>
                </c:pt>
                <c:pt idx="1">
                  <c:v>886130.8859870329</c:v>
                </c:pt>
                <c:pt idx="2">
                  <c:v>873530.5235919673</c:v>
                </c:pt>
                <c:pt idx="3">
                  <c:v>853042.90795678552</c:v>
                </c:pt>
                <c:pt idx="4">
                  <c:v>811389.30758305453</c:v>
                </c:pt>
                <c:pt idx="5">
                  <c:v>785072.67759542307</c:v>
                </c:pt>
                <c:pt idx="6">
                  <c:v>751049.2097042331</c:v>
                </c:pt>
                <c:pt idx="7">
                  <c:v>846014.52770958561</c:v>
                </c:pt>
                <c:pt idx="8">
                  <c:v>879572.42936012533</c:v>
                </c:pt>
                <c:pt idx="9">
                  <c:v>818946.47731031897</c:v>
                </c:pt>
                <c:pt idx="10">
                  <c:v>798803.69146262086</c:v>
                </c:pt>
                <c:pt idx="11">
                  <c:v>752238.01942182856</c:v>
                </c:pt>
                <c:pt idx="12">
                  <c:v>756420.01123690419</c:v>
                </c:pt>
                <c:pt idx="13">
                  <c:v>744684.72993482568</c:v>
                </c:pt>
                <c:pt idx="14">
                  <c:v>736140.83983969816</c:v>
                </c:pt>
                <c:pt idx="15">
                  <c:v>800210.93236806407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F1-4BDB-AA53-7C567B86B9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5924856"/>
        <c:axId val="725929120"/>
      </c:lineChart>
      <c:catAx>
        <c:axId val="725924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9120"/>
        <c:crosses val="autoZero"/>
        <c:auto val="1"/>
        <c:lblAlgn val="ctr"/>
        <c:lblOffset val="0"/>
        <c:noMultiLvlLbl val="0"/>
      </c:catAx>
      <c:valAx>
        <c:axId val="725929120"/>
        <c:scaling>
          <c:orientation val="minMax"/>
          <c:max val="1000000"/>
          <c:min val="700000"/>
        </c:scaling>
        <c:delete val="0"/>
        <c:axPos val="l"/>
        <c:numFmt formatCode="#,##0_);[Red]\(#,##0\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59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28</xdr:row>
      <xdr:rowOff>27213</xdr:rowOff>
    </xdr:from>
    <xdr:to>
      <xdr:col>14</xdr:col>
      <xdr:colOff>544285</xdr:colOff>
      <xdr:row>33</xdr:row>
      <xdr:rowOff>258535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96CB9CB-481A-4980-A34C-0F614ED723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1_&#51665;&#44228;/&#50896;&#44032;&#49552;&#51061;/2025&#45380;_&#54637;&#47785;&#48324;&#49552;&#51061;&#50696;&#4932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025&#45380;_&#54637;&#47785;&#48324;&#49552;&#51061;&#49892;&#51201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2024&#45380;_&#54637;&#47785;&#48324;&#49552;&#51061;&#49892;&#51201;_&#54620;&#49457;&#54252;&#54632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1_&#47112;&#48120;&#53080;/&#47112;&#48120;&#53080;&#50896;&#44032;&#49552;&#51061;(2025-04)&#44228;&#54925;&#45824;&#48708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1_&#47112;&#48120;&#53080;/&#47112;&#48120;&#53080;&#50896;&#44032;&#49552;&#51061;(2025-04)&#51204;&#45380;&#45824;&#48708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2_&#44148;&#51088;&#51116;/&#44148;&#51088;&#51116;&#50689;&#50629;&#49552;&#51061;(2025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50896;&#44032;&#49552;&#51061;(2025-04)&#44228;&#54925;&#45824;&#48708;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0_&#48372;&#44256;&#49436;/&#49552;&#51061;&#48372;&#44256;&#49436;(2024-04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1_&#47112;&#48120;&#53080;/&#47112;&#48120;&#53080;&#50896;&#44032;&#49552;&#51061;(2025-04&#45572;&#44228;)&#44228;&#54925;&#45824;&#48708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1_&#47112;&#48120;&#53080;/&#47112;&#48120;&#53080;&#50896;&#44032;&#49552;&#51061;(2025-04&#45572;&#44228;)&#51204;&#45380;&#45824;&#48708;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148;&#51088;&#51116;/2025&#45380;_&#50696;&#49328;&#50836;&#44396;&#50504;_&#44148;&#51088;&#51116;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412(&#52572;&#51333;)/02_&#44148;&#51088;&#51116;/&#44148;&#51088;&#51116;&#50689;&#50629;&#49552;&#51061;(2024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552;&#51061;&#48372;&#44256;&#49436;(2025-03)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9436;&#48512;&#49328;&#53356;&#46972;&#49380;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53356;&#46972;&#49380;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&#45380;&#50696;&#49328;/&#49324;&#50629;&#44228;&#54925;/02_&#50696;&#49328;&#50836;&#44396;&#50504;/&#44264;&#51116;/2025&#45380;_&#50696;&#49328;&#50836;&#44396;&#50504;_&#48512;&#49328;&#47784;&#47000;&#51109;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49892;&#51201;(2025-04)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50896;&#44032;&#49552;&#51061;(2025-03)&#44228;&#54925;&#45824;&#48708;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2025&#45380;/&#50896;&#44032;&#49552;&#51061;/202504/03_&#44264;&#51116;/&#44264;&#51116;&#49892;&#51201;(2025-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손익"/>
      <sheetName val="월별손익 (2)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2월누계"/>
      <sheetName val="3월누계"/>
      <sheetName val="4월누계"/>
      <sheetName val="5월누계"/>
      <sheetName val="6월누계"/>
      <sheetName val="7월누계"/>
      <sheetName val="8월누계"/>
      <sheetName val="9월누계"/>
      <sheetName val="10월누계"/>
      <sheetName val="11월누계"/>
      <sheetName val="12월누계"/>
      <sheetName val="6-12월"/>
      <sheetName val="물량"/>
      <sheetName val="매출액"/>
      <sheetName val="매출원가"/>
      <sheetName val="노무비"/>
      <sheetName val="경비"/>
      <sheetName val="운반비"/>
      <sheetName val="감가상각비_제조"/>
      <sheetName val="감가상각비_판매"/>
      <sheetName val="영업공통비"/>
      <sheetName val="부문공통비"/>
      <sheetName val="본사공통비"/>
      <sheetName val="매출이익"/>
      <sheetName val="영업이익1"/>
      <sheetName val="영업이익2"/>
      <sheetName val="Sheet1"/>
      <sheetName val="Sheet2"/>
      <sheetName val="Sheet2 (2)"/>
    </sheetNames>
    <sheetDataSet>
      <sheetData sheetId="0"/>
      <sheetData sheetId="1"/>
      <sheetData sheetId="2">
        <row r="7">
          <cell r="Z7">
            <v>207000</v>
          </cell>
        </row>
      </sheetData>
      <sheetData sheetId="3">
        <row r="7">
          <cell r="Z7">
            <v>227000</v>
          </cell>
        </row>
      </sheetData>
      <sheetData sheetId="4">
        <row r="6">
          <cell r="D6" t="str">
            <v>구분</v>
          </cell>
        </row>
      </sheetData>
      <sheetData sheetId="5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42000</v>
          </cell>
          <cell r="G7">
            <v>30000</v>
          </cell>
          <cell r="H7">
            <v>22000</v>
          </cell>
          <cell r="I7">
            <v>16000</v>
          </cell>
          <cell r="J7">
            <v>21000</v>
          </cell>
          <cell r="K7">
            <v>22000</v>
          </cell>
          <cell r="L7">
            <v>15000</v>
          </cell>
          <cell r="M7">
            <v>20000</v>
          </cell>
          <cell r="N7">
            <v>12000</v>
          </cell>
          <cell r="O7">
            <v>13000</v>
          </cell>
          <cell r="P7">
            <v>12500</v>
          </cell>
          <cell r="Q7">
            <v>13000</v>
          </cell>
          <cell r="R7">
            <v>25000</v>
          </cell>
          <cell r="S7">
            <v>11000</v>
          </cell>
          <cell r="T7">
            <v>8000</v>
          </cell>
          <cell r="U7">
            <v>5000</v>
          </cell>
          <cell r="V7">
            <v>8000</v>
          </cell>
          <cell r="W7">
            <v>0</v>
          </cell>
          <cell r="X7">
            <v>0</v>
          </cell>
          <cell r="Y7">
            <v>0</v>
          </cell>
          <cell r="Z7">
            <v>295500</v>
          </cell>
          <cell r="AA7">
            <v>11100</v>
          </cell>
          <cell r="AB7">
            <v>67048.244679569892</v>
          </cell>
          <cell r="AC7">
            <v>0.1</v>
          </cell>
          <cell r="AD7">
            <v>17946.228344851686</v>
          </cell>
          <cell r="AE7">
            <v>84994.573024421581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43688523.608556017</v>
          </cell>
          <cell r="F8">
            <v>4118150.03</v>
          </cell>
          <cell r="G8">
            <v>2954059.6060856991</v>
          </cell>
          <cell r="H8">
            <v>2112855.7613999997</v>
          </cell>
          <cell r="I8">
            <v>1519702.35</v>
          </cell>
          <cell r="J8">
            <v>2261691.08702</v>
          </cell>
          <cell r="K8">
            <v>2184600.9480000008</v>
          </cell>
          <cell r="L8">
            <v>1444497.8</v>
          </cell>
          <cell r="M8">
            <v>2039995.2796799999</v>
          </cell>
          <cell r="N8">
            <v>1133460</v>
          </cell>
          <cell r="O8">
            <v>1300000.7767700001</v>
          </cell>
          <cell r="P8">
            <v>1221100.0999999999</v>
          </cell>
          <cell r="Q8">
            <v>1326078</v>
          </cell>
          <cell r="R8">
            <v>2575000</v>
          </cell>
          <cell r="S8">
            <v>1067650.1800000002</v>
          </cell>
          <cell r="T8">
            <v>878932.12400000007</v>
          </cell>
          <cell r="U8">
            <v>560000</v>
          </cell>
          <cell r="V8">
            <v>980908</v>
          </cell>
          <cell r="W8">
            <v>0</v>
          </cell>
          <cell r="X8">
            <v>0</v>
          </cell>
          <cell r="Y8">
            <v>0</v>
          </cell>
          <cell r="Z8">
            <v>29678682.0429557</v>
          </cell>
          <cell r="AA8">
            <v>12145191.004931508</v>
          </cell>
          <cell r="AB8">
            <v>988548.37247311824</v>
          </cell>
          <cell r="AC8">
            <v>0</v>
          </cell>
          <cell r="AD8">
            <v>733574.02152903203</v>
          </cell>
          <cell r="AE8">
            <v>1722122.3940021503</v>
          </cell>
          <cell r="AF8">
            <v>12500</v>
          </cell>
          <cell r="AG8">
            <v>25000</v>
          </cell>
          <cell r="AH8">
            <v>29166.666666666668</v>
          </cell>
          <cell r="AI8">
            <v>68570</v>
          </cell>
          <cell r="AJ8">
            <v>5521.5</v>
          </cell>
          <cell r="AK8">
            <v>0</v>
          </cell>
          <cell r="AL8">
            <v>140758.16666666669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1770</v>
          </cell>
          <cell r="AU8">
            <v>1770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98051.191190476195</v>
          </cell>
          <cell r="G9">
            <v>98468.653536189959</v>
          </cell>
          <cell r="H9">
            <v>96038.898245454533</v>
          </cell>
          <cell r="I9">
            <v>94981.396875000006</v>
          </cell>
          <cell r="J9">
            <v>107699.57557238096</v>
          </cell>
          <cell r="K9">
            <v>99300.043090909123</v>
          </cell>
          <cell r="L9">
            <v>96299.853333333333</v>
          </cell>
          <cell r="M9">
            <v>101999.763984</v>
          </cell>
          <cell r="N9">
            <v>94455</v>
          </cell>
          <cell r="O9">
            <v>100000.05975153847</v>
          </cell>
          <cell r="P9">
            <v>97688.007999999987</v>
          </cell>
          <cell r="Q9">
            <v>102006</v>
          </cell>
          <cell r="R9">
            <v>103000</v>
          </cell>
          <cell r="S9">
            <v>97059.107272727284</v>
          </cell>
          <cell r="T9">
            <v>109866.51550000001</v>
          </cell>
          <cell r="U9">
            <v>112000</v>
          </cell>
          <cell r="V9">
            <v>122613.5</v>
          </cell>
          <cell r="W9">
            <v>0</v>
          </cell>
          <cell r="X9">
            <v>0</v>
          </cell>
          <cell r="Y9">
            <v>0</v>
          </cell>
          <cell r="Z9">
            <v>100435.47222658443</v>
          </cell>
          <cell r="AA9">
            <v>1094161.3517956315</v>
          </cell>
          <cell r="AB9">
            <v>14743.836728276592</v>
          </cell>
          <cell r="AC9">
            <v>0</v>
          </cell>
          <cell r="AD9">
            <v>40876.222425837776</v>
          </cell>
          <cell r="AE9">
            <v>20261.557093855048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38768431.496698819</v>
          </cell>
          <cell r="F10">
            <v>3608223.5421512928</v>
          </cell>
          <cell r="G10">
            <v>2673781.2975909291</v>
          </cell>
          <cell r="H10">
            <v>1920776.2977089554</v>
          </cell>
          <cell r="I10">
            <v>1356084.9847411355</v>
          </cell>
          <cell r="J10">
            <v>1931754.125778863</v>
          </cell>
          <cell r="K10">
            <v>1897829.6513314564</v>
          </cell>
          <cell r="L10">
            <v>1243088.7586680439</v>
          </cell>
          <cell r="M10">
            <v>1784771.2401386953</v>
          </cell>
          <cell r="N10">
            <v>986950.39729075064</v>
          </cell>
          <cell r="O10">
            <v>1098804.2907722231</v>
          </cell>
          <cell r="P10">
            <v>1044589.3095045274</v>
          </cell>
          <cell r="Q10">
            <v>1159946.3028509628</v>
          </cell>
          <cell r="R10">
            <v>2126064.0392519962</v>
          </cell>
          <cell r="S10">
            <v>903370.77666567254</v>
          </cell>
          <cell r="T10">
            <v>637373.53346709523</v>
          </cell>
          <cell r="U10">
            <v>445296.86330659606</v>
          </cell>
          <cell r="V10">
            <v>806863.57922659384</v>
          </cell>
          <cell r="W10">
            <v>0</v>
          </cell>
          <cell r="X10">
            <v>0</v>
          </cell>
          <cell r="Y10">
            <v>0</v>
          </cell>
          <cell r="Z10">
            <v>25625568.990445785</v>
          </cell>
          <cell r="AA10">
            <v>11817136.843952389</v>
          </cell>
          <cell r="AB10">
            <v>699434.67663999996</v>
          </cell>
          <cell r="AC10">
            <v>139045.31</v>
          </cell>
          <cell r="AD10">
            <v>445973.35566064593</v>
          </cell>
          <cell r="AE10">
            <v>1284453.342300646</v>
          </cell>
          <cell r="AF10">
            <v>103</v>
          </cell>
          <cell r="AG10">
            <v>587</v>
          </cell>
          <cell r="AH10">
            <v>420</v>
          </cell>
          <cell r="AI10">
            <v>184</v>
          </cell>
          <cell r="AJ10">
            <v>141</v>
          </cell>
          <cell r="AK10">
            <v>0</v>
          </cell>
          <cell r="AL10">
            <v>1435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39837.32</v>
          </cell>
          <cell r="AT10">
            <v>0</v>
          </cell>
          <cell r="AU10">
            <v>39837.32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85910.084336935543</v>
          </cell>
          <cell r="G11">
            <v>89126.043253030977</v>
          </cell>
          <cell r="H11">
            <v>87308.013532225246</v>
          </cell>
          <cell r="I11">
            <v>84755.311546320969</v>
          </cell>
          <cell r="J11">
            <v>91988.291703755385</v>
          </cell>
          <cell r="K11">
            <v>86264.984151429831</v>
          </cell>
          <cell r="L11">
            <v>82872.583911202921</v>
          </cell>
          <cell r="M11">
            <v>89238.562006934764</v>
          </cell>
          <cell r="N11">
            <v>82245.866440895887</v>
          </cell>
          <cell r="O11">
            <v>84523.4069824787</v>
          </cell>
          <cell r="P11">
            <v>83567.144760362178</v>
          </cell>
          <cell r="Q11">
            <v>89226.638680843287</v>
          </cell>
          <cell r="R11">
            <v>85042.561570079852</v>
          </cell>
          <cell r="S11">
            <v>82124.616060515691</v>
          </cell>
          <cell r="T11">
            <v>79671.691683386904</v>
          </cell>
          <cell r="U11">
            <v>89059.372661319212</v>
          </cell>
          <cell r="V11">
            <v>100857.94740332423</v>
          </cell>
          <cell r="W11">
            <v>0</v>
          </cell>
          <cell r="X11">
            <v>0</v>
          </cell>
          <cell r="Y11">
            <v>0</v>
          </cell>
          <cell r="Z11">
            <v>86719.3536055695</v>
          </cell>
          <cell r="AA11">
            <v>1064606.9228785937</v>
          </cell>
          <cell r="AB11">
            <v>10431.811898770304</v>
          </cell>
          <cell r="AC11">
            <v>1390453099.9999998</v>
          </cell>
          <cell r="AD11">
            <v>24850.533888842681</v>
          </cell>
          <cell r="AE11">
            <v>15112.180655717662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4920092.1118571982</v>
          </cell>
          <cell r="F12">
            <v>509926.48784870701</v>
          </cell>
          <cell r="G12">
            <v>280278.30849476997</v>
          </cell>
          <cell r="H12">
            <v>192079.46369104437</v>
          </cell>
          <cell r="I12">
            <v>163617.36525886459</v>
          </cell>
          <cell r="J12">
            <v>329936.961241137</v>
          </cell>
          <cell r="K12">
            <v>286771.29666854441</v>
          </cell>
          <cell r="L12">
            <v>201409.04133195616</v>
          </cell>
          <cell r="M12">
            <v>255224.03954130458</v>
          </cell>
          <cell r="N12">
            <v>146509.60270924936</v>
          </cell>
          <cell r="O12">
            <v>201196.48599777697</v>
          </cell>
          <cell r="P12">
            <v>176510.79049547249</v>
          </cell>
          <cell r="Q12">
            <v>166131.69714903715</v>
          </cell>
          <cell r="R12">
            <v>448935.9607480038</v>
          </cell>
          <cell r="S12">
            <v>164279.40333432762</v>
          </cell>
          <cell r="T12">
            <v>241558.59053290484</v>
          </cell>
          <cell r="U12">
            <v>114703.13669340394</v>
          </cell>
          <cell r="V12">
            <v>174044.42077340616</v>
          </cell>
          <cell r="W12">
            <v>0</v>
          </cell>
          <cell r="X12">
            <v>0</v>
          </cell>
          <cell r="Y12">
            <v>0</v>
          </cell>
          <cell r="Z12">
            <v>4053113.0525099151</v>
          </cell>
          <cell r="AA12">
            <v>328054.1609791182</v>
          </cell>
          <cell r="AB12">
            <v>289113.69583311828</v>
          </cell>
          <cell r="AC12">
            <v>-139045.31</v>
          </cell>
          <cell r="AD12">
            <v>287600.6658683861</v>
          </cell>
          <cell r="AE12">
            <v>437669.05170150427</v>
          </cell>
          <cell r="AF12">
            <v>12397</v>
          </cell>
          <cell r="AG12">
            <v>24413</v>
          </cell>
          <cell r="AH12">
            <v>28746.666666666668</v>
          </cell>
          <cell r="AI12">
            <v>68386</v>
          </cell>
          <cell r="AJ12">
            <v>5380.5</v>
          </cell>
          <cell r="AK12">
            <v>0</v>
          </cell>
          <cell r="AL12">
            <v>139323.16666666669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-39837.32</v>
          </cell>
          <cell r="AT12">
            <v>1770</v>
          </cell>
          <cell r="AU12">
            <v>-38067.32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791693.22000000009</v>
          </cell>
          <cell r="F13">
            <v>66547.859999999986</v>
          </cell>
          <cell r="G13">
            <v>59799.31</v>
          </cell>
          <cell r="H13">
            <v>49197.32</v>
          </cell>
          <cell r="I13">
            <v>35904.26</v>
          </cell>
          <cell r="J13">
            <v>45150.44</v>
          </cell>
          <cell r="K13">
            <v>47473.14</v>
          </cell>
          <cell r="L13">
            <v>37309.67</v>
          </cell>
          <cell r="M13">
            <v>49029.33</v>
          </cell>
          <cell r="N13">
            <v>27160.299999999996</v>
          </cell>
          <cell r="O13">
            <v>35900.47</v>
          </cell>
          <cell r="P13">
            <v>36460.270000000004</v>
          </cell>
          <cell r="Q13">
            <v>35711.71</v>
          </cell>
          <cell r="R13">
            <v>44608.639999999999</v>
          </cell>
          <cell r="S13">
            <v>28917.809999999998</v>
          </cell>
          <cell r="T13">
            <v>10981.019999999999</v>
          </cell>
          <cell r="U13">
            <v>11484.220000000001</v>
          </cell>
          <cell r="V13">
            <v>15107.560000000001</v>
          </cell>
          <cell r="W13">
            <v>0</v>
          </cell>
          <cell r="X13">
            <v>0</v>
          </cell>
          <cell r="Y13">
            <v>0</v>
          </cell>
          <cell r="Z13">
            <v>636743.33000000007</v>
          </cell>
          <cell r="AA13">
            <v>117386.58000000002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468</v>
          </cell>
          <cell r="AN13">
            <v>264</v>
          </cell>
          <cell r="AO13">
            <v>216</v>
          </cell>
          <cell r="AP13">
            <v>166</v>
          </cell>
          <cell r="AQ13">
            <v>7951</v>
          </cell>
          <cell r="AR13">
            <v>0</v>
          </cell>
          <cell r="AS13">
            <v>28498.31</v>
          </cell>
          <cell r="AT13">
            <v>0</v>
          </cell>
          <cell r="AU13">
            <v>37563.31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587993.1100000001</v>
          </cell>
          <cell r="F14">
            <v>49636.469999999994</v>
          </cell>
          <cell r="G14">
            <v>43328.76</v>
          </cell>
          <cell r="H14">
            <v>37165.25</v>
          </cell>
          <cell r="I14">
            <v>26271.91</v>
          </cell>
          <cell r="J14">
            <v>33148.82</v>
          </cell>
          <cell r="K14">
            <v>36362.49</v>
          </cell>
          <cell r="L14">
            <v>28154.09</v>
          </cell>
          <cell r="M14">
            <v>35251.530000000006</v>
          </cell>
          <cell r="N14">
            <v>20313.559999999998</v>
          </cell>
          <cell r="O14">
            <v>27304.470000000005</v>
          </cell>
          <cell r="P14">
            <v>27408.81</v>
          </cell>
          <cell r="Q14">
            <v>27046.1</v>
          </cell>
          <cell r="R14">
            <v>33282.01</v>
          </cell>
          <cell r="S14">
            <v>22210.209999999995</v>
          </cell>
          <cell r="T14">
            <v>7567.369999999999</v>
          </cell>
          <cell r="U14">
            <v>7347.5</v>
          </cell>
          <cell r="V14">
            <v>10807.03</v>
          </cell>
          <cell r="W14">
            <v>0</v>
          </cell>
          <cell r="X14">
            <v>0</v>
          </cell>
          <cell r="Y14">
            <v>0</v>
          </cell>
          <cell r="Z14">
            <v>472606.38000000006</v>
          </cell>
          <cell r="AA14">
            <v>89090.290000000008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26296.440000000002</v>
          </cell>
          <cell r="AT14">
            <v>0</v>
          </cell>
          <cell r="AU14">
            <v>26296.440000000002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203700.11000000002</v>
          </cell>
          <cell r="F15">
            <v>16911.39</v>
          </cell>
          <cell r="G15">
            <v>16470.55</v>
          </cell>
          <cell r="H15">
            <v>12032.07</v>
          </cell>
          <cell r="I15">
            <v>9632.35</v>
          </cell>
          <cell r="J15">
            <v>12001.619999999999</v>
          </cell>
          <cell r="K15">
            <v>11110.65</v>
          </cell>
          <cell r="L15">
            <v>9155.58</v>
          </cell>
          <cell r="M15">
            <v>13777.8</v>
          </cell>
          <cell r="N15">
            <v>6846.74</v>
          </cell>
          <cell r="O15">
            <v>8596</v>
          </cell>
          <cell r="P15">
            <v>9051.4599999999991</v>
          </cell>
          <cell r="Q15">
            <v>8665.61</v>
          </cell>
          <cell r="R15">
            <v>11326.630000000001</v>
          </cell>
          <cell r="S15">
            <v>6707.6</v>
          </cell>
          <cell r="T15">
            <v>3413.65</v>
          </cell>
          <cell r="U15">
            <v>4136.72</v>
          </cell>
          <cell r="V15">
            <v>4300.53</v>
          </cell>
          <cell r="W15">
            <v>0</v>
          </cell>
          <cell r="X15">
            <v>0</v>
          </cell>
          <cell r="Y15">
            <v>0</v>
          </cell>
          <cell r="Z15">
            <v>164136.95000000001</v>
          </cell>
          <cell r="AA15">
            <v>28296.29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468</v>
          </cell>
          <cell r="AN15">
            <v>264</v>
          </cell>
          <cell r="AO15">
            <v>216</v>
          </cell>
          <cell r="AP15">
            <v>166</v>
          </cell>
          <cell r="AQ15">
            <v>7951</v>
          </cell>
          <cell r="AR15">
            <v>0</v>
          </cell>
          <cell r="AS15">
            <v>2201.87</v>
          </cell>
          <cell r="AT15">
            <v>0</v>
          </cell>
          <cell r="AU15">
            <v>11266.869999999999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4128398.891857198</v>
          </cell>
          <cell r="F17">
            <v>443378.62784870702</v>
          </cell>
          <cell r="G17">
            <v>220478.99849476997</v>
          </cell>
          <cell r="H17">
            <v>142882.14369104436</v>
          </cell>
          <cell r="I17">
            <v>127713.10525886458</v>
          </cell>
          <cell r="J17">
            <v>284786.521241137</v>
          </cell>
          <cell r="K17">
            <v>239298.1566685444</v>
          </cell>
          <cell r="L17">
            <v>164099.37133195618</v>
          </cell>
          <cell r="M17">
            <v>206194.70954130456</v>
          </cell>
          <cell r="N17">
            <v>119349.30270924937</v>
          </cell>
          <cell r="O17">
            <v>165296.01599777697</v>
          </cell>
          <cell r="P17">
            <v>140050.52049547248</v>
          </cell>
          <cell r="Q17">
            <v>130419.98714903716</v>
          </cell>
          <cell r="R17">
            <v>404327.32074800378</v>
          </cell>
          <cell r="S17">
            <v>135361.59333432763</v>
          </cell>
          <cell r="T17">
            <v>230577.57053290485</v>
          </cell>
          <cell r="U17">
            <v>103218.91669340394</v>
          </cell>
          <cell r="V17">
            <v>158936.86077340617</v>
          </cell>
          <cell r="W17">
            <v>0</v>
          </cell>
          <cell r="X17">
            <v>0</v>
          </cell>
          <cell r="Y17">
            <v>0</v>
          </cell>
          <cell r="Z17">
            <v>3416369.722509915</v>
          </cell>
          <cell r="AA17">
            <v>210667.58097911818</v>
          </cell>
          <cell r="AB17">
            <v>289113.69583311828</v>
          </cell>
          <cell r="AC17">
            <v>-139045.31</v>
          </cell>
          <cell r="AD17">
            <v>287600.6658683861</v>
          </cell>
          <cell r="AE17">
            <v>437669.05170150427</v>
          </cell>
          <cell r="AF17">
            <v>12397</v>
          </cell>
          <cell r="AG17">
            <v>24413</v>
          </cell>
          <cell r="AH17">
            <v>28746.666666666668</v>
          </cell>
          <cell r="AI17">
            <v>68386</v>
          </cell>
          <cell r="AJ17">
            <v>5380.5</v>
          </cell>
          <cell r="AK17">
            <v>0</v>
          </cell>
          <cell r="AL17">
            <v>139323.16666666669</v>
          </cell>
          <cell r="AM17">
            <v>-468</v>
          </cell>
          <cell r="AN17">
            <v>-264</v>
          </cell>
          <cell r="AO17">
            <v>-216</v>
          </cell>
          <cell r="AP17">
            <v>-166</v>
          </cell>
          <cell r="AQ17">
            <v>-7951</v>
          </cell>
          <cell r="AR17">
            <v>0</v>
          </cell>
          <cell r="AS17">
            <v>-68335.63</v>
          </cell>
          <cell r="AT17">
            <v>1770</v>
          </cell>
          <cell r="AU17">
            <v>-75630.63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576520.01424012333</v>
          </cell>
          <cell r="F18">
            <v>29668.934666666664</v>
          </cell>
          <cell r="G18">
            <v>35426.412906133344</v>
          </cell>
          <cell r="H18">
            <v>21509.885333333332</v>
          </cell>
          <cell r="I18">
            <v>18531.579444444447</v>
          </cell>
          <cell r="J18">
            <v>47830.808777777776</v>
          </cell>
          <cell r="K18">
            <v>28977.950777777776</v>
          </cell>
          <cell r="L18">
            <v>13693.310000000001</v>
          </cell>
          <cell r="M18">
            <v>25942.434999999998</v>
          </cell>
          <cell r="N18">
            <v>11766.733666666667</v>
          </cell>
          <cell r="O18">
            <v>31871.415222222218</v>
          </cell>
          <cell r="P18">
            <v>16308.458214248671</v>
          </cell>
          <cell r="Q18">
            <v>15437.812055282729</v>
          </cell>
          <cell r="R18">
            <v>36801.933444444439</v>
          </cell>
          <cell r="S18">
            <v>21567.803333333333</v>
          </cell>
          <cell r="T18">
            <v>11466.620777777778</v>
          </cell>
          <cell r="U18">
            <v>5952.9711111111101</v>
          </cell>
          <cell r="V18">
            <v>12417.939286680763</v>
          </cell>
          <cell r="W18">
            <v>0</v>
          </cell>
          <cell r="X18">
            <v>0</v>
          </cell>
          <cell r="Y18">
            <v>0</v>
          </cell>
          <cell r="Z18">
            <v>385173.00401790114</v>
          </cell>
          <cell r="AA18">
            <v>5475.768</v>
          </cell>
          <cell r="AB18">
            <v>23534.010555555556</v>
          </cell>
          <cell r="AC18">
            <v>57914.855000000003</v>
          </cell>
          <cell r="AD18">
            <v>35400.856666666667</v>
          </cell>
          <cell r="AE18">
            <v>116849.72222222222</v>
          </cell>
          <cell r="AF18">
            <v>3295.3759999999997</v>
          </cell>
          <cell r="AG18">
            <v>5669.0560000000005</v>
          </cell>
          <cell r="AH18">
            <v>8242.3469999999998</v>
          </cell>
          <cell r="AI18">
            <v>8489.6080000000002</v>
          </cell>
          <cell r="AJ18">
            <v>1312.8920000000001</v>
          </cell>
          <cell r="AK18">
            <v>0</v>
          </cell>
          <cell r="AL18">
            <v>27009.279000000002</v>
          </cell>
          <cell r="AM18">
            <v>3687.22</v>
          </cell>
          <cell r="AN18">
            <v>899.51400000000001</v>
          </cell>
          <cell r="AO18">
            <v>353.67200000000003</v>
          </cell>
          <cell r="AP18">
            <v>241.20500000000001</v>
          </cell>
          <cell r="AQ18">
            <v>18257.885000000002</v>
          </cell>
          <cell r="AR18">
            <v>855.83600000000001</v>
          </cell>
          <cell r="AS18">
            <v>0</v>
          </cell>
          <cell r="AT18">
            <v>17716.909</v>
          </cell>
          <cell r="AU18">
            <v>42012.240999999995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506968.59224012331</v>
          </cell>
          <cell r="F19">
            <v>27341.312666666665</v>
          </cell>
          <cell r="G19">
            <v>33481.277906133342</v>
          </cell>
          <cell r="H19">
            <v>19738.638333333332</v>
          </cell>
          <cell r="I19">
            <v>17339.591444444446</v>
          </cell>
          <cell r="J19">
            <v>45954.742777777778</v>
          </cell>
          <cell r="K19">
            <v>27413.548777777778</v>
          </cell>
          <cell r="L19">
            <v>12499.711000000001</v>
          </cell>
          <cell r="M19">
            <v>24379.129999999997</v>
          </cell>
          <cell r="N19">
            <v>11016.697666666667</v>
          </cell>
          <cell r="O19">
            <v>30652.649222222219</v>
          </cell>
          <cell r="P19">
            <v>15103.07021424867</v>
          </cell>
          <cell r="Q19">
            <v>14335.657055282729</v>
          </cell>
          <cell r="R19">
            <v>35213.732444444438</v>
          </cell>
          <cell r="S19">
            <v>20440.939333333332</v>
          </cell>
          <cell r="T19">
            <v>11023.751777777778</v>
          </cell>
          <cell r="U19">
            <v>5582.5711111111104</v>
          </cell>
          <cell r="V19">
            <v>11592.569286680762</v>
          </cell>
          <cell r="W19">
            <v>0</v>
          </cell>
          <cell r="X19">
            <v>0</v>
          </cell>
          <cell r="Y19">
            <v>0</v>
          </cell>
          <cell r="Z19">
            <v>363109.59101790114</v>
          </cell>
          <cell r="AA19">
            <v>0</v>
          </cell>
          <cell r="AB19">
            <v>23534.010555555556</v>
          </cell>
          <cell r="AC19">
            <v>57914.855000000003</v>
          </cell>
          <cell r="AD19">
            <v>35400.856666666667</v>
          </cell>
          <cell r="AE19">
            <v>116849.72222222222</v>
          </cell>
          <cell r="AF19">
            <v>3295.3759999999997</v>
          </cell>
          <cell r="AG19">
            <v>5669.0560000000005</v>
          </cell>
          <cell r="AH19">
            <v>8242.3469999999998</v>
          </cell>
          <cell r="AI19">
            <v>8489.6080000000002</v>
          </cell>
          <cell r="AJ19">
            <v>1312.8920000000001</v>
          </cell>
          <cell r="AK19">
            <v>0</v>
          </cell>
          <cell r="AL19">
            <v>27009.279000000002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69551.421999999991</v>
          </cell>
          <cell r="F20">
            <v>2327.6220000000003</v>
          </cell>
          <cell r="G20">
            <v>1945.135</v>
          </cell>
          <cell r="H20">
            <v>1771.2469999999998</v>
          </cell>
          <cell r="I20">
            <v>1191.9880000000001</v>
          </cell>
          <cell r="J20">
            <v>1876.066</v>
          </cell>
          <cell r="K20">
            <v>1564.402</v>
          </cell>
          <cell r="L20">
            <v>1193.5990000000002</v>
          </cell>
          <cell r="M20">
            <v>1563.3050000000001</v>
          </cell>
          <cell r="N20">
            <v>750.03599999999994</v>
          </cell>
          <cell r="O20">
            <v>1218.7660000000001</v>
          </cell>
          <cell r="P20">
            <v>1205.3880000000001</v>
          </cell>
          <cell r="Q20">
            <v>1102.155</v>
          </cell>
          <cell r="R20">
            <v>1588.201</v>
          </cell>
          <cell r="S20">
            <v>1126.864</v>
          </cell>
          <cell r="T20">
            <v>442.86900000000003</v>
          </cell>
          <cell r="U20">
            <v>370.4</v>
          </cell>
          <cell r="V20">
            <v>825.37</v>
          </cell>
          <cell r="W20">
            <v>0</v>
          </cell>
          <cell r="X20">
            <v>0</v>
          </cell>
          <cell r="Y20">
            <v>0</v>
          </cell>
          <cell r="Z20">
            <v>22063.413</v>
          </cell>
          <cell r="AA20">
            <v>5475.768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3687.22</v>
          </cell>
          <cell r="AN20">
            <v>899.51400000000001</v>
          </cell>
          <cell r="AO20">
            <v>353.67200000000003</v>
          </cell>
          <cell r="AP20">
            <v>241.20500000000001</v>
          </cell>
          <cell r="AQ20">
            <v>18257.885000000002</v>
          </cell>
          <cell r="AR20">
            <v>855.83600000000001</v>
          </cell>
          <cell r="AS20">
            <v>0</v>
          </cell>
          <cell r="AT20">
            <v>17716.909</v>
          </cell>
          <cell r="AU20">
            <v>42012.240999999995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3551878.8776170746</v>
          </cell>
          <cell r="F21">
            <v>413709.69318204036</v>
          </cell>
          <cell r="G21">
            <v>185052.58558863663</v>
          </cell>
          <cell r="H21">
            <v>121372.25835771102</v>
          </cell>
          <cell r="I21">
            <v>109181.52581442014</v>
          </cell>
          <cell r="J21">
            <v>236955.71246335923</v>
          </cell>
          <cell r="K21">
            <v>210320.20589076664</v>
          </cell>
          <cell r="L21">
            <v>150406.06133195618</v>
          </cell>
          <cell r="M21">
            <v>180252.27454130456</v>
          </cell>
          <cell r="N21">
            <v>107582.56904258271</v>
          </cell>
          <cell r="O21">
            <v>133424.60077555475</v>
          </cell>
          <cell r="P21">
            <v>123742.0622812238</v>
          </cell>
          <cell r="Q21">
            <v>114982.17509375443</v>
          </cell>
          <cell r="R21">
            <v>367525.38730355934</v>
          </cell>
          <cell r="S21">
            <v>113793.7900009943</v>
          </cell>
          <cell r="T21">
            <v>219110.94975512708</v>
          </cell>
          <cell r="U21">
            <v>97265.945582292828</v>
          </cell>
          <cell r="V21">
            <v>146518.92148672539</v>
          </cell>
          <cell r="W21">
            <v>0</v>
          </cell>
          <cell r="X21">
            <v>0</v>
          </cell>
          <cell r="Y21">
            <v>0</v>
          </cell>
          <cell r="Z21">
            <v>3031196.7184920139</v>
          </cell>
          <cell r="AA21">
            <v>205191.81297911817</v>
          </cell>
          <cell r="AB21">
            <v>265579.6852775627</v>
          </cell>
          <cell r="AC21">
            <v>-196960.16500000001</v>
          </cell>
          <cell r="AD21">
            <v>252199.80920171944</v>
          </cell>
          <cell r="AE21">
            <v>320819.32947928202</v>
          </cell>
          <cell r="AF21">
            <v>9101.6239999999998</v>
          </cell>
          <cell r="AG21">
            <v>18743.944</v>
          </cell>
          <cell r="AH21">
            <v>20504.31966666667</v>
          </cell>
          <cell r="AI21">
            <v>59896.392</v>
          </cell>
          <cell r="AJ21">
            <v>4067.6080000000002</v>
          </cell>
          <cell r="AK21">
            <v>0</v>
          </cell>
          <cell r="AL21">
            <v>112313.88766666668</v>
          </cell>
          <cell r="AM21">
            <v>-4155.2199999999993</v>
          </cell>
          <cell r="AN21">
            <v>-1163.5140000000001</v>
          </cell>
          <cell r="AO21">
            <v>-569.67200000000003</v>
          </cell>
          <cell r="AP21">
            <v>-407.20500000000004</v>
          </cell>
          <cell r="AQ21">
            <v>-26208.885000000002</v>
          </cell>
          <cell r="AR21">
            <v>-855.83600000000001</v>
          </cell>
          <cell r="AS21">
            <v>-68335.63</v>
          </cell>
          <cell r="AT21">
            <v>-15946.909</v>
          </cell>
          <cell r="AU21">
            <v>-117642.871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1717519.6077543269</v>
          </cell>
          <cell r="F22">
            <v>231670.5710225603</v>
          </cell>
          <cell r="G22">
            <v>166183.5219190772</v>
          </cell>
          <cell r="H22">
            <v>118860.77417433099</v>
          </cell>
          <cell r="I22">
            <v>85492.346962606112</v>
          </cell>
          <cell r="J22">
            <v>129317.31022894048</v>
          </cell>
          <cell r="K22">
            <v>124909.50693500051</v>
          </cell>
          <cell r="L22">
            <v>82592.43324593344</v>
          </cell>
          <cell r="M22">
            <v>116641.35034265177</v>
          </cell>
          <cell r="N22">
            <v>64808.142585565525</v>
          </cell>
          <cell r="O22">
            <v>74330.488682667332</v>
          </cell>
          <cell r="P22">
            <v>69819.16379232466</v>
          </cell>
          <cell r="Q22">
            <v>75821.512981121137</v>
          </cell>
          <cell r="R22">
            <v>140361.22319003512</v>
          </cell>
          <cell r="S22">
            <v>58196.770952955805</v>
          </cell>
          <cell r="T22">
            <v>47909.898262390532</v>
          </cell>
          <cell r="U22">
            <v>30525.159218027053</v>
          </cell>
          <cell r="V22">
            <v>53468.522996850865</v>
          </cell>
          <cell r="W22">
            <v>0</v>
          </cell>
          <cell r="X22">
            <v>0</v>
          </cell>
          <cell r="Y22">
            <v>0</v>
          </cell>
          <cell r="Z22">
            <v>1670908.6974930386</v>
          </cell>
          <cell r="AA22">
            <v>0</v>
          </cell>
          <cell r="AB22">
            <v>26756.018990732387</v>
          </cell>
          <cell r="AC22">
            <v>0</v>
          </cell>
          <cell r="AD22">
            <v>19854.891270555858</v>
          </cell>
          <cell r="AE22">
            <v>46610.910261288242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291071.18333333335</v>
          </cell>
          <cell r="F23">
            <v>33739.658412609926</v>
          </cell>
          <cell r="G23">
            <v>24202.363030426193</v>
          </cell>
          <cell r="H23">
            <v>17310.450358883805</v>
          </cell>
          <cell r="I23">
            <v>12450.794119766582</v>
          </cell>
          <cell r="J23">
            <v>20613.504482538534</v>
          </cell>
          <cell r="K23">
            <v>19910.889551892957</v>
          </cell>
          <cell r="L23">
            <v>13165.441578739237</v>
          </cell>
          <cell r="M23">
            <v>18592.924596722027</v>
          </cell>
          <cell r="N23">
            <v>10330.580920121703</v>
          </cell>
          <cell r="O23">
            <v>11848.466836627282</v>
          </cell>
          <cell r="P23">
            <v>11129.350303159092</v>
          </cell>
          <cell r="Q23">
            <v>12086.139859715517</v>
          </cell>
          <cell r="R23">
            <v>16598.830791081589</v>
          </cell>
          <cell r="S23">
            <v>6882.2309444224493</v>
          </cell>
          <cell r="T23">
            <v>5665.726447814347</v>
          </cell>
          <cell r="U23">
            <v>3609.8428128177438</v>
          </cell>
          <cell r="V23">
            <v>6323.0780247061211</v>
          </cell>
          <cell r="W23">
            <v>0</v>
          </cell>
          <cell r="X23">
            <v>0</v>
          </cell>
          <cell r="Y23">
            <v>0</v>
          </cell>
          <cell r="Z23">
            <v>244460.27307204512</v>
          </cell>
          <cell r="AA23">
            <v>0</v>
          </cell>
          <cell r="AB23">
            <v>26756.018990732387</v>
          </cell>
          <cell r="AC23">
            <v>0</v>
          </cell>
          <cell r="AD23">
            <v>19854.891270555858</v>
          </cell>
          <cell r="AE23">
            <v>46610.910261288242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382999.67833333329</v>
          </cell>
          <cell r="F24">
            <v>53144.210869457085</v>
          </cell>
          <cell r="G24">
            <v>38121.769601182721</v>
          </cell>
          <cell r="H24">
            <v>27266.139237911371</v>
          </cell>
          <cell r="I24">
            <v>19611.568679834978</v>
          </cell>
          <cell r="J24">
            <v>29186.840492589457</v>
          </cell>
          <cell r="K24">
            <v>28192.001894143687</v>
          </cell>
          <cell r="L24">
            <v>18641.06337176522</v>
          </cell>
          <cell r="M24">
            <v>26325.88383770248</v>
          </cell>
          <cell r="N24">
            <v>14627.159480174359</v>
          </cell>
          <cell r="O24">
            <v>16776.347366616679</v>
          </cell>
          <cell r="P24">
            <v>15758.144005043721</v>
          </cell>
          <cell r="Q24">
            <v>17112.870669587504</v>
          </cell>
          <cell r="R24">
            <v>33230.052813022936</v>
          </cell>
          <cell r="S24">
            <v>13777.891987275127</v>
          </cell>
          <cell r="T24">
            <v>11342.509087216476</v>
          </cell>
          <cell r="U24">
            <v>7226.7299321525607</v>
          </cell>
          <cell r="V24">
            <v>12658.495007656973</v>
          </cell>
          <cell r="W24">
            <v>0</v>
          </cell>
          <cell r="X24">
            <v>0</v>
          </cell>
          <cell r="Y24">
            <v>0</v>
          </cell>
          <cell r="Z24">
            <v>382999.67833333329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1043448.7460876603</v>
          </cell>
          <cell r="F25">
            <v>144786.7017404933</v>
          </cell>
          <cell r="G25">
            <v>103859.38928746829</v>
          </cell>
          <cell r="H25">
            <v>74284.184577535809</v>
          </cell>
          <cell r="I25">
            <v>53429.984163004556</v>
          </cell>
          <cell r="J25">
            <v>79516.965253812479</v>
          </cell>
          <cell r="K25">
            <v>76806.615488963856</v>
          </cell>
          <cell r="L25">
            <v>50785.928295428988</v>
          </cell>
          <cell r="M25">
            <v>71722.541908227256</v>
          </cell>
          <cell r="N25">
            <v>39850.402185269464</v>
          </cell>
          <cell r="O25">
            <v>45705.674479423375</v>
          </cell>
          <cell r="P25">
            <v>42931.669484121856</v>
          </cell>
          <cell r="Q25">
            <v>46622.502451818116</v>
          </cell>
          <cell r="R25">
            <v>90532.339585930589</v>
          </cell>
          <cell r="S25">
            <v>37536.648021258232</v>
          </cell>
          <cell r="T25">
            <v>30901.662727359711</v>
          </cell>
          <cell r="U25">
            <v>19688.586473056748</v>
          </cell>
          <cell r="V25">
            <v>34486.949964487772</v>
          </cell>
          <cell r="W25">
            <v>0</v>
          </cell>
          <cell r="X25">
            <v>0</v>
          </cell>
          <cell r="Y25">
            <v>0</v>
          </cell>
          <cell r="Z25">
            <v>1043448.7460876603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1834359.2698627478</v>
          </cell>
          <cell r="F26">
            <v>182039.12215948006</v>
          </cell>
          <cell r="G26">
            <v>18869.063669559429</v>
          </cell>
          <cell r="H26">
            <v>2511.484183380031</v>
          </cell>
          <cell r="I26">
            <v>23689.178851814024</v>
          </cell>
          <cell r="J26">
            <v>107638.40223441875</v>
          </cell>
          <cell r="K26">
            <v>85410.698955766129</v>
          </cell>
          <cell r="L26">
            <v>67813.628086022742</v>
          </cell>
          <cell r="M26">
            <v>63610.924198652792</v>
          </cell>
          <cell r="N26">
            <v>42774.42645701718</v>
          </cell>
          <cell r="O26">
            <v>59094.112092887415</v>
          </cell>
          <cell r="P26">
            <v>53922.89848889914</v>
          </cell>
          <cell r="Q26">
            <v>39160.66211263329</v>
          </cell>
          <cell r="R26">
            <v>227164.16411352422</v>
          </cell>
          <cell r="S26">
            <v>55597.019048038492</v>
          </cell>
          <cell r="T26">
            <v>171201.05149273656</v>
          </cell>
          <cell r="U26">
            <v>66740.786364265776</v>
          </cell>
          <cell r="V26">
            <v>93050.398489874526</v>
          </cell>
          <cell r="W26">
            <v>0</v>
          </cell>
          <cell r="X26">
            <v>0</v>
          </cell>
          <cell r="Y26">
            <v>0</v>
          </cell>
          <cell r="Z26">
            <v>1360288.0209989753</v>
          </cell>
          <cell r="AA26">
            <v>205191.81297911817</v>
          </cell>
          <cell r="AB26">
            <v>238823.66628683032</v>
          </cell>
          <cell r="AC26">
            <v>-196960.16500000001</v>
          </cell>
          <cell r="AD26">
            <v>232344.9179311636</v>
          </cell>
          <cell r="AE26">
            <v>274208.4192179938</v>
          </cell>
          <cell r="AF26">
            <v>9101.6239999999998</v>
          </cell>
          <cell r="AG26">
            <v>18743.944</v>
          </cell>
          <cell r="AH26">
            <v>20504.31966666667</v>
          </cell>
          <cell r="AI26">
            <v>59896.392</v>
          </cell>
          <cell r="AJ26">
            <v>4067.6080000000002</v>
          </cell>
          <cell r="AK26">
            <v>0</v>
          </cell>
          <cell r="AL26">
            <v>112313.88766666668</v>
          </cell>
          <cell r="AM26">
            <v>-4155.2199999999993</v>
          </cell>
          <cell r="AN26">
            <v>-1163.5140000000001</v>
          </cell>
          <cell r="AO26">
            <v>-569.67200000000003</v>
          </cell>
          <cell r="AP26">
            <v>-407.20500000000004</v>
          </cell>
          <cell r="AQ26">
            <v>-26208.885000000002</v>
          </cell>
          <cell r="AR26">
            <v>-855.83600000000001</v>
          </cell>
          <cell r="AS26">
            <v>-68335.63</v>
          </cell>
          <cell r="AT26">
            <v>-15946.909</v>
          </cell>
          <cell r="AU26">
            <v>-117642.871</v>
          </cell>
          <cell r="AV26"/>
          <cell r="AW26"/>
          <cell r="AX26"/>
          <cell r="AY26"/>
          <cell r="AZ26"/>
        </row>
        <row r="27">
          <cell r="E27">
            <v>1834359.2698627494</v>
          </cell>
          <cell r="F27">
            <v>182039.12215948006</v>
          </cell>
          <cell r="G27">
            <v>18869.063669559429</v>
          </cell>
          <cell r="H27">
            <v>2511.4841833800456</v>
          </cell>
          <cell r="I27">
            <v>23689.178851814038</v>
          </cell>
          <cell r="J27">
            <v>107638.40223441875</v>
          </cell>
          <cell r="K27">
            <v>85410.698955766129</v>
          </cell>
          <cell r="L27">
            <v>67813.628086022713</v>
          </cell>
          <cell r="M27">
            <v>63610.924198652821</v>
          </cell>
          <cell r="N27">
            <v>42774.42645701718</v>
          </cell>
          <cell r="O27">
            <v>59094.112092887415</v>
          </cell>
          <cell r="P27">
            <v>53922.898488899169</v>
          </cell>
          <cell r="Q27">
            <v>39160.66211263329</v>
          </cell>
          <cell r="R27">
            <v>227164.16411352422</v>
          </cell>
          <cell r="S27">
            <v>55597.019048038492</v>
          </cell>
          <cell r="T27">
            <v>171201.05149273656</v>
          </cell>
          <cell r="U27">
            <v>66740.786364265776</v>
          </cell>
          <cell r="V27">
            <v>93050.398489874526</v>
          </cell>
          <cell r="W27">
            <v>0</v>
          </cell>
          <cell r="X27">
            <v>0</v>
          </cell>
          <cell r="Y27">
            <v>0</v>
          </cell>
          <cell r="Z27">
            <v>1360288.0209989704</v>
          </cell>
          <cell r="AA27">
            <v>205191.8129791182</v>
          </cell>
          <cell r="AB27">
            <v>238823.66628683032</v>
          </cell>
          <cell r="AC27">
            <v>-196960.16500000001</v>
          </cell>
          <cell r="AD27">
            <v>232344.9179311636</v>
          </cell>
          <cell r="AE27">
            <v>274208.41921799391</v>
          </cell>
          <cell r="AF27">
            <v>9101.6239999999998</v>
          </cell>
          <cell r="AG27">
            <v>18743.944</v>
          </cell>
          <cell r="AH27">
            <v>20504.31966666667</v>
          </cell>
          <cell r="AI27">
            <v>59896.392</v>
          </cell>
          <cell r="AJ27">
            <v>4067.6080000000002</v>
          </cell>
          <cell r="AK27">
            <v>0</v>
          </cell>
          <cell r="AL27">
            <v>112313.88766666668</v>
          </cell>
          <cell r="AM27">
            <v>-4155.2199999999993</v>
          </cell>
          <cell r="AN27">
            <v>-1163.5140000000001</v>
          </cell>
          <cell r="AO27">
            <v>-569.67200000000003</v>
          </cell>
          <cell r="AP27">
            <v>-407.20500000000004</v>
          </cell>
          <cell r="AQ27">
            <v>-26208.885000000002</v>
          </cell>
          <cell r="AR27">
            <v>-855.83600000000001</v>
          </cell>
          <cell r="AS27">
            <v>-68335.63</v>
          </cell>
          <cell r="AT27">
            <v>-15946.909</v>
          </cell>
          <cell r="AU27">
            <v>-117642.871</v>
          </cell>
          <cell r="AV27"/>
          <cell r="AW27"/>
          <cell r="AX27"/>
          <cell r="AY27"/>
          <cell r="AZ27"/>
        </row>
        <row r="28">
          <cell r="E28">
            <v>0</v>
          </cell>
          <cell r="F28">
            <v>0</v>
          </cell>
          <cell r="G28">
            <v>0</v>
          </cell>
          <cell r="H28">
            <v>-1.4551915228366852E-11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4.8894435167312622E-9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391594.57302442158</v>
          </cell>
          <cell r="F30">
            <v>42000</v>
          </cell>
          <cell r="G30">
            <v>30000</v>
          </cell>
          <cell r="H30">
            <v>22000</v>
          </cell>
          <cell r="I30">
            <v>16000</v>
          </cell>
          <cell r="J30">
            <v>21000</v>
          </cell>
          <cell r="K30">
            <v>22000</v>
          </cell>
          <cell r="L30">
            <v>15000</v>
          </cell>
          <cell r="M30">
            <v>20000</v>
          </cell>
          <cell r="N30">
            <v>12000</v>
          </cell>
          <cell r="O30">
            <v>13000</v>
          </cell>
          <cell r="P30">
            <v>12500</v>
          </cell>
          <cell r="Q30">
            <v>13000</v>
          </cell>
          <cell r="R30">
            <v>25000</v>
          </cell>
          <cell r="S30">
            <v>11000</v>
          </cell>
          <cell r="T30">
            <v>8000</v>
          </cell>
          <cell r="U30">
            <v>5000</v>
          </cell>
          <cell r="V30">
            <v>8000</v>
          </cell>
          <cell r="W30">
            <v>0</v>
          </cell>
          <cell r="X30">
            <v>0</v>
          </cell>
          <cell r="Y30">
            <v>0</v>
          </cell>
          <cell r="Z30">
            <v>295500</v>
          </cell>
          <cell r="AA30">
            <v>11100</v>
          </cell>
          <cell r="AB30">
            <v>67048.244679569892</v>
          </cell>
          <cell r="AC30">
            <v>0.1</v>
          </cell>
          <cell r="AD30">
            <v>17946.228344851686</v>
          </cell>
          <cell r="AE30">
            <v>84994.573024421581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43688523.608556017</v>
          </cell>
          <cell r="F31">
            <v>4118150.03</v>
          </cell>
          <cell r="G31">
            <v>2954059.6060856991</v>
          </cell>
          <cell r="H31">
            <v>2112855.7613999997</v>
          </cell>
          <cell r="I31">
            <v>1519702.35</v>
          </cell>
          <cell r="J31">
            <v>2261691.08702</v>
          </cell>
          <cell r="K31">
            <v>2184600.9480000008</v>
          </cell>
          <cell r="L31">
            <v>1444497.8</v>
          </cell>
          <cell r="M31">
            <v>2039995.2796799999</v>
          </cell>
          <cell r="N31">
            <v>1133460</v>
          </cell>
          <cell r="O31">
            <v>1300000.7767700001</v>
          </cell>
          <cell r="P31">
            <v>1221100.0999999999</v>
          </cell>
          <cell r="Q31">
            <v>1326078</v>
          </cell>
          <cell r="R31">
            <v>2575000</v>
          </cell>
          <cell r="S31">
            <v>1067650.1800000002</v>
          </cell>
          <cell r="T31">
            <v>878932.12400000007</v>
          </cell>
          <cell r="U31">
            <v>560000</v>
          </cell>
          <cell r="V31">
            <v>980908</v>
          </cell>
          <cell r="W31">
            <v>0</v>
          </cell>
          <cell r="X31">
            <v>0</v>
          </cell>
          <cell r="Y31">
            <v>0</v>
          </cell>
          <cell r="Z31">
            <v>29678682.0429557</v>
          </cell>
          <cell r="AA31">
            <v>12145191.004931508</v>
          </cell>
          <cell r="AB31">
            <v>988548.37247311824</v>
          </cell>
          <cell r="AC31">
            <v>0</v>
          </cell>
          <cell r="AD31">
            <v>733574.02152903203</v>
          </cell>
          <cell r="AE31">
            <v>1722122.3940021503</v>
          </cell>
          <cell r="AF31">
            <v>12500</v>
          </cell>
          <cell r="AG31">
            <v>25000</v>
          </cell>
          <cell r="AH31">
            <v>29166.666666666668</v>
          </cell>
          <cell r="AI31">
            <v>68570</v>
          </cell>
          <cell r="AJ31">
            <v>5521.5</v>
          </cell>
          <cell r="AK31">
            <v>0</v>
          </cell>
          <cell r="AL31">
            <v>140758.16666666669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1770</v>
          </cell>
          <cell r="AU31">
            <v>1770</v>
          </cell>
        </row>
        <row r="32">
          <cell r="D32" t="str">
            <v>매출원가</v>
          </cell>
          <cell r="E32">
            <v>39275400.088938944</v>
          </cell>
          <cell r="F32">
            <v>3635564.8548179595</v>
          </cell>
          <cell r="G32">
            <v>2707262.5754970624</v>
          </cell>
          <cell r="H32">
            <v>1940514.9360422888</v>
          </cell>
          <cell r="I32">
            <v>1373424.5761855799</v>
          </cell>
          <cell r="J32">
            <v>1977708.8685566408</v>
          </cell>
          <cell r="K32">
            <v>1925243.2001092341</v>
          </cell>
          <cell r="L32">
            <v>1255588.4696680438</v>
          </cell>
          <cell r="M32">
            <v>1809150.3701386952</v>
          </cell>
          <cell r="N32">
            <v>997967.09495741734</v>
          </cell>
          <cell r="O32">
            <v>1129456.9399944453</v>
          </cell>
          <cell r="P32">
            <v>1059692.3797187761</v>
          </cell>
          <cell r="Q32">
            <v>1174281.9599062456</v>
          </cell>
          <cell r="R32">
            <v>2161277.7716964409</v>
          </cell>
          <cell r="S32">
            <v>923811.71599900583</v>
          </cell>
          <cell r="T32">
            <v>648397.28524487303</v>
          </cell>
          <cell r="U32">
            <v>450879.43441770715</v>
          </cell>
          <cell r="V32">
            <v>818456.14851327462</v>
          </cell>
          <cell r="W32">
            <v>0</v>
          </cell>
          <cell r="X32">
            <v>0</v>
          </cell>
          <cell r="Y32">
            <v>0</v>
          </cell>
          <cell r="Z32">
            <v>25988678.581463687</v>
          </cell>
          <cell r="AA32">
            <v>11817136.843952389</v>
          </cell>
          <cell r="AB32">
            <v>722968.68719555554</v>
          </cell>
          <cell r="AC32">
            <v>196960.16500000001</v>
          </cell>
          <cell r="AD32">
            <v>481374.21232731262</v>
          </cell>
          <cell r="AE32">
            <v>1401303.0645228683</v>
          </cell>
          <cell r="AF32">
            <v>3398.3759999999997</v>
          </cell>
          <cell r="AG32">
            <v>6256.0560000000005</v>
          </cell>
          <cell r="AH32">
            <v>8662.3469999999998</v>
          </cell>
          <cell r="AI32">
            <v>8673.6080000000002</v>
          </cell>
          <cell r="AJ32">
            <v>1453.8920000000001</v>
          </cell>
          <cell r="AK32">
            <v>0</v>
          </cell>
          <cell r="AL32">
            <v>28444.279000000002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39837.32</v>
          </cell>
          <cell r="AT32">
            <v>0</v>
          </cell>
          <cell r="AU32">
            <v>39837.32</v>
          </cell>
        </row>
        <row r="33">
          <cell r="D33" t="str">
            <v>매출이익</v>
          </cell>
          <cell r="E33">
            <v>4413123.5196170798</v>
          </cell>
          <cell r="F33">
            <v>482585.17518204032</v>
          </cell>
          <cell r="G33">
            <v>246797.03058863664</v>
          </cell>
          <cell r="H33">
            <v>172340.82535771094</v>
          </cell>
          <cell r="I33">
            <v>146277.77381442022</v>
          </cell>
          <cell r="J33">
            <v>283982.21846335917</v>
          </cell>
          <cell r="K33">
            <v>259357.74789076671</v>
          </cell>
          <cell r="L33">
            <v>188909.33033195627</v>
          </cell>
          <cell r="M33">
            <v>230844.90954130469</v>
          </cell>
          <cell r="N33">
            <v>135492.90504258266</v>
          </cell>
          <cell r="O33">
            <v>170543.83677555481</v>
          </cell>
          <cell r="P33">
            <v>161407.72028122377</v>
          </cell>
          <cell r="Q33">
            <v>151796.04009375442</v>
          </cell>
          <cell r="R33">
            <v>413722.22830355912</v>
          </cell>
          <cell r="S33">
            <v>143838.46400099434</v>
          </cell>
          <cell r="T33">
            <v>230534.83875512704</v>
          </cell>
          <cell r="U33">
            <v>109120.56558229285</v>
          </cell>
          <cell r="V33">
            <v>162451.85148672538</v>
          </cell>
          <cell r="W33">
            <v>0</v>
          </cell>
          <cell r="X33">
            <v>0</v>
          </cell>
          <cell r="Y33">
            <v>0</v>
          </cell>
          <cell r="Z33">
            <v>3690003.4614920132</v>
          </cell>
          <cell r="AA33">
            <v>328054.1609791182</v>
          </cell>
          <cell r="AB33">
            <v>265579.6852775627</v>
          </cell>
          <cell r="AC33">
            <v>-196960.16500000001</v>
          </cell>
          <cell r="AD33">
            <v>252199.80920171941</v>
          </cell>
          <cell r="AE33">
            <v>320819.32947928202</v>
          </cell>
          <cell r="AF33">
            <v>9101.6239999999998</v>
          </cell>
          <cell r="AG33">
            <v>18743.944</v>
          </cell>
          <cell r="AH33">
            <v>20504.31966666667</v>
          </cell>
          <cell r="AI33">
            <v>59896.392</v>
          </cell>
          <cell r="AJ33">
            <v>4067.6080000000002</v>
          </cell>
          <cell r="AK33">
            <v>0</v>
          </cell>
          <cell r="AL33">
            <v>112313.88766666668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-39837.32</v>
          </cell>
          <cell r="AT33">
            <v>1770</v>
          </cell>
          <cell r="AU33">
            <v>-38067.32</v>
          </cell>
        </row>
        <row r="34">
          <cell r="D34" t="str">
            <v>판관비</v>
          </cell>
          <cell r="E34">
            <v>2578764.2497543273</v>
          </cell>
          <cell r="F34">
            <v>300546.05302256026</v>
          </cell>
          <cell r="G34">
            <v>227927.96691907721</v>
          </cell>
          <cell r="H34">
            <v>169829.341174331</v>
          </cell>
          <cell r="I34">
            <v>122588.5949626061</v>
          </cell>
          <cell r="J34">
            <v>176343.81622894047</v>
          </cell>
          <cell r="K34">
            <v>173947.04893500049</v>
          </cell>
          <cell r="L34">
            <v>121095.70224593344</v>
          </cell>
          <cell r="M34">
            <v>167233.98534265178</v>
          </cell>
          <cell r="N34">
            <v>92718.478585565521</v>
          </cell>
          <cell r="O34">
            <v>111449.72468266734</v>
          </cell>
          <cell r="P34">
            <v>107484.82179232467</v>
          </cell>
          <cell r="Q34">
            <v>112635.37798112113</v>
          </cell>
          <cell r="R34">
            <v>186558.0641900351</v>
          </cell>
          <cell r="S34">
            <v>88241.444952955804</v>
          </cell>
          <cell r="T34">
            <v>59333.787262390528</v>
          </cell>
          <cell r="U34">
            <v>42379.779218027055</v>
          </cell>
          <cell r="V34">
            <v>69401.452996850858</v>
          </cell>
          <cell r="W34">
            <v>0</v>
          </cell>
          <cell r="X34">
            <v>0</v>
          </cell>
          <cell r="Y34">
            <v>0</v>
          </cell>
          <cell r="Z34">
            <v>2329715.4404930389</v>
          </cell>
          <cell r="AA34">
            <v>122862.34800000001</v>
          </cell>
          <cell r="AB34">
            <v>26756.018990732387</v>
          </cell>
          <cell r="AC34">
            <v>0</v>
          </cell>
          <cell r="AD34">
            <v>19854.891270555858</v>
          </cell>
          <cell r="AE34">
            <v>46610.910261288242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4155.2199999999993</v>
          </cell>
          <cell r="AN34">
            <v>1163.5140000000001</v>
          </cell>
          <cell r="AO34">
            <v>569.67200000000003</v>
          </cell>
          <cell r="AP34">
            <v>407.20500000000004</v>
          </cell>
          <cell r="AQ34">
            <v>26208.885000000002</v>
          </cell>
          <cell r="AR34">
            <v>855.83600000000001</v>
          </cell>
          <cell r="AS34">
            <v>28498.31</v>
          </cell>
          <cell r="AT34">
            <v>17716.909</v>
          </cell>
          <cell r="AU34">
            <v>79575.550999999992</v>
          </cell>
        </row>
        <row r="35">
          <cell r="D35" t="str">
            <v>영업이익</v>
          </cell>
          <cell r="E35">
            <v>1834359.2698627529</v>
          </cell>
          <cell r="F35">
            <v>182039.12215948006</v>
          </cell>
          <cell r="G35">
            <v>18869.063669559429</v>
          </cell>
          <cell r="H35">
            <v>2511.4841833799437</v>
          </cell>
          <cell r="I35">
            <v>23689.178851814111</v>
          </cell>
          <cell r="J35">
            <v>107638.4022344187</v>
          </cell>
          <cell r="K35">
            <v>85410.698955766216</v>
          </cell>
          <cell r="L35">
            <v>67813.628086022829</v>
          </cell>
          <cell r="M35">
            <v>63610.924198652909</v>
          </cell>
          <cell r="N35">
            <v>42774.426457017136</v>
          </cell>
          <cell r="O35">
            <v>59094.112092887473</v>
          </cell>
          <cell r="P35">
            <v>53922.898488899096</v>
          </cell>
          <cell r="Q35">
            <v>39160.66211263329</v>
          </cell>
          <cell r="R35">
            <v>227164.16411352402</v>
          </cell>
          <cell r="S35">
            <v>55597.019048038535</v>
          </cell>
          <cell r="T35">
            <v>171201.0514927365</v>
          </cell>
          <cell r="U35">
            <v>66740.786364265805</v>
          </cell>
          <cell r="V35">
            <v>93050.398489874526</v>
          </cell>
          <cell r="W35">
            <v>0</v>
          </cell>
          <cell r="X35">
            <v>0</v>
          </cell>
          <cell r="Y35">
            <v>0</v>
          </cell>
          <cell r="Z35">
            <v>1360288.0209989743</v>
          </cell>
          <cell r="AA35">
            <v>205191.8129791182</v>
          </cell>
          <cell r="AB35">
            <v>238823.66628683032</v>
          </cell>
          <cell r="AC35">
            <v>-196960.16500000001</v>
          </cell>
          <cell r="AD35">
            <v>232344.91793116357</v>
          </cell>
          <cell r="AE35">
            <v>274208.4192179938</v>
          </cell>
          <cell r="AF35">
            <v>9101.6239999999998</v>
          </cell>
          <cell r="AG35">
            <v>18743.944</v>
          </cell>
          <cell r="AH35">
            <v>20504.31966666667</v>
          </cell>
          <cell r="AI35">
            <v>59896.392</v>
          </cell>
          <cell r="AJ35">
            <v>4067.6080000000002</v>
          </cell>
          <cell r="AK35">
            <v>0</v>
          </cell>
          <cell r="AL35">
            <v>112313.88766666668</v>
          </cell>
          <cell r="AM35">
            <v>-4155.2199999999993</v>
          </cell>
          <cell r="AN35">
            <v>-1163.5140000000001</v>
          </cell>
          <cell r="AO35">
            <v>-569.67200000000003</v>
          </cell>
          <cell r="AP35">
            <v>-407.20500000000004</v>
          </cell>
          <cell r="AQ35">
            <v>-26208.885000000002</v>
          </cell>
          <cell r="AR35">
            <v>-855.83600000000001</v>
          </cell>
          <cell r="AS35">
            <v>-68335.63</v>
          </cell>
          <cell r="AT35">
            <v>-15946.909</v>
          </cell>
          <cell r="AU35">
            <v>-117642.87099999998</v>
          </cell>
        </row>
      </sheetData>
      <sheetData sheetId="6">
        <row r="6">
          <cell r="D6" t="str">
            <v>구분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">
          <cell r="D6" t="str">
            <v>구분</v>
          </cell>
        </row>
      </sheetData>
      <sheetData sheetId="16">
        <row r="6">
          <cell r="D6" t="str">
            <v>구분</v>
          </cell>
          <cell r="E6" t="str">
            <v>합계</v>
          </cell>
          <cell r="F6" t="str">
            <v>안양</v>
          </cell>
          <cell r="G6" t="str">
            <v>인천</v>
          </cell>
          <cell r="H6" t="str">
            <v>파주</v>
          </cell>
          <cell r="I6" t="str">
            <v>김포</v>
          </cell>
          <cell r="J6" t="str">
            <v>부산</v>
          </cell>
          <cell r="K6" t="str">
            <v>서부산</v>
          </cell>
          <cell r="L6" t="str">
            <v>김해</v>
          </cell>
          <cell r="M6" t="str">
            <v>정관</v>
          </cell>
          <cell r="N6" t="str">
            <v>양산</v>
          </cell>
          <cell r="O6" t="str">
            <v>창원</v>
          </cell>
          <cell r="P6" t="str">
            <v>대구</v>
          </cell>
          <cell r="Q6" t="str">
            <v>울산</v>
          </cell>
          <cell r="R6" t="str">
            <v>아산</v>
          </cell>
          <cell r="S6" t="str">
            <v>전주</v>
          </cell>
          <cell r="T6" t="str">
            <v>군산</v>
          </cell>
          <cell r="U6" t="str">
            <v>원주</v>
          </cell>
          <cell r="V6" t="str">
            <v>제주</v>
          </cell>
          <cell r="W6"/>
          <cell r="X6"/>
          <cell r="Y6"/>
          <cell r="Z6" t="str">
            <v>레미콘 계</v>
          </cell>
          <cell r="AA6" t="str">
            <v>건자재</v>
          </cell>
          <cell r="AB6" t="str">
            <v>서부산크라샤</v>
          </cell>
          <cell r="AC6" t="str">
            <v>부산크라샤</v>
          </cell>
          <cell r="AD6" t="str">
            <v>부산모래장</v>
          </cell>
          <cell r="AE6" t="str">
            <v>골재계</v>
          </cell>
          <cell r="AF6" t="str">
            <v>강릉임대</v>
          </cell>
          <cell r="AG6" t="str">
            <v>속초임대</v>
          </cell>
          <cell r="AH6" t="str">
            <v>포항임대</v>
          </cell>
          <cell r="AI6" t="str">
            <v>부동산임대</v>
          </cell>
          <cell r="AJ6" t="str">
            <v>주유소임대</v>
          </cell>
          <cell r="AK6"/>
          <cell r="AL6" t="str">
            <v>임대 계</v>
          </cell>
          <cell r="AM6" t="str">
            <v>삼척</v>
          </cell>
          <cell r="AN6" t="str">
            <v>미로</v>
          </cell>
          <cell r="AO6" t="str">
            <v>양양</v>
          </cell>
          <cell r="AP6" t="str">
            <v>경포</v>
          </cell>
          <cell r="AQ6" t="str">
            <v>한스타워</v>
          </cell>
          <cell r="AR6" t="str">
            <v>부산시그마</v>
          </cell>
          <cell r="AS6" t="str">
            <v>임금인상</v>
          </cell>
          <cell r="AT6" t="str">
            <v>기타</v>
          </cell>
          <cell r="AU6" t="str">
            <v>기타 계</v>
          </cell>
          <cell r="AV6"/>
        </row>
        <row r="7">
          <cell r="D7" t="str">
            <v>물     량</v>
          </cell>
          <cell r="E7"/>
          <cell r="F7">
            <v>142000</v>
          </cell>
          <cell r="G7">
            <v>110000</v>
          </cell>
          <cell r="H7">
            <v>70000</v>
          </cell>
          <cell r="I7">
            <v>48000</v>
          </cell>
          <cell r="J7">
            <v>78000</v>
          </cell>
          <cell r="K7">
            <v>76000</v>
          </cell>
          <cell r="L7">
            <v>52000</v>
          </cell>
          <cell r="M7">
            <v>76000</v>
          </cell>
          <cell r="N7">
            <v>43000</v>
          </cell>
          <cell r="O7">
            <v>38000</v>
          </cell>
          <cell r="P7">
            <v>46000</v>
          </cell>
          <cell r="Q7">
            <v>42000</v>
          </cell>
          <cell r="R7">
            <v>79000</v>
          </cell>
          <cell r="S7">
            <v>35000</v>
          </cell>
          <cell r="T7">
            <v>25500</v>
          </cell>
          <cell r="U7">
            <v>13000</v>
          </cell>
          <cell r="V7">
            <v>29000</v>
          </cell>
          <cell r="W7">
            <v>0</v>
          </cell>
          <cell r="X7">
            <v>0</v>
          </cell>
          <cell r="Y7">
            <v>0</v>
          </cell>
          <cell r="Z7">
            <v>1002500</v>
          </cell>
          <cell r="AA7">
            <v>41300</v>
          </cell>
          <cell r="AB7">
            <v>212983.86222365592</v>
          </cell>
          <cell r="AC7">
            <v>46686.842166666662</v>
          </cell>
          <cell r="AD7">
            <v>68790.584415469901</v>
          </cell>
          <cell r="AE7">
            <v>328461.28880579246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/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/>
          <cell r="AV7"/>
          <cell r="AW7"/>
          <cell r="AX7"/>
          <cell r="AY7"/>
          <cell r="AZ7"/>
        </row>
        <row r="8">
          <cell r="D8" t="str">
            <v>매 출 액</v>
          </cell>
          <cell r="E8">
            <v>152792133.9884536</v>
          </cell>
          <cell r="F8">
            <v>13924713.573999999</v>
          </cell>
          <cell r="G8">
            <v>10761842.338980896</v>
          </cell>
          <cell r="H8">
            <v>6747205.4817999993</v>
          </cell>
          <cell r="I8">
            <v>4575451.4800000004</v>
          </cell>
          <cell r="J8">
            <v>8400596.3082400002</v>
          </cell>
          <cell r="K8">
            <v>7546816.6315800017</v>
          </cell>
          <cell r="L8">
            <v>5007600.1499999994</v>
          </cell>
          <cell r="M8">
            <v>7751983.42808</v>
          </cell>
          <cell r="N8">
            <v>4068584.25</v>
          </cell>
          <cell r="O8">
            <v>3800010.1299060006</v>
          </cell>
          <cell r="P8">
            <v>4487916.279933095</v>
          </cell>
          <cell r="Q8">
            <v>4276092</v>
          </cell>
          <cell r="R8">
            <v>8137000</v>
          </cell>
          <cell r="S8">
            <v>3394247.73</v>
          </cell>
          <cell r="T8">
            <v>2817915.0439999998</v>
          </cell>
          <cell r="U8">
            <v>1456000</v>
          </cell>
          <cell r="V8">
            <v>3560180.5</v>
          </cell>
          <cell r="W8">
            <v>0</v>
          </cell>
          <cell r="X8">
            <v>0</v>
          </cell>
          <cell r="Y8">
            <v>0</v>
          </cell>
          <cell r="Z8">
            <v>100714155.32651998</v>
          </cell>
          <cell r="AA8">
            <v>45208404.903013706</v>
          </cell>
          <cell r="AB8">
            <v>3121938.2644451614</v>
          </cell>
          <cell r="AC8">
            <v>834047.05611666664</v>
          </cell>
          <cell r="AD8">
            <v>2270955.7716914457</v>
          </cell>
          <cell r="AE8">
            <v>6226941.0922532734</v>
          </cell>
          <cell r="AF8">
            <v>50000</v>
          </cell>
          <cell r="AG8">
            <v>175000</v>
          </cell>
          <cell r="AH8">
            <v>114186.66666666667</v>
          </cell>
          <cell r="AI8">
            <v>274280</v>
          </cell>
          <cell r="AJ8">
            <v>22086</v>
          </cell>
          <cell r="AK8">
            <v>0</v>
          </cell>
          <cell r="AL8">
            <v>635552.66666666674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7080</v>
          </cell>
          <cell r="AU8">
            <v>7080</v>
          </cell>
          <cell r="AV8"/>
          <cell r="AW8"/>
          <cell r="AX8"/>
          <cell r="AY8"/>
          <cell r="AZ8"/>
        </row>
        <row r="9">
          <cell r="D9" t="str">
            <v xml:space="preserve"> - 단  위  당</v>
          </cell>
          <cell r="E9"/>
          <cell r="F9">
            <v>98061.363197183106</v>
          </cell>
          <cell r="G9">
            <v>97834.930354371798</v>
          </cell>
          <cell r="H9">
            <v>96388.649739999993</v>
          </cell>
          <cell r="I9">
            <v>95321.905833333352</v>
          </cell>
          <cell r="J9">
            <v>107699.95266974359</v>
          </cell>
          <cell r="K9">
            <v>99300.218836578963</v>
          </cell>
          <cell r="L9">
            <v>96300.002884615373</v>
          </cell>
          <cell r="M9">
            <v>101999.78194842106</v>
          </cell>
          <cell r="N9">
            <v>94618.238372093023</v>
          </cell>
          <cell r="O9">
            <v>100000.2665764737</v>
          </cell>
          <cell r="P9">
            <v>97563.397389849895</v>
          </cell>
          <cell r="Q9">
            <v>101811.71428571429</v>
          </cell>
          <cell r="R9">
            <v>103000</v>
          </cell>
          <cell r="S9">
            <v>96978.506571428574</v>
          </cell>
          <cell r="T9">
            <v>110506.47231372548</v>
          </cell>
          <cell r="U9">
            <v>112000</v>
          </cell>
          <cell r="V9">
            <v>122764.8448275862</v>
          </cell>
          <cell r="W9">
            <v>0</v>
          </cell>
          <cell r="X9">
            <v>0</v>
          </cell>
          <cell r="Y9">
            <v>0</v>
          </cell>
          <cell r="Z9">
            <v>100462.99783194013</v>
          </cell>
          <cell r="AA9">
            <v>1094634.5012836247</v>
          </cell>
          <cell r="AB9">
            <v>14658.09771618655</v>
          </cell>
          <cell r="AC9">
            <v>17864.713426948314</v>
          </cell>
          <cell r="AD9">
            <v>33012.595996796677</v>
          </cell>
          <cell r="AE9">
            <v>18957.914690321522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/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/>
          <cell r="AV9"/>
          <cell r="AW9"/>
          <cell r="AX9"/>
          <cell r="AY9"/>
          <cell r="AZ9"/>
        </row>
        <row r="10">
          <cell r="D10" t="str">
            <v>매출원가</v>
          </cell>
          <cell r="E10">
            <v>138282437.37229598</v>
          </cell>
          <cell r="F10">
            <v>12528407.671814</v>
          </cell>
          <cell r="G10">
            <v>10002497.582381604</v>
          </cell>
          <cell r="H10">
            <v>6270982.9004252655</v>
          </cell>
          <cell r="I10">
            <v>4171755.0963716023</v>
          </cell>
          <cell r="J10">
            <v>7319514.7281274283</v>
          </cell>
          <cell r="K10">
            <v>6663270.5482986365</v>
          </cell>
          <cell r="L10">
            <v>4409513.1076895483</v>
          </cell>
          <cell r="M10">
            <v>6829532.0148773724</v>
          </cell>
          <cell r="N10">
            <v>3623930.0275508007</v>
          </cell>
          <cell r="O10">
            <v>3366267.1264184779</v>
          </cell>
          <cell r="P10">
            <v>3933404.6128980014</v>
          </cell>
          <cell r="Q10">
            <v>3871476.0143962409</v>
          </cell>
          <cell r="R10">
            <v>6986974.7394056059</v>
          </cell>
          <cell r="S10">
            <v>2981350.0759702586</v>
          </cell>
          <cell r="T10">
            <v>2110827.9216763661</v>
          </cell>
          <cell r="U10">
            <v>1275841.4979681815</v>
          </cell>
          <cell r="V10">
            <v>2916189.6106655351</v>
          </cell>
          <cell r="W10">
            <v>0</v>
          </cell>
          <cell r="X10">
            <v>0</v>
          </cell>
          <cell r="Y10">
            <v>0</v>
          </cell>
          <cell r="Z10">
            <v>89261735.276934922</v>
          </cell>
          <cell r="AA10">
            <v>43987256.783206984</v>
          </cell>
          <cell r="AB10">
            <v>2284259.0790099995</v>
          </cell>
          <cell r="AC10">
            <v>1027659.8055653335</v>
          </cell>
          <cell r="AD10">
            <v>1636111.7875787434</v>
          </cell>
          <cell r="AE10">
            <v>4948030.6721540764</v>
          </cell>
          <cell r="AF10">
            <v>412</v>
          </cell>
          <cell r="AG10">
            <v>2348</v>
          </cell>
          <cell r="AH10">
            <v>1680</v>
          </cell>
          <cell r="AI10">
            <v>736</v>
          </cell>
          <cell r="AJ10">
            <v>564</v>
          </cell>
          <cell r="AK10">
            <v>0</v>
          </cell>
          <cell r="AL10">
            <v>5740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79674.64</v>
          </cell>
          <cell r="AT10">
            <v>0</v>
          </cell>
          <cell r="AU10">
            <v>79674.64</v>
          </cell>
          <cell r="AV10"/>
          <cell r="AW10"/>
          <cell r="AX10"/>
          <cell r="AY10"/>
          <cell r="AZ10"/>
        </row>
        <row r="11">
          <cell r="D11" t="str">
            <v xml:space="preserve"> - 단  위  당</v>
          </cell>
          <cell r="E11"/>
          <cell r="F11">
            <v>88228.22304094366</v>
          </cell>
          <cell r="G11">
            <v>90931.79620346913</v>
          </cell>
          <cell r="H11">
            <v>89585.470006075222</v>
          </cell>
          <cell r="I11">
            <v>86911.564507741714</v>
          </cell>
          <cell r="J11">
            <v>93839.932411890099</v>
          </cell>
          <cell r="K11">
            <v>87674.612477613642</v>
          </cell>
          <cell r="L11">
            <v>84798.328994029769</v>
          </cell>
          <cell r="M11">
            <v>89862.263353649643</v>
          </cell>
          <cell r="N11">
            <v>84277.442501181416</v>
          </cell>
          <cell r="O11">
            <v>88585.977011012568</v>
          </cell>
          <cell r="P11">
            <v>85508.795932565248</v>
          </cell>
          <cell r="Q11">
            <v>92178.000342767642</v>
          </cell>
          <cell r="R11">
            <v>88442.718220324125</v>
          </cell>
          <cell r="S11">
            <v>85181.430742007389</v>
          </cell>
          <cell r="T11">
            <v>82777.565555935929</v>
          </cell>
          <cell r="U11">
            <v>98141.653689860119</v>
          </cell>
          <cell r="V11">
            <v>100558.26243674259</v>
          </cell>
          <cell r="W11">
            <v>0</v>
          </cell>
          <cell r="X11">
            <v>0</v>
          </cell>
          <cell r="Y11">
            <v>0</v>
          </cell>
          <cell r="Z11">
            <v>89039.137433351541</v>
          </cell>
          <cell r="AA11">
            <v>1065066.7501987163</v>
          </cell>
          <cell r="AB11">
            <v>10725.0336018946</v>
          </cell>
          <cell r="AC11">
            <v>22011.76515423138</v>
          </cell>
          <cell r="AD11">
            <v>23783.949525668053</v>
          </cell>
          <cell r="AE11">
            <v>15064.273449525652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/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/>
          <cell r="AV11"/>
          <cell r="AW11"/>
          <cell r="AX11"/>
          <cell r="AY11"/>
          <cell r="AZ11"/>
        </row>
        <row r="12">
          <cell r="D12" t="str">
            <v>매출이익</v>
          </cell>
          <cell r="E12">
            <v>14509696.616157621</v>
          </cell>
          <cell r="F12">
            <v>1396305.9021859989</v>
          </cell>
          <cell r="G12">
            <v>759344.75659929216</v>
          </cell>
          <cell r="H12">
            <v>476222.58137473371</v>
          </cell>
          <cell r="I12">
            <v>403696.38362839818</v>
          </cell>
          <cell r="J12">
            <v>1081081.5801125718</v>
          </cell>
          <cell r="K12">
            <v>883546.08328136522</v>
          </cell>
          <cell r="L12">
            <v>598087.04231045116</v>
          </cell>
          <cell r="M12">
            <v>922451.41320262756</v>
          </cell>
          <cell r="N12">
            <v>444654.2224491993</v>
          </cell>
          <cell r="O12">
            <v>433743.00348752271</v>
          </cell>
          <cell r="P12">
            <v>554511.66703509353</v>
          </cell>
          <cell r="Q12">
            <v>404615.98560375907</v>
          </cell>
          <cell r="R12">
            <v>1150025.2605943941</v>
          </cell>
          <cell r="S12">
            <v>412897.65402974142</v>
          </cell>
          <cell r="T12">
            <v>707087.12232363364</v>
          </cell>
          <cell r="U12">
            <v>180158.5020318185</v>
          </cell>
          <cell r="V12">
            <v>643990.88933446491</v>
          </cell>
          <cell r="W12">
            <v>0</v>
          </cell>
          <cell r="X12">
            <v>0</v>
          </cell>
          <cell r="Y12">
            <v>0</v>
          </cell>
          <cell r="Z12">
            <v>11452420.049585059</v>
          </cell>
          <cell r="AA12">
            <v>1221148.1198067218</v>
          </cell>
          <cell r="AB12">
            <v>837679.18543516193</v>
          </cell>
          <cell r="AC12">
            <v>-193612.74944866681</v>
          </cell>
          <cell r="AD12">
            <v>634843.98411270231</v>
          </cell>
          <cell r="AE12">
            <v>1278910.420099197</v>
          </cell>
          <cell r="AF12">
            <v>49588</v>
          </cell>
          <cell r="AG12">
            <v>172652</v>
          </cell>
          <cell r="AH12">
            <v>112506.66666666667</v>
          </cell>
          <cell r="AI12">
            <v>273544</v>
          </cell>
          <cell r="AJ12">
            <v>21522</v>
          </cell>
          <cell r="AK12">
            <v>0</v>
          </cell>
          <cell r="AL12">
            <v>629812.66666666674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-79674.64</v>
          </cell>
          <cell r="AT12">
            <v>7080</v>
          </cell>
          <cell r="AU12">
            <v>-72594.64</v>
          </cell>
          <cell r="AV12"/>
          <cell r="AW12"/>
          <cell r="AX12"/>
          <cell r="AY12"/>
          <cell r="AZ12"/>
        </row>
        <row r="13">
          <cell r="D13" t="str">
            <v>판 관 비</v>
          </cell>
          <cell r="E13">
            <v>3208915.0200000005</v>
          </cell>
          <cell r="F13">
            <v>274285.05</v>
          </cell>
          <cell r="G13">
            <v>251166.25</v>
          </cell>
          <cell r="H13">
            <v>201310.3</v>
          </cell>
          <cell r="I13">
            <v>142103.82</v>
          </cell>
          <cell r="J13">
            <v>184424.3</v>
          </cell>
          <cell r="K13">
            <v>192647.49</v>
          </cell>
          <cell r="L13">
            <v>149941.26999999999</v>
          </cell>
          <cell r="M13">
            <v>199719.48</v>
          </cell>
          <cell r="N13">
            <v>111842.68</v>
          </cell>
          <cell r="O13">
            <v>145203.80000000002</v>
          </cell>
          <cell r="P13">
            <v>156116.46</v>
          </cell>
          <cell r="Q13">
            <v>144181.16</v>
          </cell>
          <cell r="R13">
            <v>180730.52000000002</v>
          </cell>
          <cell r="S13">
            <v>123552.44</v>
          </cell>
          <cell r="T13">
            <v>45640.159999999996</v>
          </cell>
          <cell r="U13">
            <v>49635.89</v>
          </cell>
          <cell r="V13">
            <v>62981.130000000005</v>
          </cell>
          <cell r="W13">
            <v>0</v>
          </cell>
          <cell r="X13">
            <v>0</v>
          </cell>
          <cell r="Y13">
            <v>0</v>
          </cell>
          <cell r="Z13">
            <v>2615482.2000000002</v>
          </cell>
          <cell r="AA13">
            <v>490176.2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6872</v>
          </cell>
          <cell r="AN13">
            <v>6056</v>
          </cell>
          <cell r="AO13">
            <v>864</v>
          </cell>
          <cell r="AP13">
            <v>664</v>
          </cell>
          <cell r="AQ13">
            <v>31804</v>
          </cell>
          <cell r="AR13">
            <v>0</v>
          </cell>
          <cell r="AS13">
            <v>56996.62</v>
          </cell>
          <cell r="AT13">
            <v>0</v>
          </cell>
          <cell r="AU13">
            <v>103256.62</v>
          </cell>
          <cell r="AV13"/>
          <cell r="AW13"/>
          <cell r="AX13"/>
          <cell r="AY13"/>
          <cell r="AZ13"/>
        </row>
        <row r="14">
          <cell r="D14" t="str">
            <v xml:space="preserve"> - 노   무   비</v>
          </cell>
          <cell r="E14">
            <v>2278742.1</v>
          </cell>
          <cell r="F14">
            <v>197516.13999999998</v>
          </cell>
          <cell r="G14">
            <v>172283.22</v>
          </cell>
          <cell r="H14">
            <v>148661</v>
          </cell>
          <cell r="I14">
            <v>104073.48000000001</v>
          </cell>
          <cell r="J14">
            <v>131941.78</v>
          </cell>
          <cell r="K14">
            <v>143371.47999999998</v>
          </cell>
          <cell r="L14">
            <v>110188.93999999999</v>
          </cell>
          <cell r="M14">
            <v>139591.80000000002</v>
          </cell>
          <cell r="N14">
            <v>81254.239999999991</v>
          </cell>
          <cell r="O14">
            <v>107516.90000000001</v>
          </cell>
          <cell r="P14">
            <v>108375.86</v>
          </cell>
          <cell r="Q14">
            <v>106466.5</v>
          </cell>
          <cell r="R14">
            <v>131042.86000000002</v>
          </cell>
          <cell r="S14">
            <v>88158.04</v>
          </cell>
          <cell r="T14">
            <v>29903.719999999998</v>
          </cell>
          <cell r="U14">
            <v>29390</v>
          </cell>
          <cell r="V14">
            <v>43228.12</v>
          </cell>
          <cell r="W14">
            <v>0</v>
          </cell>
          <cell r="X14">
            <v>0</v>
          </cell>
          <cell r="Y14">
            <v>0</v>
          </cell>
          <cell r="Z14">
            <v>1872964.08</v>
          </cell>
          <cell r="AA14">
            <v>353185.14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52592.880000000005</v>
          </cell>
          <cell r="AT14">
            <v>0</v>
          </cell>
          <cell r="AU14">
            <v>52592.880000000005</v>
          </cell>
          <cell r="AV14"/>
          <cell r="AW14"/>
          <cell r="AX14"/>
          <cell r="AY14"/>
          <cell r="AZ14"/>
        </row>
        <row r="15">
          <cell r="D15" t="str">
            <v xml:space="preserve"> - 경        비</v>
          </cell>
          <cell r="E15">
            <v>930172.92000000016</v>
          </cell>
          <cell r="F15">
            <v>76768.91</v>
          </cell>
          <cell r="G15">
            <v>78883.03</v>
          </cell>
          <cell r="H15">
            <v>52649.299999999996</v>
          </cell>
          <cell r="I15">
            <v>38030.339999999997</v>
          </cell>
          <cell r="J15">
            <v>52482.51999999999</v>
          </cell>
          <cell r="K15">
            <v>49276.01</v>
          </cell>
          <cell r="L15">
            <v>39752.33</v>
          </cell>
          <cell r="M15">
            <v>60127.679999999993</v>
          </cell>
          <cell r="N15">
            <v>30588.439999999995</v>
          </cell>
          <cell r="O15">
            <v>37686.9</v>
          </cell>
          <cell r="P15">
            <v>47740.6</v>
          </cell>
          <cell r="Q15">
            <v>37714.660000000003</v>
          </cell>
          <cell r="R15">
            <v>49687.66</v>
          </cell>
          <cell r="S15">
            <v>35394.400000000001</v>
          </cell>
          <cell r="T15">
            <v>15736.439999999999</v>
          </cell>
          <cell r="U15">
            <v>20245.89</v>
          </cell>
          <cell r="V15">
            <v>19753.009999999998</v>
          </cell>
          <cell r="W15">
            <v>0</v>
          </cell>
          <cell r="X15">
            <v>0</v>
          </cell>
          <cell r="Y15">
            <v>0</v>
          </cell>
          <cell r="Z15">
            <v>742518.12000000011</v>
          </cell>
          <cell r="AA15">
            <v>136991.06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6872</v>
          </cell>
          <cell r="AN15">
            <v>6056</v>
          </cell>
          <cell r="AO15">
            <v>864</v>
          </cell>
          <cell r="AP15">
            <v>664</v>
          </cell>
          <cell r="AQ15">
            <v>31804</v>
          </cell>
          <cell r="AR15">
            <v>0</v>
          </cell>
          <cell r="AS15">
            <v>4403.74</v>
          </cell>
          <cell r="AT15">
            <v>0</v>
          </cell>
          <cell r="AU15">
            <v>50663.74</v>
          </cell>
          <cell r="AV15"/>
          <cell r="AW15"/>
          <cell r="AX15"/>
          <cell r="AY15"/>
          <cell r="AZ15"/>
        </row>
        <row r="16">
          <cell r="D16" t="str">
            <v xml:space="preserve"> - 운   반   비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/>
          <cell r="AW16"/>
          <cell r="AX16"/>
          <cell r="AY16"/>
          <cell r="AZ16"/>
        </row>
        <row r="17">
          <cell r="D17" t="str">
            <v>EBITDA</v>
          </cell>
          <cell r="E17">
            <v>11300781.596157622</v>
          </cell>
          <cell r="F17">
            <v>1122020.8521859988</v>
          </cell>
          <cell r="G17">
            <v>508178.50659929216</v>
          </cell>
          <cell r="H17">
            <v>274912.28137473372</v>
          </cell>
          <cell r="I17">
            <v>261592.56362839817</v>
          </cell>
          <cell r="J17">
            <v>896657.28011257178</v>
          </cell>
          <cell r="K17">
            <v>690898.59328136523</v>
          </cell>
          <cell r="L17">
            <v>448145.77231045114</v>
          </cell>
          <cell r="M17">
            <v>722731.93320262758</v>
          </cell>
          <cell r="N17">
            <v>332811.5424491993</v>
          </cell>
          <cell r="O17">
            <v>288539.20348752267</v>
          </cell>
          <cell r="P17">
            <v>398395.20703509357</v>
          </cell>
          <cell r="Q17">
            <v>260434.82560375906</v>
          </cell>
          <cell r="R17">
            <v>969294.74059439404</v>
          </cell>
          <cell r="S17">
            <v>289345.21402974142</v>
          </cell>
          <cell r="T17">
            <v>661446.9623236336</v>
          </cell>
          <cell r="U17">
            <v>130522.6120318185</v>
          </cell>
          <cell r="V17">
            <v>581009.75933446491</v>
          </cell>
          <cell r="W17">
            <v>0</v>
          </cell>
          <cell r="X17">
            <v>0</v>
          </cell>
          <cell r="Y17">
            <v>0</v>
          </cell>
          <cell r="Z17">
            <v>8836937.84958506</v>
          </cell>
          <cell r="AA17">
            <v>730971.91980672185</v>
          </cell>
          <cell r="AB17">
            <v>837679.18543516193</v>
          </cell>
          <cell r="AC17">
            <v>-193612.74944866681</v>
          </cell>
          <cell r="AD17">
            <v>634843.98411270231</v>
          </cell>
          <cell r="AE17">
            <v>1278910.420099197</v>
          </cell>
          <cell r="AF17">
            <v>49588</v>
          </cell>
          <cell r="AG17">
            <v>172652</v>
          </cell>
          <cell r="AH17">
            <v>112506.66666666667</v>
          </cell>
          <cell r="AI17">
            <v>273544</v>
          </cell>
          <cell r="AJ17">
            <v>21522</v>
          </cell>
          <cell r="AK17">
            <v>0</v>
          </cell>
          <cell r="AL17">
            <v>629812.66666666674</v>
          </cell>
          <cell r="AM17">
            <v>-6872</v>
          </cell>
          <cell r="AN17">
            <v>-6056</v>
          </cell>
          <cell r="AO17">
            <v>-864</v>
          </cell>
          <cell r="AP17">
            <v>-664</v>
          </cell>
          <cell r="AQ17">
            <v>-31804</v>
          </cell>
          <cell r="AR17">
            <v>0</v>
          </cell>
          <cell r="AS17">
            <v>-136671.26</v>
          </cell>
          <cell r="AT17">
            <v>7080</v>
          </cell>
          <cell r="AU17">
            <v>-175851.26</v>
          </cell>
          <cell r="AV17"/>
          <cell r="AW17"/>
          <cell r="AX17"/>
          <cell r="AY17"/>
          <cell r="AZ17"/>
        </row>
        <row r="18">
          <cell r="D18" t="str">
            <v>감가상각비</v>
          </cell>
          <cell r="E18">
            <v>2174831.6886271597</v>
          </cell>
          <cell r="F18">
            <v>117942.76655555554</v>
          </cell>
          <cell r="G18">
            <v>141026.34606897781</v>
          </cell>
          <cell r="H18">
            <v>83055.075666666671</v>
          </cell>
          <cell r="I18">
            <v>73709.651111111132</v>
          </cell>
          <cell r="J18">
            <v>189717.27311111111</v>
          </cell>
          <cell r="K18">
            <v>87735.142555555562</v>
          </cell>
          <cell r="L18">
            <v>53409.726555555557</v>
          </cell>
          <cell r="M18">
            <v>100616.37933333332</v>
          </cell>
          <cell r="N18">
            <v>45483.121111111104</v>
          </cell>
          <cell r="O18">
            <v>126357.88311111111</v>
          </cell>
          <cell r="P18">
            <v>62718.4220792169</v>
          </cell>
          <cell r="Q18">
            <v>61060.192221130921</v>
          </cell>
          <cell r="R18">
            <v>135902.05966666664</v>
          </cell>
          <cell r="S18">
            <v>85611.4911111111</v>
          </cell>
          <cell r="T18">
            <v>44469.260888888886</v>
          </cell>
          <cell r="U18">
            <v>23811.88444444444</v>
          </cell>
          <cell r="V18">
            <v>49299.548924500828</v>
          </cell>
          <cell r="W18">
            <v>0</v>
          </cell>
          <cell r="X18">
            <v>0</v>
          </cell>
          <cell r="Y18">
            <v>0</v>
          </cell>
          <cell r="Z18">
            <v>1481926.2245160486</v>
          </cell>
          <cell r="AA18">
            <v>21903.072</v>
          </cell>
          <cell r="AB18">
            <v>82436.736666666664</v>
          </cell>
          <cell r="AC18">
            <v>230617.75333333336</v>
          </cell>
          <cell r="AD18">
            <v>139960.59011111109</v>
          </cell>
          <cell r="AE18">
            <v>453015.08011111105</v>
          </cell>
          <cell r="AF18">
            <v>12961.951999999999</v>
          </cell>
          <cell r="AG18">
            <v>22309.447000000004</v>
          </cell>
          <cell r="AH18">
            <v>30361.400999999998</v>
          </cell>
          <cell r="AI18">
            <v>21365.488000000001</v>
          </cell>
          <cell r="AJ18">
            <v>5251.5680000000002</v>
          </cell>
          <cell r="AK18">
            <v>0</v>
          </cell>
          <cell r="AL18">
            <v>92249.856</v>
          </cell>
          <cell r="AM18">
            <v>14748.88</v>
          </cell>
          <cell r="AN18">
            <v>3598.056</v>
          </cell>
          <cell r="AO18">
            <v>1414.6880000000001</v>
          </cell>
          <cell r="AP18">
            <v>964.82</v>
          </cell>
          <cell r="AQ18">
            <v>40675.853000000003</v>
          </cell>
          <cell r="AR18">
            <v>3423.3440000000001</v>
          </cell>
          <cell r="AS18">
            <v>0</v>
          </cell>
          <cell r="AT18">
            <v>60911.815000000002</v>
          </cell>
          <cell r="AU18">
            <v>125737.45600000001</v>
          </cell>
          <cell r="AV18"/>
          <cell r="AW18"/>
          <cell r="AX18"/>
          <cell r="AY18"/>
          <cell r="AZ18"/>
        </row>
        <row r="19">
          <cell r="D19" t="str">
            <v xml:space="preserve"> - 제        조</v>
          </cell>
          <cell r="E19">
            <v>1939406.2946271596</v>
          </cell>
          <cell r="F19">
            <v>108632.27855555555</v>
          </cell>
          <cell r="G19">
            <v>133245.80606897781</v>
          </cell>
          <cell r="H19">
            <v>76438.873666666666</v>
          </cell>
          <cell r="I19">
            <v>68941.699111111127</v>
          </cell>
          <cell r="J19">
            <v>182213.00911111111</v>
          </cell>
          <cell r="K19">
            <v>81477.534555555554</v>
          </cell>
          <cell r="L19">
            <v>48635.330555555556</v>
          </cell>
          <cell r="M19">
            <v>94363.159333333315</v>
          </cell>
          <cell r="N19">
            <v>42482.977111111104</v>
          </cell>
          <cell r="O19">
            <v>121482.81911111111</v>
          </cell>
          <cell r="P19">
            <v>57896.870079216897</v>
          </cell>
          <cell r="Q19">
            <v>56651.572221130918</v>
          </cell>
          <cell r="R19">
            <v>129549.25566666665</v>
          </cell>
          <cell r="S19">
            <v>81104.035111111094</v>
          </cell>
          <cell r="T19">
            <v>42697.784888888884</v>
          </cell>
          <cell r="U19">
            <v>22330.284444444442</v>
          </cell>
          <cell r="V19">
            <v>45998.068924500825</v>
          </cell>
          <cell r="W19">
            <v>0</v>
          </cell>
          <cell r="X19">
            <v>0</v>
          </cell>
          <cell r="Y19">
            <v>0</v>
          </cell>
          <cell r="Z19">
            <v>1394141.3585160486</v>
          </cell>
          <cell r="AA19">
            <v>0</v>
          </cell>
          <cell r="AB19">
            <v>82436.736666666664</v>
          </cell>
          <cell r="AC19">
            <v>230617.75333333336</v>
          </cell>
          <cell r="AD19">
            <v>139960.59011111109</v>
          </cell>
          <cell r="AE19">
            <v>453015.08011111105</v>
          </cell>
          <cell r="AF19">
            <v>12961.951999999999</v>
          </cell>
          <cell r="AG19">
            <v>22309.447000000004</v>
          </cell>
          <cell r="AH19">
            <v>30361.400999999998</v>
          </cell>
          <cell r="AI19">
            <v>21365.488000000001</v>
          </cell>
          <cell r="AJ19">
            <v>5251.5680000000002</v>
          </cell>
          <cell r="AK19">
            <v>0</v>
          </cell>
          <cell r="AL19">
            <v>92249.856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/>
          <cell r="AW19"/>
          <cell r="AX19"/>
          <cell r="AY19"/>
          <cell r="AZ19"/>
        </row>
        <row r="20">
          <cell r="D20" t="str">
            <v xml:space="preserve"> - 판        매</v>
          </cell>
          <cell r="E20">
            <v>235425.39400000003</v>
          </cell>
          <cell r="F20">
            <v>9310.4880000000012</v>
          </cell>
          <cell r="G20">
            <v>7780.54</v>
          </cell>
          <cell r="H20">
            <v>6616.2019999999993</v>
          </cell>
          <cell r="I20">
            <v>4767.9520000000002</v>
          </cell>
          <cell r="J20">
            <v>7504.2640000000001</v>
          </cell>
          <cell r="K20">
            <v>6257.6080000000002</v>
          </cell>
          <cell r="L20">
            <v>4774.3960000000006</v>
          </cell>
          <cell r="M20">
            <v>6253.22</v>
          </cell>
          <cell r="N20">
            <v>3000.1439999999998</v>
          </cell>
          <cell r="O20">
            <v>4875.0640000000003</v>
          </cell>
          <cell r="P20">
            <v>4821.5520000000006</v>
          </cell>
          <cell r="Q20">
            <v>4408.62</v>
          </cell>
          <cell r="R20">
            <v>6352.8040000000001</v>
          </cell>
          <cell r="S20">
            <v>4507.4560000000001</v>
          </cell>
          <cell r="T20">
            <v>1771.4760000000001</v>
          </cell>
          <cell r="U20">
            <v>1481.6</v>
          </cell>
          <cell r="V20">
            <v>3301.48</v>
          </cell>
          <cell r="W20">
            <v>0</v>
          </cell>
          <cell r="X20">
            <v>0</v>
          </cell>
          <cell r="Y20">
            <v>0</v>
          </cell>
          <cell r="Z20">
            <v>87784.866000000009</v>
          </cell>
          <cell r="AA20">
            <v>21903.072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14748.88</v>
          </cell>
          <cell r="AN20">
            <v>3598.056</v>
          </cell>
          <cell r="AO20">
            <v>1414.6880000000001</v>
          </cell>
          <cell r="AP20">
            <v>964.82</v>
          </cell>
          <cell r="AQ20">
            <v>40675.853000000003</v>
          </cell>
          <cell r="AR20">
            <v>3423.3440000000001</v>
          </cell>
          <cell r="AS20">
            <v>0</v>
          </cell>
          <cell r="AT20">
            <v>60911.815000000002</v>
          </cell>
          <cell r="AU20">
            <v>125737.45600000001</v>
          </cell>
          <cell r="AV20"/>
          <cell r="AW20"/>
          <cell r="AX20"/>
          <cell r="AY20"/>
          <cell r="AZ20"/>
        </row>
        <row r="21">
          <cell r="D21" t="str">
            <v>영업이익 I</v>
          </cell>
          <cell r="E21">
            <v>9125949.9075304624</v>
          </cell>
          <cell r="F21">
            <v>1004078.0856304433</v>
          </cell>
          <cell r="G21">
            <v>367152.16053031432</v>
          </cell>
          <cell r="H21">
            <v>191857.20570806705</v>
          </cell>
          <cell r="I21">
            <v>187882.91251728704</v>
          </cell>
          <cell r="J21">
            <v>706940.00700146065</v>
          </cell>
          <cell r="K21">
            <v>603163.45072580967</v>
          </cell>
          <cell r="L21">
            <v>394736.0457548956</v>
          </cell>
          <cell r="M21">
            <v>622115.55386929424</v>
          </cell>
          <cell r="N21">
            <v>287328.42133808823</v>
          </cell>
          <cell r="O21">
            <v>162181.32037641155</v>
          </cell>
          <cell r="P21">
            <v>335676.78495587665</v>
          </cell>
          <cell r="Q21">
            <v>199374.63338262815</v>
          </cell>
          <cell r="R21">
            <v>833392.68092772737</v>
          </cell>
          <cell r="S21">
            <v>203733.72291863032</v>
          </cell>
          <cell r="T21">
            <v>616977.70143474475</v>
          </cell>
          <cell r="U21">
            <v>106710.72758737406</v>
          </cell>
          <cell r="V21">
            <v>531710.21040996409</v>
          </cell>
          <cell r="W21">
            <v>0</v>
          </cell>
          <cell r="X21">
            <v>0</v>
          </cell>
          <cell r="Y21">
            <v>0</v>
          </cell>
          <cell r="Z21">
            <v>7355011.625069011</v>
          </cell>
          <cell r="AA21">
            <v>709068.84780672181</v>
          </cell>
          <cell r="AB21">
            <v>755242.44876849523</v>
          </cell>
          <cell r="AC21">
            <v>-424230.50278200017</v>
          </cell>
          <cell r="AD21">
            <v>494883.39400159125</v>
          </cell>
          <cell r="AE21">
            <v>825895.33998808591</v>
          </cell>
          <cell r="AF21">
            <v>36626.048000000003</v>
          </cell>
          <cell r="AG21">
            <v>150342.55299999999</v>
          </cell>
          <cell r="AH21">
            <v>82145.265666666673</v>
          </cell>
          <cell r="AI21">
            <v>252178.51199999999</v>
          </cell>
          <cell r="AJ21">
            <v>16270.432000000001</v>
          </cell>
          <cell r="AK21">
            <v>0</v>
          </cell>
          <cell r="AL21">
            <v>537562.81066666672</v>
          </cell>
          <cell r="AM21">
            <v>-21620.879999999997</v>
          </cell>
          <cell r="AN21">
            <v>-9654.0560000000005</v>
          </cell>
          <cell r="AO21">
            <v>-2278.6880000000001</v>
          </cell>
          <cell r="AP21">
            <v>-1628.8200000000002</v>
          </cell>
          <cell r="AQ21">
            <v>-72479.853000000003</v>
          </cell>
          <cell r="AR21">
            <v>-3423.3440000000001</v>
          </cell>
          <cell r="AS21">
            <v>-136671.26</v>
          </cell>
          <cell r="AT21">
            <v>-53831.815000000002</v>
          </cell>
          <cell r="AU21">
            <v>-301588.71600000001</v>
          </cell>
          <cell r="AV21"/>
          <cell r="AW21"/>
          <cell r="AX21"/>
          <cell r="AY21"/>
          <cell r="AZ21"/>
        </row>
        <row r="22">
          <cell r="D22" t="str">
            <v>공    통    비</v>
          </cell>
          <cell r="E22">
            <v>6243228.4132026369</v>
          </cell>
          <cell r="F22">
            <v>837465.36392666236</v>
          </cell>
          <cell r="G22">
            <v>651459.02547720238</v>
          </cell>
          <cell r="H22">
            <v>403693.19389265968</v>
          </cell>
          <cell r="I22">
            <v>265833.35837138118</v>
          </cell>
          <cell r="J22">
            <v>516076.98943091434</v>
          </cell>
          <cell r="K22">
            <v>459092.15781610343</v>
          </cell>
          <cell r="L22">
            <v>310228.25508247968</v>
          </cell>
          <cell r="M22">
            <v>480971.1975561768</v>
          </cell>
          <cell r="N22">
            <v>252072.03654856922</v>
          </cell>
          <cell r="O22">
            <v>230085.21634454536</v>
          </cell>
          <cell r="P22">
            <v>275611.32971518568</v>
          </cell>
          <cell r="Q22">
            <v>259422.17113961233</v>
          </cell>
          <cell r="R22">
            <v>460206.08942417882</v>
          </cell>
          <cell r="S22">
            <v>195895.17001698539</v>
          </cell>
          <cell r="T22">
            <v>162394.98986861453</v>
          </cell>
          <cell r="U22">
            <v>82200.943638337136</v>
          </cell>
          <cell r="V22">
            <v>210062.23637509177</v>
          </cell>
          <cell r="W22">
            <v>0</v>
          </cell>
          <cell r="X22">
            <v>0</v>
          </cell>
          <cell r="Y22">
            <v>0</v>
          </cell>
          <cell r="Z22">
            <v>6052769.7246247008</v>
          </cell>
          <cell r="AA22">
            <v>0</v>
          </cell>
          <cell r="AB22">
            <v>97421.476870928687</v>
          </cell>
          <cell r="AC22">
            <v>24682.367477170847</v>
          </cell>
          <cell r="AD22">
            <v>68354.844229836686</v>
          </cell>
          <cell r="AE22">
            <v>190458.68857793621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/>
          <cell r="AW22"/>
          <cell r="AX22"/>
          <cell r="AY22"/>
          <cell r="AZ22"/>
        </row>
        <row r="23">
          <cell r="D23" t="str">
            <v xml:space="preserve"> - 영업공통비</v>
          </cell>
          <cell r="E23">
            <v>1162062.4633333334</v>
          </cell>
          <cell r="F23">
            <v>132857.99416586949</v>
          </cell>
          <cell r="G23">
            <v>103510.84686949625</v>
          </cell>
          <cell r="H23">
            <v>63996.80709476531</v>
          </cell>
          <cell r="I23">
            <v>41875.051290962685</v>
          </cell>
          <cell r="J23">
            <v>90575.512320169684</v>
          </cell>
          <cell r="K23">
            <v>80568.209744839434</v>
          </cell>
          <cell r="L23">
            <v>54212.800122234643</v>
          </cell>
          <cell r="M23">
            <v>84292.932254010026</v>
          </cell>
          <cell r="N23">
            <v>44101.850630799832</v>
          </cell>
          <cell r="O23">
            <v>39960.560950622763</v>
          </cell>
          <cell r="P23">
            <v>48333.960193632505</v>
          </cell>
          <cell r="Q23">
            <v>45308.398836282504</v>
          </cell>
          <cell r="R23">
            <v>58789.678381909238</v>
          </cell>
          <cell r="S23">
            <v>25005.973789246138</v>
          </cell>
          <cell r="T23">
            <v>20718.391885275727</v>
          </cell>
          <cell r="U23">
            <v>10333.088842879553</v>
          </cell>
          <cell r="V23">
            <v>27161.717382401388</v>
          </cell>
          <cell r="W23">
            <v>0</v>
          </cell>
          <cell r="X23">
            <v>0</v>
          </cell>
          <cell r="Y23">
            <v>0</v>
          </cell>
          <cell r="Z23">
            <v>971603.77475539723</v>
          </cell>
          <cell r="AA23">
            <v>0</v>
          </cell>
          <cell r="AB23">
            <v>97421.476870928687</v>
          </cell>
          <cell r="AC23">
            <v>24682.367477170847</v>
          </cell>
          <cell r="AD23">
            <v>68354.844229836686</v>
          </cell>
          <cell r="AE23">
            <v>190458.68857793621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/>
          <cell r="AW23"/>
          <cell r="AX23"/>
          <cell r="AY23"/>
          <cell r="AZ23"/>
        </row>
        <row r="24">
          <cell r="D24" t="str">
            <v xml:space="preserve"> - 부문공통비</v>
          </cell>
          <cell r="E24">
            <v>1876777.4788888891</v>
          </cell>
          <cell r="F24">
            <v>260285.88202412543</v>
          </cell>
          <cell r="G24">
            <v>204117.97085097583</v>
          </cell>
          <cell r="H24">
            <v>124623.3859343966</v>
          </cell>
          <cell r="I24">
            <v>81138.315676061815</v>
          </cell>
          <cell r="J24">
            <v>158727.876400526</v>
          </cell>
          <cell r="K24">
            <v>140013.36658311315</v>
          </cell>
          <cell r="L24">
            <v>94985.193185069656</v>
          </cell>
          <cell r="M24">
            <v>148493.62112688561</v>
          </cell>
          <cell r="N24">
            <v>77422.853043753421</v>
          </cell>
          <cell r="O24">
            <v>68875.069949689409</v>
          </cell>
          <cell r="P24">
            <v>84682.960401886579</v>
          </cell>
          <cell r="Q24">
            <v>78527.807061264422</v>
          </cell>
          <cell r="R24">
            <v>146550.68107175297</v>
          </cell>
          <cell r="S24">
            <v>62614.903759156543</v>
          </cell>
          <cell r="T24">
            <v>51944.228911834784</v>
          </cell>
          <cell r="U24">
            <v>25542.933839860099</v>
          </cell>
          <cell r="V24">
            <v>68230.42906853673</v>
          </cell>
          <cell r="W24">
            <v>0</v>
          </cell>
          <cell r="X24">
            <v>0</v>
          </cell>
          <cell r="Y24">
            <v>0</v>
          </cell>
          <cell r="Z24">
            <v>1876777.4788888891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/>
          <cell r="AW24"/>
          <cell r="AX24"/>
          <cell r="AY24"/>
          <cell r="AZ24"/>
        </row>
        <row r="25">
          <cell r="D25" t="str">
            <v xml:space="preserve"> - 본사공통비</v>
          </cell>
          <cell r="E25">
            <v>3204388.4709804142</v>
          </cell>
          <cell r="F25">
            <v>444321.48773666739</v>
          </cell>
          <cell r="G25">
            <v>343830.2077567302</v>
          </cell>
          <cell r="H25">
            <v>215073.00086349776</v>
          </cell>
          <cell r="I25">
            <v>142819.9914043567</v>
          </cell>
          <cell r="J25">
            <v>266773.60071021866</v>
          </cell>
          <cell r="K25">
            <v>238510.58148815087</v>
          </cell>
          <cell r="L25">
            <v>161030.26177517537</v>
          </cell>
          <cell r="M25">
            <v>248184.64417528117</v>
          </cell>
          <cell r="N25">
            <v>130547.33287401596</v>
          </cell>
          <cell r="O25">
            <v>121249.58544423318</v>
          </cell>
          <cell r="P25">
            <v>142594.40911966661</v>
          </cell>
          <cell r="Q25">
            <v>135585.9652420654</v>
          </cell>
          <cell r="R25">
            <v>254865.72997051664</v>
          </cell>
          <cell r="S25">
            <v>108274.29246858272</v>
          </cell>
          <cell r="T25">
            <v>89732.369071504028</v>
          </cell>
          <cell r="U25">
            <v>46324.920955597489</v>
          </cell>
          <cell r="V25">
            <v>114670.08992415364</v>
          </cell>
          <cell r="W25">
            <v>0</v>
          </cell>
          <cell r="X25">
            <v>0</v>
          </cell>
          <cell r="Y25">
            <v>0</v>
          </cell>
          <cell r="Z25">
            <v>3204388.4709804142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/>
          <cell r="AW25"/>
          <cell r="AX25"/>
          <cell r="AY25"/>
          <cell r="AZ25"/>
        </row>
        <row r="26">
          <cell r="D26" t="str">
            <v>영업이익 II</v>
          </cell>
          <cell r="E26">
            <v>2882721.4943278255</v>
          </cell>
          <cell r="F26">
            <v>166612.72170378093</v>
          </cell>
          <cell r="G26">
            <v>-284306.86494688806</v>
          </cell>
          <cell r="H26">
            <v>-211835.98818459263</v>
          </cell>
          <cell r="I26">
            <v>-77950.445854094141</v>
          </cell>
          <cell r="J26">
            <v>190863.0175705463</v>
          </cell>
          <cell r="K26">
            <v>144071.29290970624</v>
          </cell>
          <cell r="L26">
            <v>84507.790672415926</v>
          </cell>
          <cell r="M26">
            <v>141144.35631311743</v>
          </cell>
          <cell r="N26">
            <v>35256.384789519012</v>
          </cell>
          <cell r="O26">
            <v>-67903.895968133816</v>
          </cell>
          <cell r="P26">
            <v>60065.455240690964</v>
          </cell>
          <cell r="Q26">
            <v>-60047.53775698418</v>
          </cell>
          <cell r="R26">
            <v>373186.59150354855</v>
          </cell>
          <cell r="S26">
            <v>7838.5529016449291</v>
          </cell>
          <cell r="T26">
            <v>454582.71156613022</v>
          </cell>
          <cell r="U26">
            <v>24509.783949036922</v>
          </cell>
          <cell r="V26">
            <v>321647.97403487231</v>
          </cell>
          <cell r="W26">
            <v>0</v>
          </cell>
          <cell r="X26">
            <v>0</v>
          </cell>
          <cell r="Y26">
            <v>0</v>
          </cell>
          <cell r="Z26">
            <v>1302241.9004443102</v>
          </cell>
          <cell r="AA26">
            <v>709068.84780672181</v>
          </cell>
          <cell r="AB26">
            <v>657820.97189756657</v>
          </cell>
          <cell r="AC26">
            <v>-448912.870259171</v>
          </cell>
          <cell r="AD26">
            <v>426528.54977175454</v>
          </cell>
          <cell r="AE26">
            <v>635436.65141014964</v>
          </cell>
          <cell r="AF26">
            <v>36626.048000000003</v>
          </cell>
          <cell r="AG26">
            <v>150342.55299999999</v>
          </cell>
          <cell r="AH26">
            <v>82145.265666666673</v>
          </cell>
          <cell r="AI26">
            <v>252178.51199999999</v>
          </cell>
          <cell r="AJ26">
            <v>16270.432000000001</v>
          </cell>
          <cell r="AK26">
            <v>0</v>
          </cell>
          <cell r="AL26">
            <v>537562.81066666672</v>
          </cell>
          <cell r="AM26">
            <v>-21620.879999999997</v>
          </cell>
          <cell r="AN26">
            <v>-9654.0560000000005</v>
          </cell>
          <cell r="AO26">
            <v>-2278.6880000000001</v>
          </cell>
          <cell r="AP26">
            <v>-1628.8200000000002</v>
          </cell>
          <cell r="AQ26">
            <v>-72479.853000000003</v>
          </cell>
          <cell r="AR26">
            <v>-3423.3440000000001</v>
          </cell>
          <cell r="AS26">
            <v>-136671.26</v>
          </cell>
          <cell r="AT26">
            <v>-53831.815000000002</v>
          </cell>
          <cell r="AU26">
            <v>-301588.71600000001</v>
          </cell>
          <cell r="AV26"/>
          <cell r="AW26"/>
          <cell r="AX26"/>
          <cell r="AY26"/>
          <cell r="AZ26"/>
        </row>
        <row r="27">
          <cell r="E27" t="e">
            <v>#REF!</v>
          </cell>
          <cell r="F27">
            <v>166612.72170378052</v>
          </cell>
          <cell r="G27">
            <v>-284306.86494688841</v>
          </cell>
          <cell r="H27">
            <v>-211835.9881845917</v>
          </cell>
          <cell r="I27">
            <v>-77950.445854094709</v>
          </cell>
          <cell r="J27">
            <v>190863.01757054677</v>
          </cell>
          <cell r="K27">
            <v>144071.29290970642</v>
          </cell>
          <cell r="L27">
            <v>84507.79067241642</v>
          </cell>
          <cell r="M27">
            <v>141144.35631311859</v>
          </cell>
          <cell r="N27">
            <v>35256.384789518765</v>
          </cell>
          <cell r="O27">
            <v>-67903.895968134544</v>
          </cell>
          <cell r="P27">
            <v>60065.455240691423</v>
          </cell>
          <cell r="Q27">
            <v>-60047.537756984646</v>
          </cell>
          <cell r="R27">
            <v>373186.59150354855</v>
          </cell>
          <cell r="S27">
            <v>7838.5529016449436</v>
          </cell>
          <cell r="T27">
            <v>454582.71156613046</v>
          </cell>
          <cell r="U27">
            <v>24509.783949036733</v>
          </cell>
          <cell r="V27">
            <v>321647.97403487243</v>
          </cell>
          <cell r="W27">
            <v>0</v>
          </cell>
          <cell r="X27">
            <v>0</v>
          </cell>
          <cell r="Y27">
            <v>0</v>
          </cell>
          <cell r="Z27">
            <v>1302241.9004443181</v>
          </cell>
          <cell r="AA27">
            <v>709068.84780671436</v>
          </cell>
          <cell r="AB27">
            <v>657820.97189756599</v>
          </cell>
          <cell r="AC27">
            <v>-448912.87025917089</v>
          </cell>
          <cell r="AD27">
            <v>426528.54977175465</v>
          </cell>
          <cell r="AE27">
            <v>635436.65141014976</v>
          </cell>
          <cell r="AF27">
            <v>36626.047999999995</v>
          </cell>
          <cell r="AG27">
            <v>150342.55299999999</v>
          </cell>
          <cell r="AH27">
            <v>82145.265666666673</v>
          </cell>
          <cell r="AI27">
            <v>252178.51199999999</v>
          </cell>
          <cell r="AJ27">
            <v>16270.432000000001</v>
          </cell>
          <cell r="AK27">
            <v>0</v>
          </cell>
          <cell r="AL27">
            <v>537562.8106666666</v>
          </cell>
          <cell r="AM27">
            <v>-21620.879999999997</v>
          </cell>
          <cell r="AN27">
            <v>-9654.0560000000005</v>
          </cell>
          <cell r="AO27">
            <v>-2278.6880000000001</v>
          </cell>
          <cell r="AP27">
            <v>-1628.8200000000002</v>
          </cell>
          <cell r="AQ27">
            <v>-72479.853000000003</v>
          </cell>
          <cell r="AR27">
            <v>-3423.3440000000001</v>
          </cell>
          <cell r="AS27">
            <v>-136671.26</v>
          </cell>
          <cell r="AT27">
            <v>-53831.815000000002</v>
          </cell>
          <cell r="AU27">
            <v>-301588.71600000001</v>
          </cell>
          <cell r="AV27"/>
          <cell r="AW27"/>
          <cell r="AX27"/>
          <cell r="AY27"/>
          <cell r="AZ27"/>
        </row>
        <row r="28">
          <cell r="E28" t="e">
            <v>#REF!</v>
          </cell>
          <cell r="F28">
            <v>4.0745362639427185E-10</v>
          </cell>
          <cell r="G28">
            <v>0</v>
          </cell>
          <cell r="H28">
            <v>-9.3132257461547852E-10</v>
          </cell>
          <cell r="I28">
            <v>5.6752469390630722E-10</v>
          </cell>
          <cell r="J28">
            <v>-4.6566128730773926E-10</v>
          </cell>
          <cell r="K28">
            <v>0</v>
          </cell>
          <cell r="L28">
            <v>-4.9476511776447296E-10</v>
          </cell>
          <cell r="M28">
            <v>-1.1641532182693481E-9</v>
          </cell>
          <cell r="N28">
            <v>2.4738255888223648E-10</v>
          </cell>
          <cell r="O28">
            <v>7.2759576141834259E-10</v>
          </cell>
          <cell r="P28">
            <v>-4.5838532969355583E-10</v>
          </cell>
          <cell r="Q28">
            <v>4.6566128730773926E-10</v>
          </cell>
          <cell r="R28">
            <v>0</v>
          </cell>
          <cell r="S28">
            <v>-1.4551915228366852E-11</v>
          </cell>
          <cell r="T28">
            <v>0</v>
          </cell>
          <cell r="U28">
            <v>1.8917489796876907E-10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-7.9162418842315674E-9</v>
          </cell>
          <cell r="AA28">
            <v>7.4505805969238281E-9</v>
          </cell>
          <cell r="AB28">
            <v>0</v>
          </cell>
          <cell r="AC28">
            <v>0</v>
          </cell>
          <cell r="AD28">
            <v>0</v>
          </cell>
          <cell r="AE28"/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</row>
        <row r="29"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</row>
        <row r="30">
          <cell r="E30">
            <v>1372261.2888057926</v>
          </cell>
          <cell r="F30">
            <v>142000</v>
          </cell>
          <cell r="G30">
            <v>110000</v>
          </cell>
          <cell r="H30">
            <v>70000</v>
          </cell>
          <cell r="I30">
            <v>48000</v>
          </cell>
          <cell r="J30">
            <v>78000</v>
          </cell>
          <cell r="K30">
            <v>76000</v>
          </cell>
          <cell r="L30">
            <v>52000</v>
          </cell>
          <cell r="M30">
            <v>76000</v>
          </cell>
          <cell r="N30">
            <v>43000</v>
          </cell>
          <cell r="O30">
            <v>38000</v>
          </cell>
          <cell r="P30">
            <v>46000</v>
          </cell>
          <cell r="Q30">
            <v>42000</v>
          </cell>
          <cell r="R30">
            <v>79000</v>
          </cell>
          <cell r="S30">
            <v>35000</v>
          </cell>
          <cell r="T30">
            <v>25500</v>
          </cell>
          <cell r="U30">
            <v>13000</v>
          </cell>
          <cell r="V30">
            <v>29000</v>
          </cell>
          <cell r="W30">
            <v>0</v>
          </cell>
          <cell r="X30">
            <v>0</v>
          </cell>
          <cell r="Y30">
            <v>0</v>
          </cell>
          <cell r="Z30">
            <v>1002500</v>
          </cell>
          <cell r="AA30">
            <v>41300</v>
          </cell>
          <cell r="AB30">
            <v>212983.86222365592</v>
          </cell>
          <cell r="AC30">
            <v>46686.842166666662</v>
          </cell>
          <cell r="AD30">
            <v>68790.584415469901</v>
          </cell>
          <cell r="AE30">
            <v>328461.28880579246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</row>
        <row r="31">
          <cell r="D31" t="str">
            <v>매출</v>
          </cell>
          <cell r="E31">
            <v>152792133.9884536</v>
          </cell>
          <cell r="F31">
            <v>13924713.573999999</v>
          </cell>
          <cell r="G31">
            <v>10761842.338980896</v>
          </cell>
          <cell r="H31">
            <v>6747205.4817999993</v>
          </cell>
          <cell r="I31">
            <v>4575451.4800000004</v>
          </cell>
          <cell r="J31">
            <v>8400596.3082400002</v>
          </cell>
          <cell r="K31">
            <v>7546816.6315800017</v>
          </cell>
          <cell r="L31">
            <v>5007600.1499999994</v>
          </cell>
          <cell r="M31">
            <v>7751983.42808</v>
          </cell>
          <cell r="N31">
            <v>4068584.25</v>
          </cell>
          <cell r="O31">
            <v>3800010.1299060006</v>
          </cell>
          <cell r="P31">
            <v>4487916.279933095</v>
          </cell>
          <cell r="Q31">
            <v>4276092</v>
          </cell>
          <cell r="R31">
            <v>8137000</v>
          </cell>
          <cell r="S31">
            <v>3394247.73</v>
          </cell>
          <cell r="T31">
            <v>2817915.0439999998</v>
          </cell>
          <cell r="U31">
            <v>1456000</v>
          </cell>
          <cell r="V31">
            <v>3560180.5</v>
          </cell>
          <cell r="W31">
            <v>0</v>
          </cell>
          <cell r="X31">
            <v>0</v>
          </cell>
          <cell r="Y31">
            <v>0</v>
          </cell>
          <cell r="Z31">
            <v>100714155.32651998</v>
          </cell>
          <cell r="AA31">
            <v>45208404.903013706</v>
          </cell>
          <cell r="AB31">
            <v>3121938.2644451614</v>
          </cell>
          <cell r="AC31">
            <v>834047.05611666664</v>
          </cell>
          <cell r="AD31">
            <v>2270955.7716914457</v>
          </cell>
          <cell r="AE31">
            <v>6226941.0922532734</v>
          </cell>
          <cell r="AF31">
            <v>50000</v>
          </cell>
          <cell r="AG31">
            <v>175000</v>
          </cell>
          <cell r="AH31">
            <v>114186.66666666667</v>
          </cell>
          <cell r="AI31">
            <v>274280</v>
          </cell>
          <cell r="AJ31">
            <v>22086</v>
          </cell>
          <cell r="AK31">
            <v>0</v>
          </cell>
          <cell r="AL31">
            <v>635552.66666666674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7080</v>
          </cell>
          <cell r="AU31">
            <v>7080</v>
          </cell>
        </row>
        <row r="32">
          <cell r="D32" t="str">
            <v>매출원가</v>
          </cell>
          <cell r="E32">
            <v>140221843.66692314</v>
          </cell>
          <cell r="F32">
            <v>12637039.950369556</v>
          </cell>
          <cell r="G32">
            <v>10135743.388450582</v>
          </cell>
          <cell r="H32">
            <v>6347421.774091932</v>
          </cell>
          <cell r="I32">
            <v>4240696.7954827137</v>
          </cell>
          <cell r="J32">
            <v>7501727.7372385394</v>
          </cell>
          <cell r="K32">
            <v>6744748.0828541918</v>
          </cell>
          <cell r="L32">
            <v>4458148.4382451037</v>
          </cell>
          <cell r="M32">
            <v>6923895.1742107058</v>
          </cell>
          <cell r="N32">
            <v>3666413.0046619116</v>
          </cell>
          <cell r="O32">
            <v>3487749.945529589</v>
          </cell>
          <cell r="P32">
            <v>3991301.4829772185</v>
          </cell>
          <cell r="Q32">
            <v>3928127.586617372</v>
          </cell>
          <cell r="R32">
            <v>7116523.9950722726</v>
          </cell>
          <cell r="S32">
            <v>3062454.1110813697</v>
          </cell>
          <cell r="T32">
            <v>2153525.7065652548</v>
          </cell>
          <cell r="U32">
            <v>1298171.7824126258</v>
          </cell>
          <cell r="V32">
            <v>2962187.6795900357</v>
          </cell>
          <cell r="W32">
            <v>0</v>
          </cell>
          <cell r="X32">
            <v>0</v>
          </cell>
          <cell r="Y32">
            <v>0</v>
          </cell>
          <cell r="Z32">
            <v>90655876.635450974</v>
          </cell>
          <cell r="AA32">
            <v>43987256.783206984</v>
          </cell>
          <cell r="AB32">
            <v>2366695.8156766663</v>
          </cell>
          <cell r="AC32">
            <v>1258277.5588986669</v>
          </cell>
          <cell r="AD32">
            <v>1776072.3776898545</v>
          </cell>
          <cell r="AE32">
            <v>5401045.752265187</v>
          </cell>
          <cell r="AF32">
            <v>13373.951999999999</v>
          </cell>
          <cell r="AG32">
            <v>24657.447000000004</v>
          </cell>
          <cell r="AH32">
            <v>32041.400999999998</v>
          </cell>
          <cell r="AI32">
            <v>22101.488000000001</v>
          </cell>
          <cell r="AJ32">
            <v>5815.5680000000002</v>
          </cell>
          <cell r="AK32">
            <v>0</v>
          </cell>
          <cell r="AL32">
            <v>97989.856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79674.64</v>
          </cell>
          <cell r="AT32">
            <v>0</v>
          </cell>
          <cell r="AU32">
            <v>79674.64</v>
          </cell>
        </row>
        <row r="33">
          <cell r="D33" t="str">
            <v>매출이익</v>
          </cell>
          <cell r="E33">
            <v>12570290.321530482</v>
          </cell>
          <cell r="F33">
            <v>1287673.6236304436</v>
          </cell>
          <cell r="G33">
            <v>626098.95053031482</v>
          </cell>
          <cell r="H33">
            <v>399783.70770806726</v>
          </cell>
          <cell r="I33">
            <v>334754.68451728672</v>
          </cell>
          <cell r="J33">
            <v>898868.57100146078</v>
          </cell>
          <cell r="K33">
            <v>802068.5487258099</v>
          </cell>
          <cell r="L33">
            <v>549451.71175489575</v>
          </cell>
          <cell r="M33">
            <v>828088.25386929419</v>
          </cell>
          <cell r="N33">
            <v>402171.24533808837</v>
          </cell>
          <cell r="O33">
            <v>312260.18437641161</v>
          </cell>
          <cell r="P33">
            <v>496614.79695587652</v>
          </cell>
          <cell r="Q33">
            <v>347964.413382628</v>
          </cell>
          <cell r="R33">
            <v>1020476.0049277274</v>
          </cell>
          <cell r="S33">
            <v>331793.61891863029</v>
          </cell>
          <cell r="T33">
            <v>664389.33743474493</v>
          </cell>
          <cell r="U33">
            <v>157828.21758737415</v>
          </cell>
          <cell r="V33">
            <v>597992.8204099643</v>
          </cell>
          <cell r="W33">
            <v>0</v>
          </cell>
          <cell r="X33">
            <v>0</v>
          </cell>
          <cell r="Y33">
            <v>0</v>
          </cell>
          <cell r="Z33">
            <v>10058278.691069007</v>
          </cell>
          <cell r="AA33">
            <v>1221148.1198067218</v>
          </cell>
          <cell r="AB33">
            <v>755242.44876849512</v>
          </cell>
          <cell r="AC33">
            <v>-424230.50278200023</v>
          </cell>
          <cell r="AD33">
            <v>494883.39400159125</v>
          </cell>
          <cell r="AE33">
            <v>825895.33998808637</v>
          </cell>
          <cell r="AF33">
            <v>36626.048000000003</v>
          </cell>
          <cell r="AG33">
            <v>150342.55299999999</v>
          </cell>
          <cell r="AH33">
            <v>82145.265666666673</v>
          </cell>
          <cell r="AI33">
            <v>252178.51199999999</v>
          </cell>
          <cell r="AJ33">
            <v>16270.432000000001</v>
          </cell>
          <cell r="AK33">
            <v>0</v>
          </cell>
          <cell r="AL33">
            <v>537562.81066666672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-79674.64</v>
          </cell>
          <cell r="AT33">
            <v>7080</v>
          </cell>
          <cell r="AU33">
            <v>-72594.64</v>
          </cell>
        </row>
        <row r="34">
          <cell r="D34" t="str">
            <v>판관비</v>
          </cell>
          <cell r="E34">
            <v>9687568.8272026367</v>
          </cell>
          <cell r="F34">
            <v>1121060.9019266623</v>
          </cell>
          <cell r="G34">
            <v>910405.81547720241</v>
          </cell>
          <cell r="H34">
            <v>611619.69589265971</v>
          </cell>
          <cell r="I34">
            <v>412705.13037138118</v>
          </cell>
          <cell r="J34">
            <v>708005.5534309143</v>
          </cell>
          <cell r="K34">
            <v>657997.25581610342</v>
          </cell>
          <cell r="L34">
            <v>464943.9210824797</v>
          </cell>
          <cell r="M34">
            <v>686943.89755617676</v>
          </cell>
          <cell r="N34">
            <v>366914.86054856918</v>
          </cell>
          <cell r="O34">
            <v>380164.08034454542</v>
          </cell>
          <cell r="P34">
            <v>436549.34171518567</v>
          </cell>
          <cell r="Q34">
            <v>408011.95113961236</v>
          </cell>
          <cell r="R34">
            <v>647289.41342417884</v>
          </cell>
          <cell r="S34">
            <v>323955.06601698539</v>
          </cell>
          <cell r="T34">
            <v>209806.62586861453</v>
          </cell>
          <cell r="U34">
            <v>133318.43363833716</v>
          </cell>
          <cell r="V34">
            <v>276344.84637509176</v>
          </cell>
          <cell r="W34">
            <v>0</v>
          </cell>
          <cell r="X34">
            <v>0</v>
          </cell>
          <cell r="Y34">
            <v>0</v>
          </cell>
          <cell r="Z34">
            <v>8756036.7906247005</v>
          </cell>
          <cell r="AA34">
            <v>512079.272</v>
          </cell>
          <cell r="AB34">
            <v>97421.476870928687</v>
          </cell>
          <cell r="AC34">
            <v>24682.367477170847</v>
          </cell>
          <cell r="AD34">
            <v>68354.844229836686</v>
          </cell>
          <cell r="AE34">
            <v>190458.68857793621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21620.879999999997</v>
          </cell>
          <cell r="AN34">
            <v>9654.0560000000005</v>
          </cell>
          <cell r="AO34">
            <v>2278.6880000000001</v>
          </cell>
          <cell r="AP34">
            <v>1628.8200000000002</v>
          </cell>
          <cell r="AQ34">
            <v>72479.853000000003</v>
          </cell>
          <cell r="AR34">
            <v>3423.3440000000001</v>
          </cell>
          <cell r="AS34">
            <v>56996.62</v>
          </cell>
          <cell r="AT34">
            <v>60911.815000000002</v>
          </cell>
          <cell r="AU34">
            <v>228994.076</v>
          </cell>
        </row>
        <row r="35">
          <cell r="D35" t="str">
            <v>영업이익</v>
          </cell>
          <cell r="E35">
            <v>2882721.4943278455</v>
          </cell>
          <cell r="F35">
            <v>166612.72170378128</v>
          </cell>
          <cell r="G35">
            <v>-284306.8649468876</v>
          </cell>
          <cell r="H35">
            <v>-211835.98818459245</v>
          </cell>
          <cell r="I35">
            <v>-77950.445854094462</v>
          </cell>
          <cell r="J35">
            <v>190863.01757054648</v>
          </cell>
          <cell r="K35">
            <v>144071.29290970648</v>
          </cell>
          <cell r="L35">
            <v>84507.790672416042</v>
          </cell>
          <cell r="M35">
            <v>141144.35631311743</v>
          </cell>
          <cell r="N35">
            <v>35256.384789519187</v>
          </cell>
          <cell r="O35">
            <v>-67903.895968133816</v>
          </cell>
          <cell r="P35">
            <v>60065.455240690848</v>
          </cell>
          <cell r="Q35">
            <v>-60047.537756984355</v>
          </cell>
          <cell r="R35">
            <v>373186.59150354855</v>
          </cell>
          <cell r="S35">
            <v>7838.5529016449</v>
          </cell>
          <cell r="T35">
            <v>454582.7115661304</v>
          </cell>
          <cell r="U35">
            <v>24509.783949036995</v>
          </cell>
          <cell r="V35">
            <v>321647.97403487255</v>
          </cell>
          <cell r="W35">
            <v>0</v>
          </cell>
          <cell r="X35">
            <v>0</v>
          </cell>
          <cell r="Y35">
            <v>0</v>
          </cell>
          <cell r="Z35">
            <v>1302241.9004443064</v>
          </cell>
          <cell r="AA35">
            <v>709068.84780672181</v>
          </cell>
          <cell r="AB35">
            <v>657820.97189756646</v>
          </cell>
          <cell r="AC35">
            <v>-448912.87025917106</v>
          </cell>
          <cell r="AD35">
            <v>426528.54977175454</v>
          </cell>
          <cell r="AE35">
            <v>635436.65141015011</v>
          </cell>
          <cell r="AF35">
            <v>36626.048000000003</v>
          </cell>
          <cell r="AG35">
            <v>150342.55299999999</v>
          </cell>
          <cell r="AH35">
            <v>82145.265666666673</v>
          </cell>
          <cell r="AI35">
            <v>252178.51199999999</v>
          </cell>
          <cell r="AJ35">
            <v>16270.432000000001</v>
          </cell>
          <cell r="AK35">
            <v>0</v>
          </cell>
          <cell r="AL35">
            <v>537562.81066666672</v>
          </cell>
          <cell r="AM35">
            <v>-21620.879999999997</v>
          </cell>
          <cell r="AN35">
            <v>-9654.0560000000005</v>
          </cell>
          <cell r="AO35">
            <v>-2278.6880000000001</v>
          </cell>
          <cell r="AP35">
            <v>-1628.8200000000002</v>
          </cell>
          <cell r="AQ35">
            <v>-72479.853000000003</v>
          </cell>
          <cell r="AR35">
            <v>-3423.3440000000001</v>
          </cell>
          <cell r="AS35">
            <v>-136671.26</v>
          </cell>
          <cell r="AT35">
            <v>-53831.815000000002</v>
          </cell>
          <cell r="AU35">
            <v>-301588.71600000001</v>
          </cell>
        </row>
      </sheetData>
      <sheetData sheetId="17">
        <row r="6">
          <cell r="D6" t="str">
            <v>구분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4">
          <cell r="AJ24">
            <v>0</v>
          </cell>
        </row>
      </sheetData>
      <sheetData sheetId="6" refreshError="1"/>
      <sheetData sheetId="7" refreshError="1"/>
      <sheetData sheetId="8" refreshError="1"/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40250</v>
          </cell>
          <cell r="H7">
            <v>33570</v>
          </cell>
          <cell r="I7">
            <v>13605</v>
          </cell>
          <cell r="J7">
            <v>12327</v>
          </cell>
          <cell r="K7">
            <v>20499</v>
          </cell>
          <cell r="L7">
            <v>19392</v>
          </cell>
          <cell r="M7">
            <v>11975</v>
          </cell>
          <cell r="N7">
            <v>23628.5</v>
          </cell>
          <cell r="O7">
            <v>6277</v>
          </cell>
          <cell r="P7">
            <v>12462</v>
          </cell>
          <cell r="Q7">
            <v>11731.5</v>
          </cell>
          <cell r="R7">
            <v>13906</v>
          </cell>
          <cell r="S7">
            <v>23173</v>
          </cell>
          <cell r="T7">
            <v>2568.5</v>
          </cell>
          <cell r="U7">
            <v>7043</v>
          </cell>
          <cell r="V7">
            <v>17106</v>
          </cell>
          <cell r="W7">
            <v>7339.5</v>
          </cell>
          <cell r="Z7">
            <v>276853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276853</v>
          </cell>
          <cell r="AJ7">
            <v>25409</v>
          </cell>
          <cell r="AK7">
            <v>27056</v>
          </cell>
          <cell r="AL7">
            <v>15560</v>
          </cell>
          <cell r="AN7">
            <v>68025</v>
          </cell>
          <cell r="AO7">
            <v>11123.664999999999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38977313.278999999</v>
          </cell>
          <cell r="G8">
            <v>3841771.1029999997</v>
          </cell>
          <cell r="H8">
            <v>3322184.7299999995</v>
          </cell>
          <cell r="I8">
            <v>1269888.8</v>
          </cell>
          <cell r="J8">
            <v>1182469.9639999999</v>
          </cell>
          <cell r="K8">
            <v>2136824.5</v>
          </cell>
          <cell r="L8">
            <v>1895218.6</v>
          </cell>
          <cell r="M8">
            <v>1030469.9</v>
          </cell>
          <cell r="N8">
            <v>2450840.7000000002</v>
          </cell>
          <cell r="O8">
            <v>579561.65</v>
          </cell>
          <cell r="P8">
            <v>1202330.7</v>
          </cell>
          <cell r="Q8">
            <v>1058224.45</v>
          </cell>
          <cell r="R8">
            <v>1439866.8</v>
          </cell>
          <cell r="S8">
            <v>2210582.0699999998</v>
          </cell>
          <cell r="T8">
            <v>290203.84999999998</v>
          </cell>
          <cell r="U8">
            <v>750896.75</v>
          </cell>
          <cell r="V8">
            <v>1690833.55</v>
          </cell>
          <cell r="W8">
            <v>910086.08100000001</v>
          </cell>
          <cell r="Z8">
            <v>27262254.197999999</v>
          </cell>
          <cell r="AA8">
            <v>0</v>
          </cell>
          <cell r="AB8">
            <v>0</v>
          </cell>
          <cell r="AC8">
            <v>12500</v>
          </cell>
          <cell r="AD8">
            <v>30840</v>
          </cell>
          <cell r="AH8">
            <v>43340</v>
          </cell>
          <cell r="AI8">
            <v>27305594.197999999</v>
          </cell>
          <cell r="AJ8">
            <v>749494</v>
          </cell>
          <cell r="AK8">
            <v>390312</v>
          </cell>
          <cell r="AL8">
            <v>309260</v>
          </cell>
          <cell r="AN8">
            <v>1449066</v>
          </cell>
          <cell r="AO8">
            <v>10147504.217</v>
          </cell>
          <cell r="AP8">
            <v>0</v>
          </cell>
          <cell r="AS8">
            <v>10147504.217</v>
          </cell>
          <cell r="AT8">
            <v>5512.5</v>
          </cell>
          <cell r="AU8">
            <v>5850</v>
          </cell>
          <cell r="AV8">
            <v>62125.714</v>
          </cell>
          <cell r="BA8">
            <v>73488.214000000007</v>
          </cell>
          <cell r="BB8">
            <v>0</v>
          </cell>
          <cell r="BC8">
            <v>1660.65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1660.65</v>
          </cell>
        </row>
        <row r="9">
          <cell r="G9">
            <v>95447.729267080736</v>
          </cell>
          <cell r="H9">
            <v>98962.905272564778</v>
          </cell>
          <cell r="I9">
            <v>93339.860345461231</v>
          </cell>
          <cell r="J9">
            <v>95925.201914496633</v>
          </cell>
          <cell r="K9">
            <v>104240.42636226157</v>
          </cell>
          <cell r="L9">
            <v>97731.982260726072</v>
          </cell>
          <cell r="M9">
            <v>86051.766179540704</v>
          </cell>
          <cell r="N9">
            <v>103723.92238186936</v>
          </cell>
          <cell r="O9">
            <v>92330.9941054644</v>
          </cell>
          <cell r="P9">
            <v>96479.754453538757</v>
          </cell>
          <cell r="Q9">
            <v>90203.678131526234</v>
          </cell>
          <cell r="R9">
            <v>103542.84481518769</v>
          </cell>
          <cell r="S9">
            <v>95394.729642256061</v>
          </cell>
          <cell r="T9">
            <v>112985.73097138407</v>
          </cell>
          <cell r="U9">
            <v>106616.03720005679</v>
          </cell>
          <cell r="V9">
            <v>98844.472699637568</v>
          </cell>
          <cell r="W9">
            <v>123998.37604741468</v>
          </cell>
          <cell r="Z9">
            <v>98471.947921821324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98628.493092001896</v>
          </cell>
          <cell r="AJ9">
            <v>29497.186036443778</v>
          </cell>
          <cell r="AK9">
            <v>14426.079243051448</v>
          </cell>
          <cell r="AL9">
            <v>19875.321336760928</v>
          </cell>
          <cell r="AO9">
            <v>912244.67987843941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35243668.988779992</v>
          </cell>
          <cell r="G10">
            <v>3421032.7127800002</v>
          </cell>
          <cell r="H10">
            <v>2994575.4217300001</v>
          </cell>
          <cell r="I10">
            <v>1211901.2744600002</v>
          </cell>
          <cell r="J10">
            <v>1061906.57179</v>
          </cell>
          <cell r="K10">
            <v>1865153.5525199999</v>
          </cell>
          <cell r="L10">
            <v>1651165.9727400001</v>
          </cell>
          <cell r="M10">
            <v>996683.30646000011</v>
          </cell>
          <cell r="N10">
            <v>2106186.5485700001</v>
          </cell>
          <cell r="O10">
            <v>564546.20852999995</v>
          </cell>
          <cell r="P10">
            <v>1014461.97001</v>
          </cell>
          <cell r="Q10">
            <v>963410.12604999996</v>
          </cell>
          <cell r="R10">
            <v>1225796.1948199999</v>
          </cell>
          <cell r="S10">
            <v>1946101.53792</v>
          </cell>
          <cell r="T10">
            <v>259113.68677</v>
          </cell>
          <cell r="U10">
            <v>554147.61285000003</v>
          </cell>
          <cell r="V10">
            <v>1409690.4025300001</v>
          </cell>
          <cell r="W10">
            <v>751152.62994000001</v>
          </cell>
          <cell r="Z10">
            <v>23997025.730469994</v>
          </cell>
          <cell r="AA10">
            <v>574.45600000000002</v>
          </cell>
          <cell r="AB10">
            <v>0</v>
          </cell>
          <cell r="AC10">
            <v>3407.4229999999998</v>
          </cell>
          <cell r="AD10">
            <v>8520.8359999999993</v>
          </cell>
          <cell r="AH10">
            <v>12502.715</v>
          </cell>
          <cell r="AI10">
            <v>24009528.445469994</v>
          </cell>
          <cell r="AJ10">
            <v>707841.72025000001</v>
          </cell>
          <cell r="AK10">
            <v>259333.02333999999</v>
          </cell>
          <cell r="AL10">
            <v>286886.80671999994</v>
          </cell>
          <cell r="AN10">
            <v>1254061.5503099998</v>
          </cell>
          <cell r="AO10">
            <v>9979760.3579999991</v>
          </cell>
          <cell r="AP10">
            <v>0</v>
          </cell>
          <cell r="AS10">
            <v>9979760.3579999991</v>
          </cell>
          <cell r="AT10">
            <v>138.39099999999999</v>
          </cell>
          <cell r="AU10">
            <v>180.244</v>
          </cell>
          <cell r="AV10">
            <v>0</v>
          </cell>
          <cell r="BA10">
            <v>318.63499999999999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J10">
            <v>0</v>
          </cell>
        </row>
        <row r="11">
          <cell r="G11">
            <v>84994.601559751565</v>
          </cell>
          <cell r="H11">
            <v>89203.914856419433</v>
          </cell>
          <cell r="I11">
            <v>89077.638696067632</v>
          </cell>
          <cell r="J11">
            <v>86144.769351018083</v>
          </cell>
          <cell r="K11">
            <v>90987.538539440953</v>
          </cell>
          <cell r="L11">
            <v>85146.760145420805</v>
          </cell>
          <cell r="M11">
            <v>83230.33874405011</v>
          </cell>
          <cell r="N11">
            <v>89137.54781598493</v>
          </cell>
          <cell r="O11">
            <v>89938.85750039827</v>
          </cell>
          <cell r="P11">
            <v>81404.427059059541</v>
          </cell>
          <cell r="Q11">
            <v>82121.649068746541</v>
          </cell>
          <cell r="R11">
            <v>88148.726795627779</v>
          </cell>
          <cell r="S11">
            <v>83981.423981357628</v>
          </cell>
          <cell r="T11">
            <v>100881.32636558302</v>
          </cell>
          <cell r="U11">
            <v>78680.620878886839</v>
          </cell>
          <cell r="V11">
            <v>82409.119755056701</v>
          </cell>
          <cell r="W11">
            <v>102343.84221540976</v>
          </cell>
          <cell r="Z11">
            <v>86677.860563078575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86723.020684153671</v>
          </cell>
          <cell r="AJ11">
            <v>27857.913347632726</v>
          </cell>
          <cell r="AK11">
            <v>9585.0466935245404</v>
          </cell>
          <cell r="AL11">
            <v>18437.455444730072</v>
          </cell>
          <cell r="AO11">
            <v>897164.77060393314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3733644.2902200073</v>
          </cell>
          <cell r="G12">
            <v>420738.39021999948</v>
          </cell>
          <cell r="H12">
            <v>327609.30826999946</v>
          </cell>
          <cell r="I12">
            <v>57987.525539999828</v>
          </cell>
          <cell r="J12">
            <v>120563.39220999996</v>
          </cell>
          <cell r="K12">
            <v>271670.94748000009</v>
          </cell>
          <cell r="L12">
            <v>244052.62725999998</v>
          </cell>
          <cell r="M12">
            <v>33786.593539999914</v>
          </cell>
          <cell r="N12">
            <v>344654.15143000009</v>
          </cell>
          <cell r="O12">
            <v>15015.441470000078</v>
          </cell>
          <cell r="P12">
            <v>187868.72998999991</v>
          </cell>
          <cell r="Q12">
            <v>94814.323949999991</v>
          </cell>
          <cell r="R12">
            <v>214070.60518000019</v>
          </cell>
          <cell r="S12">
            <v>264480.5320799998</v>
          </cell>
          <cell r="T12">
            <v>31090.163229999976</v>
          </cell>
          <cell r="U12">
            <v>196749.13714999997</v>
          </cell>
          <cell r="V12">
            <v>281143.14746999997</v>
          </cell>
          <cell r="W12">
            <v>158933.45105999999</v>
          </cell>
          <cell r="Z12">
            <v>3265228.4675299982</v>
          </cell>
          <cell r="AA12">
            <v>-574.45600000000002</v>
          </cell>
          <cell r="AB12">
            <v>0</v>
          </cell>
          <cell r="AC12">
            <v>9092.5770000000011</v>
          </cell>
          <cell r="AD12">
            <v>22319.164000000001</v>
          </cell>
          <cell r="AH12">
            <v>30837.285</v>
          </cell>
          <cell r="AI12">
            <v>3296065.7525300048</v>
          </cell>
          <cell r="AJ12">
            <v>41652.279749999987</v>
          </cell>
          <cell r="AK12">
            <v>130978.97666000001</v>
          </cell>
          <cell r="AL12">
            <v>22373.193280000065</v>
          </cell>
          <cell r="AN12">
            <v>195004.44969000015</v>
          </cell>
          <cell r="AO12">
            <v>167743.8590000011</v>
          </cell>
          <cell r="AP12">
            <v>0</v>
          </cell>
          <cell r="AS12">
            <v>167743.8590000011</v>
          </cell>
          <cell r="AT12">
            <v>5374.1090000000004</v>
          </cell>
          <cell r="AU12">
            <v>5669.7560000000003</v>
          </cell>
          <cell r="AV12">
            <v>62125.714</v>
          </cell>
          <cell r="BA12">
            <v>73169.578999999998</v>
          </cell>
          <cell r="BB12">
            <v>0</v>
          </cell>
          <cell r="BC12">
            <v>1660.65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J12">
            <v>1660.65</v>
          </cell>
        </row>
        <row r="13">
          <cell r="F13">
            <v>823491.27899999986</v>
          </cell>
          <cell r="G13">
            <v>69176.744999999995</v>
          </cell>
          <cell r="H13">
            <v>69616.657999999996</v>
          </cell>
          <cell r="I13">
            <v>52487.082999999999</v>
          </cell>
          <cell r="J13">
            <v>37644.355000000003</v>
          </cell>
          <cell r="K13">
            <v>54240.042000000001</v>
          </cell>
          <cell r="L13">
            <v>50332.964999999997</v>
          </cell>
          <cell r="M13">
            <v>39860.15</v>
          </cell>
          <cell r="N13">
            <v>42626.705999999998</v>
          </cell>
          <cell r="O13">
            <v>28825.877</v>
          </cell>
          <cell r="P13">
            <v>29763.690999999999</v>
          </cell>
          <cell r="Q13">
            <v>28524.932000000001</v>
          </cell>
          <cell r="R13">
            <v>23944.023000000001</v>
          </cell>
          <cell r="S13">
            <v>50944.065999999999</v>
          </cell>
          <cell r="T13">
            <v>10556.001</v>
          </cell>
          <cell r="U13">
            <v>11673.427</v>
          </cell>
          <cell r="V13">
            <v>32428.981</v>
          </cell>
          <cell r="W13">
            <v>17709.206000000002</v>
          </cell>
          <cell r="Z13">
            <v>650354.90799999994</v>
          </cell>
          <cell r="AA13">
            <v>1971.5160000000001</v>
          </cell>
          <cell r="AB13">
            <v>174.78200000000001</v>
          </cell>
          <cell r="AC13">
            <v>0</v>
          </cell>
          <cell r="AD13">
            <v>0</v>
          </cell>
          <cell r="AH13">
            <v>2146.2980000000002</v>
          </cell>
          <cell r="AI13">
            <v>652501.20600000001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162298.98499999999</v>
          </cell>
          <cell r="AP13">
            <v>0</v>
          </cell>
          <cell r="AS13">
            <v>162298.98499999999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8691.0879999999997</v>
          </cell>
          <cell r="BG13">
            <v>0</v>
          </cell>
          <cell r="BH13">
            <v>0</v>
          </cell>
          <cell r="BJ13">
            <v>8691.0879999999997</v>
          </cell>
        </row>
        <row r="14">
          <cell r="F14">
            <v>531615.90799999994</v>
          </cell>
          <cell r="G14">
            <v>45824.235999999997</v>
          </cell>
          <cell r="H14">
            <v>46301.198999999993</v>
          </cell>
          <cell r="I14">
            <v>34638.027999999998</v>
          </cell>
          <cell r="J14">
            <v>26325.045000000002</v>
          </cell>
          <cell r="K14">
            <v>34357.531999999999</v>
          </cell>
          <cell r="L14">
            <v>35821.824999999997</v>
          </cell>
          <cell r="M14">
            <v>27388.455000000002</v>
          </cell>
          <cell r="N14">
            <v>27498.442999999996</v>
          </cell>
          <cell r="O14">
            <v>19532.807000000001</v>
          </cell>
          <cell r="P14">
            <v>19208.598999999998</v>
          </cell>
          <cell r="Q14">
            <v>20308.109</v>
          </cell>
          <cell r="R14">
            <v>18819.579000000002</v>
          </cell>
          <cell r="S14">
            <v>32586.840999999997</v>
          </cell>
          <cell r="T14">
            <v>7515.6970000000001</v>
          </cell>
          <cell r="U14">
            <v>7570.5159999999996</v>
          </cell>
          <cell r="V14">
            <v>22264.538</v>
          </cell>
          <cell r="W14">
            <v>10860.244000000001</v>
          </cell>
          <cell r="Z14">
            <v>436821.69299999997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436821.69299999997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94794.214999999997</v>
          </cell>
          <cell r="AP14">
            <v>0</v>
          </cell>
          <cell r="AS14">
            <v>94794.214999999997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J14">
            <v>0</v>
          </cell>
        </row>
        <row r="15">
          <cell r="F15">
            <v>291875.37099999998</v>
          </cell>
          <cell r="G15">
            <v>23352.508999999998</v>
          </cell>
          <cell r="H15">
            <v>23315.458999999999</v>
          </cell>
          <cell r="I15">
            <v>17849.055</v>
          </cell>
          <cell r="J15">
            <v>11319.31</v>
          </cell>
          <cell r="K15">
            <v>19882.509999999998</v>
          </cell>
          <cell r="L15">
            <v>14511.140000000001</v>
          </cell>
          <cell r="M15">
            <v>12471.695</v>
          </cell>
          <cell r="N15">
            <v>15128.263000000001</v>
          </cell>
          <cell r="O15">
            <v>9293.0700000000015</v>
          </cell>
          <cell r="P15">
            <v>10555.092000000001</v>
          </cell>
          <cell r="Q15">
            <v>8216.8230000000003</v>
          </cell>
          <cell r="R15">
            <v>5124.4440000000004</v>
          </cell>
          <cell r="S15">
            <v>18357.225000000002</v>
          </cell>
          <cell r="T15">
            <v>3040.3040000000001</v>
          </cell>
          <cell r="U15">
            <v>4102.9110000000001</v>
          </cell>
          <cell r="V15">
            <v>10164.443000000001</v>
          </cell>
          <cell r="W15">
            <v>6848.9620000000004</v>
          </cell>
          <cell r="Z15">
            <v>213533.215</v>
          </cell>
          <cell r="AA15">
            <v>1971.5160000000001</v>
          </cell>
          <cell r="AB15">
            <v>174.78200000000001</v>
          </cell>
          <cell r="AC15">
            <v>0</v>
          </cell>
          <cell r="AD15">
            <v>0</v>
          </cell>
          <cell r="AH15">
            <v>2146.2980000000002</v>
          </cell>
          <cell r="AI15">
            <v>215679.51300000001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67504.77</v>
          </cell>
          <cell r="AP15">
            <v>0</v>
          </cell>
          <cell r="AS15">
            <v>67504.77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8691.0879999999997</v>
          </cell>
          <cell r="BG15">
            <v>0</v>
          </cell>
          <cell r="BH15">
            <v>0</v>
          </cell>
          <cell r="BJ15">
            <v>8691.0879999999997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2910153.0112200072</v>
          </cell>
          <cell r="G17">
            <v>351561.64521999948</v>
          </cell>
          <cell r="H17">
            <v>257992.65026999946</v>
          </cell>
          <cell r="I17">
            <v>5500.442539999829</v>
          </cell>
          <cell r="J17">
            <v>82919.037209999951</v>
          </cell>
          <cell r="K17">
            <v>217430.90548000007</v>
          </cell>
          <cell r="L17">
            <v>193719.66225999998</v>
          </cell>
          <cell r="M17">
            <v>-6073.5564600000871</v>
          </cell>
          <cell r="N17">
            <v>302027.44543000008</v>
          </cell>
          <cell r="O17">
            <v>-13810.435529999922</v>
          </cell>
          <cell r="P17">
            <v>158105.03898999991</v>
          </cell>
          <cell r="Q17">
            <v>66289.39194999999</v>
          </cell>
          <cell r="R17">
            <v>190126.5821800002</v>
          </cell>
          <cell r="S17">
            <v>213536.46607999981</v>
          </cell>
          <cell r="T17">
            <v>20534.162229999976</v>
          </cell>
          <cell r="U17">
            <v>185075.71014999997</v>
          </cell>
          <cell r="V17">
            <v>248714.16646999997</v>
          </cell>
          <cell r="W17">
            <v>141224.24505999999</v>
          </cell>
          <cell r="Z17">
            <v>2614873.5595299983</v>
          </cell>
          <cell r="AA17">
            <v>-2545.9720000000002</v>
          </cell>
          <cell r="AB17">
            <v>-174.78200000000001</v>
          </cell>
          <cell r="AC17">
            <v>9092.5770000000011</v>
          </cell>
          <cell r="AD17">
            <v>22319.164000000001</v>
          </cell>
          <cell r="AH17">
            <v>28690.987000000001</v>
          </cell>
          <cell r="AI17">
            <v>2643564.5465300046</v>
          </cell>
          <cell r="AJ17">
            <v>41652.279749999987</v>
          </cell>
          <cell r="AK17">
            <v>130978.97666000001</v>
          </cell>
          <cell r="AL17">
            <v>22373.193280000065</v>
          </cell>
          <cell r="AN17">
            <v>195004.44969000015</v>
          </cell>
          <cell r="AO17">
            <v>5444.8740000011167</v>
          </cell>
          <cell r="AP17">
            <v>0</v>
          </cell>
          <cell r="AS17">
            <v>5444.8740000011167</v>
          </cell>
          <cell r="AT17">
            <v>5374.1090000000004</v>
          </cell>
          <cell r="AU17">
            <v>5669.7560000000003</v>
          </cell>
          <cell r="AV17">
            <v>62125.714</v>
          </cell>
          <cell r="BA17">
            <v>73169.578999999998</v>
          </cell>
          <cell r="BB17">
            <v>0</v>
          </cell>
          <cell r="BC17">
            <v>1660.65</v>
          </cell>
          <cell r="BD17">
            <v>0</v>
          </cell>
          <cell r="BE17">
            <v>0</v>
          </cell>
          <cell r="BF17">
            <v>-8691.0879999999997</v>
          </cell>
          <cell r="BG17">
            <v>0</v>
          </cell>
          <cell r="BH17">
            <v>0</v>
          </cell>
          <cell r="BJ17">
            <v>-7030.4380000000001</v>
          </cell>
        </row>
        <row r="18">
          <cell r="F18">
            <v>602047.32921</v>
          </cell>
          <cell r="G18">
            <v>30545.06322</v>
          </cell>
          <cell r="H18">
            <v>35456.081270000002</v>
          </cell>
          <cell r="I18">
            <v>20654.574539999998</v>
          </cell>
          <cell r="J18">
            <v>18086.447210000002</v>
          </cell>
          <cell r="K18">
            <v>104919.11348</v>
          </cell>
          <cell r="L18">
            <v>37853.496259999993</v>
          </cell>
          <cell r="M18">
            <v>16831.284540000001</v>
          </cell>
          <cell r="N18">
            <v>21936.23143</v>
          </cell>
          <cell r="O18">
            <v>12606.770469999999</v>
          </cell>
          <cell r="P18">
            <v>31684.601989999999</v>
          </cell>
          <cell r="Q18">
            <v>15590.675950000001</v>
          </cell>
          <cell r="R18">
            <v>15225.626179999999</v>
          </cell>
          <cell r="S18">
            <v>36262.857079999994</v>
          </cell>
          <cell r="T18">
            <v>6282.5892300000005</v>
          </cell>
          <cell r="U18">
            <v>11124.040150000001</v>
          </cell>
          <cell r="V18">
            <v>21365.849469999997</v>
          </cell>
          <cell r="W18">
            <v>12779.37406</v>
          </cell>
          <cell r="Z18">
            <v>449204.67653</v>
          </cell>
          <cell r="AA18">
            <v>5669.0559999999996</v>
          </cell>
          <cell r="AB18">
            <v>0</v>
          </cell>
          <cell r="AC18">
            <v>0</v>
          </cell>
          <cell r="AD18">
            <v>0</v>
          </cell>
          <cell r="AH18">
            <v>5669.0559999999996</v>
          </cell>
          <cell r="AI18">
            <v>454873.73252999998</v>
          </cell>
          <cell r="AJ18">
            <v>36728.873749999999</v>
          </cell>
          <cell r="AK18">
            <v>13458.854660000001</v>
          </cell>
          <cell r="AL18">
            <v>41852.149270000002</v>
          </cell>
          <cell r="AN18">
            <v>92039.877680000005</v>
          </cell>
          <cell r="AO18">
            <v>5716.42</v>
          </cell>
          <cell r="AP18">
            <v>0</v>
          </cell>
          <cell r="AS18">
            <v>5716.42</v>
          </cell>
          <cell r="AT18">
            <v>1312.8920000000001</v>
          </cell>
          <cell r="AU18">
            <v>8489.6129999999994</v>
          </cell>
          <cell r="AV18">
            <v>0</v>
          </cell>
          <cell r="BA18">
            <v>9802.5049999999992</v>
          </cell>
          <cell r="BB18">
            <v>0</v>
          </cell>
          <cell r="BC18">
            <v>17153.462</v>
          </cell>
          <cell r="BD18">
            <v>0</v>
          </cell>
          <cell r="BE18">
            <v>0</v>
          </cell>
          <cell r="BF18">
            <v>22461.331999999999</v>
          </cell>
          <cell r="BG18">
            <v>0</v>
          </cell>
          <cell r="BH18">
            <v>0</v>
          </cell>
          <cell r="BJ18">
            <v>39614.793999999994</v>
          </cell>
        </row>
        <row r="19">
          <cell r="F19">
            <v>529954.32221000001</v>
          </cell>
          <cell r="G19">
            <v>28217.43922</v>
          </cell>
          <cell r="H19">
            <v>33510.94627</v>
          </cell>
          <cell r="I19">
            <v>18883.330539999999</v>
          </cell>
          <cell r="J19">
            <v>16894.461210000001</v>
          </cell>
          <cell r="K19">
            <v>103043.04848</v>
          </cell>
          <cell r="L19">
            <v>36289.095259999995</v>
          </cell>
          <cell r="M19">
            <v>15637.687539999999</v>
          </cell>
          <cell r="N19">
            <v>20372.92943</v>
          </cell>
          <cell r="O19">
            <v>11856.73647</v>
          </cell>
          <cell r="P19">
            <v>30465.83599</v>
          </cell>
          <cell r="Q19">
            <v>14765.46695</v>
          </cell>
          <cell r="R19">
            <v>14410.705179999999</v>
          </cell>
          <cell r="S19">
            <v>34674.649079999996</v>
          </cell>
          <cell r="T19">
            <v>5912.1902300000002</v>
          </cell>
          <cell r="U19">
            <v>10681.17115</v>
          </cell>
          <cell r="V19">
            <v>20542.246469999998</v>
          </cell>
          <cell r="W19">
            <v>11954.00006</v>
          </cell>
          <cell r="Z19">
            <v>428111.93952999997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H19">
            <v>0</v>
          </cell>
          <cell r="AI19">
            <v>428111.93952999997</v>
          </cell>
          <cell r="AJ19">
            <v>36728.873749999999</v>
          </cell>
          <cell r="AK19">
            <v>13458.854660000001</v>
          </cell>
          <cell r="AL19">
            <v>41852.149270000002</v>
          </cell>
          <cell r="AN19">
            <v>92039.877680000005</v>
          </cell>
          <cell r="AO19">
            <v>0</v>
          </cell>
          <cell r="AP19">
            <v>0</v>
          </cell>
          <cell r="AS19">
            <v>0</v>
          </cell>
          <cell r="AT19">
            <v>1312.8920000000001</v>
          </cell>
          <cell r="AU19">
            <v>8489.6129999999994</v>
          </cell>
          <cell r="AV19">
            <v>0</v>
          </cell>
          <cell r="BA19">
            <v>9802.5049999999992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72093.006999999983</v>
          </cell>
          <cell r="G20">
            <v>2327.6239999999998</v>
          </cell>
          <cell r="H20">
            <v>1945.135</v>
          </cell>
          <cell r="I20">
            <v>1771.2439999999999</v>
          </cell>
          <cell r="J20">
            <v>1191.9860000000001</v>
          </cell>
          <cell r="K20">
            <v>1876.0650000000001</v>
          </cell>
          <cell r="L20">
            <v>1564.4010000000001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1218.7660000000001</v>
          </cell>
          <cell r="Q20">
            <v>825.20899999999995</v>
          </cell>
          <cell r="R20">
            <v>814.92100000000005</v>
          </cell>
          <cell r="S20">
            <v>1588.2080000000001</v>
          </cell>
          <cell r="T20">
            <v>370.399</v>
          </cell>
          <cell r="U20">
            <v>442.86900000000003</v>
          </cell>
          <cell r="V20">
            <v>823.60299999999995</v>
          </cell>
          <cell r="W20">
            <v>825.37400000000002</v>
          </cell>
          <cell r="Z20">
            <v>21092.736999999997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H20">
            <v>5669.0559999999996</v>
          </cell>
          <cell r="AI20">
            <v>26761.792999999998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5716.42</v>
          </cell>
          <cell r="AP20">
            <v>0</v>
          </cell>
          <cell r="AS20">
            <v>5716.42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17153.462</v>
          </cell>
          <cell r="BD20">
            <v>0</v>
          </cell>
          <cell r="BE20">
            <v>0</v>
          </cell>
          <cell r="BF20">
            <v>22461.331999999999</v>
          </cell>
          <cell r="BG20">
            <v>0</v>
          </cell>
          <cell r="BH20">
            <v>0</v>
          </cell>
          <cell r="BJ20">
            <v>39614.793999999994</v>
          </cell>
        </row>
        <row r="21">
          <cell r="F21">
            <v>2308105.6820100071</v>
          </cell>
          <cell r="G21">
            <v>321016.58199999947</v>
          </cell>
          <cell r="H21">
            <v>222536.56899999946</v>
          </cell>
          <cell r="I21">
            <v>-15154.132000000169</v>
          </cell>
          <cell r="J21">
            <v>64832.589999999953</v>
          </cell>
          <cell r="K21">
            <v>112511.79200000007</v>
          </cell>
          <cell r="L21">
            <v>155866.166</v>
          </cell>
          <cell r="M21">
            <v>-22904.841000000088</v>
          </cell>
          <cell r="N21">
            <v>280091.21400000009</v>
          </cell>
          <cell r="O21">
            <v>-26417.205999999922</v>
          </cell>
          <cell r="P21">
            <v>126420.43699999992</v>
          </cell>
          <cell r="Q21">
            <v>50698.715999999986</v>
          </cell>
          <cell r="R21">
            <v>174900.95600000021</v>
          </cell>
          <cell r="S21">
            <v>177273.60899999982</v>
          </cell>
          <cell r="T21">
            <v>14251.572999999975</v>
          </cell>
          <cell r="U21">
            <v>173951.66999999998</v>
          </cell>
          <cell r="V21">
            <v>227348.31699999998</v>
          </cell>
          <cell r="W21">
            <v>128444.87099999998</v>
          </cell>
          <cell r="Z21">
            <v>2165668.8829999985</v>
          </cell>
          <cell r="AA21">
            <v>-8215.0280000000002</v>
          </cell>
          <cell r="AB21">
            <v>-174.78200000000001</v>
          </cell>
          <cell r="AC21">
            <v>9092.5770000000011</v>
          </cell>
          <cell r="AD21">
            <v>22319.164000000001</v>
          </cell>
          <cell r="AH21">
            <v>23021.931</v>
          </cell>
          <cell r="AI21">
            <v>2188690.8140000044</v>
          </cell>
          <cell r="AJ21">
            <v>4923.4059999999881</v>
          </cell>
          <cell r="AK21">
            <v>117520.12200000002</v>
          </cell>
          <cell r="AL21">
            <v>-19478.955989999937</v>
          </cell>
          <cell r="AN21">
            <v>102964.57201000015</v>
          </cell>
          <cell r="AO21">
            <v>-271.54599999888342</v>
          </cell>
          <cell r="AP21">
            <v>0</v>
          </cell>
          <cell r="AS21">
            <v>-271.54599999888342</v>
          </cell>
          <cell r="AT21">
            <v>4061.2170000000006</v>
          </cell>
          <cell r="AU21">
            <v>-2819.8569999999991</v>
          </cell>
          <cell r="AV21">
            <v>62125.714</v>
          </cell>
          <cell r="BA21">
            <v>63367.074000000001</v>
          </cell>
          <cell r="BB21">
            <v>0</v>
          </cell>
          <cell r="BC21">
            <v>-15492.812</v>
          </cell>
          <cell r="BD21">
            <v>0</v>
          </cell>
          <cell r="BE21">
            <v>0</v>
          </cell>
          <cell r="BF21">
            <v>-31152.42</v>
          </cell>
          <cell r="BG21">
            <v>0</v>
          </cell>
          <cell r="BH21">
            <v>0</v>
          </cell>
          <cell r="BJ21">
            <v>-46645.231999999996</v>
          </cell>
        </row>
        <row r="22">
          <cell r="F22">
            <v>1700556.4970035343</v>
          </cell>
          <cell r="G22">
            <v>227891.25213547915</v>
          </cell>
          <cell r="H22">
            <v>197069.74144135226</v>
          </cell>
          <cell r="I22">
            <v>75328.940987357186</v>
          </cell>
          <cell r="J22">
            <v>70143.315018983034</v>
          </cell>
          <cell r="K22">
            <v>133599.73986163657</v>
          </cell>
          <cell r="L22">
            <v>118493.92027325362</v>
          </cell>
          <cell r="M22">
            <v>64427.617043536622</v>
          </cell>
          <cell r="N22">
            <v>153232.83683910925</v>
          </cell>
          <cell r="O22">
            <v>36235.678537840082</v>
          </cell>
          <cell r="P22">
            <v>75172.794372050383</v>
          </cell>
          <cell r="Q22">
            <v>66162.902585225602</v>
          </cell>
          <cell r="R22">
            <v>90024.159642220067</v>
          </cell>
          <cell r="S22">
            <v>131108.76991517172</v>
          </cell>
          <cell r="T22">
            <v>17211.878407277145</v>
          </cell>
          <cell r="U22">
            <v>44535.396609726522</v>
          </cell>
          <cell r="V22">
            <v>100282.68566921067</v>
          </cell>
          <cell r="W22">
            <v>53976.854429489409</v>
          </cell>
          <cell r="Z22">
            <v>1654898.4837689195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1654898.4837689195</v>
          </cell>
          <cell r="AJ22">
            <v>23615.492302362803</v>
          </cell>
          <cell r="AK22">
            <v>12298.177212252307</v>
          </cell>
          <cell r="AL22">
            <v>9744.3437200000008</v>
          </cell>
          <cell r="AN22">
            <v>45658.013234615108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J22">
            <v>0</v>
          </cell>
        </row>
        <row r="23">
          <cell r="F23">
            <v>224466.32400353433</v>
          </cell>
          <cell r="G23">
            <v>19882.019631525414</v>
          </cell>
          <cell r="H23">
            <v>17193.044627212388</v>
          </cell>
          <cell r="I23">
            <v>6571.9568851299809</v>
          </cell>
          <cell r="J23">
            <v>6119.5449722599333</v>
          </cell>
          <cell r="K23">
            <v>17903.303940830279</v>
          </cell>
          <cell r="L23">
            <v>15879.017968071243</v>
          </cell>
          <cell r="M23">
            <v>8633.7534138049159</v>
          </cell>
          <cell r="N23">
            <v>20534.276896702209</v>
          </cell>
          <cell r="O23">
            <v>4855.8355505560239</v>
          </cell>
          <cell r="P23">
            <v>10073.682681704198</v>
          </cell>
          <cell r="Q23">
            <v>8866.2938701647963</v>
          </cell>
          <cell r="R23">
            <v>12063.869987783595</v>
          </cell>
          <cell r="S23">
            <v>11418.796868981808</v>
          </cell>
          <cell r="T23">
            <v>1499.0526064234596</v>
          </cell>
          <cell r="U23">
            <v>3878.7691143394718</v>
          </cell>
          <cell r="V23">
            <v>8734.0276159524801</v>
          </cell>
          <cell r="W23">
            <v>4701.0641374770248</v>
          </cell>
          <cell r="Z23">
            <v>178808.31076891924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178808.31076891924</v>
          </cell>
          <cell r="AJ23">
            <v>23615.492302362803</v>
          </cell>
          <cell r="AK23">
            <v>12298.177212252307</v>
          </cell>
          <cell r="AL23">
            <v>9744.3437200000008</v>
          </cell>
          <cell r="AN23">
            <v>45658.013234615108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390462.98200000002</v>
          </cell>
          <cell r="G24">
            <v>55023.674496764696</v>
          </cell>
          <cell r="H24">
            <v>47581.911129191525</v>
          </cell>
          <cell r="I24">
            <v>18187.951885973445</v>
          </cell>
          <cell r="J24">
            <v>16935.897703673541</v>
          </cell>
          <cell r="K24">
            <v>30604.617660041782</v>
          </cell>
          <cell r="L24">
            <v>27144.222951018979</v>
          </cell>
          <cell r="M24">
            <v>14758.880432006225</v>
          </cell>
          <cell r="N24">
            <v>35102.107154410274</v>
          </cell>
          <cell r="O24">
            <v>8300.7578341941298</v>
          </cell>
          <cell r="P24">
            <v>17220.352618771638</v>
          </cell>
          <cell r="Q24">
            <v>15156.39430882508</v>
          </cell>
          <cell r="R24">
            <v>20622.45771488854</v>
          </cell>
          <cell r="S24">
            <v>31661.008687654838</v>
          </cell>
          <cell r="T24">
            <v>4156.437682515394</v>
          </cell>
          <cell r="U24">
            <v>10754.700695315865</v>
          </cell>
          <cell r="V24">
            <v>24216.922973562469</v>
          </cell>
          <cell r="W24">
            <v>13034.686071191534</v>
          </cell>
          <cell r="Z24">
            <v>390462.98200000002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390462.98200000002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1085627.1910000001</v>
          </cell>
          <cell r="G25">
            <v>152985.55800718904</v>
          </cell>
          <cell r="H25">
            <v>132294.78568494835</v>
          </cell>
          <cell r="I25">
            <v>50569.032216253756</v>
          </cell>
          <cell r="J25">
            <v>47087.872343049567</v>
          </cell>
          <cell r="K25">
            <v>85091.818260764499</v>
          </cell>
          <cell r="L25">
            <v>75470.679354163396</v>
          </cell>
          <cell r="M25">
            <v>41034.98319772548</v>
          </cell>
          <cell r="N25">
            <v>97596.452787996779</v>
          </cell>
          <cell r="O25">
            <v>23079.085153089927</v>
          </cell>
          <cell r="P25">
            <v>47878.759071574554</v>
          </cell>
          <cell r="Q25">
            <v>42140.214406235726</v>
          </cell>
          <cell r="R25">
            <v>57337.831939547934</v>
          </cell>
          <cell r="S25">
            <v>88028.964358535086</v>
          </cell>
          <cell r="T25">
            <v>11556.388118338291</v>
          </cell>
          <cell r="U25">
            <v>29901.926800071185</v>
          </cell>
          <cell r="V25">
            <v>67331.735079695718</v>
          </cell>
          <cell r="W25">
            <v>36241.104220820846</v>
          </cell>
          <cell r="Z25">
            <v>1085627.1910000001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1085627.1910000001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J25">
            <v>0</v>
          </cell>
        </row>
        <row r="26">
          <cell r="F26">
            <v>607549.18500647275</v>
          </cell>
          <cell r="G26">
            <v>93125.329864520318</v>
          </cell>
          <cell r="H26">
            <v>25466.827558647201</v>
          </cell>
          <cell r="I26">
            <v>-90483.072987357358</v>
          </cell>
          <cell r="J26">
            <v>-5310.7250189830811</v>
          </cell>
          <cell r="K26">
            <v>-21087.947861636494</v>
          </cell>
          <cell r="L26">
            <v>37372.245726746376</v>
          </cell>
          <cell r="M26">
            <v>-87332.45804353671</v>
          </cell>
          <cell r="N26">
            <v>126858.37716089084</v>
          </cell>
          <cell r="O26">
            <v>-62652.88453784</v>
          </cell>
          <cell r="P26">
            <v>51247.642627949535</v>
          </cell>
          <cell r="Q26">
            <v>-15464.186585225616</v>
          </cell>
          <cell r="R26">
            <v>84876.796357780142</v>
          </cell>
          <cell r="S26">
            <v>46164.839084828098</v>
          </cell>
          <cell r="T26">
            <v>-2960.3054072771702</v>
          </cell>
          <cell r="U26">
            <v>129416.27339027346</v>
          </cell>
          <cell r="V26">
            <v>127065.63133078931</v>
          </cell>
          <cell r="W26">
            <v>74468.016570510576</v>
          </cell>
          <cell r="Z26">
            <v>510770.39923107903</v>
          </cell>
          <cell r="AA26">
            <v>-8215.0280000000002</v>
          </cell>
          <cell r="AB26">
            <v>-174.78200000000001</v>
          </cell>
          <cell r="AC26">
            <v>9092.5770000000011</v>
          </cell>
          <cell r="AD26">
            <v>22319.164000000001</v>
          </cell>
          <cell r="AH26">
            <v>23021.931</v>
          </cell>
          <cell r="AI26">
            <v>533792.33023108495</v>
          </cell>
          <cell r="AJ26">
            <v>-18692.086302362815</v>
          </cell>
          <cell r="AK26">
            <v>105221.94478774771</v>
          </cell>
          <cell r="AL26">
            <v>-29223.299709999937</v>
          </cell>
          <cell r="AN26">
            <v>57306.558775385041</v>
          </cell>
          <cell r="AO26">
            <v>-271.54599999888342</v>
          </cell>
          <cell r="AP26">
            <v>0</v>
          </cell>
          <cell r="AS26">
            <v>-271.54599999888342</v>
          </cell>
          <cell r="AT26">
            <v>4061.2170000000006</v>
          </cell>
          <cell r="AU26">
            <v>-2819.8569999999991</v>
          </cell>
          <cell r="AV26">
            <v>62125.714</v>
          </cell>
          <cell r="BA26">
            <v>63367.074000000001</v>
          </cell>
          <cell r="BB26">
            <v>0</v>
          </cell>
          <cell r="BC26">
            <v>-15492.812</v>
          </cell>
          <cell r="BD26">
            <v>0</v>
          </cell>
          <cell r="BE26">
            <v>0</v>
          </cell>
          <cell r="BF26">
            <v>-31152.42</v>
          </cell>
          <cell r="BG26">
            <v>0</v>
          </cell>
          <cell r="BH26">
            <v>0</v>
          </cell>
          <cell r="BJ26">
            <v>-46645.231999999996</v>
          </cell>
        </row>
        <row r="27">
          <cell r="F27">
            <v>607549.18500646553</v>
          </cell>
          <cell r="G27">
            <v>93125.32986452039</v>
          </cell>
          <cell r="H27">
            <v>25466.827558647168</v>
          </cell>
          <cell r="I27">
            <v>-90483.072987357358</v>
          </cell>
          <cell r="J27">
            <v>-5310.7250189830766</v>
          </cell>
          <cell r="K27">
            <v>-21087.94786163649</v>
          </cell>
          <cell r="L27">
            <v>37372.24572674634</v>
          </cell>
          <cell r="M27">
            <v>-87332.458043536695</v>
          </cell>
          <cell r="N27">
            <v>126858.37716089089</v>
          </cell>
          <cell r="O27">
            <v>-62652.88453784</v>
          </cell>
          <cell r="P27">
            <v>51247.642627949528</v>
          </cell>
          <cell r="Q27">
            <v>-15464.186585225612</v>
          </cell>
          <cell r="R27">
            <v>84876.796357780127</v>
          </cell>
          <cell r="S27">
            <v>46164.839084828105</v>
          </cell>
          <cell r="T27">
            <v>-2960.305407277167</v>
          </cell>
          <cell r="U27">
            <v>129416.27339027346</v>
          </cell>
          <cell r="V27">
            <v>127065.63133078931</v>
          </cell>
          <cell r="W27">
            <v>74468.016570510576</v>
          </cell>
          <cell r="Z27">
            <v>510770.3992310795</v>
          </cell>
          <cell r="AA27">
            <v>-8215.0280000000002</v>
          </cell>
          <cell r="AB27">
            <v>-174.78200000000001</v>
          </cell>
          <cell r="AC27">
            <v>9092.5770000000011</v>
          </cell>
          <cell r="AD27">
            <v>22319.164000000001</v>
          </cell>
          <cell r="AH27">
            <v>23021.931000000004</v>
          </cell>
          <cell r="AI27">
            <v>533792.33023107948</v>
          </cell>
          <cell r="AJ27">
            <v>-18692.086302362815</v>
          </cell>
          <cell r="AK27">
            <v>105221.94478774771</v>
          </cell>
          <cell r="AL27">
            <v>-29223.299709999937</v>
          </cell>
          <cell r="AN27">
            <v>57306.558775384954</v>
          </cell>
          <cell r="AO27">
            <v>-271.54599999889797</v>
          </cell>
          <cell r="AP27">
            <v>0</v>
          </cell>
          <cell r="AS27">
            <v>-271.54599999889797</v>
          </cell>
          <cell r="AT27">
            <v>4061.2170000000006</v>
          </cell>
          <cell r="AU27">
            <v>-2819.8569999999991</v>
          </cell>
          <cell r="AV27">
            <v>62125.714</v>
          </cell>
          <cell r="BA27">
            <v>63367.074000000001</v>
          </cell>
          <cell r="BB27">
            <v>0</v>
          </cell>
          <cell r="BC27">
            <v>-15492.812</v>
          </cell>
          <cell r="BD27">
            <v>0</v>
          </cell>
          <cell r="BE27">
            <v>0</v>
          </cell>
          <cell r="BF27">
            <v>-31152.419999999995</v>
          </cell>
          <cell r="BG27">
            <v>0</v>
          </cell>
          <cell r="BH27">
            <v>0</v>
          </cell>
          <cell r="BJ27">
            <v>-46645.231999999996</v>
          </cell>
        </row>
        <row r="28">
          <cell r="F28">
            <v>7.2177499532699585E-9</v>
          </cell>
          <cell r="G28">
            <v>0</v>
          </cell>
          <cell r="H28">
            <v>3.2741809263825417E-11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Z28">
            <v>-4.6566128730773926E-10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5.4715201258659363E-9</v>
          </cell>
          <cell r="AJ28">
            <v>0</v>
          </cell>
          <cell r="AK28">
            <v>0</v>
          </cell>
          <cell r="AL28">
            <v>0</v>
          </cell>
          <cell r="AN28">
            <v>8.7311491370201111E-11</v>
          </cell>
          <cell r="AO28">
            <v>1.4551915228366852E-11</v>
          </cell>
          <cell r="AP28">
            <v>0</v>
          </cell>
          <cell r="AS28">
            <v>1.4551915228366852E-11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40250</v>
          </cell>
          <cell r="H31">
            <v>33570</v>
          </cell>
          <cell r="I31">
            <v>13605</v>
          </cell>
          <cell r="J31">
            <v>12327</v>
          </cell>
          <cell r="K31">
            <v>20499</v>
          </cell>
          <cell r="L31">
            <v>19392</v>
          </cell>
          <cell r="M31">
            <v>11975</v>
          </cell>
          <cell r="N31">
            <v>23628.5</v>
          </cell>
          <cell r="O31">
            <v>6277</v>
          </cell>
          <cell r="P31">
            <v>12462</v>
          </cell>
          <cell r="Q31">
            <v>11731.5</v>
          </cell>
          <cell r="R31">
            <v>13906</v>
          </cell>
          <cell r="S31">
            <v>23173</v>
          </cell>
          <cell r="T31">
            <v>2568.5</v>
          </cell>
          <cell r="U31">
            <v>7043</v>
          </cell>
          <cell r="V31">
            <v>17106</v>
          </cell>
          <cell r="W31">
            <v>7339.5</v>
          </cell>
          <cell r="X31">
            <v>0</v>
          </cell>
          <cell r="Y31">
            <v>0</v>
          </cell>
          <cell r="Z31">
            <v>276853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276853</v>
          </cell>
          <cell r="AJ31">
            <v>25409</v>
          </cell>
          <cell r="AK31">
            <v>27056</v>
          </cell>
          <cell r="AL31">
            <v>15560</v>
          </cell>
          <cell r="AN31">
            <v>68025</v>
          </cell>
          <cell r="AO31">
            <v>11123.664999999999</v>
          </cell>
          <cell r="AP31">
            <v>0</v>
          </cell>
          <cell r="AS31">
            <v>11123.664999999999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38977313.278999999</v>
          </cell>
          <cell r="G32">
            <v>3841771.1029999997</v>
          </cell>
          <cell r="H32">
            <v>3322184.7299999995</v>
          </cell>
          <cell r="I32">
            <v>1269888.8</v>
          </cell>
          <cell r="J32">
            <v>1182469.9639999999</v>
          </cell>
          <cell r="K32">
            <v>2136824.5</v>
          </cell>
          <cell r="L32">
            <v>1895218.6</v>
          </cell>
          <cell r="M32">
            <v>1030469.9</v>
          </cell>
          <cell r="N32">
            <v>2450840.7000000002</v>
          </cell>
          <cell r="O32">
            <v>579561.65</v>
          </cell>
          <cell r="P32">
            <v>1202330.7</v>
          </cell>
          <cell r="Q32">
            <v>1058224.45</v>
          </cell>
          <cell r="R32">
            <v>1439866.8</v>
          </cell>
          <cell r="S32">
            <v>2210582.0699999998</v>
          </cell>
          <cell r="T32">
            <v>290203.84999999998</v>
          </cell>
          <cell r="U32">
            <v>750896.75</v>
          </cell>
          <cell r="V32">
            <v>1690833.55</v>
          </cell>
          <cell r="W32">
            <v>910086.08100000001</v>
          </cell>
          <cell r="X32">
            <v>0</v>
          </cell>
          <cell r="Y32">
            <v>0</v>
          </cell>
          <cell r="Z32">
            <v>27262254.197999999</v>
          </cell>
          <cell r="AA32">
            <v>0</v>
          </cell>
          <cell r="AB32">
            <v>0</v>
          </cell>
          <cell r="AC32">
            <v>12500</v>
          </cell>
          <cell r="AD32">
            <v>30840</v>
          </cell>
          <cell r="AH32">
            <v>43340</v>
          </cell>
          <cell r="AI32">
            <v>27305594.197999999</v>
          </cell>
          <cell r="AJ32">
            <v>749494</v>
          </cell>
          <cell r="AK32">
            <v>390312</v>
          </cell>
          <cell r="AL32">
            <v>309260</v>
          </cell>
          <cell r="AN32">
            <v>1449066</v>
          </cell>
          <cell r="AO32">
            <v>10147504.217</v>
          </cell>
          <cell r="AP32">
            <v>0</v>
          </cell>
          <cell r="AS32">
            <v>10147504.217</v>
          </cell>
          <cell r="AT32">
            <v>5512.5</v>
          </cell>
          <cell r="AU32">
            <v>5850</v>
          </cell>
          <cell r="AV32">
            <v>62125.714</v>
          </cell>
          <cell r="BA32">
            <v>73488.214000000007</v>
          </cell>
          <cell r="BB32">
            <v>0</v>
          </cell>
          <cell r="BC32">
            <v>1660.65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1660.65</v>
          </cell>
        </row>
        <row r="33">
          <cell r="F33">
            <v>35773623.310990006</v>
          </cell>
          <cell r="G33">
            <v>3449250.1520000002</v>
          </cell>
          <cell r="H33">
            <v>3028086.3680000002</v>
          </cell>
          <cell r="I33">
            <v>1230784.6050000002</v>
          </cell>
          <cell r="J33">
            <v>1078801.0330000001</v>
          </cell>
          <cell r="K33">
            <v>1968196.6009999998</v>
          </cell>
          <cell r="L33">
            <v>1687455.0680000002</v>
          </cell>
          <cell r="M33">
            <v>1012320.9940000001</v>
          </cell>
          <cell r="N33">
            <v>2126559.4780000001</v>
          </cell>
          <cell r="O33">
            <v>576402.94499999995</v>
          </cell>
          <cell r="P33">
            <v>1044927.8060000001</v>
          </cell>
          <cell r="Q33">
            <v>978175.59299999999</v>
          </cell>
          <cell r="R33">
            <v>1240206.8999999999</v>
          </cell>
          <cell r="S33">
            <v>1980776.1869999999</v>
          </cell>
          <cell r="T33">
            <v>265025.87699999998</v>
          </cell>
          <cell r="U33">
            <v>564828.78399999999</v>
          </cell>
          <cell r="V33">
            <v>1430232.649</v>
          </cell>
          <cell r="W33">
            <v>763106.63</v>
          </cell>
          <cell r="X33">
            <v>0</v>
          </cell>
          <cell r="Y33">
            <v>0</v>
          </cell>
          <cell r="Z33">
            <v>24425137.670000002</v>
          </cell>
          <cell r="AA33">
            <v>574.45600000000002</v>
          </cell>
          <cell r="AB33">
            <v>0</v>
          </cell>
          <cell r="AC33">
            <v>3407.4229999999998</v>
          </cell>
          <cell r="AD33">
            <v>8520.8359999999993</v>
          </cell>
          <cell r="AH33">
            <v>12502.715</v>
          </cell>
          <cell r="AI33">
            <v>24437640.385000002</v>
          </cell>
          <cell r="AJ33">
            <v>744570.59400000004</v>
          </cell>
          <cell r="AK33">
            <v>272791.87799999997</v>
          </cell>
          <cell r="AL33">
            <v>328738.95598999993</v>
          </cell>
          <cell r="AN33">
            <v>1346101.42799</v>
          </cell>
          <cell r="AO33">
            <v>9979760.3579999991</v>
          </cell>
          <cell r="AP33">
            <v>0</v>
          </cell>
          <cell r="AS33">
            <v>9979760.3579999991</v>
          </cell>
          <cell r="AT33">
            <v>1451.2830000000001</v>
          </cell>
          <cell r="AU33">
            <v>8669.857</v>
          </cell>
          <cell r="AV33">
            <v>0</v>
          </cell>
          <cell r="BA33">
            <v>10121.14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J33">
            <v>0</v>
          </cell>
        </row>
        <row r="34">
          <cell r="F34">
            <v>3203689.9680099934</v>
          </cell>
          <cell r="G34">
            <v>392520.95099999942</v>
          </cell>
          <cell r="H34">
            <v>294098.36199999927</v>
          </cell>
          <cell r="I34">
            <v>39104.194999999832</v>
          </cell>
          <cell r="J34">
            <v>103668.93099999987</v>
          </cell>
          <cell r="K34">
            <v>168627.89900000021</v>
          </cell>
          <cell r="L34">
            <v>207763.53199999989</v>
          </cell>
          <cell r="M34">
            <v>18148.905999999959</v>
          </cell>
          <cell r="N34">
            <v>324281.22200000007</v>
          </cell>
          <cell r="O34">
            <v>3158.7050000000745</v>
          </cell>
          <cell r="P34">
            <v>157402.89399999985</v>
          </cell>
          <cell r="Q34">
            <v>80048.85699999996</v>
          </cell>
          <cell r="R34">
            <v>199659.90000000014</v>
          </cell>
          <cell r="S34">
            <v>229805.88299999991</v>
          </cell>
          <cell r="T34">
            <v>25177.972999999998</v>
          </cell>
          <cell r="U34">
            <v>186067.96600000001</v>
          </cell>
          <cell r="V34">
            <v>260600.90100000007</v>
          </cell>
          <cell r="W34">
            <v>146979.451</v>
          </cell>
          <cell r="X34">
            <v>0</v>
          </cell>
          <cell r="Y34">
            <v>0</v>
          </cell>
          <cell r="Z34">
            <v>2837116.5279999971</v>
          </cell>
          <cell r="AA34">
            <v>-574.45600000000002</v>
          </cell>
          <cell r="AB34">
            <v>0</v>
          </cell>
          <cell r="AC34">
            <v>9092.5770000000011</v>
          </cell>
          <cell r="AD34">
            <v>22319.164000000001</v>
          </cell>
          <cell r="AH34">
            <v>30837.285</v>
          </cell>
          <cell r="AI34">
            <v>2867953.8129999973</v>
          </cell>
          <cell r="AJ34">
            <v>4923.405999999959</v>
          </cell>
          <cell r="AK34">
            <v>117520.12200000003</v>
          </cell>
          <cell r="AL34">
            <v>-19478.955989999929</v>
          </cell>
          <cell r="AN34">
            <v>102964.57201</v>
          </cell>
          <cell r="AO34">
            <v>167743.8590000011</v>
          </cell>
          <cell r="AP34">
            <v>0</v>
          </cell>
          <cell r="AS34">
            <v>167743.8590000011</v>
          </cell>
          <cell r="AT34">
            <v>4061.2169999999996</v>
          </cell>
          <cell r="AU34">
            <v>-2819.857</v>
          </cell>
          <cell r="AV34">
            <v>62125.714</v>
          </cell>
          <cell r="BA34">
            <v>63367.074000000008</v>
          </cell>
          <cell r="BB34">
            <v>0</v>
          </cell>
          <cell r="BC34">
            <v>1660.65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J34">
            <v>1660.65</v>
          </cell>
        </row>
        <row r="35">
          <cell r="F35">
            <v>2596140.7830035347</v>
          </cell>
          <cell r="G35">
            <v>299395.62113547913</v>
          </cell>
          <cell r="H35">
            <v>268631.53444135224</v>
          </cell>
          <cell r="I35">
            <v>129587.26798735719</v>
          </cell>
          <cell r="J35">
            <v>108979.65601898305</v>
          </cell>
          <cell r="K35">
            <v>189715.84686163656</v>
          </cell>
          <cell r="L35">
            <v>170391.28627325362</v>
          </cell>
          <cell r="M35">
            <v>105481.36404353661</v>
          </cell>
          <cell r="N35">
            <v>197422.84483910925</v>
          </cell>
          <cell r="O35">
            <v>65811.589537840089</v>
          </cell>
          <cell r="P35">
            <v>106155.25137205038</v>
          </cell>
          <cell r="Q35">
            <v>95513.043585225605</v>
          </cell>
          <cell r="R35">
            <v>114783.10364222007</v>
          </cell>
          <cell r="S35">
            <v>183641.04391517173</v>
          </cell>
          <cell r="T35">
            <v>28138.278407277146</v>
          </cell>
          <cell r="U35">
            <v>56651.692609726517</v>
          </cell>
          <cell r="V35">
            <v>133535.26966921065</v>
          </cell>
          <cell r="W35">
            <v>72511.434429489411</v>
          </cell>
          <cell r="X35">
            <v>0</v>
          </cell>
          <cell r="Y35">
            <v>0</v>
          </cell>
          <cell r="Z35">
            <v>2326346.1287689195</v>
          </cell>
          <cell r="AA35">
            <v>7640.5720000000001</v>
          </cell>
          <cell r="AB35">
            <v>174.78200000000001</v>
          </cell>
          <cell r="AC35">
            <v>0</v>
          </cell>
          <cell r="AD35">
            <v>0</v>
          </cell>
          <cell r="AH35">
            <v>7815.3540000000003</v>
          </cell>
          <cell r="AI35">
            <v>2334161.4827689193</v>
          </cell>
          <cell r="AJ35">
            <v>23615.492302362803</v>
          </cell>
          <cell r="AK35">
            <v>12298.177212252307</v>
          </cell>
          <cell r="AL35">
            <v>9744.3437200000008</v>
          </cell>
          <cell r="AN35">
            <v>45658.013234615108</v>
          </cell>
          <cell r="AO35">
            <v>168015.405</v>
          </cell>
          <cell r="AP35">
            <v>0</v>
          </cell>
          <cell r="AS35">
            <v>168015.405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17153.462</v>
          </cell>
          <cell r="BD35">
            <v>0</v>
          </cell>
          <cell r="BE35">
            <v>0</v>
          </cell>
          <cell r="BF35">
            <v>31152.42</v>
          </cell>
          <cell r="BG35">
            <v>0</v>
          </cell>
          <cell r="BH35">
            <v>0</v>
          </cell>
          <cell r="BJ35">
            <v>48305.881999999998</v>
          </cell>
        </row>
        <row r="36">
          <cell r="F36">
            <v>607549.18500645878</v>
          </cell>
          <cell r="G36">
            <v>93125.329864520289</v>
          </cell>
          <cell r="H36">
            <v>25466.827558647026</v>
          </cell>
          <cell r="I36">
            <v>-90483.072987357358</v>
          </cell>
          <cell r="J36">
            <v>-5310.725018983183</v>
          </cell>
          <cell r="K36">
            <v>-21087.947861636349</v>
          </cell>
          <cell r="L36">
            <v>37372.245726746274</v>
          </cell>
          <cell r="M36">
            <v>-87332.458043536652</v>
          </cell>
          <cell r="N36">
            <v>126858.37716089081</v>
          </cell>
          <cell r="O36">
            <v>-62652.884537840015</v>
          </cell>
          <cell r="P36">
            <v>51247.642627949477</v>
          </cell>
          <cell r="Q36">
            <v>-15464.186585225645</v>
          </cell>
          <cell r="R36">
            <v>84876.796357780069</v>
          </cell>
          <cell r="S36">
            <v>46164.839084828185</v>
          </cell>
          <cell r="T36">
            <v>-2960.3054072771483</v>
          </cell>
          <cell r="U36">
            <v>129416.27339027351</v>
          </cell>
          <cell r="V36">
            <v>127065.63133078942</v>
          </cell>
          <cell r="W36">
            <v>74468.01657051059</v>
          </cell>
          <cell r="X36">
            <v>0</v>
          </cell>
          <cell r="Y36">
            <v>0</v>
          </cell>
          <cell r="Z36">
            <v>510770.39923107764</v>
          </cell>
          <cell r="AA36">
            <v>-8215.0280000000002</v>
          </cell>
          <cell r="AB36">
            <v>-174.78200000000001</v>
          </cell>
          <cell r="AC36">
            <v>9092.5770000000011</v>
          </cell>
          <cell r="AD36">
            <v>22319.164000000001</v>
          </cell>
          <cell r="AH36">
            <v>23021.931</v>
          </cell>
          <cell r="AI36">
            <v>533792.33023107797</v>
          </cell>
          <cell r="AJ36">
            <v>-18692.086302362844</v>
          </cell>
          <cell r="AK36">
            <v>105221.94478774772</v>
          </cell>
          <cell r="AL36">
            <v>-29223.29970999993</v>
          </cell>
          <cell r="AN36">
            <v>57306.558775384896</v>
          </cell>
          <cell r="AO36">
            <v>-271.54599999889615</v>
          </cell>
          <cell r="AP36">
            <v>0</v>
          </cell>
          <cell r="AS36">
            <v>-271.54599999889615</v>
          </cell>
          <cell r="AT36">
            <v>4061.2169999999996</v>
          </cell>
          <cell r="AU36">
            <v>-2819.857</v>
          </cell>
          <cell r="AV36">
            <v>62125.714</v>
          </cell>
          <cell r="BA36">
            <v>63367.074000000008</v>
          </cell>
          <cell r="BB36">
            <v>0</v>
          </cell>
          <cell r="BC36">
            <v>-15492.812</v>
          </cell>
          <cell r="BD36">
            <v>0</v>
          </cell>
          <cell r="BE36">
            <v>0</v>
          </cell>
          <cell r="BF36">
            <v>-31152.42</v>
          </cell>
          <cell r="BG36">
            <v>0</v>
          </cell>
          <cell r="BH36">
            <v>0</v>
          </cell>
          <cell r="BJ36">
            <v>-46645.231999999996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-13747</v>
          </cell>
          <cell r="AK38">
            <v>-15392</v>
          </cell>
          <cell r="AL38">
            <v>-14616</v>
          </cell>
          <cell r="AN38">
            <v>-43755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-978597.5</v>
          </cell>
          <cell r="Z39">
            <v>0</v>
          </cell>
          <cell r="AH39">
            <v>0</v>
          </cell>
          <cell r="AI39">
            <v>0</v>
          </cell>
          <cell r="AJ39">
            <v>-413497.5</v>
          </cell>
          <cell r="AK39">
            <v>-272512</v>
          </cell>
          <cell r="AL39">
            <v>-292588</v>
          </cell>
          <cell r="AN39">
            <v>-978597.5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-978597.5</v>
          </cell>
          <cell r="K40">
            <v>-26025.775000000001</v>
          </cell>
          <cell r="L40">
            <v>-97690.027000000002</v>
          </cell>
          <cell r="M40">
            <v>6872.7</v>
          </cell>
          <cell r="N40">
            <v>7986.8410000000003</v>
          </cell>
          <cell r="O40">
            <v>0</v>
          </cell>
          <cell r="P40">
            <v>0</v>
          </cell>
          <cell r="Z40">
            <v>-108856.261</v>
          </cell>
          <cell r="AH40">
            <v>0</v>
          </cell>
          <cell r="AI40">
            <v>-108856.261</v>
          </cell>
          <cell r="AJ40">
            <v>-406102.15600000002</v>
          </cell>
          <cell r="AK40">
            <v>-154841.497</v>
          </cell>
          <cell r="AL40">
            <v>-308797.58600000001</v>
          </cell>
          <cell r="AN40">
            <v>-869741.23900000006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26025.775000000001</v>
          </cell>
          <cell r="L41">
            <v>97690.027000000002</v>
          </cell>
          <cell r="M41">
            <v>-6872.7</v>
          </cell>
          <cell r="N41">
            <v>-7986.8410000000003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108856.261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108856.261</v>
          </cell>
          <cell r="AJ41">
            <v>-7395.3439999999828</v>
          </cell>
          <cell r="AK41">
            <v>-117670.503</v>
          </cell>
          <cell r="AL41">
            <v>16209.58600000001</v>
          </cell>
          <cell r="AN41">
            <v>-108856.26099999994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26025.775000000001</v>
          </cell>
          <cell r="L43">
            <v>97690.027000000002</v>
          </cell>
          <cell r="M43">
            <v>-6872.7</v>
          </cell>
          <cell r="N43">
            <v>-7986.8410000000003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108856.261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108856.261</v>
          </cell>
          <cell r="AJ43">
            <v>-7395.3439999999828</v>
          </cell>
          <cell r="AK43">
            <v>-117670.503</v>
          </cell>
          <cell r="AL43">
            <v>16209.58600000001</v>
          </cell>
          <cell r="AN43">
            <v>-108856.26099999994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40250</v>
          </cell>
          <cell r="H45">
            <v>33570</v>
          </cell>
          <cell r="I45">
            <v>13605</v>
          </cell>
          <cell r="J45">
            <v>12327</v>
          </cell>
          <cell r="K45">
            <v>20499</v>
          </cell>
          <cell r="L45">
            <v>19392</v>
          </cell>
          <cell r="M45">
            <v>11975</v>
          </cell>
          <cell r="N45">
            <v>23628.5</v>
          </cell>
          <cell r="O45">
            <v>6277</v>
          </cell>
          <cell r="P45">
            <v>12462</v>
          </cell>
          <cell r="Q45">
            <v>11731.5</v>
          </cell>
          <cell r="R45">
            <v>13906</v>
          </cell>
          <cell r="S45">
            <v>23173</v>
          </cell>
          <cell r="T45">
            <v>2568.5</v>
          </cell>
          <cell r="U45">
            <v>7043</v>
          </cell>
          <cell r="V45">
            <v>17106</v>
          </cell>
          <cell r="W45">
            <v>7339.5</v>
          </cell>
          <cell r="X45">
            <v>0</v>
          </cell>
          <cell r="Y45">
            <v>0</v>
          </cell>
          <cell r="Z45">
            <v>276853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276853</v>
          </cell>
          <cell r="AJ45">
            <v>11662</v>
          </cell>
          <cell r="AK45">
            <v>11664</v>
          </cell>
          <cell r="AL45">
            <v>944</v>
          </cell>
          <cell r="AN45">
            <v>24270</v>
          </cell>
          <cell r="AO45">
            <v>11123.664999999999</v>
          </cell>
          <cell r="AP45">
            <v>0</v>
          </cell>
          <cell r="AS45">
            <v>11123.664999999999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37998715.778999999</v>
          </cell>
          <cell r="G46">
            <v>3841771.1029999997</v>
          </cell>
          <cell r="H46">
            <v>3322184.7299999995</v>
          </cell>
          <cell r="I46">
            <v>1269888.8</v>
          </cell>
          <cell r="J46">
            <v>1182469.9639999999</v>
          </cell>
          <cell r="K46">
            <v>2136824.5</v>
          </cell>
          <cell r="L46">
            <v>1895218.6</v>
          </cell>
          <cell r="M46">
            <v>1030469.9</v>
          </cell>
          <cell r="N46">
            <v>2450840.7000000002</v>
          </cell>
          <cell r="O46">
            <v>579561.65</v>
          </cell>
          <cell r="P46">
            <v>1202330.7</v>
          </cell>
          <cell r="Q46">
            <v>1058224.45</v>
          </cell>
          <cell r="R46">
            <v>1439866.8</v>
          </cell>
          <cell r="S46">
            <v>2210582.0699999998</v>
          </cell>
          <cell r="T46">
            <v>290203.84999999998</v>
          </cell>
          <cell r="U46">
            <v>750896.75</v>
          </cell>
          <cell r="V46">
            <v>1690833.55</v>
          </cell>
          <cell r="W46">
            <v>910086.08100000001</v>
          </cell>
          <cell r="X46">
            <v>0</v>
          </cell>
          <cell r="Y46">
            <v>0</v>
          </cell>
          <cell r="Z46">
            <v>27262254.197999999</v>
          </cell>
          <cell r="AA46">
            <v>0</v>
          </cell>
          <cell r="AB46">
            <v>0</v>
          </cell>
          <cell r="AC46">
            <v>12500</v>
          </cell>
          <cell r="AD46">
            <v>30840</v>
          </cell>
          <cell r="AH46">
            <v>43340</v>
          </cell>
          <cell r="AI46">
            <v>27305594.197999999</v>
          </cell>
          <cell r="AJ46">
            <v>335996.5</v>
          </cell>
          <cell r="AK46">
            <v>117800</v>
          </cell>
          <cell r="AL46">
            <v>16672</v>
          </cell>
          <cell r="AN46">
            <v>470468.5</v>
          </cell>
          <cell r="AO46">
            <v>10147504.217</v>
          </cell>
          <cell r="AP46">
            <v>0</v>
          </cell>
          <cell r="AS46">
            <v>10147504.217</v>
          </cell>
          <cell r="AT46">
            <v>5512.5</v>
          </cell>
          <cell r="AU46">
            <v>5850</v>
          </cell>
          <cell r="AV46">
            <v>62125.714</v>
          </cell>
          <cell r="BA46">
            <v>73488.214000000007</v>
          </cell>
          <cell r="BB46">
            <v>0</v>
          </cell>
          <cell r="BC46">
            <v>1660.65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1660.65</v>
          </cell>
        </row>
        <row r="47">
          <cell r="F47">
            <v>34795025.810990006</v>
          </cell>
          <cell r="G47">
            <v>3449250.1520000002</v>
          </cell>
          <cell r="H47">
            <v>3028086.3680000002</v>
          </cell>
          <cell r="I47">
            <v>1230784.6050000002</v>
          </cell>
          <cell r="J47">
            <v>1078801.0330000001</v>
          </cell>
          <cell r="K47">
            <v>1942170.8259999999</v>
          </cell>
          <cell r="L47">
            <v>1589765.0410000002</v>
          </cell>
          <cell r="M47">
            <v>1019193.694</v>
          </cell>
          <cell r="N47">
            <v>2134546.3190000001</v>
          </cell>
          <cell r="O47">
            <v>576402.94499999995</v>
          </cell>
          <cell r="P47">
            <v>1044927.8060000001</v>
          </cell>
          <cell r="Q47">
            <v>978175.59299999999</v>
          </cell>
          <cell r="R47">
            <v>1240206.8999999999</v>
          </cell>
          <cell r="S47">
            <v>1980776.1869999999</v>
          </cell>
          <cell r="T47">
            <v>265025.87699999998</v>
          </cell>
          <cell r="U47">
            <v>564828.78399999999</v>
          </cell>
          <cell r="V47">
            <v>1430232.649</v>
          </cell>
          <cell r="W47">
            <v>763106.63</v>
          </cell>
          <cell r="X47">
            <v>0</v>
          </cell>
          <cell r="Y47">
            <v>0</v>
          </cell>
          <cell r="Z47">
            <v>24316281.409000002</v>
          </cell>
          <cell r="AA47">
            <v>574.45600000000002</v>
          </cell>
          <cell r="AB47">
            <v>0</v>
          </cell>
          <cell r="AC47">
            <v>3407.4229999999998</v>
          </cell>
          <cell r="AD47">
            <v>8520.8359999999993</v>
          </cell>
          <cell r="AH47">
            <v>12502.715</v>
          </cell>
          <cell r="AI47">
            <v>24328784.124000002</v>
          </cell>
          <cell r="AJ47">
            <v>338468.43800000002</v>
          </cell>
          <cell r="AK47">
            <v>117950.38099999996</v>
          </cell>
          <cell r="AL47">
            <v>19941.369989999919</v>
          </cell>
          <cell r="AN47">
            <v>476360.18898999994</v>
          </cell>
          <cell r="AO47">
            <v>9979760.3579999991</v>
          </cell>
          <cell r="AP47">
            <v>0</v>
          </cell>
          <cell r="AS47">
            <v>9979760.3579999991</v>
          </cell>
          <cell r="AT47">
            <v>1451.2830000000001</v>
          </cell>
          <cell r="AU47">
            <v>8669.857</v>
          </cell>
          <cell r="AV47">
            <v>0</v>
          </cell>
          <cell r="BA47">
            <v>10121.14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J47">
            <v>0</v>
          </cell>
        </row>
        <row r="48">
          <cell r="F48">
            <v>3203689.9680099934</v>
          </cell>
          <cell r="G48">
            <v>392520.95099999942</v>
          </cell>
          <cell r="H48">
            <v>294098.36199999927</v>
          </cell>
          <cell r="I48">
            <v>39104.194999999832</v>
          </cell>
          <cell r="J48">
            <v>103668.93099999987</v>
          </cell>
          <cell r="K48">
            <v>194653.67400000012</v>
          </cell>
          <cell r="L48">
            <v>305453.55899999989</v>
          </cell>
          <cell r="M48">
            <v>11276.206000000006</v>
          </cell>
          <cell r="N48">
            <v>316294.38100000005</v>
          </cell>
          <cell r="O48">
            <v>3158.7050000000745</v>
          </cell>
          <cell r="P48">
            <v>157402.89399999985</v>
          </cell>
          <cell r="Q48">
            <v>80048.85699999996</v>
          </cell>
          <cell r="R48">
            <v>199659.90000000014</v>
          </cell>
          <cell r="S48">
            <v>229805.88299999991</v>
          </cell>
          <cell r="T48">
            <v>25177.972999999998</v>
          </cell>
          <cell r="U48">
            <v>186067.96600000001</v>
          </cell>
          <cell r="V48">
            <v>260600.90100000007</v>
          </cell>
          <cell r="W48">
            <v>146979.451</v>
          </cell>
          <cell r="X48">
            <v>0</v>
          </cell>
          <cell r="Y48">
            <v>0</v>
          </cell>
          <cell r="Z48">
            <v>2945972.7889999971</v>
          </cell>
          <cell r="AA48">
            <v>-574.45600000000002</v>
          </cell>
          <cell r="AB48">
            <v>0</v>
          </cell>
          <cell r="AC48">
            <v>9092.5770000000011</v>
          </cell>
          <cell r="AD48">
            <v>22319.164000000001</v>
          </cell>
          <cell r="AH48">
            <v>30837.285</v>
          </cell>
          <cell r="AI48">
            <v>2976810.0739999972</v>
          </cell>
          <cell r="AJ48">
            <v>-2471.9380000000237</v>
          </cell>
          <cell r="AK48">
            <v>-150.38099999996484</v>
          </cell>
          <cell r="AL48">
            <v>-3269.3699899999192</v>
          </cell>
          <cell r="AN48">
            <v>-5891.6889899999369</v>
          </cell>
          <cell r="AO48">
            <v>167743.8590000011</v>
          </cell>
          <cell r="AP48">
            <v>0</v>
          </cell>
          <cell r="AS48">
            <v>167743.8590000011</v>
          </cell>
          <cell r="AT48">
            <v>4061.2169999999996</v>
          </cell>
          <cell r="AU48">
            <v>-2819.857</v>
          </cell>
          <cell r="AV48">
            <v>62125.714</v>
          </cell>
          <cell r="BA48">
            <v>63367.074000000008</v>
          </cell>
          <cell r="BB48">
            <v>0</v>
          </cell>
          <cell r="BC48">
            <v>1660.65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J48">
            <v>1660.65</v>
          </cell>
        </row>
        <row r="49">
          <cell r="F49">
            <v>2596140.7830035347</v>
          </cell>
          <cell r="G49">
            <v>299395.62113547913</v>
          </cell>
          <cell r="H49">
            <v>268631.53444135224</v>
          </cell>
          <cell r="I49">
            <v>129587.26798735719</v>
          </cell>
          <cell r="J49">
            <v>108979.65601898305</v>
          </cell>
          <cell r="K49">
            <v>189715.84686163656</v>
          </cell>
          <cell r="L49">
            <v>170391.28627325362</v>
          </cell>
          <cell r="M49">
            <v>105481.36404353661</v>
          </cell>
          <cell r="N49">
            <v>197422.84483910925</v>
          </cell>
          <cell r="O49">
            <v>65811.589537840089</v>
          </cell>
          <cell r="P49">
            <v>106155.25137205038</v>
          </cell>
          <cell r="Q49">
            <v>95513.043585225605</v>
          </cell>
          <cell r="R49">
            <v>114783.10364222007</v>
          </cell>
          <cell r="S49">
            <v>183641.04391517173</v>
          </cell>
          <cell r="T49">
            <v>28138.278407277146</v>
          </cell>
          <cell r="U49">
            <v>56651.692609726517</v>
          </cell>
          <cell r="V49">
            <v>133535.26966921065</v>
          </cell>
          <cell r="W49">
            <v>72511.434429489411</v>
          </cell>
          <cell r="X49">
            <v>0</v>
          </cell>
          <cell r="Y49">
            <v>0</v>
          </cell>
          <cell r="Z49">
            <v>2326346.1287689195</v>
          </cell>
          <cell r="AA49">
            <v>7640.5720000000001</v>
          </cell>
          <cell r="AB49">
            <v>174.78200000000001</v>
          </cell>
          <cell r="AC49">
            <v>0</v>
          </cell>
          <cell r="AD49">
            <v>0</v>
          </cell>
          <cell r="AH49">
            <v>7815.3540000000003</v>
          </cell>
          <cell r="AI49">
            <v>2334161.4827689193</v>
          </cell>
          <cell r="AJ49">
            <v>23615.492302362803</v>
          </cell>
          <cell r="AK49">
            <v>12298.177212252307</v>
          </cell>
          <cell r="AL49">
            <v>9744.3437200000008</v>
          </cell>
          <cell r="AN49">
            <v>45658.013234615108</v>
          </cell>
          <cell r="AO49">
            <v>168015.405</v>
          </cell>
          <cell r="AP49">
            <v>0</v>
          </cell>
          <cell r="AS49">
            <v>168015.405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17153.462</v>
          </cell>
          <cell r="BD49">
            <v>0</v>
          </cell>
          <cell r="BE49">
            <v>0</v>
          </cell>
          <cell r="BF49">
            <v>31152.42</v>
          </cell>
          <cell r="BG49">
            <v>0</v>
          </cell>
          <cell r="BH49">
            <v>0</v>
          </cell>
          <cell r="BJ49">
            <v>48305.881999999998</v>
          </cell>
        </row>
        <row r="50">
          <cell r="F50">
            <v>607549.18500645878</v>
          </cell>
          <cell r="G50">
            <v>93125.329864520289</v>
          </cell>
          <cell r="H50">
            <v>25466.827558647026</v>
          </cell>
          <cell r="I50">
            <v>-90483.072987357358</v>
          </cell>
          <cell r="J50">
            <v>-5310.725018983183</v>
          </cell>
          <cell r="K50">
            <v>4937.8271383635583</v>
          </cell>
          <cell r="L50">
            <v>135062.27272674628</v>
          </cell>
          <cell r="M50">
            <v>-94205.158043536605</v>
          </cell>
          <cell r="N50">
            <v>118871.5361608908</v>
          </cell>
          <cell r="O50">
            <v>-62652.884537840015</v>
          </cell>
          <cell r="P50">
            <v>51247.642627949477</v>
          </cell>
          <cell r="Q50">
            <v>-15464.186585225645</v>
          </cell>
          <cell r="R50">
            <v>84876.796357780069</v>
          </cell>
          <cell r="S50">
            <v>46164.839084828185</v>
          </cell>
          <cell r="T50">
            <v>-2960.3054072771483</v>
          </cell>
          <cell r="U50">
            <v>129416.27339027351</v>
          </cell>
          <cell r="V50">
            <v>127065.63133078942</v>
          </cell>
          <cell r="W50">
            <v>74468.01657051059</v>
          </cell>
          <cell r="X50">
            <v>0</v>
          </cell>
          <cell r="Y50">
            <v>0</v>
          </cell>
          <cell r="Z50">
            <v>619626.66023107758</v>
          </cell>
          <cell r="AA50">
            <v>-8215.0280000000002</v>
          </cell>
          <cell r="AB50">
            <v>-174.78200000000001</v>
          </cell>
          <cell r="AC50">
            <v>9092.5770000000011</v>
          </cell>
          <cell r="AD50">
            <v>22319.164000000001</v>
          </cell>
          <cell r="AH50">
            <v>23021.931</v>
          </cell>
          <cell r="AI50">
            <v>642648.59123107791</v>
          </cell>
          <cell r="AJ50">
            <v>-26087.430302362827</v>
          </cell>
          <cell r="AK50">
            <v>-12448.558212252272</v>
          </cell>
          <cell r="AL50">
            <v>-13013.71370999992</v>
          </cell>
          <cell r="AN50">
            <v>-51549.702224615045</v>
          </cell>
          <cell r="AO50">
            <v>-271.54599999889615</v>
          </cell>
          <cell r="AP50">
            <v>0</v>
          </cell>
          <cell r="AS50">
            <v>-271.54599999889615</v>
          </cell>
          <cell r="AT50">
            <v>4061.2169999999996</v>
          </cell>
          <cell r="AU50">
            <v>-2819.857</v>
          </cell>
          <cell r="AV50">
            <v>62125.714</v>
          </cell>
          <cell r="BA50">
            <v>63367.074000000008</v>
          </cell>
          <cell r="BB50">
            <v>0</v>
          </cell>
          <cell r="BC50">
            <v>-15492.812</v>
          </cell>
          <cell r="BD50">
            <v>0</v>
          </cell>
          <cell r="BE50">
            <v>0</v>
          </cell>
          <cell r="BF50">
            <v>-31152.42</v>
          </cell>
          <cell r="BG50">
            <v>0</v>
          </cell>
          <cell r="BH50">
            <v>0</v>
          </cell>
          <cell r="BJ50">
            <v>-46645.231999999996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N6" t="str">
            <v>골재 계</v>
          </cell>
          <cell r="AO6" t="str">
            <v>건자재영업</v>
          </cell>
          <cell r="AP6" t="str">
            <v>부산시그마</v>
          </cell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퇴직금</v>
          </cell>
          <cell r="BH6" t="str">
            <v>M본사_회계팀</v>
          </cell>
          <cell r="BJ6" t="str">
            <v>기타 계</v>
          </cell>
        </row>
        <row r="7">
          <cell r="G7">
            <v>140460</v>
          </cell>
          <cell r="H7">
            <v>103722</v>
          </cell>
          <cell r="I7">
            <v>43281</v>
          </cell>
          <cell r="J7">
            <v>36927</v>
          </cell>
          <cell r="K7">
            <v>74847</v>
          </cell>
          <cell r="L7">
            <v>67223</v>
          </cell>
          <cell r="M7">
            <v>34275</v>
          </cell>
          <cell r="N7">
            <v>77971.5</v>
          </cell>
          <cell r="O7">
            <v>29916</v>
          </cell>
          <cell r="P7">
            <v>43261</v>
          </cell>
          <cell r="Q7">
            <v>41921.5</v>
          </cell>
          <cell r="R7">
            <v>44811</v>
          </cell>
          <cell r="S7">
            <v>81340</v>
          </cell>
          <cell r="T7">
            <v>8438</v>
          </cell>
          <cell r="U7">
            <v>19002</v>
          </cell>
          <cell r="V7">
            <v>60048</v>
          </cell>
          <cell r="W7">
            <v>23994.5</v>
          </cell>
          <cell r="Z7">
            <v>931438.5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H7">
            <v>0</v>
          </cell>
          <cell r="AI7">
            <v>931438.5</v>
          </cell>
          <cell r="AJ7">
            <v>94411</v>
          </cell>
          <cell r="AK7">
            <v>73478</v>
          </cell>
          <cell r="AL7">
            <v>67536</v>
          </cell>
          <cell r="AN7">
            <v>235425</v>
          </cell>
          <cell r="AO7">
            <v>45346.46</v>
          </cell>
          <cell r="AP7">
            <v>0</v>
          </cell>
          <cell r="AT7">
            <v>0</v>
          </cell>
          <cell r="AU7">
            <v>0</v>
          </cell>
          <cell r="AV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J7">
            <v>0</v>
          </cell>
        </row>
        <row r="8">
          <cell r="F8">
            <v>136196546.99299997</v>
          </cell>
          <cell r="G8">
            <v>13476409.308</v>
          </cell>
          <cell r="H8">
            <v>10154913.379000001</v>
          </cell>
          <cell r="I8">
            <v>3997085.915</v>
          </cell>
          <cell r="J8">
            <v>3518427.1359999999</v>
          </cell>
          <cell r="K8">
            <v>7925726.0199999996</v>
          </cell>
          <cell r="L8">
            <v>6505480.0179999992</v>
          </cell>
          <cell r="M8">
            <v>3117415.7</v>
          </cell>
          <cell r="N8">
            <v>7962465.79</v>
          </cell>
          <cell r="O8">
            <v>2823580.0269999998</v>
          </cell>
          <cell r="P8">
            <v>4266675.63</v>
          </cell>
          <cell r="Q8">
            <v>3851699.5789999999</v>
          </cell>
          <cell r="R8">
            <v>4723127.5999999996</v>
          </cell>
          <cell r="S8">
            <v>8067073.0510000009</v>
          </cell>
          <cell r="T8">
            <v>906761.50399999996</v>
          </cell>
          <cell r="U8">
            <v>2081438.277</v>
          </cell>
          <cell r="V8">
            <v>5832244.3959999997</v>
          </cell>
          <cell r="W8">
            <v>2928038.2960000001</v>
          </cell>
          <cell r="Z8">
            <v>92138561.625999987</v>
          </cell>
          <cell r="AA8">
            <v>125000</v>
          </cell>
          <cell r="AB8">
            <v>0</v>
          </cell>
          <cell r="AC8">
            <v>50000</v>
          </cell>
          <cell r="AD8">
            <v>115860</v>
          </cell>
          <cell r="AH8">
            <v>290860</v>
          </cell>
          <cell r="AI8">
            <v>92429421.625999987</v>
          </cell>
          <cell r="AJ8">
            <v>2729232.5</v>
          </cell>
          <cell r="AK8">
            <v>1042126</v>
          </cell>
          <cell r="AL8">
            <v>1255456</v>
          </cell>
          <cell r="AN8">
            <v>5026814.5</v>
          </cell>
          <cell r="AO8">
            <v>38439847.708999999</v>
          </cell>
          <cell r="AP8">
            <v>0</v>
          </cell>
          <cell r="AS8">
            <v>38439847.708999999</v>
          </cell>
          <cell r="AT8">
            <v>22050</v>
          </cell>
          <cell r="AU8">
            <v>23400</v>
          </cell>
          <cell r="AV8">
            <v>248312.95800000001</v>
          </cell>
          <cell r="BA8">
            <v>293762.95799999998</v>
          </cell>
          <cell r="BB8">
            <v>0</v>
          </cell>
          <cell r="BC8">
            <v>6700.1999999999989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J8">
            <v>6700.1999999999989</v>
          </cell>
        </row>
        <row r="9">
          <cell r="G9">
            <v>95944.819222554477</v>
          </cell>
          <cell r="H9">
            <v>97905.105753842014</v>
          </cell>
          <cell r="I9">
            <v>92351.976964487883</v>
          </cell>
          <cell r="J9">
            <v>95280.611368375452</v>
          </cell>
          <cell r="K9">
            <v>105892.36736275334</v>
          </cell>
          <cell r="L9">
            <v>96774.616098656697</v>
          </cell>
          <cell r="M9">
            <v>90953.04741064916</v>
          </cell>
          <cell r="N9">
            <v>102120.207896475</v>
          </cell>
          <cell r="O9">
            <v>94383.608336676014</v>
          </cell>
          <cell r="P9">
            <v>98626.375488315112</v>
          </cell>
          <cell r="Q9">
            <v>91878.85879560608</v>
          </cell>
          <cell r="R9">
            <v>105401.07562875186</v>
          </cell>
          <cell r="S9">
            <v>99177.19511925253</v>
          </cell>
          <cell r="T9">
            <v>107461.6620052145</v>
          </cell>
          <cell r="U9">
            <v>109537.85269971582</v>
          </cell>
          <cell r="V9">
            <v>97126.372168931513</v>
          </cell>
          <cell r="W9">
            <v>122029.56077434412</v>
          </cell>
          <cell r="Z9">
            <v>98920.714170608131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H9">
            <v>0</v>
          </cell>
          <cell r="AI9">
            <v>99232.983848101605</v>
          </cell>
          <cell r="AJ9">
            <v>28907.99271271356</v>
          </cell>
          <cell r="AK9">
            <v>14182.830234900242</v>
          </cell>
          <cell r="AL9">
            <v>18589.433783463632</v>
          </cell>
          <cell r="AO9">
            <v>847692.36030772852</v>
          </cell>
          <cell r="AP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J9">
            <v>0</v>
          </cell>
        </row>
        <row r="10">
          <cell r="F10">
            <v>126177063.63121001</v>
          </cell>
          <cell r="G10">
            <v>12224184.46827</v>
          </cell>
          <cell r="H10">
            <v>9592621.935109999</v>
          </cell>
          <cell r="I10">
            <v>4019028.5616699997</v>
          </cell>
          <cell r="J10">
            <v>3352206.4276100001</v>
          </cell>
          <cell r="K10">
            <v>6655333.5898899995</v>
          </cell>
          <cell r="L10">
            <v>5749214.1210000003</v>
          </cell>
          <cell r="M10">
            <v>3004437.6965800002</v>
          </cell>
          <cell r="N10">
            <v>7061209.0759699997</v>
          </cell>
          <cell r="O10">
            <v>2623695.1472399998</v>
          </cell>
          <cell r="P10">
            <v>3682898.8178199995</v>
          </cell>
          <cell r="Q10">
            <v>3607923.3098400002</v>
          </cell>
          <cell r="R10">
            <v>4140107.66126</v>
          </cell>
          <cell r="S10">
            <v>7390040.6181300003</v>
          </cell>
          <cell r="T10">
            <v>900511.84164000012</v>
          </cell>
          <cell r="U10">
            <v>1619035.4903000002</v>
          </cell>
          <cell r="V10">
            <v>4930170.5958500002</v>
          </cell>
          <cell r="W10">
            <v>2455851.3854800002</v>
          </cell>
          <cell r="Z10">
            <v>83008470.743660003</v>
          </cell>
          <cell r="AA10">
            <v>6297.8249999999998</v>
          </cell>
          <cell r="AB10">
            <v>0</v>
          </cell>
          <cell r="AC10">
            <v>13503.581999999999</v>
          </cell>
          <cell r="AD10">
            <v>31492.279000000002</v>
          </cell>
          <cell r="AH10">
            <v>51293.686000000002</v>
          </cell>
          <cell r="AI10">
            <v>83059764.429660007</v>
          </cell>
          <cell r="AJ10">
            <v>2486038.5101100001</v>
          </cell>
          <cell r="AK10">
            <v>792903.21761999989</v>
          </cell>
          <cell r="AL10">
            <v>1588996.9178199999</v>
          </cell>
          <cell r="AN10">
            <v>4867938.6455499995</v>
          </cell>
          <cell r="AO10">
            <v>37939687.751000002</v>
          </cell>
          <cell r="AP10">
            <v>0</v>
          </cell>
          <cell r="AS10">
            <v>37939687.751000002</v>
          </cell>
          <cell r="AT10">
            <v>553.56399999999996</v>
          </cell>
          <cell r="AU10">
            <v>720.976</v>
          </cell>
          <cell r="AV10">
            <v>0</v>
          </cell>
          <cell r="BA10">
            <v>1274.54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302804.88</v>
          </cell>
          <cell r="BH10">
            <v>5593.3850000000002</v>
          </cell>
          <cell r="BJ10">
            <v>308398.26500000001</v>
          </cell>
        </row>
        <row r="11">
          <cell r="G11">
            <v>87029.648784493795</v>
          </cell>
          <cell r="H11">
            <v>92483.966131678899</v>
          </cell>
          <cell r="I11">
            <v>92858.958010905466</v>
          </cell>
          <cell r="J11">
            <v>90779.278782733498</v>
          </cell>
          <cell r="K11">
            <v>88919.176318222497</v>
          </cell>
          <cell r="L11">
            <v>85524.509780878579</v>
          </cell>
          <cell r="M11">
            <v>87656.825574908842</v>
          </cell>
          <cell r="N11">
            <v>90561.411233206993</v>
          </cell>
          <cell r="O11">
            <v>87702.07070597673</v>
          </cell>
          <cell r="P11">
            <v>85132.077802639789</v>
          </cell>
          <cell r="Q11">
            <v>86063.793276481054</v>
          </cell>
          <cell r="R11">
            <v>92390.432288054275</v>
          </cell>
          <cell r="S11">
            <v>90853.708115687245</v>
          </cell>
          <cell r="T11">
            <v>106721.00517184168</v>
          </cell>
          <cell r="U11">
            <v>85203.425444690045</v>
          </cell>
          <cell r="V11">
            <v>82103.826869337863</v>
          </cell>
          <cell r="W11">
            <v>102350.59640667653</v>
          </cell>
          <cell r="Z11">
            <v>89118.57384428494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H11">
            <v>0</v>
          </cell>
          <cell r="AI11">
            <v>89173.643165555215</v>
          </cell>
          <cell r="AJ11">
            <v>26332.085351389138</v>
          </cell>
          <cell r="AK11">
            <v>10791.028847001822</v>
          </cell>
          <cell r="AL11">
            <v>23528.146733890073</v>
          </cell>
          <cell r="AO11">
            <v>836662.61381814594</v>
          </cell>
          <cell r="AP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J11">
            <v>0</v>
          </cell>
        </row>
        <row r="12">
          <cell r="F12">
            <v>10019483.361789957</v>
          </cell>
          <cell r="G12">
            <v>1252224.8397300001</v>
          </cell>
          <cell r="H12">
            <v>562291.44389000162</v>
          </cell>
          <cell r="I12">
            <v>-21942.646669999696</v>
          </cell>
          <cell r="J12">
            <v>166220.70838999981</v>
          </cell>
          <cell r="K12">
            <v>1270392.4301100001</v>
          </cell>
          <cell r="L12">
            <v>756265.89699999895</v>
          </cell>
          <cell r="M12">
            <v>112978.00341999996</v>
          </cell>
          <cell r="N12">
            <v>901256.71403000038</v>
          </cell>
          <cell r="O12">
            <v>199884.87975999992</v>
          </cell>
          <cell r="P12">
            <v>583776.81218000036</v>
          </cell>
          <cell r="Q12">
            <v>243776.26915999968</v>
          </cell>
          <cell r="R12">
            <v>583019.93873999966</v>
          </cell>
          <cell r="S12">
            <v>677032.4328700006</v>
          </cell>
          <cell r="T12">
            <v>6249.662359999842</v>
          </cell>
          <cell r="U12">
            <v>462402.78669999982</v>
          </cell>
          <cell r="V12">
            <v>902073.80014999956</v>
          </cell>
          <cell r="W12">
            <v>472186.91051999992</v>
          </cell>
          <cell r="Z12">
            <v>9130090.8823400009</v>
          </cell>
          <cell r="AA12">
            <v>118702.175</v>
          </cell>
          <cell r="AB12">
            <v>0</v>
          </cell>
          <cell r="AC12">
            <v>36496.418000000005</v>
          </cell>
          <cell r="AD12">
            <v>84367.72099999999</v>
          </cell>
          <cell r="AH12">
            <v>239566.31400000001</v>
          </cell>
          <cell r="AI12">
            <v>9369657.1963399798</v>
          </cell>
          <cell r="AJ12">
            <v>243193.98988999985</v>
          </cell>
          <cell r="AK12">
            <v>249222.78238000011</v>
          </cell>
          <cell r="AL12">
            <v>-333540.91781999986</v>
          </cell>
          <cell r="AN12">
            <v>158875.85445000045</v>
          </cell>
          <cell r="AO12">
            <v>500159.95799999684</v>
          </cell>
          <cell r="AP12">
            <v>0</v>
          </cell>
          <cell r="AS12">
            <v>500159.95799999684</v>
          </cell>
          <cell r="AT12">
            <v>21496.436000000002</v>
          </cell>
          <cell r="AU12">
            <v>22679.024000000001</v>
          </cell>
          <cell r="AV12">
            <v>248312.95800000001</v>
          </cell>
          <cell r="BA12">
            <v>292488.41800000001</v>
          </cell>
          <cell r="BB12">
            <v>0</v>
          </cell>
          <cell r="BC12">
            <v>6700.1999999999989</v>
          </cell>
          <cell r="BD12">
            <v>0</v>
          </cell>
          <cell r="BE12">
            <v>0</v>
          </cell>
          <cell r="BF12">
            <v>0</v>
          </cell>
          <cell r="BG12">
            <v>-302804.88</v>
          </cell>
          <cell r="BH12">
            <v>-5593.3850000000002</v>
          </cell>
          <cell r="BJ12">
            <v>-301698.065</v>
          </cell>
        </row>
        <row r="13">
          <cell r="F13">
            <v>3458236.1129999999</v>
          </cell>
          <cell r="G13">
            <v>265943.69499999995</v>
          </cell>
          <cell r="H13">
            <v>276298.973</v>
          </cell>
          <cell r="I13">
            <v>210428.65399999998</v>
          </cell>
          <cell r="J13">
            <v>144381.24</v>
          </cell>
          <cell r="K13">
            <v>207575.06199999998</v>
          </cell>
          <cell r="L13">
            <v>214522.98899999997</v>
          </cell>
          <cell r="M13">
            <v>157439.45600000001</v>
          </cell>
          <cell r="N13">
            <v>162439.70499999999</v>
          </cell>
          <cell r="O13">
            <v>129295.31700000001</v>
          </cell>
          <cell r="P13">
            <v>124695.175</v>
          </cell>
          <cell r="Q13">
            <v>120053.283</v>
          </cell>
          <cell r="R13">
            <v>103816.473</v>
          </cell>
          <cell r="S13">
            <v>187139.07500000001</v>
          </cell>
          <cell r="T13">
            <v>43442.087</v>
          </cell>
          <cell r="U13">
            <v>44132.411</v>
          </cell>
          <cell r="V13">
            <v>131364.74900000001</v>
          </cell>
          <cell r="W13">
            <v>64494.566000000006</v>
          </cell>
          <cell r="Z13">
            <v>2587462.91</v>
          </cell>
          <cell r="AA13">
            <v>2021.4680000000001</v>
          </cell>
          <cell r="AB13">
            <v>808.24699999999996</v>
          </cell>
          <cell r="AC13">
            <v>0</v>
          </cell>
          <cell r="AD13">
            <v>0</v>
          </cell>
          <cell r="AH13">
            <v>2829.7150000000001</v>
          </cell>
          <cell r="AI13">
            <v>2590292.625</v>
          </cell>
          <cell r="AJ13">
            <v>0</v>
          </cell>
          <cell r="AK13">
            <v>0</v>
          </cell>
          <cell r="AL13">
            <v>0</v>
          </cell>
          <cell r="AN13">
            <v>0</v>
          </cell>
          <cell r="AO13">
            <v>583702.82700000005</v>
          </cell>
          <cell r="AP13">
            <v>0</v>
          </cell>
          <cell r="AS13">
            <v>583702.82700000005</v>
          </cell>
          <cell r="AT13">
            <v>0</v>
          </cell>
          <cell r="AU13">
            <v>0</v>
          </cell>
          <cell r="AV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45853.760999999999</v>
          </cell>
          <cell r="BG13">
            <v>238386.9</v>
          </cell>
          <cell r="BH13">
            <v>0</v>
          </cell>
          <cell r="BJ13">
            <v>284240.66099999996</v>
          </cell>
        </row>
        <row r="14">
          <cell r="F14">
            <v>2362488.128</v>
          </cell>
          <cell r="G14">
            <v>175179.16899999999</v>
          </cell>
          <cell r="H14">
            <v>182624.55599999998</v>
          </cell>
          <cell r="I14">
            <v>139619.58499999999</v>
          </cell>
          <cell r="J14">
            <v>103761.9</v>
          </cell>
          <cell r="K14">
            <v>135888.61499999999</v>
          </cell>
          <cell r="L14">
            <v>143244.37799999997</v>
          </cell>
          <cell r="M14">
            <v>108173.63499999999</v>
          </cell>
          <cell r="N14">
            <v>109650.33699999998</v>
          </cell>
          <cell r="O14">
            <v>85334.175000000003</v>
          </cell>
          <cell r="P14">
            <v>84841.455000000002</v>
          </cell>
          <cell r="Q14">
            <v>81837.648000000001</v>
          </cell>
          <cell r="R14">
            <v>74395.106</v>
          </cell>
          <cell r="S14">
            <v>128869.511</v>
          </cell>
          <cell r="T14">
            <v>29892.050000000003</v>
          </cell>
          <cell r="U14">
            <v>29768.984</v>
          </cell>
          <cell r="V14">
            <v>89433.638999999996</v>
          </cell>
          <cell r="W14">
            <v>42876.593000000001</v>
          </cell>
          <cell r="Z14">
            <v>1745391.3360000001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H14">
            <v>0</v>
          </cell>
          <cell r="AI14">
            <v>1745391.3360000001</v>
          </cell>
          <cell r="AJ14">
            <v>0</v>
          </cell>
          <cell r="AK14">
            <v>0</v>
          </cell>
          <cell r="AL14">
            <v>0</v>
          </cell>
          <cell r="AN14">
            <v>0</v>
          </cell>
          <cell r="AO14">
            <v>378709.89199999999</v>
          </cell>
          <cell r="AP14">
            <v>0</v>
          </cell>
          <cell r="AS14">
            <v>378709.89199999999</v>
          </cell>
          <cell r="AT14">
            <v>0</v>
          </cell>
          <cell r="AU14">
            <v>0</v>
          </cell>
          <cell r="AV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238386.9</v>
          </cell>
          <cell r="BH14">
            <v>0</v>
          </cell>
          <cell r="BJ14">
            <v>238386.9</v>
          </cell>
        </row>
        <row r="15">
          <cell r="F15">
            <v>1095747.9849999999</v>
          </cell>
          <cell r="G15">
            <v>90764.525999999983</v>
          </cell>
          <cell r="H15">
            <v>93674.417000000001</v>
          </cell>
          <cell r="I15">
            <v>70809.068999999989</v>
          </cell>
          <cell r="J15">
            <v>40619.339999999997</v>
          </cell>
          <cell r="K15">
            <v>71686.447</v>
          </cell>
          <cell r="L15">
            <v>71278.611000000004</v>
          </cell>
          <cell r="M15">
            <v>49265.821000000004</v>
          </cell>
          <cell r="N15">
            <v>52789.368000000002</v>
          </cell>
          <cell r="O15">
            <v>43961.142</v>
          </cell>
          <cell r="P15">
            <v>39853.72</v>
          </cell>
          <cell r="Q15">
            <v>38215.634999999995</v>
          </cell>
          <cell r="R15">
            <v>29421.366999999998</v>
          </cell>
          <cell r="S15">
            <v>58269.563999999998</v>
          </cell>
          <cell r="T15">
            <v>13550.037</v>
          </cell>
          <cell r="U15">
            <v>14363.427</v>
          </cell>
          <cell r="V15">
            <v>41931.11</v>
          </cell>
          <cell r="W15">
            <v>21617.973000000002</v>
          </cell>
          <cell r="Z15">
            <v>842071.57399999991</v>
          </cell>
          <cell r="AA15">
            <v>2021.4680000000001</v>
          </cell>
          <cell r="AB15">
            <v>808.24699999999996</v>
          </cell>
          <cell r="AC15">
            <v>0</v>
          </cell>
          <cell r="AD15">
            <v>0</v>
          </cell>
          <cell r="AH15">
            <v>2829.7150000000001</v>
          </cell>
          <cell r="AI15">
            <v>844901.28899999987</v>
          </cell>
          <cell r="AJ15">
            <v>0</v>
          </cell>
          <cell r="AK15">
            <v>0</v>
          </cell>
          <cell r="AL15">
            <v>0</v>
          </cell>
          <cell r="AN15">
            <v>0</v>
          </cell>
          <cell r="AO15">
            <v>204992.935</v>
          </cell>
          <cell r="AP15">
            <v>0</v>
          </cell>
          <cell r="AS15">
            <v>204992.935</v>
          </cell>
          <cell r="AT15">
            <v>0</v>
          </cell>
          <cell r="AU15">
            <v>0</v>
          </cell>
          <cell r="AV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45853.760999999999</v>
          </cell>
          <cell r="BG15">
            <v>0</v>
          </cell>
          <cell r="BH15">
            <v>0</v>
          </cell>
          <cell r="BJ15">
            <v>45853.760999999999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N16">
            <v>0</v>
          </cell>
          <cell r="AO16">
            <v>0</v>
          </cell>
          <cell r="AP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J16">
            <v>0</v>
          </cell>
        </row>
        <row r="17">
          <cell r="F17">
            <v>6561247.2487899568</v>
          </cell>
          <cell r="G17">
            <v>986281.14473000017</v>
          </cell>
          <cell r="H17">
            <v>285992.47089000163</v>
          </cell>
          <cell r="I17">
            <v>-232371.30066999968</v>
          </cell>
          <cell r="J17">
            <v>21839.46838999982</v>
          </cell>
          <cell r="K17">
            <v>1062817.3681100002</v>
          </cell>
          <cell r="L17">
            <v>541742.90799999901</v>
          </cell>
          <cell r="M17">
            <v>-44461.452580000041</v>
          </cell>
          <cell r="N17">
            <v>738817.00903000042</v>
          </cell>
          <cell r="O17">
            <v>70589.562759999913</v>
          </cell>
          <cell r="P17">
            <v>459081.63718000037</v>
          </cell>
          <cell r="Q17">
            <v>123722.98615999968</v>
          </cell>
          <cell r="R17">
            <v>479203.46573999966</v>
          </cell>
          <cell r="S17">
            <v>489893.35787000059</v>
          </cell>
          <cell r="T17">
            <v>-37192.424640000158</v>
          </cell>
          <cell r="U17">
            <v>418270.3756999998</v>
          </cell>
          <cell r="V17">
            <v>770709.05114999949</v>
          </cell>
          <cell r="W17">
            <v>407692.34451999993</v>
          </cell>
          <cell r="Z17">
            <v>6542627.9723400008</v>
          </cell>
          <cell r="AA17">
            <v>116680.70700000001</v>
          </cell>
          <cell r="AB17">
            <v>-808.24699999999996</v>
          </cell>
          <cell r="AC17">
            <v>36496.418000000005</v>
          </cell>
          <cell r="AD17">
            <v>84367.72099999999</v>
          </cell>
          <cell r="AH17">
            <v>236736.59900000002</v>
          </cell>
          <cell r="AI17">
            <v>6779364.5713399798</v>
          </cell>
          <cell r="AJ17">
            <v>243193.98988999985</v>
          </cell>
          <cell r="AK17">
            <v>249222.78238000011</v>
          </cell>
          <cell r="AL17">
            <v>-333540.91781999986</v>
          </cell>
          <cell r="AN17">
            <v>158875.85445000045</v>
          </cell>
          <cell r="AO17">
            <v>-83542.869000003207</v>
          </cell>
          <cell r="AP17">
            <v>0</v>
          </cell>
          <cell r="AS17">
            <v>-83542.869000003207</v>
          </cell>
          <cell r="AT17">
            <v>21496.436000000002</v>
          </cell>
          <cell r="AU17">
            <v>22679.024000000001</v>
          </cell>
          <cell r="AV17">
            <v>248312.95800000001</v>
          </cell>
          <cell r="BA17">
            <v>292488.41800000001</v>
          </cell>
          <cell r="BB17">
            <v>0</v>
          </cell>
          <cell r="BC17">
            <v>6700.1999999999989</v>
          </cell>
          <cell r="BD17">
            <v>0</v>
          </cell>
          <cell r="BE17">
            <v>0</v>
          </cell>
          <cell r="BF17">
            <v>-45853.760999999999</v>
          </cell>
          <cell r="BG17">
            <v>-541191.78</v>
          </cell>
          <cell r="BH17">
            <v>-5593.3850000000002</v>
          </cell>
          <cell r="BJ17">
            <v>-585938.72600000002</v>
          </cell>
        </row>
        <row r="18">
          <cell r="F18">
            <v>2327377.9257899998</v>
          </cell>
          <cell r="G18">
            <v>121007.51673</v>
          </cell>
          <cell r="H18">
            <v>142109.22288999998</v>
          </cell>
          <cell r="I18">
            <v>80379.047330000001</v>
          </cell>
          <cell r="J18">
            <v>72350.642389999994</v>
          </cell>
          <cell r="K18">
            <v>386738.98511000001</v>
          </cell>
          <cell r="L18">
            <v>126857.55899999998</v>
          </cell>
          <cell r="M18">
            <v>61062.979420000003</v>
          </cell>
          <cell r="N18">
            <v>91655.105030000006</v>
          </cell>
          <cell r="O18">
            <v>49653.395759999999</v>
          </cell>
          <cell r="P18">
            <v>126952.75618</v>
          </cell>
          <cell r="Q18">
            <v>62553.94616</v>
          </cell>
          <cell r="R18">
            <v>59947.242739999994</v>
          </cell>
          <cell r="S18">
            <v>132133.74987</v>
          </cell>
          <cell r="T18">
            <v>24767.324359999999</v>
          </cell>
          <cell r="U18">
            <v>44496.173700000007</v>
          </cell>
          <cell r="V18">
            <v>84368.735150000008</v>
          </cell>
          <cell r="W18">
            <v>51927.082519999996</v>
          </cell>
          <cell r="Z18">
            <v>1718961.4643399999</v>
          </cell>
          <cell r="AA18">
            <v>22309.447</v>
          </cell>
          <cell r="AB18">
            <v>0</v>
          </cell>
          <cell r="AC18">
            <v>0</v>
          </cell>
          <cell r="AD18">
            <v>0</v>
          </cell>
          <cell r="AH18">
            <v>22309.447</v>
          </cell>
          <cell r="AI18">
            <v>1741270.9113399999</v>
          </cell>
          <cell r="AJ18">
            <v>137538.95289999997</v>
          </cell>
          <cell r="AK18">
            <v>58688.852369999993</v>
          </cell>
          <cell r="AL18">
            <v>223001.46518</v>
          </cell>
          <cell r="AN18">
            <v>419229.27044999995</v>
          </cell>
          <cell r="AO18">
            <v>23040.063000000002</v>
          </cell>
          <cell r="AP18">
            <v>0</v>
          </cell>
          <cell r="AS18">
            <v>23040.063000000002</v>
          </cell>
          <cell r="AT18">
            <v>5251.5680000000002</v>
          </cell>
          <cell r="AU18">
            <v>21365.493000000002</v>
          </cell>
          <cell r="AV18">
            <v>0</v>
          </cell>
          <cell r="BA18">
            <v>26617.061000000002</v>
          </cell>
          <cell r="BB18">
            <v>0</v>
          </cell>
          <cell r="BC18">
            <v>59730.978999999999</v>
          </cell>
          <cell r="BD18">
            <v>0</v>
          </cell>
          <cell r="BE18">
            <v>0</v>
          </cell>
          <cell r="BF18">
            <v>57489.640999999989</v>
          </cell>
          <cell r="BG18">
            <v>0</v>
          </cell>
          <cell r="BH18">
            <v>0</v>
          </cell>
          <cell r="BJ18">
            <v>117220.62</v>
          </cell>
        </row>
        <row r="19">
          <cell r="F19">
            <v>2097229.48679</v>
          </cell>
          <cell r="G19">
            <v>112808.23073</v>
          </cell>
          <cell r="H19">
            <v>133217.48788999999</v>
          </cell>
          <cell r="I19">
            <v>73762.851330000005</v>
          </cell>
          <cell r="J19">
            <v>67582.69438999999</v>
          </cell>
          <cell r="K19">
            <v>379234.72511</v>
          </cell>
          <cell r="L19">
            <v>120599.95499999999</v>
          </cell>
          <cell r="M19">
            <v>56288.587420000003</v>
          </cell>
          <cell r="N19">
            <v>85401.891029999999</v>
          </cell>
          <cell r="O19">
            <v>46653.25576</v>
          </cell>
          <cell r="P19">
            <v>122077.69417999999</v>
          </cell>
          <cell r="Q19">
            <v>59243.327160000001</v>
          </cell>
          <cell r="R19">
            <v>56400.333739999995</v>
          </cell>
          <cell r="S19">
            <v>125780.94187000001</v>
          </cell>
          <cell r="T19">
            <v>23285.726360000001</v>
          </cell>
          <cell r="U19">
            <v>42724.697700000004</v>
          </cell>
          <cell r="V19">
            <v>81054.765150000007</v>
          </cell>
          <cell r="W19">
            <v>48625.599519999996</v>
          </cell>
          <cell r="Z19">
            <v>1634742.7643399998</v>
          </cell>
          <cell r="AA19">
            <v>16640.391</v>
          </cell>
          <cell r="AB19">
            <v>0</v>
          </cell>
          <cell r="AC19">
            <v>0</v>
          </cell>
          <cell r="AD19">
            <v>0</v>
          </cell>
          <cell r="AH19">
            <v>16640.391</v>
          </cell>
          <cell r="AI19">
            <v>1651383.1553399998</v>
          </cell>
          <cell r="AJ19">
            <v>137538.95289999997</v>
          </cell>
          <cell r="AK19">
            <v>58688.852369999993</v>
          </cell>
          <cell r="AL19">
            <v>223001.46518</v>
          </cell>
          <cell r="AN19">
            <v>419229.27044999995</v>
          </cell>
          <cell r="AO19">
            <v>0</v>
          </cell>
          <cell r="AP19">
            <v>0</v>
          </cell>
          <cell r="AS19">
            <v>0</v>
          </cell>
          <cell r="AT19">
            <v>5251.5680000000002</v>
          </cell>
          <cell r="AU19">
            <v>21365.493000000002</v>
          </cell>
          <cell r="AV19">
            <v>0</v>
          </cell>
          <cell r="BA19">
            <v>26617.061000000002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J19">
            <v>0</v>
          </cell>
        </row>
        <row r="20">
          <cell r="F20">
            <v>230148.43899999998</v>
          </cell>
          <cell r="G20">
            <v>8199.2860000000001</v>
          </cell>
          <cell r="H20">
            <v>8891.7350000000006</v>
          </cell>
          <cell r="I20">
            <v>6616.1959999999999</v>
          </cell>
          <cell r="J20">
            <v>4767.9480000000003</v>
          </cell>
          <cell r="K20">
            <v>7504.26</v>
          </cell>
          <cell r="L20">
            <v>6257.6039999999994</v>
          </cell>
          <cell r="M20">
            <v>4774.3919999999998</v>
          </cell>
          <cell r="N20">
            <v>6253.2139999999999</v>
          </cell>
          <cell r="O20">
            <v>3000.14</v>
          </cell>
          <cell r="P20">
            <v>4875.0619999999999</v>
          </cell>
          <cell r="Q20">
            <v>3310.6189999999997</v>
          </cell>
          <cell r="R20">
            <v>3546.9089999999997</v>
          </cell>
          <cell r="S20">
            <v>6352.8080000000009</v>
          </cell>
          <cell r="T20">
            <v>1481.598</v>
          </cell>
          <cell r="U20">
            <v>1771.4760000000001</v>
          </cell>
          <cell r="V20">
            <v>3313.97</v>
          </cell>
          <cell r="W20">
            <v>3301.4830000000002</v>
          </cell>
          <cell r="Z20">
            <v>84218.699999999983</v>
          </cell>
          <cell r="AA20">
            <v>5669.0559999999996</v>
          </cell>
          <cell r="AB20">
            <v>0</v>
          </cell>
          <cell r="AC20">
            <v>0</v>
          </cell>
          <cell r="AD20">
            <v>0</v>
          </cell>
          <cell r="AH20">
            <v>5669.0559999999996</v>
          </cell>
          <cell r="AI20">
            <v>89887.755999999979</v>
          </cell>
          <cell r="AJ20">
            <v>0</v>
          </cell>
          <cell r="AK20">
            <v>0</v>
          </cell>
          <cell r="AL20">
            <v>0</v>
          </cell>
          <cell r="AN20">
            <v>0</v>
          </cell>
          <cell r="AO20">
            <v>23040.063000000002</v>
          </cell>
          <cell r="AP20">
            <v>0</v>
          </cell>
          <cell r="AS20">
            <v>23040.063000000002</v>
          </cell>
          <cell r="AT20">
            <v>0</v>
          </cell>
          <cell r="AU20">
            <v>0</v>
          </cell>
          <cell r="AV20">
            <v>0</v>
          </cell>
          <cell r="BA20">
            <v>0</v>
          </cell>
          <cell r="BB20">
            <v>0</v>
          </cell>
          <cell r="BC20">
            <v>59730.978999999999</v>
          </cell>
          <cell r="BD20">
            <v>0</v>
          </cell>
          <cell r="BE20">
            <v>0</v>
          </cell>
          <cell r="BF20">
            <v>57489.640999999989</v>
          </cell>
          <cell r="BG20">
            <v>0</v>
          </cell>
          <cell r="BH20">
            <v>0</v>
          </cell>
          <cell r="BJ20">
            <v>117220.62</v>
          </cell>
        </row>
        <row r="21">
          <cell r="F21">
            <v>4233869.322999957</v>
          </cell>
          <cell r="G21">
            <v>865273.62800000014</v>
          </cell>
          <cell r="H21">
            <v>143883.24800000165</v>
          </cell>
          <cell r="I21">
            <v>-312750.34799999965</v>
          </cell>
          <cell r="J21">
            <v>-50511.174000000174</v>
          </cell>
          <cell r="K21">
            <v>676078.38300000015</v>
          </cell>
          <cell r="L21">
            <v>414885.348999999</v>
          </cell>
          <cell r="M21">
            <v>-105524.43200000004</v>
          </cell>
          <cell r="N21">
            <v>647161.90400000045</v>
          </cell>
          <cell r="O21">
            <v>20936.166999999914</v>
          </cell>
          <cell r="P21">
            <v>332128.8810000004</v>
          </cell>
          <cell r="Q21">
            <v>61169.039999999681</v>
          </cell>
          <cell r="R21">
            <v>419256.22299999965</v>
          </cell>
          <cell r="S21">
            <v>357759.60800000059</v>
          </cell>
          <cell r="T21">
            <v>-61959.749000000156</v>
          </cell>
          <cell r="U21">
            <v>373774.20199999982</v>
          </cell>
          <cell r="V21">
            <v>686340.31599999953</v>
          </cell>
          <cell r="W21">
            <v>355765.26199999993</v>
          </cell>
          <cell r="Z21">
            <v>4823666.5080000013</v>
          </cell>
          <cell r="AA21">
            <v>94371.260000000009</v>
          </cell>
          <cell r="AB21">
            <v>-808.24699999999996</v>
          </cell>
          <cell r="AC21">
            <v>36496.418000000005</v>
          </cell>
          <cell r="AD21">
            <v>84367.72099999999</v>
          </cell>
          <cell r="AH21">
            <v>214427.152</v>
          </cell>
          <cell r="AI21">
            <v>5038093.6599999797</v>
          </cell>
          <cell r="AJ21">
            <v>105655.03698999988</v>
          </cell>
          <cell r="AK21">
            <v>190533.93001000013</v>
          </cell>
          <cell r="AL21">
            <v>-556542.38299999991</v>
          </cell>
          <cell r="AN21">
            <v>-260353.4159999995</v>
          </cell>
          <cell r="AO21">
            <v>-106582.9320000032</v>
          </cell>
          <cell r="AP21">
            <v>0</v>
          </cell>
          <cell r="AS21">
            <v>-106582.9320000032</v>
          </cell>
          <cell r="AT21">
            <v>16244.868000000002</v>
          </cell>
          <cell r="AU21">
            <v>1313.530999999999</v>
          </cell>
          <cell r="AV21">
            <v>248312.95800000001</v>
          </cell>
          <cell r="BA21">
            <v>265871.35700000002</v>
          </cell>
          <cell r="BB21">
            <v>0</v>
          </cell>
          <cell r="BC21">
            <v>-53030.779000000002</v>
          </cell>
          <cell r="BD21">
            <v>0</v>
          </cell>
          <cell r="BE21">
            <v>0</v>
          </cell>
          <cell r="BF21">
            <v>-103343.40199999999</v>
          </cell>
          <cell r="BG21">
            <v>-541191.78</v>
          </cell>
          <cell r="BH21">
            <v>-5593.3850000000002</v>
          </cell>
          <cell r="BJ21">
            <v>-703159.34600000002</v>
          </cell>
        </row>
        <row r="22">
          <cell r="F22">
            <v>6835663.5989990998</v>
          </cell>
          <cell r="G22">
            <v>847198.26438382897</v>
          </cell>
          <cell r="H22">
            <v>621345.51455456158</v>
          </cell>
          <cell r="I22">
            <v>252516.6399707876</v>
          </cell>
          <cell r="J22">
            <v>214259.35300380102</v>
          </cell>
          <cell r="K22">
            <v>517605.6172534728</v>
          </cell>
          <cell r="L22">
            <v>429549.05322992371</v>
          </cell>
          <cell r="M22">
            <v>199930.1869655574</v>
          </cell>
          <cell r="N22">
            <v>532229.91075738985</v>
          </cell>
          <cell r="O22">
            <v>185131.44849152426</v>
          </cell>
          <cell r="P22">
            <v>285697.80505503097</v>
          </cell>
          <cell r="Q22">
            <v>260990.806628686</v>
          </cell>
          <cell r="R22">
            <v>314435.86328992178</v>
          </cell>
          <cell r="S22">
            <v>508009.95554676547</v>
          </cell>
          <cell r="T22">
            <v>59072.150677343088</v>
          </cell>
          <cell r="U22">
            <v>126487.88535429665</v>
          </cell>
          <cell r="V22">
            <v>364703.10727162764</v>
          </cell>
          <cell r="W22">
            <v>188567.48943752184</v>
          </cell>
          <cell r="Z22">
            <v>5907731.0518720411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H22">
            <v>0</v>
          </cell>
          <cell r="AI22">
            <v>5907731.0518720411</v>
          </cell>
          <cell r="AJ22">
            <v>101905.16056092847</v>
          </cell>
          <cell r="AK22">
            <v>35912.112576129934</v>
          </cell>
          <cell r="AL22">
            <v>49567.814079999996</v>
          </cell>
          <cell r="AN22">
            <v>187385.0872170584</v>
          </cell>
          <cell r="AO22">
            <v>0</v>
          </cell>
          <cell r="AP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522396.05099999998</v>
          </cell>
          <cell r="BF22">
            <v>0</v>
          </cell>
          <cell r="BG22">
            <v>218151.40891</v>
          </cell>
          <cell r="BH22">
            <v>0</v>
          </cell>
          <cell r="BJ22">
            <v>740547.45990999998</v>
          </cell>
        </row>
        <row r="23">
          <cell r="F23">
            <v>895208.68699909933</v>
          </cell>
          <cell r="G23">
            <v>82806.273884139868</v>
          </cell>
          <cell r="H23">
            <v>59978.057090088791</v>
          </cell>
          <cell r="I23">
            <v>24601.219971358336</v>
          </cell>
          <cell r="J23">
            <v>20626.447548192555</v>
          </cell>
          <cell r="K23">
            <v>75574.626352605148</v>
          </cell>
          <cell r="L23">
            <v>62536.799966535677</v>
          </cell>
          <cell r="M23">
            <v>29035.853008685084</v>
          </cell>
          <cell r="N23">
            <v>77543.676028809001</v>
          </cell>
          <cell r="O23">
            <v>27171.96927486224</v>
          </cell>
          <cell r="P23">
            <v>41726.70537854117</v>
          </cell>
          <cell r="Q23">
            <v>38250.794380799729</v>
          </cell>
          <cell r="R23">
            <v>45844.663689599118</v>
          </cell>
          <cell r="S23">
            <v>49872.275050988894</v>
          </cell>
          <cell r="T23">
            <v>5879.1379476305556</v>
          </cell>
          <cell r="U23">
            <v>12103.883547374966</v>
          </cell>
          <cell r="V23">
            <v>35639.921571729144</v>
          </cell>
          <cell r="W23">
            <v>18631.295090100481</v>
          </cell>
          <cell r="Z23">
            <v>707823.59978204092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H23">
            <v>0</v>
          </cell>
          <cell r="AI23">
            <v>707823.59978204092</v>
          </cell>
          <cell r="AJ23">
            <v>101905.16056092847</v>
          </cell>
          <cell r="AK23">
            <v>35912.112576129934</v>
          </cell>
          <cell r="AL23">
            <v>49567.814079999996</v>
          </cell>
          <cell r="AN23">
            <v>187385.0872170584</v>
          </cell>
          <cell r="AO23">
            <v>0</v>
          </cell>
          <cell r="AP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J23">
            <v>0</v>
          </cell>
        </row>
        <row r="24">
          <cell r="F24">
            <v>1850313.0699999998</v>
          </cell>
          <cell r="G24">
            <v>274088.14864190423</v>
          </cell>
          <cell r="H24">
            <v>196942.72884404348</v>
          </cell>
          <cell r="I24">
            <v>81046.12657863085</v>
          </cell>
          <cell r="J24">
            <v>67656.231467354679</v>
          </cell>
          <cell r="K24">
            <v>158367.0815410846</v>
          </cell>
          <cell r="L24">
            <v>131623.62835021527</v>
          </cell>
          <cell r="M24">
            <v>59118.288730761677</v>
          </cell>
          <cell r="N24">
            <v>161671.55804174676</v>
          </cell>
          <cell r="O24">
            <v>58237.405195527681</v>
          </cell>
          <cell r="P24">
            <v>87635.492531435826</v>
          </cell>
          <cell r="Q24">
            <v>79792.736521742831</v>
          </cell>
          <cell r="R24">
            <v>95233.147991819467</v>
          </cell>
          <cell r="S24">
            <v>163827.66334659912</v>
          </cell>
          <cell r="T24">
            <v>18552.013472053048</v>
          </cell>
          <cell r="U24">
            <v>39661.996283346205</v>
          </cell>
          <cell r="V24">
            <v>116997.2030060759</v>
          </cell>
          <cell r="W24">
            <v>59861.619455658161</v>
          </cell>
          <cell r="Z24">
            <v>1850313.0699999998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H24">
            <v>0</v>
          </cell>
          <cell r="AI24">
            <v>1850313.0699999998</v>
          </cell>
          <cell r="AJ24">
            <v>0</v>
          </cell>
          <cell r="AK24">
            <v>0</v>
          </cell>
          <cell r="AL24">
            <v>0</v>
          </cell>
          <cell r="AN24">
            <v>0</v>
          </cell>
          <cell r="AO24">
            <v>0</v>
          </cell>
          <cell r="AP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J24">
            <v>0</v>
          </cell>
        </row>
        <row r="25">
          <cell r="F25">
            <v>4090141.8420000002</v>
          </cell>
          <cell r="G25">
            <v>490303.84185778489</v>
          </cell>
          <cell r="H25">
            <v>364424.72862042929</v>
          </cell>
          <cell r="I25">
            <v>146869.29342079841</v>
          </cell>
          <cell r="J25">
            <v>125976.67398825378</v>
          </cell>
          <cell r="K25">
            <v>283663.90935978305</v>
          </cell>
          <cell r="L25">
            <v>235388.6249131728</v>
          </cell>
          <cell r="M25">
            <v>111776.04522611065</v>
          </cell>
          <cell r="N25">
            <v>293014.67668683402</v>
          </cell>
          <cell r="O25">
            <v>99722.074021134351</v>
          </cell>
          <cell r="P25">
            <v>156335.60714505395</v>
          </cell>
          <cell r="Q25">
            <v>142947.27572614345</v>
          </cell>
          <cell r="R25">
            <v>173358.05160850321</v>
          </cell>
          <cell r="S25">
            <v>294310.01714917744</v>
          </cell>
          <cell r="T25">
            <v>34640.999257659489</v>
          </cell>
          <cell r="U25">
            <v>74722.005523575484</v>
          </cell>
          <cell r="V25">
            <v>212065.98269382259</v>
          </cell>
          <cell r="W25">
            <v>110074.57489176319</v>
          </cell>
          <cell r="Z25">
            <v>3349594.38209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H25">
            <v>0</v>
          </cell>
          <cell r="AI25">
            <v>3349594.38209</v>
          </cell>
          <cell r="AJ25">
            <v>0</v>
          </cell>
          <cell r="AK25">
            <v>0</v>
          </cell>
          <cell r="AL25">
            <v>0</v>
          </cell>
          <cell r="AN25">
            <v>0</v>
          </cell>
          <cell r="AO25">
            <v>0</v>
          </cell>
          <cell r="AP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522396.05099999998</v>
          </cell>
          <cell r="BF25">
            <v>0</v>
          </cell>
          <cell r="BG25">
            <v>218151.40891</v>
          </cell>
          <cell r="BH25">
            <v>0</v>
          </cell>
          <cell r="BJ25">
            <v>740547.45990999998</v>
          </cell>
        </row>
        <row r="26">
          <cell r="F26">
            <v>-2601794.2759991428</v>
          </cell>
          <cell r="G26">
            <v>18075.363616171177</v>
          </cell>
          <cell r="H26">
            <v>-477462.26655455993</v>
          </cell>
          <cell r="I26">
            <v>-565266.98797078722</v>
          </cell>
          <cell r="J26">
            <v>-264770.52700380119</v>
          </cell>
          <cell r="K26">
            <v>158472.76574652735</v>
          </cell>
          <cell r="L26">
            <v>-14663.704229924711</v>
          </cell>
          <cell r="M26">
            <v>-305454.61896555743</v>
          </cell>
          <cell r="N26">
            <v>114931.9932426106</v>
          </cell>
          <cell r="O26">
            <v>-164195.28149152437</v>
          </cell>
          <cell r="P26">
            <v>46431.075944969431</v>
          </cell>
          <cell r="Q26">
            <v>-199821.76662868631</v>
          </cell>
          <cell r="R26">
            <v>104820.35971007787</v>
          </cell>
          <cell r="S26">
            <v>-150250.34754676488</v>
          </cell>
          <cell r="T26">
            <v>-121031.89967734324</v>
          </cell>
          <cell r="U26">
            <v>247286.31664570316</v>
          </cell>
          <cell r="V26">
            <v>321637.20872837189</v>
          </cell>
          <cell r="W26">
            <v>167197.77256247809</v>
          </cell>
          <cell r="Z26">
            <v>-1084064.5438720398</v>
          </cell>
          <cell r="AA26">
            <v>94371.260000000009</v>
          </cell>
          <cell r="AB26">
            <v>-808.24699999999996</v>
          </cell>
          <cell r="AC26">
            <v>36496.418000000005</v>
          </cell>
          <cell r="AD26">
            <v>84367.72099999999</v>
          </cell>
          <cell r="AH26">
            <v>214427.152</v>
          </cell>
          <cell r="AI26">
            <v>-869637.39187206142</v>
          </cell>
          <cell r="AJ26">
            <v>3749.8764290714025</v>
          </cell>
          <cell r="AK26">
            <v>154621.81743387019</v>
          </cell>
          <cell r="AL26">
            <v>-606110.19707999995</v>
          </cell>
          <cell r="AN26">
            <v>-447738.50321705791</v>
          </cell>
          <cell r="AO26">
            <v>-106582.9320000032</v>
          </cell>
          <cell r="AP26">
            <v>0</v>
          </cell>
          <cell r="AS26">
            <v>-106582.9320000032</v>
          </cell>
          <cell r="AT26">
            <v>16244.868000000002</v>
          </cell>
          <cell r="AU26">
            <v>1313.530999999999</v>
          </cell>
          <cell r="AV26">
            <v>248312.95800000001</v>
          </cell>
          <cell r="BA26">
            <v>265871.35700000002</v>
          </cell>
          <cell r="BB26">
            <v>0</v>
          </cell>
          <cell r="BC26">
            <v>-53030.779000000002</v>
          </cell>
          <cell r="BD26">
            <v>0</v>
          </cell>
          <cell r="BE26">
            <v>-522396.05099999998</v>
          </cell>
          <cell r="BF26">
            <v>-103343.40199999999</v>
          </cell>
          <cell r="BG26">
            <v>-759343.18891000003</v>
          </cell>
          <cell r="BH26">
            <v>-5593.3850000000002</v>
          </cell>
          <cell r="BJ26">
            <v>-1443706.8059100001</v>
          </cell>
        </row>
        <row r="27">
          <cell r="F27">
            <v>-2601794.2759990999</v>
          </cell>
          <cell r="G27">
            <v>18075.36361617173</v>
          </cell>
          <cell r="H27">
            <v>-477462.26655456156</v>
          </cell>
          <cell r="I27">
            <v>-565266.98797078745</v>
          </cell>
          <cell r="J27">
            <v>-264770.52700380108</v>
          </cell>
          <cell r="K27">
            <v>158472.76574652721</v>
          </cell>
          <cell r="L27">
            <v>-14663.704229924151</v>
          </cell>
          <cell r="M27">
            <v>-305454.61896555737</v>
          </cell>
          <cell r="N27">
            <v>114931.99324261022</v>
          </cell>
          <cell r="O27">
            <v>-164195.28149152422</v>
          </cell>
          <cell r="P27">
            <v>46431.075944969067</v>
          </cell>
          <cell r="Q27">
            <v>-199821.76662868613</v>
          </cell>
          <cell r="R27">
            <v>104820.35971007835</v>
          </cell>
          <cell r="S27">
            <v>-150250.34754676578</v>
          </cell>
          <cell r="T27">
            <v>-121031.89967734317</v>
          </cell>
          <cell r="U27">
            <v>247286.31664570339</v>
          </cell>
          <cell r="V27">
            <v>321637.20872837194</v>
          </cell>
          <cell r="W27">
            <v>167197.77256247809</v>
          </cell>
          <cell r="Z27">
            <v>-1084064.5438720412</v>
          </cell>
          <cell r="AA27">
            <v>94371.260000000009</v>
          </cell>
          <cell r="AB27">
            <v>-808.24699999999996</v>
          </cell>
          <cell r="AC27">
            <v>36496.418000000005</v>
          </cell>
          <cell r="AD27">
            <v>84367.721000000005</v>
          </cell>
          <cell r="AH27">
            <v>214427.152</v>
          </cell>
          <cell r="AI27">
            <v>-869637.39187204116</v>
          </cell>
          <cell r="AJ27">
            <v>3749.8764290715044</v>
          </cell>
          <cell r="AK27">
            <v>154621.81743387011</v>
          </cell>
          <cell r="AL27">
            <v>-606110.19707999984</v>
          </cell>
          <cell r="AN27">
            <v>-447738.50321705826</v>
          </cell>
          <cell r="AO27">
            <v>-106582.93200000036</v>
          </cell>
          <cell r="AP27">
            <v>0</v>
          </cell>
          <cell r="AS27">
            <v>-106582.93200000036</v>
          </cell>
          <cell r="AT27">
            <v>16244.868000000002</v>
          </cell>
          <cell r="AU27">
            <v>1313.530999999999</v>
          </cell>
          <cell r="AV27">
            <v>248312.95800000001</v>
          </cell>
          <cell r="BA27">
            <v>265871.35700000002</v>
          </cell>
          <cell r="BB27">
            <v>0</v>
          </cell>
          <cell r="BC27">
            <v>-53030.778999999995</v>
          </cell>
          <cell r="BD27">
            <v>0</v>
          </cell>
          <cell r="BE27">
            <v>-522396.05099999998</v>
          </cell>
          <cell r="BF27">
            <v>-103343.40199999999</v>
          </cell>
          <cell r="BG27">
            <v>-759343.18891000003</v>
          </cell>
          <cell r="BH27">
            <v>-5593.3850000000002</v>
          </cell>
          <cell r="BJ27">
            <v>-1443706.8059099999</v>
          </cell>
        </row>
        <row r="28">
          <cell r="F28">
            <v>-4.2840838432312012E-8</v>
          </cell>
          <cell r="G28">
            <v>-5.5297277867794037E-10</v>
          </cell>
          <cell r="H28">
            <v>1.6298145055770874E-9</v>
          </cell>
          <cell r="I28">
            <v>0</v>
          </cell>
          <cell r="J28">
            <v>0</v>
          </cell>
          <cell r="K28">
            <v>0</v>
          </cell>
          <cell r="L28">
            <v>-5.6024873629212379E-10</v>
          </cell>
          <cell r="M28">
            <v>0</v>
          </cell>
          <cell r="N28">
            <v>3.7834979593753815E-10</v>
          </cell>
          <cell r="O28">
            <v>0</v>
          </cell>
          <cell r="P28">
            <v>3.637978807091713E-10</v>
          </cell>
          <cell r="Q28">
            <v>0</v>
          </cell>
          <cell r="R28">
            <v>-4.8021320253610611E-10</v>
          </cell>
          <cell r="S28">
            <v>9.0221874415874481E-10</v>
          </cell>
          <cell r="T28">
            <v>0</v>
          </cell>
          <cell r="U28">
            <v>-2.3283064365386963E-10</v>
          </cell>
          <cell r="V28">
            <v>0</v>
          </cell>
          <cell r="W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H28">
            <v>0</v>
          </cell>
          <cell r="AI28">
            <v>-2.0256265997886658E-8</v>
          </cell>
          <cell r="AJ28">
            <v>-1.0186340659856796E-10</v>
          </cell>
          <cell r="AK28">
            <v>0</v>
          </cell>
          <cell r="AL28">
            <v>0</v>
          </cell>
          <cell r="AN28">
            <v>0</v>
          </cell>
          <cell r="AO28">
            <v>-2.8376234695315361E-9</v>
          </cell>
          <cell r="AP28">
            <v>0</v>
          </cell>
          <cell r="AS28">
            <v>-2.8376234695315361E-9</v>
          </cell>
          <cell r="AT28">
            <v>0</v>
          </cell>
          <cell r="AU28">
            <v>0</v>
          </cell>
          <cell r="AV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J28">
            <v>0</v>
          </cell>
        </row>
        <row r="31">
          <cell r="G31">
            <v>140460</v>
          </cell>
          <cell r="H31">
            <v>103722</v>
          </cell>
          <cell r="I31">
            <v>43281</v>
          </cell>
          <cell r="J31">
            <v>36927</v>
          </cell>
          <cell r="K31">
            <v>74847</v>
          </cell>
          <cell r="L31">
            <v>67223</v>
          </cell>
          <cell r="M31">
            <v>34275</v>
          </cell>
          <cell r="N31">
            <v>77971.5</v>
          </cell>
          <cell r="O31">
            <v>29916</v>
          </cell>
          <cell r="P31">
            <v>43261</v>
          </cell>
          <cell r="Q31">
            <v>41921.5</v>
          </cell>
          <cell r="R31">
            <v>44811</v>
          </cell>
          <cell r="S31">
            <v>81340</v>
          </cell>
          <cell r="T31">
            <v>8438</v>
          </cell>
          <cell r="U31">
            <v>19002</v>
          </cell>
          <cell r="V31">
            <v>60048</v>
          </cell>
          <cell r="W31">
            <v>23994.5</v>
          </cell>
          <cell r="X31">
            <v>0</v>
          </cell>
          <cell r="Y31">
            <v>0</v>
          </cell>
          <cell r="Z31">
            <v>931438.5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H31">
            <v>0</v>
          </cell>
          <cell r="AI31">
            <v>931438.5</v>
          </cell>
          <cell r="AJ31">
            <v>94411</v>
          </cell>
          <cell r="AK31">
            <v>73478</v>
          </cell>
          <cell r="AL31">
            <v>67536</v>
          </cell>
          <cell r="AN31">
            <v>235425</v>
          </cell>
          <cell r="AO31">
            <v>45346.46</v>
          </cell>
          <cell r="AP31">
            <v>0</v>
          </cell>
          <cell r="AS31">
            <v>45346.46</v>
          </cell>
          <cell r="AT31">
            <v>0</v>
          </cell>
          <cell r="AU31">
            <v>0</v>
          </cell>
          <cell r="AV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J31">
            <v>0</v>
          </cell>
        </row>
        <row r="32">
          <cell r="F32">
            <v>136196546.99299997</v>
          </cell>
          <cell r="G32">
            <v>13476409.308</v>
          </cell>
          <cell r="H32">
            <v>10154913.379000001</v>
          </cell>
          <cell r="I32">
            <v>3997085.915</v>
          </cell>
          <cell r="J32">
            <v>3518427.1359999999</v>
          </cell>
          <cell r="K32">
            <v>7925726.0199999996</v>
          </cell>
          <cell r="L32">
            <v>6505480.0179999992</v>
          </cell>
          <cell r="M32">
            <v>3117415.7</v>
          </cell>
          <cell r="N32">
            <v>7962465.79</v>
          </cell>
          <cell r="O32">
            <v>2823580.0269999998</v>
          </cell>
          <cell r="P32">
            <v>4266675.63</v>
          </cell>
          <cell r="Q32">
            <v>3851699.5789999999</v>
          </cell>
          <cell r="R32">
            <v>4723127.5999999996</v>
          </cell>
          <cell r="S32">
            <v>8067073.0510000009</v>
          </cell>
          <cell r="T32">
            <v>906761.50399999996</v>
          </cell>
          <cell r="U32">
            <v>2081438.277</v>
          </cell>
          <cell r="V32">
            <v>5832244.3959999997</v>
          </cell>
          <cell r="W32">
            <v>2928038.2960000001</v>
          </cell>
          <cell r="X32">
            <v>0</v>
          </cell>
          <cell r="Y32">
            <v>0</v>
          </cell>
          <cell r="Z32">
            <v>92138561.625999987</v>
          </cell>
          <cell r="AA32">
            <v>125000</v>
          </cell>
          <cell r="AB32">
            <v>0</v>
          </cell>
          <cell r="AC32">
            <v>50000</v>
          </cell>
          <cell r="AD32">
            <v>115860</v>
          </cell>
          <cell r="AH32">
            <v>290860</v>
          </cell>
          <cell r="AI32">
            <v>92429421.625999987</v>
          </cell>
          <cell r="AJ32">
            <v>2729232.5</v>
          </cell>
          <cell r="AK32">
            <v>1042126</v>
          </cell>
          <cell r="AL32">
            <v>1255456</v>
          </cell>
          <cell r="AN32">
            <v>5026814.5</v>
          </cell>
          <cell r="AO32">
            <v>38439847.708999999</v>
          </cell>
          <cell r="AP32">
            <v>0</v>
          </cell>
          <cell r="AS32">
            <v>38439847.708999999</v>
          </cell>
          <cell r="AT32">
            <v>22050</v>
          </cell>
          <cell r="AU32">
            <v>23400</v>
          </cell>
          <cell r="AV32">
            <v>248312.95800000001</v>
          </cell>
          <cell r="BA32">
            <v>293762.95799999998</v>
          </cell>
          <cell r="BB32">
            <v>0</v>
          </cell>
          <cell r="BC32">
            <v>6700.1999999999989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J32">
            <v>6700.1999999999989</v>
          </cell>
        </row>
        <row r="33">
          <cell r="F33">
            <v>128274293.118</v>
          </cell>
          <cell r="G33">
            <v>12336992.699000001</v>
          </cell>
          <cell r="H33">
            <v>9725839.4229999986</v>
          </cell>
          <cell r="I33">
            <v>4092791.4129999997</v>
          </cell>
          <cell r="J33">
            <v>3419789.122</v>
          </cell>
          <cell r="K33">
            <v>7034568.3149999995</v>
          </cell>
          <cell r="L33">
            <v>5869814.0760000004</v>
          </cell>
          <cell r="M33">
            <v>3060726.2840000005</v>
          </cell>
          <cell r="N33">
            <v>7146610.9669999992</v>
          </cell>
          <cell r="O33">
            <v>2670348.4029999999</v>
          </cell>
          <cell r="P33">
            <v>3804976.5119999996</v>
          </cell>
          <cell r="Q33">
            <v>3667166.6370000001</v>
          </cell>
          <cell r="R33">
            <v>4196507.9950000001</v>
          </cell>
          <cell r="S33">
            <v>7515821.5600000005</v>
          </cell>
          <cell r="T33">
            <v>923797.56800000009</v>
          </cell>
          <cell r="U33">
            <v>1661760.1880000001</v>
          </cell>
          <cell r="V33">
            <v>5011225.3610000005</v>
          </cell>
          <cell r="W33">
            <v>2504476.9850000003</v>
          </cell>
          <cell r="X33">
            <v>0</v>
          </cell>
          <cell r="Y33">
            <v>0</v>
          </cell>
          <cell r="Z33">
            <v>84643213.508000001</v>
          </cell>
          <cell r="AA33">
            <v>22938.216</v>
          </cell>
          <cell r="AB33">
            <v>0</v>
          </cell>
          <cell r="AC33">
            <v>13503.581999999999</v>
          </cell>
          <cell r="AD33">
            <v>31492.279000000002</v>
          </cell>
          <cell r="AH33">
            <v>67934.07699999999</v>
          </cell>
          <cell r="AI33">
            <v>84711147.585000008</v>
          </cell>
          <cell r="AJ33">
            <v>2623577.4630100001</v>
          </cell>
          <cell r="AK33">
            <v>851592.06998999987</v>
          </cell>
          <cell r="AL33">
            <v>1811998.3829999999</v>
          </cell>
          <cell r="AN33">
            <v>5287167.9159999993</v>
          </cell>
          <cell r="AO33">
            <v>37939687.751000002</v>
          </cell>
          <cell r="AP33">
            <v>0</v>
          </cell>
          <cell r="AS33">
            <v>37939687.751000002</v>
          </cell>
          <cell r="AT33">
            <v>5805.1320000000005</v>
          </cell>
          <cell r="AU33">
            <v>22086.469000000001</v>
          </cell>
          <cell r="AV33">
            <v>0</v>
          </cell>
          <cell r="BA33">
            <v>27891.601000000002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302804.88</v>
          </cell>
          <cell r="BH33">
            <v>5593.3850000000002</v>
          </cell>
          <cell r="BJ33">
            <v>308398.26500000001</v>
          </cell>
        </row>
        <row r="34">
          <cell r="F34">
            <v>7922253.8749999702</v>
          </cell>
          <cell r="G34">
            <v>1139416.6089999992</v>
          </cell>
          <cell r="H34">
            <v>429073.9560000021</v>
          </cell>
          <cell r="I34">
            <v>-95705.497999999672</v>
          </cell>
          <cell r="J34">
            <v>98638.013999999966</v>
          </cell>
          <cell r="K34">
            <v>891157.70500000007</v>
          </cell>
          <cell r="L34">
            <v>635665.94199999887</v>
          </cell>
          <cell r="M34">
            <v>56689.415999999736</v>
          </cell>
          <cell r="N34">
            <v>815854.82300000079</v>
          </cell>
          <cell r="O34">
            <v>153231.62399999984</v>
          </cell>
          <cell r="P34">
            <v>461699.11800000025</v>
          </cell>
          <cell r="Q34">
            <v>184532.94199999981</v>
          </cell>
          <cell r="R34">
            <v>526619.60499999952</v>
          </cell>
          <cell r="S34">
            <v>551251.49100000039</v>
          </cell>
          <cell r="T34">
            <v>-17036.064000000129</v>
          </cell>
          <cell r="U34">
            <v>419678.08899999992</v>
          </cell>
          <cell r="V34">
            <v>821019.03499999922</v>
          </cell>
          <cell r="W34">
            <v>423561.31099999975</v>
          </cell>
          <cell r="X34">
            <v>0</v>
          </cell>
          <cell r="Y34">
            <v>0</v>
          </cell>
          <cell r="Z34">
            <v>7495348.1179999858</v>
          </cell>
          <cell r="AA34">
            <v>102061.784</v>
          </cell>
          <cell r="AB34">
            <v>0</v>
          </cell>
          <cell r="AC34">
            <v>36496.418000000005</v>
          </cell>
          <cell r="AD34">
            <v>84367.72099999999</v>
          </cell>
          <cell r="AH34">
            <v>222925.92300000001</v>
          </cell>
          <cell r="AI34">
            <v>7718274.0409999788</v>
          </cell>
          <cell r="AJ34">
            <v>105655.03698999994</v>
          </cell>
          <cell r="AK34">
            <v>190533.93001000013</v>
          </cell>
          <cell r="AL34">
            <v>-556542.38299999991</v>
          </cell>
          <cell r="AN34">
            <v>-260353.41599999927</v>
          </cell>
          <cell r="AO34">
            <v>500159.95799999684</v>
          </cell>
          <cell r="AP34">
            <v>0</v>
          </cell>
          <cell r="AS34">
            <v>500159.95799999684</v>
          </cell>
          <cell r="AT34">
            <v>16244.867999999999</v>
          </cell>
          <cell r="AU34">
            <v>1313.530999999999</v>
          </cell>
          <cell r="AV34">
            <v>248312.95800000001</v>
          </cell>
          <cell r="BA34">
            <v>265871.35699999996</v>
          </cell>
          <cell r="BB34">
            <v>0</v>
          </cell>
          <cell r="BC34">
            <v>6700.1999999999989</v>
          </cell>
          <cell r="BD34">
            <v>0</v>
          </cell>
          <cell r="BE34">
            <v>0</v>
          </cell>
          <cell r="BF34">
            <v>0</v>
          </cell>
          <cell r="BG34">
            <v>-302804.88</v>
          </cell>
          <cell r="BH34">
            <v>-5593.3850000000002</v>
          </cell>
          <cell r="BJ34">
            <v>-301698.065</v>
          </cell>
        </row>
        <row r="35">
          <cell r="F35">
            <v>10524048.150999099</v>
          </cell>
          <cell r="G35">
            <v>1121341.2453838291</v>
          </cell>
          <cell r="H35">
            <v>906536.22255456157</v>
          </cell>
          <cell r="I35">
            <v>469561.48997078754</v>
          </cell>
          <cell r="J35">
            <v>363408.54100380099</v>
          </cell>
          <cell r="K35">
            <v>732684.93925347272</v>
          </cell>
          <cell r="L35">
            <v>650329.6462299237</v>
          </cell>
          <cell r="M35">
            <v>362144.0349655574</v>
          </cell>
          <cell r="N35">
            <v>700922.82975738985</v>
          </cell>
          <cell r="O35">
            <v>317426.90549152426</v>
          </cell>
          <cell r="P35">
            <v>415268.04205503094</v>
          </cell>
          <cell r="Q35">
            <v>384354.70862868597</v>
          </cell>
          <cell r="R35">
            <v>421799.24528992176</v>
          </cell>
          <cell r="S35">
            <v>701501.8385467655</v>
          </cell>
          <cell r="T35">
            <v>103995.83567734309</v>
          </cell>
          <cell r="U35">
            <v>172391.77235429664</v>
          </cell>
          <cell r="V35">
            <v>499381.82627162762</v>
          </cell>
          <cell r="W35">
            <v>256363.53843752184</v>
          </cell>
          <cell r="X35">
            <v>0</v>
          </cell>
          <cell r="Y35">
            <v>0</v>
          </cell>
          <cell r="Z35">
            <v>8579412.6618720405</v>
          </cell>
          <cell r="AA35">
            <v>7690.5239999999994</v>
          </cell>
          <cell r="AB35">
            <v>808.24699999999996</v>
          </cell>
          <cell r="AC35">
            <v>0</v>
          </cell>
          <cell r="AD35">
            <v>0</v>
          </cell>
          <cell r="AH35">
            <v>8498.7709999999988</v>
          </cell>
          <cell r="AI35">
            <v>8587911.4328720402</v>
          </cell>
          <cell r="AJ35">
            <v>101905.16056092847</v>
          </cell>
          <cell r="AK35">
            <v>35912.112576129934</v>
          </cell>
          <cell r="AL35">
            <v>49567.814079999996</v>
          </cell>
          <cell r="AN35">
            <v>187385.0872170584</v>
          </cell>
          <cell r="AO35">
            <v>606742.89</v>
          </cell>
          <cell r="AP35">
            <v>0</v>
          </cell>
          <cell r="AS35">
            <v>606742.89</v>
          </cell>
          <cell r="AT35">
            <v>0</v>
          </cell>
          <cell r="AU35">
            <v>0</v>
          </cell>
          <cell r="AV35">
            <v>0</v>
          </cell>
          <cell r="BA35">
            <v>0</v>
          </cell>
          <cell r="BB35">
            <v>0</v>
          </cell>
          <cell r="BC35">
            <v>59730.978999999999</v>
          </cell>
          <cell r="BD35">
            <v>0</v>
          </cell>
          <cell r="BE35">
            <v>522396.05099999998</v>
          </cell>
          <cell r="BF35">
            <v>103343.40199999999</v>
          </cell>
          <cell r="BG35">
            <v>456538.30891000002</v>
          </cell>
          <cell r="BH35">
            <v>0</v>
          </cell>
          <cell r="BJ35">
            <v>1142008.7409100002</v>
          </cell>
        </row>
        <row r="36">
          <cell r="F36">
            <v>-2601794.2759991288</v>
          </cell>
          <cell r="G36">
            <v>18075.363616170129</v>
          </cell>
          <cell r="H36">
            <v>-477462.26655455946</v>
          </cell>
          <cell r="I36">
            <v>-565266.98797078722</v>
          </cell>
          <cell r="J36">
            <v>-264770.52700380102</v>
          </cell>
          <cell r="K36">
            <v>158472.76574652735</v>
          </cell>
          <cell r="L36">
            <v>-14663.704229924828</v>
          </cell>
          <cell r="M36">
            <v>-305454.61896555766</v>
          </cell>
          <cell r="N36">
            <v>114931.99324261094</v>
          </cell>
          <cell r="O36">
            <v>-164195.28149152442</v>
          </cell>
          <cell r="P36">
            <v>46431.075944969314</v>
          </cell>
          <cell r="Q36">
            <v>-199821.76662868616</v>
          </cell>
          <cell r="R36">
            <v>104820.35971007776</v>
          </cell>
          <cell r="S36">
            <v>-150250.34754676512</v>
          </cell>
          <cell r="T36">
            <v>-121031.89967734322</v>
          </cell>
          <cell r="U36">
            <v>247286.31664570328</v>
          </cell>
          <cell r="V36">
            <v>321637.2087283716</v>
          </cell>
          <cell r="W36">
            <v>167197.77256247791</v>
          </cell>
          <cell r="X36">
            <v>0</v>
          </cell>
          <cell r="Y36">
            <v>0</v>
          </cell>
          <cell r="Z36">
            <v>-1084064.5438720547</v>
          </cell>
          <cell r="AA36">
            <v>94371.26</v>
          </cell>
          <cell r="AB36">
            <v>-808.24699999999996</v>
          </cell>
          <cell r="AC36">
            <v>36496.418000000005</v>
          </cell>
          <cell r="AD36">
            <v>84367.72099999999</v>
          </cell>
          <cell r="AH36">
            <v>214427.152</v>
          </cell>
          <cell r="AI36">
            <v>-869637.39187206142</v>
          </cell>
          <cell r="AJ36">
            <v>3749.8764290714607</v>
          </cell>
          <cell r="AK36">
            <v>154621.81743387019</v>
          </cell>
          <cell r="AL36">
            <v>-606110.19707999995</v>
          </cell>
          <cell r="AN36">
            <v>-447738.50321705767</v>
          </cell>
          <cell r="AO36">
            <v>-106582.93200000317</v>
          </cell>
          <cell r="AP36">
            <v>0</v>
          </cell>
          <cell r="AS36">
            <v>-106582.93200000317</v>
          </cell>
          <cell r="AT36">
            <v>16244.867999999999</v>
          </cell>
          <cell r="AU36">
            <v>1313.530999999999</v>
          </cell>
          <cell r="AV36">
            <v>248312.95800000001</v>
          </cell>
          <cell r="BA36">
            <v>265871.35699999996</v>
          </cell>
          <cell r="BB36">
            <v>0</v>
          </cell>
          <cell r="BC36">
            <v>-53030.779000000002</v>
          </cell>
          <cell r="BD36">
            <v>0</v>
          </cell>
          <cell r="BE36">
            <v>-522396.05099999998</v>
          </cell>
          <cell r="BF36">
            <v>-103343.40199999999</v>
          </cell>
          <cell r="BG36">
            <v>-759343.18891000003</v>
          </cell>
          <cell r="BH36">
            <v>-5593.3850000000002</v>
          </cell>
          <cell r="BJ36">
            <v>-1443706.8059100001</v>
          </cell>
        </row>
        <row r="38">
          <cell r="Z38">
            <v>0</v>
          </cell>
          <cell r="AH38">
            <v>0</v>
          </cell>
          <cell r="AI38">
            <v>0</v>
          </cell>
          <cell r="AJ38">
            <v>-9972</v>
          </cell>
          <cell r="AK38">
            <v>0</v>
          </cell>
          <cell r="AL38">
            <v>-20288</v>
          </cell>
          <cell r="AN38">
            <v>-30260</v>
          </cell>
          <cell r="AS38">
            <v>0</v>
          </cell>
          <cell r="BA38">
            <v>0</v>
          </cell>
          <cell r="BJ38">
            <v>0</v>
          </cell>
        </row>
        <row r="39">
          <cell r="F39">
            <v>-647732</v>
          </cell>
          <cell r="Z39">
            <v>0</v>
          </cell>
          <cell r="AH39">
            <v>0</v>
          </cell>
          <cell r="AI39">
            <v>0</v>
          </cell>
          <cell r="AJ39">
            <v>-290280</v>
          </cell>
          <cell r="AK39">
            <v>0</v>
          </cell>
          <cell r="AL39">
            <v>-357452</v>
          </cell>
          <cell r="AN39">
            <v>-647732</v>
          </cell>
          <cell r="AS39">
            <v>0</v>
          </cell>
          <cell r="BA39">
            <v>0</v>
          </cell>
          <cell r="BJ39">
            <v>0</v>
          </cell>
        </row>
        <row r="40">
          <cell r="F40">
            <v>-647732</v>
          </cell>
          <cell r="K40">
            <v>13826.505999999999</v>
          </cell>
          <cell r="L40">
            <v>63495.374000000003</v>
          </cell>
          <cell r="M40">
            <v>-1370.634</v>
          </cell>
          <cell r="N40">
            <v>2250.4879999999998</v>
          </cell>
          <cell r="O40">
            <v>0</v>
          </cell>
          <cell r="P40">
            <v>0</v>
          </cell>
          <cell r="Z40">
            <v>78201.733999999997</v>
          </cell>
          <cell r="AH40">
            <v>0</v>
          </cell>
          <cell r="AI40">
            <v>78201.733999999997</v>
          </cell>
          <cell r="AJ40">
            <v>-265972.26899999997</v>
          </cell>
          <cell r="AK40">
            <v>0</v>
          </cell>
          <cell r="AL40">
            <v>-459961.46500000003</v>
          </cell>
          <cell r="AN40">
            <v>-725933.73399999994</v>
          </cell>
          <cell r="AS40">
            <v>0</v>
          </cell>
          <cell r="BA40">
            <v>0</v>
          </cell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-13826.505999999999</v>
          </cell>
          <cell r="L41">
            <v>-63495.374000000003</v>
          </cell>
          <cell r="M41">
            <v>1370.634</v>
          </cell>
          <cell r="N41">
            <v>-2250.4879999999998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-78201.733999999997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H41">
            <v>0</v>
          </cell>
          <cell r="AI41">
            <v>-78201.733999999997</v>
          </cell>
          <cell r="AJ41">
            <v>-24307.731000000029</v>
          </cell>
          <cell r="AK41">
            <v>0</v>
          </cell>
          <cell r="AL41">
            <v>102509.46500000003</v>
          </cell>
          <cell r="AN41">
            <v>78201.733999999939</v>
          </cell>
          <cell r="AO41">
            <v>0</v>
          </cell>
          <cell r="AP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J41">
            <v>0</v>
          </cell>
        </row>
        <row r="42">
          <cell r="F42">
            <v>0</v>
          </cell>
          <cell r="Z42">
            <v>0</v>
          </cell>
          <cell r="AH42">
            <v>0</v>
          </cell>
          <cell r="AI42">
            <v>0</v>
          </cell>
          <cell r="AN42">
            <v>0</v>
          </cell>
          <cell r="AS42">
            <v>0</v>
          </cell>
          <cell r="BA42">
            <v>0</v>
          </cell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-13826.505999999999</v>
          </cell>
          <cell r="L43">
            <v>-63495.374000000003</v>
          </cell>
          <cell r="M43">
            <v>1370.634</v>
          </cell>
          <cell r="N43">
            <v>-2250.4879999999998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-78201.733999999997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H43">
            <v>0</v>
          </cell>
          <cell r="AI43">
            <v>-78201.733999999997</v>
          </cell>
          <cell r="AJ43">
            <v>-24307.731000000029</v>
          </cell>
          <cell r="AK43">
            <v>0</v>
          </cell>
          <cell r="AL43">
            <v>102509.46500000003</v>
          </cell>
          <cell r="AN43">
            <v>78201.733999999939</v>
          </cell>
          <cell r="AO43">
            <v>0</v>
          </cell>
          <cell r="AP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J43">
            <v>0</v>
          </cell>
        </row>
        <row r="45">
          <cell r="G45">
            <v>140460</v>
          </cell>
          <cell r="H45">
            <v>103722</v>
          </cell>
          <cell r="I45">
            <v>43281</v>
          </cell>
          <cell r="J45">
            <v>36927</v>
          </cell>
          <cell r="K45">
            <v>74847</v>
          </cell>
          <cell r="L45">
            <v>67223</v>
          </cell>
          <cell r="M45">
            <v>34275</v>
          </cell>
          <cell r="N45">
            <v>77971.5</v>
          </cell>
          <cell r="O45">
            <v>29916</v>
          </cell>
          <cell r="P45">
            <v>43261</v>
          </cell>
          <cell r="Q45">
            <v>41921.5</v>
          </cell>
          <cell r="R45">
            <v>44811</v>
          </cell>
          <cell r="S45">
            <v>81340</v>
          </cell>
          <cell r="T45">
            <v>8438</v>
          </cell>
          <cell r="U45">
            <v>19002</v>
          </cell>
          <cell r="V45">
            <v>60048</v>
          </cell>
          <cell r="W45">
            <v>23994.5</v>
          </cell>
          <cell r="X45">
            <v>0</v>
          </cell>
          <cell r="Y45">
            <v>0</v>
          </cell>
          <cell r="Z45">
            <v>931438.5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H45">
            <v>0</v>
          </cell>
          <cell r="AI45">
            <v>931438.5</v>
          </cell>
          <cell r="AJ45">
            <v>84439</v>
          </cell>
          <cell r="AK45">
            <v>73478</v>
          </cell>
          <cell r="AL45">
            <v>47248</v>
          </cell>
          <cell r="AN45">
            <v>205165</v>
          </cell>
          <cell r="AO45">
            <v>45346.46</v>
          </cell>
          <cell r="AP45">
            <v>0</v>
          </cell>
          <cell r="AS45">
            <v>45346.46</v>
          </cell>
          <cell r="AT45">
            <v>0</v>
          </cell>
          <cell r="AU45">
            <v>0</v>
          </cell>
          <cell r="AV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J45">
            <v>0</v>
          </cell>
        </row>
        <row r="46">
          <cell r="F46">
            <v>135548814.99299997</v>
          </cell>
          <cell r="G46">
            <v>13476409.308</v>
          </cell>
          <cell r="H46">
            <v>10154913.379000001</v>
          </cell>
          <cell r="I46">
            <v>3997085.915</v>
          </cell>
          <cell r="J46">
            <v>3518427.1359999999</v>
          </cell>
          <cell r="K46">
            <v>7925726.0199999996</v>
          </cell>
          <cell r="L46">
            <v>6505480.0179999992</v>
          </cell>
          <cell r="M46">
            <v>3117415.7</v>
          </cell>
          <cell r="N46">
            <v>7962465.79</v>
          </cell>
          <cell r="O46">
            <v>2823580.0269999998</v>
          </cell>
          <cell r="P46">
            <v>4266675.63</v>
          </cell>
          <cell r="Q46">
            <v>3851699.5789999999</v>
          </cell>
          <cell r="R46">
            <v>4723127.5999999996</v>
          </cell>
          <cell r="S46">
            <v>8067073.0510000009</v>
          </cell>
          <cell r="T46">
            <v>906761.50399999996</v>
          </cell>
          <cell r="U46">
            <v>2081438.277</v>
          </cell>
          <cell r="V46">
            <v>5832244.3959999997</v>
          </cell>
          <cell r="W46">
            <v>2928038.2960000001</v>
          </cell>
          <cell r="X46">
            <v>0</v>
          </cell>
          <cell r="Y46">
            <v>0</v>
          </cell>
          <cell r="Z46">
            <v>92138561.625999987</v>
          </cell>
          <cell r="AA46">
            <v>125000</v>
          </cell>
          <cell r="AB46">
            <v>0</v>
          </cell>
          <cell r="AC46">
            <v>50000</v>
          </cell>
          <cell r="AD46">
            <v>115860</v>
          </cell>
          <cell r="AH46">
            <v>290860</v>
          </cell>
          <cell r="AI46">
            <v>92429421.625999987</v>
          </cell>
          <cell r="AJ46">
            <v>2438952.5</v>
          </cell>
          <cell r="AK46">
            <v>1042126</v>
          </cell>
          <cell r="AL46">
            <v>898004</v>
          </cell>
          <cell r="AN46">
            <v>4379082.5</v>
          </cell>
          <cell r="AO46">
            <v>38439847.708999999</v>
          </cell>
          <cell r="AP46">
            <v>0</v>
          </cell>
          <cell r="AS46">
            <v>38439847.708999999</v>
          </cell>
          <cell r="AT46">
            <v>22050</v>
          </cell>
          <cell r="AU46">
            <v>23400</v>
          </cell>
          <cell r="AV46">
            <v>248312.95800000001</v>
          </cell>
          <cell r="BA46">
            <v>293762.95799999998</v>
          </cell>
          <cell r="BB46">
            <v>0</v>
          </cell>
          <cell r="BC46">
            <v>6700.1999999999989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J46">
            <v>6700.1999999999989</v>
          </cell>
        </row>
        <row r="47">
          <cell r="F47">
            <v>127626561.118</v>
          </cell>
          <cell r="G47">
            <v>12336992.699000001</v>
          </cell>
          <cell r="H47">
            <v>9725839.4229999986</v>
          </cell>
          <cell r="I47">
            <v>4092791.4129999997</v>
          </cell>
          <cell r="J47">
            <v>3419789.122</v>
          </cell>
          <cell r="K47">
            <v>7048394.8209999995</v>
          </cell>
          <cell r="L47">
            <v>5933309.4500000002</v>
          </cell>
          <cell r="M47">
            <v>3059355.6500000004</v>
          </cell>
          <cell r="N47">
            <v>7148861.4549999991</v>
          </cell>
          <cell r="O47">
            <v>2670348.4029999999</v>
          </cell>
          <cell r="P47">
            <v>3804976.5119999996</v>
          </cell>
          <cell r="Q47">
            <v>3667166.6370000001</v>
          </cell>
          <cell r="R47">
            <v>4196507.9950000001</v>
          </cell>
          <cell r="S47">
            <v>7515821.5600000005</v>
          </cell>
          <cell r="T47">
            <v>923797.56800000009</v>
          </cell>
          <cell r="U47">
            <v>1661760.1880000001</v>
          </cell>
          <cell r="V47">
            <v>5011225.3610000005</v>
          </cell>
          <cell r="W47">
            <v>2504476.9850000003</v>
          </cell>
          <cell r="X47">
            <v>0</v>
          </cell>
          <cell r="Y47">
            <v>0</v>
          </cell>
          <cell r="Z47">
            <v>84721415.241999999</v>
          </cell>
          <cell r="AA47">
            <v>22938.216</v>
          </cell>
          <cell r="AB47">
            <v>0</v>
          </cell>
          <cell r="AC47">
            <v>13503.581999999999</v>
          </cell>
          <cell r="AD47">
            <v>31492.279000000002</v>
          </cell>
          <cell r="AH47">
            <v>67934.07699999999</v>
          </cell>
          <cell r="AI47">
            <v>84789349.319000006</v>
          </cell>
          <cell r="AJ47">
            <v>2357605.1940100002</v>
          </cell>
          <cell r="AK47">
            <v>851592.06998999987</v>
          </cell>
          <cell r="AL47">
            <v>1352036.9179999998</v>
          </cell>
          <cell r="AN47">
            <v>4561234.182</v>
          </cell>
          <cell r="AO47">
            <v>37939687.751000002</v>
          </cell>
          <cell r="AP47">
            <v>0</v>
          </cell>
          <cell r="AS47">
            <v>37939687.751000002</v>
          </cell>
          <cell r="AT47">
            <v>5805.1320000000005</v>
          </cell>
          <cell r="AU47">
            <v>22086.469000000001</v>
          </cell>
          <cell r="AV47">
            <v>0</v>
          </cell>
          <cell r="BA47">
            <v>27891.601000000002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302804.88</v>
          </cell>
          <cell r="BH47">
            <v>5593.3850000000002</v>
          </cell>
          <cell r="BJ47">
            <v>308398.26500000001</v>
          </cell>
        </row>
        <row r="48">
          <cell r="F48">
            <v>7922253.8749999702</v>
          </cell>
          <cell r="G48">
            <v>1139416.6089999992</v>
          </cell>
          <cell r="H48">
            <v>429073.9560000021</v>
          </cell>
          <cell r="I48">
            <v>-95705.497999999672</v>
          </cell>
          <cell r="J48">
            <v>98638.013999999966</v>
          </cell>
          <cell r="K48">
            <v>877331.19900000002</v>
          </cell>
          <cell r="L48">
            <v>572170.56799999904</v>
          </cell>
          <cell r="M48">
            <v>58060.049999999814</v>
          </cell>
          <cell r="N48">
            <v>813604.33500000089</v>
          </cell>
          <cell r="O48">
            <v>153231.62399999984</v>
          </cell>
          <cell r="P48">
            <v>461699.11800000025</v>
          </cell>
          <cell r="Q48">
            <v>184532.94199999981</v>
          </cell>
          <cell r="R48">
            <v>526619.60499999952</v>
          </cell>
          <cell r="S48">
            <v>551251.49100000039</v>
          </cell>
          <cell r="T48">
            <v>-17036.064000000129</v>
          </cell>
          <cell r="U48">
            <v>419678.08899999992</v>
          </cell>
          <cell r="V48">
            <v>821019.03499999922</v>
          </cell>
          <cell r="W48">
            <v>423561.31099999975</v>
          </cell>
          <cell r="X48">
            <v>0</v>
          </cell>
          <cell r="Y48">
            <v>0</v>
          </cell>
          <cell r="Z48">
            <v>7417146.3839999884</v>
          </cell>
          <cell r="AA48">
            <v>102061.784</v>
          </cell>
          <cell r="AB48">
            <v>0</v>
          </cell>
          <cell r="AC48">
            <v>36496.418000000005</v>
          </cell>
          <cell r="AD48">
            <v>84367.72099999999</v>
          </cell>
          <cell r="AH48">
            <v>222925.92300000001</v>
          </cell>
          <cell r="AI48">
            <v>7640072.3069999814</v>
          </cell>
          <cell r="AJ48">
            <v>81347.30598999979</v>
          </cell>
          <cell r="AK48">
            <v>190533.93001000013</v>
          </cell>
          <cell r="AL48">
            <v>-454032.91799999983</v>
          </cell>
          <cell r="AN48">
            <v>-182151.68200000003</v>
          </cell>
          <cell r="AO48">
            <v>500159.95799999684</v>
          </cell>
          <cell r="AP48">
            <v>0</v>
          </cell>
          <cell r="AS48">
            <v>500159.95799999684</v>
          </cell>
          <cell r="AT48">
            <v>16244.867999999999</v>
          </cell>
          <cell r="AU48">
            <v>1313.530999999999</v>
          </cell>
          <cell r="AV48">
            <v>248312.95800000001</v>
          </cell>
          <cell r="BA48">
            <v>265871.35699999996</v>
          </cell>
          <cell r="BB48">
            <v>0</v>
          </cell>
          <cell r="BC48">
            <v>6700.1999999999989</v>
          </cell>
          <cell r="BD48">
            <v>0</v>
          </cell>
          <cell r="BE48">
            <v>0</v>
          </cell>
          <cell r="BF48">
            <v>0</v>
          </cell>
          <cell r="BG48">
            <v>-302804.88</v>
          </cell>
          <cell r="BH48">
            <v>-5593.3850000000002</v>
          </cell>
          <cell r="BJ48">
            <v>-301698.065</v>
          </cell>
        </row>
        <row r="49">
          <cell r="F49">
            <v>10524048.150999099</v>
          </cell>
          <cell r="G49">
            <v>1121341.2453838291</v>
          </cell>
          <cell r="H49">
            <v>906536.22255456157</v>
          </cell>
          <cell r="I49">
            <v>469561.48997078754</v>
          </cell>
          <cell r="J49">
            <v>363408.54100380099</v>
          </cell>
          <cell r="K49">
            <v>732684.93925347272</v>
          </cell>
          <cell r="L49">
            <v>650329.6462299237</v>
          </cell>
          <cell r="M49">
            <v>362144.0349655574</v>
          </cell>
          <cell r="N49">
            <v>700922.82975738985</v>
          </cell>
          <cell r="O49">
            <v>317426.90549152426</v>
          </cell>
          <cell r="P49">
            <v>415268.04205503094</v>
          </cell>
          <cell r="Q49">
            <v>384354.70862868597</v>
          </cell>
          <cell r="R49">
            <v>421799.24528992176</v>
          </cell>
          <cell r="S49">
            <v>701501.8385467655</v>
          </cell>
          <cell r="T49">
            <v>103995.83567734309</v>
          </cell>
          <cell r="U49">
            <v>172391.77235429664</v>
          </cell>
          <cell r="V49">
            <v>499381.82627162762</v>
          </cell>
          <cell r="W49">
            <v>256363.53843752184</v>
          </cell>
          <cell r="X49">
            <v>0</v>
          </cell>
          <cell r="Y49">
            <v>0</v>
          </cell>
          <cell r="Z49">
            <v>8579412.6618720405</v>
          </cell>
          <cell r="AA49">
            <v>7690.5239999999994</v>
          </cell>
          <cell r="AB49">
            <v>808.24699999999996</v>
          </cell>
          <cell r="AC49">
            <v>0</v>
          </cell>
          <cell r="AD49">
            <v>0</v>
          </cell>
          <cell r="AH49">
            <v>8498.7709999999988</v>
          </cell>
          <cell r="AI49">
            <v>8587911.4328720402</v>
          </cell>
          <cell r="AJ49">
            <v>101905.16056092847</v>
          </cell>
          <cell r="AK49">
            <v>35912.112576129934</v>
          </cell>
          <cell r="AL49">
            <v>49567.814079999996</v>
          </cell>
          <cell r="AN49">
            <v>187385.0872170584</v>
          </cell>
          <cell r="AO49">
            <v>606742.89</v>
          </cell>
          <cell r="AP49">
            <v>0</v>
          </cell>
          <cell r="AS49">
            <v>606742.89</v>
          </cell>
          <cell r="AT49">
            <v>0</v>
          </cell>
          <cell r="AU49">
            <v>0</v>
          </cell>
          <cell r="AV49">
            <v>0</v>
          </cell>
          <cell r="BA49">
            <v>0</v>
          </cell>
          <cell r="BB49">
            <v>0</v>
          </cell>
          <cell r="BC49">
            <v>59730.978999999999</v>
          </cell>
          <cell r="BD49">
            <v>0</v>
          </cell>
          <cell r="BE49">
            <v>522396.05099999998</v>
          </cell>
          <cell r="BF49">
            <v>103343.40199999999</v>
          </cell>
          <cell r="BG49">
            <v>456538.30891000002</v>
          </cell>
          <cell r="BH49">
            <v>0</v>
          </cell>
          <cell r="BJ49">
            <v>1142008.7409100002</v>
          </cell>
        </row>
        <row r="50">
          <cell r="F50">
            <v>-2601794.2759991288</v>
          </cell>
          <cell r="G50">
            <v>18075.363616170129</v>
          </cell>
          <cell r="H50">
            <v>-477462.26655455946</v>
          </cell>
          <cell r="I50">
            <v>-565266.98797078722</v>
          </cell>
          <cell r="J50">
            <v>-264770.52700380102</v>
          </cell>
          <cell r="K50">
            <v>144646.2597465273</v>
          </cell>
          <cell r="L50">
            <v>-78159.078229924664</v>
          </cell>
          <cell r="M50">
            <v>-304083.98496555758</v>
          </cell>
          <cell r="N50">
            <v>112681.50524261105</v>
          </cell>
          <cell r="O50">
            <v>-164195.28149152442</v>
          </cell>
          <cell r="P50">
            <v>46431.075944969314</v>
          </cell>
          <cell r="Q50">
            <v>-199821.76662868616</v>
          </cell>
          <cell r="R50">
            <v>104820.35971007776</v>
          </cell>
          <cell r="S50">
            <v>-150250.34754676512</v>
          </cell>
          <cell r="T50">
            <v>-121031.89967734322</v>
          </cell>
          <cell r="U50">
            <v>247286.31664570328</v>
          </cell>
          <cell r="V50">
            <v>321637.2087283716</v>
          </cell>
          <cell r="W50">
            <v>167197.77256247791</v>
          </cell>
          <cell r="X50">
            <v>0</v>
          </cell>
          <cell r="Y50">
            <v>0</v>
          </cell>
          <cell r="Z50">
            <v>-1162266.277872052</v>
          </cell>
          <cell r="AA50">
            <v>94371.26</v>
          </cell>
          <cell r="AB50">
            <v>-808.24699999999996</v>
          </cell>
          <cell r="AC50">
            <v>36496.418000000005</v>
          </cell>
          <cell r="AD50">
            <v>84367.72099999999</v>
          </cell>
          <cell r="AH50">
            <v>214427.152</v>
          </cell>
          <cell r="AI50">
            <v>-947839.12587205879</v>
          </cell>
          <cell r="AJ50">
            <v>-20557.854570928685</v>
          </cell>
          <cell r="AK50">
            <v>154621.81743387019</v>
          </cell>
          <cell r="AL50">
            <v>-503600.73207999981</v>
          </cell>
          <cell r="AN50">
            <v>-369536.76921705843</v>
          </cell>
          <cell r="AO50">
            <v>-106582.93200000317</v>
          </cell>
          <cell r="AP50">
            <v>0</v>
          </cell>
          <cell r="AS50">
            <v>-106582.93200000317</v>
          </cell>
          <cell r="AT50">
            <v>16244.867999999999</v>
          </cell>
          <cell r="AU50">
            <v>1313.530999999999</v>
          </cell>
          <cell r="AV50">
            <v>248312.95800000001</v>
          </cell>
          <cell r="BA50">
            <v>265871.35699999996</v>
          </cell>
          <cell r="BB50">
            <v>0</v>
          </cell>
          <cell r="BC50">
            <v>-53030.779000000002</v>
          </cell>
          <cell r="BD50">
            <v>0</v>
          </cell>
          <cell r="BE50">
            <v>-522396.05099999998</v>
          </cell>
          <cell r="BF50">
            <v>-103343.40199999999</v>
          </cell>
          <cell r="BG50">
            <v>-759343.18891000003</v>
          </cell>
          <cell r="BH50">
            <v>-5593.3850000000002</v>
          </cell>
          <cell r="BJ50">
            <v>-1443706.8059100001</v>
          </cell>
        </row>
        <row r="53">
          <cell r="AA53">
            <v>119694</v>
          </cell>
        </row>
        <row r="54"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검증"/>
      <sheetName val="A1피벗"/>
      <sheetName val="A1raw"/>
      <sheetName val="월별"/>
      <sheetName val="1월"/>
      <sheetName val="2월"/>
      <sheetName val="2월누계"/>
      <sheetName val="3월"/>
      <sheetName val="3월누계"/>
      <sheetName val="4월"/>
      <sheetName val="4월누계"/>
      <sheetName val="5월"/>
      <sheetName val="5월누계"/>
      <sheetName val="6월"/>
      <sheetName val="6월누계"/>
      <sheetName val="7월"/>
      <sheetName val="7월누계"/>
      <sheetName val="8월"/>
      <sheetName val="8월누계"/>
      <sheetName val="9월"/>
      <sheetName val="9월누계"/>
      <sheetName val="10월"/>
      <sheetName val="10월누계"/>
      <sheetName val="11월"/>
      <sheetName val="11월누계"/>
      <sheetName val="12월"/>
      <sheetName val="12월누계"/>
      <sheetName val="물량"/>
      <sheetName val="매출액"/>
      <sheetName val="매출원가"/>
      <sheetName val="노무비"/>
      <sheetName val="경비"/>
      <sheetName val="운반비"/>
      <sheetName val="영업공통비"/>
      <sheetName val="부문공통비"/>
      <sheetName val="본사공통비"/>
      <sheetName val="감가상각비_제조"/>
      <sheetName val="감가상각비_판매"/>
      <sheetName val="매출이익"/>
      <sheetName val="EBITDA1"/>
      <sheetName val="EBITDA2"/>
      <sheetName val="영업이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F6" t="str">
            <v>합계</v>
          </cell>
        </row>
      </sheetData>
      <sheetData sheetId="8">
        <row r="6">
          <cell r="F6" t="str">
            <v>합계</v>
          </cell>
        </row>
      </sheetData>
      <sheetData sheetId="9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46247</v>
          </cell>
          <cell r="H7">
            <v>30095</v>
          </cell>
          <cell r="I7">
            <v>28573</v>
          </cell>
          <cell r="J7">
            <v>17598.5</v>
          </cell>
          <cell r="K7">
            <v>22909</v>
          </cell>
          <cell r="L7">
            <v>25120</v>
          </cell>
          <cell r="M7">
            <v>17236</v>
          </cell>
          <cell r="N7">
            <v>21272</v>
          </cell>
          <cell r="O7">
            <v>12804</v>
          </cell>
          <cell r="P7">
            <v>19111.5</v>
          </cell>
          <cell r="Q7">
            <v>17659</v>
          </cell>
          <cell r="R7">
            <v>11110</v>
          </cell>
          <cell r="S7">
            <v>30069</v>
          </cell>
          <cell r="T7">
            <v>6925.5</v>
          </cell>
          <cell r="U7">
            <v>10980</v>
          </cell>
          <cell r="V7">
            <v>9772</v>
          </cell>
          <cell r="W7">
            <v>3556</v>
          </cell>
          <cell r="X7"/>
          <cell r="Y7"/>
          <cell r="Z7">
            <v>331037.5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331037.5</v>
          </cell>
          <cell r="AJ7">
            <v>20579</v>
          </cell>
          <cell r="AK7">
            <v>27240</v>
          </cell>
          <cell r="AL7">
            <v>38524</v>
          </cell>
          <cell r="AM7"/>
          <cell r="AN7">
            <v>86343</v>
          </cell>
          <cell r="AO7">
            <v>8574.9830000000002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44468098.589999996</v>
          </cell>
          <cell r="G8">
            <v>4615887.5729999999</v>
          </cell>
          <cell r="H8">
            <v>3074429.1430000002</v>
          </cell>
          <cell r="I8">
            <v>2775487.3820000002</v>
          </cell>
          <cell r="J8">
            <v>1762167.7180000001</v>
          </cell>
          <cell r="K8">
            <v>2386548.0279999999</v>
          </cell>
          <cell r="L8">
            <v>2565497.7999999998</v>
          </cell>
          <cell r="M8">
            <v>1721967.8</v>
          </cell>
          <cell r="N8">
            <v>2214588.9</v>
          </cell>
          <cell r="O8">
            <v>1198363.9450000001</v>
          </cell>
          <cell r="P8">
            <v>1984487.55</v>
          </cell>
          <cell r="Q8">
            <v>1760586.2</v>
          </cell>
          <cell r="R8">
            <v>1127667.3</v>
          </cell>
          <cell r="S8">
            <v>3153816.1999999997</v>
          </cell>
          <cell r="T8">
            <v>765701.14500000002</v>
          </cell>
          <cell r="U8">
            <v>1236607.08</v>
          </cell>
          <cell r="V8">
            <v>934794.41899999999</v>
          </cell>
          <cell r="W8">
            <v>454841.413</v>
          </cell>
          <cell r="X8"/>
          <cell r="Y8"/>
          <cell r="Z8">
            <v>33733439.596000001</v>
          </cell>
          <cell r="AA8">
            <v>50000</v>
          </cell>
          <cell r="AB8">
            <v>0</v>
          </cell>
          <cell r="AC8">
            <v>12500</v>
          </cell>
          <cell r="AD8">
            <v>28340</v>
          </cell>
          <cell r="AE8"/>
          <cell r="AF8"/>
          <cell r="AG8"/>
          <cell r="AH8">
            <v>90840</v>
          </cell>
          <cell r="AI8">
            <v>33824279.596000001</v>
          </cell>
          <cell r="AJ8">
            <v>653706.40800000005</v>
          </cell>
          <cell r="AK8">
            <v>382248</v>
          </cell>
          <cell r="AL8">
            <v>710866</v>
          </cell>
          <cell r="AM8"/>
          <cell r="AN8">
            <v>1746820.4080000001</v>
          </cell>
          <cell r="AO8">
            <v>8822039.4920000006</v>
          </cell>
          <cell r="AP8">
            <v>0</v>
          </cell>
          <cell r="AQ8"/>
          <cell r="AR8"/>
          <cell r="AS8">
            <v>8822039.4920000006</v>
          </cell>
          <cell r="AT8">
            <v>5250</v>
          </cell>
          <cell r="AU8">
            <v>6650</v>
          </cell>
          <cell r="AV8">
            <v>61356.694000000003</v>
          </cell>
          <cell r="AW8"/>
          <cell r="AX8"/>
          <cell r="AY8"/>
          <cell r="AZ8"/>
          <cell r="BA8">
            <v>73256.694000000003</v>
          </cell>
          <cell r="BB8">
            <v>0</v>
          </cell>
          <cell r="BC8">
            <v>1702.4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1702.4</v>
          </cell>
          <cell r="BK8"/>
          <cell r="BL8"/>
          <cell r="BM8"/>
          <cell r="BN8"/>
          <cell r="BO8"/>
        </row>
        <row r="9">
          <cell r="F9"/>
          <cell r="G9">
            <v>99809.44867775208</v>
          </cell>
          <cell r="H9">
            <v>102157.47276956306</v>
          </cell>
          <cell r="I9">
            <v>97136.715850628214</v>
          </cell>
          <cell r="J9">
            <v>100131.69974713755</v>
          </cell>
          <cell r="K9">
            <v>104175.12890130516</v>
          </cell>
          <cell r="L9">
            <v>102129.68949044586</v>
          </cell>
          <cell r="M9">
            <v>99905.302854490597</v>
          </cell>
          <cell r="N9">
            <v>104108.16566378337</v>
          </cell>
          <cell r="O9">
            <v>93592.935410809136</v>
          </cell>
          <cell r="P9">
            <v>103837.35185621223</v>
          </cell>
          <cell r="Q9">
            <v>99699.088283594756</v>
          </cell>
          <cell r="R9">
            <v>101500.20702070207</v>
          </cell>
          <cell r="S9">
            <v>104885.968938109</v>
          </cell>
          <cell r="T9">
            <v>110562.57959714101</v>
          </cell>
          <cell r="U9">
            <v>112623.59562841531</v>
          </cell>
          <cell r="V9">
            <v>95660.50133033155</v>
          </cell>
          <cell r="W9">
            <v>127908.1588863892</v>
          </cell>
          <cell r="X9"/>
          <cell r="Y9"/>
          <cell r="Z9">
            <v>101902.16998376317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102176.57998263037</v>
          </cell>
          <cell r="AJ9">
            <v>31765.703289761412</v>
          </cell>
          <cell r="AK9">
            <v>14032.599118942731</v>
          </cell>
          <cell r="AL9">
            <v>18452.549060326033</v>
          </cell>
          <cell r="AM9"/>
          <cell r="AN9"/>
          <cell r="AO9">
            <v>1028811.309830002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38125853.059769996</v>
          </cell>
          <cell r="G10">
            <v>3921013.26076</v>
          </cell>
          <cell r="H10">
            <v>2646870.8644300001</v>
          </cell>
          <cell r="I10">
            <v>2480296.3330199998</v>
          </cell>
          <cell r="J10">
            <v>1434318.9763800001</v>
          </cell>
          <cell r="K10">
            <v>2002249.78841</v>
          </cell>
          <cell r="L10">
            <v>2111511.9391300003</v>
          </cell>
          <cell r="M10">
            <v>1458634.5395500001</v>
          </cell>
          <cell r="N10">
            <v>1891295.0524300002</v>
          </cell>
          <cell r="O10">
            <v>1044357.9973899999</v>
          </cell>
          <cell r="P10">
            <v>1558736.3909100001</v>
          </cell>
          <cell r="Q10">
            <v>1423569.46423</v>
          </cell>
          <cell r="R10">
            <v>953468.24714999995</v>
          </cell>
          <cell r="S10">
            <v>2526083.1865700004</v>
          </cell>
          <cell r="T10">
            <v>579680.12858999998</v>
          </cell>
          <cell r="U10">
            <v>820737.60366000002</v>
          </cell>
          <cell r="V10">
            <v>783428.53055000002</v>
          </cell>
          <cell r="W10">
            <v>375939.44257999997</v>
          </cell>
          <cell r="X10"/>
          <cell r="Y10"/>
          <cell r="Z10">
            <v>28012191.745739996</v>
          </cell>
          <cell r="AA10">
            <v>498.19499999999999</v>
          </cell>
          <cell r="AB10">
            <v>0</v>
          </cell>
          <cell r="AC10">
            <v>3462.127</v>
          </cell>
          <cell r="AD10">
            <v>8714.1990000000005</v>
          </cell>
          <cell r="AE10"/>
          <cell r="AF10"/>
          <cell r="AG10"/>
          <cell r="AH10">
            <v>12674.521000000001</v>
          </cell>
          <cell r="AI10">
            <v>28024866.266739998</v>
          </cell>
          <cell r="AJ10">
            <v>563963.38375000004</v>
          </cell>
          <cell r="AK10">
            <v>298603.61174999998</v>
          </cell>
          <cell r="AL10">
            <v>579037.57352999994</v>
          </cell>
          <cell r="AM10"/>
          <cell r="AN10">
            <v>1441604.5690299999</v>
          </cell>
          <cell r="AO10">
            <v>8659085.7879999988</v>
          </cell>
          <cell r="AP10">
            <v>0</v>
          </cell>
          <cell r="AQ10"/>
          <cell r="AR10"/>
          <cell r="AS10">
            <v>8659085.7879999988</v>
          </cell>
          <cell r="AT10">
            <v>121.962</v>
          </cell>
          <cell r="AU10">
            <v>174.47399999999999</v>
          </cell>
          <cell r="AV10">
            <v>0</v>
          </cell>
          <cell r="AW10"/>
          <cell r="AX10"/>
          <cell r="AY10"/>
          <cell r="AZ10"/>
          <cell r="BA10">
            <v>296.43599999999998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/>
          <cell r="BI10"/>
          <cell r="BJ10">
            <v>0</v>
          </cell>
          <cell r="BK10"/>
          <cell r="BL10"/>
          <cell r="BM10"/>
          <cell r="BN10"/>
          <cell r="BO10"/>
        </row>
        <row r="11">
          <cell r="F11"/>
          <cell r="G11">
            <v>84784.164610893684</v>
          </cell>
          <cell r="H11">
            <v>87950.518838012969</v>
          </cell>
          <cell r="I11">
            <v>86805.597347845862</v>
          </cell>
          <cell r="J11">
            <v>81502.342607608618</v>
          </cell>
          <cell r="K11">
            <v>87400.13917717927</v>
          </cell>
          <cell r="L11">
            <v>84057.003946257973</v>
          </cell>
          <cell r="M11">
            <v>84627.206982478543</v>
          </cell>
          <cell r="N11">
            <v>88910.072039770603</v>
          </cell>
          <cell r="O11">
            <v>81564.979490003112</v>
          </cell>
          <cell r="P11">
            <v>81560.128242681123</v>
          </cell>
          <cell r="Q11">
            <v>80614.387237669172</v>
          </cell>
          <cell r="R11">
            <v>85820.724315931584</v>
          </cell>
          <cell r="S11">
            <v>84009.550918554</v>
          </cell>
          <cell r="T11">
            <v>83702.278332250367</v>
          </cell>
          <cell r="U11">
            <v>74748.415633879791</v>
          </cell>
          <cell r="V11">
            <v>80170.746065288578</v>
          </cell>
          <cell r="W11">
            <v>105719.75325646794</v>
          </cell>
          <cell r="X11"/>
          <cell r="Y11"/>
          <cell r="Z11">
            <v>84619.391294762667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84657.678561311026</v>
          </cell>
          <cell r="AJ11">
            <v>27404.80022109918</v>
          </cell>
          <cell r="AK11">
            <v>10961.953441629956</v>
          </cell>
          <cell r="AL11">
            <v>15030.567270532654</v>
          </cell>
          <cell r="AM11"/>
          <cell r="AN11"/>
          <cell r="AO11">
            <v>1009807.9247504045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6342245.5302300006</v>
          </cell>
          <cell r="G12">
            <v>694874.31223999988</v>
          </cell>
          <cell r="H12">
            <v>427558.27857000008</v>
          </cell>
          <cell r="I12">
            <v>295191.04898000043</v>
          </cell>
          <cell r="J12">
            <v>327848.74161999999</v>
          </cell>
          <cell r="K12">
            <v>384298.2395899999</v>
          </cell>
          <cell r="L12">
            <v>453985.86086999951</v>
          </cell>
          <cell r="M12">
            <v>263333.26044999994</v>
          </cell>
          <cell r="N12">
            <v>323293.84756999975</v>
          </cell>
          <cell r="O12">
            <v>154005.94761000015</v>
          </cell>
          <cell r="P12">
            <v>425751.15908999997</v>
          </cell>
          <cell r="Q12">
            <v>337016.73576999991</v>
          </cell>
          <cell r="R12">
            <v>174199.05285000009</v>
          </cell>
          <cell r="S12">
            <v>627733.01342999935</v>
          </cell>
          <cell r="T12">
            <v>186021.01641000004</v>
          </cell>
          <cell r="U12">
            <v>415869.47634000005</v>
          </cell>
          <cell r="V12">
            <v>151365.88844999997</v>
          </cell>
          <cell r="W12">
            <v>78901.970420000027</v>
          </cell>
          <cell r="X12"/>
          <cell r="Y12"/>
          <cell r="Z12">
            <v>5721247.8502599997</v>
          </cell>
          <cell r="AA12">
            <v>49501.805</v>
          </cell>
          <cell r="AB12">
            <v>0</v>
          </cell>
          <cell r="AC12">
            <v>9037.8729999999996</v>
          </cell>
          <cell r="AD12">
            <v>19625.800999999999</v>
          </cell>
          <cell r="AE12"/>
          <cell r="AF12"/>
          <cell r="AG12"/>
          <cell r="AH12">
            <v>78165.478999999992</v>
          </cell>
          <cell r="AI12">
            <v>5799413.3292600028</v>
          </cell>
          <cell r="AJ12">
            <v>89743.024250000017</v>
          </cell>
          <cell r="AK12">
            <v>83644.388250000018</v>
          </cell>
          <cell r="AL12">
            <v>131828.42647000006</v>
          </cell>
          <cell r="AM12"/>
          <cell r="AN12">
            <v>305215.83897000016</v>
          </cell>
          <cell r="AO12">
            <v>162953.70400000177</v>
          </cell>
          <cell r="AP12">
            <v>0</v>
          </cell>
          <cell r="AQ12"/>
          <cell r="AR12"/>
          <cell r="AS12">
            <v>162953.70400000177</v>
          </cell>
          <cell r="AT12">
            <v>5128.0379999999996</v>
          </cell>
          <cell r="AU12">
            <v>6475.5259999999998</v>
          </cell>
          <cell r="AV12">
            <v>61356.694000000003</v>
          </cell>
          <cell r="AW12"/>
          <cell r="AX12"/>
          <cell r="AY12"/>
          <cell r="AZ12"/>
          <cell r="BA12">
            <v>72960.258000000002</v>
          </cell>
          <cell r="BB12">
            <v>0</v>
          </cell>
          <cell r="BC12">
            <v>1702.4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/>
          <cell r="BI12"/>
          <cell r="BJ12">
            <v>1702.4</v>
          </cell>
          <cell r="BK12"/>
          <cell r="BL12"/>
          <cell r="BM12"/>
          <cell r="BN12"/>
          <cell r="BO12"/>
        </row>
        <row r="13">
          <cell r="F13">
            <v>836858.39700000011</v>
          </cell>
          <cell r="G13">
            <v>75611.620999999999</v>
          </cell>
          <cell r="H13">
            <v>63012.643000000004</v>
          </cell>
          <cell r="I13">
            <v>43407.336000000003</v>
          </cell>
          <cell r="J13">
            <v>36458.442999999999</v>
          </cell>
          <cell r="K13">
            <v>46214.19</v>
          </cell>
          <cell r="L13">
            <v>53763.000999999997</v>
          </cell>
          <cell r="M13">
            <v>36945.553999999996</v>
          </cell>
          <cell r="N13">
            <v>47510.608</v>
          </cell>
          <cell r="O13">
            <v>28305.902000000002</v>
          </cell>
          <cell r="P13">
            <v>43861.745999999999</v>
          </cell>
          <cell r="Q13">
            <v>34913.93</v>
          </cell>
          <cell r="R13">
            <v>28195</v>
          </cell>
          <cell r="S13">
            <v>53273.491999999998</v>
          </cell>
          <cell r="T13">
            <v>10037.968000000001</v>
          </cell>
          <cell r="U13">
            <v>12524.875</v>
          </cell>
          <cell r="V13">
            <v>31601.616000000002</v>
          </cell>
          <cell r="W13">
            <v>15134.940999999999</v>
          </cell>
          <cell r="X13"/>
          <cell r="Y13"/>
          <cell r="Z13">
            <v>660772.86600000015</v>
          </cell>
          <cell r="AA13">
            <v>0</v>
          </cell>
          <cell r="AB13">
            <v>180.54900000000001</v>
          </cell>
          <cell r="AC13">
            <v>0</v>
          </cell>
          <cell r="AD13">
            <v>0</v>
          </cell>
          <cell r="AE13"/>
          <cell r="AF13"/>
          <cell r="AG13"/>
          <cell r="AH13">
            <v>180.54900000000001</v>
          </cell>
          <cell r="AI13">
            <v>660953.41500000004</v>
          </cell>
          <cell r="AJ13">
            <v>460</v>
          </cell>
          <cell r="AK13">
            <v>2039.1179999999999</v>
          </cell>
          <cell r="AL13">
            <v>0</v>
          </cell>
          <cell r="AM13"/>
          <cell r="AN13">
            <v>2499.1179999999999</v>
          </cell>
          <cell r="AO13">
            <v>163585.99699999997</v>
          </cell>
          <cell r="AP13">
            <v>0</v>
          </cell>
          <cell r="AQ13"/>
          <cell r="AR13"/>
          <cell r="AS13">
            <v>163585.99699999997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9819.8670000000002</v>
          </cell>
          <cell r="BG13">
            <v>0</v>
          </cell>
          <cell r="BH13"/>
          <cell r="BI13"/>
          <cell r="BJ13">
            <v>9819.8670000000002</v>
          </cell>
          <cell r="BK13"/>
          <cell r="BL13"/>
          <cell r="BM13"/>
          <cell r="BN13"/>
          <cell r="BO13"/>
        </row>
        <row r="14">
          <cell r="F14">
            <v>534014.05900000012</v>
          </cell>
          <cell r="G14">
            <v>47666.655999999995</v>
          </cell>
          <cell r="H14">
            <v>40823.361000000004</v>
          </cell>
          <cell r="I14">
            <v>28390.163</v>
          </cell>
          <cell r="J14">
            <v>25933.763999999999</v>
          </cell>
          <cell r="K14">
            <v>31694.621999999999</v>
          </cell>
          <cell r="L14">
            <v>33662.964999999997</v>
          </cell>
          <cell r="M14">
            <v>25713.399999999998</v>
          </cell>
          <cell r="N14">
            <v>33584.612000000001</v>
          </cell>
          <cell r="O14">
            <v>20714.653000000002</v>
          </cell>
          <cell r="P14">
            <v>32039.942999999999</v>
          </cell>
          <cell r="Q14">
            <v>25688.857</v>
          </cell>
          <cell r="R14">
            <v>18601.067999999999</v>
          </cell>
          <cell r="S14">
            <v>32117.581000000002</v>
          </cell>
          <cell r="T14">
            <v>7016.6719999999996</v>
          </cell>
          <cell r="U14">
            <v>6915.8850000000002</v>
          </cell>
          <cell r="V14">
            <v>22809.253000000001</v>
          </cell>
          <cell r="W14">
            <v>10360.079</v>
          </cell>
          <cell r="X14"/>
          <cell r="Y14"/>
          <cell r="Z14">
            <v>443733.5340000001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443733.5340000001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90280.524999999994</v>
          </cell>
          <cell r="AP14">
            <v>0</v>
          </cell>
          <cell r="AQ14"/>
          <cell r="AR14"/>
          <cell r="AS14">
            <v>90280.524999999994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302844.33799999999</v>
          </cell>
          <cell r="G15">
            <v>27944.965</v>
          </cell>
          <cell r="H15">
            <v>22189.281999999999</v>
          </cell>
          <cell r="I15">
            <v>15017.173000000001</v>
          </cell>
          <cell r="J15">
            <v>10524.679000000002</v>
          </cell>
          <cell r="K15">
            <v>14519.568000000001</v>
          </cell>
          <cell r="L15">
            <v>20100.036</v>
          </cell>
          <cell r="M15">
            <v>11232.154</v>
          </cell>
          <cell r="N15">
            <v>13925.996000000001</v>
          </cell>
          <cell r="O15">
            <v>7591.2489999999998</v>
          </cell>
          <cell r="P15">
            <v>11821.802999999998</v>
          </cell>
          <cell r="Q15">
            <v>9225.0730000000003</v>
          </cell>
          <cell r="R15">
            <v>9593.9319999999989</v>
          </cell>
          <cell r="S15">
            <v>21155.911</v>
          </cell>
          <cell r="T15">
            <v>3021.2960000000003</v>
          </cell>
          <cell r="U15">
            <v>5608.99</v>
          </cell>
          <cell r="V15">
            <v>8792.3630000000012</v>
          </cell>
          <cell r="W15">
            <v>4774.8619999999992</v>
          </cell>
          <cell r="X15"/>
          <cell r="Y15"/>
          <cell r="Z15">
            <v>217039.33199999999</v>
          </cell>
          <cell r="AA15">
            <v>0</v>
          </cell>
          <cell r="AB15">
            <v>180.54900000000001</v>
          </cell>
          <cell r="AC15">
            <v>0</v>
          </cell>
          <cell r="AD15">
            <v>0</v>
          </cell>
          <cell r="AE15"/>
          <cell r="AF15"/>
          <cell r="AG15"/>
          <cell r="AH15">
            <v>180.54900000000001</v>
          </cell>
          <cell r="AI15">
            <v>217219.88099999999</v>
          </cell>
          <cell r="AJ15">
            <v>460</v>
          </cell>
          <cell r="AK15">
            <v>2039.1179999999999</v>
          </cell>
          <cell r="AL15">
            <v>0</v>
          </cell>
          <cell r="AM15"/>
          <cell r="AN15">
            <v>2499.1179999999999</v>
          </cell>
          <cell r="AO15">
            <v>73305.471999999994</v>
          </cell>
          <cell r="AP15">
            <v>0</v>
          </cell>
          <cell r="AQ15"/>
          <cell r="AR15"/>
          <cell r="AS15">
            <v>73305.471999999994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9819.8670000000002</v>
          </cell>
          <cell r="BG15">
            <v>0</v>
          </cell>
          <cell r="BH15"/>
          <cell r="BI15"/>
          <cell r="BJ15">
            <v>9819.8670000000002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5505387.1332300007</v>
          </cell>
          <cell r="G17">
            <v>619262.69123999984</v>
          </cell>
          <cell r="H17">
            <v>364545.6355700001</v>
          </cell>
          <cell r="I17">
            <v>251783.71298000042</v>
          </cell>
          <cell r="J17">
            <v>291390.29862000002</v>
          </cell>
          <cell r="K17">
            <v>338084.04958999989</v>
          </cell>
          <cell r="L17">
            <v>400222.85986999952</v>
          </cell>
          <cell r="M17">
            <v>226387.70644999994</v>
          </cell>
          <cell r="N17">
            <v>275783.23956999974</v>
          </cell>
          <cell r="O17">
            <v>125700.04561000015</v>
          </cell>
          <cell r="P17">
            <v>381889.41308999999</v>
          </cell>
          <cell r="Q17">
            <v>302102.80576999992</v>
          </cell>
          <cell r="R17">
            <v>146004.05285000009</v>
          </cell>
          <cell r="S17">
            <v>574459.52142999938</v>
          </cell>
          <cell r="T17">
            <v>175983.04841000005</v>
          </cell>
          <cell r="U17">
            <v>403344.60134000005</v>
          </cell>
          <cell r="V17">
            <v>119764.27244999996</v>
          </cell>
          <cell r="W17">
            <v>63767.029420000028</v>
          </cell>
          <cell r="X17"/>
          <cell r="Y17"/>
          <cell r="Z17">
            <v>5060474.9842599994</v>
          </cell>
          <cell r="AA17">
            <v>49501.805</v>
          </cell>
          <cell r="AB17">
            <v>-180.54900000000001</v>
          </cell>
          <cell r="AC17">
            <v>9037.8729999999996</v>
          </cell>
          <cell r="AD17">
            <v>19625.800999999999</v>
          </cell>
          <cell r="AE17"/>
          <cell r="AF17"/>
          <cell r="AG17"/>
          <cell r="AH17">
            <v>77984.929999999993</v>
          </cell>
          <cell r="AI17">
            <v>5138459.9142600028</v>
          </cell>
          <cell r="AJ17">
            <v>89283.024250000017</v>
          </cell>
          <cell r="AK17">
            <v>81605.270250000016</v>
          </cell>
          <cell r="AL17">
            <v>131828.42647000006</v>
          </cell>
          <cell r="AM17"/>
          <cell r="AN17">
            <v>302716.72097000014</v>
          </cell>
          <cell r="AO17">
            <v>-632.29299999820068</v>
          </cell>
          <cell r="AP17">
            <v>0</v>
          </cell>
          <cell r="AQ17"/>
          <cell r="AR17"/>
          <cell r="AS17">
            <v>-632.29299999820068</v>
          </cell>
          <cell r="AT17">
            <v>5128.0379999999996</v>
          </cell>
          <cell r="AU17">
            <v>6475.5259999999998</v>
          </cell>
          <cell r="AV17">
            <v>61356.694000000003</v>
          </cell>
          <cell r="AW17"/>
          <cell r="AX17"/>
          <cell r="AY17"/>
          <cell r="AZ17"/>
          <cell r="BA17">
            <v>72960.258000000002</v>
          </cell>
          <cell r="BB17">
            <v>0</v>
          </cell>
          <cell r="BC17">
            <v>1702.4</v>
          </cell>
          <cell r="BD17">
            <v>0</v>
          </cell>
          <cell r="BE17">
            <v>0</v>
          </cell>
          <cell r="BF17">
            <v>-9819.8670000000002</v>
          </cell>
          <cell r="BG17">
            <v>0</v>
          </cell>
          <cell r="BH17"/>
          <cell r="BI17"/>
          <cell r="BJ17">
            <v>-8117.4670000000006</v>
          </cell>
          <cell r="BK17"/>
          <cell r="BL17"/>
          <cell r="BM17"/>
          <cell r="BN17"/>
          <cell r="BO17"/>
        </row>
        <row r="18">
          <cell r="F18">
            <v>592586.69223000004</v>
          </cell>
          <cell r="G18">
            <v>29493.904239999996</v>
          </cell>
          <cell r="H18">
            <v>33535.650569999998</v>
          </cell>
          <cell r="I18">
            <v>19057.429980000001</v>
          </cell>
          <cell r="J18">
            <v>18877.556620000003</v>
          </cell>
          <cell r="K18">
            <v>85501.527589999998</v>
          </cell>
          <cell r="L18">
            <v>41248.107869999993</v>
          </cell>
          <cell r="M18">
            <v>17235.309450000001</v>
          </cell>
          <cell r="N18">
            <v>28407.086569999999</v>
          </cell>
          <cell r="O18">
            <v>10987.648609999998</v>
          </cell>
          <cell r="P18">
            <v>30998.433089999999</v>
          </cell>
          <cell r="Q18">
            <v>14419.286770000001</v>
          </cell>
          <cell r="R18">
            <v>12831.36585</v>
          </cell>
          <cell r="S18">
            <v>35625.107429999996</v>
          </cell>
          <cell r="T18">
            <v>5774.1664100000007</v>
          </cell>
          <cell r="U18">
            <v>10169.027340000001</v>
          </cell>
          <cell r="V18">
            <v>20789.674450000002</v>
          </cell>
          <cell r="W18">
            <v>10277.52542</v>
          </cell>
          <cell r="X18"/>
          <cell r="Y18"/>
          <cell r="Z18">
            <v>425228.80825999996</v>
          </cell>
          <cell r="AA18">
            <v>5672.5910000000003</v>
          </cell>
          <cell r="AB18">
            <v>353.67200000000003</v>
          </cell>
          <cell r="AC18">
            <v>0</v>
          </cell>
          <cell r="AD18">
            <v>0</v>
          </cell>
          <cell r="AE18"/>
          <cell r="AF18"/>
          <cell r="AG18"/>
          <cell r="AH18">
            <v>6026.2630000000008</v>
          </cell>
          <cell r="AI18">
            <v>431255.07126</v>
          </cell>
          <cell r="AJ18">
            <v>32566.251250000001</v>
          </cell>
          <cell r="AK18">
            <v>11087.98525</v>
          </cell>
          <cell r="AL18">
            <v>62182.784469999999</v>
          </cell>
          <cell r="AM18"/>
          <cell r="AN18">
            <v>105837.02097</v>
          </cell>
          <cell r="AO18">
            <v>5550.375</v>
          </cell>
          <cell r="AP18">
            <v>855.83600000000001</v>
          </cell>
          <cell r="AQ18"/>
          <cell r="AR18"/>
          <cell r="AS18">
            <v>6406.2110000000002</v>
          </cell>
          <cell r="AT18">
            <v>1312.8920000000001</v>
          </cell>
          <cell r="AU18">
            <v>8489.6080000000002</v>
          </cell>
          <cell r="AV18">
            <v>0</v>
          </cell>
          <cell r="AW18"/>
          <cell r="AX18"/>
          <cell r="AY18"/>
          <cell r="AZ18"/>
          <cell r="BA18">
            <v>9802.5</v>
          </cell>
          <cell r="BB18">
            <v>0</v>
          </cell>
          <cell r="BC18">
            <v>15307.942999999999</v>
          </cell>
          <cell r="BD18">
            <v>0</v>
          </cell>
          <cell r="BE18">
            <v>0</v>
          </cell>
          <cell r="BF18">
            <v>23977.946</v>
          </cell>
          <cell r="BG18">
            <v>0</v>
          </cell>
          <cell r="BH18"/>
          <cell r="BI18"/>
          <cell r="BJ18">
            <v>39285.888999999996</v>
          </cell>
          <cell r="BK18"/>
          <cell r="BL18"/>
          <cell r="BM18"/>
          <cell r="BN18"/>
          <cell r="BO18"/>
        </row>
        <row r="19">
          <cell r="F19">
            <v>524477.54523000005</v>
          </cell>
          <cell r="G19">
            <v>27166.287239999998</v>
          </cell>
          <cell r="H19">
            <v>31590.51957</v>
          </cell>
          <cell r="I19">
            <v>17286.185980000002</v>
          </cell>
          <cell r="J19">
            <v>17685.570620000002</v>
          </cell>
          <cell r="K19">
            <v>83625.464590000003</v>
          </cell>
          <cell r="L19">
            <v>39683.708869999995</v>
          </cell>
          <cell r="M19">
            <v>16041.712449999999</v>
          </cell>
          <cell r="N19">
            <v>26843.78457</v>
          </cell>
          <cell r="O19">
            <v>10237.614609999999</v>
          </cell>
          <cell r="P19">
            <v>29779.669089999999</v>
          </cell>
          <cell r="Q19">
            <v>13213.90077</v>
          </cell>
          <cell r="R19">
            <v>11729.21185</v>
          </cell>
          <cell r="S19">
            <v>34036.90943</v>
          </cell>
          <cell r="T19">
            <v>5403.7674100000004</v>
          </cell>
          <cell r="U19">
            <v>9726.15834</v>
          </cell>
          <cell r="V19">
            <v>19662.811450000001</v>
          </cell>
          <cell r="W19">
            <v>9452.1564199999993</v>
          </cell>
          <cell r="X19"/>
          <cell r="Y19"/>
          <cell r="Z19">
            <v>403165.43325999996</v>
          </cell>
          <cell r="AA19">
            <v>5672.5910000000003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5672.5910000000003</v>
          </cell>
          <cell r="AI19">
            <v>408838.02425999998</v>
          </cell>
          <cell r="AJ19">
            <v>32566.251250000001</v>
          </cell>
          <cell r="AK19">
            <v>11087.98525</v>
          </cell>
          <cell r="AL19">
            <v>62182.784469999999</v>
          </cell>
          <cell r="AM19"/>
          <cell r="AN19">
            <v>105837.02097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1312.8920000000001</v>
          </cell>
          <cell r="AU19">
            <v>8489.6080000000002</v>
          </cell>
          <cell r="AV19">
            <v>0</v>
          </cell>
          <cell r="AW19"/>
          <cell r="AX19"/>
          <cell r="AY19"/>
          <cell r="AZ19"/>
          <cell r="BA19">
            <v>9802.5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68109.146999999997</v>
          </cell>
          <cell r="G20">
            <v>2327.6170000000002</v>
          </cell>
          <cell r="H20">
            <v>1945.1310000000001</v>
          </cell>
          <cell r="I20">
            <v>1771.2439999999999</v>
          </cell>
          <cell r="J20">
            <v>1191.9860000000001</v>
          </cell>
          <cell r="K20">
            <v>1876.0630000000001</v>
          </cell>
          <cell r="L20">
            <v>1564.3989999999999</v>
          </cell>
          <cell r="M20">
            <v>1193.597</v>
          </cell>
          <cell r="N20">
            <v>1563.3019999999999</v>
          </cell>
          <cell r="O20">
            <v>750.03399999999999</v>
          </cell>
          <cell r="P20">
            <v>1218.7639999999999</v>
          </cell>
          <cell r="Q20">
            <v>1205.386</v>
          </cell>
          <cell r="R20">
            <v>1102.154</v>
          </cell>
          <cell r="S20">
            <v>1588.1980000000001</v>
          </cell>
          <cell r="T20">
            <v>370.399</v>
          </cell>
          <cell r="U20">
            <v>442.86900000000003</v>
          </cell>
          <cell r="V20">
            <v>1126.8630000000001</v>
          </cell>
          <cell r="W20">
            <v>825.36900000000003</v>
          </cell>
          <cell r="X20"/>
          <cell r="Y20"/>
          <cell r="Z20">
            <v>22063.374999999996</v>
          </cell>
          <cell r="AA20">
            <v>0</v>
          </cell>
          <cell r="AB20">
            <v>353.67200000000003</v>
          </cell>
          <cell r="AC20">
            <v>0</v>
          </cell>
          <cell r="AD20">
            <v>0</v>
          </cell>
          <cell r="AE20"/>
          <cell r="AF20"/>
          <cell r="AG20"/>
          <cell r="AH20">
            <v>353.67200000000003</v>
          </cell>
          <cell r="AI20">
            <v>22417.046999999995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5550.375</v>
          </cell>
          <cell r="AP20">
            <v>855.83600000000001</v>
          </cell>
          <cell r="AQ20"/>
          <cell r="AR20"/>
          <cell r="AS20">
            <v>6406.2110000000002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15307.942999999999</v>
          </cell>
          <cell r="BD20">
            <v>0</v>
          </cell>
          <cell r="BE20">
            <v>0</v>
          </cell>
          <cell r="BF20">
            <v>23977.946</v>
          </cell>
          <cell r="BG20">
            <v>0</v>
          </cell>
          <cell r="BH20"/>
          <cell r="BI20"/>
          <cell r="BJ20">
            <v>39285.888999999996</v>
          </cell>
          <cell r="BK20"/>
          <cell r="BL20"/>
          <cell r="BM20"/>
          <cell r="BN20"/>
          <cell r="BO20"/>
        </row>
        <row r="21">
          <cell r="F21">
            <v>4912800.4410000006</v>
          </cell>
          <cell r="G21">
            <v>589768.78699999989</v>
          </cell>
          <cell r="H21">
            <v>331009.9850000001</v>
          </cell>
          <cell r="I21">
            <v>232726.2830000004</v>
          </cell>
          <cell r="J21">
            <v>272512.74200000003</v>
          </cell>
          <cell r="K21">
            <v>252582.52199999988</v>
          </cell>
          <cell r="L21">
            <v>358974.75199999951</v>
          </cell>
          <cell r="M21">
            <v>209152.39699999994</v>
          </cell>
          <cell r="N21">
            <v>247376.15299999976</v>
          </cell>
          <cell r="O21">
            <v>114712.39700000014</v>
          </cell>
          <cell r="P21">
            <v>350890.98</v>
          </cell>
          <cell r="Q21">
            <v>287683.51899999991</v>
          </cell>
          <cell r="R21">
            <v>133172.68700000009</v>
          </cell>
          <cell r="S21">
            <v>538834.41399999941</v>
          </cell>
          <cell r="T21">
            <v>170208.88200000004</v>
          </cell>
          <cell r="U21">
            <v>393175.57400000002</v>
          </cell>
          <cell r="V21">
            <v>98974.597999999954</v>
          </cell>
          <cell r="W21">
            <v>53489.50400000003</v>
          </cell>
          <cell r="X21"/>
          <cell r="Y21"/>
          <cell r="Z21">
            <v>4635246.175999999</v>
          </cell>
          <cell r="AA21">
            <v>43829.214</v>
          </cell>
          <cell r="AB21">
            <v>-534.221</v>
          </cell>
          <cell r="AC21">
            <v>9037.8729999999996</v>
          </cell>
          <cell r="AD21">
            <v>19625.800999999999</v>
          </cell>
          <cell r="AE21"/>
          <cell r="AF21"/>
          <cell r="AG21"/>
          <cell r="AH21">
            <v>71958.666999999987</v>
          </cell>
          <cell r="AI21">
            <v>4707204.8430000031</v>
          </cell>
          <cell r="AJ21">
            <v>56716.773000000016</v>
          </cell>
          <cell r="AK21">
            <v>70517.285000000018</v>
          </cell>
          <cell r="AL21">
            <v>69645.642000000065</v>
          </cell>
          <cell r="AM21"/>
          <cell r="AN21">
            <v>196879.70000000013</v>
          </cell>
          <cell r="AO21">
            <v>-6182.6679999982007</v>
          </cell>
          <cell r="AP21">
            <v>-855.83600000000001</v>
          </cell>
          <cell r="AQ21"/>
          <cell r="AR21"/>
          <cell r="AS21">
            <v>-7038.5039999982009</v>
          </cell>
          <cell r="AT21">
            <v>3815.1459999999997</v>
          </cell>
          <cell r="AU21">
            <v>-2014.0820000000003</v>
          </cell>
          <cell r="AV21">
            <v>61356.694000000003</v>
          </cell>
          <cell r="AW21"/>
          <cell r="AX21"/>
          <cell r="AY21"/>
          <cell r="AZ21"/>
          <cell r="BA21">
            <v>63157.758000000002</v>
          </cell>
          <cell r="BB21">
            <v>0</v>
          </cell>
          <cell r="BC21">
            <v>-13605.543</v>
          </cell>
          <cell r="BD21">
            <v>0</v>
          </cell>
          <cell r="BE21">
            <v>0</v>
          </cell>
          <cell r="BF21">
            <v>-33797.813000000002</v>
          </cell>
          <cell r="BG21">
            <v>0</v>
          </cell>
          <cell r="BH21"/>
          <cell r="BI21"/>
          <cell r="BJ21">
            <v>-47403.356</v>
          </cell>
          <cell r="BK21"/>
          <cell r="BL21"/>
          <cell r="BM21"/>
          <cell r="BN21"/>
          <cell r="BO21"/>
        </row>
        <row r="22">
          <cell r="F22">
            <v>1610425.0869965013</v>
          </cell>
          <cell r="G22">
            <v>214204.81239740641</v>
          </cell>
          <cell r="H22">
            <v>142671.91464055056</v>
          </cell>
          <cell r="I22">
            <v>128799.22757440149</v>
          </cell>
          <cell r="J22">
            <v>81775.12980491214</v>
          </cell>
          <cell r="K22">
            <v>112658.71586671386</v>
          </cell>
          <cell r="L22">
            <v>121106.16853962574</v>
          </cell>
          <cell r="M22">
            <v>81286.728293670167</v>
          </cell>
          <cell r="N22">
            <v>104541.26157090618</v>
          </cell>
          <cell r="O22">
            <v>56569.631786462967</v>
          </cell>
          <cell r="P22">
            <v>93679.161874583951</v>
          </cell>
          <cell r="Q22">
            <v>83109.737636781152</v>
          </cell>
          <cell r="R22">
            <v>53232.34582014638</v>
          </cell>
          <cell r="S22">
            <v>141550.14955715754</v>
          </cell>
          <cell r="T22">
            <v>34366.337388601394</v>
          </cell>
          <cell r="U22">
            <v>55501.622801430189</v>
          </cell>
          <cell r="V22">
            <v>41955.612319654581</v>
          </cell>
          <cell r="W22">
            <v>20414.274628603554</v>
          </cell>
          <cell r="X22"/>
          <cell r="Y22"/>
          <cell r="Z22">
            <v>1567422.8325016084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1567422.8325016084</v>
          </cell>
          <cell r="AJ22">
            <v>16092.581238062527</v>
          </cell>
          <cell r="AK22">
            <v>9409.9689368303152</v>
          </cell>
          <cell r="AL22">
            <v>17499.704320000001</v>
          </cell>
          <cell r="AM22"/>
          <cell r="AN22">
            <v>43002.254494892841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/>
          <cell r="BI22"/>
          <cell r="BJ22">
            <v>0</v>
          </cell>
          <cell r="BK22"/>
          <cell r="BL22"/>
          <cell r="BM22"/>
          <cell r="BN22"/>
          <cell r="BO22"/>
        </row>
        <row r="23">
          <cell r="F23">
            <v>268934.28299650108</v>
          </cell>
          <cell r="G23">
            <v>30643.017168804057</v>
          </cell>
          <cell r="H23">
            <v>20409.895935136665</v>
          </cell>
          <cell r="I23">
            <v>18425.342072001338</v>
          </cell>
          <cell r="J23">
            <v>11698.321240066796</v>
          </cell>
          <cell r="K23">
            <v>17751.932828616496</v>
          </cell>
          <cell r="L23">
            <v>19083.020363822066</v>
          </cell>
          <cell r="M23">
            <v>12808.565492921447</v>
          </cell>
          <cell r="N23">
            <v>16472.844013428625</v>
          </cell>
          <cell r="O23">
            <v>8913.827002971957</v>
          </cell>
          <cell r="P23">
            <v>14761.274138844074</v>
          </cell>
          <cell r="Q23">
            <v>13095.821912949647</v>
          </cell>
          <cell r="R23">
            <v>8387.9619968944244</v>
          </cell>
          <cell r="S23">
            <v>16131.114899692588</v>
          </cell>
          <cell r="T23">
            <v>3916.4023410182167</v>
          </cell>
          <cell r="U23">
            <v>6324.9884039701965</v>
          </cell>
          <cell r="V23">
            <v>4781.2793213759187</v>
          </cell>
          <cell r="W23">
            <v>2326.4193690937132</v>
          </cell>
          <cell r="X23"/>
          <cell r="Y23"/>
          <cell r="Z23">
            <v>225932.02850160826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225932.02850160826</v>
          </cell>
          <cell r="AJ23">
            <v>16092.581238062527</v>
          </cell>
          <cell r="AK23">
            <v>9409.9689368303152</v>
          </cell>
          <cell r="AL23">
            <v>17499.704320000001</v>
          </cell>
          <cell r="AM23"/>
          <cell r="AN23">
            <v>43002.254494892841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374885.92299999995</v>
          </cell>
          <cell r="G24">
            <v>51297.208170658159</v>
          </cell>
          <cell r="H24">
            <v>34166.696926699427</v>
          </cell>
          <cell r="I24">
            <v>30844.502115322437</v>
          </cell>
          <cell r="J24">
            <v>19583.294183898368</v>
          </cell>
          <cell r="K24">
            <v>26522.14748853237</v>
          </cell>
          <cell r="L24">
            <v>28510.849241164029</v>
          </cell>
          <cell r="M24">
            <v>19136.545096214428</v>
          </cell>
          <cell r="N24">
            <v>24611.134049327691</v>
          </cell>
          <cell r="O24">
            <v>13317.639084290615</v>
          </cell>
          <cell r="P24">
            <v>22053.975395736834</v>
          </cell>
          <cell r="Q24">
            <v>19565.718483279881</v>
          </cell>
          <cell r="R24">
            <v>12531.97425641546</v>
          </cell>
          <cell r="S24">
            <v>35048.939902634425</v>
          </cell>
          <cell r="T24">
            <v>8509.3777546336933</v>
          </cell>
          <cell r="U24">
            <v>13742.642082342099</v>
          </cell>
          <cell r="V24">
            <v>10388.542430864889</v>
          </cell>
          <cell r="W24">
            <v>5054.7363379851768</v>
          </cell>
          <cell r="X24"/>
          <cell r="Y24"/>
          <cell r="Z24">
            <v>374885.92299999995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374885.92299999995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966604.88100000017</v>
          </cell>
          <cell r="G25">
            <v>132264.58705794418</v>
          </cell>
          <cell r="H25">
            <v>88095.321778714453</v>
          </cell>
          <cell r="I25">
            <v>79529.383387077716</v>
          </cell>
          <cell r="J25">
            <v>50493.514380946966</v>
          </cell>
          <cell r="K25">
            <v>68384.635549564991</v>
          </cell>
          <cell r="L25">
            <v>73512.298934639635</v>
          </cell>
          <cell r="M25">
            <v>49341.617704534299</v>
          </cell>
          <cell r="N25">
            <v>63457.283508149871</v>
          </cell>
          <cell r="O25">
            <v>34338.165699200392</v>
          </cell>
          <cell r="P25">
            <v>56863.912340003044</v>
          </cell>
          <cell r="Q25">
            <v>50448.197240551628</v>
          </cell>
          <cell r="R25">
            <v>32312.409566836493</v>
          </cell>
          <cell r="S25">
            <v>90370.094754830527</v>
          </cell>
          <cell r="T25">
            <v>21940.557292949485</v>
          </cell>
          <cell r="U25">
            <v>35433.992315117895</v>
          </cell>
          <cell r="V25">
            <v>26785.790567413776</v>
          </cell>
          <cell r="W25">
            <v>13033.118921524663</v>
          </cell>
          <cell r="X25"/>
          <cell r="Y25"/>
          <cell r="Z25">
            <v>966604.88100000017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966604.88100000017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/>
          <cell r="BI25"/>
          <cell r="BJ25">
            <v>0</v>
          </cell>
          <cell r="BK25"/>
          <cell r="BL25"/>
          <cell r="BM25"/>
          <cell r="BN25"/>
          <cell r="BO25"/>
        </row>
        <row r="26">
          <cell r="F26">
            <v>3302375.3540034993</v>
          </cell>
          <cell r="G26">
            <v>375563.97460259346</v>
          </cell>
          <cell r="H26">
            <v>188338.07035944954</v>
          </cell>
          <cell r="I26">
            <v>103927.05542559891</v>
          </cell>
          <cell r="J26">
            <v>190737.61219508789</v>
          </cell>
          <cell r="K26">
            <v>139923.80613328604</v>
          </cell>
          <cell r="L26">
            <v>237868.58346037377</v>
          </cell>
          <cell r="M26">
            <v>127865.66870632977</v>
          </cell>
          <cell r="N26">
            <v>142834.89142909358</v>
          </cell>
          <cell r="O26">
            <v>58142.765213537175</v>
          </cell>
          <cell r="P26">
            <v>257211.81812541603</v>
          </cell>
          <cell r="Q26">
            <v>204573.78136321876</v>
          </cell>
          <cell r="R26">
            <v>79940.341179853713</v>
          </cell>
          <cell r="S26">
            <v>397284.26444284187</v>
          </cell>
          <cell r="T26">
            <v>135842.54461139865</v>
          </cell>
          <cell r="U26">
            <v>337673.95119856985</v>
          </cell>
          <cell r="V26">
            <v>57018.985680345373</v>
          </cell>
          <cell r="W26">
            <v>33075.229371396475</v>
          </cell>
          <cell r="X26"/>
          <cell r="Y26"/>
          <cell r="Z26">
            <v>3067823.3434983906</v>
          </cell>
          <cell r="AA26">
            <v>43829.214</v>
          </cell>
          <cell r="AB26">
            <v>-534.221</v>
          </cell>
          <cell r="AC26">
            <v>9037.8729999999996</v>
          </cell>
          <cell r="AD26">
            <v>19625.800999999999</v>
          </cell>
          <cell r="AE26"/>
          <cell r="AF26"/>
          <cell r="AG26"/>
          <cell r="AH26">
            <v>71958.666999999987</v>
          </cell>
          <cell r="AI26">
            <v>3139782.0104983947</v>
          </cell>
          <cell r="AJ26">
            <v>40624.191761937487</v>
          </cell>
          <cell r="AK26">
            <v>61107.316063169703</v>
          </cell>
          <cell r="AL26">
            <v>52145.937680000061</v>
          </cell>
          <cell r="AM26"/>
          <cell r="AN26">
            <v>153877.44550510729</v>
          </cell>
          <cell r="AO26">
            <v>-6182.6679999982007</v>
          </cell>
          <cell r="AP26">
            <v>-855.83600000000001</v>
          </cell>
          <cell r="AQ26"/>
          <cell r="AR26"/>
          <cell r="AS26">
            <v>-7038.5039999982009</v>
          </cell>
          <cell r="AT26">
            <v>3815.1459999999997</v>
          </cell>
          <cell r="AU26">
            <v>-2014.0820000000003</v>
          </cell>
          <cell r="AV26">
            <v>61356.694000000003</v>
          </cell>
          <cell r="AW26"/>
          <cell r="AX26"/>
          <cell r="AY26"/>
          <cell r="AZ26"/>
          <cell r="BA26">
            <v>63157.758000000002</v>
          </cell>
          <cell r="BB26">
            <v>0</v>
          </cell>
          <cell r="BC26">
            <v>-13605.543</v>
          </cell>
          <cell r="BD26">
            <v>0</v>
          </cell>
          <cell r="BE26">
            <v>0</v>
          </cell>
          <cell r="BF26">
            <v>-33797.813000000002</v>
          </cell>
          <cell r="BG26">
            <v>0</v>
          </cell>
          <cell r="BH26"/>
          <cell r="BI26"/>
          <cell r="BJ26">
            <v>-47403.356</v>
          </cell>
          <cell r="BK26"/>
          <cell r="BL26"/>
          <cell r="BM26"/>
          <cell r="BN26"/>
          <cell r="BO26"/>
        </row>
        <row r="27">
          <cell r="F27">
            <v>3302375.3540035007</v>
          </cell>
          <cell r="G27">
            <v>375563.97460259352</v>
          </cell>
          <cell r="H27">
            <v>188338.07035944951</v>
          </cell>
          <cell r="I27">
            <v>103927.05542559893</v>
          </cell>
          <cell r="J27">
            <v>190737.61219508783</v>
          </cell>
          <cell r="K27">
            <v>139923.80613328601</v>
          </cell>
          <cell r="L27">
            <v>237868.58346037375</v>
          </cell>
          <cell r="M27">
            <v>127865.66870632979</v>
          </cell>
          <cell r="N27">
            <v>142834.89142909355</v>
          </cell>
          <cell r="O27">
            <v>58142.765213537212</v>
          </cell>
          <cell r="P27">
            <v>257211.81812541606</v>
          </cell>
          <cell r="Q27">
            <v>204573.78136321873</v>
          </cell>
          <cell r="R27">
            <v>79940.341179853727</v>
          </cell>
          <cell r="S27">
            <v>397284.26444284187</v>
          </cell>
          <cell r="T27">
            <v>135842.54461139863</v>
          </cell>
          <cell r="U27">
            <v>337673.95119856979</v>
          </cell>
          <cell r="V27">
            <v>57018.985680345395</v>
          </cell>
          <cell r="W27">
            <v>33075.229371396483</v>
          </cell>
          <cell r="X27"/>
          <cell r="Y27"/>
          <cell r="Z27">
            <v>3067823.3434983911</v>
          </cell>
          <cell r="AA27">
            <v>43829.214</v>
          </cell>
          <cell r="AB27">
            <v>-534.221</v>
          </cell>
          <cell r="AC27">
            <v>9037.8729999999996</v>
          </cell>
          <cell r="AD27">
            <v>19625.800999999999</v>
          </cell>
          <cell r="AE27"/>
          <cell r="AF27"/>
          <cell r="AG27"/>
          <cell r="AH27">
            <v>71958.667000000001</v>
          </cell>
          <cell r="AI27">
            <v>3139782.010498391</v>
          </cell>
          <cell r="AJ27">
            <v>40624.191761937487</v>
          </cell>
          <cell r="AK27">
            <v>61107.31606316971</v>
          </cell>
          <cell r="AL27">
            <v>52145.937680000061</v>
          </cell>
          <cell r="AM27"/>
          <cell r="AN27">
            <v>153877.44550510726</v>
          </cell>
          <cell r="AO27">
            <v>-6182.6679999982152</v>
          </cell>
          <cell r="AP27">
            <v>-855.83600000000001</v>
          </cell>
          <cell r="AQ27"/>
          <cell r="AR27"/>
          <cell r="AS27">
            <v>-7038.5039999982155</v>
          </cell>
          <cell r="AT27">
            <v>3815.1459999999997</v>
          </cell>
          <cell r="AU27">
            <v>-2014.0820000000003</v>
          </cell>
          <cell r="AV27">
            <v>61356.694000000003</v>
          </cell>
          <cell r="AW27"/>
          <cell r="AX27"/>
          <cell r="AY27"/>
          <cell r="AZ27"/>
          <cell r="BA27">
            <v>63157.758000000002</v>
          </cell>
          <cell r="BB27">
            <v>0</v>
          </cell>
          <cell r="BC27">
            <v>-13605.543</v>
          </cell>
          <cell r="BD27">
            <v>0</v>
          </cell>
          <cell r="BE27">
            <v>0</v>
          </cell>
          <cell r="BF27">
            <v>-33797.813000000002</v>
          </cell>
          <cell r="BG27">
            <v>0</v>
          </cell>
          <cell r="BH27"/>
          <cell r="BI27"/>
          <cell r="BJ27">
            <v>-47403.356</v>
          </cell>
          <cell r="BK27"/>
          <cell r="BL27"/>
          <cell r="BM27"/>
          <cell r="BN27"/>
          <cell r="BO27"/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3.7252902984619141E-9</v>
          </cell>
          <cell r="AJ28">
            <v>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1.4551915228366852E-11</v>
          </cell>
          <cell r="AP28">
            <v>0</v>
          </cell>
          <cell r="AQ28"/>
          <cell r="AR28"/>
          <cell r="AS28">
            <v>1.4551915228366852E-11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46247</v>
          </cell>
          <cell r="H31">
            <v>30095</v>
          </cell>
          <cell r="I31">
            <v>28573</v>
          </cell>
          <cell r="J31">
            <v>17598.5</v>
          </cell>
          <cell r="K31">
            <v>22909</v>
          </cell>
          <cell r="L31">
            <v>25120</v>
          </cell>
          <cell r="M31">
            <v>17236</v>
          </cell>
          <cell r="N31">
            <v>21272</v>
          </cell>
          <cell r="O31">
            <v>12804</v>
          </cell>
          <cell r="P31">
            <v>19111.5</v>
          </cell>
          <cell r="Q31">
            <v>17659</v>
          </cell>
          <cell r="R31">
            <v>11110</v>
          </cell>
          <cell r="S31">
            <v>30069</v>
          </cell>
          <cell r="T31">
            <v>6925.5</v>
          </cell>
          <cell r="U31">
            <v>10980</v>
          </cell>
          <cell r="V31">
            <v>9772</v>
          </cell>
          <cell r="W31">
            <v>3556</v>
          </cell>
          <cell r="X31">
            <v>0</v>
          </cell>
          <cell r="Y31">
            <v>0</v>
          </cell>
          <cell r="Z31">
            <v>331037.5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331037.5</v>
          </cell>
          <cell r="AJ31">
            <v>20579</v>
          </cell>
          <cell r="AK31">
            <v>27240</v>
          </cell>
          <cell r="AL31">
            <v>38524</v>
          </cell>
          <cell r="AM31"/>
          <cell r="AN31">
            <v>86343</v>
          </cell>
          <cell r="AO31">
            <v>8574.9830000000002</v>
          </cell>
          <cell r="AP31">
            <v>0</v>
          </cell>
          <cell r="AQ31"/>
          <cell r="AR31"/>
          <cell r="AS31">
            <v>8574.9830000000002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44468098.589999996</v>
          </cell>
          <cell r="G32">
            <v>4615887.5729999999</v>
          </cell>
          <cell r="H32">
            <v>3074429.1430000002</v>
          </cell>
          <cell r="I32">
            <v>2775487.3820000002</v>
          </cell>
          <cell r="J32">
            <v>1762167.7180000001</v>
          </cell>
          <cell r="K32">
            <v>2386548.0279999999</v>
          </cell>
          <cell r="L32">
            <v>2565497.7999999998</v>
          </cell>
          <cell r="M32">
            <v>1721967.8</v>
          </cell>
          <cell r="N32">
            <v>2214588.9</v>
          </cell>
          <cell r="O32">
            <v>1198363.9450000001</v>
          </cell>
          <cell r="P32">
            <v>1984487.55</v>
          </cell>
          <cell r="Q32">
            <v>1760586.2</v>
          </cell>
          <cell r="R32">
            <v>1127667.3</v>
          </cell>
          <cell r="S32">
            <v>3153816.1999999997</v>
          </cell>
          <cell r="T32">
            <v>765701.14500000002</v>
          </cell>
          <cell r="U32">
            <v>1236607.08</v>
          </cell>
          <cell r="V32">
            <v>934794.41899999999</v>
          </cell>
          <cell r="W32">
            <v>454841.413</v>
          </cell>
          <cell r="X32">
            <v>0</v>
          </cell>
          <cell r="Y32">
            <v>0</v>
          </cell>
          <cell r="Z32">
            <v>33733439.596000001</v>
          </cell>
          <cell r="AA32">
            <v>50000</v>
          </cell>
          <cell r="AB32">
            <v>0</v>
          </cell>
          <cell r="AC32">
            <v>12500</v>
          </cell>
          <cell r="AD32">
            <v>28340</v>
          </cell>
          <cell r="AE32"/>
          <cell r="AF32"/>
          <cell r="AG32"/>
          <cell r="AH32">
            <v>90840</v>
          </cell>
          <cell r="AI32">
            <v>33824279.596000001</v>
          </cell>
          <cell r="AJ32">
            <v>653706.40800000005</v>
          </cell>
          <cell r="AK32">
            <v>382248</v>
          </cell>
          <cell r="AL32">
            <v>710866</v>
          </cell>
          <cell r="AM32"/>
          <cell r="AN32">
            <v>1746820.4080000001</v>
          </cell>
          <cell r="AO32">
            <v>8822039.4920000006</v>
          </cell>
          <cell r="AP32">
            <v>0</v>
          </cell>
          <cell r="AQ32"/>
          <cell r="AR32"/>
          <cell r="AS32">
            <v>8822039.4920000006</v>
          </cell>
          <cell r="AT32">
            <v>5250</v>
          </cell>
          <cell r="AU32">
            <v>6650</v>
          </cell>
          <cell r="AV32">
            <v>61356.694000000003</v>
          </cell>
          <cell r="AW32"/>
          <cell r="AX32"/>
          <cell r="AY32"/>
          <cell r="AZ32"/>
          <cell r="BA32">
            <v>73256.694000000003</v>
          </cell>
          <cell r="BB32">
            <v>0</v>
          </cell>
          <cell r="BC32">
            <v>1702.4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1702.4</v>
          </cell>
        </row>
        <row r="33">
          <cell r="F33">
            <v>38650330.604999997</v>
          </cell>
          <cell r="G33">
            <v>3948179.548</v>
          </cell>
          <cell r="H33">
            <v>2678461.3840000001</v>
          </cell>
          <cell r="I33">
            <v>2497582.5189999999</v>
          </cell>
          <cell r="J33">
            <v>1452004.547</v>
          </cell>
          <cell r="K33">
            <v>2085875.253</v>
          </cell>
          <cell r="L33">
            <v>2151195.6480000005</v>
          </cell>
          <cell r="M33">
            <v>1474676.2520000001</v>
          </cell>
          <cell r="N33">
            <v>1918138.8370000001</v>
          </cell>
          <cell r="O33">
            <v>1054595.612</v>
          </cell>
          <cell r="P33">
            <v>1588516.06</v>
          </cell>
          <cell r="Q33">
            <v>1436783.365</v>
          </cell>
          <cell r="R33">
            <v>965197.45899999992</v>
          </cell>
          <cell r="S33">
            <v>2560120.0960000004</v>
          </cell>
          <cell r="T33">
            <v>585083.89599999995</v>
          </cell>
          <cell r="U33">
            <v>830463.76199999999</v>
          </cell>
          <cell r="V33">
            <v>803091.34200000006</v>
          </cell>
          <cell r="W33">
            <v>385391.59899999999</v>
          </cell>
          <cell r="X33">
            <v>0</v>
          </cell>
          <cell r="Y33">
            <v>0</v>
          </cell>
          <cell r="Z33">
            <v>28415357.178999998</v>
          </cell>
          <cell r="AA33">
            <v>6170.7860000000001</v>
          </cell>
          <cell r="AB33">
            <v>0</v>
          </cell>
          <cell r="AC33">
            <v>3462.127</v>
          </cell>
          <cell r="AD33">
            <v>8714.1990000000005</v>
          </cell>
          <cell r="AE33"/>
          <cell r="AF33"/>
          <cell r="AG33"/>
          <cell r="AH33">
            <v>18347.112000000001</v>
          </cell>
          <cell r="AI33">
            <v>28433704.290999997</v>
          </cell>
          <cell r="AJ33">
            <v>596529.63500000001</v>
          </cell>
          <cell r="AK33">
            <v>309691.59700000001</v>
          </cell>
          <cell r="AL33">
            <v>641220.35799999989</v>
          </cell>
          <cell r="AM33"/>
          <cell r="AN33">
            <v>1547441.5899999999</v>
          </cell>
          <cell r="AO33">
            <v>8659085.7879999988</v>
          </cell>
          <cell r="AP33">
            <v>0</v>
          </cell>
          <cell r="AQ33"/>
          <cell r="AR33"/>
          <cell r="AS33">
            <v>8659085.7879999988</v>
          </cell>
          <cell r="AT33">
            <v>1434.854</v>
          </cell>
          <cell r="AU33">
            <v>8664.0820000000003</v>
          </cell>
          <cell r="AV33">
            <v>0</v>
          </cell>
          <cell r="AW33"/>
          <cell r="AX33"/>
          <cell r="AY33"/>
          <cell r="AZ33"/>
          <cell r="BA33">
            <v>10098.936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/>
          <cell r="BI33"/>
          <cell r="BJ33">
            <v>0</v>
          </cell>
        </row>
        <row r="34">
          <cell r="F34">
            <v>5817767.9849999994</v>
          </cell>
          <cell r="G34">
            <v>667708.02499999991</v>
          </cell>
          <cell r="H34">
            <v>395967.75900000008</v>
          </cell>
          <cell r="I34">
            <v>277904.86300000036</v>
          </cell>
          <cell r="J34">
            <v>310163.17100000009</v>
          </cell>
          <cell r="K34">
            <v>300672.77499999991</v>
          </cell>
          <cell r="L34">
            <v>414302.1519999993</v>
          </cell>
          <cell r="M34">
            <v>247291.54799999995</v>
          </cell>
          <cell r="N34">
            <v>296450.06299999985</v>
          </cell>
          <cell r="O34">
            <v>143768.3330000001</v>
          </cell>
          <cell r="P34">
            <v>395971.49</v>
          </cell>
          <cell r="Q34">
            <v>323802.83499999996</v>
          </cell>
          <cell r="R34">
            <v>162469.84100000013</v>
          </cell>
          <cell r="S34">
            <v>593696.10399999935</v>
          </cell>
          <cell r="T34">
            <v>180617.24900000007</v>
          </cell>
          <cell r="U34">
            <v>406143.31800000009</v>
          </cell>
          <cell r="V34">
            <v>131703.07699999993</v>
          </cell>
          <cell r="W34">
            <v>69449.814000000013</v>
          </cell>
          <cell r="X34">
            <v>0</v>
          </cell>
          <cell r="Y34">
            <v>0</v>
          </cell>
          <cell r="Z34">
            <v>5318082.4170000032</v>
          </cell>
          <cell r="AA34">
            <v>43829.214</v>
          </cell>
          <cell r="AB34">
            <v>0</v>
          </cell>
          <cell r="AC34">
            <v>9037.8729999999996</v>
          </cell>
          <cell r="AD34">
            <v>19625.800999999999</v>
          </cell>
          <cell r="AE34"/>
          <cell r="AF34"/>
          <cell r="AG34"/>
          <cell r="AH34">
            <v>72492.888000000006</v>
          </cell>
          <cell r="AI34">
            <v>5390575.3050000034</v>
          </cell>
          <cell r="AJ34">
            <v>57176.773000000045</v>
          </cell>
          <cell r="AK34">
            <v>72556.402999999991</v>
          </cell>
          <cell r="AL34">
            <v>69645.642000000109</v>
          </cell>
          <cell r="AM34"/>
          <cell r="AN34">
            <v>199378.8180000002</v>
          </cell>
          <cell r="AO34">
            <v>162953.70400000177</v>
          </cell>
          <cell r="AP34">
            <v>0</v>
          </cell>
          <cell r="AQ34"/>
          <cell r="AR34"/>
          <cell r="AS34">
            <v>162953.70400000177</v>
          </cell>
          <cell r="AT34">
            <v>3815.1459999999997</v>
          </cell>
          <cell r="AU34">
            <v>-2014.0820000000003</v>
          </cell>
          <cell r="AV34">
            <v>61356.694000000003</v>
          </cell>
          <cell r="AW34"/>
          <cell r="AX34"/>
          <cell r="AY34"/>
          <cell r="AZ34"/>
          <cell r="BA34">
            <v>63157.758000000002</v>
          </cell>
          <cell r="BB34">
            <v>0</v>
          </cell>
          <cell r="BC34">
            <v>1702.4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/>
          <cell r="BI34"/>
          <cell r="BJ34">
            <v>1702.4</v>
          </cell>
        </row>
        <row r="35">
          <cell r="F35">
            <v>2515392.6309965011</v>
          </cell>
          <cell r="G35">
            <v>292144.05039740645</v>
          </cell>
          <cell r="H35">
            <v>207629.68864055056</v>
          </cell>
          <cell r="I35">
            <v>173977.80757440149</v>
          </cell>
          <cell r="J35">
            <v>119425.55880491214</v>
          </cell>
          <cell r="K35">
            <v>160748.96886671384</v>
          </cell>
          <cell r="L35">
            <v>176433.56853962573</v>
          </cell>
          <cell r="M35">
            <v>119425.87929367016</v>
          </cell>
          <cell r="N35">
            <v>153615.17157090618</v>
          </cell>
          <cell r="O35">
            <v>85625.567786462969</v>
          </cell>
          <cell r="P35">
            <v>138759.67187458396</v>
          </cell>
          <cell r="Q35">
            <v>119229.05363678114</v>
          </cell>
          <cell r="R35">
            <v>82529.499820146375</v>
          </cell>
          <cell r="S35">
            <v>196411.83955715754</v>
          </cell>
          <cell r="T35">
            <v>44774.704388601393</v>
          </cell>
          <cell r="U35">
            <v>68469.366801430195</v>
          </cell>
          <cell r="V35">
            <v>74684.091319654588</v>
          </cell>
          <cell r="W35">
            <v>36374.584628603552</v>
          </cell>
          <cell r="X35">
            <v>0</v>
          </cell>
          <cell r="Y35">
            <v>0</v>
          </cell>
          <cell r="Z35">
            <v>2250259.0735016083</v>
          </cell>
          <cell r="AA35">
            <v>0</v>
          </cell>
          <cell r="AB35">
            <v>534.221</v>
          </cell>
          <cell r="AC35">
            <v>0</v>
          </cell>
          <cell r="AD35">
            <v>0</v>
          </cell>
          <cell r="AE35"/>
          <cell r="AF35"/>
          <cell r="AG35"/>
          <cell r="AH35">
            <v>534.221</v>
          </cell>
          <cell r="AI35">
            <v>2250793.2945016082</v>
          </cell>
          <cell r="AJ35">
            <v>16552.581238062528</v>
          </cell>
          <cell r="AK35">
            <v>11449.086936830316</v>
          </cell>
          <cell r="AL35">
            <v>17499.704320000001</v>
          </cell>
          <cell r="AM35"/>
          <cell r="AN35">
            <v>45501.372494892843</v>
          </cell>
          <cell r="AO35">
            <v>169136.37199999997</v>
          </cell>
          <cell r="AP35">
            <v>855.83600000000001</v>
          </cell>
          <cell r="AQ35"/>
          <cell r="AR35"/>
          <cell r="AS35">
            <v>169992.20799999998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15307.942999999999</v>
          </cell>
          <cell r="BD35">
            <v>0</v>
          </cell>
          <cell r="BE35">
            <v>0</v>
          </cell>
          <cell r="BF35">
            <v>33797.813000000002</v>
          </cell>
          <cell r="BG35">
            <v>0</v>
          </cell>
          <cell r="BH35"/>
          <cell r="BI35"/>
          <cell r="BJ35">
            <v>49105.756000000001</v>
          </cell>
        </row>
        <row r="36">
          <cell r="F36">
            <v>3302375.3540034983</v>
          </cell>
          <cell r="G36">
            <v>375563.97460259346</v>
          </cell>
          <cell r="H36">
            <v>188338.07035944951</v>
          </cell>
          <cell r="I36">
            <v>103927.05542559887</v>
          </cell>
          <cell r="J36">
            <v>190737.61219508795</v>
          </cell>
          <cell r="K36">
            <v>139923.80613328607</v>
          </cell>
          <cell r="L36">
            <v>237868.58346037357</v>
          </cell>
          <cell r="M36">
            <v>127865.66870632979</v>
          </cell>
          <cell r="N36">
            <v>142834.89142909367</v>
          </cell>
          <cell r="O36">
            <v>58142.765213537132</v>
          </cell>
          <cell r="P36">
            <v>257211.81812541603</v>
          </cell>
          <cell r="Q36">
            <v>204573.78136321882</v>
          </cell>
          <cell r="R36">
            <v>79940.341179853756</v>
          </cell>
          <cell r="S36">
            <v>397284.26444284181</v>
          </cell>
          <cell r="T36">
            <v>135842.54461139868</v>
          </cell>
          <cell r="U36">
            <v>337673.95119856991</v>
          </cell>
          <cell r="V36">
            <v>57018.985680345344</v>
          </cell>
          <cell r="W36">
            <v>33075.229371396461</v>
          </cell>
          <cell r="X36">
            <v>0</v>
          </cell>
          <cell r="Y36">
            <v>0</v>
          </cell>
          <cell r="Z36">
            <v>3067823.3434983948</v>
          </cell>
          <cell r="AA36">
            <v>43829.214</v>
          </cell>
          <cell r="AB36">
            <v>-534.221</v>
          </cell>
          <cell r="AC36">
            <v>9037.8729999999996</v>
          </cell>
          <cell r="AD36">
            <v>19625.800999999999</v>
          </cell>
          <cell r="AE36"/>
          <cell r="AF36"/>
          <cell r="AG36"/>
          <cell r="AH36">
            <v>71958.667000000001</v>
          </cell>
          <cell r="AI36">
            <v>3139782.0104983952</v>
          </cell>
          <cell r="AJ36">
            <v>40624.191761937516</v>
          </cell>
          <cell r="AK36">
            <v>61107.316063169674</v>
          </cell>
          <cell r="AL36">
            <v>52145.937680000105</v>
          </cell>
          <cell r="AM36"/>
          <cell r="AN36">
            <v>153877.44550510735</v>
          </cell>
          <cell r="AO36">
            <v>-6182.6679999982007</v>
          </cell>
          <cell r="AP36">
            <v>-855.83600000000001</v>
          </cell>
          <cell r="AQ36"/>
          <cell r="AR36"/>
          <cell r="AS36">
            <v>-7038.5039999982109</v>
          </cell>
          <cell r="AT36">
            <v>3815.1459999999997</v>
          </cell>
          <cell r="AU36">
            <v>-2014.0820000000003</v>
          </cell>
          <cell r="AV36">
            <v>61356.694000000003</v>
          </cell>
          <cell r="AW36"/>
          <cell r="AX36"/>
          <cell r="AY36"/>
          <cell r="AZ36"/>
          <cell r="BA36">
            <v>63157.758000000002</v>
          </cell>
          <cell r="BB36">
            <v>0</v>
          </cell>
          <cell r="BC36">
            <v>-13605.543</v>
          </cell>
          <cell r="BD36">
            <v>0</v>
          </cell>
          <cell r="BE36">
            <v>0</v>
          </cell>
          <cell r="BF36">
            <v>-33797.813000000002</v>
          </cell>
          <cell r="BG36">
            <v>0</v>
          </cell>
          <cell r="BH36"/>
          <cell r="BI36"/>
          <cell r="BJ36">
            <v>-47403.356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-10516</v>
          </cell>
          <cell r="AK38">
            <v>-16984</v>
          </cell>
          <cell r="AL38">
            <v>-24316</v>
          </cell>
          <cell r="AM38"/>
          <cell r="AN38">
            <v>-51816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-1088746.4080000001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-330200.408</v>
          </cell>
          <cell r="AK39">
            <v>-271440</v>
          </cell>
          <cell r="AL39">
            <v>-487106</v>
          </cell>
          <cell r="AM39"/>
          <cell r="AN39">
            <v>-1088746.4080000001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-1088746.4080000001</v>
          </cell>
          <cell r="G40"/>
          <cell r="H40"/>
          <cell r="I40"/>
          <cell r="J40"/>
          <cell r="K40">
            <v>-90892.085000000006</v>
          </cell>
          <cell r="L40">
            <v>-80320.510999999999</v>
          </cell>
          <cell r="M40">
            <v>-925.98199999999997</v>
          </cell>
          <cell r="N40">
            <v>-5065.1639999999998</v>
          </cell>
          <cell r="O40">
            <v>-611.24400000000003</v>
          </cell>
          <cell r="P40">
            <v>494.35399999999998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-177320.63200000001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-177320.63200000001</v>
          </cell>
          <cell r="AJ40">
            <v>-304810.29399999999</v>
          </cell>
          <cell r="AK40">
            <v>-201885.43599999999</v>
          </cell>
          <cell r="AL40">
            <v>-404730.04599999997</v>
          </cell>
          <cell r="AM40"/>
          <cell r="AN40">
            <v>-911425.77599999995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90892.085000000006</v>
          </cell>
          <cell r="L41">
            <v>80320.510999999999</v>
          </cell>
          <cell r="M41">
            <v>925.98199999999997</v>
          </cell>
          <cell r="N41">
            <v>5065.1639999999998</v>
          </cell>
          <cell r="O41">
            <v>611.24400000000003</v>
          </cell>
          <cell r="P41">
            <v>-494.35399999999998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177320.63200000001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177320.63200000001</v>
          </cell>
          <cell r="AJ41">
            <v>-25390.114000000001</v>
          </cell>
          <cell r="AK41">
            <v>-69554.564000000013</v>
          </cell>
          <cell r="AL41">
            <v>-82375.954000000027</v>
          </cell>
          <cell r="AM41"/>
          <cell r="AN41">
            <v>-177320.6320000001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90892.085000000006</v>
          </cell>
          <cell r="L43">
            <v>80320.510999999999</v>
          </cell>
          <cell r="M43">
            <v>925.98199999999997</v>
          </cell>
          <cell r="N43">
            <v>5065.1639999999998</v>
          </cell>
          <cell r="O43">
            <v>611.24400000000003</v>
          </cell>
          <cell r="P43">
            <v>-494.35399999999998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177320.63200000001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177320.63200000001</v>
          </cell>
          <cell r="AJ43">
            <v>-25390.114000000001</v>
          </cell>
          <cell r="AK43">
            <v>-69554.564000000013</v>
          </cell>
          <cell r="AL43">
            <v>-82375.954000000027</v>
          </cell>
          <cell r="AM43"/>
          <cell r="AN43">
            <v>-177320.6320000001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46247</v>
          </cell>
          <cell r="H45">
            <v>30095</v>
          </cell>
          <cell r="I45">
            <v>28573</v>
          </cell>
          <cell r="J45">
            <v>17598.5</v>
          </cell>
          <cell r="K45">
            <v>22909</v>
          </cell>
          <cell r="L45">
            <v>25120</v>
          </cell>
          <cell r="M45">
            <v>17236</v>
          </cell>
          <cell r="N45">
            <v>21272</v>
          </cell>
          <cell r="O45">
            <v>12804</v>
          </cell>
          <cell r="P45">
            <v>19111.5</v>
          </cell>
          <cell r="Q45">
            <v>17659</v>
          </cell>
          <cell r="R45">
            <v>11110</v>
          </cell>
          <cell r="S45">
            <v>30069</v>
          </cell>
          <cell r="T45">
            <v>6925.5</v>
          </cell>
          <cell r="U45">
            <v>10980</v>
          </cell>
          <cell r="V45">
            <v>9772</v>
          </cell>
          <cell r="W45">
            <v>3556</v>
          </cell>
          <cell r="X45">
            <v>0</v>
          </cell>
          <cell r="Y45">
            <v>0</v>
          </cell>
          <cell r="Z45">
            <v>331037.5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331037.5</v>
          </cell>
          <cell r="AJ45">
            <v>10063</v>
          </cell>
          <cell r="AK45">
            <v>10256</v>
          </cell>
          <cell r="AL45">
            <v>14208</v>
          </cell>
          <cell r="AM45"/>
          <cell r="AN45">
            <v>34527</v>
          </cell>
          <cell r="AO45">
            <v>8574.9830000000002</v>
          </cell>
          <cell r="AP45">
            <v>0</v>
          </cell>
          <cell r="AQ45"/>
          <cell r="AR45"/>
          <cell r="AS45">
            <v>8574.9830000000002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43379352.181999996</v>
          </cell>
          <cell r="G46">
            <v>4615887.5729999999</v>
          </cell>
          <cell r="H46">
            <v>3074429.1430000002</v>
          </cell>
          <cell r="I46">
            <v>2775487.3820000002</v>
          </cell>
          <cell r="J46">
            <v>1762167.7180000001</v>
          </cell>
          <cell r="K46">
            <v>2386548.0279999999</v>
          </cell>
          <cell r="L46">
            <v>2565497.7999999998</v>
          </cell>
          <cell r="M46">
            <v>1721967.8</v>
          </cell>
          <cell r="N46">
            <v>2214588.9</v>
          </cell>
          <cell r="O46">
            <v>1198363.9450000001</v>
          </cell>
          <cell r="P46">
            <v>1984487.55</v>
          </cell>
          <cell r="Q46">
            <v>1760586.2</v>
          </cell>
          <cell r="R46">
            <v>1127667.3</v>
          </cell>
          <cell r="S46">
            <v>3153816.1999999997</v>
          </cell>
          <cell r="T46">
            <v>765701.14500000002</v>
          </cell>
          <cell r="U46">
            <v>1236607.08</v>
          </cell>
          <cell r="V46">
            <v>934794.41899999999</v>
          </cell>
          <cell r="W46">
            <v>454841.413</v>
          </cell>
          <cell r="X46">
            <v>0</v>
          </cell>
          <cell r="Y46">
            <v>0</v>
          </cell>
          <cell r="Z46">
            <v>33733439.596000001</v>
          </cell>
          <cell r="AA46">
            <v>50000</v>
          </cell>
          <cell r="AB46">
            <v>0</v>
          </cell>
          <cell r="AC46">
            <v>12500</v>
          </cell>
          <cell r="AD46">
            <v>28340</v>
          </cell>
          <cell r="AE46"/>
          <cell r="AF46"/>
          <cell r="AG46"/>
          <cell r="AH46">
            <v>90840</v>
          </cell>
          <cell r="AI46">
            <v>33824279.596000001</v>
          </cell>
          <cell r="AJ46">
            <v>323506.00000000006</v>
          </cell>
          <cell r="AK46">
            <v>110808</v>
          </cell>
          <cell r="AL46">
            <v>223760</v>
          </cell>
          <cell r="AM46"/>
          <cell r="AN46">
            <v>658074</v>
          </cell>
          <cell r="AO46">
            <v>8822039.4920000006</v>
          </cell>
          <cell r="AP46">
            <v>0</v>
          </cell>
          <cell r="AQ46"/>
          <cell r="AR46"/>
          <cell r="AS46">
            <v>8822039.4920000006</v>
          </cell>
          <cell r="AT46">
            <v>5250</v>
          </cell>
          <cell r="AU46">
            <v>6650</v>
          </cell>
          <cell r="AV46">
            <v>61356.694000000003</v>
          </cell>
          <cell r="AW46"/>
          <cell r="AX46"/>
          <cell r="AY46"/>
          <cell r="AZ46"/>
          <cell r="BA46">
            <v>73256.694000000003</v>
          </cell>
          <cell r="BB46">
            <v>0</v>
          </cell>
          <cell r="BC46">
            <v>1702.4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1702.4</v>
          </cell>
        </row>
        <row r="47">
          <cell r="F47">
            <v>37561584.196999989</v>
          </cell>
          <cell r="G47">
            <v>3948179.548</v>
          </cell>
          <cell r="H47">
            <v>2678461.3840000001</v>
          </cell>
          <cell r="I47">
            <v>2497582.5189999999</v>
          </cell>
          <cell r="J47">
            <v>1452004.547</v>
          </cell>
          <cell r="K47">
            <v>1994983.1680000001</v>
          </cell>
          <cell r="L47">
            <v>2070875.1370000006</v>
          </cell>
          <cell r="M47">
            <v>1473750.27</v>
          </cell>
          <cell r="N47">
            <v>1913073.673</v>
          </cell>
          <cell r="O47">
            <v>1053984.368</v>
          </cell>
          <cell r="P47">
            <v>1589010.4140000001</v>
          </cell>
          <cell r="Q47">
            <v>1436783.365</v>
          </cell>
          <cell r="R47">
            <v>965197.45899999992</v>
          </cell>
          <cell r="S47">
            <v>2560120.0960000004</v>
          </cell>
          <cell r="T47">
            <v>585083.89599999995</v>
          </cell>
          <cell r="U47">
            <v>830463.76199999999</v>
          </cell>
          <cell r="V47">
            <v>803091.34200000006</v>
          </cell>
          <cell r="W47">
            <v>385391.59899999999</v>
          </cell>
          <cell r="X47">
            <v>0</v>
          </cell>
          <cell r="Y47">
            <v>0</v>
          </cell>
          <cell r="Z47">
            <v>28238036.546999998</v>
          </cell>
          <cell r="AA47">
            <v>6170.7860000000001</v>
          </cell>
          <cell r="AB47">
            <v>0</v>
          </cell>
          <cell r="AC47">
            <v>3462.127</v>
          </cell>
          <cell r="AD47">
            <v>8714.1990000000005</v>
          </cell>
          <cell r="AE47"/>
          <cell r="AF47"/>
          <cell r="AG47"/>
          <cell r="AH47">
            <v>18347.112000000001</v>
          </cell>
          <cell r="AI47">
            <v>28256383.658999998</v>
          </cell>
          <cell r="AJ47">
            <v>291719.34100000001</v>
          </cell>
          <cell r="AK47">
            <v>107806.16100000002</v>
          </cell>
          <cell r="AL47">
            <v>236490.31199999992</v>
          </cell>
          <cell r="AM47"/>
          <cell r="AN47">
            <v>636015.81400000001</v>
          </cell>
          <cell r="AO47">
            <v>8659085.7879999988</v>
          </cell>
          <cell r="AP47">
            <v>0</v>
          </cell>
          <cell r="AQ47"/>
          <cell r="AR47"/>
          <cell r="AS47">
            <v>8659085.7879999988</v>
          </cell>
          <cell r="AT47">
            <v>1434.854</v>
          </cell>
          <cell r="AU47">
            <v>8664.0820000000003</v>
          </cell>
          <cell r="AV47">
            <v>0</v>
          </cell>
          <cell r="AW47"/>
          <cell r="AX47"/>
          <cell r="AY47"/>
          <cell r="AZ47"/>
          <cell r="BA47">
            <v>10098.936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/>
          <cell r="BI47"/>
          <cell r="BJ47">
            <v>0</v>
          </cell>
        </row>
        <row r="48">
          <cell r="F48">
            <v>5817767.9850000069</v>
          </cell>
          <cell r="G48">
            <v>667708.02499999991</v>
          </cell>
          <cell r="H48">
            <v>395967.75900000008</v>
          </cell>
          <cell r="I48">
            <v>277904.86300000036</v>
          </cell>
          <cell r="J48">
            <v>310163.17100000009</v>
          </cell>
          <cell r="K48">
            <v>391564.85999999987</v>
          </cell>
          <cell r="L48">
            <v>494622.66299999924</v>
          </cell>
          <cell r="M48">
            <v>248217.53000000003</v>
          </cell>
          <cell r="N48">
            <v>301515.22699999996</v>
          </cell>
          <cell r="O48">
            <v>144379.57700000005</v>
          </cell>
          <cell r="P48">
            <v>395477.13599999994</v>
          </cell>
          <cell r="Q48">
            <v>323802.83499999996</v>
          </cell>
          <cell r="R48">
            <v>162469.84100000013</v>
          </cell>
          <cell r="S48">
            <v>593696.10399999935</v>
          </cell>
          <cell r="T48">
            <v>180617.24900000007</v>
          </cell>
          <cell r="U48">
            <v>406143.31800000009</v>
          </cell>
          <cell r="V48">
            <v>131703.07699999993</v>
          </cell>
          <cell r="W48">
            <v>69449.814000000013</v>
          </cell>
          <cell r="X48">
            <v>0</v>
          </cell>
          <cell r="Y48">
            <v>0</v>
          </cell>
          <cell r="Z48">
            <v>5495403.0490000024</v>
          </cell>
          <cell r="AA48">
            <v>43829.214</v>
          </cell>
          <cell r="AB48">
            <v>0</v>
          </cell>
          <cell r="AC48">
            <v>9037.8729999999996</v>
          </cell>
          <cell r="AD48">
            <v>19625.800999999999</v>
          </cell>
          <cell r="AE48"/>
          <cell r="AF48"/>
          <cell r="AG48"/>
          <cell r="AH48">
            <v>72492.888000000006</v>
          </cell>
          <cell r="AI48">
            <v>5567895.9370000027</v>
          </cell>
          <cell r="AJ48">
            <v>31786.659000000043</v>
          </cell>
          <cell r="AK48">
            <v>3001.8389999999781</v>
          </cell>
          <cell r="AL48">
            <v>-12730.311999999918</v>
          </cell>
          <cell r="AM48"/>
          <cell r="AN48">
            <v>22058.185999999987</v>
          </cell>
          <cell r="AO48">
            <v>162953.70400000177</v>
          </cell>
          <cell r="AP48">
            <v>0</v>
          </cell>
          <cell r="AQ48"/>
          <cell r="AR48"/>
          <cell r="AS48">
            <v>162953.70400000177</v>
          </cell>
          <cell r="AT48">
            <v>3815.1459999999997</v>
          </cell>
          <cell r="AU48">
            <v>-2014.0820000000003</v>
          </cell>
          <cell r="AV48">
            <v>61356.694000000003</v>
          </cell>
          <cell r="AW48"/>
          <cell r="AX48"/>
          <cell r="AY48"/>
          <cell r="AZ48"/>
          <cell r="BA48">
            <v>63157.758000000002</v>
          </cell>
          <cell r="BB48">
            <v>0</v>
          </cell>
          <cell r="BC48">
            <v>1702.4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/>
          <cell r="BI48"/>
          <cell r="BJ48">
            <v>1702.4</v>
          </cell>
        </row>
        <row r="49">
          <cell r="F49">
            <v>2515392.6309965011</v>
          </cell>
          <cell r="G49">
            <v>292144.05039740645</v>
          </cell>
          <cell r="H49">
            <v>207629.68864055056</v>
          </cell>
          <cell r="I49">
            <v>173977.80757440149</v>
          </cell>
          <cell r="J49">
            <v>119425.55880491214</v>
          </cell>
          <cell r="K49">
            <v>160748.96886671384</v>
          </cell>
          <cell r="L49">
            <v>176433.56853962573</v>
          </cell>
          <cell r="M49">
            <v>119425.87929367016</v>
          </cell>
          <cell r="N49">
            <v>153615.17157090618</v>
          </cell>
          <cell r="O49">
            <v>85625.567786462969</v>
          </cell>
          <cell r="P49">
            <v>138759.67187458396</v>
          </cell>
          <cell r="Q49">
            <v>119229.05363678114</v>
          </cell>
          <cell r="R49">
            <v>82529.499820146375</v>
          </cell>
          <cell r="S49">
            <v>196411.83955715754</v>
          </cell>
          <cell r="T49">
            <v>44774.704388601393</v>
          </cell>
          <cell r="U49">
            <v>68469.366801430195</v>
          </cell>
          <cell r="V49">
            <v>74684.091319654588</v>
          </cell>
          <cell r="W49">
            <v>36374.584628603552</v>
          </cell>
          <cell r="X49">
            <v>0</v>
          </cell>
          <cell r="Y49">
            <v>0</v>
          </cell>
          <cell r="Z49">
            <v>2250259.0735016083</v>
          </cell>
          <cell r="AA49">
            <v>0</v>
          </cell>
          <cell r="AB49">
            <v>534.221</v>
          </cell>
          <cell r="AC49">
            <v>0</v>
          </cell>
          <cell r="AD49">
            <v>0</v>
          </cell>
          <cell r="AE49"/>
          <cell r="AF49"/>
          <cell r="AG49"/>
          <cell r="AH49">
            <v>534.221</v>
          </cell>
          <cell r="AI49">
            <v>2250793.2945016082</v>
          </cell>
          <cell r="AJ49">
            <v>16552.581238062528</v>
          </cell>
          <cell r="AK49">
            <v>11449.086936830316</v>
          </cell>
          <cell r="AL49">
            <v>17499.704320000001</v>
          </cell>
          <cell r="AM49"/>
          <cell r="AN49">
            <v>45501.372494892843</v>
          </cell>
          <cell r="AO49">
            <v>169136.37199999997</v>
          </cell>
          <cell r="AP49">
            <v>855.83600000000001</v>
          </cell>
          <cell r="AQ49"/>
          <cell r="AR49"/>
          <cell r="AS49">
            <v>169992.20799999998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15307.942999999999</v>
          </cell>
          <cell r="BD49">
            <v>0</v>
          </cell>
          <cell r="BE49">
            <v>0</v>
          </cell>
          <cell r="BF49">
            <v>33797.813000000002</v>
          </cell>
          <cell r="BG49">
            <v>0</v>
          </cell>
          <cell r="BH49"/>
          <cell r="BI49"/>
          <cell r="BJ49">
            <v>49105.756000000001</v>
          </cell>
        </row>
        <row r="50">
          <cell r="F50">
            <v>3302375.3540035058</v>
          </cell>
          <cell r="G50">
            <v>375563.97460259346</v>
          </cell>
          <cell r="H50">
            <v>188338.07035944951</v>
          </cell>
          <cell r="I50">
            <v>103927.05542559887</v>
          </cell>
          <cell r="J50">
            <v>190737.61219508795</v>
          </cell>
          <cell r="K50">
            <v>230815.89113328603</v>
          </cell>
          <cell r="L50">
            <v>318189.09446037351</v>
          </cell>
          <cell r="M50">
            <v>128791.65070632986</v>
          </cell>
          <cell r="N50">
            <v>147900.05542909377</v>
          </cell>
          <cell r="O50">
            <v>58754.00921353708</v>
          </cell>
          <cell r="P50">
            <v>256717.46412541598</v>
          </cell>
          <cell r="Q50">
            <v>204573.78136321882</v>
          </cell>
          <cell r="R50">
            <v>79940.341179853756</v>
          </cell>
          <cell r="S50">
            <v>397284.26444284181</v>
          </cell>
          <cell r="T50">
            <v>135842.54461139868</v>
          </cell>
          <cell r="U50">
            <v>337673.95119856991</v>
          </cell>
          <cell r="V50">
            <v>57018.985680345344</v>
          </cell>
          <cell r="W50">
            <v>33075.229371396461</v>
          </cell>
          <cell r="X50">
            <v>0</v>
          </cell>
          <cell r="Y50">
            <v>0</v>
          </cell>
          <cell r="Z50">
            <v>3245143.9754983941</v>
          </cell>
          <cell r="AA50">
            <v>43829.214</v>
          </cell>
          <cell r="AB50">
            <v>-534.221</v>
          </cell>
          <cell r="AC50">
            <v>9037.8729999999996</v>
          </cell>
          <cell r="AD50">
            <v>19625.800999999999</v>
          </cell>
          <cell r="AE50"/>
          <cell r="AF50"/>
          <cell r="AG50"/>
          <cell r="AH50">
            <v>71958.667000000001</v>
          </cell>
          <cell r="AI50">
            <v>3317102.6424983945</v>
          </cell>
          <cell r="AJ50">
            <v>15234.077761937515</v>
          </cell>
          <cell r="AK50">
            <v>-8447.2479368303375</v>
          </cell>
          <cell r="AL50">
            <v>-30230.016319999919</v>
          </cell>
          <cell r="AM50"/>
          <cell r="AN50">
            <v>-23443.186494892856</v>
          </cell>
          <cell r="AO50">
            <v>-6182.6679999982007</v>
          </cell>
          <cell r="AP50">
            <v>-855.83600000000001</v>
          </cell>
          <cell r="AQ50"/>
          <cell r="AR50"/>
          <cell r="AS50">
            <v>-7038.5039999982109</v>
          </cell>
          <cell r="AT50">
            <v>3815.1459999999997</v>
          </cell>
          <cell r="AU50">
            <v>-2014.0820000000003</v>
          </cell>
          <cell r="AV50">
            <v>61356.694000000003</v>
          </cell>
          <cell r="AW50"/>
          <cell r="AX50"/>
          <cell r="AY50"/>
          <cell r="AZ50"/>
          <cell r="BA50">
            <v>63157.758000000002</v>
          </cell>
          <cell r="BB50">
            <v>0</v>
          </cell>
          <cell r="BC50">
            <v>-13605.543</v>
          </cell>
          <cell r="BD50">
            <v>0</v>
          </cell>
          <cell r="BE50">
            <v>0</v>
          </cell>
          <cell r="BF50">
            <v>-33797.813000000002</v>
          </cell>
          <cell r="BG50">
            <v>0</v>
          </cell>
          <cell r="BH50"/>
          <cell r="BI50"/>
          <cell r="BJ50">
            <v>-47403.356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0">
        <row r="6">
          <cell r="F6" t="str">
            <v>합계</v>
          </cell>
          <cell r="G6" t="str">
            <v>안양</v>
          </cell>
          <cell r="H6" t="str">
            <v>인천</v>
          </cell>
          <cell r="I6" t="str">
            <v>파주</v>
          </cell>
          <cell r="J6" t="str">
            <v>김포</v>
          </cell>
          <cell r="K6" t="str">
            <v>부산</v>
          </cell>
          <cell r="L6" t="str">
            <v>서부산</v>
          </cell>
          <cell r="M6" t="str">
            <v>김해</v>
          </cell>
          <cell r="N6" t="str">
            <v>정관</v>
          </cell>
          <cell r="O6" t="str">
            <v>양산</v>
          </cell>
          <cell r="P6" t="str">
            <v>창원</v>
          </cell>
          <cell r="Q6" t="str">
            <v>대구</v>
          </cell>
          <cell r="R6" t="str">
            <v>울산</v>
          </cell>
          <cell r="S6" t="str">
            <v>아산</v>
          </cell>
          <cell r="T6" t="str">
            <v>원주</v>
          </cell>
          <cell r="U6" t="str">
            <v>군산</v>
          </cell>
          <cell r="V6" t="str">
            <v>전주</v>
          </cell>
          <cell r="W6" t="str">
            <v>제주</v>
          </cell>
          <cell r="X6"/>
          <cell r="Y6"/>
          <cell r="Z6" t="str">
            <v>레미콘직영 계</v>
          </cell>
          <cell r="AA6" t="str">
            <v>속초임대</v>
          </cell>
          <cell r="AB6" t="str">
            <v>양양임대</v>
          </cell>
          <cell r="AC6" t="str">
            <v>강릉임대</v>
          </cell>
          <cell r="AD6" t="str">
            <v>포항임대</v>
          </cell>
          <cell r="AE6"/>
          <cell r="AF6"/>
          <cell r="AG6"/>
          <cell r="AH6" t="str">
            <v>레미콘임대 계</v>
          </cell>
          <cell r="AI6" t="str">
            <v>레미콘 총계</v>
          </cell>
          <cell r="AJ6" t="str">
            <v>부산골재</v>
          </cell>
          <cell r="AK6" t="str">
            <v>서부산골재</v>
          </cell>
          <cell r="AL6" t="str">
            <v>부산크라샤</v>
          </cell>
          <cell r="AM6"/>
          <cell r="AN6" t="str">
            <v>골재 계</v>
          </cell>
          <cell r="AO6" t="str">
            <v>건자재영업</v>
          </cell>
          <cell r="AP6" t="str">
            <v>부산시그마</v>
          </cell>
          <cell r="AQ6"/>
          <cell r="AR6"/>
          <cell r="AS6" t="str">
            <v>기타사업 계</v>
          </cell>
          <cell r="AT6" t="str">
            <v>주유소임대</v>
          </cell>
          <cell r="AU6" t="str">
            <v>부동산임대</v>
          </cell>
          <cell r="AV6" t="str">
            <v>기타임대</v>
          </cell>
          <cell r="AW6"/>
          <cell r="AX6"/>
          <cell r="AY6"/>
          <cell r="AZ6"/>
          <cell r="BA6" t="str">
            <v>임대 계</v>
          </cell>
          <cell r="BB6" t="str">
            <v>공통</v>
          </cell>
          <cell r="BC6" t="str">
            <v>M기타영업</v>
          </cell>
          <cell r="BD6" t="str">
            <v>opc소급</v>
          </cell>
          <cell r="BE6" t="str">
            <v>대손</v>
          </cell>
          <cell r="BF6" t="str">
            <v>미운영 공장</v>
          </cell>
          <cell r="BG6" t="str">
            <v>M본사_회계팀</v>
          </cell>
          <cell r="BH6"/>
          <cell r="BI6"/>
          <cell r="BJ6" t="str">
            <v>기타 계</v>
          </cell>
          <cell r="BK6"/>
        </row>
        <row r="7">
          <cell r="F7"/>
          <cell r="G7">
            <v>170698</v>
          </cell>
          <cell r="H7">
            <v>113751</v>
          </cell>
          <cell r="I7">
            <v>94777</v>
          </cell>
          <cell r="J7">
            <v>41157.5</v>
          </cell>
          <cell r="K7">
            <v>85017</v>
          </cell>
          <cell r="L7">
            <v>88975</v>
          </cell>
          <cell r="M7">
            <v>52342</v>
          </cell>
          <cell r="N7">
            <v>78444.5</v>
          </cell>
          <cell r="O7">
            <v>49696</v>
          </cell>
          <cell r="P7">
            <v>70602.5</v>
          </cell>
          <cell r="Q7">
            <v>61982.5</v>
          </cell>
          <cell r="R7">
            <v>28464.5</v>
          </cell>
          <cell r="S7">
            <v>98311</v>
          </cell>
          <cell r="T7">
            <v>20073.5</v>
          </cell>
          <cell r="U7">
            <v>32875</v>
          </cell>
          <cell r="V7">
            <v>25735</v>
          </cell>
          <cell r="W7">
            <v>13064</v>
          </cell>
          <cell r="X7"/>
          <cell r="Y7"/>
          <cell r="Z7">
            <v>1125966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/>
          <cell r="AF7"/>
          <cell r="AG7"/>
          <cell r="AH7">
            <v>0</v>
          </cell>
          <cell r="AI7">
            <v>1125966</v>
          </cell>
          <cell r="AJ7">
            <v>86685</v>
          </cell>
          <cell r="AK7">
            <v>99714</v>
          </cell>
          <cell r="AL7">
            <v>134661</v>
          </cell>
          <cell r="AM7"/>
          <cell r="AN7">
            <v>321060</v>
          </cell>
          <cell r="AO7">
            <v>30310.545999999998</v>
          </cell>
          <cell r="AP7">
            <v>0</v>
          </cell>
          <cell r="AQ7"/>
          <cell r="AR7"/>
          <cell r="AS7"/>
          <cell r="AT7">
            <v>0</v>
          </cell>
          <cell r="AU7">
            <v>0</v>
          </cell>
          <cell r="AV7">
            <v>0</v>
          </cell>
          <cell r="AW7"/>
          <cell r="AX7"/>
          <cell r="AY7"/>
          <cell r="AZ7"/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/>
          <cell r="BI7"/>
          <cell r="BJ7">
            <v>0</v>
          </cell>
          <cell r="BK7"/>
          <cell r="BL7"/>
          <cell r="BM7"/>
          <cell r="BN7"/>
          <cell r="BO7"/>
        </row>
        <row r="8">
          <cell r="F8">
            <v>153279235.66600004</v>
          </cell>
          <cell r="G8">
            <v>16839669.386999998</v>
          </cell>
          <cell r="H8">
            <v>11517811.092</v>
          </cell>
          <cell r="I8">
            <v>9538546.193</v>
          </cell>
          <cell r="J8">
            <v>4025296.6450000005</v>
          </cell>
          <cell r="K8">
            <v>9081949.4360000007</v>
          </cell>
          <cell r="L8">
            <v>8987029.3200000003</v>
          </cell>
          <cell r="M8">
            <v>5200493.2</v>
          </cell>
          <cell r="N8">
            <v>8063905.6500000004</v>
          </cell>
          <cell r="O8">
            <v>4664993.5550000006</v>
          </cell>
          <cell r="P8">
            <v>7271770.8499999996</v>
          </cell>
          <cell r="Q8">
            <v>6243707.642</v>
          </cell>
          <cell r="R8">
            <v>2936203.392</v>
          </cell>
          <cell r="S8">
            <v>9986371.4509999994</v>
          </cell>
          <cell r="T8">
            <v>2234611.3450000002</v>
          </cell>
          <cell r="U8">
            <v>3584058.89</v>
          </cell>
          <cell r="V8">
            <v>2477456.3480000002</v>
          </cell>
          <cell r="W8">
            <v>1682005.638</v>
          </cell>
          <cell r="X8"/>
          <cell r="Y8"/>
          <cell r="Z8">
            <v>114335880.03400002</v>
          </cell>
          <cell r="AA8">
            <v>200000</v>
          </cell>
          <cell r="AB8">
            <v>0</v>
          </cell>
          <cell r="AC8">
            <v>50000</v>
          </cell>
          <cell r="AD8">
            <v>113360</v>
          </cell>
          <cell r="AE8"/>
          <cell r="AF8"/>
          <cell r="AG8"/>
          <cell r="AH8">
            <v>363360</v>
          </cell>
          <cell r="AI8">
            <v>114699240.03400002</v>
          </cell>
          <cell r="AJ8">
            <v>2636474.08</v>
          </cell>
          <cell r="AK8">
            <v>1384362</v>
          </cell>
          <cell r="AL8">
            <v>2507593.5</v>
          </cell>
          <cell r="AM8"/>
          <cell r="AN8">
            <v>6528429.5800000001</v>
          </cell>
          <cell r="AO8">
            <v>31755572.420000002</v>
          </cell>
          <cell r="AP8">
            <v>0</v>
          </cell>
          <cell r="AQ8"/>
          <cell r="AR8"/>
          <cell r="AS8">
            <v>31755572.420000002</v>
          </cell>
          <cell r="AT8">
            <v>21000</v>
          </cell>
          <cell r="AU8">
            <v>23000</v>
          </cell>
          <cell r="AV8">
            <v>245184.03200000001</v>
          </cell>
          <cell r="AW8"/>
          <cell r="AX8"/>
          <cell r="AY8"/>
          <cell r="AZ8"/>
          <cell r="BA8">
            <v>289184.03200000001</v>
          </cell>
          <cell r="BB8">
            <v>0</v>
          </cell>
          <cell r="BC8">
            <v>6809.6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/>
          <cell r="BI8"/>
          <cell r="BJ8">
            <v>6809.6</v>
          </cell>
          <cell r="BK8"/>
          <cell r="BL8"/>
          <cell r="BM8"/>
          <cell r="BN8"/>
          <cell r="BO8"/>
        </row>
        <row r="9">
          <cell r="F9"/>
          <cell r="G9">
            <v>98651.825955781547</v>
          </cell>
          <cell r="H9">
            <v>101254.59197721339</v>
          </cell>
          <cell r="I9">
            <v>100641.99323675575</v>
          </cell>
          <cell r="J9">
            <v>97802.263135516012</v>
          </cell>
          <cell r="K9">
            <v>106825.09893315454</v>
          </cell>
          <cell r="L9">
            <v>101006.23006462491</v>
          </cell>
          <cell r="M9">
            <v>99356.027664208479</v>
          </cell>
          <cell r="N9">
            <v>102797.59129065773</v>
          </cell>
          <cell r="O9">
            <v>93870.604374597562</v>
          </cell>
          <cell r="P9">
            <v>102995.93994546935</v>
          </cell>
          <cell r="Q9">
            <v>100733.3947807849</v>
          </cell>
          <cell r="R9">
            <v>103153.16945669167</v>
          </cell>
          <cell r="S9">
            <v>101579.39041409403</v>
          </cell>
          <cell r="T9">
            <v>111321.46088126137</v>
          </cell>
          <cell r="U9">
            <v>109020.80273764259</v>
          </cell>
          <cell r="V9">
            <v>96267.975442005074</v>
          </cell>
          <cell r="W9">
            <v>128751.19703000612</v>
          </cell>
          <cell r="X9"/>
          <cell r="Y9"/>
          <cell r="Z9">
            <v>101544.7003142191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/>
          <cell r="AF9"/>
          <cell r="AG9"/>
          <cell r="AH9">
            <v>0</v>
          </cell>
          <cell r="AI9">
            <v>101867.40988093782</v>
          </cell>
          <cell r="AJ9">
            <v>30414.420949414547</v>
          </cell>
          <cell r="AK9">
            <v>13883.326313255911</v>
          </cell>
          <cell r="AL9">
            <v>18621.527391004074</v>
          </cell>
          <cell r="AM9"/>
          <cell r="AN9"/>
          <cell r="AO9">
            <v>1047674.0478380034</v>
          </cell>
          <cell r="AP9">
            <v>0</v>
          </cell>
          <cell r="AQ9"/>
          <cell r="AR9"/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/>
          <cell r="AX9"/>
          <cell r="AY9"/>
          <cell r="AZ9"/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/>
          <cell r="BI9"/>
          <cell r="BJ9">
            <v>0</v>
          </cell>
          <cell r="BK9"/>
          <cell r="BL9"/>
          <cell r="BM9"/>
          <cell r="BN9"/>
          <cell r="BO9"/>
        </row>
        <row r="10">
          <cell r="F10">
            <v>134258683.66607997</v>
          </cell>
          <cell r="G10">
            <v>14655871.163950002</v>
          </cell>
          <cell r="H10">
            <v>10176578.76994</v>
          </cell>
          <cell r="I10">
            <v>8552181.3944099993</v>
          </cell>
          <cell r="J10">
            <v>3549589.6429099999</v>
          </cell>
          <cell r="K10">
            <v>7577308.5448000003</v>
          </cell>
          <cell r="L10">
            <v>7617949.7674899995</v>
          </cell>
          <cell r="M10">
            <v>4578802.6055100001</v>
          </cell>
          <cell r="N10">
            <v>6980667.2537700003</v>
          </cell>
          <cell r="O10">
            <v>4014502.2583499998</v>
          </cell>
          <cell r="P10">
            <v>5777104.7361699995</v>
          </cell>
          <cell r="Q10">
            <v>5131914.6260399995</v>
          </cell>
          <cell r="R10">
            <v>2682396.2579399999</v>
          </cell>
          <cell r="S10">
            <v>8554559.1400499996</v>
          </cell>
          <cell r="T10">
            <v>1765414.8986599999</v>
          </cell>
          <cell r="U10">
            <v>2532065.8559699999</v>
          </cell>
          <cell r="V10">
            <v>2217532.5381500004</v>
          </cell>
          <cell r="W10">
            <v>1402872.59036</v>
          </cell>
          <cell r="X10"/>
          <cell r="Y10"/>
          <cell r="Z10">
            <v>97767312.044469967</v>
          </cell>
          <cell r="AA10">
            <v>2009.3880000000001</v>
          </cell>
          <cell r="AB10">
            <v>0</v>
          </cell>
          <cell r="AC10">
            <v>13644.066000000001</v>
          </cell>
          <cell r="AD10">
            <v>32294.737999999998</v>
          </cell>
          <cell r="AE10"/>
          <cell r="AF10"/>
          <cell r="AG10"/>
          <cell r="AH10">
            <v>47948.191999999995</v>
          </cell>
          <cell r="AI10">
            <v>97815260.236469969</v>
          </cell>
          <cell r="AJ10">
            <v>2237977.4725799998</v>
          </cell>
          <cell r="AK10">
            <v>1102887.15173</v>
          </cell>
          <cell r="AL10">
            <v>2040714.2892999998</v>
          </cell>
          <cell r="AM10"/>
          <cell r="AN10">
            <v>5381578.9136100002</v>
          </cell>
          <cell r="AO10">
            <v>31058810.272999998</v>
          </cell>
          <cell r="AP10">
            <v>0</v>
          </cell>
          <cell r="AQ10"/>
          <cell r="AR10"/>
          <cell r="AS10">
            <v>31058810.272999998</v>
          </cell>
          <cell r="AT10">
            <v>491.91199999999998</v>
          </cell>
          <cell r="AU10">
            <v>703.71199999999999</v>
          </cell>
          <cell r="AV10">
            <v>0</v>
          </cell>
          <cell r="AW10"/>
          <cell r="AX10"/>
          <cell r="AY10"/>
          <cell r="AZ10"/>
          <cell r="BA10">
            <v>1195.624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1838.6189999999999</v>
          </cell>
          <cell r="BH10"/>
          <cell r="BI10"/>
          <cell r="BJ10">
            <v>1838.6189999999999</v>
          </cell>
          <cell r="BK10"/>
          <cell r="BL10"/>
          <cell r="BM10"/>
          <cell r="BN10"/>
          <cell r="BO10"/>
        </row>
        <row r="11">
          <cell r="F11"/>
          <cell r="G11">
            <v>85858.482020586074</v>
          </cell>
          <cell r="H11">
            <v>89463.64225316701</v>
          </cell>
          <cell r="I11">
            <v>90234.776310813802</v>
          </cell>
          <cell r="J11">
            <v>86244.053766871162</v>
          </cell>
          <cell r="K11">
            <v>89126.981013209137</v>
          </cell>
          <cell r="L11">
            <v>85618.991486260187</v>
          </cell>
          <cell r="M11">
            <v>87478.556522677784</v>
          </cell>
          <cell r="N11">
            <v>88988.613016463874</v>
          </cell>
          <cell r="O11">
            <v>80781.19483157598</v>
          </cell>
          <cell r="P11">
            <v>81825.781469069785</v>
          </cell>
          <cell r="Q11">
            <v>82796.186440366233</v>
          </cell>
          <cell r="R11">
            <v>94236.54931370655</v>
          </cell>
          <cell r="S11">
            <v>87015.279470761161</v>
          </cell>
          <cell r="T11">
            <v>87947.537731835502</v>
          </cell>
          <cell r="U11">
            <v>77021.014630266145</v>
          </cell>
          <cell r="V11">
            <v>86167.963401981746</v>
          </cell>
          <cell r="W11">
            <v>107384.61346907532</v>
          </cell>
          <cell r="X11"/>
          <cell r="Y11"/>
          <cell r="Z11">
            <v>86829.719586976833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/>
          <cell r="AF11"/>
          <cell r="AG11"/>
          <cell r="AH11">
            <v>0</v>
          </cell>
          <cell r="AI11">
            <v>86872.303636584023</v>
          </cell>
          <cell r="AJ11">
            <v>25817.355627617231</v>
          </cell>
          <cell r="AK11">
            <v>11060.504560342579</v>
          </cell>
          <cell r="AL11">
            <v>15154.456667483531</v>
          </cell>
          <cell r="AM11"/>
          <cell r="AN11"/>
          <cell r="AO11">
            <v>1024686.5982882658</v>
          </cell>
          <cell r="AP11">
            <v>0</v>
          </cell>
          <cell r="AQ11"/>
          <cell r="AR11"/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/>
          <cell r="AX11"/>
          <cell r="AY11"/>
          <cell r="AZ11"/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/>
          <cell r="BI11"/>
          <cell r="BJ11">
            <v>0</v>
          </cell>
          <cell r="BK11"/>
          <cell r="BL11"/>
          <cell r="BM11"/>
          <cell r="BN11"/>
          <cell r="BO11"/>
        </row>
        <row r="12">
          <cell r="F12">
            <v>19020551.99992007</v>
          </cell>
          <cell r="G12">
            <v>2183798.2230499964</v>
          </cell>
          <cell r="H12">
            <v>1341232.3220600002</v>
          </cell>
          <cell r="I12">
            <v>986364.79859000072</v>
          </cell>
          <cell r="J12">
            <v>475707.00209000055</v>
          </cell>
          <cell r="K12">
            <v>1504640.8912000004</v>
          </cell>
          <cell r="L12">
            <v>1369079.5525100008</v>
          </cell>
          <cell r="M12">
            <v>621690.59449000005</v>
          </cell>
          <cell r="N12">
            <v>1083238.3962300001</v>
          </cell>
          <cell r="O12">
            <v>650491.29665000085</v>
          </cell>
          <cell r="P12">
            <v>1494666.1138300002</v>
          </cell>
          <cell r="Q12">
            <v>1111793.0159600005</v>
          </cell>
          <cell r="R12">
            <v>253807.13406000007</v>
          </cell>
          <cell r="S12">
            <v>1431812.3109499998</v>
          </cell>
          <cell r="T12">
            <v>469196.44634000026</v>
          </cell>
          <cell r="U12">
            <v>1051993.0340300002</v>
          </cell>
          <cell r="V12">
            <v>259923.80984999985</v>
          </cell>
          <cell r="W12">
            <v>279133.04764</v>
          </cell>
          <cell r="X12"/>
          <cell r="Y12"/>
          <cell r="Z12">
            <v>16568567.989529997</v>
          </cell>
          <cell r="AA12">
            <v>197990.61199999999</v>
          </cell>
          <cell r="AB12">
            <v>0</v>
          </cell>
          <cell r="AC12">
            <v>36355.934000000001</v>
          </cell>
          <cell r="AD12">
            <v>81065.262000000002</v>
          </cell>
          <cell r="AE12"/>
          <cell r="AF12"/>
          <cell r="AG12"/>
          <cell r="AH12">
            <v>315411.80800000002</v>
          </cell>
          <cell r="AI12">
            <v>16883979.797530055</v>
          </cell>
          <cell r="AJ12">
            <v>398496.60742000025</v>
          </cell>
          <cell r="AK12">
            <v>281474.84826999996</v>
          </cell>
          <cell r="AL12">
            <v>466879.21070000017</v>
          </cell>
          <cell r="AM12"/>
          <cell r="AN12">
            <v>1146850.6663899999</v>
          </cell>
          <cell r="AO12">
            <v>696762.14700000361</v>
          </cell>
          <cell r="AP12">
            <v>0</v>
          </cell>
          <cell r="AQ12"/>
          <cell r="AR12"/>
          <cell r="AS12">
            <v>696762.14700000361</v>
          </cell>
          <cell r="AT12">
            <v>20508.088</v>
          </cell>
          <cell r="AU12">
            <v>22296.288</v>
          </cell>
          <cell r="AV12">
            <v>245184.03200000001</v>
          </cell>
          <cell r="AW12"/>
          <cell r="AX12"/>
          <cell r="AY12"/>
          <cell r="AZ12"/>
          <cell r="BA12">
            <v>287988.408</v>
          </cell>
          <cell r="BB12">
            <v>0</v>
          </cell>
          <cell r="BC12">
            <v>6809.6</v>
          </cell>
          <cell r="BD12">
            <v>0</v>
          </cell>
          <cell r="BE12">
            <v>0</v>
          </cell>
          <cell r="BF12">
            <v>0</v>
          </cell>
          <cell r="BG12">
            <v>-1838.6189999999999</v>
          </cell>
          <cell r="BH12"/>
          <cell r="BI12"/>
          <cell r="BJ12">
            <v>4970.9810000000007</v>
          </cell>
          <cell r="BK12"/>
          <cell r="BL12"/>
          <cell r="BM12"/>
          <cell r="BN12"/>
          <cell r="BO12"/>
        </row>
        <row r="13">
          <cell r="F13">
            <v>3151425.9270000001</v>
          </cell>
          <cell r="G13">
            <v>284884.36799999996</v>
          </cell>
          <cell r="H13">
            <v>251721.94200000001</v>
          </cell>
          <cell r="I13">
            <v>192006.56299999999</v>
          </cell>
          <cell r="J13">
            <v>134204.467</v>
          </cell>
          <cell r="K13">
            <v>181591.49300000002</v>
          </cell>
          <cell r="L13">
            <v>203505.92699999997</v>
          </cell>
          <cell r="M13">
            <v>146683.56099999999</v>
          </cell>
          <cell r="N13">
            <v>181168.96900000001</v>
          </cell>
          <cell r="O13">
            <v>108643.617</v>
          </cell>
          <cell r="P13">
            <v>176801.769</v>
          </cell>
          <cell r="Q13">
            <v>146292.53399999999</v>
          </cell>
          <cell r="R13">
            <v>108722.52599999998</v>
          </cell>
          <cell r="S13">
            <v>182719.39199999999</v>
          </cell>
          <cell r="T13">
            <v>40593.014999999999</v>
          </cell>
          <cell r="U13">
            <v>42242.483</v>
          </cell>
          <cell r="V13">
            <v>124311.13400000001</v>
          </cell>
          <cell r="W13">
            <v>61111.702999999994</v>
          </cell>
          <cell r="X13"/>
          <cell r="Y13"/>
          <cell r="Z13">
            <v>2567205.463</v>
          </cell>
          <cell r="AA13">
            <v>0</v>
          </cell>
          <cell r="AB13">
            <v>831.27600000000007</v>
          </cell>
          <cell r="AC13">
            <v>0</v>
          </cell>
          <cell r="AD13">
            <v>0</v>
          </cell>
          <cell r="AE13"/>
          <cell r="AF13"/>
          <cell r="AG13"/>
          <cell r="AH13">
            <v>831.27600000000007</v>
          </cell>
          <cell r="AI13">
            <v>2568036.7390000001</v>
          </cell>
          <cell r="AJ13">
            <v>1840</v>
          </cell>
          <cell r="AK13">
            <v>5335.1530000000002</v>
          </cell>
          <cell r="AL13">
            <v>0</v>
          </cell>
          <cell r="AM13"/>
          <cell r="AN13">
            <v>7175.1530000000002</v>
          </cell>
          <cell r="AO13">
            <v>532836.62800000003</v>
          </cell>
          <cell r="AP13">
            <v>0</v>
          </cell>
          <cell r="AQ13"/>
          <cell r="AR13"/>
          <cell r="AS13">
            <v>532836.62800000003</v>
          </cell>
          <cell r="AT13">
            <v>0</v>
          </cell>
          <cell r="AU13">
            <v>0</v>
          </cell>
          <cell r="AV13">
            <v>0</v>
          </cell>
          <cell r="AW13"/>
          <cell r="AX13"/>
          <cell r="AY13"/>
          <cell r="AZ13"/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43377.406999999999</v>
          </cell>
          <cell r="BG13">
            <v>0</v>
          </cell>
          <cell r="BH13"/>
          <cell r="BI13"/>
          <cell r="BJ13">
            <v>43377.406999999999</v>
          </cell>
          <cell r="BK13"/>
          <cell r="BL13"/>
          <cell r="BM13"/>
          <cell r="BN13"/>
          <cell r="BO13"/>
        </row>
        <row r="14">
          <cell r="F14">
            <v>2082528.7960000001</v>
          </cell>
          <cell r="G14">
            <v>184258.96199999997</v>
          </cell>
          <cell r="H14">
            <v>163180.649</v>
          </cell>
          <cell r="I14">
            <v>126551.05799999999</v>
          </cell>
          <cell r="J14">
            <v>93901.710999999996</v>
          </cell>
          <cell r="K14">
            <v>123328.48300000001</v>
          </cell>
          <cell r="L14">
            <v>134499.25999999998</v>
          </cell>
          <cell r="M14">
            <v>101609.73699999999</v>
          </cell>
          <cell r="N14">
            <v>128369.788</v>
          </cell>
          <cell r="O14">
            <v>73048.365000000005</v>
          </cell>
          <cell r="P14">
            <v>125687.409</v>
          </cell>
          <cell r="Q14">
            <v>101391.651</v>
          </cell>
          <cell r="R14">
            <v>71880.45199999999</v>
          </cell>
          <cell r="S14">
            <v>119557.814</v>
          </cell>
          <cell r="T14">
            <v>27986.177999999996</v>
          </cell>
          <cell r="U14">
            <v>27582.89</v>
          </cell>
          <cell r="V14">
            <v>82990.217000000004</v>
          </cell>
          <cell r="W14">
            <v>41638.828999999998</v>
          </cell>
          <cell r="X14"/>
          <cell r="Y14"/>
          <cell r="Z14">
            <v>1727463.453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/>
          <cell r="AF14"/>
          <cell r="AG14"/>
          <cell r="AH14">
            <v>0</v>
          </cell>
          <cell r="AI14">
            <v>1727463.453</v>
          </cell>
          <cell r="AJ14">
            <v>0</v>
          </cell>
          <cell r="AK14">
            <v>0</v>
          </cell>
          <cell r="AL14">
            <v>0</v>
          </cell>
          <cell r="AM14"/>
          <cell r="AN14">
            <v>0</v>
          </cell>
          <cell r="AO14">
            <v>355065.34299999999</v>
          </cell>
          <cell r="AP14">
            <v>0</v>
          </cell>
          <cell r="AQ14"/>
          <cell r="AR14"/>
          <cell r="AS14">
            <v>355065.34299999999</v>
          </cell>
          <cell r="AT14">
            <v>0</v>
          </cell>
          <cell r="AU14">
            <v>0</v>
          </cell>
          <cell r="AV14">
            <v>0</v>
          </cell>
          <cell r="AW14"/>
          <cell r="AX14"/>
          <cell r="AY14"/>
          <cell r="AZ14"/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/>
          <cell r="BI14"/>
          <cell r="BJ14">
            <v>0</v>
          </cell>
          <cell r="BK14"/>
          <cell r="BL14"/>
          <cell r="BM14"/>
          <cell r="BN14"/>
          <cell r="BO14"/>
        </row>
        <row r="15">
          <cell r="F15">
            <v>1068897.1310000001</v>
          </cell>
          <cell r="G15">
            <v>100625.40599999999</v>
          </cell>
          <cell r="H15">
            <v>88541.293000000005</v>
          </cell>
          <cell r="I15">
            <v>65455.504999999997</v>
          </cell>
          <cell r="J15">
            <v>40302.756000000001</v>
          </cell>
          <cell r="K15">
            <v>58263.01</v>
          </cell>
          <cell r="L15">
            <v>69006.666999999987</v>
          </cell>
          <cell r="M15">
            <v>45073.824000000001</v>
          </cell>
          <cell r="N15">
            <v>52799.181000000004</v>
          </cell>
          <cell r="O15">
            <v>35595.252</v>
          </cell>
          <cell r="P15">
            <v>51114.36</v>
          </cell>
          <cell r="Q15">
            <v>44900.883000000002</v>
          </cell>
          <cell r="R15">
            <v>36842.074000000001</v>
          </cell>
          <cell r="S15">
            <v>63161.578000000001</v>
          </cell>
          <cell r="T15">
            <v>12606.837000000001</v>
          </cell>
          <cell r="U15">
            <v>14659.592999999999</v>
          </cell>
          <cell r="V15">
            <v>41320.917000000001</v>
          </cell>
          <cell r="W15">
            <v>19472.873999999996</v>
          </cell>
          <cell r="X15"/>
          <cell r="Y15"/>
          <cell r="Z15">
            <v>839742.01</v>
          </cell>
          <cell r="AA15">
            <v>0</v>
          </cell>
          <cell r="AB15">
            <v>831.27600000000007</v>
          </cell>
          <cell r="AC15">
            <v>0</v>
          </cell>
          <cell r="AD15">
            <v>0</v>
          </cell>
          <cell r="AE15"/>
          <cell r="AF15"/>
          <cell r="AG15"/>
          <cell r="AH15">
            <v>831.27600000000007</v>
          </cell>
          <cell r="AI15">
            <v>840573.28599999996</v>
          </cell>
          <cell r="AJ15">
            <v>1840</v>
          </cell>
          <cell r="AK15">
            <v>5335.1530000000002</v>
          </cell>
          <cell r="AL15">
            <v>0</v>
          </cell>
          <cell r="AM15"/>
          <cell r="AN15">
            <v>7175.1530000000002</v>
          </cell>
          <cell r="AO15">
            <v>177771.285</v>
          </cell>
          <cell r="AP15">
            <v>0</v>
          </cell>
          <cell r="AQ15"/>
          <cell r="AR15"/>
          <cell r="AS15">
            <v>177771.285</v>
          </cell>
          <cell r="AT15">
            <v>0</v>
          </cell>
          <cell r="AU15">
            <v>0</v>
          </cell>
          <cell r="AV15">
            <v>0</v>
          </cell>
          <cell r="AW15"/>
          <cell r="AX15"/>
          <cell r="AY15"/>
          <cell r="AZ15"/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43377.406999999999</v>
          </cell>
          <cell r="BG15">
            <v>0</v>
          </cell>
          <cell r="BH15"/>
          <cell r="BI15"/>
          <cell r="BJ15">
            <v>43377.406999999999</v>
          </cell>
          <cell r="BK15"/>
          <cell r="BL15"/>
          <cell r="BM15"/>
          <cell r="BN15"/>
          <cell r="BO15"/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/>
          <cell r="Y16"/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/>
          <cell r="AF16"/>
          <cell r="AG16"/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/>
          <cell r="AN16">
            <v>0</v>
          </cell>
          <cell r="AO16">
            <v>0</v>
          </cell>
          <cell r="AP16">
            <v>0</v>
          </cell>
          <cell r="AQ16"/>
          <cell r="AR16"/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/>
          <cell r="AX16"/>
          <cell r="AY16"/>
          <cell r="AZ16"/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/>
          <cell r="BI16"/>
          <cell r="BJ16">
            <v>0</v>
          </cell>
          <cell r="BK16"/>
          <cell r="BL16"/>
          <cell r="BM16"/>
          <cell r="BN16"/>
          <cell r="BO16"/>
        </row>
        <row r="17">
          <cell r="F17">
            <v>15869126.072920069</v>
          </cell>
          <cell r="G17">
            <v>1898913.8550499964</v>
          </cell>
          <cell r="H17">
            <v>1089510.3800600001</v>
          </cell>
          <cell r="I17">
            <v>794358.23559000075</v>
          </cell>
          <cell r="J17">
            <v>341502.53509000054</v>
          </cell>
          <cell r="K17">
            <v>1323049.3982000004</v>
          </cell>
          <cell r="L17">
            <v>1165573.6255100009</v>
          </cell>
          <cell r="M17">
            <v>475007.03349000006</v>
          </cell>
          <cell r="N17">
            <v>902069.42723000003</v>
          </cell>
          <cell r="O17">
            <v>541847.67965000088</v>
          </cell>
          <cell r="P17">
            <v>1317864.3448300001</v>
          </cell>
          <cell r="Q17">
            <v>965500.48196000047</v>
          </cell>
          <cell r="R17">
            <v>145084.60806000009</v>
          </cell>
          <cell r="S17">
            <v>1249092.9189499998</v>
          </cell>
          <cell r="T17">
            <v>428603.43134000024</v>
          </cell>
          <cell r="U17">
            <v>1009750.5510300002</v>
          </cell>
          <cell r="V17">
            <v>135612.67584999983</v>
          </cell>
          <cell r="W17">
            <v>218021.34464000002</v>
          </cell>
          <cell r="X17"/>
          <cell r="Y17"/>
          <cell r="Z17">
            <v>14001362.526529998</v>
          </cell>
          <cell r="AA17">
            <v>197990.61199999999</v>
          </cell>
          <cell r="AB17">
            <v>-831.27600000000007</v>
          </cell>
          <cell r="AC17">
            <v>36355.934000000001</v>
          </cell>
          <cell r="AD17">
            <v>81065.262000000002</v>
          </cell>
          <cell r="AE17"/>
          <cell r="AF17"/>
          <cell r="AG17"/>
          <cell r="AH17">
            <v>314580.53200000001</v>
          </cell>
          <cell r="AI17">
            <v>14315943.058530055</v>
          </cell>
          <cell r="AJ17">
            <v>396656.60742000025</v>
          </cell>
          <cell r="AK17">
            <v>276139.69526999997</v>
          </cell>
          <cell r="AL17">
            <v>466879.21070000017</v>
          </cell>
          <cell r="AM17"/>
          <cell r="AN17">
            <v>1139675.51339</v>
          </cell>
          <cell r="AO17">
            <v>163925.51900000358</v>
          </cell>
          <cell r="AP17">
            <v>0</v>
          </cell>
          <cell r="AQ17"/>
          <cell r="AR17"/>
          <cell r="AS17">
            <v>163925.51900000358</v>
          </cell>
          <cell r="AT17">
            <v>20508.088</v>
          </cell>
          <cell r="AU17">
            <v>22296.288</v>
          </cell>
          <cell r="AV17">
            <v>245184.03200000001</v>
          </cell>
          <cell r="AW17"/>
          <cell r="AX17"/>
          <cell r="AY17"/>
          <cell r="AZ17"/>
          <cell r="BA17">
            <v>287988.408</v>
          </cell>
          <cell r="BB17">
            <v>0</v>
          </cell>
          <cell r="BC17">
            <v>6809.6</v>
          </cell>
          <cell r="BD17">
            <v>0</v>
          </cell>
          <cell r="BE17">
            <v>0</v>
          </cell>
          <cell r="BF17">
            <v>-43377.406999999999</v>
          </cell>
          <cell r="BG17">
            <v>-1838.6189999999999</v>
          </cell>
          <cell r="BH17"/>
          <cell r="BI17"/>
          <cell r="BJ17">
            <v>-38406.425999999999</v>
          </cell>
          <cell r="BK17"/>
          <cell r="BL17"/>
          <cell r="BM17"/>
          <cell r="BN17"/>
          <cell r="BO17"/>
        </row>
        <row r="18">
          <cell r="F18">
            <v>2240551.00593</v>
          </cell>
          <cell r="G18">
            <v>117984.26405</v>
          </cell>
          <cell r="H18">
            <v>133974.50106000001</v>
          </cell>
          <cell r="I18">
            <v>73689.940589999984</v>
          </cell>
          <cell r="J18">
            <v>74578.303090000001</v>
          </cell>
          <cell r="K18">
            <v>333132.91019999998</v>
          </cell>
          <cell r="L18">
            <v>143524.98951000001</v>
          </cell>
          <cell r="M18">
            <v>65931.054489999995</v>
          </cell>
          <cell r="N18">
            <v>116556.42723</v>
          </cell>
          <cell r="O18">
            <v>43373.88665</v>
          </cell>
          <cell r="P18">
            <v>124778.01583</v>
          </cell>
          <cell r="Q18">
            <v>57764.621959999989</v>
          </cell>
          <cell r="R18">
            <v>49788.020059999995</v>
          </cell>
          <cell r="S18">
            <v>129987.57695</v>
          </cell>
          <cell r="T18">
            <v>22758.758339999997</v>
          </cell>
          <cell r="U18">
            <v>40805.226030000005</v>
          </cell>
          <cell r="V18">
            <v>83056.569850000014</v>
          </cell>
          <cell r="W18">
            <v>41043.717639999995</v>
          </cell>
          <cell r="X18"/>
          <cell r="Y18"/>
          <cell r="Z18">
            <v>1652728.7835299997</v>
          </cell>
          <cell r="AA18">
            <v>22323.587</v>
          </cell>
          <cell r="AB18">
            <v>1414.6880000000001</v>
          </cell>
          <cell r="AC18">
            <v>0</v>
          </cell>
          <cell r="AD18">
            <v>0</v>
          </cell>
          <cell r="AE18"/>
          <cell r="AF18"/>
          <cell r="AG18"/>
          <cell r="AH18">
            <v>23738.275000000001</v>
          </cell>
          <cell r="AI18">
            <v>1676467.05853</v>
          </cell>
          <cell r="AJ18">
            <v>132857.87041999999</v>
          </cell>
          <cell r="AK18">
            <v>41105.167280000001</v>
          </cell>
          <cell r="AL18">
            <v>221210.10269999999</v>
          </cell>
          <cell r="AM18"/>
          <cell r="AN18">
            <v>395173.14039999997</v>
          </cell>
          <cell r="AO18">
            <v>21340.951000000001</v>
          </cell>
          <cell r="AP18">
            <v>3423.3440000000001</v>
          </cell>
          <cell r="AQ18"/>
          <cell r="AR18"/>
          <cell r="AS18">
            <v>24764.295000000002</v>
          </cell>
          <cell r="AT18">
            <v>5251.5680000000002</v>
          </cell>
          <cell r="AU18">
            <v>21365.488000000001</v>
          </cell>
          <cell r="AV18">
            <v>0</v>
          </cell>
          <cell r="AW18"/>
          <cell r="AX18"/>
          <cell r="AY18"/>
          <cell r="AZ18"/>
          <cell r="BA18">
            <v>26617.056</v>
          </cell>
          <cell r="BB18">
            <v>0</v>
          </cell>
          <cell r="BC18">
            <v>53973.373999999996</v>
          </cell>
          <cell r="BD18">
            <v>0</v>
          </cell>
          <cell r="BE18">
            <v>0</v>
          </cell>
          <cell r="BF18">
            <v>63556.081999999995</v>
          </cell>
          <cell r="BG18">
            <v>0</v>
          </cell>
          <cell r="BH18"/>
          <cell r="BI18"/>
          <cell r="BJ18">
            <v>117529.45599999999</v>
          </cell>
          <cell r="BK18"/>
          <cell r="BL18"/>
          <cell r="BM18"/>
          <cell r="BN18"/>
          <cell r="BO18"/>
        </row>
        <row r="19">
          <cell r="F19">
            <v>2009057.73893</v>
          </cell>
          <cell r="G19">
            <v>108673.78104999999</v>
          </cell>
          <cell r="H19">
            <v>126193.96506</v>
          </cell>
          <cell r="I19">
            <v>67073.741589999991</v>
          </cell>
          <cell r="J19">
            <v>69810.353090000004</v>
          </cell>
          <cell r="K19">
            <v>325628.64919999999</v>
          </cell>
          <cell r="L19">
            <v>137267.38451</v>
          </cell>
          <cell r="M19">
            <v>61156.660489999995</v>
          </cell>
          <cell r="N19">
            <v>110303.21023</v>
          </cell>
          <cell r="O19">
            <v>40373.744650000001</v>
          </cell>
          <cell r="P19">
            <v>119902.95383</v>
          </cell>
          <cell r="Q19">
            <v>52943.071959999994</v>
          </cell>
          <cell r="R19">
            <v>45379.401059999997</v>
          </cell>
          <cell r="S19">
            <v>123634.77595</v>
          </cell>
          <cell r="T19">
            <v>21277.159339999998</v>
          </cell>
          <cell r="U19">
            <v>39033.750030000003</v>
          </cell>
          <cell r="V19">
            <v>78549.114850000013</v>
          </cell>
          <cell r="W19">
            <v>37742.238639999996</v>
          </cell>
          <cell r="X19"/>
          <cell r="Y19"/>
          <cell r="Z19">
            <v>1564943.9555299999</v>
          </cell>
          <cell r="AA19">
            <v>22323.587</v>
          </cell>
          <cell r="AB19">
            <v>0</v>
          </cell>
          <cell r="AC19">
            <v>0</v>
          </cell>
          <cell r="AD19">
            <v>0</v>
          </cell>
          <cell r="AE19"/>
          <cell r="AF19"/>
          <cell r="AG19"/>
          <cell r="AH19">
            <v>22323.587</v>
          </cell>
          <cell r="AI19">
            <v>1587267.54253</v>
          </cell>
          <cell r="AJ19">
            <v>132857.87041999999</v>
          </cell>
          <cell r="AK19">
            <v>41105.167280000001</v>
          </cell>
          <cell r="AL19">
            <v>221210.10269999999</v>
          </cell>
          <cell r="AM19"/>
          <cell r="AN19">
            <v>395173.14039999997</v>
          </cell>
          <cell r="AO19">
            <v>0</v>
          </cell>
          <cell r="AP19">
            <v>0</v>
          </cell>
          <cell r="AQ19"/>
          <cell r="AR19"/>
          <cell r="AS19">
            <v>0</v>
          </cell>
          <cell r="AT19">
            <v>5251.5680000000002</v>
          </cell>
          <cell r="AU19">
            <v>21365.488000000001</v>
          </cell>
          <cell r="AV19">
            <v>0</v>
          </cell>
          <cell r="AW19"/>
          <cell r="AX19"/>
          <cell r="AY19"/>
          <cell r="AZ19"/>
          <cell r="BA19">
            <v>26617.056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/>
          <cell r="BI19"/>
          <cell r="BJ19">
            <v>0</v>
          </cell>
          <cell r="BK19"/>
          <cell r="BL19"/>
          <cell r="BM19"/>
          <cell r="BN19"/>
          <cell r="BO19"/>
        </row>
        <row r="20">
          <cell r="F20">
            <v>231493.26699999999</v>
          </cell>
          <cell r="G20">
            <v>9310.4830000000002</v>
          </cell>
          <cell r="H20">
            <v>7780.5360000000001</v>
          </cell>
          <cell r="I20">
            <v>6616.1989999999996</v>
          </cell>
          <cell r="J20">
            <v>4767.95</v>
          </cell>
          <cell r="K20">
            <v>7504.2610000000004</v>
          </cell>
          <cell r="L20">
            <v>6257.6049999999996</v>
          </cell>
          <cell r="M20">
            <v>4774.3939999999993</v>
          </cell>
          <cell r="N20">
            <v>6253.2169999999996</v>
          </cell>
          <cell r="O20">
            <v>3000.1419999999998</v>
          </cell>
          <cell r="P20">
            <v>4875.0619999999999</v>
          </cell>
          <cell r="Q20">
            <v>4821.5499999999993</v>
          </cell>
          <cell r="R20">
            <v>4408.6190000000006</v>
          </cell>
          <cell r="S20">
            <v>6352.8010000000004</v>
          </cell>
          <cell r="T20">
            <v>1481.5989999999997</v>
          </cell>
          <cell r="U20">
            <v>1771.4760000000001</v>
          </cell>
          <cell r="V20">
            <v>4507.4549999999999</v>
          </cell>
          <cell r="W20">
            <v>3301.4790000000003</v>
          </cell>
          <cell r="X20"/>
          <cell r="Y20"/>
          <cell r="Z20">
            <v>87784.828000000009</v>
          </cell>
          <cell r="AA20">
            <v>0</v>
          </cell>
          <cell r="AB20">
            <v>1414.6880000000001</v>
          </cell>
          <cell r="AC20">
            <v>0</v>
          </cell>
          <cell r="AD20">
            <v>0</v>
          </cell>
          <cell r="AE20"/>
          <cell r="AF20"/>
          <cell r="AG20"/>
          <cell r="AH20">
            <v>1414.6880000000001</v>
          </cell>
          <cell r="AI20">
            <v>89199.516000000003</v>
          </cell>
          <cell r="AJ20">
            <v>0</v>
          </cell>
          <cell r="AK20">
            <v>0</v>
          </cell>
          <cell r="AL20">
            <v>0</v>
          </cell>
          <cell r="AM20"/>
          <cell r="AN20">
            <v>0</v>
          </cell>
          <cell r="AO20">
            <v>21340.951000000001</v>
          </cell>
          <cell r="AP20">
            <v>3423.3440000000001</v>
          </cell>
          <cell r="AQ20"/>
          <cell r="AR20"/>
          <cell r="AS20">
            <v>24764.295000000002</v>
          </cell>
          <cell r="AT20">
            <v>0</v>
          </cell>
          <cell r="AU20">
            <v>0</v>
          </cell>
          <cell r="AV20">
            <v>0</v>
          </cell>
          <cell r="AW20"/>
          <cell r="AX20"/>
          <cell r="AY20"/>
          <cell r="AZ20"/>
          <cell r="BA20">
            <v>0</v>
          </cell>
          <cell r="BB20">
            <v>0</v>
          </cell>
          <cell r="BC20">
            <v>53973.373999999996</v>
          </cell>
          <cell r="BD20">
            <v>0</v>
          </cell>
          <cell r="BE20">
            <v>0</v>
          </cell>
          <cell r="BF20">
            <v>63556.081999999995</v>
          </cell>
          <cell r="BG20">
            <v>0</v>
          </cell>
          <cell r="BH20"/>
          <cell r="BI20"/>
          <cell r="BJ20">
            <v>117529.45599999999</v>
          </cell>
          <cell r="BK20"/>
          <cell r="BL20"/>
          <cell r="BM20"/>
          <cell r="BN20"/>
          <cell r="BO20"/>
        </row>
        <row r="21">
          <cell r="F21">
            <v>13628575.06699007</v>
          </cell>
          <cell r="G21">
            <v>1780929.5909999963</v>
          </cell>
          <cell r="H21">
            <v>955535.87900000007</v>
          </cell>
          <cell r="I21">
            <v>720668.29500000074</v>
          </cell>
          <cell r="J21">
            <v>266924.23200000054</v>
          </cell>
          <cell r="K21">
            <v>989916.48800000036</v>
          </cell>
          <cell r="L21">
            <v>1022048.6360000009</v>
          </cell>
          <cell r="M21">
            <v>409075.97900000005</v>
          </cell>
          <cell r="N21">
            <v>785513</v>
          </cell>
          <cell r="O21">
            <v>498473.79300000088</v>
          </cell>
          <cell r="P21">
            <v>1193086.3290000001</v>
          </cell>
          <cell r="Q21">
            <v>907735.86000000045</v>
          </cell>
          <cell r="R21">
            <v>95296.588000000091</v>
          </cell>
          <cell r="S21">
            <v>1119105.3419999999</v>
          </cell>
          <cell r="T21">
            <v>405844.67300000024</v>
          </cell>
          <cell r="U21">
            <v>968945.32500000019</v>
          </cell>
          <cell r="V21">
            <v>52556.105999999811</v>
          </cell>
          <cell r="W21">
            <v>176977.62700000004</v>
          </cell>
          <cell r="X21"/>
          <cell r="Y21"/>
          <cell r="Z21">
            <v>12348633.742999997</v>
          </cell>
          <cell r="AA21">
            <v>175667.02499999999</v>
          </cell>
          <cell r="AB21">
            <v>-2245.9639999999999</v>
          </cell>
          <cell r="AC21">
            <v>36355.934000000001</v>
          </cell>
          <cell r="AD21">
            <v>81065.262000000002</v>
          </cell>
          <cell r="AE21"/>
          <cell r="AF21"/>
          <cell r="AG21"/>
          <cell r="AH21">
            <v>290842.25699999998</v>
          </cell>
          <cell r="AI21">
            <v>12639476.000000056</v>
          </cell>
          <cell r="AJ21">
            <v>263798.73700000026</v>
          </cell>
          <cell r="AK21">
            <v>235034.52798999997</v>
          </cell>
          <cell r="AL21">
            <v>245669.10800000018</v>
          </cell>
          <cell r="AM21"/>
          <cell r="AN21">
            <v>744502.37299000006</v>
          </cell>
          <cell r="AO21">
            <v>142584.56800000358</v>
          </cell>
          <cell r="AP21">
            <v>-3423.3440000000001</v>
          </cell>
          <cell r="AQ21"/>
          <cell r="AR21"/>
          <cell r="AS21">
            <v>139161.22400000357</v>
          </cell>
          <cell r="AT21">
            <v>15256.52</v>
          </cell>
          <cell r="AU21">
            <v>930.79999999999927</v>
          </cell>
          <cell r="AV21">
            <v>245184.03200000001</v>
          </cell>
          <cell r="AW21"/>
          <cell r="AX21"/>
          <cell r="AY21"/>
          <cell r="AZ21"/>
          <cell r="BA21">
            <v>261371.35199999998</v>
          </cell>
          <cell r="BB21">
            <v>0</v>
          </cell>
          <cell r="BC21">
            <v>-47163.773999999998</v>
          </cell>
          <cell r="BD21">
            <v>0</v>
          </cell>
          <cell r="BE21">
            <v>0</v>
          </cell>
          <cell r="BF21">
            <v>-106933.489</v>
          </cell>
          <cell r="BG21">
            <v>-1838.6189999999999</v>
          </cell>
          <cell r="BH21"/>
          <cell r="BI21"/>
          <cell r="BJ21">
            <v>-155935.88199999998</v>
          </cell>
          <cell r="BK21"/>
          <cell r="BL21"/>
          <cell r="BM21"/>
          <cell r="BN21"/>
          <cell r="BO21"/>
        </row>
        <row r="22">
          <cell r="F22">
            <v>7175180.6449991465</v>
          </cell>
          <cell r="G22">
            <v>799889.47000814474</v>
          </cell>
          <cell r="H22">
            <v>541576.95164709608</v>
          </cell>
          <cell r="I22">
            <v>449858.08439277916</v>
          </cell>
          <cell r="J22">
            <v>184313.18245064683</v>
          </cell>
          <cell r="K22">
            <v>440320.10941256688</v>
          </cell>
          <cell r="L22">
            <v>433792.86430556793</v>
          </cell>
          <cell r="M22">
            <v>249763.97124965477</v>
          </cell>
          <cell r="N22">
            <v>390082.20981220226</v>
          </cell>
          <cell r="O22">
            <v>226024.28015404567</v>
          </cell>
          <cell r="P22">
            <v>350728.67354299536</v>
          </cell>
          <cell r="Q22">
            <v>300642.7961104447</v>
          </cell>
          <cell r="R22">
            <v>139889.56587166101</v>
          </cell>
          <cell r="S22">
            <v>450726.24625910877</v>
          </cell>
          <cell r="T22">
            <v>99759.608471965708</v>
          </cell>
          <cell r="U22">
            <v>161384.27700896189</v>
          </cell>
          <cell r="V22">
            <v>112877.3723580329</v>
          </cell>
          <cell r="W22">
            <v>76204.200319993208</v>
          </cell>
          <cell r="X22"/>
          <cell r="Y22"/>
          <cell r="Z22">
            <v>5407833.8633758677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/>
          <cell r="AF22"/>
          <cell r="AG22"/>
          <cell r="AH22">
            <v>0</v>
          </cell>
          <cell r="AI22">
            <v>5407833.8633758677</v>
          </cell>
          <cell r="AJ22">
            <v>69422.050002224583</v>
          </cell>
          <cell r="AK22">
            <v>36925.928171053929</v>
          </cell>
          <cell r="AL22">
            <v>65156.256450000001</v>
          </cell>
          <cell r="AM22"/>
          <cell r="AN22">
            <v>171504.23462327849</v>
          </cell>
          <cell r="AO22">
            <v>0</v>
          </cell>
          <cell r="AP22">
            <v>0</v>
          </cell>
          <cell r="AQ22"/>
          <cell r="AR22"/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/>
          <cell r="AX22"/>
          <cell r="AY22"/>
          <cell r="AZ22"/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1595842.547</v>
          </cell>
          <cell r="BF22">
            <v>0</v>
          </cell>
          <cell r="BG22">
            <v>0</v>
          </cell>
          <cell r="BH22"/>
          <cell r="BI22"/>
          <cell r="BJ22">
            <v>1595842.547</v>
          </cell>
          <cell r="BK22"/>
          <cell r="BL22"/>
          <cell r="BM22"/>
          <cell r="BN22"/>
          <cell r="BO22"/>
        </row>
        <row r="23">
          <cell r="F23">
            <v>975020.14899914654</v>
          </cell>
          <cell r="G23">
            <v>117182.94136364527</v>
          </cell>
          <cell r="H23">
            <v>79479.640402782039</v>
          </cell>
          <cell r="I23">
            <v>65918.051581885869</v>
          </cell>
          <cell r="J23">
            <v>27034.11958793665</v>
          </cell>
          <cell r="K23">
            <v>71400.690979071733</v>
          </cell>
          <cell r="L23">
            <v>70428.747273602843</v>
          </cell>
          <cell r="M23">
            <v>40555.29275132464</v>
          </cell>
          <cell r="N23">
            <v>63212.233284697882</v>
          </cell>
          <cell r="O23">
            <v>36650.750483371899</v>
          </cell>
          <cell r="P23">
            <v>57103.689595925956</v>
          </cell>
          <cell r="Q23">
            <v>49072.762189742964</v>
          </cell>
          <cell r="R23">
            <v>22796.264810468951</v>
          </cell>
          <cell r="S23">
            <v>51377.012224008795</v>
          </cell>
          <cell r="T23">
            <v>11408.09210784375</v>
          </cell>
          <cell r="U23">
            <v>18405.4921495815</v>
          </cell>
          <cell r="V23">
            <v>12813.395008764684</v>
          </cell>
          <cell r="W23">
            <v>8676.7385812124539</v>
          </cell>
          <cell r="X23"/>
          <cell r="Y23"/>
          <cell r="Z23">
            <v>803515.91437586804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/>
          <cell r="AF23"/>
          <cell r="AG23"/>
          <cell r="AH23">
            <v>0</v>
          </cell>
          <cell r="AI23">
            <v>803515.91437586804</v>
          </cell>
          <cell r="AJ23">
            <v>69422.050002224583</v>
          </cell>
          <cell r="AK23">
            <v>36925.928171053929</v>
          </cell>
          <cell r="AL23">
            <v>65156.256450000001</v>
          </cell>
          <cell r="AM23"/>
          <cell r="AN23">
            <v>171504.23462327849</v>
          </cell>
          <cell r="AO23">
            <v>0</v>
          </cell>
          <cell r="AP23">
            <v>0</v>
          </cell>
          <cell r="AQ23"/>
          <cell r="AR23"/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/>
          <cell r="AX23"/>
          <cell r="AY23"/>
          <cell r="AZ23"/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/>
          <cell r="BI23"/>
          <cell r="BJ23">
            <v>0</v>
          </cell>
          <cell r="BK23"/>
          <cell r="BL23"/>
          <cell r="BM23"/>
          <cell r="BN23"/>
          <cell r="BO23"/>
        </row>
        <row r="24">
          <cell r="F24">
            <v>1686215.6879999998</v>
          </cell>
          <cell r="G24">
            <v>253541.36399245646</v>
          </cell>
          <cell r="H24">
            <v>170330.82425923937</v>
          </cell>
          <cell r="I24">
            <v>140826.57369528012</v>
          </cell>
          <cell r="J24">
            <v>53509.782851427924</v>
          </cell>
          <cell r="K24">
            <v>137394.25340163888</v>
          </cell>
          <cell r="L24">
            <v>133808.44305762419</v>
          </cell>
          <cell r="M24">
            <v>75570.934908265161</v>
          </cell>
          <cell r="N24">
            <v>120876.65264457365</v>
          </cell>
          <cell r="O24">
            <v>70552.177206331762</v>
          </cell>
          <cell r="P24">
            <v>108627.96863157953</v>
          </cell>
          <cell r="Q24">
            <v>92852.919454942588</v>
          </cell>
          <cell r="R24">
            <v>41325.941295451332</v>
          </cell>
          <cell r="S24">
            <v>144317.57403177264</v>
          </cell>
          <cell r="T24">
            <v>31350.51924850393</v>
          </cell>
          <cell r="U24">
            <v>51045.681104082134</v>
          </cell>
          <cell r="V24">
            <v>35461.198330901483</v>
          </cell>
          <cell r="W24">
            <v>24822.879885928811</v>
          </cell>
          <cell r="X24"/>
          <cell r="Y24"/>
          <cell r="Z24">
            <v>1686215.6879999998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/>
          <cell r="AF24"/>
          <cell r="AG24"/>
          <cell r="AH24">
            <v>0</v>
          </cell>
          <cell r="AI24">
            <v>1686215.6879999998</v>
          </cell>
          <cell r="AJ24">
            <v>0</v>
          </cell>
          <cell r="AK24">
            <v>0</v>
          </cell>
          <cell r="AL24">
            <v>0</v>
          </cell>
          <cell r="AM24"/>
          <cell r="AN24">
            <v>0</v>
          </cell>
          <cell r="AO24">
            <v>0</v>
          </cell>
          <cell r="AP24">
            <v>0</v>
          </cell>
          <cell r="AQ24"/>
          <cell r="AR24"/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/>
          <cell r="AX24"/>
          <cell r="AY24"/>
          <cell r="AZ24"/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/>
          <cell r="BI24"/>
          <cell r="BJ24">
            <v>0</v>
          </cell>
          <cell r="BK24"/>
          <cell r="BL24"/>
          <cell r="BM24"/>
          <cell r="BN24"/>
          <cell r="BO24"/>
        </row>
        <row r="25">
          <cell r="F25">
            <v>4513944.8080000002</v>
          </cell>
          <cell r="G25">
            <v>429165.16465204302</v>
          </cell>
          <cell r="H25">
            <v>291766.48698507471</v>
          </cell>
          <cell r="I25">
            <v>243113.45911561314</v>
          </cell>
          <cell r="J25">
            <v>103769.28001128224</v>
          </cell>
          <cell r="K25">
            <v>231525.1650318563</v>
          </cell>
          <cell r="L25">
            <v>229555.67397434093</v>
          </cell>
          <cell r="M25">
            <v>133637.74359006499</v>
          </cell>
          <cell r="N25">
            <v>205993.32388293074</v>
          </cell>
          <cell r="O25">
            <v>118821.352464342</v>
          </cell>
          <cell r="P25">
            <v>184997.0153154899</v>
          </cell>
          <cell r="Q25">
            <v>158717.11446575914</v>
          </cell>
          <cell r="R25">
            <v>75767.359765740723</v>
          </cell>
          <cell r="S25">
            <v>255031.66000332736</v>
          </cell>
          <cell r="T25">
            <v>57000.997115618025</v>
          </cell>
          <cell r="U25">
            <v>91933.10375529826</v>
          </cell>
          <cell r="V25">
            <v>64602.779018366724</v>
          </cell>
          <cell r="W25">
            <v>42704.581852851945</v>
          </cell>
          <cell r="X25"/>
          <cell r="Y25"/>
          <cell r="Z25">
            <v>2918102.2609999999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/>
          <cell r="AF25"/>
          <cell r="AG25"/>
          <cell r="AH25">
            <v>0</v>
          </cell>
          <cell r="AI25">
            <v>2918102.2609999999</v>
          </cell>
          <cell r="AJ25">
            <v>0</v>
          </cell>
          <cell r="AK25">
            <v>0</v>
          </cell>
          <cell r="AL25">
            <v>0</v>
          </cell>
          <cell r="AM25"/>
          <cell r="AN25">
            <v>0</v>
          </cell>
          <cell r="AO25">
            <v>0</v>
          </cell>
          <cell r="AP25">
            <v>0</v>
          </cell>
          <cell r="AQ25"/>
          <cell r="AR25"/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/>
          <cell r="AX25"/>
          <cell r="AY25"/>
          <cell r="AZ25"/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1595842.547</v>
          </cell>
          <cell r="BF25">
            <v>0</v>
          </cell>
          <cell r="BG25">
            <v>0</v>
          </cell>
          <cell r="BH25"/>
          <cell r="BI25"/>
          <cell r="BJ25">
            <v>1595842.547</v>
          </cell>
          <cell r="BK25"/>
          <cell r="BL25"/>
          <cell r="BM25"/>
          <cell r="BN25"/>
          <cell r="BO25"/>
        </row>
        <row r="26">
          <cell r="F26">
            <v>6453394.4219909236</v>
          </cell>
          <cell r="G26">
            <v>981040.12099185155</v>
          </cell>
          <cell r="H26">
            <v>413958.92735290399</v>
          </cell>
          <cell r="I26">
            <v>270810.21060722158</v>
          </cell>
          <cell r="J26">
            <v>82611.049549353716</v>
          </cell>
          <cell r="K26">
            <v>549596.37858743349</v>
          </cell>
          <cell r="L26">
            <v>588255.77169443294</v>
          </cell>
          <cell r="M26">
            <v>159312.00775034528</v>
          </cell>
          <cell r="N26">
            <v>395430.79018779774</v>
          </cell>
          <cell r="O26">
            <v>272449.51284595521</v>
          </cell>
          <cell r="P26">
            <v>842357.65545700479</v>
          </cell>
          <cell r="Q26">
            <v>607093.06388955575</v>
          </cell>
          <cell r="R26">
            <v>-44592.977871660914</v>
          </cell>
          <cell r="S26">
            <v>668379.09574089118</v>
          </cell>
          <cell r="T26">
            <v>306085.06452803453</v>
          </cell>
          <cell r="U26">
            <v>807561.0479910383</v>
          </cell>
          <cell r="V26">
            <v>-60321.266358033085</v>
          </cell>
          <cell r="W26">
            <v>100773.42668000683</v>
          </cell>
          <cell r="X26"/>
          <cell r="Y26"/>
          <cell r="Z26">
            <v>6940799.8796241293</v>
          </cell>
          <cell r="AA26">
            <v>175667.02499999999</v>
          </cell>
          <cell r="AB26">
            <v>-2245.9639999999999</v>
          </cell>
          <cell r="AC26">
            <v>36355.934000000001</v>
          </cell>
          <cell r="AD26">
            <v>81065.262000000002</v>
          </cell>
          <cell r="AE26"/>
          <cell r="AF26"/>
          <cell r="AG26"/>
          <cell r="AH26">
            <v>290842.25699999998</v>
          </cell>
          <cell r="AI26">
            <v>7231642.1366241882</v>
          </cell>
          <cell r="AJ26">
            <v>194376.68699777569</v>
          </cell>
          <cell r="AK26">
            <v>198108.59981894604</v>
          </cell>
          <cell r="AL26">
            <v>180512.8515500002</v>
          </cell>
          <cell r="AM26"/>
          <cell r="AN26">
            <v>572998.13836672157</v>
          </cell>
          <cell r="AO26">
            <v>142584.56800000358</v>
          </cell>
          <cell r="AP26">
            <v>-3423.3440000000001</v>
          </cell>
          <cell r="AQ26"/>
          <cell r="AR26"/>
          <cell r="AS26">
            <v>139161.22400000357</v>
          </cell>
          <cell r="AT26">
            <v>15256.52</v>
          </cell>
          <cell r="AU26">
            <v>930.79999999999927</v>
          </cell>
          <cell r="AV26">
            <v>245184.03200000001</v>
          </cell>
          <cell r="AW26"/>
          <cell r="AX26"/>
          <cell r="AY26"/>
          <cell r="AZ26"/>
          <cell r="BA26">
            <v>261371.35199999998</v>
          </cell>
          <cell r="BB26">
            <v>0</v>
          </cell>
          <cell r="BC26">
            <v>-47163.773999999998</v>
          </cell>
          <cell r="BD26">
            <v>0</v>
          </cell>
          <cell r="BE26">
            <v>-1595842.547</v>
          </cell>
          <cell r="BF26">
            <v>-106933.489</v>
          </cell>
          <cell r="BG26">
            <v>-1838.6189999999999</v>
          </cell>
          <cell r="BH26"/>
          <cell r="BI26"/>
          <cell r="BJ26">
            <v>-1751778.429</v>
          </cell>
          <cell r="BK26"/>
          <cell r="BL26"/>
          <cell r="BM26"/>
          <cell r="BN26"/>
          <cell r="BO26"/>
        </row>
        <row r="27">
          <cell r="F27">
            <v>6453394.4219908537</v>
          </cell>
          <cell r="G27">
            <v>981040.12099185493</v>
          </cell>
          <cell r="H27">
            <v>413958.92735290446</v>
          </cell>
          <cell r="I27">
            <v>270810.21060722152</v>
          </cell>
          <cell r="J27">
            <v>82611.049549353105</v>
          </cell>
          <cell r="K27">
            <v>549596.37858743267</v>
          </cell>
          <cell r="L27">
            <v>588255.77169443131</v>
          </cell>
          <cell r="M27">
            <v>159312.00775034504</v>
          </cell>
          <cell r="N27">
            <v>395430.79018779716</v>
          </cell>
          <cell r="O27">
            <v>272449.51284595468</v>
          </cell>
          <cell r="P27">
            <v>842357.65545700456</v>
          </cell>
          <cell r="Q27">
            <v>607093.06388955517</v>
          </cell>
          <cell r="R27">
            <v>-44592.977871660856</v>
          </cell>
          <cell r="S27">
            <v>668379.09574089106</v>
          </cell>
          <cell r="T27">
            <v>306085.0645280343</v>
          </cell>
          <cell r="U27">
            <v>807561.04799103807</v>
          </cell>
          <cell r="V27">
            <v>-60321.266358032932</v>
          </cell>
          <cell r="W27">
            <v>100773.42668000681</v>
          </cell>
          <cell r="X27"/>
          <cell r="Y27"/>
          <cell r="Z27">
            <v>6940799.8796241311</v>
          </cell>
          <cell r="AA27">
            <v>175667.02499999999</v>
          </cell>
          <cell r="AB27">
            <v>-2245.9639999999999</v>
          </cell>
          <cell r="AC27">
            <v>36355.934000000001</v>
          </cell>
          <cell r="AD27">
            <v>81065.262000000002</v>
          </cell>
          <cell r="AE27"/>
          <cell r="AF27"/>
          <cell r="AG27"/>
          <cell r="AH27">
            <v>290842.25699999998</v>
          </cell>
          <cell r="AI27">
            <v>7231642.1366241314</v>
          </cell>
          <cell r="AJ27">
            <v>194376.68699777531</v>
          </cell>
          <cell r="AK27">
            <v>198108.59981894607</v>
          </cell>
          <cell r="AL27">
            <v>180512.85155000017</v>
          </cell>
          <cell r="AM27"/>
          <cell r="AN27">
            <v>572998.13836672157</v>
          </cell>
          <cell r="AO27">
            <v>142584.56800000177</v>
          </cell>
          <cell r="AP27">
            <v>-3423.3440000000001</v>
          </cell>
          <cell r="AQ27"/>
          <cell r="AR27"/>
          <cell r="AS27">
            <v>139161.22400000176</v>
          </cell>
          <cell r="AT27">
            <v>15256.52</v>
          </cell>
          <cell r="AU27">
            <v>930.79999999999927</v>
          </cell>
          <cell r="AV27">
            <v>245184.03200000001</v>
          </cell>
          <cell r="AW27"/>
          <cell r="AX27"/>
          <cell r="AY27"/>
          <cell r="AZ27"/>
          <cell r="BA27">
            <v>261371.35200000001</v>
          </cell>
          <cell r="BB27">
            <v>0</v>
          </cell>
          <cell r="BC27">
            <v>-47163.773999999998</v>
          </cell>
          <cell r="BD27">
            <v>0</v>
          </cell>
          <cell r="BE27">
            <v>-1595842.547</v>
          </cell>
          <cell r="BF27">
            <v>-106933.489</v>
          </cell>
          <cell r="BG27">
            <v>-1838.6189999999999</v>
          </cell>
          <cell r="BH27"/>
          <cell r="BI27"/>
          <cell r="BJ27">
            <v>-1751778.429</v>
          </cell>
          <cell r="BK27"/>
          <cell r="BL27"/>
          <cell r="BM27"/>
          <cell r="BN27"/>
          <cell r="BO27"/>
        </row>
        <row r="28">
          <cell r="F28">
            <v>6.9849193096160889E-8</v>
          </cell>
          <cell r="G28">
            <v>-3.3760443329811096E-9</v>
          </cell>
          <cell r="H28">
            <v>-4.6566128730773926E-10</v>
          </cell>
          <cell r="I28">
            <v>0</v>
          </cell>
          <cell r="J28">
            <v>6.1118043959140778E-10</v>
          </cell>
          <cell r="K28">
            <v>0</v>
          </cell>
          <cell r="L28">
            <v>1.6298145055770874E-9</v>
          </cell>
          <cell r="M28">
            <v>2.3283064365386963E-10</v>
          </cell>
          <cell r="N28">
            <v>5.8207660913467407E-10</v>
          </cell>
          <cell r="O28">
            <v>5.2386894822120667E-10</v>
          </cell>
          <cell r="P28">
            <v>0</v>
          </cell>
          <cell r="Q28">
            <v>0</v>
          </cell>
          <cell r="R28">
            <v>-5.8207660913467407E-11</v>
          </cell>
          <cell r="S28">
            <v>0</v>
          </cell>
          <cell r="T28">
            <v>0</v>
          </cell>
          <cell r="U28">
            <v>0</v>
          </cell>
          <cell r="V28">
            <v>-1.5279510989785194E-10</v>
          </cell>
          <cell r="W28">
            <v>0</v>
          </cell>
          <cell r="X28"/>
          <cell r="Y28"/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/>
          <cell r="AF28"/>
          <cell r="AG28"/>
          <cell r="AH28">
            <v>0</v>
          </cell>
          <cell r="AI28">
            <v>5.6810677051544189E-8</v>
          </cell>
          <cell r="AJ28">
            <v>3.7834979593753815E-10</v>
          </cell>
          <cell r="AK28">
            <v>0</v>
          </cell>
          <cell r="AL28">
            <v>0</v>
          </cell>
          <cell r="AM28"/>
          <cell r="AN28">
            <v>0</v>
          </cell>
          <cell r="AO28">
            <v>1.8044374883174896E-9</v>
          </cell>
          <cell r="AP28">
            <v>0</v>
          </cell>
          <cell r="AQ28"/>
          <cell r="AR28"/>
          <cell r="AS28">
            <v>1.8044374883174896E-9</v>
          </cell>
          <cell r="AT28">
            <v>0</v>
          </cell>
          <cell r="AU28">
            <v>0</v>
          </cell>
          <cell r="AV28">
            <v>0</v>
          </cell>
          <cell r="AW28"/>
          <cell r="AX28"/>
          <cell r="AY28"/>
          <cell r="AZ28"/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/>
          <cell r="BI28"/>
          <cell r="BJ28">
            <v>0</v>
          </cell>
        </row>
        <row r="29"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</row>
        <row r="30"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/>
          <cell r="AY30"/>
          <cell r="AZ30"/>
          <cell r="BA30"/>
          <cell r="BB30"/>
          <cell r="BC30"/>
          <cell r="BD30"/>
          <cell r="BE30"/>
          <cell r="BF30"/>
          <cell r="BG30"/>
          <cell r="BH30"/>
          <cell r="BI30"/>
          <cell r="BJ30"/>
        </row>
        <row r="31">
          <cell r="F31"/>
          <cell r="G31">
            <v>170698</v>
          </cell>
          <cell r="H31">
            <v>113751</v>
          </cell>
          <cell r="I31">
            <v>94777</v>
          </cell>
          <cell r="J31">
            <v>41157.5</v>
          </cell>
          <cell r="K31">
            <v>85017</v>
          </cell>
          <cell r="L31">
            <v>88975</v>
          </cell>
          <cell r="M31">
            <v>52342</v>
          </cell>
          <cell r="N31">
            <v>78444.5</v>
          </cell>
          <cell r="O31">
            <v>49696</v>
          </cell>
          <cell r="P31">
            <v>70602.5</v>
          </cell>
          <cell r="Q31">
            <v>61982.5</v>
          </cell>
          <cell r="R31">
            <v>28464.5</v>
          </cell>
          <cell r="S31">
            <v>98311</v>
          </cell>
          <cell r="T31">
            <v>20073.5</v>
          </cell>
          <cell r="U31">
            <v>32875</v>
          </cell>
          <cell r="V31">
            <v>25735</v>
          </cell>
          <cell r="W31">
            <v>13064</v>
          </cell>
          <cell r="X31">
            <v>0</v>
          </cell>
          <cell r="Y31">
            <v>0</v>
          </cell>
          <cell r="Z31">
            <v>1125966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/>
          <cell r="AF31"/>
          <cell r="AG31"/>
          <cell r="AH31">
            <v>0</v>
          </cell>
          <cell r="AI31">
            <v>1125966</v>
          </cell>
          <cell r="AJ31">
            <v>86685</v>
          </cell>
          <cell r="AK31">
            <v>99714</v>
          </cell>
          <cell r="AL31">
            <v>134661</v>
          </cell>
          <cell r="AM31"/>
          <cell r="AN31">
            <v>321060</v>
          </cell>
          <cell r="AO31">
            <v>30310.545999999998</v>
          </cell>
          <cell r="AP31">
            <v>0</v>
          </cell>
          <cell r="AQ31"/>
          <cell r="AR31"/>
          <cell r="AS31">
            <v>30310.545999999998</v>
          </cell>
          <cell r="AT31">
            <v>0</v>
          </cell>
          <cell r="AU31">
            <v>0</v>
          </cell>
          <cell r="AV31">
            <v>0</v>
          </cell>
          <cell r="AW31"/>
          <cell r="AX31"/>
          <cell r="AY31"/>
          <cell r="AZ31"/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/>
          <cell r="BI31"/>
          <cell r="BJ31">
            <v>0</v>
          </cell>
        </row>
        <row r="32">
          <cell r="F32">
            <v>153279235.66600004</v>
          </cell>
          <cell r="G32">
            <v>16839669.386999998</v>
          </cell>
          <cell r="H32">
            <v>11517811.092</v>
          </cell>
          <cell r="I32">
            <v>9538546.193</v>
          </cell>
          <cell r="J32">
            <v>4025296.6450000005</v>
          </cell>
          <cell r="K32">
            <v>9081949.4360000007</v>
          </cell>
          <cell r="L32">
            <v>8987029.3200000003</v>
          </cell>
          <cell r="M32">
            <v>5200493.2</v>
          </cell>
          <cell r="N32">
            <v>8063905.6500000004</v>
          </cell>
          <cell r="O32">
            <v>4664993.5550000006</v>
          </cell>
          <cell r="P32">
            <v>7271770.8499999996</v>
          </cell>
          <cell r="Q32">
            <v>6243707.642</v>
          </cell>
          <cell r="R32">
            <v>2936203.392</v>
          </cell>
          <cell r="S32">
            <v>9986371.4509999994</v>
          </cell>
          <cell r="T32">
            <v>2234611.3450000002</v>
          </cell>
          <cell r="U32">
            <v>3584058.89</v>
          </cell>
          <cell r="V32">
            <v>2477456.3480000002</v>
          </cell>
          <cell r="W32">
            <v>1682005.638</v>
          </cell>
          <cell r="X32">
            <v>0</v>
          </cell>
          <cell r="Y32">
            <v>0</v>
          </cell>
          <cell r="Z32">
            <v>114335880.03400002</v>
          </cell>
          <cell r="AA32">
            <v>200000</v>
          </cell>
          <cell r="AB32">
            <v>0</v>
          </cell>
          <cell r="AC32">
            <v>50000</v>
          </cell>
          <cell r="AD32">
            <v>113360</v>
          </cell>
          <cell r="AE32"/>
          <cell r="AF32"/>
          <cell r="AG32"/>
          <cell r="AH32">
            <v>363360</v>
          </cell>
          <cell r="AI32">
            <v>114699240.03400002</v>
          </cell>
          <cell r="AJ32">
            <v>2636474.08</v>
          </cell>
          <cell r="AK32">
            <v>1384362</v>
          </cell>
          <cell r="AL32">
            <v>2507593.5</v>
          </cell>
          <cell r="AM32"/>
          <cell r="AN32">
            <v>6528429.5800000001</v>
          </cell>
          <cell r="AO32">
            <v>31755572.420000002</v>
          </cell>
          <cell r="AP32">
            <v>0</v>
          </cell>
          <cell r="AQ32"/>
          <cell r="AR32"/>
          <cell r="AS32">
            <v>31755572.420000002</v>
          </cell>
          <cell r="AT32">
            <v>21000</v>
          </cell>
          <cell r="AU32">
            <v>23000</v>
          </cell>
          <cell r="AV32">
            <v>245184.03200000001</v>
          </cell>
          <cell r="AW32"/>
          <cell r="AX32"/>
          <cell r="AY32"/>
          <cell r="AZ32"/>
          <cell r="BA32">
            <v>289184.03200000001</v>
          </cell>
          <cell r="BB32">
            <v>0</v>
          </cell>
          <cell r="BC32">
            <v>6809.6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/>
          <cell r="BI32"/>
          <cell r="BJ32">
            <v>6809.6</v>
          </cell>
        </row>
        <row r="33">
          <cell r="F33">
            <v>136267741.40500998</v>
          </cell>
          <cell r="G33">
            <v>14764544.945000002</v>
          </cell>
          <cell r="H33">
            <v>10302772.734999999</v>
          </cell>
          <cell r="I33">
            <v>8619255.1359999999</v>
          </cell>
          <cell r="J33">
            <v>3619399.9959999998</v>
          </cell>
          <cell r="K33">
            <v>7902937.1940000001</v>
          </cell>
          <cell r="L33">
            <v>7755217.1519999998</v>
          </cell>
          <cell r="M33">
            <v>4639959.2659999998</v>
          </cell>
          <cell r="N33">
            <v>7090970.4640000006</v>
          </cell>
          <cell r="O33">
            <v>4054876.0029999996</v>
          </cell>
          <cell r="P33">
            <v>5897007.6899999995</v>
          </cell>
          <cell r="Q33">
            <v>5184857.6979999999</v>
          </cell>
          <cell r="R33">
            <v>2727775.659</v>
          </cell>
          <cell r="S33">
            <v>8678193.9159999993</v>
          </cell>
          <cell r="T33">
            <v>1786692.058</v>
          </cell>
          <cell r="U33">
            <v>2571099.6060000001</v>
          </cell>
          <cell r="V33">
            <v>2296081.6530000004</v>
          </cell>
          <cell r="W33">
            <v>1440614.8289999999</v>
          </cell>
          <cell r="X33">
            <v>0</v>
          </cell>
          <cell r="Y33">
            <v>0</v>
          </cell>
          <cell r="Z33">
            <v>99332255.999999985</v>
          </cell>
          <cell r="AA33">
            <v>24332.974999999999</v>
          </cell>
          <cell r="AB33">
            <v>0</v>
          </cell>
          <cell r="AC33">
            <v>13644.066000000001</v>
          </cell>
          <cell r="AD33">
            <v>32294.737999999998</v>
          </cell>
          <cell r="AE33"/>
          <cell r="AF33"/>
          <cell r="AG33"/>
          <cell r="AH33">
            <v>70271.778999999995</v>
          </cell>
          <cell r="AI33">
            <v>99402527.778999984</v>
          </cell>
          <cell r="AJ33">
            <v>2370835.3429999999</v>
          </cell>
          <cell r="AK33">
            <v>1143992.31901</v>
          </cell>
          <cell r="AL33">
            <v>2261924.392</v>
          </cell>
          <cell r="AM33"/>
          <cell r="AN33">
            <v>5776752.0540100001</v>
          </cell>
          <cell r="AO33">
            <v>31058810.272999998</v>
          </cell>
          <cell r="AP33">
            <v>0</v>
          </cell>
          <cell r="AQ33"/>
          <cell r="AR33"/>
          <cell r="AS33">
            <v>31058810.272999998</v>
          </cell>
          <cell r="AT33">
            <v>5743.4800000000005</v>
          </cell>
          <cell r="AU33">
            <v>22069.200000000001</v>
          </cell>
          <cell r="AV33">
            <v>0</v>
          </cell>
          <cell r="AW33"/>
          <cell r="AX33"/>
          <cell r="AY33"/>
          <cell r="AZ33"/>
          <cell r="BA33">
            <v>27812.68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1838.6189999999999</v>
          </cell>
          <cell r="BH33"/>
          <cell r="BI33"/>
          <cell r="BJ33">
            <v>1838.6189999999999</v>
          </cell>
        </row>
        <row r="34">
          <cell r="F34">
            <v>17011494.260990053</v>
          </cell>
          <cell r="G34">
            <v>2075124.4419999961</v>
          </cell>
          <cell r="H34">
            <v>1215038.3570000008</v>
          </cell>
          <cell r="I34">
            <v>919291.05700000003</v>
          </cell>
          <cell r="J34">
            <v>405896.64900000067</v>
          </cell>
          <cell r="K34">
            <v>1179012.2420000006</v>
          </cell>
          <cell r="L34">
            <v>1231812.1680000005</v>
          </cell>
          <cell r="M34">
            <v>560533.93400000036</v>
          </cell>
          <cell r="N34">
            <v>972935.18599999975</v>
          </cell>
          <cell r="O34">
            <v>610117.55200000107</v>
          </cell>
          <cell r="P34">
            <v>1374763.1600000001</v>
          </cell>
          <cell r="Q34">
            <v>1058849.9440000001</v>
          </cell>
          <cell r="R34">
            <v>208427.73300000001</v>
          </cell>
          <cell r="S34">
            <v>1308177.5350000001</v>
          </cell>
          <cell r="T34">
            <v>447919.28700000024</v>
          </cell>
          <cell r="U34">
            <v>1012959.284</v>
          </cell>
          <cell r="V34">
            <v>181374.69499999983</v>
          </cell>
          <cell r="W34">
            <v>241390.80900000012</v>
          </cell>
          <cell r="X34">
            <v>0</v>
          </cell>
          <cell r="Y34">
            <v>0</v>
          </cell>
          <cell r="Z34">
            <v>15003624.034000039</v>
          </cell>
          <cell r="AA34">
            <v>175667.02499999999</v>
          </cell>
          <cell r="AB34">
            <v>0</v>
          </cell>
          <cell r="AC34">
            <v>36355.934000000001</v>
          </cell>
          <cell r="AD34">
            <v>81065.262000000002</v>
          </cell>
          <cell r="AE34"/>
          <cell r="AF34"/>
          <cell r="AG34"/>
          <cell r="AH34">
            <v>293088.22100000002</v>
          </cell>
          <cell r="AI34">
            <v>15296712.25500004</v>
          </cell>
          <cell r="AJ34">
            <v>265638.7370000002</v>
          </cell>
          <cell r="AK34">
            <v>240369.68099000002</v>
          </cell>
          <cell r="AL34">
            <v>245669.10800000001</v>
          </cell>
          <cell r="AM34"/>
          <cell r="AN34">
            <v>751677.52598999999</v>
          </cell>
          <cell r="AO34">
            <v>696762.14700000361</v>
          </cell>
          <cell r="AP34">
            <v>0</v>
          </cell>
          <cell r="AQ34"/>
          <cell r="AR34"/>
          <cell r="AS34">
            <v>696762.14700000361</v>
          </cell>
          <cell r="AT34">
            <v>15256.52</v>
          </cell>
          <cell r="AU34">
            <v>930.79999999999927</v>
          </cell>
          <cell r="AV34">
            <v>245184.03200000001</v>
          </cell>
          <cell r="AW34"/>
          <cell r="AX34"/>
          <cell r="AY34"/>
          <cell r="AZ34"/>
          <cell r="BA34">
            <v>261371.35200000001</v>
          </cell>
          <cell r="BB34">
            <v>0</v>
          </cell>
          <cell r="BC34">
            <v>6809.6</v>
          </cell>
          <cell r="BD34">
            <v>0</v>
          </cell>
          <cell r="BE34">
            <v>0</v>
          </cell>
          <cell r="BF34">
            <v>0</v>
          </cell>
          <cell r="BG34">
            <v>-1838.6189999999999</v>
          </cell>
          <cell r="BH34"/>
          <cell r="BI34"/>
          <cell r="BJ34">
            <v>4970.9810000000007</v>
          </cell>
        </row>
        <row r="35">
          <cell r="F35">
            <v>10558099.838999147</v>
          </cell>
          <cell r="G35">
            <v>1094084.3210081446</v>
          </cell>
          <cell r="H35">
            <v>801079.42964709608</v>
          </cell>
          <cell r="I35">
            <v>648480.84639277915</v>
          </cell>
          <cell r="J35">
            <v>323285.59945064684</v>
          </cell>
          <cell r="K35">
            <v>629415.86341256695</v>
          </cell>
          <cell r="L35">
            <v>643556.39630556782</v>
          </cell>
          <cell r="M35">
            <v>401221.92624965473</v>
          </cell>
          <cell r="N35">
            <v>577504.39581220224</v>
          </cell>
          <cell r="O35">
            <v>337668.03915404563</v>
          </cell>
          <cell r="P35">
            <v>532405.50454299536</v>
          </cell>
          <cell r="Q35">
            <v>451756.88011044468</v>
          </cell>
          <cell r="R35">
            <v>253020.71087166099</v>
          </cell>
          <cell r="S35">
            <v>639798.43925910874</v>
          </cell>
          <cell r="T35">
            <v>141834.22247196571</v>
          </cell>
          <cell r="U35">
            <v>205398.23600896189</v>
          </cell>
          <cell r="V35">
            <v>241695.96135803289</v>
          </cell>
          <cell r="W35">
            <v>140617.38231999319</v>
          </cell>
          <cell r="X35">
            <v>0</v>
          </cell>
          <cell r="Y35">
            <v>0</v>
          </cell>
          <cell r="Z35">
            <v>8062824.1543758679</v>
          </cell>
          <cell r="AA35">
            <v>0</v>
          </cell>
          <cell r="AB35">
            <v>2245.9639999999999</v>
          </cell>
          <cell r="AC35">
            <v>0</v>
          </cell>
          <cell r="AD35">
            <v>0</v>
          </cell>
          <cell r="AE35"/>
          <cell r="AF35"/>
          <cell r="AG35"/>
          <cell r="AH35">
            <v>2245.9639999999999</v>
          </cell>
          <cell r="AI35">
            <v>8065070.1183758676</v>
          </cell>
          <cell r="AJ35">
            <v>71262.050002224583</v>
          </cell>
          <cell r="AK35">
            <v>42261.081171053927</v>
          </cell>
          <cell r="AL35">
            <v>65156.256450000001</v>
          </cell>
          <cell r="AM35"/>
          <cell r="AN35">
            <v>178679.38762327851</v>
          </cell>
          <cell r="AO35">
            <v>554177.57900000003</v>
          </cell>
          <cell r="AP35">
            <v>3423.3440000000001</v>
          </cell>
          <cell r="AQ35"/>
          <cell r="AR35"/>
          <cell r="AS35">
            <v>557600.92300000007</v>
          </cell>
          <cell r="AT35">
            <v>0</v>
          </cell>
          <cell r="AU35">
            <v>0</v>
          </cell>
          <cell r="AV35">
            <v>0</v>
          </cell>
          <cell r="AW35"/>
          <cell r="AX35"/>
          <cell r="AY35"/>
          <cell r="AZ35"/>
          <cell r="BA35">
            <v>0</v>
          </cell>
          <cell r="BB35">
            <v>0</v>
          </cell>
          <cell r="BC35">
            <v>53973.373999999996</v>
          </cell>
          <cell r="BD35">
            <v>0</v>
          </cell>
          <cell r="BE35">
            <v>1595842.547</v>
          </cell>
          <cell r="BF35">
            <v>106933.489</v>
          </cell>
          <cell r="BG35">
            <v>0</v>
          </cell>
          <cell r="BH35"/>
          <cell r="BI35"/>
          <cell r="BJ35">
            <v>1756749.4100000001</v>
          </cell>
        </row>
        <row r="36">
          <cell r="F36">
            <v>6453394.4219909068</v>
          </cell>
          <cell r="G36">
            <v>981040.12099185144</v>
          </cell>
          <cell r="H36">
            <v>413958.92735290469</v>
          </cell>
          <cell r="I36">
            <v>270810.21060722088</v>
          </cell>
          <cell r="J36">
            <v>82611.049549353833</v>
          </cell>
          <cell r="K36">
            <v>549596.3785874336</v>
          </cell>
          <cell r="L36">
            <v>588255.77169443271</v>
          </cell>
          <cell r="M36">
            <v>159312.00775034563</v>
          </cell>
          <cell r="N36">
            <v>395430.79018779751</v>
          </cell>
          <cell r="O36">
            <v>272449.51284595544</v>
          </cell>
          <cell r="P36">
            <v>842357.65545700479</v>
          </cell>
          <cell r="Q36">
            <v>607093.0638895554</v>
          </cell>
          <cell r="R36">
            <v>-44592.977871660987</v>
          </cell>
          <cell r="S36">
            <v>668379.09574089141</v>
          </cell>
          <cell r="T36">
            <v>306085.06452803453</v>
          </cell>
          <cell r="U36">
            <v>807561.04799103807</v>
          </cell>
          <cell r="V36">
            <v>-60321.266358033055</v>
          </cell>
          <cell r="W36">
            <v>100773.42668000693</v>
          </cell>
          <cell r="X36">
            <v>0</v>
          </cell>
          <cell r="Y36">
            <v>0</v>
          </cell>
          <cell r="Z36">
            <v>6940799.8796241712</v>
          </cell>
          <cell r="AA36">
            <v>175667.02499999999</v>
          </cell>
          <cell r="AB36">
            <v>-2245.9639999999999</v>
          </cell>
          <cell r="AC36">
            <v>36355.934000000001</v>
          </cell>
          <cell r="AD36">
            <v>81065.262000000002</v>
          </cell>
          <cell r="AE36"/>
          <cell r="AF36"/>
          <cell r="AG36"/>
          <cell r="AH36">
            <v>290842.25700000004</v>
          </cell>
          <cell r="AI36">
            <v>7231642.1366241723</v>
          </cell>
          <cell r="AJ36">
            <v>194376.68699777563</v>
          </cell>
          <cell r="AK36">
            <v>198108.5998189461</v>
          </cell>
          <cell r="AL36">
            <v>180512.85155000002</v>
          </cell>
          <cell r="AM36"/>
          <cell r="AN36">
            <v>572998.13836672145</v>
          </cell>
          <cell r="AO36">
            <v>142584.56800000358</v>
          </cell>
          <cell r="AP36">
            <v>-3423.3440000000001</v>
          </cell>
          <cell r="AQ36"/>
          <cell r="AR36"/>
          <cell r="AS36">
            <v>139161.22400000354</v>
          </cell>
          <cell r="AT36">
            <v>15256.52</v>
          </cell>
          <cell r="AU36">
            <v>930.79999999999927</v>
          </cell>
          <cell r="AV36">
            <v>245184.03200000001</v>
          </cell>
          <cell r="AW36"/>
          <cell r="AX36"/>
          <cell r="AY36"/>
          <cell r="AZ36"/>
          <cell r="BA36">
            <v>261371.35200000001</v>
          </cell>
          <cell r="BB36">
            <v>0</v>
          </cell>
          <cell r="BC36">
            <v>-47163.773999999998</v>
          </cell>
          <cell r="BD36">
            <v>0</v>
          </cell>
          <cell r="BE36">
            <v>-1595842.547</v>
          </cell>
          <cell r="BF36">
            <v>-106933.489</v>
          </cell>
          <cell r="BG36">
            <v>-1838.6189999999999</v>
          </cell>
          <cell r="BH36"/>
          <cell r="BI36"/>
          <cell r="BJ36">
            <v>-1751778.4290000002</v>
          </cell>
        </row>
        <row r="38"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>
            <v>0</v>
          </cell>
          <cell r="AA38"/>
          <cell r="AB38"/>
          <cell r="AC38"/>
          <cell r="AD38"/>
          <cell r="AE38"/>
          <cell r="AF38"/>
          <cell r="AG38"/>
          <cell r="AH38">
            <v>0</v>
          </cell>
          <cell r="AI38">
            <v>0</v>
          </cell>
          <cell r="AJ38">
            <v>-50069</v>
          </cell>
          <cell r="AK38">
            <v>-57026</v>
          </cell>
          <cell r="AL38">
            <v>-91829</v>
          </cell>
          <cell r="AM38"/>
          <cell r="AN38">
            <v>-198924</v>
          </cell>
          <cell r="AO38"/>
          <cell r="AP38"/>
          <cell r="AQ38"/>
          <cell r="AR38"/>
          <cell r="AS38">
            <v>0</v>
          </cell>
          <cell r="AT38"/>
          <cell r="AU38"/>
          <cell r="AV38"/>
          <cell r="AW38"/>
          <cell r="AX38"/>
          <cell r="AY38"/>
          <cell r="AZ38"/>
          <cell r="BA38">
            <v>0</v>
          </cell>
          <cell r="BB38"/>
          <cell r="BC38"/>
          <cell r="BD38"/>
          <cell r="BE38"/>
          <cell r="BF38"/>
          <cell r="BG38"/>
          <cell r="BH38"/>
          <cell r="BI38"/>
          <cell r="BJ38">
            <v>0</v>
          </cell>
        </row>
        <row r="39">
          <cell r="F39">
            <v>-4253413.58</v>
          </cell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>
            <v>0</v>
          </cell>
          <cell r="AA39"/>
          <cell r="AB39"/>
          <cell r="AC39"/>
          <cell r="AD39"/>
          <cell r="AE39"/>
          <cell r="AF39"/>
          <cell r="AG39"/>
          <cell r="AH39">
            <v>0</v>
          </cell>
          <cell r="AI39">
            <v>0</v>
          </cell>
          <cell r="AJ39">
            <v>-1507138.08</v>
          </cell>
          <cell r="AK39">
            <v>-911162</v>
          </cell>
          <cell r="AL39">
            <v>-1835113.5</v>
          </cell>
          <cell r="AM39"/>
          <cell r="AN39">
            <v>-4253413.58</v>
          </cell>
          <cell r="AO39"/>
          <cell r="AP39"/>
          <cell r="AQ39"/>
          <cell r="AR39"/>
          <cell r="AS39">
            <v>0</v>
          </cell>
          <cell r="AT39"/>
          <cell r="AU39"/>
          <cell r="AV39"/>
          <cell r="AW39"/>
          <cell r="AX39"/>
          <cell r="AY39"/>
          <cell r="AZ39"/>
          <cell r="BA39">
            <v>0</v>
          </cell>
          <cell r="BB39"/>
          <cell r="BC39"/>
          <cell r="BD39"/>
          <cell r="BE39"/>
          <cell r="BF39"/>
          <cell r="BG39"/>
          <cell r="BH39"/>
          <cell r="BI39"/>
          <cell r="BJ39">
            <v>0</v>
          </cell>
        </row>
        <row r="40">
          <cell r="F40">
            <v>-4253413.58</v>
          </cell>
          <cell r="G40"/>
          <cell r="H40"/>
          <cell r="I40"/>
          <cell r="J40"/>
          <cell r="K40">
            <v>-332027.06100000005</v>
          </cell>
          <cell r="L40">
            <v>-292173.09500000003</v>
          </cell>
          <cell r="M40">
            <v>-12168.98</v>
          </cell>
          <cell r="N40">
            <v>-28344.547999999999</v>
          </cell>
          <cell r="O40">
            <v>-6410.0149999999994</v>
          </cell>
          <cell r="P40">
            <v>-604.952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>
            <v>-671728.65100000007</v>
          </cell>
          <cell r="AA40"/>
          <cell r="AB40"/>
          <cell r="AC40"/>
          <cell r="AD40"/>
          <cell r="AE40"/>
          <cell r="AF40"/>
          <cell r="AG40"/>
          <cell r="AH40">
            <v>0</v>
          </cell>
          <cell r="AI40">
            <v>-671728.65100000007</v>
          </cell>
          <cell r="AJ40">
            <v>-1358722.584</v>
          </cell>
          <cell r="AK40">
            <v>-680921.26199999999</v>
          </cell>
          <cell r="AL40">
            <v>-1542041.0830000001</v>
          </cell>
          <cell r="AM40"/>
          <cell r="AN40">
            <v>-3581684.929</v>
          </cell>
          <cell r="AO40"/>
          <cell r="AP40"/>
          <cell r="AQ40"/>
          <cell r="AR40"/>
          <cell r="AS40">
            <v>0</v>
          </cell>
          <cell r="AT40"/>
          <cell r="AU40"/>
          <cell r="AV40"/>
          <cell r="AW40"/>
          <cell r="AX40"/>
          <cell r="AY40"/>
          <cell r="AZ40"/>
          <cell r="BA40">
            <v>0</v>
          </cell>
          <cell r="BB40"/>
          <cell r="BC40"/>
          <cell r="BD40"/>
          <cell r="BE40"/>
          <cell r="BF40"/>
          <cell r="BG40"/>
          <cell r="BH40"/>
          <cell r="BI40"/>
          <cell r="BJ40">
            <v>0</v>
          </cell>
        </row>
        <row r="41"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332027.06100000005</v>
          </cell>
          <cell r="L41">
            <v>292173.09500000003</v>
          </cell>
          <cell r="M41">
            <v>12168.98</v>
          </cell>
          <cell r="N41">
            <v>28344.547999999999</v>
          </cell>
          <cell r="O41">
            <v>6410.0149999999994</v>
          </cell>
          <cell r="P41">
            <v>604.952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671728.65100000007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/>
          <cell r="AF41"/>
          <cell r="AG41"/>
          <cell r="AH41">
            <v>0</v>
          </cell>
          <cell r="AI41">
            <v>671728.65100000007</v>
          </cell>
          <cell r="AJ41">
            <v>-148415.49600000004</v>
          </cell>
          <cell r="AK41">
            <v>-230240.73800000001</v>
          </cell>
          <cell r="AL41">
            <v>-293072.4169999999</v>
          </cell>
          <cell r="AM41"/>
          <cell r="AN41">
            <v>-671728.65100000007</v>
          </cell>
          <cell r="AO41">
            <v>0</v>
          </cell>
          <cell r="AP41">
            <v>0</v>
          </cell>
          <cell r="AQ41"/>
          <cell r="AR41"/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/>
          <cell r="AX41"/>
          <cell r="AY41"/>
          <cell r="AZ41"/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/>
          <cell r="BI41"/>
          <cell r="BJ41">
            <v>0</v>
          </cell>
        </row>
        <row r="42">
          <cell r="F42">
            <v>0</v>
          </cell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>
            <v>0</v>
          </cell>
          <cell r="AA42"/>
          <cell r="AB42"/>
          <cell r="AC42"/>
          <cell r="AD42"/>
          <cell r="AE42"/>
          <cell r="AF42"/>
          <cell r="AG42"/>
          <cell r="AH42">
            <v>0</v>
          </cell>
          <cell r="AI42">
            <v>0</v>
          </cell>
          <cell r="AJ42"/>
          <cell r="AK42"/>
          <cell r="AL42"/>
          <cell r="AM42"/>
          <cell r="AN42">
            <v>0</v>
          </cell>
          <cell r="AO42"/>
          <cell r="AP42"/>
          <cell r="AQ42"/>
          <cell r="AR42"/>
          <cell r="AS42">
            <v>0</v>
          </cell>
          <cell r="AT42"/>
          <cell r="AU42"/>
          <cell r="AV42"/>
          <cell r="AW42"/>
          <cell r="AX42"/>
          <cell r="AY42"/>
          <cell r="AZ42"/>
          <cell r="BA42">
            <v>0</v>
          </cell>
          <cell r="BB42"/>
          <cell r="BC42"/>
          <cell r="BD42"/>
          <cell r="BE42"/>
          <cell r="BF42"/>
          <cell r="BG42"/>
          <cell r="BH42"/>
          <cell r="BI42"/>
          <cell r="BJ42">
            <v>0</v>
          </cell>
        </row>
        <row r="43"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332027.06100000005</v>
          </cell>
          <cell r="L43">
            <v>292173.09500000003</v>
          </cell>
          <cell r="M43">
            <v>12168.98</v>
          </cell>
          <cell r="N43">
            <v>28344.547999999999</v>
          </cell>
          <cell r="O43">
            <v>6410.0149999999994</v>
          </cell>
          <cell r="P43">
            <v>604.952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671728.65100000007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/>
          <cell r="AF43"/>
          <cell r="AG43"/>
          <cell r="AH43">
            <v>0</v>
          </cell>
          <cell r="AI43">
            <v>671728.65100000007</v>
          </cell>
          <cell r="AJ43">
            <v>-148415.49600000004</v>
          </cell>
          <cell r="AK43">
            <v>-230240.73800000001</v>
          </cell>
          <cell r="AL43">
            <v>-293072.4169999999</v>
          </cell>
          <cell r="AM43"/>
          <cell r="AN43">
            <v>-671728.65100000007</v>
          </cell>
          <cell r="AO43">
            <v>0</v>
          </cell>
          <cell r="AP43">
            <v>0</v>
          </cell>
          <cell r="AQ43"/>
          <cell r="AR43"/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/>
          <cell r="AX43"/>
          <cell r="AY43"/>
          <cell r="AZ43"/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/>
          <cell r="BI43"/>
          <cell r="BJ43">
            <v>0</v>
          </cell>
        </row>
        <row r="45">
          <cell r="F45"/>
          <cell r="G45">
            <v>170698</v>
          </cell>
          <cell r="H45">
            <v>113751</v>
          </cell>
          <cell r="I45">
            <v>94777</v>
          </cell>
          <cell r="J45">
            <v>41157.5</v>
          </cell>
          <cell r="K45">
            <v>85017</v>
          </cell>
          <cell r="L45">
            <v>88975</v>
          </cell>
          <cell r="M45">
            <v>52342</v>
          </cell>
          <cell r="N45">
            <v>78444.5</v>
          </cell>
          <cell r="O45">
            <v>49696</v>
          </cell>
          <cell r="P45">
            <v>70602.5</v>
          </cell>
          <cell r="Q45">
            <v>61982.5</v>
          </cell>
          <cell r="R45">
            <v>28464.5</v>
          </cell>
          <cell r="S45">
            <v>98311</v>
          </cell>
          <cell r="T45">
            <v>20073.5</v>
          </cell>
          <cell r="U45">
            <v>32875</v>
          </cell>
          <cell r="V45">
            <v>25735</v>
          </cell>
          <cell r="W45">
            <v>13064</v>
          </cell>
          <cell r="X45">
            <v>0</v>
          </cell>
          <cell r="Y45">
            <v>0</v>
          </cell>
          <cell r="Z45">
            <v>1125966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/>
          <cell r="AF45"/>
          <cell r="AG45"/>
          <cell r="AH45">
            <v>0</v>
          </cell>
          <cell r="AI45">
            <v>1125966</v>
          </cell>
          <cell r="AJ45">
            <v>36616</v>
          </cell>
          <cell r="AK45">
            <v>42688</v>
          </cell>
          <cell r="AL45">
            <v>42832</v>
          </cell>
          <cell r="AM45"/>
          <cell r="AN45">
            <v>122136</v>
          </cell>
          <cell r="AO45">
            <v>30310.545999999998</v>
          </cell>
          <cell r="AP45">
            <v>0</v>
          </cell>
          <cell r="AQ45"/>
          <cell r="AR45"/>
          <cell r="AS45">
            <v>30310.545999999998</v>
          </cell>
          <cell r="AT45">
            <v>0</v>
          </cell>
          <cell r="AU45">
            <v>0</v>
          </cell>
          <cell r="AV45">
            <v>0</v>
          </cell>
          <cell r="AW45"/>
          <cell r="AX45"/>
          <cell r="AY45"/>
          <cell r="AZ45"/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/>
          <cell r="BI45"/>
          <cell r="BJ45">
            <v>0</v>
          </cell>
        </row>
        <row r="46">
          <cell r="F46">
            <v>149025822.08600003</v>
          </cell>
          <cell r="G46">
            <v>16839669.386999998</v>
          </cell>
          <cell r="H46">
            <v>11517811.092</v>
          </cell>
          <cell r="I46">
            <v>9538546.193</v>
          </cell>
          <cell r="J46">
            <v>4025296.6450000005</v>
          </cell>
          <cell r="K46">
            <v>9081949.4360000007</v>
          </cell>
          <cell r="L46">
            <v>8987029.3200000003</v>
          </cell>
          <cell r="M46">
            <v>5200493.2</v>
          </cell>
          <cell r="N46">
            <v>8063905.6500000004</v>
          </cell>
          <cell r="O46">
            <v>4664993.5550000006</v>
          </cell>
          <cell r="P46">
            <v>7271770.8499999996</v>
          </cell>
          <cell r="Q46">
            <v>6243707.642</v>
          </cell>
          <cell r="R46">
            <v>2936203.392</v>
          </cell>
          <cell r="S46">
            <v>9986371.4509999994</v>
          </cell>
          <cell r="T46">
            <v>2234611.3450000002</v>
          </cell>
          <cell r="U46">
            <v>3584058.89</v>
          </cell>
          <cell r="V46">
            <v>2477456.3480000002</v>
          </cell>
          <cell r="W46">
            <v>1682005.638</v>
          </cell>
          <cell r="X46">
            <v>0</v>
          </cell>
          <cell r="Y46">
            <v>0</v>
          </cell>
          <cell r="Z46">
            <v>114335880.03400002</v>
          </cell>
          <cell r="AA46">
            <v>200000</v>
          </cell>
          <cell r="AB46">
            <v>0</v>
          </cell>
          <cell r="AC46">
            <v>50000</v>
          </cell>
          <cell r="AD46">
            <v>113360</v>
          </cell>
          <cell r="AE46"/>
          <cell r="AF46"/>
          <cell r="AG46"/>
          <cell r="AH46">
            <v>363360</v>
          </cell>
          <cell r="AI46">
            <v>114699240.03400002</v>
          </cell>
          <cell r="AJ46">
            <v>1129336</v>
          </cell>
          <cell r="AK46">
            <v>473200</v>
          </cell>
          <cell r="AL46">
            <v>672480</v>
          </cell>
          <cell r="AM46"/>
          <cell r="AN46">
            <v>2275016</v>
          </cell>
          <cell r="AO46">
            <v>31755572.420000002</v>
          </cell>
          <cell r="AP46">
            <v>0</v>
          </cell>
          <cell r="AQ46"/>
          <cell r="AR46"/>
          <cell r="AS46">
            <v>31755572.420000002</v>
          </cell>
          <cell r="AT46">
            <v>21000</v>
          </cell>
          <cell r="AU46">
            <v>23000</v>
          </cell>
          <cell r="AV46">
            <v>245184.03200000001</v>
          </cell>
          <cell r="AW46"/>
          <cell r="AX46"/>
          <cell r="AY46"/>
          <cell r="AZ46"/>
          <cell r="BA46">
            <v>289184.03200000001</v>
          </cell>
          <cell r="BB46">
            <v>0</v>
          </cell>
          <cell r="BC46">
            <v>6809.6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/>
          <cell r="BI46"/>
          <cell r="BJ46">
            <v>6809.6</v>
          </cell>
        </row>
        <row r="47">
          <cell r="F47">
            <v>132014327.82501</v>
          </cell>
          <cell r="G47">
            <v>14764544.945000002</v>
          </cell>
          <cell r="H47">
            <v>10302772.734999999</v>
          </cell>
          <cell r="I47">
            <v>8619255.1359999999</v>
          </cell>
          <cell r="J47">
            <v>3619399.9959999998</v>
          </cell>
          <cell r="K47">
            <v>7570910.1330000004</v>
          </cell>
          <cell r="L47">
            <v>7463044.057</v>
          </cell>
          <cell r="M47">
            <v>4627790.2859999994</v>
          </cell>
          <cell r="N47">
            <v>7062625.9160000002</v>
          </cell>
          <cell r="O47">
            <v>4048465.9879999994</v>
          </cell>
          <cell r="P47">
            <v>5896402.7379999999</v>
          </cell>
          <cell r="Q47">
            <v>5184857.6979999999</v>
          </cell>
          <cell r="R47">
            <v>2727775.659</v>
          </cell>
          <cell r="S47">
            <v>8678193.9159999993</v>
          </cell>
          <cell r="T47">
            <v>1786692.058</v>
          </cell>
          <cell r="U47">
            <v>2571099.6060000001</v>
          </cell>
          <cell r="V47">
            <v>2296081.6530000004</v>
          </cell>
          <cell r="W47">
            <v>1440614.8289999999</v>
          </cell>
          <cell r="X47">
            <v>0</v>
          </cell>
          <cell r="Y47">
            <v>0</v>
          </cell>
          <cell r="Z47">
            <v>98660527.348999992</v>
          </cell>
          <cell r="AA47">
            <v>24332.974999999999</v>
          </cell>
          <cell r="AB47">
            <v>0</v>
          </cell>
          <cell r="AC47">
            <v>13644.066000000001</v>
          </cell>
          <cell r="AD47">
            <v>32294.737999999998</v>
          </cell>
          <cell r="AE47"/>
          <cell r="AF47"/>
          <cell r="AG47"/>
          <cell r="AH47">
            <v>70271.778999999995</v>
          </cell>
          <cell r="AI47">
            <v>98730799.127999991</v>
          </cell>
          <cell r="AJ47">
            <v>1012112.7589999998</v>
          </cell>
          <cell r="AK47">
            <v>463071.05700999999</v>
          </cell>
          <cell r="AL47">
            <v>719883.30899999989</v>
          </cell>
          <cell r="AM47"/>
          <cell r="AN47">
            <v>2195067.1250099996</v>
          </cell>
          <cell r="AO47">
            <v>31058810.272999998</v>
          </cell>
          <cell r="AP47">
            <v>0</v>
          </cell>
          <cell r="AQ47"/>
          <cell r="AR47"/>
          <cell r="AS47">
            <v>31058810.272999998</v>
          </cell>
          <cell r="AT47">
            <v>5743.4800000000005</v>
          </cell>
          <cell r="AU47">
            <v>22069.200000000001</v>
          </cell>
          <cell r="AV47">
            <v>0</v>
          </cell>
          <cell r="AW47"/>
          <cell r="AX47"/>
          <cell r="AY47"/>
          <cell r="AZ47"/>
          <cell r="BA47">
            <v>27812.68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1838.6189999999999</v>
          </cell>
          <cell r="BH47"/>
          <cell r="BI47"/>
          <cell r="BJ47">
            <v>1838.6189999999999</v>
          </cell>
        </row>
        <row r="48">
          <cell r="F48">
            <v>17011494.260990024</v>
          </cell>
          <cell r="G48">
            <v>2075124.4419999961</v>
          </cell>
          <cell r="H48">
            <v>1215038.3570000008</v>
          </cell>
          <cell r="I48">
            <v>919291.05700000003</v>
          </cell>
          <cell r="J48">
            <v>405896.64900000067</v>
          </cell>
          <cell r="K48">
            <v>1511039.3030000003</v>
          </cell>
          <cell r="L48">
            <v>1523985.2630000003</v>
          </cell>
          <cell r="M48">
            <v>572702.9140000008</v>
          </cell>
          <cell r="N48">
            <v>1001279.7340000002</v>
          </cell>
          <cell r="O48">
            <v>616527.5670000012</v>
          </cell>
          <cell r="P48">
            <v>1375368.1119999997</v>
          </cell>
          <cell r="Q48">
            <v>1058849.9440000001</v>
          </cell>
          <cell r="R48">
            <v>208427.73300000001</v>
          </cell>
          <cell r="S48">
            <v>1308177.5350000001</v>
          </cell>
          <cell r="T48">
            <v>447919.28700000024</v>
          </cell>
          <cell r="U48">
            <v>1012959.284</v>
          </cell>
          <cell r="V48">
            <v>181374.69499999983</v>
          </cell>
          <cell r="W48">
            <v>241390.80900000012</v>
          </cell>
          <cell r="X48">
            <v>0</v>
          </cell>
          <cell r="Y48">
            <v>0</v>
          </cell>
          <cell r="Z48">
            <v>15675352.685000032</v>
          </cell>
          <cell r="AA48">
            <v>175667.02499999999</v>
          </cell>
          <cell r="AB48">
            <v>0</v>
          </cell>
          <cell r="AC48">
            <v>36355.934000000001</v>
          </cell>
          <cell r="AD48">
            <v>81065.262000000002</v>
          </cell>
          <cell r="AE48"/>
          <cell r="AF48"/>
          <cell r="AG48"/>
          <cell r="AH48">
            <v>293088.22100000002</v>
          </cell>
          <cell r="AI48">
            <v>15968440.906000033</v>
          </cell>
          <cell r="AJ48">
            <v>117223.24100000015</v>
          </cell>
          <cell r="AK48">
            <v>10128.94299000001</v>
          </cell>
          <cell r="AL48">
            <v>-47403.308999999892</v>
          </cell>
          <cell r="AM48"/>
          <cell r="AN48">
            <v>79948.87499000039</v>
          </cell>
          <cell r="AO48">
            <v>696762.14700000361</v>
          </cell>
          <cell r="AP48">
            <v>0</v>
          </cell>
          <cell r="AQ48"/>
          <cell r="AR48"/>
          <cell r="AS48">
            <v>696762.14700000361</v>
          </cell>
          <cell r="AT48">
            <v>15256.52</v>
          </cell>
          <cell r="AU48">
            <v>930.79999999999927</v>
          </cell>
          <cell r="AV48">
            <v>245184.03200000001</v>
          </cell>
          <cell r="AW48"/>
          <cell r="AX48"/>
          <cell r="AY48"/>
          <cell r="AZ48"/>
          <cell r="BA48">
            <v>261371.35200000001</v>
          </cell>
          <cell r="BB48">
            <v>0</v>
          </cell>
          <cell r="BC48">
            <v>6809.6</v>
          </cell>
          <cell r="BD48">
            <v>0</v>
          </cell>
          <cell r="BE48">
            <v>0</v>
          </cell>
          <cell r="BF48">
            <v>0</v>
          </cell>
          <cell r="BG48">
            <v>-1838.6189999999999</v>
          </cell>
          <cell r="BH48"/>
          <cell r="BI48"/>
          <cell r="BJ48">
            <v>4970.9810000000007</v>
          </cell>
        </row>
        <row r="49">
          <cell r="F49">
            <v>10558099.838999147</v>
          </cell>
          <cell r="G49">
            <v>1094084.3210081446</v>
          </cell>
          <cell r="H49">
            <v>801079.42964709608</v>
          </cell>
          <cell r="I49">
            <v>648480.84639277915</v>
          </cell>
          <cell r="J49">
            <v>323285.59945064684</v>
          </cell>
          <cell r="K49">
            <v>629415.86341256695</v>
          </cell>
          <cell r="L49">
            <v>643556.39630556782</v>
          </cell>
          <cell r="M49">
            <v>401221.92624965473</v>
          </cell>
          <cell r="N49">
            <v>577504.39581220224</v>
          </cell>
          <cell r="O49">
            <v>337668.03915404563</v>
          </cell>
          <cell r="P49">
            <v>532405.50454299536</v>
          </cell>
          <cell r="Q49">
            <v>451756.88011044468</v>
          </cell>
          <cell r="R49">
            <v>253020.71087166099</v>
          </cell>
          <cell r="S49">
            <v>639798.43925910874</v>
          </cell>
          <cell r="T49">
            <v>141834.22247196571</v>
          </cell>
          <cell r="U49">
            <v>205398.23600896189</v>
          </cell>
          <cell r="V49">
            <v>241695.96135803289</v>
          </cell>
          <cell r="W49">
            <v>140617.38231999319</v>
          </cell>
          <cell r="X49">
            <v>0</v>
          </cell>
          <cell r="Y49">
            <v>0</v>
          </cell>
          <cell r="Z49">
            <v>8062824.1543758679</v>
          </cell>
          <cell r="AA49">
            <v>0</v>
          </cell>
          <cell r="AB49">
            <v>2245.9639999999999</v>
          </cell>
          <cell r="AC49">
            <v>0</v>
          </cell>
          <cell r="AD49">
            <v>0</v>
          </cell>
          <cell r="AE49"/>
          <cell r="AF49"/>
          <cell r="AG49"/>
          <cell r="AH49">
            <v>2245.9639999999999</v>
          </cell>
          <cell r="AI49">
            <v>8065070.1183758676</v>
          </cell>
          <cell r="AJ49">
            <v>71262.050002224583</v>
          </cell>
          <cell r="AK49">
            <v>42261.081171053927</v>
          </cell>
          <cell r="AL49">
            <v>65156.256450000001</v>
          </cell>
          <cell r="AM49"/>
          <cell r="AN49">
            <v>178679.38762327851</v>
          </cell>
          <cell r="AO49">
            <v>554177.57900000003</v>
          </cell>
          <cell r="AP49">
            <v>3423.3440000000001</v>
          </cell>
          <cell r="AQ49"/>
          <cell r="AR49"/>
          <cell r="AS49">
            <v>557600.92300000007</v>
          </cell>
          <cell r="AT49">
            <v>0</v>
          </cell>
          <cell r="AU49">
            <v>0</v>
          </cell>
          <cell r="AV49">
            <v>0</v>
          </cell>
          <cell r="AW49"/>
          <cell r="AX49"/>
          <cell r="AY49"/>
          <cell r="AZ49"/>
          <cell r="BA49">
            <v>0</v>
          </cell>
          <cell r="BB49">
            <v>0</v>
          </cell>
          <cell r="BC49">
            <v>53973.373999999996</v>
          </cell>
          <cell r="BD49">
            <v>0</v>
          </cell>
          <cell r="BE49">
            <v>1595842.547</v>
          </cell>
          <cell r="BF49">
            <v>106933.489</v>
          </cell>
          <cell r="BG49">
            <v>0</v>
          </cell>
          <cell r="BH49"/>
          <cell r="BI49"/>
          <cell r="BJ49">
            <v>1756749.4100000001</v>
          </cell>
        </row>
        <row r="50">
          <cell r="F50">
            <v>6453394.421990877</v>
          </cell>
          <cell r="G50">
            <v>981040.12099185144</v>
          </cell>
          <cell r="H50">
            <v>413958.92735290469</v>
          </cell>
          <cell r="I50">
            <v>270810.21060722088</v>
          </cell>
          <cell r="J50">
            <v>82611.049549353833</v>
          </cell>
          <cell r="K50">
            <v>881623.43958743336</v>
          </cell>
          <cell r="L50">
            <v>880428.86669443245</v>
          </cell>
          <cell r="M50">
            <v>171480.98775034607</v>
          </cell>
          <cell r="N50">
            <v>423775.33818779793</v>
          </cell>
          <cell r="O50">
            <v>278859.52784595557</v>
          </cell>
          <cell r="P50">
            <v>842962.60745700437</v>
          </cell>
          <cell r="Q50">
            <v>607093.0638895554</v>
          </cell>
          <cell r="R50">
            <v>-44592.977871660987</v>
          </cell>
          <cell r="S50">
            <v>668379.09574089141</v>
          </cell>
          <cell r="T50">
            <v>306085.06452803453</v>
          </cell>
          <cell r="U50">
            <v>807561.04799103807</v>
          </cell>
          <cell r="V50">
            <v>-60321.266358033055</v>
          </cell>
          <cell r="W50">
            <v>100773.42668000693</v>
          </cell>
          <cell r="X50">
            <v>0</v>
          </cell>
          <cell r="Y50">
            <v>0</v>
          </cell>
          <cell r="Z50">
            <v>7612528.5306241643</v>
          </cell>
          <cell r="AA50">
            <v>175667.02499999999</v>
          </cell>
          <cell r="AB50">
            <v>-2245.9639999999999</v>
          </cell>
          <cell r="AC50">
            <v>36355.934000000001</v>
          </cell>
          <cell r="AD50">
            <v>81065.262000000002</v>
          </cell>
          <cell r="AE50"/>
          <cell r="AF50"/>
          <cell r="AG50"/>
          <cell r="AH50">
            <v>290842.25700000004</v>
          </cell>
          <cell r="AI50">
            <v>7903370.7876241654</v>
          </cell>
          <cell r="AJ50">
            <v>45961.190997775571</v>
          </cell>
          <cell r="AK50">
            <v>-32132.138181053917</v>
          </cell>
          <cell r="AL50">
            <v>-112559.56544999989</v>
          </cell>
          <cell r="AM50"/>
          <cell r="AN50">
            <v>-98730.512633278122</v>
          </cell>
          <cell r="AO50">
            <v>142584.56800000358</v>
          </cell>
          <cell r="AP50">
            <v>-3423.3440000000001</v>
          </cell>
          <cell r="AQ50"/>
          <cell r="AR50"/>
          <cell r="AS50">
            <v>139161.22400000354</v>
          </cell>
          <cell r="AT50">
            <v>15256.52</v>
          </cell>
          <cell r="AU50">
            <v>930.79999999999927</v>
          </cell>
          <cell r="AV50">
            <v>245184.03200000001</v>
          </cell>
          <cell r="AW50"/>
          <cell r="AX50"/>
          <cell r="AY50"/>
          <cell r="AZ50"/>
          <cell r="BA50">
            <v>261371.35200000001</v>
          </cell>
          <cell r="BB50">
            <v>0</v>
          </cell>
          <cell r="BC50">
            <v>-47163.773999999998</v>
          </cell>
          <cell r="BD50">
            <v>0</v>
          </cell>
          <cell r="BE50">
            <v>-1595842.547</v>
          </cell>
          <cell r="BF50">
            <v>-106933.489</v>
          </cell>
          <cell r="BG50">
            <v>-1838.6189999999999</v>
          </cell>
          <cell r="BH50"/>
          <cell r="BI50"/>
          <cell r="BJ50">
            <v>-1751778.4290000002</v>
          </cell>
        </row>
        <row r="53">
          <cell r="J53"/>
          <cell r="AA53">
            <v>119694</v>
          </cell>
        </row>
        <row r="54">
          <cell r="J54"/>
          <cell r="AA54">
            <v>117030</v>
          </cell>
        </row>
        <row r="55">
          <cell r="AA55">
            <v>10000</v>
          </cell>
        </row>
        <row r="56">
          <cell r="AA56">
            <v>55200</v>
          </cell>
        </row>
      </sheetData>
      <sheetData sheetId="11">
        <row r="6">
          <cell r="F6" t="str">
            <v>합계</v>
          </cell>
        </row>
      </sheetData>
      <sheetData sheetId="12">
        <row r="6">
          <cell r="F6" t="str">
            <v>합계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7">
          <cell r="AU7">
            <v>0</v>
          </cell>
        </row>
      </sheetData>
      <sheetData sheetId="26">
        <row r="7">
          <cell r="Z7">
            <v>3378228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부산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5">
          <cell r="O5">
            <v>276531</v>
          </cell>
          <cell r="T5">
            <v>295500</v>
          </cell>
          <cell r="U5">
            <v>276853</v>
          </cell>
        </row>
        <row r="9">
          <cell r="E9">
            <v>256.23635310002282</v>
          </cell>
          <cell r="F9">
            <v>250.71594634959558</v>
          </cell>
          <cell r="G9">
            <v>100505.43437077377</v>
          </cell>
          <cell r="H9">
            <v>100622.75708265365</v>
          </cell>
        </row>
        <row r="10">
          <cell r="E10">
            <v>34.772446675928414</v>
          </cell>
          <cell r="F10">
            <v>41.053908675700015</v>
          </cell>
          <cell r="G10">
            <v>93807.1457371094</v>
          </cell>
          <cell r="H10">
            <v>94372.597405080029</v>
          </cell>
        </row>
        <row r="11">
          <cell r="E11">
            <v>0</v>
          </cell>
          <cell r="F11">
            <v>0.20388520636022722</v>
          </cell>
        </row>
        <row r="12">
          <cell r="E12">
            <v>44.07395245573003</v>
          </cell>
          <cell r="F12">
            <v>44.835026561217376</v>
          </cell>
          <cell r="G12">
            <v>63679.651004643638</v>
          </cell>
          <cell r="H12">
            <v>62044.46390743916</v>
          </cell>
        </row>
        <row r="13">
          <cell r="E13">
            <v>30.909339091173493</v>
          </cell>
          <cell r="F13">
            <v>31.203148435437623</v>
          </cell>
          <cell r="G13">
            <v>40941.852777502092</v>
          </cell>
          <cell r="H13">
            <v>39013.825500874191</v>
          </cell>
        </row>
        <row r="14">
          <cell r="E14">
            <v>0</v>
          </cell>
          <cell r="F14">
            <v>0.76664099142591569</v>
          </cell>
        </row>
        <row r="15">
          <cell r="E15">
            <v>365.99209132285472</v>
          </cell>
          <cell r="F15">
            <v>368.77855621973674</v>
          </cell>
        </row>
        <row r="16">
          <cell r="E16">
            <v>822.8850899748187</v>
          </cell>
          <cell r="F16">
            <v>811.07395024066011</v>
          </cell>
          <cell r="G16">
            <v>13248.190840347925</v>
          </cell>
          <cell r="H16">
            <v>13397.284140811897</v>
          </cell>
        </row>
        <row r="17">
          <cell r="E17">
            <v>899.43013994127</v>
          </cell>
          <cell r="F17">
            <v>906.62499150185715</v>
          </cell>
          <cell r="G17">
            <v>15813.391380531966</v>
          </cell>
          <cell r="H17">
            <v>15775.335597389312</v>
          </cell>
        </row>
        <row r="19">
          <cell r="E19">
            <v>3.0957030082578019</v>
          </cell>
          <cell r="F19">
            <v>2.8067450340106537</v>
          </cell>
        </row>
        <row r="20">
          <cell r="Q20">
            <v>60804.330946679489</v>
          </cell>
          <cell r="R20">
            <v>60716.648950750547</v>
          </cell>
        </row>
        <row r="21">
          <cell r="Q21">
            <v>18325.059432329566</v>
          </cell>
          <cell r="R21">
            <v>18177.727090271976</v>
          </cell>
        </row>
        <row r="22">
          <cell r="Q22">
            <v>207.2673434856176</v>
          </cell>
          <cell r="R22">
            <v>214.84860286911777</v>
          </cell>
        </row>
        <row r="50">
          <cell r="Q50">
            <v>86719.353605569515</v>
          </cell>
          <cell r="R50">
            <v>86860.520661336341</v>
          </cell>
        </row>
        <row r="56">
          <cell r="L56">
            <v>23831.964783611191</v>
          </cell>
        </row>
        <row r="61">
          <cell r="T61">
            <v>100435.47222658443</v>
          </cell>
          <cell r="U61">
            <v>98470.346196543367</v>
          </cell>
        </row>
        <row r="80">
          <cell r="H80">
            <v>636743.33000000007</v>
          </cell>
          <cell r="I80">
            <v>650354.90800000005</v>
          </cell>
          <cell r="L80">
            <v>-13611.577999999907</v>
          </cell>
        </row>
        <row r="85">
          <cell r="H85">
            <v>385173.00401790114</v>
          </cell>
          <cell r="I85">
            <v>449204.67653</v>
          </cell>
          <cell r="L85">
            <v>-64031.672512098827</v>
          </cell>
          <cell r="Q85">
            <v>100435.47222658443</v>
          </cell>
          <cell r="R85">
            <v>98470.346196543367</v>
          </cell>
        </row>
        <row r="86">
          <cell r="H86">
            <v>3031196.7184920139</v>
          </cell>
          <cell r="I86">
            <v>2165668.883000005</v>
          </cell>
          <cell r="K86">
            <v>-541675.19942463934</v>
          </cell>
          <cell r="M86">
            <v>-270041.35033887229</v>
          </cell>
        </row>
        <row r="89">
          <cell r="Q89">
            <v>79336.657722494667</v>
          </cell>
          <cell r="R89">
            <v>79109.224643891634</v>
          </cell>
        </row>
        <row r="90">
          <cell r="Q90">
            <v>21098.814504089765</v>
          </cell>
          <cell r="R90">
            <v>19361.121552651734</v>
          </cell>
        </row>
      </sheetData>
      <sheetData sheetId="1">
        <row r="5">
          <cell r="O5">
            <v>98868</v>
          </cell>
          <cell r="T5">
            <v>110000</v>
          </cell>
          <cell r="U5">
            <v>99752</v>
          </cell>
        </row>
        <row r="9">
          <cell r="E9">
            <v>283.81145454545458</v>
          </cell>
          <cell r="F9">
            <v>273.05463385524143</v>
          </cell>
          <cell r="G9">
            <v>100000</v>
          </cell>
          <cell r="H9">
            <v>99805.374912700165</v>
          </cell>
        </row>
        <row r="10">
          <cell r="E10">
            <v>6.2999999999999989</v>
          </cell>
          <cell r="F10">
            <v>18.858731035319821</v>
          </cell>
          <cell r="G10">
            <v>98000</v>
          </cell>
          <cell r="H10">
            <v>99492.036314964571</v>
          </cell>
        </row>
        <row r="11">
          <cell r="E11">
            <v>0</v>
          </cell>
          <cell r="F11">
            <v>0</v>
          </cell>
        </row>
        <row r="12">
          <cell r="E12">
            <v>50.669181818181812</v>
          </cell>
          <cell r="F12">
            <v>48.151489258405157</v>
          </cell>
          <cell r="G12">
            <v>64180.023898335196</v>
          </cell>
          <cell r="H12">
            <v>62307.356002009656</v>
          </cell>
        </row>
        <row r="13">
          <cell r="E13">
            <v>30.339545454545451</v>
          </cell>
          <cell r="F13">
            <v>31.43519025367155</v>
          </cell>
          <cell r="G13">
            <v>47161.121848172952</v>
          </cell>
          <cell r="H13">
            <v>44849.508229161831</v>
          </cell>
        </row>
        <row r="14">
          <cell r="E14">
            <v>0</v>
          </cell>
          <cell r="F14">
            <v>0</v>
          </cell>
        </row>
        <row r="15">
          <cell r="E15">
            <v>371.12018181818183</v>
          </cell>
          <cell r="F15">
            <v>371.50004440263797</v>
          </cell>
        </row>
        <row r="16">
          <cell r="E16">
            <v>859.67697245642614</v>
          </cell>
          <cell r="F16">
            <v>852.62639057126671</v>
          </cell>
          <cell r="G16">
            <v>15800.120130330894</v>
          </cell>
          <cell r="H16">
            <v>15338.429547345511</v>
          </cell>
        </row>
        <row r="17">
          <cell r="E17">
            <v>872.83427177795977</v>
          </cell>
          <cell r="F17">
            <v>886.09839912813038</v>
          </cell>
          <cell r="G17">
            <v>14221.065963235602</v>
          </cell>
          <cell r="H17">
            <v>13855.329600600209</v>
          </cell>
        </row>
        <row r="19">
          <cell r="E19">
            <v>3.18</v>
          </cell>
          <cell r="F19">
            <v>2.892215084759477</v>
          </cell>
        </row>
        <row r="20">
          <cell r="Q20">
            <v>62383.845492017776</v>
          </cell>
          <cell r="R20">
            <v>61373.967775215431</v>
          </cell>
        </row>
        <row r="21">
          <cell r="Q21">
            <v>18069.147397724606</v>
          </cell>
          <cell r="R21">
            <v>18460.464538576689</v>
          </cell>
        </row>
        <row r="22">
          <cell r="Q22">
            <v>239.15909090909091</v>
          </cell>
          <cell r="R22">
            <v>247.09271958571026</v>
          </cell>
        </row>
        <row r="50">
          <cell r="Q50">
            <v>86898.782929021021</v>
          </cell>
          <cell r="R50">
            <v>87093.953625035399</v>
          </cell>
        </row>
        <row r="56">
          <cell r="L56">
            <v>-19569.797745767341</v>
          </cell>
        </row>
        <row r="61">
          <cell r="T61">
            <v>97316.07043168816</v>
          </cell>
          <cell r="U61">
            <v>96454.113487158218</v>
          </cell>
        </row>
        <row r="80">
          <cell r="H80">
            <v>211448.75</v>
          </cell>
          <cell r="I80">
            <v>228924.84100000001</v>
          </cell>
          <cell r="L80">
            <v>-17476.090999999993</v>
          </cell>
        </row>
        <row r="85">
          <cell r="H85">
            <v>105136.81235057779</v>
          </cell>
          <cell r="I85">
            <v>104742.16623999999</v>
          </cell>
          <cell r="L85">
            <v>394.64611057780439</v>
          </cell>
          <cell r="Q85">
            <v>97316.07043168816</v>
          </cell>
          <cell r="R85">
            <v>96454.113487158218</v>
          </cell>
        </row>
        <row r="86">
          <cell r="H86">
            <v>829316.06294280745</v>
          </cell>
          <cell r="I86">
            <v>593231.6090000004</v>
          </cell>
          <cell r="K86">
            <v>-85210.47766539648</v>
          </cell>
          <cell r="M86">
            <v>-114222.7336422198</v>
          </cell>
        </row>
        <row r="89">
          <cell r="Q89">
            <v>80692.15198065147</v>
          </cell>
          <cell r="R89">
            <v>80081.525033377824</v>
          </cell>
        </row>
        <row r="90">
          <cell r="Q90">
            <v>16623.91845103669</v>
          </cell>
          <cell r="R90">
            <v>16372.588453780394</v>
          </cell>
        </row>
      </sheetData>
      <sheetData sheetId="2">
        <row r="5">
          <cell r="O5">
            <v>120669</v>
          </cell>
          <cell r="T5">
            <v>128500</v>
          </cell>
          <cell r="U5">
            <v>119871</v>
          </cell>
        </row>
        <row r="9">
          <cell r="E9">
            <v>230.10803378254275</v>
          </cell>
          <cell r="F9">
            <v>216.968066197615</v>
          </cell>
          <cell r="G9">
            <v>100000</v>
          </cell>
          <cell r="H9">
            <v>100516.7860603304</v>
          </cell>
        </row>
        <row r="10">
          <cell r="E10">
            <v>60.797961032971578</v>
          </cell>
          <cell r="F10">
            <v>72.271555743397229</v>
          </cell>
          <cell r="G10">
            <v>92435.406865532816</v>
          </cell>
          <cell r="H10">
            <v>92495.046025080708</v>
          </cell>
        </row>
        <row r="11">
          <cell r="E11">
            <v>0</v>
          </cell>
          <cell r="F11">
            <v>0.4672333407917526</v>
          </cell>
        </row>
        <row r="12">
          <cell r="E12">
            <v>39.831462651114613</v>
          </cell>
          <cell r="F12">
            <v>43.493582278795721</v>
          </cell>
          <cell r="G12">
            <v>62721.584061192814</v>
          </cell>
          <cell r="H12">
            <v>61379.252681789781</v>
          </cell>
        </row>
        <row r="13">
          <cell r="E13">
            <v>32.541398454799733</v>
          </cell>
          <cell r="F13">
            <v>35.104714301104671</v>
          </cell>
          <cell r="G13">
            <v>35526.720469982887</v>
          </cell>
          <cell r="H13">
            <v>34432.186467868989</v>
          </cell>
        </row>
        <row r="14">
          <cell r="E14">
            <v>0</v>
          </cell>
          <cell r="F14">
            <v>1.7568721046830578</v>
          </cell>
        </row>
        <row r="15">
          <cell r="E15">
            <v>363.27885592142866</v>
          </cell>
          <cell r="F15">
            <v>370.06202396638741</v>
          </cell>
        </row>
        <row r="16">
          <cell r="E16">
            <v>796.59631997939346</v>
          </cell>
          <cell r="F16">
            <v>807.264906479709</v>
          </cell>
          <cell r="G16">
            <v>10954.42333480749</v>
          </cell>
          <cell r="H16">
            <v>11699.191953537398</v>
          </cell>
        </row>
        <row r="17">
          <cell r="E17">
            <v>913.39436931571754</v>
          </cell>
          <cell r="F17">
            <v>891.33165104542184</v>
          </cell>
          <cell r="G17">
            <v>17638.75322405621</v>
          </cell>
          <cell r="H17">
            <v>17882.012464955613</v>
          </cell>
        </row>
        <row r="19">
          <cell r="E19">
            <v>3.2032703419469297</v>
          </cell>
          <cell r="F19">
            <v>2.818312988422877</v>
          </cell>
        </row>
        <row r="20">
          <cell r="Q20">
            <v>59827.222036547544</v>
          </cell>
          <cell r="R20">
            <v>60173.323811418013</v>
          </cell>
        </row>
        <row r="21">
          <cell r="Q21">
            <v>18826.125025187703</v>
          </cell>
          <cell r="R21">
            <v>18708.767521070036</v>
          </cell>
        </row>
        <row r="22">
          <cell r="Q22">
            <v>192.52918287937743</v>
          </cell>
          <cell r="R22">
            <v>190.26658876762053</v>
          </cell>
        </row>
        <row r="50">
          <cell r="Q50">
            <v>86752.794368369825</v>
          </cell>
          <cell r="R50">
            <v>87176.628695025225</v>
          </cell>
        </row>
        <row r="56">
          <cell r="L56">
            <v>12001.799901179991</v>
          </cell>
        </row>
        <row r="61">
          <cell r="T61">
            <v>100478.00771571984</v>
          </cell>
          <cell r="U61">
            <v>98385.128898458555</v>
          </cell>
        </row>
        <row r="80">
          <cell r="H80">
            <v>314195.33</v>
          </cell>
          <cell r="I80">
            <v>298118.386</v>
          </cell>
          <cell r="L80">
            <v>16076.944000000043</v>
          </cell>
        </row>
        <row r="85">
          <cell r="H85">
            <v>191828.92371397585</v>
          </cell>
          <cell r="I85">
            <v>256647.80029999997</v>
          </cell>
          <cell r="L85">
            <v>-64818.876586024111</v>
          </cell>
          <cell r="Q85">
            <v>100478.00771571984</v>
          </cell>
          <cell r="R85">
            <v>98385.128898458555</v>
          </cell>
        </row>
        <row r="86">
          <cell r="H86">
            <v>1257665.6614205006</v>
          </cell>
          <cell r="I86">
            <v>851167.23400000134</v>
          </cell>
          <cell r="K86">
            <v>-250775.01852069885</v>
          </cell>
          <cell r="M86">
            <v>-118983.27621495584</v>
          </cell>
        </row>
        <row r="89">
          <cell r="Q89">
            <v>78845.876244614614</v>
          </cell>
          <cell r="R89">
            <v>79072.35792125568</v>
          </cell>
        </row>
        <row r="90">
          <cell r="Q90">
            <v>21632.131471105226</v>
          </cell>
          <cell r="R90">
            <v>19312.770977202876</v>
          </cell>
        </row>
      </sheetData>
      <sheetData sheetId="3"/>
      <sheetData sheetId="4"/>
      <sheetData sheetId="5">
        <row r="5">
          <cell r="O5">
            <v>56994</v>
          </cell>
          <cell r="T5">
            <v>57000</v>
          </cell>
          <cell r="U5">
            <v>57230</v>
          </cell>
        </row>
        <row r="9">
          <cell r="E9">
            <v>261.92456140350879</v>
          </cell>
          <cell r="F9">
            <v>283.41660946766319</v>
          </cell>
          <cell r="G9">
            <v>102563.37367797074</v>
          </cell>
          <cell r="H9">
            <v>102160.59760378675</v>
          </cell>
        </row>
        <row r="10">
          <cell r="E10">
            <v>31.04771929824561</v>
          </cell>
          <cell r="F10">
            <v>13.461365055970804</v>
          </cell>
          <cell r="G10">
            <v>98220.902741676648</v>
          </cell>
          <cell r="H10">
            <v>103273.18720658237</v>
          </cell>
        </row>
        <row r="11">
          <cell r="E11">
            <v>0</v>
          </cell>
          <cell r="F11">
            <v>0</v>
          </cell>
        </row>
        <row r="12">
          <cell r="E12">
            <v>40.910526315789468</v>
          </cell>
          <cell r="F12">
            <v>41.922065656033965</v>
          </cell>
          <cell r="G12">
            <v>64586.564603971026</v>
          </cell>
          <cell r="H12">
            <v>62981.853631895938</v>
          </cell>
        </row>
        <row r="13">
          <cell r="E13">
            <v>28.329649122807016</v>
          </cell>
          <cell r="F13">
            <v>22.540138961996</v>
          </cell>
          <cell r="G13">
            <v>42110.967989645709</v>
          </cell>
          <cell r="H13">
            <v>40003.304239399549</v>
          </cell>
        </row>
        <row r="14">
          <cell r="E14">
            <v>0</v>
          </cell>
          <cell r="F14">
            <v>0</v>
          </cell>
        </row>
        <row r="15">
          <cell r="E15">
            <v>362.21245614035092</v>
          </cell>
          <cell r="F15">
            <v>361.34017914166395</v>
          </cell>
        </row>
        <row r="16">
          <cell r="E16">
            <v>811.14824561403509</v>
          </cell>
          <cell r="F16">
            <v>747.05715603396834</v>
          </cell>
          <cell r="G16">
            <v>13107.048812112786</v>
          </cell>
          <cell r="H16">
            <v>13439.105509741948</v>
          </cell>
        </row>
        <row r="17">
          <cell r="E17">
            <v>919.27473684210531</v>
          </cell>
          <cell r="F17">
            <v>974.61206442783475</v>
          </cell>
          <cell r="G17">
            <v>14642.314000500639</v>
          </cell>
          <cell r="H17">
            <v>14724.327128862305</v>
          </cell>
        </row>
        <row r="19">
          <cell r="E19">
            <v>2.6905263157894739</v>
          </cell>
          <cell r="F19">
            <v>2.633987437274099</v>
          </cell>
        </row>
        <row r="20">
          <cell r="Q20">
            <v>59958.925595183733</v>
          </cell>
          <cell r="R20">
            <v>60726.732533249116</v>
          </cell>
        </row>
        <row r="21">
          <cell r="Q21">
            <v>17689.329522229116</v>
          </cell>
          <cell r="R21">
            <v>16562.928974979823</v>
          </cell>
        </row>
        <row r="22">
          <cell r="Q22">
            <v>178.94736842105263</v>
          </cell>
          <cell r="R22">
            <v>210.96004842615011</v>
          </cell>
        </row>
        <row r="50">
          <cell r="Q50">
            <v>86297.698103823757</v>
          </cell>
          <cell r="R50">
            <v>85786.311260834482</v>
          </cell>
        </row>
        <row r="56">
          <cell r="L56">
            <v>29125.595776215094</v>
          </cell>
        </row>
        <row r="61">
          <cell r="T61">
            <v>106359.47901754387</v>
          </cell>
          <cell r="U61">
            <v>102148.62913419002</v>
          </cell>
        </row>
        <row r="80">
          <cell r="H80">
            <v>111099.25</v>
          </cell>
          <cell r="I80">
            <v>123311.68100000001</v>
          </cell>
          <cell r="L80">
            <v>-12212.431000000019</v>
          </cell>
        </row>
        <row r="85">
          <cell r="H85">
            <v>88207.267953347429</v>
          </cell>
          <cell r="I85">
            <v>87814.709990000003</v>
          </cell>
          <cell r="L85">
            <v>392.55796334742263</v>
          </cell>
          <cell r="Q85">
            <v>106359.47901754387</v>
          </cell>
          <cell r="R85">
            <v>102148.62913419002</v>
          </cell>
        </row>
        <row r="86">
          <cell r="H86">
            <v>944214.99412869941</v>
          </cell>
          <cell r="I86">
            <v>721270.04000000027</v>
          </cell>
          <cell r="K86">
            <v>-239866.85275536854</v>
          </cell>
          <cell r="M86">
            <v>-383.82411289392985</v>
          </cell>
        </row>
        <row r="89">
          <cell r="Q89">
            <v>77827.202485833899</v>
          </cell>
          <cell r="R89">
            <v>77500.621556655082</v>
          </cell>
        </row>
        <row r="90">
          <cell r="Q90">
            <v>28532.276531709969</v>
          </cell>
          <cell r="R90">
            <v>24648.00757753494</v>
          </cell>
        </row>
      </sheetData>
      <sheetData sheetId="6">
        <row r="2">
          <cell r="N2">
            <v>42000</v>
          </cell>
        </row>
        <row r="5">
          <cell r="T5">
            <v>42000</v>
          </cell>
          <cell r="U5">
            <v>40250</v>
          </cell>
        </row>
        <row r="9">
          <cell r="E9">
            <v>290</v>
          </cell>
          <cell r="F9">
            <v>286.41233861297104</v>
          </cell>
          <cell r="G9">
            <v>100000</v>
          </cell>
          <cell r="H9">
            <v>99615.438966714937</v>
          </cell>
        </row>
        <row r="10">
          <cell r="E10">
            <v>0</v>
          </cell>
          <cell r="F10">
            <v>2.6842207954431894</v>
          </cell>
          <cell r="G10">
            <v>0</v>
          </cell>
          <cell r="H10">
            <v>102200.00206619283</v>
          </cell>
        </row>
        <row r="11">
          <cell r="E11">
            <v>0</v>
          </cell>
          <cell r="F11">
            <v>0</v>
          </cell>
        </row>
        <row r="12">
          <cell r="E12">
            <v>56</v>
          </cell>
          <cell r="F12">
            <v>39.05996277605675</v>
          </cell>
          <cell r="G12">
            <v>64100.000000000007</v>
          </cell>
          <cell r="H12">
            <v>62104.883939330735</v>
          </cell>
        </row>
        <row r="13">
          <cell r="E13">
            <v>30</v>
          </cell>
          <cell r="F13">
            <v>31.425694513840327</v>
          </cell>
          <cell r="G13">
            <v>46100</v>
          </cell>
          <cell r="H13">
            <v>44379.654405486166</v>
          </cell>
        </row>
        <row r="14">
          <cell r="E14">
            <v>0</v>
          </cell>
          <cell r="F14">
            <v>0</v>
          </cell>
        </row>
        <row r="15">
          <cell r="E15">
            <v>376</v>
          </cell>
          <cell r="F15">
            <v>359.5822166983113</v>
          </cell>
        </row>
        <row r="16">
          <cell r="E16">
            <v>845</v>
          </cell>
          <cell r="F16">
            <v>862.49725192365349</v>
          </cell>
          <cell r="G16">
            <v>15800</v>
          </cell>
          <cell r="H16">
            <v>15459.440581113913</v>
          </cell>
        </row>
        <row r="17">
          <cell r="E17">
            <v>875</v>
          </cell>
          <cell r="F17">
            <v>887.49837613670388</v>
          </cell>
          <cell r="G17">
            <v>15032.258064516131</v>
          </cell>
          <cell r="H17">
            <v>14802.401224947605</v>
          </cell>
        </row>
        <row r="19">
          <cell r="E19">
            <v>3.38</v>
          </cell>
          <cell r="F19">
            <v>2.9105483661436979</v>
          </cell>
        </row>
        <row r="20">
          <cell r="Q20">
            <v>63628.70580645161</v>
          </cell>
          <cell r="R20">
            <v>61546.48193764365</v>
          </cell>
        </row>
        <row r="21">
          <cell r="Q21">
            <v>17443.494411027568</v>
          </cell>
          <cell r="R21">
            <v>17893.451833716397</v>
          </cell>
        </row>
        <row r="22">
          <cell r="Q22">
            <v>185.71428571428572</v>
          </cell>
          <cell r="R22">
            <v>219.27205955830919</v>
          </cell>
        </row>
        <row r="50">
          <cell r="Q50">
            <v>85910.084336935543</v>
          </cell>
          <cell r="R50">
            <v>84951.311781752782</v>
          </cell>
        </row>
        <row r="56">
          <cell r="L56">
            <v>38377.743058856191</v>
          </cell>
        </row>
        <row r="80">
          <cell r="H80">
            <v>66547.859999999986</v>
          </cell>
          <cell r="I80">
            <v>69176.744999999995</v>
          </cell>
          <cell r="L80">
            <v>-2628.8850000000048</v>
          </cell>
        </row>
        <row r="85">
          <cell r="H85">
            <v>29668.934666666664</v>
          </cell>
          <cell r="I85">
            <v>30545.06322</v>
          </cell>
          <cell r="L85">
            <v>-876.12855333333482</v>
          </cell>
          <cell r="Q85">
            <v>98051.191190476195</v>
          </cell>
          <cell r="R85">
            <v>95439.899645248312</v>
          </cell>
        </row>
        <row r="86">
          <cell r="H86">
            <v>413709.69318204036</v>
          </cell>
          <cell r="I86">
            <v>321016.58199999947</v>
          </cell>
          <cell r="K86">
            <v>-104524.77797238169</v>
          </cell>
          <cell r="M86">
            <v>-23041.062715182197</v>
          </cell>
        </row>
        <row r="89">
          <cell r="Q89">
            <v>81257.91450319346</v>
          </cell>
          <cell r="R89">
            <v>79659.205830918363</v>
          </cell>
        </row>
      </sheetData>
      <sheetData sheetId="7">
        <row r="2">
          <cell r="N2">
            <v>30000</v>
          </cell>
        </row>
        <row r="5">
          <cell r="T5">
            <v>30000</v>
          </cell>
          <cell r="U5">
            <v>33570</v>
          </cell>
        </row>
        <row r="9">
          <cell r="E9">
            <v>281.05</v>
          </cell>
          <cell r="F9">
            <v>261.20721089046651</v>
          </cell>
          <cell r="G9">
            <v>100000</v>
          </cell>
          <cell r="H9">
            <v>99903.064756839434</v>
          </cell>
        </row>
        <row r="10">
          <cell r="E10">
            <v>23.099999999999994</v>
          </cell>
          <cell r="F10">
            <v>51.736095785784876</v>
          </cell>
          <cell r="G10">
            <v>98000</v>
          </cell>
          <cell r="H10">
            <v>99331.213289116451</v>
          </cell>
        </row>
        <row r="11">
          <cell r="E11">
            <v>0</v>
          </cell>
          <cell r="F11">
            <v>0</v>
          </cell>
        </row>
        <row r="12">
          <cell r="E12">
            <v>53.900000000000013</v>
          </cell>
          <cell r="F12">
            <v>57.514936651990318</v>
          </cell>
          <cell r="G12">
            <v>64400.000000000007</v>
          </cell>
          <cell r="H12">
            <v>62562.478089129552</v>
          </cell>
        </row>
        <row r="13">
          <cell r="E13">
            <v>26.950000000000006</v>
          </cell>
          <cell r="F13">
            <v>25.447497528978293</v>
          </cell>
          <cell r="G13">
            <v>47600</v>
          </cell>
          <cell r="H13">
            <v>44569.286392575748</v>
          </cell>
        </row>
        <row r="14">
          <cell r="E14">
            <v>0</v>
          </cell>
          <cell r="F14">
            <v>0</v>
          </cell>
        </row>
        <row r="15">
          <cell r="E15">
            <v>385</v>
          </cell>
          <cell r="F15">
            <v>395.90574085722</v>
          </cell>
        </row>
        <row r="16">
          <cell r="E16">
            <v>903.10223234022885</v>
          </cell>
          <cell r="F16">
            <v>913.88968760295916</v>
          </cell>
          <cell r="G16">
            <v>16000</v>
          </cell>
          <cell r="H16">
            <v>15261.251863404064</v>
          </cell>
        </row>
        <row r="17">
          <cell r="E17">
            <v>833.63282985251897</v>
          </cell>
          <cell r="F17">
            <v>807.21747985742945</v>
          </cell>
          <cell r="G17">
            <v>14318.131256952167</v>
          </cell>
          <cell r="H17">
            <v>13461.835092912694</v>
          </cell>
        </row>
        <row r="19">
          <cell r="E19">
            <v>3.33</v>
          </cell>
          <cell r="F19">
            <v>2.8979138586875131</v>
          </cell>
        </row>
        <row r="20">
          <cell r="Q20">
            <v>64305.6799953765</v>
          </cell>
          <cell r="R20">
            <v>63361.560966843383</v>
          </cell>
        </row>
        <row r="21">
          <cell r="Q21">
            <v>17885.555841924397</v>
          </cell>
          <cell r="R21">
            <v>19031.294605684845</v>
          </cell>
        </row>
        <row r="22">
          <cell r="Q22">
            <v>400</v>
          </cell>
          <cell r="R22">
            <v>358.12421002186477</v>
          </cell>
        </row>
        <row r="50">
          <cell r="Q50">
            <v>89126.043253030963</v>
          </cell>
          <cell r="R50">
            <v>89170.258483841026</v>
          </cell>
        </row>
        <row r="56">
          <cell r="L56">
            <v>-1476.2156410551183</v>
          </cell>
        </row>
        <row r="80">
          <cell r="H80">
            <v>59799.31</v>
          </cell>
          <cell r="I80">
            <v>69616.657999999996</v>
          </cell>
          <cell r="L80">
            <v>-9817.3479999999909</v>
          </cell>
        </row>
        <row r="85">
          <cell r="H85">
            <v>35426.412906133344</v>
          </cell>
          <cell r="I85">
            <v>35456.081270000002</v>
          </cell>
          <cell r="L85">
            <v>-29.668363866658183</v>
          </cell>
          <cell r="Q85">
            <v>98468.653536189959</v>
          </cell>
          <cell r="R85">
            <v>98978.103153922173</v>
          </cell>
        </row>
        <row r="86">
          <cell r="H86">
            <v>185052.58558863663</v>
          </cell>
          <cell r="I86">
            <v>222536.56899999946</v>
          </cell>
          <cell r="K86">
            <v>17008.994387225441</v>
          </cell>
          <cell r="M86">
            <v>31798.221029059438</v>
          </cell>
        </row>
        <row r="89">
          <cell r="Q89">
            <v>82591.23583730089</v>
          </cell>
          <cell r="R89">
            <v>82750.979782550101</v>
          </cell>
        </row>
      </sheetData>
      <sheetData sheetId="8">
        <row r="2">
          <cell r="N2">
            <v>22000</v>
          </cell>
        </row>
        <row r="5">
          <cell r="T5">
            <v>22000</v>
          </cell>
          <cell r="U5">
            <v>13605</v>
          </cell>
        </row>
        <row r="9">
          <cell r="E9">
            <v>290.89818181818185</v>
          </cell>
          <cell r="F9">
            <v>284.6198125886657</v>
          </cell>
          <cell r="G9">
            <v>100000</v>
          </cell>
          <cell r="H9">
            <v>100000.00000000001</v>
          </cell>
        </row>
        <row r="10">
          <cell r="E10">
            <v>0</v>
          </cell>
          <cell r="F10">
            <v>2.2226536250280002</v>
          </cell>
          <cell r="G10">
            <v>0</v>
          </cell>
          <cell r="H10">
            <v>99049.852190271427</v>
          </cell>
        </row>
        <row r="11">
          <cell r="E11">
            <v>0</v>
          </cell>
          <cell r="F11">
            <v>0</v>
          </cell>
        </row>
        <row r="12">
          <cell r="E12">
            <v>40.209545454545456</v>
          </cell>
          <cell r="F12">
            <v>29.401404465019034</v>
          </cell>
          <cell r="G12">
            <v>64300</v>
          </cell>
          <cell r="H12">
            <v>62567.401458012588</v>
          </cell>
        </row>
        <row r="13">
          <cell r="E13">
            <v>32.220454545454544</v>
          </cell>
          <cell r="F13">
            <v>45.620471888299875</v>
          </cell>
          <cell r="G13">
            <v>48199.999999999993</v>
          </cell>
          <cell r="H13">
            <v>46073.848266314715</v>
          </cell>
        </row>
        <row r="14">
          <cell r="E14">
            <v>0</v>
          </cell>
          <cell r="F14">
            <v>0</v>
          </cell>
        </row>
        <row r="15">
          <cell r="E15">
            <v>363.32818181818186</v>
          </cell>
          <cell r="F15">
            <v>361.86434256701261</v>
          </cell>
        </row>
        <row r="16">
          <cell r="E16">
            <v>864.60909090909104</v>
          </cell>
          <cell r="F16">
            <v>795.92107690584635</v>
          </cell>
          <cell r="G16">
            <v>16333.333333333332</v>
          </cell>
          <cell r="H16">
            <v>15770.514044635549</v>
          </cell>
        </row>
        <row r="17">
          <cell r="E17">
            <v>862.3993181818181</v>
          </cell>
          <cell r="F17">
            <v>987.50216717688375</v>
          </cell>
          <cell r="G17">
            <v>12580.645161290322</v>
          </cell>
          <cell r="H17">
            <v>11817.299685392167</v>
          </cell>
        </row>
        <row r="19">
          <cell r="E19">
            <v>2.87</v>
          </cell>
          <cell r="F19">
            <v>2.9671500783991647</v>
          </cell>
        </row>
        <row r="20">
          <cell r="Q20">
            <v>60266.206157869005</v>
          </cell>
          <cell r="R20">
            <v>59178.081161800939</v>
          </cell>
        </row>
        <row r="21">
          <cell r="Q21">
            <v>19272.523791102514</v>
          </cell>
          <cell r="R21">
            <v>18659.227805570074</v>
          </cell>
        </row>
        <row r="22">
          <cell r="Q22">
            <v>248.52272727272728</v>
          </cell>
          <cell r="R22">
            <v>198.61666542223549</v>
          </cell>
        </row>
        <row r="50">
          <cell r="Q50">
            <v>87308.013532225246</v>
          </cell>
          <cell r="R50">
            <v>89209.262077204505</v>
          </cell>
        </row>
        <row r="56">
          <cell r="L56">
            <v>-25463.449222907373</v>
          </cell>
        </row>
        <row r="80">
          <cell r="H80">
            <v>49197.32</v>
          </cell>
          <cell r="I80">
            <v>52487.082999999999</v>
          </cell>
          <cell r="L80">
            <v>-3289.7629999999981</v>
          </cell>
        </row>
        <row r="85">
          <cell r="H85">
            <v>21509.885333333332</v>
          </cell>
          <cell r="I85">
            <v>20654.574539999998</v>
          </cell>
          <cell r="L85">
            <v>855.31079333333332</v>
          </cell>
          <cell r="Q85">
            <v>96038.898245454533</v>
          </cell>
          <cell r="R85">
            <v>93525.184798028815</v>
          </cell>
        </row>
        <row r="86">
          <cell r="H86">
            <v>121372.25835771102</v>
          </cell>
          <cell r="I86">
            <v>-15154.132000000169</v>
          </cell>
          <cell r="K86">
            <v>-33666.164201372645</v>
          </cell>
          <cell r="M86">
            <v>-74962.324726764462</v>
          </cell>
        </row>
        <row r="89">
          <cell r="Q89">
            <v>79787.252676244243</v>
          </cell>
          <cell r="R89">
            <v>78035.925632793238</v>
          </cell>
        </row>
      </sheetData>
      <sheetData sheetId="9">
        <row r="2">
          <cell r="N2">
            <v>16000</v>
          </cell>
        </row>
        <row r="5">
          <cell r="T5">
            <v>16000</v>
          </cell>
          <cell r="U5">
            <v>12327</v>
          </cell>
        </row>
        <row r="9">
          <cell r="E9">
            <v>263</v>
          </cell>
          <cell r="F9">
            <v>248.67447346600332</v>
          </cell>
          <cell r="G9">
            <v>100000</v>
          </cell>
          <cell r="H9">
            <v>100000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</v>
          </cell>
          <cell r="F12">
            <v>73.227616086235543</v>
          </cell>
          <cell r="G12">
            <v>63800</v>
          </cell>
          <cell r="H12">
            <v>61995.13081414684</v>
          </cell>
        </row>
        <row r="13">
          <cell r="E13">
            <v>35</v>
          </cell>
          <cell r="F13">
            <v>32.289893034825852</v>
          </cell>
          <cell r="G13">
            <v>47600</v>
          </cell>
          <cell r="H13">
            <v>45057.635134817647</v>
          </cell>
        </row>
        <row r="14">
          <cell r="E14">
            <v>0</v>
          </cell>
          <cell r="F14">
            <v>0</v>
          </cell>
        </row>
        <row r="15">
          <cell r="E15">
            <v>343</v>
          </cell>
          <cell r="F15">
            <v>354.19198258706473</v>
          </cell>
        </row>
        <row r="16">
          <cell r="E16">
            <v>810</v>
          </cell>
          <cell r="F16">
            <v>713.23548922056352</v>
          </cell>
          <cell r="G16">
            <v>14600</v>
          </cell>
          <cell r="H16">
            <v>14591.028085407173</v>
          </cell>
        </row>
        <row r="17">
          <cell r="E17">
            <v>955</v>
          </cell>
          <cell r="F17">
            <v>987.21434494195751</v>
          </cell>
          <cell r="G17">
            <v>14148.064457890967</v>
          </cell>
          <cell r="H17">
            <v>14184.126146867004</v>
          </cell>
        </row>
        <row r="19">
          <cell r="E19">
            <v>2.8</v>
          </cell>
          <cell r="F19">
            <v>2.7323714759535664</v>
          </cell>
        </row>
        <row r="20">
          <cell r="Q20">
            <v>58424.401557285877</v>
          </cell>
          <cell r="R20">
            <v>57737.511608623558</v>
          </cell>
        </row>
        <row r="21">
          <cell r="Q21">
            <v>18401.078114035088</v>
          </cell>
          <cell r="R21">
            <v>18541.396932006635</v>
          </cell>
        </row>
        <row r="22">
          <cell r="Q22">
            <v>65</v>
          </cell>
          <cell r="R22">
            <v>85.88515754560531</v>
          </cell>
        </row>
        <row r="50">
          <cell r="Q50">
            <v>84755.311546320969</v>
          </cell>
          <cell r="R50">
            <v>86108.360862354893</v>
          </cell>
        </row>
        <row r="56">
          <cell r="L56">
            <v>-16567.823968378652</v>
          </cell>
        </row>
        <row r="80">
          <cell r="H80">
            <v>35904.26</v>
          </cell>
          <cell r="I80">
            <v>37644.355000000003</v>
          </cell>
          <cell r="L80">
            <v>-1740.0950000000021</v>
          </cell>
        </row>
        <row r="85">
          <cell r="H85">
            <v>18531.579444444447</v>
          </cell>
          <cell r="I85">
            <v>18086.447210000002</v>
          </cell>
          <cell r="L85">
            <v>445.13223444444475</v>
          </cell>
          <cell r="Q85">
            <v>94981.396875000006</v>
          </cell>
          <cell r="R85">
            <v>96085.257199767613</v>
          </cell>
        </row>
        <row r="86">
          <cell r="H86">
            <v>109181.52581442014</v>
          </cell>
          <cell r="I86">
            <v>64832.589999999953</v>
          </cell>
          <cell r="K86">
            <v>13300.413053124901</v>
          </cell>
          <cell r="M86">
            <v>-39786.562133610889</v>
          </cell>
        </row>
        <row r="89">
          <cell r="Q89">
            <v>76890.479671320965</v>
          </cell>
          <cell r="R89">
            <v>76364.793698175796</v>
          </cell>
        </row>
      </sheetData>
      <sheetData sheetId="10">
        <row r="2">
          <cell r="N2">
            <v>21000</v>
          </cell>
        </row>
        <row r="5">
          <cell r="T5">
            <v>21000</v>
          </cell>
          <cell r="U5">
            <v>20499</v>
          </cell>
        </row>
        <row r="9">
          <cell r="E9">
            <v>194.01760000000002</v>
          </cell>
          <cell r="F9">
            <v>185.69816764892116</v>
          </cell>
          <cell r="G9">
            <v>100000.00000000001</v>
          </cell>
          <cell r="H9">
            <v>100000.00052458062</v>
          </cell>
        </row>
        <row r="10">
          <cell r="E10">
            <v>155.97493333333338</v>
          </cell>
          <cell r="F10">
            <v>169.64678193950613</v>
          </cell>
          <cell r="G10">
            <v>92900</v>
          </cell>
          <cell r="H10">
            <v>93089.132342373574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30.434133333333335</v>
          </cell>
          <cell r="F13">
            <v>27.786181384248231</v>
          </cell>
          <cell r="G13">
            <v>36499.999999999993</v>
          </cell>
          <cell r="H13">
            <v>35334.296537137794</v>
          </cell>
        </row>
        <row r="14">
          <cell r="E14">
            <v>0</v>
          </cell>
          <cell r="F14">
            <v>0</v>
          </cell>
        </row>
        <row r="15">
          <cell r="E15">
            <v>380.42666666666673</v>
          </cell>
          <cell r="F15">
            <v>383.13113097267552</v>
          </cell>
        </row>
        <row r="16">
          <cell r="E16">
            <v>820</v>
          </cell>
          <cell r="F16">
            <v>907.77945545760053</v>
          </cell>
          <cell r="G16">
            <v>11711.806666666667</v>
          </cell>
          <cell r="H16">
            <v>14511.753110107411</v>
          </cell>
        </row>
        <row r="17">
          <cell r="E17">
            <v>900</v>
          </cell>
          <cell r="F17">
            <v>812.25707466757649</v>
          </cell>
          <cell r="G17">
            <v>18098.229077374239</v>
          </cell>
          <cell r="H17">
            <v>19230.081642076086</v>
          </cell>
        </row>
        <row r="19">
          <cell r="E19">
            <v>3.4280246933333332</v>
          </cell>
          <cell r="F19">
            <v>2.6736427840826065</v>
          </cell>
        </row>
        <row r="20">
          <cell r="Q20">
            <v>64020.529103503497</v>
          </cell>
          <cell r="R20">
            <v>66659.795528712668</v>
          </cell>
        </row>
        <row r="21">
          <cell r="Q21">
            <v>20067.79277777778</v>
          </cell>
          <cell r="R21">
            <v>19510.10072573182</v>
          </cell>
        </row>
        <row r="22">
          <cell r="Q22">
            <v>95.238095238095227</v>
          </cell>
          <cell r="R22">
            <v>0</v>
          </cell>
        </row>
        <row r="50">
          <cell r="Q50">
            <v>91988.291703755385</v>
          </cell>
          <cell r="R50">
            <v>93740.018508596753</v>
          </cell>
        </row>
        <row r="56">
          <cell r="L56">
            <v>20514.439115281544</v>
          </cell>
        </row>
        <row r="80">
          <cell r="H80">
            <v>45150.44</v>
          </cell>
          <cell r="I80">
            <v>54240.042000000001</v>
          </cell>
          <cell r="L80">
            <v>-9089.6020000000008</v>
          </cell>
        </row>
        <row r="85">
          <cell r="H85">
            <v>47830.808777777776</v>
          </cell>
          <cell r="I85">
            <v>104919.11348</v>
          </cell>
          <cell r="L85">
            <v>-57088.304702222224</v>
          </cell>
          <cell r="Q85">
            <v>107699.57557238096</v>
          </cell>
          <cell r="R85">
            <v>104240.42636226157</v>
          </cell>
        </row>
        <row r="86">
          <cell r="H86">
            <v>236955.71246335923</v>
          </cell>
          <cell r="I86">
            <v>112511.79200000007</v>
          </cell>
          <cell r="K86">
            <v>-70909.099658237319</v>
          </cell>
          <cell r="M86">
            <v>-7871.3532181814153</v>
          </cell>
        </row>
        <row r="89">
          <cell r="Q89">
            <v>84183.559976519362</v>
          </cell>
          <cell r="R89">
            <v>86169.896254444495</v>
          </cell>
        </row>
      </sheetData>
      <sheetData sheetId="11">
        <row r="2">
          <cell r="N2">
            <v>22000</v>
          </cell>
        </row>
        <row r="5">
          <cell r="T5">
            <v>22000</v>
          </cell>
          <cell r="U5">
            <v>19392</v>
          </cell>
        </row>
        <row r="9">
          <cell r="E9">
            <v>249</v>
          </cell>
          <cell r="F9">
            <v>221.00462627969409</v>
          </cell>
          <cell r="G9">
            <v>100000</v>
          </cell>
          <cell r="H9">
            <v>103046.08302030267</v>
          </cell>
        </row>
        <row r="10">
          <cell r="E10">
            <v>47</v>
          </cell>
          <cell r="F10">
            <v>62.862992247291501</v>
          </cell>
          <cell r="G10">
            <v>92100</v>
          </cell>
          <cell r="H10">
            <v>92100.004843749659</v>
          </cell>
        </row>
        <row r="11">
          <cell r="E11">
            <v>0</v>
          </cell>
          <cell r="F11">
            <v>0</v>
          </cell>
        </row>
        <row r="12">
          <cell r="E12">
            <v>48</v>
          </cell>
          <cell r="F12">
            <v>35.184030911440239</v>
          </cell>
          <cell r="G12">
            <v>65000</v>
          </cell>
          <cell r="H12">
            <v>63115.854110100503</v>
          </cell>
        </row>
        <row r="13">
          <cell r="E13">
            <v>35</v>
          </cell>
          <cell r="F13">
            <v>36.639179505019342</v>
          </cell>
          <cell r="G13">
            <v>35300</v>
          </cell>
          <cell r="H13">
            <v>33341.047097269438</v>
          </cell>
        </row>
        <row r="14">
          <cell r="E14">
            <v>0</v>
          </cell>
          <cell r="F14">
            <v>0</v>
          </cell>
        </row>
        <row r="15">
          <cell r="E15">
            <v>379</v>
          </cell>
          <cell r="F15">
            <v>355.69082894344518</v>
          </cell>
        </row>
        <row r="16">
          <cell r="E16">
            <v>817</v>
          </cell>
          <cell r="F16">
            <v>825.21618129410649</v>
          </cell>
          <cell r="G16">
            <v>11333.333333333334</v>
          </cell>
          <cell r="H16">
            <v>11262.716290274007</v>
          </cell>
        </row>
        <row r="17">
          <cell r="E17">
            <v>906.05</v>
          </cell>
          <cell r="F17">
            <v>904.90015902991797</v>
          </cell>
          <cell r="G17">
            <v>17728.314895193165</v>
          </cell>
          <cell r="H17">
            <v>18288.465033255798</v>
          </cell>
        </row>
        <row r="19">
          <cell r="E19">
            <v>3.2</v>
          </cell>
          <cell r="F19">
            <v>3.1409800218666133</v>
          </cell>
        </row>
        <row r="20">
          <cell r="Q20">
            <v>61712.273044123096</v>
          </cell>
          <cell r="R20">
            <v>60348.672050492001</v>
          </cell>
        </row>
        <row r="21">
          <cell r="Q21">
            <v>17079.808077003701</v>
          </cell>
          <cell r="R21">
            <v>16747.359954278898</v>
          </cell>
        </row>
        <row r="22">
          <cell r="Q22">
            <v>136.36363636363635</v>
          </cell>
          <cell r="R22">
            <v>231.42590199781336</v>
          </cell>
        </row>
        <row r="50">
          <cell r="Q50">
            <v>86264.984151429831</v>
          </cell>
          <cell r="R50">
            <v>85126.262697544982</v>
          </cell>
        </row>
        <row r="56">
          <cell r="L56">
            <v>21684.599924527036</v>
          </cell>
        </row>
        <row r="80">
          <cell r="H80">
            <v>47473.14</v>
          </cell>
          <cell r="I80">
            <v>50332.964999999997</v>
          </cell>
          <cell r="L80">
            <v>-2859.8249999999994</v>
          </cell>
        </row>
        <row r="85">
          <cell r="H85">
            <v>28977.950777777776</v>
          </cell>
          <cell r="I85">
            <v>37853.496259999993</v>
          </cell>
          <cell r="L85">
            <v>-8875.5454822222164</v>
          </cell>
          <cell r="Q85">
            <v>99300.043090909123</v>
          </cell>
          <cell r="R85">
            <v>97731.982260726072</v>
          </cell>
        </row>
        <row r="86">
          <cell r="H86">
            <v>210320.20589076664</v>
          </cell>
          <cell r="I86">
            <v>155866.166</v>
          </cell>
          <cell r="K86">
            <v>-30407.835618909721</v>
          </cell>
          <cell r="M86">
            <v>-33995.433714161976</v>
          </cell>
        </row>
        <row r="89">
          <cell r="Q89">
            <v>78928.444757490433</v>
          </cell>
          <cell r="R89">
            <v>77327.457906768715</v>
          </cell>
        </row>
      </sheetData>
      <sheetData sheetId="12">
        <row r="2">
          <cell r="N2">
            <v>15000</v>
          </cell>
        </row>
        <row r="5">
          <cell r="T5">
            <v>15000</v>
          </cell>
          <cell r="U5">
            <v>11975</v>
          </cell>
        </row>
        <row r="9">
          <cell r="E9">
            <v>159.80000000000001</v>
          </cell>
          <cell r="F9">
            <v>136.36203990944918</v>
          </cell>
          <cell r="G9">
            <v>100000</v>
          </cell>
          <cell r="H9">
            <v>99999.999999999985</v>
          </cell>
        </row>
        <row r="10">
          <cell r="E10">
            <v>146.19999999999999</v>
          </cell>
          <cell r="F10">
            <v>181.1352452418881</v>
          </cell>
          <cell r="G10">
            <v>92100</v>
          </cell>
          <cell r="H10">
            <v>92099.998867339455</v>
          </cell>
        </row>
        <row r="11">
          <cell r="E11">
            <v>0</v>
          </cell>
          <cell r="F11">
            <v>0</v>
          </cell>
        </row>
        <row r="12">
          <cell r="E12">
            <v>13.6</v>
          </cell>
          <cell r="F12">
            <v>9.7367359771945985</v>
          </cell>
          <cell r="G12">
            <v>64000</v>
          </cell>
          <cell r="H12">
            <v>62793.316630794536</v>
          </cell>
        </row>
        <row r="13">
          <cell r="E13">
            <v>20.400000000000002</v>
          </cell>
          <cell r="F13">
            <v>35.765918504234136</v>
          </cell>
          <cell r="G13">
            <v>35000</v>
          </cell>
          <cell r="H13">
            <v>33676.900688126283</v>
          </cell>
        </row>
        <row r="14">
          <cell r="E14">
            <v>0</v>
          </cell>
          <cell r="F14">
            <v>0</v>
          </cell>
        </row>
        <row r="15">
          <cell r="E15">
            <v>340</v>
          </cell>
          <cell r="F15">
            <v>362.99993963276603</v>
          </cell>
        </row>
        <row r="16">
          <cell r="E16">
            <v>770</v>
          </cell>
          <cell r="F16">
            <v>796.34442860736215</v>
          </cell>
          <cell r="G16">
            <v>9066.6666666666661</v>
          </cell>
          <cell r="H16">
            <v>9106.2545799115542</v>
          </cell>
        </row>
        <row r="17">
          <cell r="E17">
            <v>950</v>
          </cell>
          <cell r="F17">
            <v>877.81504150247406</v>
          </cell>
          <cell r="G17">
            <v>15626.218829274856</v>
          </cell>
          <cell r="H17">
            <v>16043.391405675411</v>
          </cell>
        </row>
        <row r="19">
          <cell r="E19">
            <v>3.3</v>
          </cell>
          <cell r="F19">
            <v>3.253085436404799</v>
          </cell>
        </row>
        <row r="20">
          <cell r="Q20">
            <v>55825.661221144444</v>
          </cell>
          <cell r="R20">
            <v>56317.352393728514</v>
          </cell>
        </row>
        <row r="21">
          <cell r="Q21">
            <v>19799.310467836258</v>
          </cell>
          <cell r="R21">
            <v>18737.226377127528</v>
          </cell>
        </row>
        <row r="22">
          <cell r="Q22">
            <v>333.33333333333331</v>
          </cell>
          <cell r="R22">
            <v>363.25194935859815</v>
          </cell>
        </row>
        <row r="50">
          <cell r="Q50">
            <v>82872.583911202921</v>
          </cell>
          <cell r="R50">
            <v>83483.859562337559</v>
          </cell>
        </row>
        <row r="56">
          <cell r="L56">
            <v>-3836.3981510830044</v>
          </cell>
        </row>
        <row r="80">
          <cell r="H80">
            <v>37309.67</v>
          </cell>
          <cell r="I80">
            <v>39860.15</v>
          </cell>
          <cell r="L80">
            <v>-2550.4800000000009</v>
          </cell>
        </row>
        <row r="85">
          <cell r="H85">
            <v>13693.310000000001</v>
          </cell>
          <cell r="I85">
            <v>16831.284540000001</v>
          </cell>
          <cell r="L85">
            <v>-3137.9745399999974</v>
          </cell>
          <cell r="Q85">
            <v>96299.853333333333</v>
          </cell>
          <cell r="R85">
            <v>86017.766412341749</v>
          </cell>
        </row>
        <row r="86">
          <cell r="H86">
            <v>150406.06133195618</v>
          </cell>
          <cell r="I86">
            <v>-22904.841000000088</v>
          </cell>
          <cell r="K86">
            <v>-122634.45070666661</v>
          </cell>
          <cell r="M86">
            <v>-41151.598934206762</v>
          </cell>
        </row>
        <row r="89">
          <cell r="Q89">
            <v>75958.305022314031</v>
          </cell>
          <cell r="R89">
            <v>75417.830720214639</v>
          </cell>
        </row>
      </sheetData>
      <sheetData sheetId="13">
        <row r="2">
          <cell r="N2">
            <v>20000</v>
          </cell>
        </row>
        <row r="5">
          <cell r="T5">
            <v>20000</v>
          </cell>
          <cell r="U5">
            <v>23628.5</v>
          </cell>
        </row>
        <row r="9">
          <cell r="E9">
            <v>247.45660751695999</v>
          </cell>
          <cell r="F9">
            <v>246.5402033712368</v>
          </cell>
          <cell r="G9">
            <v>100000</v>
          </cell>
          <cell r="H9">
            <v>100001.64672126735</v>
          </cell>
        </row>
        <row r="10">
          <cell r="E10">
            <v>65.503219636842346</v>
          </cell>
          <cell r="F10">
            <v>76.478938419020764</v>
          </cell>
          <cell r="G10">
            <v>92100.000000000015</v>
          </cell>
          <cell r="H10">
            <v>92100.000955539188</v>
          </cell>
        </row>
        <row r="11">
          <cell r="E11">
            <v>0</v>
          </cell>
          <cell r="F11">
            <v>0</v>
          </cell>
        </row>
        <row r="12">
          <cell r="E12">
            <v>25.47347430321647</v>
          </cell>
          <cell r="F12">
            <v>32.94120883525666</v>
          </cell>
          <cell r="G12">
            <v>62000</v>
          </cell>
          <cell r="H12">
            <v>61123.340371936174</v>
          </cell>
        </row>
        <row r="13">
          <cell r="E13">
            <v>25.47347430321647</v>
          </cell>
          <cell r="F13">
            <v>28.749947469462668</v>
          </cell>
          <cell r="G13">
            <v>35500</v>
          </cell>
          <cell r="H13">
            <v>35416.17169057524</v>
          </cell>
        </row>
        <row r="14">
          <cell r="E14">
            <v>0</v>
          </cell>
          <cell r="F14">
            <v>8.9449589671103951</v>
          </cell>
        </row>
        <row r="15">
          <cell r="E15">
            <v>363.90677576023523</v>
          </cell>
          <cell r="F15">
            <v>393.65525706208723</v>
          </cell>
        </row>
        <row r="16">
          <cell r="E16">
            <v>788.2894</v>
          </cell>
          <cell r="F16">
            <v>798.42104596949423</v>
          </cell>
          <cell r="G16">
            <v>11362.368828842131</v>
          </cell>
          <cell r="H16">
            <v>11187.914396983393</v>
          </cell>
        </row>
        <row r="17">
          <cell r="E17">
            <v>916.76077665689559</v>
          </cell>
          <cell r="F17">
            <v>921.91514946941982</v>
          </cell>
          <cell r="G17">
            <v>19360.102895055377</v>
          </cell>
          <cell r="H17">
            <v>18492.69702080336</v>
          </cell>
        </row>
        <row r="19">
          <cell r="E19">
            <v>3.0932075939620001</v>
          </cell>
          <cell r="F19">
            <v>2.5817894137254491</v>
          </cell>
        </row>
        <row r="20">
          <cell r="Q20">
            <v>62822.619506934752</v>
          </cell>
          <cell r="R20">
            <v>63335.248960992387</v>
          </cell>
        </row>
        <row r="21">
          <cell r="Q21">
            <v>19003.440000000002</v>
          </cell>
          <cell r="R21">
            <v>20268.39302968292</v>
          </cell>
        </row>
        <row r="22">
          <cell r="Q22">
            <v>200</v>
          </cell>
          <cell r="R22">
            <v>256.15134701799542</v>
          </cell>
        </row>
        <row r="50">
          <cell r="Q50">
            <v>89238.56200693475</v>
          </cell>
          <cell r="R50">
            <v>89324.062572519571</v>
          </cell>
        </row>
        <row r="56">
          <cell r="L56">
            <v>2386.8138108581597</v>
          </cell>
        </row>
        <row r="80">
          <cell r="H80">
            <v>49029.33</v>
          </cell>
          <cell r="I80">
            <v>42626.705999999998</v>
          </cell>
          <cell r="L80">
            <v>6402.6240000000107</v>
          </cell>
        </row>
        <row r="85">
          <cell r="H85">
            <v>25942.434999999998</v>
          </cell>
          <cell r="I85">
            <v>21936.23143</v>
          </cell>
          <cell r="L85">
            <v>4006.2035699999974</v>
          </cell>
          <cell r="Q85">
            <v>101999.763984</v>
          </cell>
          <cell r="R85">
            <v>103723.92238186936</v>
          </cell>
        </row>
        <row r="86">
          <cell r="H86">
            <v>180252.27454130456</v>
          </cell>
          <cell r="I86">
            <v>280091.21400000009</v>
          </cell>
          <cell r="K86">
            <v>40739.276704055992</v>
          </cell>
          <cell r="M86">
            <v>46304.021373781259</v>
          </cell>
        </row>
        <row r="89">
          <cell r="Q89">
            <v>82026.059506934747</v>
          </cell>
          <cell r="R89">
            <v>83859.793337693292</v>
          </cell>
        </row>
      </sheetData>
      <sheetData sheetId="14">
        <row r="2">
          <cell r="N2">
            <v>12000</v>
          </cell>
        </row>
        <row r="5">
          <cell r="T5">
            <v>12000</v>
          </cell>
          <cell r="U5">
            <v>6277</v>
          </cell>
        </row>
        <row r="9">
          <cell r="E9">
            <v>251.91088255979511</v>
          </cell>
          <cell r="F9">
            <v>220.66067866815359</v>
          </cell>
          <cell r="G9">
            <v>100000</v>
          </cell>
          <cell r="H9">
            <v>99981.526793246827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8.9820901704635965</v>
          </cell>
        </row>
        <row r="12">
          <cell r="E12">
            <v>62.464455383658169</v>
          </cell>
          <cell r="F12">
            <v>92.988300143380542</v>
          </cell>
          <cell r="G12">
            <v>62199.999999999993</v>
          </cell>
          <cell r="H12">
            <v>61308.640876293517</v>
          </cell>
        </row>
        <row r="13">
          <cell r="E13">
            <v>44.594451281453019</v>
          </cell>
          <cell r="F13">
            <v>36.182434283893564</v>
          </cell>
          <cell r="G13">
            <v>36000</v>
          </cell>
          <cell r="H13">
            <v>34731.645528822723</v>
          </cell>
        </row>
        <row r="14">
          <cell r="E14">
            <v>0</v>
          </cell>
          <cell r="F14">
            <v>0</v>
          </cell>
        </row>
        <row r="15">
          <cell r="E15">
            <v>358.96978922490632</v>
          </cell>
          <cell r="F15">
            <v>358.81350326589126</v>
          </cell>
        </row>
        <row r="16">
          <cell r="E16">
            <v>777.4</v>
          </cell>
          <cell r="F16">
            <v>743.55233391747606</v>
          </cell>
          <cell r="G16">
            <v>9600</v>
          </cell>
          <cell r="H16">
            <v>9435.0199409591678</v>
          </cell>
        </row>
        <row r="17">
          <cell r="E17">
            <v>879.88719000000003</v>
          </cell>
          <cell r="F17">
            <v>864.62960012744929</v>
          </cell>
          <cell r="G17">
            <v>17915.867587156481</v>
          </cell>
          <cell r="H17">
            <v>17118.406826255512</v>
          </cell>
        </row>
        <row r="19">
          <cell r="E19">
            <v>3.0420890417450366</v>
          </cell>
          <cell r="F19">
            <v>2.2563485741596314</v>
          </cell>
        </row>
        <row r="20">
          <cell r="Q20">
            <v>55998.314467211683</v>
          </cell>
          <cell r="R20">
            <v>53375.906643300943</v>
          </cell>
        </row>
        <row r="21">
          <cell r="Q21">
            <v>17618.535307017544</v>
          </cell>
          <cell r="R21">
            <v>19455.298550262865</v>
          </cell>
        </row>
        <row r="22">
          <cell r="Q22">
            <v>66.666666666666671</v>
          </cell>
          <cell r="R22">
            <v>48.910307471722163</v>
          </cell>
        </row>
        <row r="50">
          <cell r="Q50">
            <v>82245.866440895901</v>
          </cell>
          <cell r="R50">
            <v>89948.672295682656</v>
          </cell>
        </row>
        <row r="56">
          <cell r="L56">
            <v>-48288.904880496455</v>
          </cell>
        </row>
        <row r="80">
          <cell r="H80">
            <v>27160.299999999996</v>
          </cell>
          <cell r="I80">
            <v>28825.877</v>
          </cell>
          <cell r="L80">
            <v>-1665.5770000000025</v>
          </cell>
        </row>
        <row r="85">
          <cell r="H85">
            <v>11766.733666666667</v>
          </cell>
          <cell r="I85">
            <v>12606.770469999999</v>
          </cell>
          <cell r="L85">
            <v>-840.03680333333295</v>
          </cell>
          <cell r="Q85">
            <v>94455</v>
          </cell>
          <cell r="R85">
            <v>92330.9941054644</v>
          </cell>
        </row>
        <row r="86">
          <cell r="H86">
            <v>107582.56904258271</v>
          </cell>
          <cell r="I86">
            <v>-26417.205999999922</v>
          </cell>
          <cell r="K86">
            <v>-13332.384999999958</v>
          </cell>
          <cell r="M86">
            <v>-69872.871358752833</v>
          </cell>
        </row>
        <row r="89">
          <cell r="Q89">
            <v>73683.516440895895</v>
          </cell>
          <cell r="R89">
            <v>72880.115501035529</v>
          </cell>
        </row>
      </sheetData>
      <sheetData sheetId="15">
        <row r="2">
          <cell r="N2">
            <v>13000</v>
          </cell>
        </row>
        <row r="5">
          <cell r="T5">
            <v>13000</v>
          </cell>
          <cell r="U5">
            <v>12462</v>
          </cell>
        </row>
        <row r="9">
          <cell r="E9">
            <v>255.89999999999995</v>
          </cell>
          <cell r="F9">
            <v>222.14565158080552</v>
          </cell>
          <cell r="G9">
            <v>100000</v>
          </cell>
          <cell r="H9">
            <v>100000.00180611107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64.599999999999994</v>
          </cell>
          <cell r="F12">
            <v>90.298037233188921</v>
          </cell>
          <cell r="G12">
            <v>64500</v>
          </cell>
          <cell r="H12">
            <v>63034.547571713098</v>
          </cell>
        </row>
        <row r="13">
          <cell r="E13">
            <v>36.29999999999999</v>
          </cell>
          <cell r="F13">
            <v>35.367522067083947</v>
          </cell>
          <cell r="G13">
            <v>33000</v>
          </cell>
          <cell r="H13">
            <v>31764.814734228268</v>
          </cell>
        </row>
        <row r="14">
          <cell r="E14">
            <v>0</v>
          </cell>
          <cell r="F14">
            <v>0</v>
          </cell>
        </row>
        <row r="15">
          <cell r="E15">
            <v>356.79999999999995</v>
          </cell>
          <cell r="F15">
            <v>347.81121088107835</v>
          </cell>
        </row>
        <row r="16">
          <cell r="E16">
            <v>843.09999999999991</v>
          </cell>
          <cell r="F16">
            <v>800.72179425453373</v>
          </cell>
          <cell r="G16">
            <v>11000</v>
          </cell>
          <cell r="H16">
            <v>11397.847492557821</v>
          </cell>
        </row>
        <row r="17">
          <cell r="E17">
            <v>885.9</v>
          </cell>
          <cell r="F17">
            <v>920.61587225164499</v>
          </cell>
          <cell r="G17">
            <v>17410.402573201889</v>
          </cell>
          <cell r="H17">
            <v>16995.778331458594</v>
          </cell>
        </row>
        <row r="19">
          <cell r="E19">
            <v>3.08</v>
          </cell>
          <cell r="F19">
            <v>2.5920799229658167</v>
          </cell>
        </row>
        <row r="20">
          <cell r="Q20">
            <v>57809.175639599554</v>
          </cell>
          <cell r="R20">
            <v>55742.923286791854</v>
          </cell>
        </row>
        <row r="21">
          <cell r="Q21">
            <v>17991.697738679763</v>
          </cell>
          <cell r="R21">
            <v>16494.907719467181</v>
          </cell>
        </row>
        <row r="22">
          <cell r="Q22">
            <v>115.38461538461539</v>
          </cell>
          <cell r="R22">
            <v>84.175894719948644</v>
          </cell>
        </row>
        <row r="50">
          <cell r="Q50">
            <v>84523.4069824787</v>
          </cell>
          <cell r="R50">
            <v>81404.429144599591</v>
          </cell>
        </row>
        <row r="56">
          <cell r="L56">
            <v>38868.727805649563</v>
          </cell>
        </row>
        <row r="80">
          <cell r="H80">
            <v>35900.47</v>
          </cell>
          <cell r="I80">
            <v>29763.690999999999</v>
          </cell>
          <cell r="L80">
            <v>6136.7790000000068</v>
          </cell>
        </row>
        <row r="85">
          <cell r="H85">
            <v>31871.415222222218</v>
          </cell>
          <cell r="I85">
            <v>31684.601989999999</v>
          </cell>
          <cell r="L85">
            <v>186.81323222221909</v>
          </cell>
          <cell r="Q85">
            <v>100000.05975153847</v>
          </cell>
          <cell r="R85">
            <v>96479.754453538757</v>
          </cell>
        </row>
        <row r="86">
          <cell r="H86">
            <v>133424.60077555475</v>
          </cell>
          <cell r="I86">
            <v>126420.43699999992</v>
          </cell>
          <cell r="K86">
            <v>-43870.044623672453</v>
          </cell>
          <cell r="M86">
            <v>-8326.4391897541645</v>
          </cell>
        </row>
        <row r="89">
          <cell r="Q89">
            <v>75916.257993663923</v>
          </cell>
          <cell r="R89">
            <v>72322.006900978973</v>
          </cell>
        </row>
      </sheetData>
      <sheetData sheetId="16">
        <row r="2">
          <cell r="N2">
            <v>12500</v>
          </cell>
        </row>
        <row r="5">
          <cell r="T5">
            <v>12500</v>
          </cell>
          <cell r="U5">
            <v>11731.5</v>
          </cell>
        </row>
        <row r="9">
          <cell r="E9">
            <v>241.49999999999997</v>
          </cell>
          <cell r="F9">
            <v>244.29092954865121</v>
          </cell>
          <cell r="G9">
            <v>100000</v>
          </cell>
          <cell r="H9">
            <v>99999.999999999942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66.442747304266305</v>
          </cell>
          <cell r="G12">
            <v>61400</v>
          </cell>
          <cell r="H12">
            <v>60446.603743562184</v>
          </cell>
        </row>
        <row r="13">
          <cell r="E13">
            <v>34.5</v>
          </cell>
          <cell r="F13">
            <v>37.346472318117897</v>
          </cell>
          <cell r="G13">
            <v>35300</v>
          </cell>
          <cell r="H13">
            <v>34441.02476036</v>
          </cell>
        </row>
        <row r="14">
          <cell r="E14">
            <v>0</v>
          </cell>
          <cell r="F14">
            <v>0</v>
          </cell>
        </row>
        <row r="15">
          <cell r="E15">
            <v>345</v>
          </cell>
          <cell r="F15">
            <v>348.08014917103537</v>
          </cell>
        </row>
        <row r="16">
          <cell r="E16">
            <v>734.13912938816463</v>
          </cell>
          <cell r="F16">
            <v>693.22720879682879</v>
          </cell>
          <cell r="G16">
            <v>11133.333333333332</v>
          </cell>
          <cell r="H16">
            <v>11133.302838761801</v>
          </cell>
        </row>
        <row r="17">
          <cell r="E17">
            <v>973.16117151454341</v>
          </cell>
          <cell r="F17">
            <v>962.09223032007878</v>
          </cell>
          <cell r="G17">
            <v>14763.292547274748</v>
          </cell>
          <cell r="H17">
            <v>14700.068708671244</v>
          </cell>
        </row>
        <row r="19">
          <cell r="E19">
            <v>3.105</v>
          </cell>
          <cell r="F19">
            <v>2.8223287729616864</v>
          </cell>
        </row>
        <row r="20">
          <cell r="Q20">
            <v>54318.428711239387</v>
          </cell>
          <cell r="R20">
            <v>53501.488300728801</v>
          </cell>
        </row>
        <row r="21">
          <cell r="Q21">
            <v>18261.004315789476</v>
          </cell>
          <cell r="R21">
            <v>18463.936240037507</v>
          </cell>
        </row>
        <row r="22">
          <cell r="Q22">
            <v>384</v>
          </cell>
          <cell r="R22">
            <v>283.44883433491032</v>
          </cell>
        </row>
        <row r="50">
          <cell r="Q50">
            <v>83567.144760362193</v>
          </cell>
          <cell r="R50">
            <v>82121.647444913266</v>
          </cell>
        </row>
        <row r="56">
          <cell r="L56">
            <v>16957.832706188845</v>
          </cell>
        </row>
        <row r="80">
          <cell r="H80">
            <v>36460.270000000004</v>
          </cell>
          <cell r="I80">
            <v>28524.932000000001</v>
          </cell>
          <cell r="L80">
            <v>7935.3380000000006</v>
          </cell>
        </row>
        <row r="85">
          <cell r="H85">
            <v>16308.458214248671</v>
          </cell>
          <cell r="I85">
            <v>15590.675950000001</v>
          </cell>
          <cell r="L85">
            <v>717.78226424867</v>
          </cell>
          <cell r="Q85">
            <v>97688.007999999987</v>
          </cell>
          <cell r="R85">
            <v>90203.678131526234</v>
          </cell>
        </row>
        <row r="86">
          <cell r="H86">
            <v>123742.0622812238</v>
          </cell>
          <cell r="I86">
            <v>50698.715999999986</v>
          </cell>
          <cell r="K86">
            <v>-87802.415851999831</v>
          </cell>
          <cell r="M86">
            <v>-10851.883399661652</v>
          </cell>
        </row>
        <row r="89">
          <cell r="Q89">
            <v>72963.433027028863</v>
          </cell>
          <cell r="R89">
            <v>72248.873375101219</v>
          </cell>
        </row>
      </sheetData>
      <sheetData sheetId="17">
        <row r="2">
          <cell r="N2">
            <v>13000</v>
          </cell>
        </row>
        <row r="5">
          <cell r="T5">
            <v>13000</v>
          </cell>
          <cell r="U5">
            <v>13906</v>
          </cell>
        </row>
        <row r="9">
          <cell r="E9">
            <v>254</v>
          </cell>
          <cell r="F9">
            <v>246.64564161517461</v>
          </cell>
          <cell r="G9">
            <v>100000</v>
          </cell>
          <cell r="H9">
            <v>99999.999999999985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69</v>
          </cell>
          <cell r="F12">
            <v>82.989369880729981</v>
          </cell>
          <cell r="G12">
            <v>60200</v>
          </cell>
          <cell r="H12">
            <v>59398.042181954574</v>
          </cell>
        </row>
        <row r="13">
          <cell r="E13">
            <v>39.900000000000006</v>
          </cell>
          <cell r="F13">
            <v>51.325875125736438</v>
          </cell>
          <cell r="G13">
            <v>37000</v>
          </cell>
          <cell r="H13">
            <v>35895.448014374626</v>
          </cell>
        </row>
        <row r="14">
          <cell r="E14">
            <v>0</v>
          </cell>
          <cell r="F14">
            <v>0</v>
          </cell>
        </row>
        <row r="15">
          <cell r="E15">
            <v>362.9</v>
          </cell>
          <cell r="F15">
            <v>380.96088662164101</v>
          </cell>
        </row>
        <row r="16">
          <cell r="E16">
            <v>799</v>
          </cell>
          <cell r="F16">
            <v>788.17236671935621</v>
          </cell>
          <cell r="G16">
            <v>11533.333333333332</v>
          </cell>
          <cell r="H16">
            <v>12365.340681761891</v>
          </cell>
        </row>
        <row r="17">
          <cell r="E17">
            <v>901</v>
          </cell>
          <cell r="F17">
            <v>874.04210375053879</v>
          </cell>
          <cell r="G17">
            <v>19459.84427141268</v>
          </cell>
          <cell r="H17">
            <v>20039.882636282466</v>
          </cell>
        </row>
        <row r="19">
          <cell r="E19">
            <v>3.27</v>
          </cell>
          <cell r="F19">
            <v>3.0480421037505399</v>
          </cell>
        </row>
        <row r="20">
          <cell r="Q20">
            <v>60721.553021876156</v>
          </cell>
          <cell r="R20">
            <v>60927.637160511564</v>
          </cell>
        </row>
        <row r="21">
          <cell r="Q21">
            <v>20872.471881326557</v>
          </cell>
          <cell r="R21">
            <v>19534.124730564734</v>
          </cell>
        </row>
        <row r="22">
          <cell r="Q22">
            <v>280</v>
          </cell>
          <cell r="R22">
            <v>231.19816065526655</v>
          </cell>
        </row>
        <row r="50">
          <cell r="Q50">
            <v>89226.638680843287</v>
          </cell>
          <cell r="R50">
            <v>88145.766130191099</v>
          </cell>
        </row>
        <row r="56">
          <cell r="L56">
            <v>14989.442675806855</v>
          </cell>
        </row>
        <row r="80">
          <cell r="H80">
            <v>35711.71</v>
          </cell>
          <cell r="I80">
            <v>23944.023000000001</v>
          </cell>
          <cell r="L80">
            <v>11767.686999999998</v>
          </cell>
        </row>
        <row r="85">
          <cell r="H85">
            <v>15437.812055282729</v>
          </cell>
          <cell r="I85">
            <v>15225.626179999999</v>
          </cell>
          <cell r="L85">
            <v>212.18587528272974</v>
          </cell>
          <cell r="Q85">
            <v>102006</v>
          </cell>
          <cell r="R85">
            <v>103542.84481518769</v>
          </cell>
        </row>
        <row r="86">
          <cell r="H86">
            <v>114982.17509375443</v>
          </cell>
          <cell r="I86">
            <v>174900.95600000021</v>
          </cell>
          <cell r="K86">
            <v>21371.364000000081</v>
          </cell>
          <cell r="M86">
            <v>11578.101355155974</v>
          </cell>
        </row>
        <row r="89">
          <cell r="Q89">
            <v>81874.02490320272</v>
          </cell>
          <cell r="R89">
            <v>80692.96005173157</v>
          </cell>
        </row>
      </sheetData>
      <sheetData sheetId="18">
        <row r="2">
          <cell r="N2">
            <v>25000</v>
          </cell>
        </row>
        <row r="5">
          <cell r="T5">
            <v>25000</v>
          </cell>
          <cell r="U5">
            <v>23173</v>
          </cell>
        </row>
        <row r="9">
          <cell r="E9">
            <v>272.16799999999995</v>
          </cell>
          <cell r="F9">
            <v>290.38147562184753</v>
          </cell>
          <cell r="G9">
            <v>100000</v>
          </cell>
          <cell r="H9">
            <v>99821.590746654227</v>
          </cell>
        </row>
        <row r="10">
          <cell r="E10">
            <v>34.06</v>
          </cell>
          <cell r="F10">
            <v>8.949605983532356</v>
          </cell>
          <cell r="G10">
            <v>86800</v>
          </cell>
          <cell r="H10">
            <v>86600.01316930243</v>
          </cell>
        </row>
        <row r="11">
          <cell r="E11">
            <v>0</v>
          </cell>
          <cell r="F11">
            <v>0</v>
          </cell>
        </row>
        <row r="12">
          <cell r="E12">
            <v>39.052</v>
          </cell>
          <cell r="F12">
            <v>45.271159201620904</v>
          </cell>
          <cell r="G12">
            <v>64300</v>
          </cell>
          <cell r="H12">
            <v>62526.024251580049</v>
          </cell>
        </row>
        <row r="13">
          <cell r="E13">
            <v>39.052</v>
          </cell>
          <cell r="F13">
            <v>31.690049575376133</v>
          </cell>
          <cell r="G13">
            <v>42900</v>
          </cell>
          <cell r="H13">
            <v>41549.410943128714</v>
          </cell>
        </row>
        <row r="14">
          <cell r="E14">
            <v>0</v>
          </cell>
          <cell r="F14">
            <v>0</v>
          </cell>
        </row>
        <row r="15">
          <cell r="E15">
            <v>384.33199999999999</v>
          </cell>
          <cell r="F15">
            <v>376.2922903823769</v>
          </cell>
        </row>
        <row r="16">
          <cell r="E16">
            <v>870</v>
          </cell>
          <cell r="F16">
            <v>786.08313794887238</v>
          </cell>
          <cell r="G16">
            <v>11400</v>
          </cell>
          <cell r="H16">
            <v>10948.478810941309</v>
          </cell>
        </row>
        <row r="17">
          <cell r="E17">
            <v>867</v>
          </cell>
          <cell r="F17">
            <v>948.12432642152089</v>
          </cell>
          <cell r="G17">
            <v>13225.806451612903</v>
          </cell>
          <cell r="H17">
            <v>12715.193574142331</v>
          </cell>
        </row>
        <row r="19">
          <cell r="E19">
            <v>2.8</v>
          </cell>
          <cell r="F19">
            <v>3.1157067724274694</v>
          </cell>
        </row>
        <row r="20">
          <cell r="Q20">
            <v>58124.356593548386</v>
          </cell>
          <cell r="R20">
            <v>57645.157563478038</v>
          </cell>
        </row>
        <row r="21">
          <cell r="Q21">
            <v>20311.186663829791</v>
          </cell>
          <cell r="R21">
            <v>19386.510453938008</v>
          </cell>
        </row>
        <row r="22">
          <cell r="Q22">
            <v>100</v>
          </cell>
          <cell r="R22">
            <v>190.48458852437815</v>
          </cell>
        </row>
        <row r="50">
          <cell r="Q50">
            <v>85042.561570079852</v>
          </cell>
          <cell r="R50">
            <v>83980.341595896025</v>
          </cell>
        </row>
        <row r="56">
          <cell r="L56">
            <v>24589.741343460093</v>
          </cell>
        </row>
        <row r="80">
          <cell r="H80">
            <v>44608.639999999999</v>
          </cell>
          <cell r="I80">
            <v>50944.065999999999</v>
          </cell>
          <cell r="L80">
            <v>-6335.4259999999949</v>
          </cell>
        </row>
        <row r="85">
          <cell r="H85">
            <v>36801.933444444439</v>
          </cell>
          <cell r="I85">
            <v>36262.857079999994</v>
          </cell>
          <cell r="L85">
            <v>539.07636444444279</v>
          </cell>
          <cell r="Q85">
            <v>103000</v>
          </cell>
          <cell r="R85">
            <v>95394.729642256061</v>
          </cell>
        </row>
        <row r="86">
          <cell r="H86">
            <v>367525.38730355934</v>
          </cell>
          <cell r="I86">
            <v>177273.60899999982</v>
          </cell>
          <cell r="K86">
            <v>-176236.93000000028</v>
          </cell>
          <cell r="M86">
            <v>-32808.240011464106</v>
          </cell>
        </row>
        <row r="89">
          <cell r="Q89">
            <v>78535.543257378173</v>
          </cell>
          <cell r="R89">
            <v>77222.152605940428</v>
          </cell>
        </row>
      </sheetData>
      <sheetData sheetId="19">
        <row r="2">
          <cell r="N2">
            <v>11000</v>
          </cell>
        </row>
        <row r="5">
          <cell r="T5">
            <v>11000</v>
          </cell>
          <cell r="U5">
            <v>17106</v>
          </cell>
        </row>
        <row r="9">
          <cell r="E9">
            <v>223.2</v>
          </cell>
          <cell r="F9">
            <v>290.8451319226366</v>
          </cell>
          <cell r="G9">
            <v>100000</v>
          </cell>
          <cell r="H9">
            <v>99999.941674876667</v>
          </cell>
        </row>
        <row r="10">
          <cell r="E10">
            <v>31.62</v>
          </cell>
          <cell r="F10">
            <v>12.69920640976726</v>
          </cell>
          <cell r="G10">
            <v>96800.000000000015</v>
          </cell>
          <cell r="H10">
            <v>97493.261267400812</v>
          </cell>
        </row>
        <row r="11">
          <cell r="E11">
            <v>0</v>
          </cell>
          <cell r="F11">
            <v>0</v>
          </cell>
        </row>
        <row r="12">
          <cell r="E12">
            <v>53.8</v>
          </cell>
          <cell r="F12">
            <v>38.658825462976552</v>
          </cell>
          <cell r="G12">
            <v>65000</v>
          </cell>
          <cell r="H12">
            <v>63395.173977334249</v>
          </cell>
        </row>
        <row r="13">
          <cell r="E13">
            <v>25.890000000000004</v>
          </cell>
          <cell r="F13">
            <v>17.289705045050336</v>
          </cell>
          <cell r="G13">
            <v>36000</v>
          </cell>
          <cell r="H13">
            <v>34900.514353702303</v>
          </cell>
        </row>
        <row r="14">
          <cell r="E14">
            <v>0</v>
          </cell>
          <cell r="F14">
            <v>0</v>
          </cell>
        </row>
        <row r="15">
          <cell r="E15">
            <v>334.51</v>
          </cell>
          <cell r="F15">
            <v>359.49286884043073</v>
          </cell>
        </row>
        <row r="16">
          <cell r="E16">
            <v>740.45</v>
          </cell>
          <cell r="F16">
            <v>615.01775599448263</v>
          </cell>
          <cell r="G16">
            <v>13333.333333333334</v>
          </cell>
          <cell r="H16">
            <v>14564.904488081884</v>
          </cell>
        </row>
        <row r="17">
          <cell r="E17">
            <v>991.51</v>
          </cell>
          <cell r="F17">
            <v>1095.1175417485988</v>
          </cell>
          <cell r="G17">
            <v>15310.021459274893</v>
          </cell>
          <cell r="H17">
            <v>15420.579333085705</v>
          </cell>
        </row>
        <row r="19">
          <cell r="E19">
            <v>2.25</v>
          </cell>
          <cell r="F19">
            <v>1.943315821911777</v>
          </cell>
        </row>
        <row r="20">
          <cell r="Q20">
            <v>56367.812043752318</v>
          </cell>
          <cell r="R20">
            <v>61111.499427699353</v>
          </cell>
        </row>
        <row r="21">
          <cell r="Q21">
            <v>16223.999471308833</v>
          </cell>
          <cell r="R21">
            <v>14767.506412702138</v>
          </cell>
        </row>
        <row r="22">
          <cell r="Q22">
            <v>272.72727272727269</v>
          </cell>
          <cell r="R22">
            <v>257.60590496874357</v>
          </cell>
        </row>
        <row r="50">
          <cell r="Q50">
            <v>82124.616060515691</v>
          </cell>
          <cell r="R50">
            <v>82374.939864408763</v>
          </cell>
        </row>
        <row r="56">
          <cell r="L56">
            <v>-4179.2787113876439</v>
          </cell>
        </row>
        <row r="80">
          <cell r="H80">
            <v>28917.809999999998</v>
          </cell>
          <cell r="I80">
            <v>32428.981</v>
          </cell>
          <cell r="L80">
            <v>-3511.1710000000048</v>
          </cell>
        </row>
        <row r="85">
          <cell r="H85">
            <v>21567.803333333333</v>
          </cell>
          <cell r="I85">
            <v>21365.849469999997</v>
          </cell>
          <cell r="L85">
            <v>201.95386333333374</v>
          </cell>
          <cell r="Q85">
            <v>97059.107272727284</v>
          </cell>
          <cell r="R85">
            <v>98858.360001174355</v>
          </cell>
        </row>
        <row r="86">
          <cell r="H86">
            <v>113793.7900009943</v>
          </cell>
          <cell r="I86">
            <v>227348.31699999998</v>
          </cell>
          <cell r="K86">
            <v>30642.173591817838</v>
          </cell>
          <cell r="M86">
            <v>90400.849255242094</v>
          </cell>
        </row>
        <row r="89">
          <cell r="Q89">
            <v>72864.538787788435</v>
          </cell>
          <cell r="R89">
            <v>76136.611745370232</v>
          </cell>
        </row>
      </sheetData>
      <sheetData sheetId="20">
        <row r="2">
          <cell r="N2">
            <v>8000</v>
          </cell>
        </row>
        <row r="5">
          <cell r="T5">
            <v>8000</v>
          </cell>
          <cell r="U5">
            <v>7043</v>
          </cell>
        </row>
        <row r="9">
          <cell r="E9">
            <v>260.2</v>
          </cell>
          <cell r="F9">
            <v>229.9105537413034</v>
          </cell>
          <cell r="G9">
            <v>100000</v>
          </cell>
          <cell r="H9">
            <v>100000</v>
          </cell>
        </row>
        <row r="10">
          <cell r="E10">
            <v>2.7</v>
          </cell>
          <cell r="F10">
            <v>0</v>
          </cell>
          <cell r="G10">
            <v>94200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67.099999999999994</v>
          </cell>
          <cell r="F12">
            <v>76.791144398693717</v>
          </cell>
          <cell r="G12">
            <v>64900.000000000007</v>
          </cell>
          <cell r="H12">
            <v>63505.19579699012</v>
          </cell>
        </row>
        <row r="13">
          <cell r="E13">
            <v>18.899999999999999</v>
          </cell>
          <cell r="F13">
            <v>20.856244498083189</v>
          </cell>
          <cell r="G13">
            <v>39300.000000000007</v>
          </cell>
          <cell r="H13">
            <v>36407.295963871897</v>
          </cell>
        </row>
        <row r="14">
          <cell r="E14">
            <v>0</v>
          </cell>
          <cell r="F14">
            <v>0</v>
          </cell>
        </row>
        <row r="15">
          <cell r="E15">
            <v>348.9</v>
          </cell>
          <cell r="F15">
            <v>327.55794263808031</v>
          </cell>
        </row>
        <row r="16">
          <cell r="E16">
            <v>810</v>
          </cell>
          <cell r="F16">
            <v>878.00937100667284</v>
          </cell>
          <cell r="G16">
            <v>14200</v>
          </cell>
          <cell r="H16">
            <v>14741.112613239073</v>
          </cell>
        </row>
        <row r="17">
          <cell r="E17">
            <v>905</v>
          </cell>
          <cell r="F17">
            <v>780.04969473235838</v>
          </cell>
          <cell r="G17">
            <v>15212.903225806449</v>
          </cell>
          <cell r="H17">
            <v>15426.235144860926</v>
          </cell>
        </row>
        <row r="19">
          <cell r="E19">
            <v>2.79</v>
          </cell>
          <cell r="F19">
            <v>2.5748473661791853</v>
          </cell>
        </row>
        <row r="20">
          <cell r="Q20">
            <v>58650.377419354845</v>
          </cell>
          <cell r="R20">
            <v>55482.440153343756</v>
          </cell>
        </row>
        <row r="21">
          <cell r="Q21">
            <v>13604.848014032073</v>
          </cell>
          <cell r="R21">
            <v>13856.719295754649</v>
          </cell>
        </row>
        <row r="22">
          <cell r="Q22">
            <v>56.25</v>
          </cell>
          <cell r="R22">
            <v>48.702399545648163</v>
          </cell>
        </row>
        <row r="50">
          <cell r="Q50">
            <v>79671.691683386918</v>
          </cell>
          <cell r="R50">
            <v>78680.620900184585</v>
          </cell>
        </row>
        <row r="56">
          <cell r="L56">
            <v>6980.1116760939558</v>
          </cell>
        </row>
        <row r="80">
          <cell r="H80">
            <v>10981.019999999999</v>
          </cell>
          <cell r="I80">
            <v>11673.427</v>
          </cell>
          <cell r="L80">
            <v>-692.40700000000083</v>
          </cell>
        </row>
        <row r="85">
          <cell r="H85">
            <v>11466.620777777778</v>
          </cell>
          <cell r="I85">
            <v>11124.040150000001</v>
          </cell>
          <cell r="L85">
            <v>342.58062777777741</v>
          </cell>
          <cell r="Q85">
            <v>109866.51550000001</v>
          </cell>
          <cell r="R85">
            <v>106616.03720005679</v>
          </cell>
        </row>
        <row r="86">
          <cell r="H86">
            <v>219110.94975512708</v>
          </cell>
          <cell r="I86">
            <v>173951.66999999998</v>
          </cell>
          <cell r="K86">
            <v>-22893.118666500108</v>
          </cell>
          <cell r="M86">
            <v>-28896.44639249875</v>
          </cell>
        </row>
        <row r="89">
          <cell r="Q89">
            <v>72311.47543338692</v>
          </cell>
          <cell r="R89">
            <v>69387.861848644054</v>
          </cell>
        </row>
      </sheetData>
      <sheetData sheetId="21">
        <row r="2">
          <cell r="N2">
            <v>5000</v>
          </cell>
        </row>
        <row r="5">
          <cell r="T5">
            <v>5000</v>
          </cell>
          <cell r="U5">
            <v>2568.5</v>
          </cell>
        </row>
        <row r="9">
          <cell r="E9">
            <v>267.5</v>
          </cell>
          <cell r="F9">
            <v>279.99221724742057</v>
          </cell>
          <cell r="G9">
            <v>100000</v>
          </cell>
          <cell r="H9">
            <v>100000.00000000004</v>
          </cell>
        </row>
        <row r="10">
          <cell r="E10">
            <v>0</v>
          </cell>
          <cell r="F10">
            <v>0</v>
          </cell>
          <cell r="G10">
            <v>0</v>
          </cell>
          <cell r="H10">
            <v>0</v>
          </cell>
        </row>
        <row r="11">
          <cell r="E11">
            <v>0</v>
          </cell>
          <cell r="F11">
            <v>0</v>
          </cell>
        </row>
        <row r="12">
          <cell r="E12">
            <v>45.400000000000006</v>
          </cell>
          <cell r="F12">
            <v>54.389729414054884</v>
          </cell>
          <cell r="G12">
            <v>64000</v>
          </cell>
          <cell r="H12">
            <v>62433.749114710234</v>
          </cell>
        </row>
        <row r="13">
          <cell r="E13">
            <v>40.5</v>
          </cell>
          <cell r="F13">
            <v>42.083710336772434</v>
          </cell>
          <cell r="G13">
            <v>49000</v>
          </cell>
          <cell r="H13">
            <v>48280.62684744229</v>
          </cell>
        </row>
        <row r="14">
          <cell r="E14">
            <v>0</v>
          </cell>
          <cell r="F14">
            <v>0</v>
          </cell>
        </row>
        <row r="15">
          <cell r="E15">
            <v>353.4</v>
          </cell>
          <cell r="F15">
            <v>376.46565699824788</v>
          </cell>
        </row>
        <row r="16">
          <cell r="E16">
            <v>837.86</v>
          </cell>
          <cell r="F16">
            <v>726.81331516449291</v>
          </cell>
          <cell r="G16">
            <v>13666.666666666664</v>
          </cell>
          <cell r="H16">
            <v>13544.149944825962</v>
          </cell>
        </row>
        <row r="17">
          <cell r="E17">
            <v>921.01</v>
          </cell>
          <cell r="F17">
            <v>962.72337940432135</v>
          </cell>
          <cell r="G17">
            <v>13806.451612903225</v>
          </cell>
          <cell r="H17">
            <v>13408.313803834186</v>
          </cell>
        </row>
        <row r="19">
          <cell r="E19">
            <v>2.9380000000000002</v>
          </cell>
          <cell r="F19">
            <v>2.4944909480241391</v>
          </cell>
        </row>
        <row r="20">
          <cell r="Q20">
            <v>57608.53333333334</v>
          </cell>
          <cell r="R20">
            <v>57622.5653104925</v>
          </cell>
        </row>
        <row r="21">
          <cell r="Q21">
            <v>14789.798846409913</v>
          </cell>
          <cell r="R21">
            <v>15079.801829861786</v>
          </cell>
        </row>
        <row r="22">
          <cell r="Q22">
            <v>350</v>
          </cell>
          <cell r="R22">
            <v>308.45045746544673</v>
          </cell>
        </row>
        <row r="50">
          <cell r="Q50">
            <v>89059.372661319227</v>
          </cell>
          <cell r="R50">
            <v>100881.32567646487</v>
          </cell>
        </row>
        <row r="56">
          <cell r="L56">
            <v>-30364.688089401599</v>
          </cell>
        </row>
        <row r="80">
          <cell r="H80">
            <v>11484.220000000001</v>
          </cell>
          <cell r="I80">
            <v>10556.001</v>
          </cell>
          <cell r="L80">
            <v>928.21900000000005</v>
          </cell>
        </row>
        <row r="85">
          <cell r="H85">
            <v>5952.9711111111101</v>
          </cell>
          <cell r="I85">
            <v>6282.5892300000005</v>
          </cell>
          <cell r="L85">
            <v>-329.61811888888974</v>
          </cell>
          <cell r="Q85">
            <v>112000</v>
          </cell>
          <cell r="R85">
            <v>112985.73097138407</v>
          </cell>
        </row>
        <row r="86">
          <cell r="H86">
            <v>97265.945582292828</v>
          </cell>
          <cell r="I86">
            <v>14251.572999999975</v>
          </cell>
          <cell r="K86">
            <v>2531.8499999999735</v>
          </cell>
          <cell r="M86">
            <v>-55780.135374002333</v>
          </cell>
        </row>
        <row r="89">
          <cell r="Q89">
            <v>72748.332179743258</v>
          </cell>
          <cell r="R89">
            <v>73010.817597819725</v>
          </cell>
        </row>
      </sheetData>
      <sheetData sheetId="22">
        <row r="2">
          <cell r="N2">
            <v>8000</v>
          </cell>
        </row>
        <row r="5">
          <cell r="T5">
            <v>8000</v>
          </cell>
          <cell r="U5">
            <v>7339.5</v>
          </cell>
        </row>
        <row r="9">
          <cell r="E9">
            <v>281.39999999999998</v>
          </cell>
          <cell r="F9">
            <v>297.05749335571403</v>
          </cell>
          <cell r="G9">
            <v>117000</v>
          </cell>
          <cell r="H9">
            <v>116999.99748547796</v>
          </cell>
        </row>
        <row r="10">
          <cell r="E10">
            <v>68.599999999999994</v>
          </cell>
          <cell r="F10">
            <v>48.015526647083512</v>
          </cell>
          <cell r="G10">
            <v>117000</v>
          </cell>
          <cell r="H10">
            <v>116999.99417356371</v>
          </cell>
        </row>
        <row r="11">
          <cell r="E11">
            <v>0</v>
          </cell>
          <cell r="F11">
            <v>0</v>
          </cell>
        </row>
        <row r="12">
          <cell r="E12">
            <v>0</v>
          </cell>
          <cell r="F12">
            <v>0</v>
          </cell>
          <cell r="G12">
            <v>0</v>
          </cell>
          <cell r="H12">
            <v>0</v>
          </cell>
        </row>
        <row r="13">
          <cell r="E13">
            <v>0</v>
          </cell>
          <cell r="F13">
            <v>0</v>
          </cell>
          <cell r="G13">
            <v>0</v>
          </cell>
          <cell r="H13">
            <v>0</v>
          </cell>
        </row>
        <row r="14">
          <cell r="E14">
            <v>0</v>
          </cell>
          <cell r="F14">
            <v>0</v>
          </cell>
        </row>
        <row r="15">
          <cell r="E15">
            <v>350</v>
          </cell>
          <cell r="F15">
            <v>345.07302000279753</v>
          </cell>
        </row>
        <row r="16">
          <cell r="E16">
            <v>708.9</v>
          </cell>
          <cell r="F16">
            <v>813.34662190516133</v>
          </cell>
          <cell r="G16">
            <v>17666.666666666668</v>
          </cell>
          <cell r="H16">
            <v>17802.711615472395</v>
          </cell>
        </row>
        <row r="17">
          <cell r="E17">
            <v>996.5</v>
          </cell>
          <cell r="F17">
            <v>969.33627080710562</v>
          </cell>
          <cell r="G17">
            <v>17544.784945306346</v>
          </cell>
          <cell r="H17">
            <v>19139.496824216054</v>
          </cell>
        </row>
        <row r="19">
          <cell r="E19">
            <v>2.7</v>
          </cell>
          <cell r="F19">
            <v>2.8252035249685266</v>
          </cell>
        </row>
        <row r="20">
          <cell r="Q20">
            <v>73407.278197997774</v>
          </cell>
          <cell r="R20">
            <v>76090.674080290948</v>
          </cell>
        </row>
        <row r="21">
          <cell r="Q21">
            <v>17407.542955326458</v>
          </cell>
          <cell r="R21">
            <v>14878.545670723177</v>
          </cell>
        </row>
        <row r="22">
          <cell r="Q22">
            <v>312.5</v>
          </cell>
          <cell r="R22">
            <v>291.06406490418243</v>
          </cell>
        </row>
        <row r="50">
          <cell r="Q50">
            <v>100857.94740332423</v>
          </cell>
          <cell r="R50">
            <v>101352.78766261015</v>
          </cell>
        </row>
        <row r="56">
          <cell r="L56">
            <v>-3537.6229536351811</v>
          </cell>
        </row>
        <row r="80">
          <cell r="H80">
            <v>15107.560000000001</v>
          </cell>
          <cell r="I80">
            <v>17709.206000000002</v>
          </cell>
          <cell r="L80">
            <v>-2601.6460000000002</v>
          </cell>
        </row>
        <row r="85">
          <cell r="H85">
            <v>12417.939286680763</v>
          </cell>
          <cell r="I85">
            <v>12779.37406</v>
          </cell>
          <cell r="L85">
            <v>-361.43477331923816</v>
          </cell>
          <cell r="Q85">
            <v>122613.5</v>
          </cell>
          <cell r="R85">
            <v>123584.35305637153</v>
          </cell>
        </row>
        <row r="86">
          <cell r="H86">
            <v>146518.92148672539</v>
          </cell>
          <cell r="I86">
            <v>128444.87099999998</v>
          </cell>
          <cell r="K86">
            <v>6940.6285000000826</v>
          </cell>
          <cell r="M86">
            <v>-18513.975259771076</v>
          </cell>
        </row>
        <row r="89">
          <cell r="Q89">
            <v>91127.321153324228</v>
          </cell>
          <cell r="R89">
            <v>91260.283815918316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15">
          <cell r="Q15">
            <v>32950.216419188313</v>
          </cell>
        </row>
        <row r="85">
          <cell r="Q85">
            <v>101892.73306876901</v>
          </cell>
        </row>
        <row r="89">
          <cell r="Q89">
            <v>78288.565317468878</v>
          </cell>
        </row>
        <row r="90">
          <cell r="Q90">
            <v>23604.167751300134</v>
          </cell>
        </row>
      </sheetData>
      <sheetData sheetId="1">
        <row r="5">
          <cell r="T5">
            <v>122513.5</v>
          </cell>
        </row>
        <row r="85">
          <cell r="Q85">
            <v>99830.045678349328</v>
          </cell>
        </row>
        <row r="89">
          <cell r="Q89">
            <v>80098.575335166795</v>
          </cell>
        </row>
        <row r="90">
          <cell r="Q90">
            <v>19731.470343182533</v>
          </cell>
        </row>
      </sheetData>
      <sheetData sheetId="2">
        <row r="5">
          <cell r="T5">
            <v>147221.5</v>
          </cell>
        </row>
        <row r="85">
          <cell r="Q85">
            <v>101618.83495007084</v>
          </cell>
        </row>
        <row r="89">
          <cell r="Q89">
            <v>78242.383846390978</v>
          </cell>
        </row>
        <row r="90">
          <cell r="Q90">
            <v>23376.451103679865</v>
          </cell>
        </row>
      </sheetData>
      <sheetData sheetId="3">
        <row r="5">
          <cell r="T5">
            <v>61302.5</v>
          </cell>
        </row>
        <row r="85">
          <cell r="Q85">
            <v>106728.90198417631</v>
          </cell>
        </row>
        <row r="89">
          <cell r="Q89">
            <v>74744.19377386148</v>
          </cell>
        </row>
        <row r="90">
          <cell r="Q90">
            <v>31984.708210314828</v>
          </cell>
        </row>
      </sheetData>
      <sheetData sheetId="4">
        <row r="2">
          <cell r="N2">
            <v>46163</v>
          </cell>
        </row>
        <row r="85">
          <cell r="Q85">
            <v>99791.139505664702</v>
          </cell>
        </row>
        <row r="89">
          <cell r="Q89">
            <v>80207.362234399712</v>
          </cell>
        </row>
      </sheetData>
      <sheetData sheetId="5">
        <row r="2">
          <cell r="N2">
            <v>29770</v>
          </cell>
        </row>
        <row r="85">
          <cell r="Q85">
            <v>102157.47276956306</v>
          </cell>
        </row>
        <row r="89">
          <cell r="Q89">
            <v>81515.983492211104</v>
          </cell>
        </row>
      </sheetData>
      <sheetData sheetId="6">
        <row r="2">
          <cell r="N2">
            <v>28105</v>
          </cell>
        </row>
        <row r="85">
          <cell r="Q85">
            <v>97212.840491015842</v>
          </cell>
        </row>
        <row r="89">
          <cell r="Q89">
            <v>81147.556057640992</v>
          </cell>
        </row>
      </sheetData>
      <sheetData sheetId="7">
        <row r="2">
          <cell r="N2">
            <v>17598.5</v>
          </cell>
        </row>
        <row r="85">
          <cell r="Q85">
            <v>100131.69974713755</v>
          </cell>
        </row>
        <row r="89">
          <cell r="Q89">
            <v>75716.070980381031</v>
          </cell>
        </row>
      </sheetData>
      <sheetData sheetId="8">
        <row r="2">
          <cell r="N2">
            <v>22909</v>
          </cell>
        </row>
        <row r="85">
          <cell r="Q85">
            <v>104175.12890130516</v>
          </cell>
        </row>
        <row r="89">
          <cell r="Q89">
            <v>81975.794342048859</v>
          </cell>
        </row>
      </sheetData>
      <sheetData sheetId="9">
        <row r="2">
          <cell r="N2">
            <v>25120</v>
          </cell>
        </row>
        <row r="85">
          <cell r="Q85">
            <v>102129.68949044586</v>
          </cell>
        </row>
        <row r="89">
          <cell r="Q89">
            <v>78340.860956397199</v>
          </cell>
        </row>
      </sheetData>
      <sheetData sheetId="10">
        <row r="2">
          <cell r="N2">
            <v>17173</v>
          </cell>
        </row>
        <row r="85">
          <cell r="Q85">
            <v>99943.842077680092</v>
          </cell>
        </row>
        <row r="89">
          <cell r="Q89">
            <v>79096.376928900019</v>
          </cell>
        </row>
      </sheetData>
      <sheetData sheetId="11">
        <row r="2">
          <cell r="N2">
            <v>21272</v>
          </cell>
        </row>
        <row r="85">
          <cell r="Q85">
            <v>104108.16566378337</v>
          </cell>
        </row>
        <row r="89">
          <cell r="Q89">
            <v>82781.134072959772</v>
          </cell>
        </row>
      </sheetData>
      <sheetData sheetId="12">
        <row r="2">
          <cell r="N2">
            <v>12804</v>
          </cell>
        </row>
        <row r="85">
          <cell r="Q85">
            <v>93592.935410809136</v>
          </cell>
        </row>
        <row r="89">
          <cell r="Q89">
            <v>73554.020384254909</v>
          </cell>
        </row>
      </sheetData>
      <sheetData sheetId="13">
        <row r="2">
          <cell r="N2">
            <v>19111.5</v>
          </cell>
        </row>
        <row r="85">
          <cell r="Q85">
            <v>103837.35185621223</v>
          </cell>
        </row>
        <row r="89">
          <cell r="Q89">
            <v>74909.070193339081</v>
          </cell>
        </row>
      </sheetData>
      <sheetData sheetId="14">
        <row r="2">
          <cell r="N2">
            <v>17659</v>
          </cell>
        </row>
        <row r="85">
          <cell r="Q85">
            <v>99699.088283594756</v>
          </cell>
        </row>
        <row r="89">
          <cell r="Q89">
            <v>73859.704116880908</v>
          </cell>
        </row>
      </sheetData>
      <sheetData sheetId="15">
        <row r="2">
          <cell r="N2">
            <v>11110</v>
          </cell>
        </row>
        <row r="85">
          <cell r="Q85">
            <v>101500.20702070207</v>
          </cell>
        </row>
        <row r="89">
          <cell r="Q89">
            <v>78272.848784878486</v>
          </cell>
        </row>
      </sheetData>
      <sheetData sheetId="16">
        <row r="2">
          <cell r="N2">
            <v>29155</v>
          </cell>
        </row>
        <row r="85">
          <cell r="Q85">
            <v>104707.6933630595</v>
          </cell>
        </row>
        <row r="89">
          <cell r="Q89">
            <v>77280.259490415279</v>
          </cell>
        </row>
      </sheetData>
      <sheetData sheetId="17">
        <row r="2">
          <cell r="N2">
            <v>6925.5</v>
          </cell>
        </row>
        <row r="85">
          <cell r="Q85">
            <v>110562.57959714101</v>
          </cell>
        </row>
        <row r="89">
          <cell r="Q89">
            <v>72123.368565446552</v>
          </cell>
        </row>
      </sheetData>
      <sheetData sheetId="18">
        <row r="2">
          <cell r="N2">
            <v>10980</v>
          </cell>
        </row>
        <row r="85">
          <cell r="Q85">
            <v>112623.59562841531</v>
          </cell>
        </row>
        <row r="89">
          <cell r="Q89">
            <v>69227.20719489982</v>
          </cell>
        </row>
      </sheetData>
      <sheetData sheetId="19">
        <row r="2">
          <cell r="N2">
            <v>9736</v>
          </cell>
        </row>
        <row r="85">
          <cell r="Q85">
            <v>95671.078368940012</v>
          </cell>
        </row>
        <row r="89">
          <cell r="Q89">
            <v>70537.058545603941</v>
          </cell>
        </row>
      </sheetData>
      <sheetData sheetId="20">
        <row r="2">
          <cell r="N2">
            <v>3556</v>
          </cell>
        </row>
        <row r="85">
          <cell r="Q85">
            <v>127908.1588863892</v>
          </cell>
        </row>
        <row r="89">
          <cell r="Q89">
            <v>87547.523516237401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Sheet1"/>
    </sheetNames>
    <sheetDataSet>
      <sheetData sheetId="0" refreshError="1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8735.5020000000004</v>
          </cell>
          <cell r="F3">
            <v>9724.5229999999992</v>
          </cell>
          <cell r="G3">
            <v>15762.77</v>
          </cell>
          <cell r="H3">
            <v>11123.664999999999</v>
          </cell>
          <cell r="Q3">
            <v>45346.46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Q4">
            <v>0</v>
          </cell>
        </row>
        <row r="5">
          <cell r="E5">
            <v>8735.5020000000004</v>
          </cell>
          <cell r="F5">
            <v>9724.5229999999992</v>
          </cell>
          <cell r="G5">
            <v>15762.77</v>
          </cell>
          <cell r="H5">
            <v>11123.664999999999</v>
          </cell>
          <cell r="Q5">
            <v>45346.46</v>
          </cell>
        </row>
        <row r="6">
          <cell r="E6">
            <v>6607708.5209999997</v>
          </cell>
          <cell r="F6">
            <v>7241703.784</v>
          </cell>
          <cell r="G6">
            <v>11603618.745999999</v>
          </cell>
          <cell r="H6">
            <v>8901278.341</v>
          </cell>
          <cell r="Q6">
            <v>34354309.391999997</v>
          </cell>
        </row>
        <row r="7">
          <cell r="E7">
            <v>872411.16300000064</v>
          </cell>
          <cell r="F7">
            <v>1035291.3360000001</v>
          </cell>
          <cell r="G7">
            <v>931609.94199999981</v>
          </cell>
          <cell r="H7">
            <v>1246225.8760000002</v>
          </cell>
          <cell r="Q7">
            <v>4085538.3170000007</v>
          </cell>
        </row>
        <row r="8">
          <cell r="E8">
            <v>7480119.6840000004</v>
          </cell>
          <cell r="F8">
            <v>8276995.1200000001</v>
          </cell>
          <cell r="G8">
            <v>12535228.687999999</v>
          </cell>
          <cell r="H8">
            <v>10147504.217</v>
          </cell>
          <cell r="Q8">
            <v>38439847.708999999</v>
          </cell>
        </row>
        <row r="9">
          <cell r="E9">
            <v>6490572.2549999999</v>
          </cell>
          <cell r="F9">
            <v>7128840.7779999999</v>
          </cell>
          <cell r="G9">
            <v>11586393.280999999</v>
          </cell>
          <cell r="H9">
            <v>8774441.2469999995</v>
          </cell>
          <cell r="Q9">
            <v>33980247.560999997</v>
          </cell>
        </row>
        <row r="10">
          <cell r="E10">
            <v>843636.93700000085</v>
          </cell>
          <cell r="F10">
            <v>998493.29900000058</v>
          </cell>
          <cell r="G10">
            <v>911990.84300000034</v>
          </cell>
          <cell r="H10">
            <v>1205319.1109999996</v>
          </cell>
          <cell r="Q10">
            <v>3959440.1900000013</v>
          </cell>
        </row>
        <row r="11">
          <cell r="E11">
            <v>7334209.1920000007</v>
          </cell>
          <cell r="F11">
            <v>8127334.0770000005</v>
          </cell>
          <cell r="G11">
            <v>12498384.124</v>
          </cell>
          <cell r="H11">
            <v>9979760.3579999991</v>
          </cell>
          <cell r="Q11">
            <v>37939687.751000002</v>
          </cell>
        </row>
        <row r="12">
          <cell r="E12">
            <v>117136.26599999983</v>
          </cell>
          <cell r="F12">
            <v>112863.00600000005</v>
          </cell>
          <cell r="G12">
            <v>17225.464999999851</v>
          </cell>
          <cell r="H12">
            <v>126837.09400000051</v>
          </cell>
          <cell r="Q12">
            <v>374061.83100000024</v>
          </cell>
        </row>
        <row r="13">
          <cell r="E13">
            <v>28774.225999999791</v>
          </cell>
          <cell r="F13">
            <v>36798.036999999546</v>
          </cell>
          <cell r="G13">
            <v>19619.098999999464</v>
          </cell>
          <cell r="H13">
            <v>40906.765000000596</v>
          </cell>
          <cell r="Q13">
            <v>126098.1269999994</v>
          </cell>
        </row>
        <row r="14">
          <cell r="E14">
            <v>145910.49199999962</v>
          </cell>
          <cell r="F14">
            <v>149661.0429999996</v>
          </cell>
          <cell r="G14">
            <v>36844.563999999315</v>
          </cell>
          <cell r="H14">
            <v>167743.8590000011</v>
          </cell>
          <cell r="Q14">
            <v>500159.95799999684</v>
          </cell>
        </row>
        <row r="15">
          <cell r="E15">
            <v>70886.78</v>
          </cell>
          <cell r="F15">
            <v>70297.97</v>
          </cell>
          <cell r="G15">
            <v>70297.97</v>
          </cell>
          <cell r="H15">
            <v>70297.97</v>
          </cell>
          <cell r="Q15">
            <v>281780.69</v>
          </cell>
        </row>
        <row r="16">
          <cell r="E16">
            <v>15847.56</v>
          </cell>
          <cell r="F16">
            <v>15847.56</v>
          </cell>
          <cell r="G16">
            <v>14791.781999999999</v>
          </cell>
          <cell r="H16">
            <v>15847.56</v>
          </cell>
          <cell r="Q16">
            <v>62334.462</v>
          </cell>
        </row>
        <row r="17">
          <cell r="E17">
            <v>8648.6849999999995</v>
          </cell>
          <cell r="F17">
            <v>8648.6849999999995</v>
          </cell>
          <cell r="G17">
            <v>8648.6849999999995</v>
          </cell>
          <cell r="H17">
            <v>8648.6849999999995</v>
          </cell>
          <cell r="Q17">
            <v>34594.74</v>
          </cell>
        </row>
        <row r="18">
          <cell r="E18">
            <v>95383.024999999994</v>
          </cell>
          <cell r="F18">
            <v>94794.214999999997</v>
          </cell>
          <cell r="G18">
            <v>93738.437000000005</v>
          </cell>
          <cell r="H18">
            <v>94794.214999999997</v>
          </cell>
          <cell r="Q18">
            <v>378709.89199999999</v>
          </cell>
        </row>
        <row r="19">
          <cell r="E19">
            <v>11423.789000000001</v>
          </cell>
          <cell r="F19">
            <v>9490.2829999999994</v>
          </cell>
          <cell r="G19">
            <v>27505.001</v>
          </cell>
          <cell r="H19">
            <v>14227.584999999999</v>
          </cell>
          <cell r="Q19">
            <v>62646.658000000003</v>
          </cell>
        </row>
        <row r="20">
          <cell r="E20">
            <v>1332.098</v>
          </cell>
          <cell r="F20">
            <v>4867.2749999999996</v>
          </cell>
          <cell r="G20">
            <v>8562.9760000000006</v>
          </cell>
          <cell r="H20">
            <v>1750.319</v>
          </cell>
          <cell r="Q20">
            <v>16512.668000000001</v>
          </cell>
        </row>
        <row r="21">
          <cell r="E21">
            <v>2590.9499999999998</v>
          </cell>
          <cell r="F21">
            <v>2655.01</v>
          </cell>
          <cell r="G21">
            <v>906.6</v>
          </cell>
          <cell r="H21">
            <v>2268.48</v>
          </cell>
          <cell r="Q21">
            <v>8421.0400000000009</v>
          </cell>
        </row>
        <row r="22">
          <cell r="E22">
            <v>0</v>
          </cell>
          <cell r="F22">
            <v>0</v>
          </cell>
          <cell r="G22">
            <v>350</v>
          </cell>
          <cell r="H22">
            <v>0</v>
          </cell>
          <cell r="Q22">
            <v>350</v>
          </cell>
        </row>
        <row r="23">
          <cell r="E23">
            <v>1579.2090000000001</v>
          </cell>
          <cell r="F23">
            <v>1603.9970000000001</v>
          </cell>
          <cell r="G23">
            <v>1612.046</v>
          </cell>
          <cell r="H23">
            <v>1701.327</v>
          </cell>
          <cell r="Q23">
            <v>6496.5790000000006</v>
          </cell>
        </row>
        <row r="24">
          <cell r="E24">
            <v>452.53500000000003</v>
          </cell>
          <cell r="F24">
            <v>341.00099999999998</v>
          </cell>
          <cell r="G24">
            <v>631.197</v>
          </cell>
          <cell r="H24">
            <v>450.916</v>
          </cell>
          <cell r="Q24">
            <v>1875.6490000000001</v>
          </cell>
        </row>
        <row r="25">
          <cell r="E25">
            <v>170.892</v>
          </cell>
          <cell r="F25">
            <v>170.892</v>
          </cell>
          <cell r="G25">
            <v>170.892</v>
          </cell>
          <cell r="H25">
            <v>170.892</v>
          </cell>
          <cell r="Q25">
            <v>683.56799999999998</v>
          </cell>
        </row>
        <row r="26">
          <cell r="E26">
            <v>3462.85</v>
          </cell>
          <cell r="F26">
            <v>3462.85</v>
          </cell>
          <cell r="G26">
            <v>3462.85</v>
          </cell>
          <cell r="H26">
            <v>3462.85</v>
          </cell>
          <cell r="Q26">
            <v>13851.4</v>
          </cell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Q27">
            <v>0</v>
          </cell>
        </row>
        <row r="28">
          <cell r="E28">
            <v>1016.34</v>
          </cell>
          <cell r="F28">
            <v>6.71</v>
          </cell>
          <cell r="G28">
            <v>1182.6600000000001</v>
          </cell>
          <cell r="H28">
            <v>29248.03</v>
          </cell>
          <cell r="Q28">
            <v>31453.739999999998</v>
          </cell>
        </row>
        <row r="29">
          <cell r="E29">
            <v>122.22</v>
          </cell>
          <cell r="F29">
            <v>130.61000000000001</v>
          </cell>
          <cell r="G29">
            <v>59.6</v>
          </cell>
          <cell r="H29">
            <v>172.74</v>
          </cell>
          <cell r="Q29">
            <v>485.17</v>
          </cell>
        </row>
        <row r="30">
          <cell r="E30">
            <v>6089.4709999999995</v>
          </cell>
          <cell r="F30">
            <v>6078.3440000000001</v>
          </cell>
          <cell r="G30">
            <v>6389.5969999999998</v>
          </cell>
          <cell r="H30">
            <v>6504.049</v>
          </cell>
          <cell r="Q30">
            <v>25061.460999999996</v>
          </cell>
        </row>
        <row r="31">
          <cell r="E31">
            <v>14376.107</v>
          </cell>
          <cell r="F31">
            <v>9399.77</v>
          </cell>
          <cell r="G31">
            <v>5339.3</v>
          </cell>
          <cell r="H31">
            <v>7303.66</v>
          </cell>
          <cell r="Q31">
            <v>36418.837</v>
          </cell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Q32">
            <v>0</v>
          </cell>
        </row>
        <row r="33">
          <cell r="E33">
            <v>419.411</v>
          </cell>
          <cell r="F33">
            <v>4.032</v>
          </cell>
          <cell r="G33">
            <v>68.8</v>
          </cell>
          <cell r="H33">
            <v>243.922</v>
          </cell>
          <cell r="Q33">
            <v>736.16499999999996</v>
          </cell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Q34">
            <v>0</v>
          </cell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Q35">
            <v>0</v>
          </cell>
        </row>
        <row r="36">
          <cell r="E36">
            <v>43035.871999999996</v>
          </cell>
          <cell r="F36">
            <v>38210.773999999998</v>
          </cell>
          <cell r="G36">
            <v>56241.519000000008</v>
          </cell>
          <cell r="H36">
            <v>67504.77</v>
          </cell>
          <cell r="Q36">
            <v>204992.93500000003</v>
          </cell>
        </row>
        <row r="37">
          <cell r="E37">
            <v>138418.897</v>
          </cell>
          <cell r="F37">
            <v>133004.989</v>
          </cell>
          <cell r="G37">
            <v>149979.95600000001</v>
          </cell>
          <cell r="H37">
            <v>162298.98499999999</v>
          </cell>
          <cell r="Q37">
            <v>583702.82700000005</v>
          </cell>
        </row>
        <row r="38">
          <cell r="E38">
            <v>7491.5949999996228</v>
          </cell>
          <cell r="F38">
            <v>16656.053999999596</v>
          </cell>
          <cell r="G38">
            <v>-113135.39200000069</v>
          </cell>
          <cell r="H38">
            <v>5444.8740000011167</v>
          </cell>
          <cell r="Q38">
            <v>-83542.869000003207</v>
          </cell>
        </row>
        <row r="39">
          <cell r="E39">
            <v>5794.3459999999995</v>
          </cell>
          <cell r="F39">
            <v>5794.3410000000003</v>
          </cell>
          <cell r="G39">
            <v>5734.9560000000001</v>
          </cell>
          <cell r="H39">
            <v>5716.42</v>
          </cell>
          <cell r="Q39">
            <v>23040.063000000002</v>
          </cell>
        </row>
        <row r="40">
          <cell r="E40">
            <v>1697.2489999996233</v>
          </cell>
          <cell r="F40">
            <v>10861.712999999596</v>
          </cell>
          <cell r="G40">
            <v>-118870.3480000007</v>
          </cell>
          <cell r="H40">
            <v>-271.54599999888342</v>
          </cell>
          <cell r="Q40">
            <v>-106582.9320000032</v>
          </cell>
        </row>
        <row r="41">
          <cell r="E41">
            <v>2.2690131598162048E-4</v>
          </cell>
          <cell r="F41">
            <v>1.3122773231742095E-3</v>
          </cell>
          <cell r="G41">
            <v>-9.482902223698202E-3</v>
          </cell>
          <cell r="H41">
            <v>-2.6759880478193392E-5</v>
          </cell>
          <cell r="Q41">
            <v>-2.7727199339306623E-3</v>
          </cell>
        </row>
        <row r="43">
          <cell r="E43" t="str">
            <v>1월</v>
          </cell>
          <cell r="F43" t="str">
            <v>2월</v>
          </cell>
          <cell r="G43" t="str">
            <v>3월</v>
          </cell>
          <cell r="H43" t="str">
            <v>4월</v>
          </cell>
          <cell r="I43" t="str">
            <v>5월</v>
          </cell>
          <cell r="J43" t="str">
            <v>6월</v>
          </cell>
          <cell r="K43" t="str">
            <v>7월</v>
          </cell>
          <cell r="L43" t="str">
            <v>8월</v>
          </cell>
          <cell r="M43" t="str">
            <v>9월</v>
          </cell>
          <cell r="N43" t="str">
            <v>10월</v>
          </cell>
          <cell r="O43" t="str">
            <v>11월</v>
          </cell>
          <cell r="P43" t="str">
            <v>12월</v>
          </cell>
          <cell r="Q43" t="str">
            <v>합계</v>
          </cell>
        </row>
        <row r="44">
          <cell r="E44">
            <v>756420.01123690419</v>
          </cell>
          <cell r="F44">
            <v>744684.72993482568</v>
          </cell>
          <cell r="G44">
            <v>736140.83983969816</v>
          </cell>
          <cell r="H44">
            <v>800210.93236806407</v>
          </cell>
          <cell r="Q44">
            <v>757596.27966549085</v>
          </cell>
          <cell r="S44">
            <v>64070.092528365902</v>
          </cell>
        </row>
        <row r="45">
          <cell r="E45">
            <v>856289.61953188269</v>
          </cell>
          <cell r="F45">
            <v>851146.6444163894</v>
          </cell>
          <cell r="G45">
            <v>795242.75796703238</v>
          </cell>
          <cell r="H45">
            <v>912244.67987843941</v>
          </cell>
          <cell r="Q45">
            <v>847692.36030772852</v>
          </cell>
        </row>
        <row r="46">
          <cell r="E46">
            <v>839586.45902662503</v>
          </cell>
          <cell r="F46">
            <v>835756.57921730459</v>
          </cell>
          <cell r="G46">
            <v>792905.31575351278</v>
          </cell>
          <cell r="H46">
            <v>897164.77060393314</v>
          </cell>
          <cell r="Q46">
            <v>836662.61381814594</v>
          </cell>
        </row>
        <row r="47">
          <cell r="E47">
            <v>16703.160505257663</v>
          </cell>
          <cell r="F47">
            <v>15390.065199084813</v>
          </cell>
          <cell r="G47">
            <v>2337.4422135195928</v>
          </cell>
          <cell r="H47">
            <v>15079.909274506266</v>
          </cell>
        </row>
        <row r="48">
          <cell r="E48">
            <v>0.88336935773018566</v>
          </cell>
          <cell r="F48">
            <v>0.87491942172366532</v>
          </cell>
          <cell r="G48">
            <v>0.92568065847160552</v>
          </cell>
          <cell r="H48">
            <v>0.87718892750867627</v>
          </cell>
          <cell r="Q48">
            <v>0.89371606391553293</v>
          </cell>
        </row>
        <row r="49">
          <cell r="E49">
            <v>0.11663064226981433</v>
          </cell>
          <cell r="F49">
            <v>0.12508057827633468</v>
          </cell>
          <cell r="G49">
            <v>7.431934152839445E-2</v>
          </cell>
          <cell r="H49">
            <v>0.12281107249132373</v>
          </cell>
          <cell r="Q49">
            <v>0.10628393608446698</v>
          </cell>
        </row>
        <row r="50">
          <cell r="E50">
            <v>1.7727214453804725E-2</v>
          </cell>
          <cell r="F50">
            <v>1.5585145342365754E-2</v>
          </cell>
          <cell r="G50">
            <v>1.4844907762880278E-3</v>
          </cell>
          <cell r="H50">
            <v>1.4249312193258659E-2</v>
          </cell>
          <cell r="Q50">
            <v>1.0888352512977807E-2</v>
          </cell>
        </row>
        <row r="51">
          <cell r="E51">
            <v>3.2982413820855441E-2</v>
          </cell>
          <cell r="F51">
            <v>3.5543653965244372E-2</v>
          </cell>
          <cell r="G51">
            <v>2.1059349106859863E-2</v>
          </cell>
          <cell r="H51">
            <v>3.2824519044090679E-2</v>
          </cell>
          <cell r="Q51">
            <v>3.0864507248727236E-2</v>
          </cell>
        </row>
        <row r="52">
          <cell r="E52">
            <v>1.9506438153937915E-2</v>
          </cell>
          <cell r="F52">
            <v>1.8081567142448622E-2</v>
          </cell>
          <cell r="G52">
            <v>2.9392813579277332E-3</v>
          </cell>
          <cell r="H52">
            <v>1.6530553268357524E-2</v>
          </cell>
          <cell r="Q52">
            <v>1.3011496866125549E-2</v>
          </cell>
        </row>
      </sheetData>
      <sheetData sheetId="1" refreshError="1"/>
      <sheetData sheetId="2" refreshError="1"/>
      <sheetData sheetId="3" refreshError="1"/>
      <sheetData sheetId="4">
        <row r="8">
          <cell r="G8">
            <v>11123.664999999999</v>
          </cell>
        </row>
        <row r="9">
          <cell r="G9">
            <v>8901278.341</v>
          </cell>
          <cell r="J9">
            <v>1246225.8760000002</v>
          </cell>
        </row>
        <row r="10">
          <cell r="F10">
            <v>872522.52252252249</v>
          </cell>
          <cell r="G10">
            <v>800210.93236806407</v>
          </cell>
        </row>
        <row r="11">
          <cell r="G11">
            <v>8774441.2469999995</v>
          </cell>
          <cell r="J11">
            <v>1205319.1109999996</v>
          </cell>
        </row>
        <row r="15">
          <cell r="F15">
            <v>2.3976510067114095E-2</v>
          </cell>
          <cell r="G15">
            <v>1.4249312193258659E-2</v>
          </cell>
        </row>
        <row r="19">
          <cell r="M19">
            <v>94794.214999999997</v>
          </cell>
        </row>
        <row r="37">
          <cell r="M37">
            <v>67504.77</v>
          </cell>
        </row>
        <row r="40">
          <cell r="M40">
            <v>5716.42</v>
          </cell>
        </row>
        <row r="41">
          <cell r="M41">
            <v>-271.54599999888342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5">
          <cell r="H45">
            <v>17946.228344851686</v>
          </cell>
        </row>
        <row r="47">
          <cell r="Q47">
            <v>7000</v>
          </cell>
          <cell r="R47">
            <v>11662</v>
          </cell>
        </row>
        <row r="48">
          <cell r="Q48">
            <v>10946.228344851686</v>
          </cell>
          <cell r="R48">
            <v>13747</v>
          </cell>
        </row>
      </sheetData>
      <sheetData sheetId="1">
        <row r="59">
          <cell r="F59">
            <v>1632</v>
          </cell>
          <cell r="I59">
            <v>0</v>
          </cell>
          <cell r="L59">
            <v>4848</v>
          </cell>
          <cell r="R59">
            <v>896</v>
          </cell>
          <cell r="U59">
            <v>896</v>
          </cell>
          <cell r="Z59">
            <v>24000</v>
          </cell>
          <cell r="AA59">
            <v>11664</v>
          </cell>
        </row>
        <row r="60">
          <cell r="F60">
            <v>1296</v>
          </cell>
          <cell r="I60">
            <v>432</v>
          </cell>
          <cell r="L60">
            <v>0</v>
          </cell>
          <cell r="R60">
            <v>0</v>
          </cell>
          <cell r="U60">
            <v>0</v>
          </cell>
        </row>
        <row r="61">
          <cell r="F61">
            <v>9400</v>
          </cell>
          <cell r="I61">
            <v>3400</v>
          </cell>
          <cell r="L61">
            <v>0</v>
          </cell>
          <cell r="R61">
            <v>0</v>
          </cell>
          <cell r="U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  <cell r="R62">
            <v>0</v>
          </cell>
          <cell r="U62">
            <v>0</v>
          </cell>
        </row>
        <row r="63">
          <cell r="F63">
            <v>0</v>
          </cell>
          <cell r="I63">
            <v>0</v>
          </cell>
          <cell r="L63">
            <v>0</v>
          </cell>
          <cell r="R63">
            <v>0</v>
          </cell>
          <cell r="U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  <cell r="R64">
            <v>0</v>
          </cell>
          <cell r="U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  <cell r="R65">
            <v>0</v>
          </cell>
          <cell r="U65">
            <v>0</v>
          </cell>
        </row>
        <row r="66">
          <cell r="F66">
            <v>10696</v>
          </cell>
          <cell r="I66">
            <v>3832</v>
          </cell>
          <cell r="L66">
            <v>0</v>
          </cell>
          <cell r="R66">
            <v>0</v>
          </cell>
          <cell r="U66">
            <v>0</v>
          </cell>
          <cell r="Z66">
            <v>43048.244679569892</v>
          </cell>
          <cell r="AA66">
            <v>15392</v>
          </cell>
        </row>
        <row r="71">
          <cell r="F71">
            <v>57776</v>
          </cell>
          <cell r="I71">
            <v>0</v>
          </cell>
          <cell r="L71">
            <v>41208</v>
          </cell>
          <cell r="R71">
            <v>8960</v>
          </cell>
          <cell r="U71">
            <v>9856</v>
          </cell>
        </row>
        <row r="72">
          <cell r="F72">
            <v>176000</v>
          </cell>
          <cell r="I72">
            <v>74912</v>
          </cell>
          <cell r="L72">
            <v>0</v>
          </cell>
          <cell r="R72">
            <v>0</v>
          </cell>
          <cell r="U72">
            <v>0</v>
          </cell>
        </row>
        <row r="86">
          <cell r="F86">
            <v>4465.2142343239238</v>
          </cell>
          <cell r="I86">
            <v>0</v>
          </cell>
          <cell r="L86">
            <v>-7761.5256000391837</v>
          </cell>
          <cell r="R86">
            <v>-754.9388844969676</v>
          </cell>
          <cell r="U86">
            <v>189.15842705333404</v>
          </cell>
        </row>
        <row r="87">
          <cell r="F87">
            <v>60832.529766773921</v>
          </cell>
          <cell r="I87">
            <v>32517.849190687848</v>
          </cell>
          <cell r="L87">
            <v>0</v>
          </cell>
          <cell r="R87">
            <v>0</v>
          </cell>
          <cell r="U87">
            <v>0</v>
          </cell>
        </row>
      </sheetData>
      <sheetData sheetId="2">
        <row r="59">
          <cell r="F59">
            <v>0</v>
          </cell>
          <cell r="I59">
            <v>880</v>
          </cell>
          <cell r="L59">
            <v>0</v>
          </cell>
        </row>
        <row r="60">
          <cell r="F60">
            <v>7000</v>
          </cell>
          <cell r="I60">
            <v>6000</v>
          </cell>
          <cell r="L60">
            <v>0</v>
          </cell>
        </row>
        <row r="61">
          <cell r="F61">
            <v>0</v>
          </cell>
          <cell r="I61">
            <v>1600</v>
          </cell>
          <cell r="L61">
            <v>0</v>
          </cell>
        </row>
        <row r="62">
          <cell r="F62">
            <v>0</v>
          </cell>
          <cell r="I62">
            <v>0</v>
          </cell>
          <cell r="L62">
            <v>0</v>
          </cell>
        </row>
        <row r="63">
          <cell r="F63">
            <v>0</v>
          </cell>
          <cell r="I63">
            <v>16</v>
          </cell>
          <cell r="L63">
            <v>0</v>
          </cell>
        </row>
        <row r="64">
          <cell r="F64">
            <v>0</v>
          </cell>
          <cell r="I64">
            <v>0</v>
          </cell>
          <cell r="L64">
            <v>0</v>
          </cell>
        </row>
        <row r="65">
          <cell r="F65">
            <v>0</v>
          </cell>
          <cell r="I65">
            <v>0</v>
          </cell>
          <cell r="L65">
            <v>0</v>
          </cell>
        </row>
        <row r="66">
          <cell r="F66">
            <v>7000</v>
          </cell>
          <cell r="I66">
            <v>7616</v>
          </cell>
          <cell r="L66">
            <v>0</v>
          </cell>
        </row>
        <row r="71">
          <cell r="F71">
            <v>832</v>
          </cell>
          <cell r="I71">
            <v>15840</v>
          </cell>
          <cell r="L71">
            <v>0</v>
          </cell>
        </row>
        <row r="72">
          <cell r="F72">
            <v>122500</v>
          </cell>
          <cell r="I72">
            <v>170088</v>
          </cell>
          <cell r="L72">
            <v>0</v>
          </cell>
        </row>
        <row r="86">
          <cell r="F86">
            <v>-546.61258322533672</v>
          </cell>
          <cell r="I86">
            <v>-3248.0686968827044</v>
          </cell>
          <cell r="L86">
            <v>0</v>
          </cell>
        </row>
        <row r="87">
          <cell r="F87">
            <v>-29278.309712690861</v>
          </cell>
          <cell r="I87">
            <v>3849.6912727989011</v>
          </cell>
          <cell r="L87">
            <v>0</v>
          </cell>
        </row>
      </sheetData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>
        <row r="7">
          <cell r="F7">
            <v>331.03750000000002</v>
          </cell>
        </row>
        <row r="27">
          <cell r="V27">
            <v>32.340000000000003</v>
          </cell>
        </row>
        <row r="28">
          <cell r="V28">
            <v>25.899000000000001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수도권(영남권대비)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전주"/>
      <sheetName val="군산"/>
      <sheetName val="원주"/>
      <sheetName val="제주"/>
    </sheetNames>
    <sheetDataSet>
      <sheetData sheetId="0">
        <row r="85">
          <cell r="Q85">
            <v>100462.99783194013</v>
          </cell>
          <cell r="R85">
            <v>98896.819799018063</v>
          </cell>
        </row>
        <row r="89">
          <cell r="Q89">
            <v>79929.87368891816</v>
          </cell>
          <cell r="R89">
            <v>80327.119045338084</v>
          </cell>
        </row>
      </sheetData>
      <sheetData sheetId="1">
        <row r="5">
          <cell r="O5">
            <v>322513</v>
          </cell>
        </row>
        <row r="85">
          <cell r="Q85">
            <v>97322.19695886728</v>
          </cell>
          <cell r="R85">
            <v>96029.099317575528</v>
          </cell>
        </row>
        <row r="89">
          <cell r="Q89">
            <v>81392.370550567197</v>
          </cell>
          <cell r="R89">
            <v>81690.858551438243</v>
          </cell>
        </row>
      </sheetData>
      <sheetData sheetId="2">
        <row r="85">
          <cell r="Q85">
            <v>100531.26203489822</v>
          </cell>
          <cell r="R85">
            <v>99408.906498250755</v>
          </cell>
        </row>
        <row r="89">
          <cell r="Q89">
            <v>79191.333979260162</v>
          </cell>
          <cell r="R89">
            <v>79437.509436927983</v>
          </cell>
        </row>
      </sheetData>
      <sheetData sheetId="3"/>
      <sheetData sheetId="4">
        <row r="85">
          <cell r="Q85">
            <v>106696.10619283745</v>
          </cell>
          <cell r="R85">
            <v>102615.38085832004</v>
          </cell>
        </row>
        <row r="89">
          <cell r="Q89">
            <v>78783.634406524856</v>
          </cell>
          <cell r="R89">
            <v>79981.590716804669</v>
          </cell>
        </row>
      </sheetData>
      <sheetData sheetId="5">
        <row r="2">
          <cell r="N2">
            <v>142000</v>
          </cell>
        </row>
        <row r="85">
          <cell r="Q85">
            <v>98061.363197183106</v>
          </cell>
          <cell r="R85">
            <v>95926.12387224377</v>
          </cell>
        </row>
        <row r="89">
          <cell r="Q89">
            <v>82250.836970037533</v>
          </cell>
          <cell r="R89">
            <v>81028.977996633592</v>
          </cell>
        </row>
      </sheetData>
      <sheetData sheetId="6">
        <row r="2">
          <cell r="N2">
            <v>110000</v>
          </cell>
        </row>
        <row r="85">
          <cell r="Q85">
            <v>97834.930354371798</v>
          </cell>
          <cell r="R85">
            <v>97920.695560008113</v>
          </cell>
        </row>
        <row r="89">
          <cell r="Q89">
            <v>83353.552204490872</v>
          </cell>
          <cell r="R89">
            <v>84814.026522298664</v>
          </cell>
        </row>
      </sheetData>
      <sheetData sheetId="7">
        <row r="2">
          <cell r="N2">
            <v>70000</v>
          </cell>
        </row>
        <row r="85">
          <cell r="Q85">
            <v>96388.649739999993</v>
          </cell>
          <cell r="R85">
            <v>92404.743899324341</v>
          </cell>
        </row>
        <row r="89">
          <cell r="Q89">
            <v>79623.451215699111</v>
          </cell>
          <cell r="R89">
            <v>79057.740104468947</v>
          </cell>
        </row>
      </sheetData>
      <sheetData sheetId="8">
        <row r="2">
          <cell r="N2">
            <v>48000</v>
          </cell>
        </row>
        <row r="85">
          <cell r="Q85">
            <v>95321.905833333352</v>
          </cell>
          <cell r="R85">
            <v>95344.507612542177</v>
          </cell>
        </row>
        <row r="89">
          <cell r="Q89">
            <v>76938.040132741706</v>
          </cell>
          <cell r="R89">
            <v>78484.914656212306</v>
          </cell>
        </row>
      </sheetData>
      <sheetData sheetId="9">
        <row r="2">
          <cell r="N2">
            <v>78000</v>
          </cell>
        </row>
        <row r="85">
          <cell r="Q85">
            <v>107699.95266974359</v>
          </cell>
          <cell r="R85">
            <v>105892.36736275334</v>
          </cell>
        </row>
        <row r="89">
          <cell r="Q89">
            <v>84690.817004781231</v>
          </cell>
          <cell r="R89">
            <v>83622.63086218854</v>
          </cell>
        </row>
      </sheetData>
      <sheetData sheetId="10">
        <row r="2">
          <cell r="N2">
            <v>76000</v>
          </cell>
        </row>
        <row r="85">
          <cell r="Q85">
            <v>99300.218836578963</v>
          </cell>
          <cell r="R85">
            <v>96774.616098656697</v>
          </cell>
        </row>
        <row r="89">
          <cell r="Q89">
            <v>78845.643267087318</v>
          </cell>
          <cell r="R89">
            <v>77141.00579904858</v>
          </cell>
        </row>
      </sheetData>
      <sheetData sheetId="11">
        <row r="2">
          <cell r="N2">
            <v>52000</v>
          </cell>
        </row>
        <row r="85">
          <cell r="Q85">
            <v>96300.002884615373</v>
          </cell>
          <cell r="R85">
            <v>90917.487111503899</v>
          </cell>
        </row>
        <row r="89">
          <cell r="Q89">
            <v>76419.640724798999</v>
          </cell>
          <cell r="R89">
            <v>76591.029400500818</v>
          </cell>
        </row>
      </sheetData>
      <sheetData sheetId="12">
        <row r="2">
          <cell r="N2">
            <v>76000</v>
          </cell>
        </row>
        <row r="85">
          <cell r="Q85">
            <v>101999.78194842106</v>
          </cell>
          <cell r="R85">
            <v>102120.207896475</v>
          </cell>
        </row>
        <row r="89">
          <cell r="Q89">
            <v>81952.254274702267</v>
          </cell>
          <cell r="R89">
            <v>84055.177710746924</v>
          </cell>
        </row>
      </sheetData>
      <sheetData sheetId="13">
        <row r="2">
          <cell r="N2">
            <v>43000</v>
          </cell>
        </row>
        <row r="85">
          <cell r="Q85">
            <v>94618.238372093023</v>
          </cell>
          <cell r="R85">
            <v>94383.608336676014</v>
          </cell>
        </row>
        <row r="89">
          <cell r="Q89">
            <v>74182.515756995359</v>
          </cell>
          <cell r="R89">
            <v>73513.548666354705</v>
          </cell>
        </row>
      </sheetData>
      <sheetData sheetId="14">
        <row r="2">
          <cell r="N2">
            <v>38000</v>
          </cell>
        </row>
        <row r="85">
          <cell r="Q85">
            <v>100000.2665764737</v>
          </cell>
          <cell r="R85">
            <v>98626.375488315112</v>
          </cell>
        </row>
        <row r="89">
          <cell r="Q89">
            <v>75802.288394739749</v>
          </cell>
          <cell r="R89">
            <v>74300.810730218902</v>
          </cell>
        </row>
      </sheetData>
      <sheetData sheetId="15">
        <row r="2">
          <cell r="N2">
            <v>46000</v>
          </cell>
        </row>
        <row r="85">
          <cell r="Q85">
            <v>97563.397389849895</v>
          </cell>
          <cell r="R85">
            <v>91878.85879560608</v>
          </cell>
        </row>
        <row r="89">
          <cell r="Q89">
            <v>73789.665063000037</v>
          </cell>
          <cell r="R89">
            <v>74846.670992211642</v>
          </cell>
        </row>
      </sheetData>
      <sheetData sheetId="16">
        <row r="2">
          <cell r="N2">
            <v>42000</v>
          </cell>
        </row>
        <row r="85">
          <cell r="Q85">
            <v>101811.71428571429</v>
          </cell>
          <cell r="R85">
            <v>105401.07562875186</v>
          </cell>
        </row>
        <row r="89">
          <cell r="Q89">
            <v>82149.681856165029</v>
          </cell>
          <cell r="R89">
            <v>83489.311687732654</v>
          </cell>
        </row>
      </sheetData>
      <sheetData sheetId="17">
        <row r="2">
          <cell r="N2">
            <v>79000</v>
          </cell>
        </row>
        <row r="85">
          <cell r="Q85">
            <v>103000</v>
          </cell>
          <cell r="R85">
            <v>99154.798016997171</v>
          </cell>
        </row>
        <row r="89">
          <cell r="Q89">
            <v>79359.056432094163</v>
          </cell>
          <cell r="R89">
            <v>82952.716250430152</v>
          </cell>
        </row>
      </sheetData>
      <sheetData sheetId="18">
        <row r="2">
          <cell r="N2">
            <v>35000</v>
          </cell>
        </row>
        <row r="85">
          <cell r="Q85">
            <v>96978.506571428574</v>
          </cell>
          <cell r="R85">
            <v>97128.152836716821</v>
          </cell>
        </row>
        <row r="89">
          <cell r="Q89">
            <v>73463.965027721686</v>
          </cell>
          <cell r="R89">
            <v>75272.977245648683</v>
          </cell>
        </row>
      </sheetData>
      <sheetData sheetId="19">
        <row r="2">
          <cell r="N2">
            <v>25500</v>
          </cell>
        </row>
        <row r="85">
          <cell r="Q85">
            <v>110506.47231372548</v>
          </cell>
          <cell r="R85">
            <v>109537.85269971582</v>
          </cell>
        </row>
        <row r="89">
          <cell r="Q89">
            <v>73076.889477504548</v>
          </cell>
          <cell r="R89">
            <v>72378.669350594675</v>
          </cell>
        </row>
      </sheetData>
      <sheetData sheetId="20">
        <row r="2">
          <cell r="N2">
            <v>13000</v>
          </cell>
        </row>
        <row r="85">
          <cell r="Q85">
            <v>112000</v>
          </cell>
          <cell r="R85">
            <v>107461.6620052145</v>
          </cell>
        </row>
        <row r="89">
          <cell r="Q89">
            <v>74232.239872050952</v>
          </cell>
          <cell r="R89">
            <v>73849.071225408872</v>
          </cell>
        </row>
      </sheetData>
      <sheetData sheetId="21">
        <row r="2">
          <cell r="N2">
            <v>29000</v>
          </cell>
        </row>
        <row r="85">
          <cell r="Q85">
            <v>122764.8448275862</v>
          </cell>
          <cell r="R85">
            <v>121628.83989398679</v>
          </cell>
        </row>
        <row r="89">
          <cell r="Q89">
            <v>90694.676229846023</v>
          </cell>
          <cell r="R89">
            <v>90280.53501911716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합계"/>
      <sheetName val="수도권"/>
      <sheetName val="영남권"/>
      <sheetName val="중부권"/>
      <sheetName val="안양"/>
      <sheetName val="인천"/>
      <sheetName val="파주"/>
      <sheetName val="김포"/>
      <sheetName val="부산"/>
      <sheetName val="서부산"/>
      <sheetName val="김해"/>
      <sheetName val="정관"/>
      <sheetName val="양산"/>
      <sheetName val="창원"/>
      <sheetName val="대구"/>
      <sheetName val="울산"/>
      <sheetName val="아산"/>
      <sheetName val="원주"/>
      <sheetName val="군산"/>
      <sheetName val="전주"/>
      <sheetName val="제주"/>
    </sheetNames>
    <sheetDataSet>
      <sheetData sheetId="0">
        <row r="85">
          <cell r="Q85">
            <v>101545.60808514841</v>
          </cell>
        </row>
        <row r="89">
          <cell r="Q89">
            <v>79626.842087759753</v>
          </cell>
        </row>
      </sheetData>
      <sheetData sheetId="1">
        <row r="85">
          <cell r="Q85">
            <v>99728.341364175052</v>
          </cell>
        </row>
        <row r="89">
          <cell r="Q89">
            <v>81473.809571555641</v>
          </cell>
        </row>
      </sheetData>
      <sheetData sheetId="2">
        <row r="85">
          <cell r="Q85">
            <v>101754.44168144187</v>
          </cell>
        </row>
        <row r="89">
          <cell r="Q89">
            <v>79144.888056084397</v>
          </cell>
        </row>
      </sheetData>
      <sheetData sheetId="3">
        <row r="85">
          <cell r="Q85">
            <v>105015.16653650969</v>
          </cell>
        </row>
        <row r="89">
          <cell r="Q89">
            <v>76837.745219524717</v>
          </cell>
        </row>
      </sheetData>
      <sheetData sheetId="4">
        <row r="5">
          <cell r="T5">
            <v>170698</v>
          </cell>
        </row>
        <row r="85">
          <cell r="Q85">
            <v>98646.302102992719</v>
          </cell>
        </row>
        <row r="89">
          <cell r="Q89">
            <v>81001.250943484687</v>
          </cell>
        </row>
      </sheetData>
      <sheetData sheetId="5">
        <row r="5">
          <cell r="T5">
            <v>113751</v>
          </cell>
        </row>
        <row r="85">
          <cell r="Q85">
            <v>101254.59197721339</v>
          </cell>
        </row>
        <row r="89">
          <cell r="Q89">
            <v>82842.101792039073</v>
          </cell>
        </row>
      </sheetData>
      <sheetData sheetId="6">
        <row r="5">
          <cell r="T5">
            <v>94777</v>
          </cell>
        </row>
        <row r="85">
          <cell r="Q85">
            <v>100686.07387406503</v>
          </cell>
        </row>
        <row r="89">
          <cell r="Q89">
            <v>83027.044904367402</v>
          </cell>
        </row>
      </sheetData>
      <sheetData sheetId="7">
        <row r="5">
          <cell r="T5">
            <v>41157.5</v>
          </cell>
        </row>
        <row r="85">
          <cell r="Q85">
            <v>97802.263135516012</v>
          </cell>
        </row>
        <row r="89">
          <cell r="Q89">
            <v>76096.809323216978</v>
          </cell>
        </row>
      </sheetData>
      <sheetData sheetId="8">
        <row r="5">
          <cell r="T5">
            <v>85017</v>
          </cell>
        </row>
        <row r="85">
          <cell r="Q85">
            <v>106825.09893315454</v>
          </cell>
        </row>
        <row r="89">
          <cell r="Q89">
            <v>83745.240196307015</v>
          </cell>
        </row>
      </sheetData>
      <sheetData sheetId="9">
        <row r="5">
          <cell r="T5">
            <v>88975</v>
          </cell>
        </row>
        <row r="85">
          <cell r="Q85">
            <v>101006.23006462491</v>
          </cell>
        </row>
        <row r="89">
          <cell r="Q89">
            <v>79548.426930813221</v>
          </cell>
        </row>
      </sheetData>
      <sheetData sheetId="10">
        <row r="5">
          <cell r="T5">
            <v>52342</v>
          </cell>
        </row>
        <row r="85">
          <cell r="Q85">
            <v>99460.374442104439</v>
          </cell>
        </row>
        <row r="89">
          <cell r="Q89">
            <v>80371.435419363566</v>
          </cell>
        </row>
      </sheetData>
      <sheetData sheetId="11">
        <row r="5">
          <cell r="T5">
            <v>78444.5</v>
          </cell>
        </row>
        <row r="85">
          <cell r="Q85">
            <v>102797.59129065773</v>
          </cell>
        </row>
        <row r="89">
          <cell r="Q89">
            <v>82725.870521291974</v>
          </cell>
        </row>
      </sheetData>
      <sheetData sheetId="12">
        <row r="5">
          <cell r="T5">
            <v>49696</v>
          </cell>
        </row>
        <row r="85">
          <cell r="Q85">
            <v>93870.604374597562</v>
          </cell>
        </row>
        <row r="89">
          <cell r="Q89">
            <v>72551.281189632966</v>
          </cell>
        </row>
      </sheetData>
      <sheetData sheetId="13">
        <row r="5">
          <cell r="T5">
            <v>70602.5</v>
          </cell>
        </row>
        <row r="85">
          <cell r="Q85">
            <v>102995.93994546935</v>
          </cell>
        </row>
        <row r="89">
          <cell r="Q89">
            <v>75262.614669999355</v>
          </cell>
        </row>
      </sheetData>
      <sheetData sheetId="14">
        <row r="5">
          <cell r="T5">
            <v>61982.5</v>
          </cell>
        </row>
        <row r="85">
          <cell r="Q85">
            <v>100733.3947807849</v>
          </cell>
        </row>
        <row r="89">
          <cell r="Q89">
            <v>75016.613500891282</v>
          </cell>
        </row>
      </sheetData>
      <sheetData sheetId="15">
        <row r="5">
          <cell r="T5">
            <v>28464.5</v>
          </cell>
        </row>
        <row r="85">
          <cell r="Q85">
            <v>103153.16945669167</v>
          </cell>
        </row>
        <row r="89">
          <cell r="Q89">
            <v>82047.019108280263</v>
          </cell>
        </row>
      </sheetData>
      <sheetData sheetId="16">
        <row r="5">
          <cell r="T5">
            <v>98311</v>
          </cell>
        </row>
        <row r="85">
          <cell r="Q85">
            <v>101478.36042159382</v>
          </cell>
        </row>
        <row r="89">
          <cell r="Q89">
            <v>79552.634299050042</v>
          </cell>
        </row>
      </sheetData>
      <sheetData sheetId="17">
        <row r="5">
          <cell r="T5">
            <v>20073.5</v>
          </cell>
        </row>
        <row r="85">
          <cell r="Q85">
            <v>111334.87911978245</v>
          </cell>
        </row>
        <row r="89">
          <cell r="Q89">
            <v>73474.145854644361</v>
          </cell>
        </row>
      </sheetData>
      <sheetData sheetId="18">
        <row r="5">
          <cell r="T5">
            <v>32875</v>
          </cell>
        </row>
        <row r="85">
          <cell r="Q85">
            <v>109033.50568233752</v>
          </cell>
        </row>
        <row r="89">
          <cell r="Q89">
            <v>69903.816915998905</v>
          </cell>
        </row>
      </sheetData>
      <sheetData sheetId="19">
        <row r="5">
          <cell r="T5">
            <v>25735</v>
          </cell>
        </row>
        <row r="85">
          <cell r="Q85">
            <v>96272.833495466737</v>
          </cell>
        </row>
        <row r="89">
          <cell r="Q89">
            <v>71946.768216300319</v>
          </cell>
        </row>
      </sheetData>
      <sheetData sheetId="20">
        <row r="5">
          <cell r="T5">
            <v>13064</v>
          </cell>
        </row>
        <row r="85">
          <cell r="Q85">
            <v>128751.19703000612</v>
          </cell>
        </row>
        <row r="89">
          <cell r="Q89">
            <v>88808.506152082555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"/>
      <sheetName val="판매계획"/>
      <sheetName val="매입계획"/>
      <sheetName val="비율"/>
      <sheetName val="판매4"/>
      <sheetName val="판매6"/>
      <sheetName val="인별예산"/>
      <sheetName val="계정통제"/>
      <sheetName val="본사산출"/>
    </sheetNames>
    <sheetDataSet>
      <sheetData sheetId="0">
        <row r="5">
          <cell r="E5"/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  <cell r="S5" t="str">
            <v>금액</v>
          </cell>
          <cell r="T5" t="str">
            <v>단위당</v>
          </cell>
          <cell r="V5" t="str">
            <v>2월누계</v>
          </cell>
          <cell r="W5" t="str">
            <v>3월누계</v>
          </cell>
          <cell r="X5" t="str">
            <v>4월누계</v>
          </cell>
          <cell r="Y5" t="str">
            <v>5월누계</v>
          </cell>
          <cell r="Z5" t="str">
            <v>6월누계</v>
          </cell>
          <cell r="AA5" t="str">
            <v>7월누계</v>
          </cell>
          <cell r="AB5" t="str">
            <v>8월누계</v>
          </cell>
          <cell r="AC5" t="str">
            <v>9월누계</v>
          </cell>
          <cell r="AD5" t="str">
            <v>10월누계</v>
          </cell>
          <cell r="AE5" t="str">
            <v>11월누계</v>
          </cell>
          <cell r="AF5" t="str">
            <v>12월누계</v>
          </cell>
        </row>
        <row r="6">
          <cell r="G6">
            <v>9800</v>
          </cell>
          <cell r="H6">
            <v>10200</v>
          </cell>
          <cell r="I6">
            <v>10200</v>
          </cell>
          <cell r="J6">
            <v>11100</v>
          </cell>
          <cell r="K6">
            <v>10700</v>
          </cell>
          <cell r="L6">
            <v>10200</v>
          </cell>
          <cell r="M6">
            <v>13500</v>
          </cell>
          <cell r="N6">
            <v>12600</v>
          </cell>
          <cell r="O6">
            <v>12600</v>
          </cell>
          <cell r="P6">
            <v>11000</v>
          </cell>
          <cell r="Q6">
            <v>12600</v>
          </cell>
          <cell r="R6">
            <v>13100</v>
          </cell>
          <cell r="S6">
            <v>137600</v>
          </cell>
          <cell r="T6"/>
          <cell r="U6"/>
          <cell r="V6">
            <v>20000</v>
          </cell>
          <cell r="W6">
            <v>30200</v>
          </cell>
          <cell r="X6">
            <v>41300</v>
          </cell>
          <cell r="Y6">
            <v>52000</v>
          </cell>
          <cell r="Z6">
            <v>62200</v>
          </cell>
          <cell r="AA6">
            <v>75700</v>
          </cell>
          <cell r="AB6">
            <v>88300</v>
          </cell>
          <cell r="AC6">
            <v>100900</v>
          </cell>
          <cell r="AD6">
            <v>111900</v>
          </cell>
          <cell r="AE6">
            <v>124500</v>
          </cell>
          <cell r="AF6">
            <v>137600</v>
          </cell>
        </row>
        <row r="7">
          <cell r="G7">
            <v>10731322.812054796</v>
          </cell>
          <cell r="H7">
            <v>11165945.543013699</v>
          </cell>
          <cell r="I7">
            <v>11165945.543013699</v>
          </cell>
          <cell r="J7">
            <v>12145191.004931508</v>
          </cell>
          <cell r="K7">
            <v>11710568.273972601</v>
          </cell>
          <cell r="L7">
            <v>11165945.543013699</v>
          </cell>
          <cell r="M7">
            <v>14694152.390399996</v>
          </cell>
          <cell r="N7">
            <v>13712918.880000001</v>
          </cell>
          <cell r="O7">
            <v>13712918.880000001</v>
          </cell>
          <cell r="P7">
            <v>11978568.614399999</v>
          </cell>
          <cell r="Q7">
            <v>13712918.880000001</v>
          </cell>
          <cell r="R7">
            <v>14246035.635199999</v>
          </cell>
          <cell r="S7">
            <v>150142431.99999997</v>
          </cell>
          <cell r="T7">
            <v>1091151.3953488369</v>
          </cell>
          <cell r="U7"/>
          <cell r="V7">
            <v>21897268.355068497</v>
          </cell>
          <cell r="W7">
            <v>33063213.898082197</v>
          </cell>
          <cell r="X7">
            <v>45208404.903013706</v>
          </cell>
          <cell r="Y7">
            <v>56918973.176986307</v>
          </cell>
          <cell r="Z7">
            <v>68084918.719999999</v>
          </cell>
          <cell r="AA7">
            <v>82779071.110399991</v>
          </cell>
          <cell r="AB7">
            <v>96491989.990399987</v>
          </cell>
          <cell r="AC7">
            <v>110204908.87039998</v>
          </cell>
          <cell r="AD7">
            <v>122183477.48479998</v>
          </cell>
          <cell r="AE7">
            <v>135896396.36479998</v>
          </cell>
          <cell r="AF7">
            <v>150142431.99999997</v>
          </cell>
        </row>
        <row r="8">
          <cell r="G8">
            <v>1095032.9400055914</v>
          </cell>
          <cell r="H8">
            <v>1094700.5434327156</v>
          </cell>
          <cell r="I8">
            <v>1094700.5434327156</v>
          </cell>
          <cell r="J8">
            <v>1094161.3517956315</v>
          </cell>
          <cell r="K8">
            <v>1094445.6330815514</v>
          </cell>
          <cell r="L8">
            <v>1094700.5434327156</v>
          </cell>
          <cell r="M8">
            <v>1088455.7326222218</v>
          </cell>
          <cell r="N8">
            <v>1088326.8952380954</v>
          </cell>
          <cell r="O8">
            <v>1088326.8952380954</v>
          </cell>
          <cell r="P8">
            <v>1088960.7831272727</v>
          </cell>
          <cell r="Q8">
            <v>1088326.8952380954</v>
          </cell>
          <cell r="R8">
            <v>1087483.6362748093</v>
          </cell>
          <cell r="S8">
            <v>13097622.392919512</v>
          </cell>
          <cell r="T8">
            <v>95186.209250868545</v>
          </cell>
          <cell r="U8"/>
          <cell r="V8"/>
          <cell r="W8"/>
          <cell r="X8"/>
          <cell r="Y8"/>
          <cell r="Z8"/>
          <cell r="AA8"/>
          <cell r="AB8"/>
          <cell r="AC8"/>
          <cell r="AD8"/>
          <cell r="AE8"/>
          <cell r="AF8"/>
        </row>
        <row r="9">
          <cell r="G9">
            <v>10441182.304265575</v>
          </cell>
          <cell r="H9">
            <v>10864468.817494512</v>
          </cell>
          <cell r="I9">
            <v>10864468.817494512</v>
          </cell>
          <cell r="J9">
            <v>11817136.843952389</v>
          </cell>
          <cell r="K9">
            <v>11393850.330723453</v>
          </cell>
          <cell r="L9">
            <v>10864468.817494512</v>
          </cell>
          <cell r="M9">
            <v>14298333.470727189</v>
          </cell>
          <cell r="N9">
            <v>13342736.269191843</v>
          </cell>
          <cell r="O9">
            <v>13342736.269191843</v>
          </cell>
          <cell r="P9">
            <v>11655606.716888821</v>
          </cell>
          <cell r="Q9">
            <v>13342736.269191843</v>
          </cell>
          <cell r="R9">
            <v>13862078.619959515</v>
          </cell>
          <cell r="S9">
            <v>146089803.54657599</v>
          </cell>
          <cell r="T9">
            <v>1061699.1536815118</v>
          </cell>
          <cell r="U9"/>
          <cell r="V9">
            <v>21305651.121760085</v>
          </cell>
          <cell r="W9">
            <v>32170119.939254597</v>
          </cell>
          <cell r="X9">
            <v>43987256.783206984</v>
          </cell>
          <cell r="Y9">
            <v>55381107.113930434</v>
          </cell>
          <cell r="Z9">
            <v>66245575.931424946</v>
          </cell>
          <cell r="AA9">
            <v>80543909.402152136</v>
          </cell>
          <cell r="AB9">
            <v>93886645.671343982</v>
          </cell>
          <cell r="AC9">
            <v>107229381.94053583</v>
          </cell>
          <cell r="AD9">
            <v>118884988.65742464</v>
          </cell>
          <cell r="AE9">
            <v>132227724.92661649</v>
          </cell>
          <cell r="AF9">
            <v>146089803.54657599</v>
          </cell>
        </row>
        <row r="10">
          <cell r="G10">
            <v>1065426.7657413853</v>
          </cell>
          <cell r="H10">
            <v>1065144.0017151483</v>
          </cell>
          <cell r="I10">
            <v>1065144.0017151483</v>
          </cell>
          <cell r="J10">
            <v>1064606.9228785937</v>
          </cell>
          <cell r="K10">
            <v>1064845.8253012572</v>
          </cell>
          <cell r="L10">
            <v>1065144.0017151483</v>
          </cell>
          <cell r="M10">
            <v>1059135.8126464584</v>
          </cell>
          <cell r="N10">
            <v>1058947.3229517334</v>
          </cell>
          <cell r="O10">
            <v>1058947.3229517334</v>
          </cell>
          <cell r="P10">
            <v>1059600.6106262563</v>
          </cell>
          <cell r="Q10">
            <v>1058947.3229517334</v>
          </cell>
          <cell r="R10">
            <v>1058173.9404549249</v>
          </cell>
          <cell r="S10">
            <v>12744063.851649521</v>
          </cell>
          <cell r="T10">
            <v>92616.743107918024</v>
          </cell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</row>
        <row r="11">
          <cell r="G11">
            <v>290140.50778922066</v>
          </cell>
          <cell r="H11">
            <v>301476.72551918775</v>
          </cell>
          <cell r="I11">
            <v>301476.72551918775</v>
          </cell>
          <cell r="J11">
            <v>328054.1609791182</v>
          </cell>
          <cell r="K11">
            <v>316717.94324914739</v>
          </cell>
          <cell r="L11">
            <v>301476.72551918775</v>
          </cell>
          <cell r="M11">
            <v>395818.91967280768</v>
          </cell>
          <cell r="N11">
            <v>370182.61080815829</v>
          </cell>
          <cell r="O11">
            <v>370182.61080815829</v>
          </cell>
          <cell r="P11">
            <v>322961.89751117863</v>
          </cell>
          <cell r="Q11">
            <v>370182.61080815829</v>
          </cell>
          <cell r="R11">
            <v>383957.01524048485</v>
          </cell>
          <cell r="S11">
            <v>4052628.4534239955</v>
          </cell>
          <cell r="T11">
            <v>29452.24166732555</v>
          </cell>
          <cell r="U11"/>
          <cell r="V11">
            <v>591617.23330841213</v>
          </cell>
          <cell r="W11">
            <v>893093.95882759988</v>
          </cell>
          <cell r="X11">
            <v>1221148.1198067218</v>
          </cell>
          <cell r="Y11">
            <v>1537866.0630558729</v>
          </cell>
          <cell r="Z11">
            <v>1839342.7885750532</v>
          </cell>
          <cell r="AA11">
            <v>2235161.7082478553</v>
          </cell>
          <cell r="AB11">
            <v>2605344.3190560043</v>
          </cell>
          <cell r="AC11">
            <v>2975526.9298641533</v>
          </cell>
          <cell r="AD11">
            <v>3298488.8273753375</v>
          </cell>
          <cell r="AE11">
            <v>3668671.4381834865</v>
          </cell>
          <cell r="AF11">
            <v>4052628.4534239769</v>
          </cell>
        </row>
        <row r="12">
          <cell r="G12">
            <v>29606.174264206187</v>
          </cell>
          <cell r="H12">
            <v>29556.541717567427</v>
          </cell>
          <cell r="I12">
            <v>29556.541717567427</v>
          </cell>
          <cell r="J12">
            <v>29554.428917037676</v>
          </cell>
          <cell r="K12">
            <v>29599.807780294148</v>
          </cell>
          <cell r="L12">
            <v>29556.541717567427</v>
          </cell>
          <cell r="M12">
            <v>29319.919975763532</v>
          </cell>
          <cell r="N12">
            <v>29379.572286361767</v>
          </cell>
          <cell r="O12">
            <v>29379.572286361767</v>
          </cell>
          <cell r="P12">
            <v>29360.172501016241</v>
          </cell>
          <cell r="Q12">
            <v>29379.572286361767</v>
          </cell>
          <cell r="R12">
            <v>29309.695819884339</v>
          </cell>
          <cell r="S12">
            <v>353558.54126998968</v>
          </cell>
          <cell r="T12">
            <v>2569.4661429505063</v>
          </cell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/>
          <cell r="AF12"/>
        </row>
        <row r="13">
          <cell r="G13">
            <v>2.7036788741766085E-2</v>
          </cell>
          <cell r="H13">
            <v>2.6999659308549601E-2</v>
          </cell>
          <cell r="I13">
            <v>2.6999659308549601E-2</v>
          </cell>
          <cell r="J13">
            <v>2.7011033490203083E-2</v>
          </cell>
          <cell r="K13">
            <v>2.7045480273837002E-2</v>
          </cell>
          <cell r="L13">
            <v>2.6999659308549601E-2</v>
          </cell>
          <cell r="M13">
            <v>2.6937172635517558E-2</v>
          </cell>
          <cell r="N13">
            <v>2.6995172511963279E-2</v>
          </cell>
          <cell r="O13">
            <v>2.6995172511963279E-2</v>
          </cell>
          <cell r="P13">
            <v>2.6961643574252351E-2</v>
          </cell>
          <cell r="Q13">
            <v>2.6995172511963279E-2</v>
          </cell>
          <cell r="R13">
            <v>2.6951849979357047E-2</v>
          </cell>
          <cell r="S13">
            <v>2.6991892960838655E-2</v>
          </cell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/>
          <cell r="AF13"/>
        </row>
        <row r="14">
          <cell r="G14">
            <v>117303.42</v>
          </cell>
          <cell r="H14">
            <v>124380.2</v>
          </cell>
          <cell r="I14">
            <v>131106</v>
          </cell>
          <cell r="J14">
            <v>117386.58000000002</v>
          </cell>
          <cell r="K14">
            <v>118764.58000000002</v>
          </cell>
          <cell r="L14">
            <v>128141.56000000001</v>
          </cell>
          <cell r="M14">
            <v>116814.58000000002</v>
          </cell>
          <cell r="N14">
            <v>116814.58000000002</v>
          </cell>
          <cell r="O14">
            <v>140361.42000000001</v>
          </cell>
          <cell r="P14">
            <v>117425.58000000002</v>
          </cell>
          <cell r="Q14">
            <v>116814.58000000002</v>
          </cell>
          <cell r="R14">
            <v>118641.56000000001</v>
          </cell>
          <cell r="S14">
            <v>1463954.6400000004</v>
          </cell>
          <cell r="T14">
            <v>10639.205232558143</v>
          </cell>
          <cell r="U14"/>
          <cell r="V14">
            <v>241683.62</v>
          </cell>
          <cell r="W14">
            <v>372789.62</v>
          </cell>
          <cell r="X14">
            <v>490176.2</v>
          </cell>
          <cell r="Y14">
            <v>608940.78</v>
          </cell>
          <cell r="Z14">
            <v>737082.34000000008</v>
          </cell>
          <cell r="AA14">
            <v>853896.92000000016</v>
          </cell>
          <cell r="AB14">
            <v>970711.50000000023</v>
          </cell>
          <cell r="AC14">
            <v>1111072.9200000002</v>
          </cell>
          <cell r="AD14">
            <v>1228498.5000000002</v>
          </cell>
          <cell r="AE14">
            <v>1345313.0800000003</v>
          </cell>
          <cell r="AF14">
            <v>1463954.6400000001</v>
          </cell>
        </row>
        <row r="15">
          <cell r="G15">
            <v>87502.28</v>
          </cell>
          <cell r="H15">
            <v>87502.28</v>
          </cell>
          <cell r="I15">
            <v>89090.290000000008</v>
          </cell>
          <cell r="J15">
            <v>89090.290000000008</v>
          </cell>
          <cell r="K15">
            <v>89090.290000000008</v>
          </cell>
          <cell r="L15">
            <v>89090.290000000008</v>
          </cell>
          <cell r="M15">
            <v>89090.290000000008</v>
          </cell>
          <cell r="N15">
            <v>89090.290000000008</v>
          </cell>
          <cell r="O15">
            <v>89090.290000000008</v>
          </cell>
          <cell r="P15">
            <v>89090.290000000008</v>
          </cell>
          <cell r="Q15">
            <v>89090.290000000008</v>
          </cell>
          <cell r="R15">
            <v>89090.290000000008</v>
          </cell>
          <cell r="S15">
            <v>1065907.4600000002</v>
          </cell>
          <cell r="T15">
            <v>7746.420494186048</v>
          </cell>
          <cell r="U15"/>
          <cell r="V15">
            <v>175004.56</v>
          </cell>
          <cell r="W15">
            <v>264094.84999999998</v>
          </cell>
          <cell r="X15">
            <v>353185.14</v>
          </cell>
          <cell r="Y15">
            <v>442275.43000000005</v>
          </cell>
          <cell r="Z15">
            <v>531365.72000000009</v>
          </cell>
          <cell r="AA15">
            <v>620456.01000000013</v>
          </cell>
          <cell r="AB15">
            <v>709546.30000000016</v>
          </cell>
          <cell r="AC15">
            <v>798636.5900000002</v>
          </cell>
          <cell r="AD15">
            <v>887726.88000000024</v>
          </cell>
          <cell r="AE15">
            <v>976817.17000000027</v>
          </cell>
          <cell r="AF15">
            <v>1065907.4600000002</v>
          </cell>
        </row>
        <row r="16">
          <cell r="G16">
            <v>29801.14</v>
          </cell>
          <cell r="H16">
            <v>36877.919999999998</v>
          </cell>
          <cell r="I16">
            <v>42015.71</v>
          </cell>
          <cell r="J16">
            <v>28296.29</v>
          </cell>
          <cell r="K16">
            <v>29674.29</v>
          </cell>
          <cell r="L16">
            <v>39051.270000000004</v>
          </cell>
          <cell r="M16">
            <v>27724.29</v>
          </cell>
          <cell r="N16">
            <v>27724.29</v>
          </cell>
          <cell r="O16">
            <v>51271.130000000005</v>
          </cell>
          <cell r="P16">
            <v>28335.29</v>
          </cell>
          <cell r="Q16">
            <v>27724.29</v>
          </cell>
          <cell r="R16">
            <v>29551.27</v>
          </cell>
          <cell r="S16">
            <v>398047.18</v>
          </cell>
          <cell r="T16">
            <v>2892.7847383720932</v>
          </cell>
          <cell r="U16"/>
          <cell r="V16">
            <v>66679.06</v>
          </cell>
          <cell r="W16">
            <v>108694.76999999999</v>
          </cell>
          <cell r="X16">
            <v>136991.06</v>
          </cell>
          <cell r="Y16">
            <v>166665.35</v>
          </cell>
          <cell r="Z16">
            <v>205716.62</v>
          </cell>
          <cell r="AA16">
            <v>233440.91</v>
          </cell>
          <cell r="AB16">
            <v>261165.2</v>
          </cell>
          <cell r="AC16">
            <v>312436.33</v>
          </cell>
          <cell r="AD16">
            <v>340771.62</v>
          </cell>
          <cell r="AE16">
            <v>368495.91</v>
          </cell>
          <cell r="AF16">
            <v>398047.18</v>
          </cell>
        </row>
        <row r="17">
          <cell r="G17">
            <v>172837.08778922068</v>
          </cell>
          <cell r="H17">
            <v>177096.52551918774</v>
          </cell>
          <cell r="I17">
            <v>170370.72551918775</v>
          </cell>
          <cell r="J17">
            <v>210667.58097911818</v>
          </cell>
          <cell r="K17">
            <v>197953.36324914737</v>
          </cell>
          <cell r="L17">
            <v>173335.16551918775</v>
          </cell>
          <cell r="M17">
            <v>279004.33967280766</v>
          </cell>
          <cell r="N17">
            <v>253368.03080815828</v>
          </cell>
          <cell r="O17">
            <v>229821.19080815828</v>
          </cell>
          <cell r="P17">
            <v>205536.31751117861</v>
          </cell>
          <cell r="Q17">
            <v>253368.03080815828</v>
          </cell>
          <cell r="R17">
            <v>265315.45524048485</v>
          </cell>
          <cell r="S17">
            <v>2588673.8134239954</v>
          </cell>
          <cell r="T17">
            <v>18813.036434767408</v>
          </cell>
          <cell r="U17"/>
          <cell r="V17">
            <v>349933.61330841214</v>
          </cell>
          <cell r="W17">
            <v>520304.33882759989</v>
          </cell>
          <cell r="X17">
            <v>730971.91980672185</v>
          </cell>
          <cell r="Y17">
            <v>928925.28305587289</v>
          </cell>
          <cell r="Z17">
            <v>1102260.4485750531</v>
          </cell>
          <cell r="AA17">
            <v>1381264.7882478551</v>
          </cell>
          <cell r="AB17">
            <v>1634632.8190560041</v>
          </cell>
          <cell r="AC17">
            <v>1864454.0098641531</v>
          </cell>
          <cell r="AD17">
            <v>2069990.3273753372</v>
          </cell>
          <cell r="AE17">
            <v>2323358.3581834864</v>
          </cell>
          <cell r="AF17">
            <v>2588673.8134239768</v>
          </cell>
        </row>
        <row r="18">
          <cell r="G18">
            <v>1.6105851144005093E-2</v>
          </cell>
          <cell r="H18">
            <v>1.5860414582622908E-2</v>
          </cell>
          <cell r="I18">
            <v>1.5258065236202515E-2</v>
          </cell>
          <cell r="J18">
            <v>1.7345761041845899E-2</v>
          </cell>
          <cell r="K18">
            <v>1.6903822138940081E-2</v>
          </cell>
          <cell r="L18">
            <v>1.5523554619844978E-2</v>
          </cell>
          <cell r="M18">
            <v>1.8987440191180212E-2</v>
          </cell>
          <cell r="N18">
            <v>1.8476593716140927E-2</v>
          </cell>
          <cell r="O18">
            <v>1.6759465495223454E-2</v>
          </cell>
          <cell r="P18">
            <v>1.715867096708815E-2</v>
          </cell>
          <cell r="Q18">
            <v>1.8476593716140927E-2</v>
          </cell>
          <cell r="R18">
            <v>1.8623809601102412E-2</v>
          </cell>
          <cell r="S18">
            <v>1.7241453857787491E-2</v>
          </cell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</row>
        <row r="19">
          <cell r="G19">
            <v>5475.768</v>
          </cell>
          <cell r="H19">
            <v>5475.768</v>
          </cell>
          <cell r="I19">
            <v>5475.768</v>
          </cell>
          <cell r="J19">
            <v>5475.768</v>
          </cell>
          <cell r="K19">
            <v>5475.768</v>
          </cell>
          <cell r="L19">
            <v>5475.768</v>
          </cell>
          <cell r="M19">
            <v>5475.768</v>
          </cell>
          <cell r="N19">
            <v>5475.768</v>
          </cell>
          <cell r="O19">
            <v>5475.768</v>
          </cell>
          <cell r="P19">
            <v>5475.768</v>
          </cell>
          <cell r="Q19">
            <v>5475.768</v>
          </cell>
          <cell r="R19">
            <v>5475.768</v>
          </cell>
          <cell r="S19">
            <v>65709.215999999986</v>
          </cell>
          <cell r="T19">
            <v>477.53790697674407</v>
          </cell>
          <cell r="U19"/>
          <cell r="V19">
            <v>10951.536</v>
          </cell>
          <cell r="W19">
            <v>16427.304</v>
          </cell>
          <cell r="X19">
            <v>21903.072</v>
          </cell>
          <cell r="Y19">
            <v>27378.84</v>
          </cell>
          <cell r="Z19">
            <v>32854.608</v>
          </cell>
          <cell r="AA19">
            <v>38330.376000000004</v>
          </cell>
          <cell r="AB19">
            <v>43806.144</v>
          </cell>
          <cell r="AC19">
            <v>49281.911999999997</v>
          </cell>
          <cell r="AD19">
            <v>54757.679999999993</v>
          </cell>
          <cell r="AE19">
            <v>60233.447999999989</v>
          </cell>
          <cell r="AF19">
            <v>65709.215999999986</v>
          </cell>
        </row>
        <row r="20">
          <cell r="G20">
            <v>5475.768</v>
          </cell>
          <cell r="H20">
            <v>5475.768</v>
          </cell>
          <cell r="I20">
            <v>5475.768</v>
          </cell>
          <cell r="J20">
            <v>5475.768</v>
          </cell>
          <cell r="K20">
            <v>5475.768</v>
          </cell>
          <cell r="L20">
            <v>5475.768</v>
          </cell>
          <cell r="M20">
            <v>5475.768</v>
          </cell>
          <cell r="N20">
            <v>5475.768</v>
          </cell>
          <cell r="O20">
            <v>5475.768</v>
          </cell>
          <cell r="P20">
            <v>5475.768</v>
          </cell>
          <cell r="Q20">
            <v>5475.768</v>
          </cell>
          <cell r="R20">
            <v>5475.768</v>
          </cell>
          <cell r="S20">
            <v>65709.215999999986</v>
          </cell>
          <cell r="T20">
            <v>477.53790697674407</v>
          </cell>
          <cell r="U20"/>
          <cell r="V20">
            <v>10951.536</v>
          </cell>
          <cell r="W20">
            <v>16427.304</v>
          </cell>
          <cell r="X20">
            <v>21903.072</v>
          </cell>
          <cell r="Y20">
            <v>27378.84</v>
          </cell>
          <cell r="Z20">
            <v>32854.608</v>
          </cell>
          <cell r="AA20">
            <v>38330.376000000004</v>
          </cell>
          <cell r="AB20">
            <v>43806.144</v>
          </cell>
          <cell r="AC20">
            <v>49281.911999999997</v>
          </cell>
          <cell r="AD20">
            <v>54757.679999999993</v>
          </cell>
          <cell r="AE20">
            <v>60233.447999999989</v>
          </cell>
          <cell r="AF20">
            <v>65709.215999999986</v>
          </cell>
        </row>
        <row r="21">
          <cell r="G21">
            <v>167361.31978922067</v>
          </cell>
          <cell r="H21">
            <v>171620.75751918773</v>
          </cell>
          <cell r="I21">
            <v>164894.95751918774</v>
          </cell>
          <cell r="J21">
            <v>205191.81297911817</v>
          </cell>
          <cell r="K21">
            <v>192477.59524914736</v>
          </cell>
          <cell r="L21">
            <v>167859.39751918774</v>
          </cell>
          <cell r="M21">
            <v>273528.57167280768</v>
          </cell>
          <cell r="N21">
            <v>247892.26280815827</v>
          </cell>
          <cell r="O21">
            <v>224345.42280815827</v>
          </cell>
          <cell r="P21">
            <v>200060.5495111786</v>
          </cell>
          <cell r="Q21">
            <v>247892.26280815827</v>
          </cell>
          <cell r="R21">
            <v>259839.68724048484</v>
          </cell>
          <cell r="S21">
            <v>2522964.5974239949</v>
          </cell>
          <cell r="T21">
            <v>18335.498527790664</v>
          </cell>
          <cell r="U21"/>
          <cell r="V21">
            <v>338982.07730841212</v>
          </cell>
          <cell r="W21">
            <v>503877.03482759988</v>
          </cell>
          <cell r="X21">
            <v>709068.84780672181</v>
          </cell>
          <cell r="Y21">
            <v>901546.44305587292</v>
          </cell>
          <cell r="Z21">
            <v>1069405.8405750531</v>
          </cell>
          <cell r="AA21">
            <v>1342934.4122478552</v>
          </cell>
          <cell r="AB21">
            <v>1590826.675056004</v>
          </cell>
          <cell r="AC21">
            <v>1815172.0978641531</v>
          </cell>
          <cell r="AD21">
            <v>2015232.6473753373</v>
          </cell>
          <cell r="AE21">
            <v>2263124.9101834865</v>
          </cell>
          <cell r="AF21">
            <v>2522964.5974239768</v>
          </cell>
        </row>
        <row r="22">
          <cell r="G22">
            <v>1.5595590843769885E-2</v>
          </cell>
          <cell r="H22">
            <v>1.5370015629940743E-2</v>
          </cell>
          <cell r="I22">
            <v>1.476766628352035E-2</v>
          </cell>
          <cell r="J22">
            <v>1.6894902097118178E-2</v>
          </cell>
          <cell r="K22">
            <v>1.6436230142386828E-2</v>
          </cell>
          <cell r="L22">
            <v>1.5033155667162812E-2</v>
          </cell>
          <cell r="M22">
            <v>1.8614790728011622E-2</v>
          </cell>
          <cell r="N22">
            <v>1.8077279168456532E-2</v>
          </cell>
          <cell r="O22">
            <v>1.6360150947539058E-2</v>
          </cell>
          <cell r="P22">
            <v>1.6701540555578272E-2</v>
          </cell>
          <cell r="Q22">
            <v>1.8077279168456532E-2</v>
          </cell>
          <cell r="R22">
            <v>1.8239438247540013E-2</v>
          </cell>
          <cell r="S22">
            <v>1.6803807982969102E-2</v>
          </cell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</row>
        <row r="23">
          <cell r="S23"/>
        </row>
        <row r="24">
          <cell r="G24">
            <v>9800</v>
          </cell>
          <cell r="H24">
            <v>10200</v>
          </cell>
          <cell r="I24">
            <v>10200</v>
          </cell>
          <cell r="J24">
            <v>11100</v>
          </cell>
          <cell r="K24">
            <v>10700</v>
          </cell>
          <cell r="L24">
            <v>10200</v>
          </cell>
          <cell r="M24">
            <v>13500</v>
          </cell>
          <cell r="N24">
            <v>12600</v>
          </cell>
          <cell r="O24">
            <v>12600</v>
          </cell>
          <cell r="P24">
            <v>11000</v>
          </cell>
          <cell r="Q24">
            <v>12600</v>
          </cell>
          <cell r="R24">
            <v>13100</v>
          </cell>
          <cell r="S24">
            <v>137600</v>
          </cell>
          <cell r="T24"/>
          <cell r="U24"/>
          <cell r="V24">
            <v>20000</v>
          </cell>
          <cell r="W24">
            <v>30200</v>
          </cell>
          <cell r="X24">
            <v>41300</v>
          </cell>
          <cell r="Y24">
            <v>52000</v>
          </cell>
          <cell r="Z24">
            <v>62200</v>
          </cell>
          <cell r="AA24">
            <v>75700</v>
          </cell>
          <cell r="AB24">
            <v>88300</v>
          </cell>
          <cell r="AC24">
            <v>100900</v>
          </cell>
          <cell r="AD24">
            <v>111900</v>
          </cell>
          <cell r="AE24">
            <v>124500</v>
          </cell>
          <cell r="AF24">
            <v>137600</v>
          </cell>
        </row>
        <row r="25">
          <cell r="G25">
            <v>872959.18367346935</v>
          </cell>
          <cell r="H25">
            <v>872058.82352941169</v>
          </cell>
          <cell r="I25">
            <v>872058.82352941169</v>
          </cell>
          <cell r="J25">
            <v>872522.52252252249</v>
          </cell>
          <cell r="K25">
            <v>873364.48598130851</v>
          </cell>
          <cell r="L25">
            <v>872058.82352941169</v>
          </cell>
          <cell r="M25">
            <v>872222.22222222213</v>
          </cell>
          <cell r="N25">
            <v>873809.5238095239</v>
          </cell>
          <cell r="O25">
            <v>873809.5238095239</v>
          </cell>
          <cell r="P25">
            <v>872727.27272727271</v>
          </cell>
          <cell r="Q25">
            <v>873809.5238095239</v>
          </cell>
          <cell r="R25">
            <v>872900.76335877855</v>
          </cell>
          <cell r="S25">
            <v>872892.44186046522</v>
          </cell>
          <cell r="T25"/>
          <cell r="U25"/>
          <cell r="V25">
            <v>872500</v>
          </cell>
          <cell r="W25">
            <v>872350.99337748345</v>
          </cell>
          <cell r="X25">
            <v>872397.09443099273</v>
          </cell>
          <cell r="Y25">
            <v>872596.15384615376</v>
          </cell>
          <cell r="Z25">
            <v>872508.03858520894</v>
          </cell>
          <cell r="AA25">
            <v>872457.06737120217</v>
          </cell>
          <cell r="AB25">
            <v>872650.05662514153</v>
          </cell>
          <cell r="AC25">
            <v>872794.84638255707</v>
          </cell>
          <cell r="AD25">
            <v>872788.20375335123</v>
          </cell>
          <cell r="AE25">
            <v>872891.56626506022</v>
          </cell>
          <cell r="AF25">
            <v>872892.44186046522</v>
          </cell>
        </row>
        <row r="26">
          <cell r="G26">
            <v>8555000</v>
          </cell>
          <cell r="H26">
            <v>8895000</v>
          </cell>
          <cell r="I26">
            <v>8895000</v>
          </cell>
          <cell r="J26">
            <v>9685000</v>
          </cell>
          <cell r="K26">
            <v>9345000</v>
          </cell>
          <cell r="L26">
            <v>8895000</v>
          </cell>
          <cell r="M26">
            <v>11775000</v>
          </cell>
          <cell r="N26">
            <v>11010000</v>
          </cell>
          <cell r="O26">
            <v>11010000</v>
          </cell>
          <cell r="P26">
            <v>9600000</v>
          </cell>
          <cell r="Q26">
            <v>11010000</v>
          </cell>
          <cell r="R26">
            <v>11435000</v>
          </cell>
          <cell r="S26">
            <v>120110000</v>
          </cell>
          <cell r="T26"/>
          <cell r="U26"/>
          <cell r="V26">
            <v>17450000</v>
          </cell>
          <cell r="W26">
            <v>26345000</v>
          </cell>
          <cell r="X26">
            <v>36030000</v>
          </cell>
          <cell r="Y26">
            <v>45375000</v>
          </cell>
          <cell r="Z26">
            <v>54270000</v>
          </cell>
          <cell r="AA26">
            <v>66045000</v>
          </cell>
          <cell r="AB26">
            <v>77055000</v>
          </cell>
          <cell r="AC26">
            <v>88065000</v>
          </cell>
          <cell r="AD26">
            <v>97665000</v>
          </cell>
          <cell r="AE26">
            <v>108675000</v>
          </cell>
          <cell r="AF26">
            <v>120110000</v>
          </cell>
        </row>
        <row r="27">
          <cell r="G27">
            <v>2176322.8120547961</v>
          </cell>
          <cell r="H27">
            <v>2270945.5430136994</v>
          </cell>
          <cell r="I27">
            <v>2270945.5430136994</v>
          </cell>
          <cell r="J27">
            <v>2460191.0049315076</v>
          </cell>
          <cell r="K27">
            <v>2365568.2739726007</v>
          </cell>
          <cell r="L27">
            <v>2270945.5430136994</v>
          </cell>
          <cell r="M27">
            <v>2919152.3903999962</v>
          </cell>
          <cell r="N27">
            <v>2702918.8800000008</v>
          </cell>
          <cell r="O27">
            <v>2702918.8800000008</v>
          </cell>
          <cell r="P27">
            <v>2378568.6143999994</v>
          </cell>
          <cell r="Q27">
            <v>2702918.8800000008</v>
          </cell>
          <cell r="R27">
            <v>2811035.6351999994</v>
          </cell>
          <cell r="S27">
            <v>30032432.000000007</v>
          </cell>
          <cell r="T27"/>
          <cell r="U27"/>
          <cell r="V27">
            <v>4447268.3550684955</v>
          </cell>
          <cell r="W27">
            <v>6718213.8980821948</v>
          </cell>
          <cell r="X27">
            <v>9178404.9030137025</v>
          </cell>
          <cell r="Y27">
            <v>11543973.176986303</v>
          </cell>
          <cell r="Z27">
            <v>13814918.720000003</v>
          </cell>
          <cell r="AA27">
            <v>16734071.110399999</v>
          </cell>
          <cell r="AB27">
            <v>19436989.990400001</v>
          </cell>
          <cell r="AC27">
            <v>22139908.870400004</v>
          </cell>
          <cell r="AD27">
            <v>24518477.484800003</v>
          </cell>
          <cell r="AE27">
            <v>27221396.364800006</v>
          </cell>
          <cell r="AF27">
            <v>30032432.000000007</v>
          </cell>
        </row>
        <row r="28">
          <cell r="G28">
            <v>10731322.812054796</v>
          </cell>
          <cell r="H28">
            <v>11165945.543013699</v>
          </cell>
          <cell r="I28">
            <v>11165945.543013699</v>
          </cell>
          <cell r="J28">
            <v>12145191.004931508</v>
          </cell>
          <cell r="K28">
            <v>11710568.273972601</v>
          </cell>
          <cell r="L28">
            <v>11165945.543013699</v>
          </cell>
          <cell r="M28">
            <v>14694152.390399996</v>
          </cell>
          <cell r="N28">
            <v>13712918.880000001</v>
          </cell>
          <cell r="O28">
            <v>13712918.880000001</v>
          </cell>
          <cell r="P28">
            <v>11978568.614399999</v>
          </cell>
          <cell r="Q28">
            <v>13712918.880000001</v>
          </cell>
          <cell r="R28">
            <v>14246035.635199999</v>
          </cell>
          <cell r="S28">
            <v>150142431.99999997</v>
          </cell>
          <cell r="T28"/>
          <cell r="U28"/>
          <cell r="V28">
            <v>21897268.355068497</v>
          </cell>
          <cell r="W28">
            <v>33063213.898082197</v>
          </cell>
          <cell r="X28">
            <v>45208404.903013706</v>
          </cell>
          <cell r="Y28">
            <v>56918973.176986307</v>
          </cell>
          <cell r="Z28">
            <v>68084918.719999999</v>
          </cell>
          <cell r="AA28">
            <v>82779071.110399991</v>
          </cell>
          <cell r="AB28">
            <v>96491989.990400001</v>
          </cell>
          <cell r="AC28">
            <v>110204908.87040001</v>
          </cell>
          <cell r="AD28">
            <v>122183477.48480001</v>
          </cell>
          <cell r="AE28">
            <v>135896396.36480001</v>
          </cell>
          <cell r="AF28">
            <v>150142432</v>
          </cell>
        </row>
        <row r="29">
          <cell r="G29">
            <v>8349642.5</v>
          </cell>
          <cell r="H29">
            <v>8681992.5</v>
          </cell>
          <cell r="I29">
            <v>8681992.5</v>
          </cell>
          <cell r="J29">
            <v>9452787.5</v>
          </cell>
          <cell r="K29">
            <v>9120437.5</v>
          </cell>
          <cell r="L29">
            <v>8681992.5</v>
          </cell>
          <cell r="M29">
            <v>11492902.5</v>
          </cell>
          <cell r="N29">
            <v>10745115</v>
          </cell>
          <cell r="O29">
            <v>10745115</v>
          </cell>
          <cell r="P29">
            <v>9369700</v>
          </cell>
          <cell r="Q29">
            <v>10745115</v>
          </cell>
          <cell r="R29">
            <v>11160552.5</v>
          </cell>
          <cell r="S29">
            <v>117227345</v>
          </cell>
          <cell r="T29"/>
          <cell r="U29"/>
          <cell r="V29">
            <v>17031635</v>
          </cell>
          <cell r="W29">
            <v>25713627.5</v>
          </cell>
          <cell r="X29">
            <v>35166415</v>
          </cell>
          <cell r="Y29">
            <v>44286852.5</v>
          </cell>
          <cell r="Z29">
            <v>52968845</v>
          </cell>
          <cell r="AA29">
            <v>64461747.5</v>
          </cell>
          <cell r="AB29">
            <v>75206862.5</v>
          </cell>
          <cell r="AC29">
            <v>85951977.5</v>
          </cell>
          <cell r="AD29">
            <v>95321677.5</v>
          </cell>
          <cell r="AE29">
            <v>106066792.5</v>
          </cell>
          <cell r="AF29">
            <v>117227345</v>
          </cell>
        </row>
        <row r="30">
          <cell r="G30">
            <v>2091539.8042655755</v>
          </cell>
          <cell r="H30">
            <v>2182476.3174945116</v>
          </cell>
          <cell r="I30">
            <v>2182476.3174945116</v>
          </cell>
          <cell r="J30">
            <v>2364349.3439523894</v>
          </cell>
          <cell r="K30">
            <v>2273412.8307234533</v>
          </cell>
          <cell r="L30">
            <v>2182476.3174945116</v>
          </cell>
          <cell r="M30">
            <v>2805430.9707271885</v>
          </cell>
          <cell r="N30">
            <v>2597621.2691918425</v>
          </cell>
          <cell r="O30">
            <v>2597621.2691918425</v>
          </cell>
          <cell r="P30">
            <v>2285906.7168888208</v>
          </cell>
          <cell r="Q30">
            <v>2597621.2691918425</v>
          </cell>
          <cell r="R30">
            <v>2701526.1199595146</v>
          </cell>
          <cell r="S30">
            <v>28862458.546576001</v>
          </cell>
          <cell r="T30"/>
          <cell r="U30"/>
          <cell r="V30">
            <v>4274016.1217600871</v>
          </cell>
          <cell r="W30">
            <v>6456492.4392545987</v>
          </cell>
          <cell r="X30">
            <v>8820841.7832069881</v>
          </cell>
          <cell r="Y30">
            <v>11094254.613930441</v>
          </cell>
          <cell r="Z30">
            <v>13276730.931424953</v>
          </cell>
          <cell r="AA30">
            <v>16082161.902152142</v>
          </cell>
          <cell r="AB30">
            <v>18679783.171343982</v>
          </cell>
          <cell r="AC30">
            <v>21277404.440535825</v>
          </cell>
          <cell r="AD30">
            <v>23563311.157424644</v>
          </cell>
          <cell r="AE30">
            <v>26160932.426616486</v>
          </cell>
          <cell r="AF30">
            <v>28862458.546576001</v>
          </cell>
        </row>
        <row r="31">
          <cell r="G31">
            <v>10441182.304265575</v>
          </cell>
          <cell r="H31">
            <v>10864468.817494512</v>
          </cell>
          <cell r="I31">
            <v>10864468.817494512</v>
          </cell>
          <cell r="J31">
            <v>11817136.843952389</v>
          </cell>
          <cell r="K31">
            <v>11393850.330723453</v>
          </cell>
          <cell r="L31">
            <v>10864468.817494512</v>
          </cell>
          <cell r="M31">
            <v>14298333.470727189</v>
          </cell>
          <cell r="N31">
            <v>13342736.269191843</v>
          </cell>
          <cell r="O31">
            <v>13342736.269191843</v>
          </cell>
          <cell r="P31">
            <v>11655606.716888821</v>
          </cell>
          <cell r="Q31">
            <v>13342736.269191843</v>
          </cell>
          <cell r="R31">
            <v>13862078.619959515</v>
          </cell>
          <cell r="S31">
            <v>146089803.54657599</v>
          </cell>
          <cell r="T31"/>
          <cell r="U31"/>
          <cell r="V31">
            <v>21305651.121760085</v>
          </cell>
          <cell r="W31">
            <v>32170119.939254597</v>
          </cell>
          <cell r="X31">
            <v>43987256.783206984</v>
          </cell>
          <cell r="Y31">
            <v>55381107.113930441</v>
          </cell>
          <cell r="Z31">
            <v>66245575.931424953</v>
          </cell>
          <cell r="AA31">
            <v>80543909.402152136</v>
          </cell>
          <cell r="AB31">
            <v>93886645.671343982</v>
          </cell>
          <cell r="AC31">
            <v>107229381.94053583</v>
          </cell>
          <cell r="AD31">
            <v>118884988.65742464</v>
          </cell>
          <cell r="AE31">
            <v>132227724.92661649</v>
          </cell>
          <cell r="AF31">
            <v>146089803.54657599</v>
          </cell>
        </row>
        <row r="32">
          <cell r="G32">
            <v>205357.5</v>
          </cell>
          <cell r="H32">
            <v>213007.5</v>
          </cell>
          <cell r="I32">
            <v>213007.5</v>
          </cell>
          <cell r="J32">
            <v>232212.5</v>
          </cell>
          <cell r="K32">
            <v>224562.5</v>
          </cell>
          <cell r="L32">
            <v>213007.5</v>
          </cell>
          <cell r="M32">
            <v>282097.5</v>
          </cell>
          <cell r="N32">
            <v>264885</v>
          </cell>
          <cell r="O32">
            <v>264885</v>
          </cell>
          <cell r="P32">
            <v>230300</v>
          </cell>
          <cell r="Q32">
            <v>264885</v>
          </cell>
          <cell r="R32">
            <v>274447.5</v>
          </cell>
          <cell r="S32">
            <v>2882655</v>
          </cell>
          <cell r="T32"/>
          <cell r="U32"/>
          <cell r="V32">
            <v>418365</v>
          </cell>
          <cell r="W32">
            <v>631372.5</v>
          </cell>
          <cell r="X32">
            <v>863585</v>
          </cell>
          <cell r="Y32">
            <v>1088147.5</v>
          </cell>
          <cell r="Z32">
            <v>1301155</v>
          </cell>
          <cell r="AA32">
            <v>1583252.5</v>
          </cell>
          <cell r="AB32">
            <v>1848137.5</v>
          </cell>
          <cell r="AC32">
            <v>2113022.5</v>
          </cell>
          <cell r="AD32">
            <v>2343322.5</v>
          </cell>
          <cell r="AE32">
            <v>2608207.5</v>
          </cell>
          <cell r="AF32">
            <v>2882655</v>
          </cell>
        </row>
        <row r="33">
          <cell r="G33">
            <v>2.4004383401519579E-2</v>
          </cell>
          <cell r="H33">
            <v>2.3946880269814501E-2</v>
          </cell>
          <cell r="I33">
            <v>2.3946880269814501E-2</v>
          </cell>
          <cell r="J33">
            <v>2.3976510067114095E-2</v>
          </cell>
          <cell r="K33">
            <v>2.4030230069555913E-2</v>
          </cell>
          <cell r="L33">
            <v>2.3946880269814501E-2</v>
          </cell>
          <cell r="M33">
            <v>2.3957324840764332E-2</v>
          </cell>
          <cell r="N33">
            <v>2.4058583106267031E-2</v>
          </cell>
          <cell r="O33">
            <v>2.4058583106267031E-2</v>
          </cell>
          <cell r="P33">
            <v>2.3989583333333335E-2</v>
          </cell>
          <cell r="Q33">
            <v>2.4058583106267031E-2</v>
          </cell>
          <cell r="R33">
            <v>2.4000655881066899E-2</v>
          </cell>
          <cell r="S33">
            <v>2.4000124885521605E-2</v>
          </cell>
          <cell r="T33"/>
          <cell r="U33"/>
          <cell r="V33">
            <v>2.3975071633237824E-2</v>
          </cell>
          <cell r="W33">
            <v>2.3965553235908141E-2</v>
          </cell>
          <cell r="X33">
            <v>2.3968498473494311E-2</v>
          </cell>
          <cell r="Y33">
            <v>2.3981212121212122E-2</v>
          </cell>
          <cell r="Z33">
            <v>2.3975585037774094E-2</v>
          </cell>
          <cell r="AA33">
            <v>2.3972329472329471E-2</v>
          </cell>
          <cell r="AB33">
            <v>2.3984653818700928E-2</v>
          </cell>
          <cell r="AC33">
            <v>2.3993896553681938E-2</v>
          </cell>
          <cell r="AD33">
            <v>2.3993472584856398E-2</v>
          </cell>
          <cell r="AE33">
            <v>2.4000069013112493E-2</v>
          </cell>
          <cell r="AF33">
            <v>2.4000124885521605E-2</v>
          </cell>
        </row>
        <row r="34">
          <cell r="G34">
            <v>84783.007789220661</v>
          </cell>
          <cell r="H34">
            <v>88469.225519187748</v>
          </cell>
          <cell r="I34">
            <v>88469.225519187748</v>
          </cell>
          <cell r="J34">
            <v>95841.660979118198</v>
          </cell>
          <cell r="K34">
            <v>92155.443249147385</v>
          </cell>
          <cell r="L34">
            <v>88469.225519187748</v>
          </cell>
          <cell r="M34">
            <v>113721.41967280768</v>
          </cell>
          <cell r="N34">
            <v>105297.61080815829</v>
          </cell>
          <cell r="O34">
            <v>105297.61080815829</v>
          </cell>
          <cell r="P34">
            <v>92661.897511178628</v>
          </cell>
          <cell r="Q34">
            <v>105297.61080815829</v>
          </cell>
          <cell r="R34">
            <v>109509.51524048485</v>
          </cell>
          <cell r="S34">
            <v>1169973.4534240067</v>
          </cell>
          <cell r="T34"/>
          <cell r="U34"/>
          <cell r="V34">
            <v>173252.23330840841</v>
          </cell>
          <cell r="W34">
            <v>261721.45882759616</v>
          </cell>
          <cell r="X34">
            <v>357563.11980671436</v>
          </cell>
          <cell r="Y34">
            <v>449718.56305586174</v>
          </cell>
          <cell r="Z34">
            <v>538187.78857504949</v>
          </cell>
          <cell r="AA34">
            <v>651909.20824785717</v>
          </cell>
          <cell r="AB34">
            <v>757206.81905601919</v>
          </cell>
          <cell r="AC34">
            <v>862504.42986417934</v>
          </cell>
          <cell r="AD34">
            <v>955166.32737535983</v>
          </cell>
          <cell r="AE34">
            <v>1060463.93818352</v>
          </cell>
          <cell r="AF34">
            <v>1169973.4534240067</v>
          </cell>
        </row>
        <row r="35">
          <cell r="G35">
            <v>3.8957000000000901E-2</v>
          </cell>
          <cell r="H35">
            <v>3.8957000000001352E-2</v>
          </cell>
          <cell r="I35">
            <v>3.8957000000001352E-2</v>
          </cell>
          <cell r="J35">
            <v>3.8957000000000588E-2</v>
          </cell>
          <cell r="K35">
            <v>3.8956999999998639E-2</v>
          </cell>
          <cell r="L35">
            <v>3.8957000000001352E-2</v>
          </cell>
          <cell r="M35">
            <v>3.8956999999998299E-2</v>
          </cell>
          <cell r="N35">
            <v>3.895699999999936E-2</v>
          </cell>
          <cell r="O35">
            <v>3.895699999999936E-2</v>
          </cell>
          <cell r="P35">
            <v>3.8956999999999097E-2</v>
          </cell>
          <cell r="Q35">
            <v>3.895699999999936E-2</v>
          </cell>
          <cell r="R35">
            <v>3.8956999999999457E-2</v>
          </cell>
          <cell r="S35">
            <v>3.8957000000000214E-2</v>
          </cell>
          <cell r="T35"/>
          <cell r="U35"/>
          <cell r="V35">
            <v>3.895700000000113E-2</v>
          </cell>
          <cell r="W35">
            <v>3.8957000000001206E-2</v>
          </cell>
          <cell r="X35">
            <v>3.8957000000001039E-2</v>
          </cell>
          <cell r="Y35">
            <v>3.8957000000000547E-2</v>
          </cell>
          <cell r="Z35">
            <v>3.8957000000000679E-2</v>
          </cell>
          <cell r="AA35">
            <v>3.8957000000000262E-2</v>
          </cell>
          <cell r="AB35">
            <v>3.8957000000000325E-2</v>
          </cell>
          <cell r="AC35">
            <v>3.895700000000029E-2</v>
          </cell>
          <cell r="AD35">
            <v>3.8957000000000248E-2</v>
          </cell>
          <cell r="AE35">
            <v>3.8957000000000228E-2</v>
          </cell>
          <cell r="AF35">
            <v>3.8957000000000214E-2</v>
          </cell>
        </row>
        <row r="36">
          <cell r="G36">
            <v>290140.50778922066</v>
          </cell>
          <cell r="H36">
            <v>301476.72551918775</v>
          </cell>
          <cell r="I36">
            <v>301476.72551918775</v>
          </cell>
          <cell r="J36">
            <v>328054.1609791182</v>
          </cell>
          <cell r="K36">
            <v>316717.94324914739</v>
          </cell>
          <cell r="L36">
            <v>301476.72551918775</v>
          </cell>
          <cell r="M36">
            <v>395818.91967280768</v>
          </cell>
          <cell r="N36">
            <v>370182.61080815829</v>
          </cell>
          <cell r="O36">
            <v>370182.61080815829</v>
          </cell>
          <cell r="P36">
            <v>322961.89751117863</v>
          </cell>
          <cell r="Q36">
            <v>370182.61080815829</v>
          </cell>
          <cell r="R36">
            <v>383957.01524048485</v>
          </cell>
          <cell r="S36">
            <v>4052628.4534240067</v>
          </cell>
          <cell r="T36"/>
          <cell r="U36"/>
          <cell r="V36">
            <v>591617.23330840841</v>
          </cell>
          <cell r="W36">
            <v>893093.95882759616</v>
          </cell>
          <cell r="X36">
            <v>1221148.1198067144</v>
          </cell>
          <cell r="Y36">
            <v>1537866.0630558617</v>
          </cell>
          <cell r="Z36">
            <v>1839342.7885750495</v>
          </cell>
          <cell r="AA36">
            <v>2235161.7082478572</v>
          </cell>
          <cell r="AB36">
            <v>2605344.3190560192</v>
          </cell>
          <cell r="AC36">
            <v>2975526.9298641793</v>
          </cell>
          <cell r="AD36">
            <v>3298488.8273753598</v>
          </cell>
          <cell r="AE36">
            <v>3668671.43818352</v>
          </cell>
          <cell r="AF36">
            <v>4052628.4534240067</v>
          </cell>
        </row>
        <row r="37">
          <cell r="G37">
            <v>2.7036788741766085E-2</v>
          </cell>
          <cell r="H37">
            <v>2.6999659308549601E-2</v>
          </cell>
          <cell r="I37">
            <v>2.6999659308549601E-2</v>
          </cell>
          <cell r="J37">
            <v>2.7011033490203083E-2</v>
          </cell>
          <cell r="K37">
            <v>2.7045480273837002E-2</v>
          </cell>
          <cell r="L37">
            <v>2.6999659308549601E-2</v>
          </cell>
          <cell r="M37">
            <v>2.6937172635517558E-2</v>
          </cell>
          <cell r="N37">
            <v>2.6995172511963279E-2</v>
          </cell>
          <cell r="O37">
            <v>2.6995172511963279E-2</v>
          </cell>
          <cell r="P37">
            <v>2.6961643574252351E-2</v>
          </cell>
          <cell r="Q37">
            <v>2.6995172511963279E-2</v>
          </cell>
          <cell r="R37">
            <v>2.6951849979357047E-2</v>
          </cell>
          <cell r="S37">
            <v>2.6991892960838728E-2</v>
          </cell>
          <cell r="T37"/>
          <cell r="U37"/>
          <cell r="V37">
            <v>2.7017855547788839E-2</v>
          </cell>
          <cell r="W37">
            <v>2.7011710403609591E-2</v>
          </cell>
          <cell r="X37">
            <v>2.7011528551526259E-2</v>
          </cell>
          <cell r="Y37">
            <v>2.701851381390797E-2</v>
          </cell>
          <cell r="Z37">
            <v>2.7015421669802787E-2</v>
          </cell>
          <cell r="AA37">
            <v>2.7001531646409612E-2</v>
          </cell>
          <cell r="AB37">
            <v>2.7000627920672225E-2</v>
          </cell>
          <cell r="AC37">
            <v>2.6999949098123862E-2</v>
          </cell>
          <cell r="AD37">
            <v>2.6996193718464935E-2</v>
          </cell>
          <cell r="AE37">
            <v>2.6996090671421086E-2</v>
          </cell>
          <cell r="AF37">
            <v>2.6991892960838725E-2</v>
          </cell>
        </row>
      </sheetData>
      <sheetData sheetId="1">
        <row r="5">
          <cell r="E5"/>
        </row>
      </sheetData>
      <sheetData sheetId="2">
        <row r="5">
          <cell r="E5"/>
        </row>
      </sheetData>
      <sheetData sheetId="3"/>
      <sheetData sheetId="4">
        <row r="4">
          <cell r="E4" t="str">
            <v>계정</v>
          </cell>
          <cell r="G4" t="str">
            <v>1월</v>
          </cell>
          <cell r="H4" t="str">
            <v>2월</v>
          </cell>
          <cell r="I4" t="str">
            <v>3월</v>
          </cell>
          <cell r="J4" t="str">
            <v>4월</v>
          </cell>
          <cell r="K4" t="str">
            <v>5월</v>
          </cell>
          <cell r="L4" t="str">
            <v>6월</v>
          </cell>
          <cell r="M4" t="str">
            <v>7월</v>
          </cell>
          <cell r="N4" t="str">
            <v>8월</v>
          </cell>
          <cell r="O4" t="str">
            <v>9월</v>
          </cell>
          <cell r="P4" t="str">
            <v>10월</v>
          </cell>
          <cell r="Q4" t="str">
            <v>11월</v>
          </cell>
          <cell r="R4" t="str">
            <v>12월</v>
          </cell>
          <cell r="S4" t="str">
            <v>합계</v>
          </cell>
        </row>
        <row r="5"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G6">
            <v>65764.44</v>
          </cell>
          <cell r="H6">
            <v>65764.44</v>
          </cell>
          <cell r="I6">
            <v>67046.720000000001</v>
          </cell>
          <cell r="J6">
            <v>67046.720000000001</v>
          </cell>
          <cell r="K6">
            <v>67046.720000000001</v>
          </cell>
          <cell r="L6">
            <v>67046.720000000001</v>
          </cell>
          <cell r="M6">
            <v>67046.720000000001</v>
          </cell>
          <cell r="N6">
            <v>67046.720000000001</v>
          </cell>
          <cell r="O6">
            <v>67046.720000000001</v>
          </cell>
          <cell r="P6">
            <v>67046.720000000001</v>
          </cell>
          <cell r="Q6">
            <v>67046.720000000001</v>
          </cell>
          <cell r="R6">
            <v>67046.720000000001</v>
          </cell>
          <cell r="S6">
            <v>801996.07999999984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G8">
            <v>14899.81</v>
          </cell>
          <cell r="H8">
            <v>14899.81</v>
          </cell>
          <cell r="I8">
            <v>15205.54</v>
          </cell>
          <cell r="J8">
            <v>15205.54</v>
          </cell>
          <cell r="K8">
            <v>15205.54</v>
          </cell>
          <cell r="L8">
            <v>15205.54</v>
          </cell>
          <cell r="M8">
            <v>15205.54</v>
          </cell>
          <cell r="N8">
            <v>15205.54</v>
          </cell>
          <cell r="O8">
            <v>15205.54</v>
          </cell>
          <cell r="P8">
            <v>15205.54</v>
          </cell>
          <cell r="Q8">
            <v>15205.54</v>
          </cell>
          <cell r="R8">
            <v>15205.54</v>
          </cell>
          <cell r="S8">
            <v>181855.02000000005</v>
          </cell>
        </row>
        <row r="9">
          <cell r="G9">
            <v>6838.03</v>
          </cell>
          <cell r="H9">
            <v>6838.03</v>
          </cell>
          <cell r="I9">
            <v>6838.03</v>
          </cell>
          <cell r="J9">
            <v>6838.03</v>
          </cell>
          <cell r="K9">
            <v>6838.03</v>
          </cell>
          <cell r="L9">
            <v>6838.03</v>
          </cell>
          <cell r="M9">
            <v>6838.03</v>
          </cell>
          <cell r="N9">
            <v>6838.03</v>
          </cell>
          <cell r="O9">
            <v>6838.03</v>
          </cell>
          <cell r="P9">
            <v>6838.03</v>
          </cell>
          <cell r="Q9">
            <v>6838.03</v>
          </cell>
          <cell r="R9">
            <v>6838.03</v>
          </cell>
          <cell r="S9">
            <v>82056.36</v>
          </cell>
        </row>
        <row r="10">
          <cell r="G10">
            <v>87502.28</v>
          </cell>
          <cell r="H10">
            <v>87502.28</v>
          </cell>
          <cell r="I10">
            <v>89090.290000000008</v>
          </cell>
          <cell r="J10">
            <v>89090.290000000008</v>
          </cell>
          <cell r="K10">
            <v>89090.290000000008</v>
          </cell>
          <cell r="L10">
            <v>89090.290000000008</v>
          </cell>
          <cell r="M10">
            <v>89090.290000000008</v>
          </cell>
          <cell r="N10">
            <v>89090.290000000008</v>
          </cell>
          <cell r="O10">
            <v>89090.290000000008</v>
          </cell>
          <cell r="P10">
            <v>89090.290000000008</v>
          </cell>
          <cell r="Q10">
            <v>89090.290000000008</v>
          </cell>
          <cell r="R10">
            <v>89090.290000000008</v>
          </cell>
          <cell r="S10">
            <v>1065907.46</v>
          </cell>
        </row>
        <row r="11">
          <cell r="G11">
            <v>11646.22</v>
          </cell>
          <cell r="H11">
            <v>10723</v>
          </cell>
          <cell r="I11">
            <v>23814.19</v>
          </cell>
          <cell r="J11">
            <v>10094.77</v>
          </cell>
          <cell r="K11">
            <v>11472.77</v>
          </cell>
          <cell r="L11">
            <v>20849.75</v>
          </cell>
          <cell r="M11">
            <v>9522.77</v>
          </cell>
          <cell r="N11">
            <v>9522.77</v>
          </cell>
          <cell r="O11">
            <v>25069.61</v>
          </cell>
          <cell r="P11">
            <v>10133.77</v>
          </cell>
          <cell r="Q11">
            <v>9522.77</v>
          </cell>
          <cell r="R11">
            <v>11349.75</v>
          </cell>
          <cell r="S11">
            <v>163722.14000000001</v>
          </cell>
        </row>
        <row r="12">
          <cell r="G12">
            <v>1500</v>
          </cell>
          <cell r="H12">
            <v>1500</v>
          </cell>
          <cell r="I12">
            <v>1500</v>
          </cell>
          <cell r="J12">
            <v>1500</v>
          </cell>
          <cell r="K12">
            <v>1500</v>
          </cell>
          <cell r="L12">
            <v>1500</v>
          </cell>
          <cell r="M12">
            <v>1500</v>
          </cell>
          <cell r="N12">
            <v>1500</v>
          </cell>
          <cell r="O12">
            <v>1500</v>
          </cell>
          <cell r="P12">
            <v>1500</v>
          </cell>
          <cell r="Q12">
            <v>1500</v>
          </cell>
          <cell r="R12">
            <v>1500</v>
          </cell>
          <cell r="S12">
            <v>18000</v>
          </cell>
        </row>
        <row r="13">
          <cell r="G13">
            <v>850</v>
          </cell>
          <cell r="H13">
            <v>850</v>
          </cell>
          <cell r="I13">
            <v>850</v>
          </cell>
          <cell r="J13">
            <v>850</v>
          </cell>
          <cell r="K13">
            <v>850</v>
          </cell>
          <cell r="L13">
            <v>850</v>
          </cell>
          <cell r="M13">
            <v>850</v>
          </cell>
          <cell r="N13">
            <v>850</v>
          </cell>
          <cell r="O13">
            <v>850</v>
          </cell>
          <cell r="P13">
            <v>850</v>
          </cell>
          <cell r="Q13">
            <v>850</v>
          </cell>
          <cell r="R13">
            <v>850</v>
          </cell>
          <cell r="S13">
            <v>10200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</row>
        <row r="18">
          <cell r="G18">
            <v>3226.92</v>
          </cell>
          <cell r="H18">
            <v>3226.92</v>
          </cell>
          <cell r="I18">
            <v>3273.52</v>
          </cell>
          <cell r="J18">
            <v>3273.52</v>
          </cell>
          <cell r="K18">
            <v>3273.52</v>
          </cell>
          <cell r="L18">
            <v>3273.52</v>
          </cell>
          <cell r="M18">
            <v>3273.52</v>
          </cell>
          <cell r="N18">
            <v>3273.52</v>
          </cell>
          <cell r="O18">
            <v>3273.52</v>
          </cell>
          <cell r="P18">
            <v>3273.52</v>
          </cell>
          <cell r="Q18">
            <v>3273.52</v>
          </cell>
          <cell r="R18">
            <v>3273.52</v>
          </cell>
          <cell r="S18">
            <v>39189.040000000001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22">
          <cell r="G22">
            <v>6578</v>
          </cell>
          <cell r="H22">
            <v>6578</v>
          </cell>
          <cell r="I22">
            <v>6578</v>
          </cell>
          <cell r="J22">
            <v>6578</v>
          </cell>
          <cell r="K22">
            <v>6578</v>
          </cell>
          <cell r="L22">
            <v>6578</v>
          </cell>
          <cell r="M22">
            <v>6578</v>
          </cell>
          <cell r="N22">
            <v>6578</v>
          </cell>
          <cell r="O22">
            <v>6578</v>
          </cell>
          <cell r="P22">
            <v>6578</v>
          </cell>
          <cell r="Q22">
            <v>6578</v>
          </cell>
          <cell r="R22">
            <v>6578</v>
          </cell>
          <cell r="S22">
            <v>78936</v>
          </cell>
        </row>
        <row r="23">
          <cell r="G23">
            <v>6000</v>
          </cell>
          <cell r="H23">
            <v>14000</v>
          </cell>
          <cell r="I23">
            <v>6000</v>
          </cell>
          <cell r="J23">
            <v>6000</v>
          </cell>
          <cell r="K23">
            <v>6000</v>
          </cell>
          <cell r="L23">
            <v>6000</v>
          </cell>
          <cell r="M23">
            <v>6000</v>
          </cell>
          <cell r="N23">
            <v>6000</v>
          </cell>
          <cell r="O23">
            <v>14000</v>
          </cell>
          <cell r="P23">
            <v>6000</v>
          </cell>
          <cell r="Q23">
            <v>6000</v>
          </cell>
          <cell r="R23">
            <v>6000</v>
          </cell>
          <cell r="S23">
            <v>88000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</row>
        <row r="34">
          <cell r="G34">
            <v>29801.14</v>
          </cell>
          <cell r="H34">
            <v>36877.919999999998</v>
          </cell>
          <cell r="I34">
            <v>42015.71</v>
          </cell>
          <cell r="J34">
            <v>28296.29</v>
          </cell>
          <cell r="K34">
            <v>29674.29</v>
          </cell>
          <cell r="L34">
            <v>39051.270000000004</v>
          </cell>
          <cell r="M34">
            <v>27724.29</v>
          </cell>
          <cell r="N34">
            <v>27724.29</v>
          </cell>
          <cell r="O34">
            <v>51271.130000000005</v>
          </cell>
          <cell r="P34">
            <v>28335.29</v>
          </cell>
          <cell r="Q34">
            <v>27724.29</v>
          </cell>
          <cell r="R34">
            <v>29551.27</v>
          </cell>
          <cell r="S34">
            <v>398047.18000000005</v>
          </cell>
        </row>
        <row r="35">
          <cell r="G35">
            <v>117303.42</v>
          </cell>
          <cell r="H35">
            <v>124380.2</v>
          </cell>
          <cell r="I35">
            <v>131106</v>
          </cell>
          <cell r="J35">
            <v>117386.58000000002</v>
          </cell>
          <cell r="K35">
            <v>118764.58000000002</v>
          </cell>
          <cell r="L35">
            <v>128141.56000000001</v>
          </cell>
          <cell r="M35">
            <v>116814.58000000002</v>
          </cell>
          <cell r="N35">
            <v>116814.58000000002</v>
          </cell>
          <cell r="O35">
            <v>140361.42000000001</v>
          </cell>
          <cell r="P35">
            <v>117425.58000000002</v>
          </cell>
          <cell r="Q35">
            <v>116814.58000000002</v>
          </cell>
          <cell r="R35">
            <v>118641.56000000001</v>
          </cell>
          <cell r="S35">
            <v>1463954.6400000001</v>
          </cell>
        </row>
        <row r="36"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</row>
        <row r="37">
          <cell r="G37">
            <v>5475.768</v>
          </cell>
          <cell r="H37">
            <v>5475.768</v>
          </cell>
          <cell r="I37">
            <v>5475.768</v>
          </cell>
          <cell r="J37">
            <v>5475.768</v>
          </cell>
          <cell r="K37">
            <v>5475.768</v>
          </cell>
          <cell r="L37">
            <v>5475.768</v>
          </cell>
          <cell r="M37">
            <v>5475.768</v>
          </cell>
          <cell r="N37">
            <v>5475.768</v>
          </cell>
          <cell r="O37">
            <v>5475.768</v>
          </cell>
          <cell r="P37">
            <v>5475.768</v>
          </cell>
          <cell r="Q37">
            <v>5475.768</v>
          </cell>
          <cell r="R37">
            <v>5475.768</v>
          </cell>
          <cell r="S37">
            <v>65709.215999999986</v>
          </cell>
        </row>
        <row r="38">
          <cell r="G38">
            <v>122779.18799999999</v>
          </cell>
          <cell r="H38">
            <v>129855.96799999999</v>
          </cell>
          <cell r="I38">
            <v>136581.76800000001</v>
          </cell>
          <cell r="J38">
            <v>122862.34800000001</v>
          </cell>
          <cell r="K38">
            <v>124240.34800000001</v>
          </cell>
          <cell r="L38">
            <v>133617.32800000001</v>
          </cell>
          <cell r="M38">
            <v>122290.34800000001</v>
          </cell>
          <cell r="N38">
            <v>122290.34800000001</v>
          </cell>
          <cell r="O38">
            <v>145837.18800000002</v>
          </cell>
          <cell r="P38">
            <v>122901.34800000001</v>
          </cell>
          <cell r="Q38">
            <v>122290.34800000001</v>
          </cell>
          <cell r="R38">
            <v>124117.32800000001</v>
          </cell>
          <cell r="S38">
            <v>1529663.8560000001</v>
          </cell>
        </row>
        <row r="39"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</row>
        <row r="40"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</row>
        <row r="41"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</row>
        <row r="42"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월별"/>
      <sheetName val="1월"/>
      <sheetName val="2월"/>
      <sheetName val="3월"/>
      <sheetName val="4월"/>
      <sheetName val="5월"/>
      <sheetName val="6월"/>
      <sheetName val="7월"/>
      <sheetName val="8월"/>
      <sheetName val="9월"/>
      <sheetName val="10월"/>
      <sheetName val="11월"/>
      <sheetName val="12월"/>
    </sheetNames>
    <sheetDataSet>
      <sheetData sheetId="0">
        <row r="2">
          <cell r="E2" t="str">
            <v>1월</v>
          </cell>
          <cell r="F2" t="str">
            <v>2월</v>
          </cell>
          <cell r="G2" t="str">
            <v>3월</v>
          </cell>
          <cell r="H2" t="str">
            <v>4월</v>
          </cell>
          <cell r="I2" t="str">
            <v>5월</v>
          </cell>
          <cell r="J2" t="str">
            <v>6월</v>
          </cell>
          <cell r="K2" t="str">
            <v>7월</v>
          </cell>
          <cell r="L2" t="str">
            <v>8월</v>
          </cell>
          <cell r="M2" t="str">
            <v>9월</v>
          </cell>
          <cell r="N2" t="str">
            <v>10월</v>
          </cell>
          <cell r="O2" t="str">
            <v>11월</v>
          </cell>
          <cell r="P2" t="str">
            <v>12월</v>
          </cell>
          <cell r="Q2" t="str">
            <v>합계</v>
          </cell>
        </row>
        <row r="3">
          <cell r="E3">
            <v>6425.0929999999998</v>
          </cell>
          <cell r="F3">
            <v>6645.402</v>
          </cell>
          <cell r="G3">
            <v>8665.0679999999993</v>
          </cell>
          <cell r="H3">
            <v>8574.9830000000002</v>
          </cell>
          <cell r="I3">
            <v>9787.4410000000007</v>
          </cell>
          <cell r="J3">
            <v>7982.0609999999997</v>
          </cell>
          <cell r="K3">
            <v>12986.909999999998</v>
          </cell>
          <cell r="L3">
            <v>9545.7580000000016</v>
          </cell>
          <cell r="M3">
            <v>7354.6280000000006</v>
          </cell>
          <cell r="N3">
            <v>8972.0079999999998</v>
          </cell>
          <cell r="O3">
            <v>10221.802</v>
          </cell>
          <cell r="P3">
            <v>8003.0569999999998</v>
          </cell>
          <cell r="Q3">
            <v>105164.211</v>
          </cell>
        </row>
        <row r="4"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</row>
        <row r="5">
          <cell r="E5">
            <v>6425.0929999999998</v>
          </cell>
          <cell r="F5">
            <v>6645.402</v>
          </cell>
          <cell r="G5">
            <v>8665.0679999999993</v>
          </cell>
          <cell r="H5">
            <v>8574.9830000000002</v>
          </cell>
          <cell r="I5">
            <v>9787.4410000000007</v>
          </cell>
          <cell r="J5">
            <v>7982.0609999999997</v>
          </cell>
          <cell r="K5">
            <v>12986.909999999998</v>
          </cell>
          <cell r="L5">
            <v>9545.7580000000016</v>
          </cell>
          <cell r="M5">
            <v>7354.6280000000006</v>
          </cell>
          <cell r="N5">
            <v>8972.0079999999998</v>
          </cell>
          <cell r="O5">
            <v>10221.802</v>
          </cell>
          <cell r="P5">
            <v>8003.0569999999998</v>
          </cell>
          <cell r="Q5">
            <v>105164.211</v>
          </cell>
        </row>
        <row r="6">
          <cell r="E6">
            <v>5915781.3609999996</v>
          </cell>
          <cell r="F6">
            <v>5888695.9620000003</v>
          </cell>
          <cell r="G6">
            <v>7569201.3870000001</v>
          </cell>
          <cell r="H6">
            <v>7314828.4340000004</v>
          </cell>
          <cell r="I6">
            <v>7941424.9759999998</v>
          </cell>
          <cell r="J6">
            <v>6266498.0020000003</v>
          </cell>
          <cell r="K6">
            <v>9753808.4920000006</v>
          </cell>
          <cell r="L6">
            <v>8075849.9460000005</v>
          </cell>
          <cell r="M6">
            <v>6468928.017</v>
          </cell>
          <cell r="N6">
            <v>7347594.3459999999</v>
          </cell>
          <cell r="O6">
            <v>8165213.1710000001</v>
          </cell>
          <cell r="P6">
            <v>6020203.7470000004</v>
          </cell>
          <cell r="Q6">
            <v>86728027.841000006</v>
          </cell>
        </row>
        <row r="7">
          <cell r="E7">
            <v>1492175.8060000008</v>
          </cell>
          <cell r="F7">
            <v>876962.01299999934</v>
          </cell>
          <cell r="G7">
            <v>1190716.3990000002</v>
          </cell>
          <cell r="H7">
            <v>1507211.0580000002</v>
          </cell>
          <cell r="I7">
            <v>1833395.909</v>
          </cell>
          <cell r="J7">
            <v>1606846.7759999996</v>
          </cell>
          <cell r="K7">
            <v>1560840.1609999985</v>
          </cell>
          <cell r="L7">
            <v>1417328.5140000004</v>
          </cell>
          <cell r="M7">
            <v>1251897.8439999996</v>
          </cell>
          <cell r="N7">
            <v>1331090.9230000013</v>
          </cell>
          <cell r="O7">
            <v>1777655.8499999996</v>
          </cell>
          <cell r="P7">
            <v>1425697.8589999992</v>
          </cell>
          <cell r="Q7">
            <v>17271819.111999996</v>
          </cell>
        </row>
        <row r="8">
          <cell r="E8">
            <v>7407957.1670000004</v>
          </cell>
          <cell r="F8">
            <v>6765657.9749999996</v>
          </cell>
          <cell r="G8">
            <v>8759917.7860000003</v>
          </cell>
          <cell r="H8">
            <v>8822039.4920000006</v>
          </cell>
          <cell r="I8">
            <v>9774820.8849999998</v>
          </cell>
          <cell r="J8">
            <v>7873344.7779999999</v>
          </cell>
          <cell r="K8">
            <v>11314648.652999999</v>
          </cell>
          <cell r="L8">
            <v>9493178.4600000009</v>
          </cell>
          <cell r="M8">
            <v>7720825.8609999996</v>
          </cell>
          <cell r="N8">
            <v>8678685.2690000013</v>
          </cell>
          <cell r="O8">
            <v>9942869.0209999997</v>
          </cell>
          <cell r="P8">
            <v>7445901.6059999997</v>
          </cell>
          <cell r="Q8">
            <v>103999846.95300001</v>
          </cell>
        </row>
        <row r="9">
          <cell r="E9">
            <v>5751185.5190000003</v>
          </cell>
          <cell r="F9">
            <v>5728934.7309999997</v>
          </cell>
          <cell r="G9">
            <v>7426923.1069999998</v>
          </cell>
          <cell r="H9">
            <v>7182086.8200000003</v>
          </cell>
          <cell r="I9">
            <v>7737494.4589999998</v>
          </cell>
          <cell r="J9">
            <v>6034261.7359999996</v>
          </cell>
          <cell r="K9">
            <v>9672982.2740000002</v>
          </cell>
          <cell r="L9">
            <v>7922980.0959999999</v>
          </cell>
          <cell r="M9">
            <v>6357038.1430000002</v>
          </cell>
          <cell r="N9">
            <v>7174616.267</v>
          </cell>
          <cell r="O9">
            <v>7971479.4730000002</v>
          </cell>
          <cell r="P9">
            <v>5934990.8200000003</v>
          </cell>
          <cell r="Q9">
            <v>84894973.444999993</v>
          </cell>
        </row>
        <row r="10">
          <cell r="E10">
            <v>1459339.4409999996</v>
          </cell>
          <cell r="F10">
            <v>863642.56600000057</v>
          </cell>
          <cell r="G10">
            <v>1169699.1210000003</v>
          </cell>
          <cell r="H10">
            <v>1476998.9679999985</v>
          </cell>
          <cell r="I10">
            <v>1782403.8720000004</v>
          </cell>
          <cell r="J10">
            <v>1558085.8430000003</v>
          </cell>
          <cell r="K10">
            <v>1520030.682</v>
          </cell>
          <cell r="L10">
            <v>1369739.6770000001</v>
          </cell>
          <cell r="M10">
            <v>1218157.1009999998</v>
          </cell>
          <cell r="N10">
            <v>1293553.2259999989</v>
          </cell>
          <cell r="O10">
            <v>1721296.0080000004</v>
          </cell>
          <cell r="P10">
            <v>1375066.2340000002</v>
          </cell>
          <cell r="Q10">
            <v>16808012.739000004</v>
          </cell>
        </row>
        <row r="11">
          <cell r="E11">
            <v>7210524.96</v>
          </cell>
          <cell r="F11">
            <v>6592577.2970000003</v>
          </cell>
          <cell r="G11">
            <v>8596622.2280000001</v>
          </cell>
          <cell r="H11">
            <v>8659085.7879999988</v>
          </cell>
          <cell r="I11">
            <v>9519898.3310000002</v>
          </cell>
          <cell r="J11">
            <v>7592347.5789999999</v>
          </cell>
          <cell r="K11">
            <v>11193012.956</v>
          </cell>
          <cell r="L11">
            <v>9292719.773</v>
          </cell>
          <cell r="M11">
            <v>7575195.2439999999</v>
          </cell>
          <cell r="N11">
            <v>8468169.4929999989</v>
          </cell>
          <cell r="O11">
            <v>9692775.4810000006</v>
          </cell>
          <cell r="P11">
            <v>7310057.0540000005</v>
          </cell>
          <cell r="Q11">
            <v>101702986.184</v>
          </cell>
          <cell r="S11"/>
        </row>
        <row r="12">
          <cell r="E12">
            <v>164595.84199999925</v>
          </cell>
          <cell r="F12">
            <v>159761.23100000061</v>
          </cell>
          <cell r="G12">
            <v>142278.28000000026</v>
          </cell>
          <cell r="H12">
            <v>132741.61400000006</v>
          </cell>
          <cell r="I12">
            <v>203930.51699999999</v>
          </cell>
          <cell r="J12">
            <v>232236.26600000076</v>
          </cell>
          <cell r="K12">
            <v>80826.218000000343</v>
          </cell>
          <cell r="L12">
            <v>152869.85000000056</v>
          </cell>
          <cell r="M12">
            <v>111889.87399999984</v>
          </cell>
          <cell r="N12">
            <v>172978.07899999991</v>
          </cell>
          <cell r="O12">
            <v>193733.69799999986</v>
          </cell>
          <cell r="P12">
            <v>85212.927000000142</v>
          </cell>
          <cell r="Q12">
            <v>1833054.3960000128</v>
          </cell>
        </row>
        <row r="13">
          <cell r="E13">
            <v>32836.365000001155</v>
          </cell>
          <cell r="F13">
            <v>13319.446999998763</v>
          </cell>
          <cell r="G13">
            <v>21017.277999999933</v>
          </cell>
          <cell r="H13">
            <v>30212.090000001714</v>
          </cell>
          <cell r="I13">
            <v>50992.036999999546</v>
          </cell>
          <cell r="J13">
            <v>48760.932999999262</v>
          </cell>
          <cell r="K13">
            <v>40809.47899999842</v>
          </cell>
          <cell r="L13">
            <v>47588.837000000291</v>
          </cell>
          <cell r="M13">
            <v>33740.742999999784</v>
          </cell>
          <cell r="N13">
            <v>37537.697000002488</v>
          </cell>
          <cell r="O13">
            <v>56359.841999999247</v>
          </cell>
          <cell r="P13">
            <v>50631.624999999069</v>
          </cell>
          <cell r="Q13">
            <v>463806.37299999222</v>
          </cell>
        </row>
        <row r="14">
          <cell r="E14">
            <v>197432.2070000004</v>
          </cell>
          <cell r="F14">
            <v>173080.67799999937</v>
          </cell>
          <cell r="G14">
            <v>163295.55800000019</v>
          </cell>
          <cell r="H14">
            <v>162953.70400000177</v>
          </cell>
          <cell r="I14">
            <v>254922.55399999954</v>
          </cell>
          <cell r="J14">
            <v>280997.19900000002</v>
          </cell>
          <cell r="K14">
            <v>121635.69699999876</v>
          </cell>
          <cell r="L14">
            <v>200458.68700000085</v>
          </cell>
          <cell r="M14">
            <v>145630.61699999962</v>
          </cell>
          <cell r="N14">
            <v>210515.7760000024</v>
          </cell>
          <cell r="O14">
            <v>250093.53999999911</v>
          </cell>
          <cell r="P14">
            <v>135844.55199999921</v>
          </cell>
          <cell r="Q14">
            <v>2296860.7690000087</v>
          </cell>
        </row>
        <row r="15">
          <cell r="E15">
            <v>66207.56</v>
          </cell>
          <cell r="F15">
            <v>66285.86</v>
          </cell>
          <cell r="G15">
            <v>65749.929999999993</v>
          </cell>
          <cell r="H15">
            <v>67760.67</v>
          </cell>
          <cell r="I15">
            <v>67398.19</v>
          </cell>
          <cell r="J15">
            <v>68315.210000000006</v>
          </cell>
          <cell r="K15">
            <v>66812.929999999993</v>
          </cell>
          <cell r="L15">
            <v>62651.65</v>
          </cell>
          <cell r="M15">
            <v>77308.009999999995</v>
          </cell>
          <cell r="N15">
            <v>73134.44</v>
          </cell>
          <cell r="O15">
            <v>67295.789999999994</v>
          </cell>
          <cell r="P15">
            <v>71052.55</v>
          </cell>
          <cell r="Q15">
            <v>819972.79</v>
          </cell>
          <cell r="S15"/>
        </row>
        <row r="16">
          <cell r="E16">
            <v>14873.76</v>
          </cell>
          <cell r="F16">
            <v>14873.76</v>
          </cell>
          <cell r="G16">
            <v>14860.963</v>
          </cell>
          <cell r="H16">
            <v>15208.86</v>
          </cell>
          <cell r="I16">
            <v>15041.31</v>
          </cell>
          <cell r="J16">
            <v>15956.352999999999</v>
          </cell>
          <cell r="K16">
            <v>14780.06</v>
          </cell>
          <cell r="L16">
            <v>14150</v>
          </cell>
          <cell r="M16">
            <v>22703.37</v>
          </cell>
          <cell r="N16">
            <v>14497.14</v>
          </cell>
          <cell r="O16">
            <v>9728.56</v>
          </cell>
          <cell r="P16">
            <v>71669.45</v>
          </cell>
          <cell r="Q16">
            <v>238343.58600000001</v>
          </cell>
          <cell r="S16"/>
        </row>
        <row r="17">
          <cell r="E17">
            <v>7310.9949999999999</v>
          </cell>
          <cell r="F17">
            <v>7310.9949999999999</v>
          </cell>
          <cell r="G17">
            <v>7310.9949999999999</v>
          </cell>
          <cell r="H17">
            <v>7310.9949999999999</v>
          </cell>
          <cell r="I17">
            <v>7310.9949999999999</v>
          </cell>
          <cell r="J17">
            <v>7310.9949999999999</v>
          </cell>
          <cell r="K17">
            <v>7415.38</v>
          </cell>
          <cell r="L17">
            <v>6838.2650000000003</v>
          </cell>
          <cell r="M17">
            <v>6838.2650000000003</v>
          </cell>
          <cell r="N17">
            <v>6838.2650000000003</v>
          </cell>
          <cell r="O17">
            <v>6838.2650000000003</v>
          </cell>
          <cell r="P17">
            <v>6838.2790000000005</v>
          </cell>
          <cell r="Q17">
            <v>85472.688999999998</v>
          </cell>
          <cell r="S17"/>
        </row>
        <row r="18">
          <cell r="E18">
            <v>88392.314999999988</v>
          </cell>
          <cell r="F18">
            <v>88470.614999999991</v>
          </cell>
          <cell r="G18">
            <v>87921.887999999992</v>
          </cell>
          <cell r="H18">
            <v>90280.524999999994</v>
          </cell>
          <cell r="I18">
            <v>89750.494999999995</v>
          </cell>
          <cell r="J18">
            <v>91582.558000000005</v>
          </cell>
          <cell r="K18">
            <v>89008.37</v>
          </cell>
          <cell r="L18">
            <v>83639.914999999994</v>
          </cell>
          <cell r="M18">
            <v>106849.64499999999</v>
          </cell>
          <cell r="N18">
            <v>94469.845000000001</v>
          </cell>
          <cell r="O18">
            <v>83862.614999999991</v>
          </cell>
          <cell r="P18">
            <v>149560.27900000001</v>
          </cell>
          <cell r="Q18">
            <v>1143789.0650000002</v>
          </cell>
          <cell r="S18"/>
        </row>
        <row r="19">
          <cell r="E19">
            <v>10121.891</v>
          </cell>
          <cell r="F19">
            <v>9805.2829999999994</v>
          </cell>
          <cell r="G19">
            <v>17707.691999999999</v>
          </cell>
          <cell r="H19">
            <v>11119.776</v>
          </cell>
          <cell r="I19">
            <v>11156.752</v>
          </cell>
          <cell r="J19">
            <v>13198.425999999999</v>
          </cell>
          <cell r="K19">
            <v>11393.108</v>
          </cell>
          <cell r="L19">
            <v>9677.1869999999999</v>
          </cell>
          <cell r="M19">
            <v>21372.597000000002</v>
          </cell>
          <cell r="N19">
            <v>9967.1309999999994</v>
          </cell>
          <cell r="O19">
            <v>9827.2720000000008</v>
          </cell>
          <cell r="P19">
            <v>21182.594000000001</v>
          </cell>
          <cell r="Q19">
            <v>156529.709</v>
          </cell>
          <cell r="S19"/>
        </row>
        <row r="20">
          <cell r="E20">
            <v>1311.06</v>
          </cell>
          <cell r="F20">
            <v>1355.9369999999999</v>
          </cell>
          <cell r="G20">
            <v>1375.4739999999999</v>
          </cell>
          <cell r="H20">
            <v>1243.2840000000001</v>
          </cell>
          <cell r="I20">
            <v>2969.5909999999999</v>
          </cell>
          <cell r="J20">
            <v>2547.7719999999999</v>
          </cell>
          <cell r="K20">
            <v>2306.7460000000001</v>
          </cell>
          <cell r="L20">
            <v>1941.2639999999999</v>
          </cell>
          <cell r="M20">
            <v>1798.2249999999999</v>
          </cell>
          <cell r="N20">
            <v>3033.0569999999998</v>
          </cell>
          <cell r="O20">
            <v>2527.3249999999998</v>
          </cell>
          <cell r="P20">
            <v>2481.9169999999999</v>
          </cell>
          <cell r="Q20">
            <v>24891.651999999998</v>
          </cell>
          <cell r="S20"/>
        </row>
        <row r="21">
          <cell r="E21">
            <v>2954.1509999999998</v>
          </cell>
          <cell r="F21">
            <v>2198.643</v>
          </cell>
          <cell r="G21">
            <v>2313.0590000000002</v>
          </cell>
          <cell r="H21">
            <v>9080.5509999999995</v>
          </cell>
          <cell r="I21">
            <v>3170.076</v>
          </cell>
          <cell r="J21">
            <v>2624.902</v>
          </cell>
          <cell r="K21">
            <v>2077.42</v>
          </cell>
          <cell r="L21">
            <v>1457.1</v>
          </cell>
          <cell r="M21">
            <v>2705.88</v>
          </cell>
          <cell r="N21">
            <v>2355.4499999999998</v>
          </cell>
          <cell r="O21">
            <v>2520.4</v>
          </cell>
          <cell r="P21">
            <v>3080.36</v>
          </cell>
          <cell r="Q21">
            <v>36537.991999999998</v>
          </cell>
          <cell r="S21"/>
        </row>
        <row r="22">
          <cell r="E22">
            <v>800</v>
          </cell>
          <cell r="F22">
            <v>450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50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1300</v>
          </cell>
          <cell r="S22"/>
        </row>
        <row r="23">
          <cell r="E23">
            <v>1555.0309999999999</v>
          </cell>
          <cell r="F23">
            <v>1525.067</v>
          </cell>
          <cell r="G23">
            <v>1632.8409999999999</v>
          </cell>
          <cell r="H23">
            <v>1763.1579999999999</v>
          </cell>
          <cell r="I23">
            <v>1704.309</v>
          </cell>
          <cell r="J23">
            <v>1633.1469999999999</v>
          </cell>
          <cell r="K23">
            <v>1480.127</v>
          </cell>
          <cell r="L23">
            <v>1614.203</v>
          </cell>
          <cell r="M23">
            <v>1493.895</v>
          </cell>
          <cell r="N23">
            <v>1516.5070000000001</v>
          </cell>
          <cell r="O23">
            <v>1503.94</v>
          </cell>
          <cell r="P23">
            <v>1640.039</v>
          </cell>
          <cell r="Q23">
            <v>19062.263999999999</v>
          </cell>
          <cell r="S23"/>
        </row>
        <row r="24">
          <cell r="E24">
            <v>289.08999999999997</v>
          </cell>
          <cell r="F24">
            <v>255.51</v>
          </cell>
          <cell r="G24">
            <v>165.68</v>
          </cell>
          <cell r="H24">
            <v>362.03</v>
          </cell>
          <cell r="I24">
            <v>547.33000000000004</v>
          </cell>
          <cell r="J24">
            <v>423.26499999999999</v>
          </cell>
          <cell r="K24">
            <v>760.52200000000005</v>
          </cell>
          <cell r="L24">
            <v>554.88</v>
          </cell>
          <cell r="M24">
            <v>326.77999999999997</v>
          </cell>
          <cell r="N24">
            <v>516.30999999999995</v>
          </cell>
          <cell r="O24">
            <v>534.13</v>
          </cell>
          <cell r="P24">
            <v>699.96900000000005</v>
          </cell>
          <cell r="Q24">
            <v>5435.4959999999992</v>
          </cell>
          <cell r="S24"/>
        </row>
        <row r="25">
          <cell r="E25">
            <v>175.22900000000001</v>
          </cell>
          <cell r="F25">
            <v>286.774</v>
          </cell>
          <cell r="G25">
            <v>182.274</v>
          </cell>
          <cell r="H25">
            <v>391.274</v>
          </cell>
          <cell r="I25">
            <v>338.63900000000001</v>
          </cell>
          <cell r="J25">
            <v>194.54499999999999</v>
          </cell>
          <cell r="K25">
            <v>205.7</v>
          </cell>
          <cell r="L25">
            <v>200.34700000000001</v>
          </cell>
          <cell r="M25">
            <v>282.43700000000001</v>
          </cell>
          <cell r="N25">
            <v>282.43700000000001</v>
          </cell>
          <cell r="O25">
            <v>282.43700000000001</v>
          </cell>
          <cell r="P25">
            <v>282.43700000000001</v>
          </cell>
          <cell r="Q25">
            <v>3104.5299999999997</v>
          </cell>
          <cell r="S25"/>
        </row>
        <row r="26">
          <cell r="E26">
            <v>3221.82</v>
          </cell>
          <cell r="F26">
            <v>3221.82</v>
          </cell>
          <cell r="G26">
            <v>3221.82</v>
          </cell>
          <cell r="H26">
            <v>3221.82</v>
          </cell>
          <cell r="I26">
            <v>3221.82</v>
          </cell>
          <cell r="J26">
            <v>3221.82</v>
          </cell>
          <cell r="K26">
            <v>3457.45</v>
          </cell>
          <cell r="L26">
            <v>3226.92</v>
          </cell>
          <cell r="M26">
            <v>3226.92</v>
          </cell>
          <cell r="N26">
            <v>3226.92</v>
          </cell>
          <cell r="O26">
            <v>3226.92</v>
          </cell>
          <cell r="P26">
            <v>3226.92</v>
          </cell>
          <cell r="Q26">
            <v>38922.969999999994</v>
          </cell>
          <cell r="S26"/>
        </row>
        <row r="27"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S27"/>
        </row>
        <row r="28">
          <cell r="E28">
            <v>1050.8399999999999</v>
          </cell>
          <cell r="F28">
            <v>138.52000000000001</v>
          </cell>
          <cell r="G28">
            <v>94.89</v>
          </cell>
          <cell r="H28">
            <v>32284.75</v>
          </cell>
          <cell r="I28">
            <v>257.06</v>
          </cell>
          <cell r="J28">
            <v>49.77</v>
          </cell>
          <cell r="K28">
            <v>31660.799999999999</v>
          </cell>
          <cell r="L28">
            <v>242.3</v>
          </cell>
          <cell r="M28">
            <v>0</v>
          </cell>
          <cell r="N28">
            <v>30591.91</v>
          </cell>
          <cell r="O28">
            <v>12216.17</v>
          </cell>
          <cell r="P28">
            <v>38318.07</v>
          </cell>
          <cell r="Q28">
            <v>146905.07999999999</v>
          </cell>
          <cell r="S28"/>
        </row>
        <row r="29">
          <cell r="E29">
            <v>62.219000000000001</v>
          </cell>
          <cell r="F29">
            <v>64.25</v>
          </cell>
          <cell r="G29">
            <v>106</v>
          </cell>
          <cell r="H29">
            <v>189.15</v>
          </cell>
          <cell r="I29">
            <v>261.8</v>
          </cell>
          <cell r="J29">
            <v>73.650000000000006</v>
          </cell>
          <cell r="K29">
            <v>147.93</v>
          </cell>
          <cell r="L29">
            <v>168.34</v>
          </cell>
          <cell r="M29">
            <v>25</v>
          </cell>
          <cell r="N29">
            <v>123.74</v>
          </cell>
          <cell r="O29">
            <v>282.8</v>
          </cell>
          <cell r="P29">
            <v>582.35</v>
          </cell>
          <cell r="Q29">
            <v>2087.2289999999998</v>
          </cell>
          <cell r="S29"/>
        </row>
        <row r="30">
          <cell r="E30">
            <v>6297.65</v>
          </cell>
          <cell r="F30">
            <v>5545.7610000000004</v>
          </cell>
          <cell r="G30">
            <v>5779.4780000000001</v>
          </cell>
          <cell r="H30">
            <v>6166.1530000000002</v>
          </cell>
          <cell r="I30">
            <v>5995.0280000000002</v>
          </cell>
          <cell r="J30">
            <v>6034.0290000000005</v>
          </cell>
          <cell r="K30">
            <v>6286.6790000000001</v>
          </cell>
          <cell r="L30">
            <v>6745.6779999999999</v>
          </cell>
          <cell r="M30">
            <v>5998.9290000000001</v>
          </cell>
          <cell r="N30">
            <v>5750.1629999999996</v>
          </cell>
          <cell r="O30">
            <v>5490.6790000000001</v>
          </cell>
          <cell r="P30">
            <v>5741.4690000000001</v>
          </cell>
          <cell r="Q30">
            <v>71831.696000000011</v>
          </cell>
          <cell r="S30"/>
        </row>
        <row r="31">
          <cell r="E31">
            <v>7875.04</v>
          </cell>
          <cell r="F31">
            <v>12385.5</v>
          </cell>
          <cell r="G31">
            <v>5449.3</v>
          </cell>
          <cell r="H31">
            <v>6952</v>
          </cell>
          <cell r="I31">
            <v>7672.69</v>
          </cell>
          <cell r="J31">
            <v>3665</v>
          </cell>
          <cell r="K31">
            <v>7483.3159999999998</v>
          </cell>
          <cell r="L31">
            <v>5718.53</v>
          </cell>
          <cell r="M31">
            <v>11262.32</v>
          </cell>
          <cell r="N31">
            <v>9509.7000000000007</v>
          </cell>
          <cell r="O31">
            <v>5406.44</v>
          </cell>
          <cell r="P31">
            <v>4611.5429999999997</v>
          </cell>
          <cell r="Q31">
            <v>87991.379000000001</v>
          </cell>
          <cell r="S31"/>
        </row>
        <row r="32"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S32"/>
        </row>
        <row r="33">
          <cell r="E33">
            <v>-6631.1459999999997</v>
          </cell>
          <cell r="F33">
            <v>-18.065999999999999</v>
          </cell>
          <cell r="G33">
            <v>139.43100000000001</v>
          </cell>
          <cell r="H33">
            <v>531.52599999999995</v>
          </cell>
          <cell r="I33">
            <v>-41.448</v>
          </cell>
          <cell r="J33">
            <v>28.1</v>
          </cell>
          <cell r="K33">
            <v>-663.24</v>
          </cell>
          <cell r="L33">
            <v>196.892</v>
          </cell>
          <cell r="M33">
            <v>391.423</v>
          </cell>
          <cell r="N33">
            <v>-268.49200000000002</v>
          </cell>
          <cell r="O33">
            <v>-1380.02</v>
          </cell>
          <cell r="P33">
            <v>114.742</v>
          </cell>
          <cell r="Q33">
            <v>-7600.2980000000007</v>
          </cell>
          <cell r="S33"/>
        </row>
        <row r="34"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S34"/>
        </row>
        <row r="35"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S35"/>
        </row>
        <row r="36">
          <cell r="E36">
            <v>29082.875</v>
          </cell>
          <cell r="F36">
            <v>37214.999000000003</v>
          </cell>
          <cell r="G36">
            <v>38167.938999999998</v>
          </cell>
          <cell r="H36">
            <v>73305.471999999994</v>
          </cell>
          <cell r="I36">
            <v>37253.647000000012</v>
          </cell>
          <cell r="J36">
            <v>33694.425999999999</v>
          </cell>
          <cell r="K36">
            <v>66646.558000000005</v>
          </cell>
          <cell r="L36">
            <v>31743.640999999996</v>
          </cell>
          <cell r="M36">
            <v>48884.406000000003</v>
          </cell>
          <cell r="N36">
            <v>66604.833000000013</v>
          </cell>
          <cell r="O36">
            <v>42438.493000000009</v>
          </cell>
          <cell r="P36">
            <v>81962.410000000018</v>
          </cell>
          <cell r="Q36">
            <v>586999.69900000002</v>
          </cell>
          <cell r="S36"/>
        </row>
        <row r="37">
          <cell r="E37">
            <v>117475.18999999999</v>
          </cell>
          <cell r="F37">
            <v>125685.614</v>
          </cell>
          <cell r="G37">
            <v>126089.82699999999</v>
          </cell>
          <cell r="H37">
            <v>163585.99699999997</v>
          </cell>
          <cell r="I37">
            <v>127004.14200000001</v>
          </cell>
          <cell r="J37">
            <v>125276.984</v>
          </cell>
          <cell r="K37">
            <v>155654.92800000001</v>
          </cell>
          <cell r="L37">
            <v>115383.55599999998</v>
          </cell>
          <cell r="M37">
            <v>155734.05099999998</v>
          </cell>
          <cell r="N37">
            <v>161074.67800000001</v>
          </cell>
          <cell r="O37">
            <v>126301.10800000001</v>
          </cell>
          <cell r="P37">
            <v>231522.68900000001</v>
          </cell>
          <cell r="Q37">
            <v>1730788.7640000002</v>
          </cell>
          <cell r="S37"/>
        </row>
        <row r="38">
          <cell r="E38">
            <v>79957.017000000415</v>
          </cell>
          <cell r="F38">
            <v>47395.063999999373</v>
          </cell>
          <cell r="G38">
            <v>37205.731000000203</v>
          </cell>
          <cell r="H38">
            <v>-632.29299999820068</v>
          </cell>
          <cell r="I38">
            <v>127918.41199999953</v>
          </cell>
          <cell r="J38">
            <v>155720.21500000003</v>
          </cell>
          <cell r="K38">
            <v>-34019.231000001251</v>
          </cell>
          <cell r="L38">
            <v>85075.131000000867</v>
          </cell>
          <cell r="M38">
            <v>-10103.434000000358</v>
          </cell>
          <cell r="N38">
            <v>49441.098000002385</v>
          </cell>
          <cell r="O38">
            <v>123792.4319999991</v>
          </cell>
          <cell r="P38">
            <v>-95678.137000000803</v>
          </cell>
          <cell r="Q38">
            <v>566072.0050000085</v>
          </cell>
          <cell r="S38"/>
        </row>
        <row r="39">
          <cell r="E39">
            <v>4689.8059999999996</v>
          </cell>
          <cell r="F39">
            <v>5550.3850000000002</v>
          </cell>
          <cell r="G39">
            <v>5550.3850000000002</v>
          </cell>
          <cell r="H39">
            <v>5550.375</v>
          </cell>
          <cell r="I39">
            <v>5550.3850000000002</v>
          </cell>
          <cell r="J39">
            <v>5550.375</v>
          </cell>
          <cell r="K39">
            <v>5550.3850000000002</v>
          </cell>
          <cell r="L39">
            <v>5550.3779999999997</v>
          </cell>
          <cell r="M39">
            <v>5475.768</v>
          </cell>
          <cell r="N39">
            <v>5435.7690000000002</v>
          </cell>
          <cell r="O39">
            <v>5435.7830000000004</v>
          </cell>
          <cell r="P39">
            <v>5423.9359999999997</v>
          </cell>
          <cell r="Q39">
            <v>65313.73</v>
          </cell>
          <cell r="S39"/>
        </row>
        <row r="40">
          <cell r="E40">
            <v>75267.211000000418</v>
          </cell>
          <cell r="F40">
            <v>41844.678999999371</v>
          </cell>
          <cell r="G40">
            <v>31655.346000000201</v>
          </cell>
          <cell r="H40">
            <v>-6182.6679999982007</v>
          </cell>
          <cell r="I40">
            <v>122368.02699999954</v>
          </cell>
          <cell r="J40">
            <v>150169.84000000003</v>
          </cell>
          <cell r="K40">
            <v>-39569.616000001253</v>
          </cell>
          <cell r="L40">
            <v>79524.75300000087</v>
          </cell>
          <cell r="M40">
            <v>-15579.202000000358</v>
          </cell>
          <cell r="N40">
            <v>44005.329000002384</v>
          </cell>
          <cell r="O40">
            <v>118356.6489999991</v>
          </cell>
          <cell r="P40">
            <v>-101102.0730000008</v>
          </cell>
          <cell r="Q40">
            <v>500758.27500000852</v>
          </cell>
          <cell r="S40"/>
        </row>
        <row r="41">
          <cell r="E41">
            <v>1.0160319411036954E-2</v>
          </cell>
          <cell r="F41">
            <v>6.1848646731213711E-3</v>
          </cell>
          <cell r="G41">
            <v>3.6136578873595606E-3</v>
          </cell>
          <cell r="H41">
            <v>-7.0082071221793621E-4</v>
          </cell>
          <cell r="I41">
            <v>1.2518697625219916E-2</v>
          </cell>
          <cell r="J41">
            <v>1.9073194967863E-2</v>
          </cell>
          <cell r="K41">
            <v>-3.4972023624887062E-3</v>
          </cell>
          <cell r="L41">
            <v>8.3770418237772027E-3</v>
          </cell>
          <cell r="M41">
            <v>-2.0178154876792603E-3</v>
          </cell>
          <cell r="N41">
            <v>5.0705063769495217E-3</v>
          </cell>
          <cell r="O41">
            <v>1.19036717420316E-2</v>
          </cell>
          <cell r="P41">
            <v>-1.3578217702814055E-2</v>
          </cell>
          <cell r="Q41">
            <v>4.8149904992294172E-3</v>
          </cell>
        </row>
        <row r="42">
          <cell r="E42" t="str">
            <v>1월</v>
          </cell>
          <cell r="F42" t="str">
            <v>2월</v>
          </cell>
          <cell r="G42" t="str">
            <v>3월</v>
          </cell>
          <cell r="H42" t="str">
            <v>4월</v>
          </cell>
          <cell r="I42" t="str">
            <v>5월</v>
          </cell>
          <cell r="J42" t="str">
            <v>6월</v>
          </cell>
          <cell r="K42" t="str">
            <v>7월</v>
          </cell>
          <cell r="L42" t="str">
            <v>8월</v>
          </cell>
          <cell r="M42" t="str">
            <v>9월</v>
          </cell>
          <cell r="N42" t="str">
            <v>10월</v>
          </cell>
          <cell r="O42" t="str">
            <v>11월</v>
          </cell>
          <cell r="P42" t="str">
            <v>12월</v>
          </cell>
          <cell r="Q42" t="str">
            <v>합계</v>
          </cell>
        </row>
        <row r="43">
          <cell r="E43">
            <v>920730.85338998202</v>
          </cell>
          <cell r="F43">
            <v>886130.8859870329</v>
          </cell>
          <cell r="G43">
            <v>873530.5235919673</v>
          </cell>
          <cell r="H43">
            <v>853042.90795678552</v>
          </cell>
          <cell r="I43">
            <v>811389.30758305453</v>
          </cell>
          <cell r="J43">
            <v>785072.67759542307</v>
          </cell>
          <cell r="K43">
            <v>751049.2097042331</v>
          </cell>
          <cell r="L43">
            <v>846014.52770958561</v>
          </cell>
          <cell r="M43">
            <v>879572.42936012533</v>
          </cell>
          <cell r="N43">
            <v>818946.47731031897</v>
          </cell>
          <cell r="O43">
            <v>798803.69146262086</v>
          </cell>
          <cell r="P43">
            <v>752238.01942182856</v>
          </cell>
          <cell r="Q43">
            <v>824691.47076090367</v>
          </cell>
        </row>
        <row r="44"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</row>
        <row r="46">
          <cell r="E46">
            <v>1152972.7533904957</v>
          </cell>
          <cell r="F46">
            <v>1018096.1174357849</v>
          </cell>
          <cell r="G46">
            <v>1010946.2252344702</v>
          </cell>
          <cell r="H46">
            <v>1028811.309830002</v>
          </cell>
          <cell r="I46">
            <v>998710.58073300251</v>
          </cell>
          <cell r="J46">
            <v>986379.93094765872</v>
          </cell>
          <cell r="K46">
            <v>871234.85517340153</v>
          </cell>
          <cell r="L46">
            <v>994491.84234504995</v>
          </cell>
          <cell r="M46">
            <v>1049791.4865306576</v>
          </cell>
          <cell r="N46">
            <v>967306.90264654264</v>
          </cell>
          <cell r="O46">
            <v>972711.95636542363</v>
          </cell>
          <cell r="P46">
            <v>930382.17846005596</v>
          </cell>
          <cell r="Q46">
            <v>988928.13404932991</v>
          </cell>
          <cell r="R46"/>
          <cell r="S46"/>
          <cell r="T46"/>
        </row>
        <row r="47">
          <cell r="E47">
            <v>1122244.4500025136</v>
          </cell>
          <cell r="F47">
            <v>992050.9394315047</v>
          </cell>
          <cell r="G47">
            <v>992100.95385287225</v>
          </cell>
          <cell r="H47">
            <v>1009807.9247504045</v>
          </cell>
          <cell r="I47">
            <v>972664.69662499102</v>
          </cell>
          <cell r="J47">
            <v>951176.34142359975</v>
          </cell>
          <cell r="K47">
            <v>861868.83223183977</v>
          </cell>
          <cell r="L47">
            <v>973492.07606142946</v>
          </cell>
          <cell r="M47">
            <v>1029990.2651772461</v>
          </cell>
          <cell r="N47">
            <v>943843.28380001429</v>
          </cell>
          <cell r="O47">
            <v>948245.27818089223</v>
          </cell>
          <cell r="P47">
            <v>913408.09568143776</v>
          </cell>
          <cell r="Q47">
            <v>967087.42657708912</v>
          </cell>
          <cell r="R47"/>
          <cell r="S47"/>
          <cell r="T47"/>
        </row>
        <row r="48"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</row>
        <row r="49">
          <cell r="E49">
            <v>0.79857121573986001</v>
          </cell>
          <cell r="F49">
            <v>0.87038038040934229</v>
          </cell>
          <cell r="G49">
            <v>0.86407219472961383</v>
          </cell>
          <cell r="H49">
            <v>0.82915389810182005</v>
          </cell>
          <cell r="I49">
            <v>0.81243687934850584</v>
          </cell>
          <cell r="J49">
            <v>0.79591306854871746</v>
          </cell>
          <cell r="K49">
            <v>0.86205138057149011</v>
          </cell>
          <cell r="L49">
            <v>0.85070031918477174</v>
          </cell>
          <cell r="M49">
            <v>0.83785441265763061</v>
          </cell>
          <cell r="N49">
            <v>0.8466252800116375</v>
          </cell>
          <cell r="O49">
            <v>0.82121298729315728</v>
          </cell>
          <cell r="P49">
            <v>0.80852582609322232</v>
          </cell>
          <cell r="Q49">
            <v>0.833924571833211</v>
          </cell>
          <cell r="R49"/>
          <cell r="S49"/>
          <cell r="T49"/>
        </row>
        <row r="50">
          <cell r="E50">
            <v>0.20142878426013996</v>
          </cell>
          <cell r="F50">
            <v>0.12961961959065768</v>
          </cell>
          <cell r="G50">
            <v>0.13592780527038614</v>
          </cell>
          <cell r="H50">
            <v>0.17084610189818</v>
          </cell>
          <cell r="I50">
            <v>0.18756312065149416</v>
          </cell>
          <cell r="J50">
            <v>0.20408693145128257</v>
          </cell>
          <cell r="K50">
            <v>0.13794861942850986</v>
          </cell>
          <cell r="L50">
            <v>0.14929968081522826</v>
          </cell>
          <cell r="M50">
            <v>0.16214558734236936</v>
          </cell>
          <cell r="N50">
            <v>0.15337471998836247</v>
          </cell>
          <cell r="O50">
            <v>0.17878701270684269</v>
          </cell>
          <cell r="P50">
            <v>0.19147417390677768</v>
          </cell>
          <cell r="Q50">
            <v>0.16607542816678894</v>
          </cell>
          <cell r="R50"/>
          <cell r="S50"/>
          <cell r="T50"/>
        </row>
        <row r="51"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</row>
        <row r="52">
          <cell r="E52">
            <v>2.7823178707229314E-2</v>
          </cell>
          <cell r="F52">
            <v>2.7130154457106714E-2</v>
          </cell>
          <cell r="G52">
            <v>1.8797000201944851E-2</v>
          </cell>
          <cell r="H52">
            <v>1.8146921038230335E-2</v>
          </cell>
          <cell r="I52">
            <v>2.5679335587291203E-2</v>
          </cell>
          <cell r="J52">
            <v>3.7059976070507129E-2</v>
          </cell>
          <cell r="K52">
            <v>8.2866316338170258E-3</v>
          </cell>
          <cell r="L52">
            <v>1.8929258347069412E-2</v>
          </cell>
          <cell r="M52">
            <v>1.7296509360740942E-2</v>
          </cell>
          <cell r="N52">
            <v>2.3542137855523892E-2</v>
          </cell>
          <cell r="O52">
            <v>2.3726716491380119E-2</v>
          </cell>
          <cell r="P52">
            <v>1.4154492203434744E-2</v>
          </cell>
          <cell r="Q52">
            <v>2.1135663310142175E-2</v>
          </cell>
          <cell r="R52"/>
          <cell r="S52"/>
          <cell r="T52"/>
        </row>
        <row r="53">
          <cell r="E53">
            <v>2.2005694548837322E-2</v>
          </cell>
          <cell r="F53">
            <v>1.5188168703492945E-2</v>
          </cell>
          <cell r="G53">
            <v>1.7650951996336726E-2</v>
          </cell>
          <cell r="H53">
            <v>2.0045029420160815E-2</v>
          </cell>
          <cell r="I53">
            <v>2.7812889049050205E-2</v>
          </cell>
          <cell r="J53">
            <v>3.0345726629506131E-2</v>
          </cell>
          <cell r="K53">
            <v>2.6145841207630523E-2</v>
          </cell>
          <cell r="L53">
            <v>3.3576433783650161E-2</v>
          </cell>
          <cell r="M53">
            <v>2.6951674341249041E-2</v>
          </cell>
          <cell r="N53">
            <v>2.8200700907343241E-2</v>
          </cell>
          <cell r="O53">
            <v>3.1704585564185137E-2</v>
          </cell>
          <cell r="P53">
            <v>3.5513573005933156E-2</v>
          </cell>
          <cell r="Q53">
            <v>2.6853359799128049E-2</v>
          </cell>
          <cell r="R53"/>
          <cell r="S53"/>
          <cell r="T53"/>
        </row>
        <row r="54">
          <cell r="E54">
            <v>2.6651369945751794E-2</v>
          </cell>
          <cell r="F54">
            <v>2.5582238806566245E-2</v>
          </cell>
          <cell r="G54">
            <v>1.8641220384622476E-2</v>
          </cell>
          <cell r="H54">
            <v>1.847120545626342E-2</v>
          </cell>
          <cell r="I54">
            <v>2.607951153265552E-2</v>
          </cell>
          <cell r="J54">
            <v>3.568968550509475E-2</v>
          </cell>
          <cell r="K54">
            <v>1.0750284938609023E-2</v>
          </cell>
          <cell r="L54">
            <v>2.1116076964595568E-2</v>
          </cell>
          <cell r="M54">
            <v>1.8862051757392903E-2</v>
          </cell>
          <cell r="N54">
            <v>2.4256643659144816E-2</v>
          </cell>
          <cell r="O54">
            <v>2.5153055870673239E-2</v>
          </cell>
          <cell r="P54">
            <v>1.8244204555501242E-2</v>
          </cell>
          <cell r="Q54">
            <v>2.2085232202678284E-2</v>
          </cell>
          <cell r="R54"/>
          <cell r="S54"/>
        </row>
        <row r="55">
          <cell r="R55"/>
          <cell r="S55"/>
        </row>
        <row r="56">
          <cell r="R56"/>
          <cell r="S56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총괄"/>
      <sheetName val="사업장별(당월)"/>
      <sheetName val="사업장별(누계)"/>
      <sheetName val="영업이익"/>
      <sheetName val="공헌이익"/>
      <sheetName val="재료비단가"/>
      <sheetName val="원단위"/>
      <sheetName val="건자재"/>
      <sheetName val="골재사업소(당월)"/>
      <sheetName val="골재사업소(누계)"/>
    </sheetNames>
    <sheetDataSet>
      <sheetData sheetId="0"/>
      <sheetData sheetId="1"/>
      <sheetData sheetId="2">
        <row r="28">
          <cell r="K28">
            <v>15762.77</v>
          </cell>
        </row>
      </sheetData>
      <sheetData sheetId="3"/>
      <sheetData sheetId="4"/>
      <sheetData sheetId="5"/>
      <sheetData sheetId="6"/>
      <sheetData sheetId="7"/>
      <sheetData sheetId="8">
        <row r="10">
          <cell r="K10">
            <v>30200</v>
          </cell>
          <cell r="L10">
            <v>34222.794999999998</v>
          </cell>
          <cell r="N10">
            <v>21735.562999999998</v>
          </cell>
        </row>
        <row r="12">
          <cell r="K12">
            <v>26345000</v>
          </cell>
          <cell r="L12">
            <v>25453031.050999999</v>
          </cell>
          <cell r="N12">
            <v>19373678.710000001</v>
          </cell>
        </row>
        <row r="13">
          <cell r="K13">
            <v>6718213.8980821948</v>
          </cell>
          <cell r="L13">
            <v>2839312.4410000006</v>
          </cell>
          <cell r="N13">
            <v>3559854.2180000003</v>
          </cell>
        </row>
        <row r="15">
          <cell r="K15">
            <v>25713627.5</v>
          </cell>
          <cell r="L15">
            <v>25205806.313999999</v>
          </cell>
          <cell r="N15">
            <v>18907043.357000001</v>
          </cell>
        </row>
        <row r="16">
          <cell r="K16">
            <v>6456492.4392545987</v>
          </cell>
          <cell r="L16">
            <v>2754121.0790000018</v>
          </cell>
          <cell r="N16">
            <v>3492681.1280000005</v>
          </cell>
        </row>
        <row r="24">
          <cell r="K24">
            <v>264094.84999999998</v>
          </cell>
          <cell r="L24">
            <v>283915.67700000003</v>
          </cell>
          <cell r="N24">
            <v>264784.81799999997</v>
          </cell>
        </row>
        <row r="25">
          <cell r="K25">
            <v>125122.07399999999</v>
          </cell>
          <cell r="L25">
            <v>154811.80799999999</v>
          </cell>
          <cell r="N25">
            <v>120256.389</v>
          </cell>
        </row>
      </sheetData>
      <sheetData sheetId="9"/>
      <sheetData sheetId="10">
        <row r="8">
          <cell r="G8">
            <v>51513.626400000001</v>
          </cell>
          <cell r="H8">
            <v>23306</v>
          </cell>
          <cell r="J8">
            <v>31421.991144086023</v>
          </cell>
          <cell r="K8">
            <v>10836</v>
          </cell>
          <cell r="M8">
            <v>0</v>
          </cell>
          <cell r="N8">
            <v>0</v>
          </cell>
          <cell r="S8">
            <v>0</v>
          </cell>
          <cell r="T8">
            <v>0</v>
          </cell>
          <cell r="Y8">
            <v>13531.559466666668</v>
          </cell>
          <cell r="Z8">
            <v>22388</v>
          </cell>
          <cell r="AB8">
            <v>14155.182699999999</v>
          </cell>
          <cell r="AC8">
            <v>17156</v>
          </cell>
          <cell r="AE8">
            <v>0</v>
          </cell>
          <cell r="AF8">
            <v>0</v>
          </cell>
          <cell r="AK8">
            <v>9921.6893791929797</v>
          </cell>
          <cell r="AL8">
            <v>800</v>
          </cell>
          <cell r="AN8">
            <v>23922.666691425246</v>
          </cell>
          <cell r="AO8">
            <v>30904</v>
          </cell>
        </row>
        <row r="10">
          <cell r="G10">
            <v>27000</v>
          </cell>
          <cell r="H10">
            <v>4056</v>
          </cell>
          <cell r="J10">
            <v>21000</v>
          </cell>
          <cell r="K10">
            <v>0</v>
          </cell>
          <cell r="M10">
            <v>15000</v>
          </cell>
          <cell r="N10">
            <v>5872</v>
          </cell>
          <cell r="S10">
            <v>0</v>
          </cell>
          <cell r="T10">
            <v>1376</v>
          </cell>
          <cell r="Y10">
            <v>8000</v>
          </cell>
          <cell r="Z10">
            <v>2128</v>
          </cell>
          <cell r="AB10">
            <v>7000</v>
          </cell>
          <cell r="AC10">
            <v>10304</v>
          </cell>
          <cell r="AE10">
            <v>4000</v>
          </cell>
          <cell r="AF10">
            <v>0</v>
          </cell>
          <cell r="AK10">
            <v>7000</v>
          </cell>
          <cell r="AL10">
            <v>0</v>
          </cell>
          <cell r="AN10">
            <v>10000</v>
          </cell>
          <cell r="AO10">
            <v>37298</v>
          </cell>
        </row>
        <row r="12">
          <cell r="AX12">
            <v>243466.71578137088</v>
          </cell>
          <cell r="AY12">
            <v>167400</v>
          </cell>
        </row>
        <row r="13">
          <cell r="G13">
            <v>734414.49666666659</v>
          </cell>
          <cell r="H13">
            <v>338098</v>
          </cell>
          <cell r="J13">
            <v>638475.39530537627</v>
          </cell>
          <cell r="K13">
            <v>194040</v>
          </cell>
          <cell r="M13">
            <v>0</v>
          </cell>
          <cell r="N13">
            <v>0</v>
          </cell>
          <cell r="S13">
            <v>0</v>
          </cell>
          <cell r="T13">
            <v>0</v>
          </cell>
          <cell r="Y13">
            <v>236800.5406666667</v>
          </cell>
          <cell r="Z13">
            <v>359670</v>
          </cell>
          <cell r="AB13">
            <v>331246.51544999995</v>
          </cell>
          <cell r="AC13">
            <v>373070</v>
          </cell>
          <cell r="AE13">
            <v>0</v>
          </cell>
          <cell r="AF13">
            <v>0</v>
          </cell>
          <cell r="AK13">
            <v>177479.00249827307</v>
          </cell>
          <cell r="AL13">
            <v>30400</v>
          </cell>
          <cell r="AN13">
            <v>839902.74766414065</v>
          </cell>
          <cell r="AO13">
            <v>925335</v>
          </cell>
        </row>
        <row r="15">
          <cell r="G15">
            <v>310500</v>
          </cell>
          <cell r="H15">
            <v>46644</v>
          </cell>
          <cell r="J15">
            <v>315000</v>
          </cell>
          <cell r="K15">
            <v>0</v>
          </cell>
          <cell r="M15">
            <v>135000</v>
          </cell>
          <cell r="N15">
            <v>49912</v>
          </cell>
          <cell r="S15">
            <v>0</v>
          </cell>
          <cell r="T15">
            <v>12384</v>
          </cell>
          <cell r="Y15">
            <v>104000</v>
          </cell>
          <cell r="Z15">
            <v>27664</v>
          </cell>
          <cell r="AB15">
            <v>126000</v>
          </cell>
          <cell r="AC15">
            <v>185792</v>
          </cell>
          <cell r="AE15">
            <v>36000</v>
          </cell>
          <cell r="AF15">
            <v>0</v>
          </cell>
          <cell r="AK15">
            <v>245000</v>
          </cell>
          <cell r="AL15">
            <v>0</v>
          </cell>
          <cell r="AN15">
            <v>275000</v>
          </cell>
          <cell r="AO15">
            <v>1024003.5</v>
          </cell>
        </row>
        <row r="17">
          <cell r="AX17">
            <v>4504818.6982511235</v>
          </cell>
          <cell r="AY17">
            <v>3577748.5</v>
          </cell>
        </row>
        <row r="18">
          <cell r="G18">
            <v>146026.26242145576</v>
          </cell>
          <cell r="H18">
            <v>104198.61744539639</v>
          </cell>
          <cell r="J18">
            <v>131612.69224631009</v>
          </cell>
          <cell r="K18">
            <v>82334.172411782085</v>
          </cell>
          <cell r="M18">
            <v>0</v>
          </cell>
          <cell r="N18">
            <v>0</v>
          </cell>
          <cell r="S18">
            <v>0</v>
          </cell>
          <cell r="T18">
            <v>0</v>
          </cell>
          <cell r="Y18">
            <v>-69782.75540397258</v>
          </cell>
          <cell r="Z18">
            <v>-459994.15893421002</v>
          </cell>
          <cell r="AB18">
            <v>-80852.913274355698</v>
          </cell>
          <cell r="AC18">
            <v>-36136.379297374515</v>
          </cell>
          <cell r="AE18">
            <v>0</v>
          </cell>
          <cell r="AF18">
            <v>0</v>
          </cell>
          <cell r="AK18">
            <v>68025.126015820977</v>
          </cell>
          <cell r="AL18">
            <v>6328.7489999999998</v>
          </cell>
          <cell r="AN18">
            <v>126415.03792385338</v>
          </cell>
          <cell r="AO18">
            <v>31486.374180784602</v>
          </cell>
        </row>
        <row r="19">
          <cell r="G19">
            <v>59457.151442593764</v>
          </cell>
          <cell r="H19">
            <v>-118228.71800229201</v>
          </cell>
          <cell r="J19">
            <v>57330.839650263188</v>
          </cell>
          <cell r="K19">
            <v>0</v>
          </cell>
          <cell r="M19">
            <v>24570.359850112796</v>
          </cell>
          <cell r="N19">
            <v>-18192.800968902568</v>
          </cell>
          <cell r="S19">
            <v>0</v>
          </cell>
          <cell r="T19">
            <v>-2870.7153873818825</v>
          </cell>
          <cell r="Y19">
            <v>-39612.675956419669</v>
          </cell>
          <cell r="Z19">
            <v>-22610.903849154085</v>
          </cell>
          <cell r="AB19">
            <v>-47992.280485662297</v>
          </cell>
          <cell r="AC19">
            <v>-58145.455279261463</v>
          </cell>
          <cell r="AE19">
            <v>-13712.080138760657</v>
          </cell>
          <cell r="AF19">
            <v>0</v>
          </cell>
          <cell r="AK19">
            <v>7496.6408732199643</v>
          </cell>
          <cell r="AL19">
            <v>0</v>
          </cell>
          <cell r="AN19">
            <v>-7753.1729723032522</v>
          </cell>
          <cell r="AO19">
            <v>-15373.161180784606</v>
          </cell>
        </row>
        <row r="20">
          <cell r="V20">
            <v>418997.30561073561</v>
          </cell>
          <cell r="AH20">
            <v>-251952.70525917091</v>
          </cell>
          <cell r="AQ20">
            <v>194183.63184059106</v>
          </cell>
          <cell r="AX20">
            <v>361228.23219215573</v>
          </cell>
          <cell r="AY20">
            <v>-505045.06199244311</v>
          </cell>
        </row>
        <row r="21">
          <cell r="G21">
            <v>16759.293066666665</v>
          </cell>
          <cell r="H21">
            <v>12912</v>
          </cell>
          <cell r="J21">
            <v>8108.6147999999994</v>
          </cell>
          <cell r="K21">
            <v>7392</v>
          </cell>
          <cell r="M21">
            <v>0</v>
          </cell>
          <cell r="N21">
            <v>0</v>
          </cell>
          <cell r="S21">
            <v>0</v>
          </cell>
          <cell r="T21">
            <v>0</v>
          </cell>
          <cell r="Y21">
            <v>13531.559466666668</v>
          </cell>
          <cell r="Z21">
            <v>16548</v>
          </cell>
          <cell r="AB21">
            <v>13900.5867</v>
          </cell>
          <cell r="AC21">
            <v>11684</v>
          </cell>
          <cell r="AE21">
            <v>0</v>
          </cell>
          <cell r="AF21">
            <v>0</v>
          </cell>
          <cell r="AK21">
            <v>717.48251748251744</v>
          </cell>
          <cell r="AL21">
            <v>800</v>
          </cell>
          <cell r="AN21">
            <v>11838.461538461539</v>
          </cell>
          <cell r="AO21">
            <v>5634</v>
          </cell>
        </row>
        <row r="22">
          <cell r="G22">
            <v>29563.333333333336</v>
          </cell>
          <cell r="H22">
            <v>10394</v>
          </cell>
          <cell r="J22">
            <v>19242</v>
          </cell>
          <cell r="K22">
            <v>3444</v>
          </cell>
          <cell r="M22">
            <v>0</v>
          </cell>
          <cell r="N22">
            <v>0</v>
          </cell>
          <cell r="S22">
            <v>0</v>
          </cell>
          <cell r="T22">
            <v>0</v>
          </cell>
          <cell r="Y22">
            <v>0</v>
          </cell>
          <cell r="Z22">
            <v>5840</v>
          </cell>
          <cell r="AB22">
            <v>0</v>
          </cell>
          <cell r="AC22">
            <v>3536</v>
          </cell>
          <cell r="AE22">
            <v>0</v>
          </cell>
          <cell r="AF22">
            <v>0</v>
          </cell>
          <cell r="AK22">
            <v>0</v>
          </cell>
          <cell r="AL22">
            <v>0</v>
          </cell>
          <cell r="AN22">
            <v>4067.8321678321677</v>
          </cell>
          <cell r="AO22">
            <v>7808</v>
          </cell>
        </row>
        <row r="23">
          <cell r="G23">
            <v>3798.666666666667</v>
          </cell>
          <cell r="H23">
            <v>0</v>
          </cell>
          <cell r="J23">
            <v>3280.666666666667</v>
          </cell>
          <cell r="K23">
            <v>0</v>
          </cell>
          <cell r="M23">
            <v>0</v>
          </cell>
          <cell r="N23">
            <v>0</v>
          </cell>
          <cell r="S23">
            <v>0</v>
          </cell>
          <cell r="T23">
            <v>0</v>
          </cell>
          <cell r="Y23">
            <v>0</v>
          </cell>
          <cell r="Z23">
            <v>0</v>
          </cell>
          <cell r="AB23">
            <v>0</v>
          </cell>
          <cell r="AC23">
            <v>0</v>
          </cell>
          <cell r="AE23">
            <v>0</v>
          </cell>
          <cell r="AF23">
            <v>0</v>
          </cell>
          <cell r="AK23">
            <v>0</v>
          </cell>
          <cell r="AL23">
            <v>0</v>
          </cell>
          <cell r="AN23">
            <v>3088.1118881118882</v>
          </cell>
          <cell r="AO23">
            <v>3792</v>
          </cell>
        </row>
        <row r="24">
          <cell r="G24">
            <v>0</v>
          </cell>
          <cell r="H24">
            <v>0</v>
          </cell>
          <cell r="J24">
            <v>0</v>
          </cell>
          <cell r="K24">
            <v>0</v>
          </cell>
          <cell r="M24">
            <v>0</v>
          </cell>
          <cell r="N24">
            <v>0</v>
          </cell>
          <cell r="S24">
            <v>0</v>
          </cell>
          <cell r="T24">
            <v>0</v>
          </cell>
          <cell r="Y24">
            <v>0</v>
          </cell>
          <cell r="Z24">
            <v>0</v>
          </cell>
          <cell r="AB24">
            <v>254.596</v>
          </cell>
          <cell r="AC24">
            <v>1936</v>
          </cell>
          <cell r="AE24">
            <v>0</v>
          </cell>
          <cell r="AF24">
            <v>0</v>
          </cell>
          <cell r="AK24">
            <v>9204.2068617104615</v>
          </cell>
          <cell r="AL24">
            <v>0</v>
          </cell>
          <cell r="AN24">
            <v>4356.2387193972736</v>
          </cell>
          <cell r="AO24">
            <v>9104</v>
          </cell>
        </row>
        <row r="25">
          <cell r="G25">
            <v>0</v>
          </cell>
          <cell r="H25">
            <v>0</v>
          </cell>
          <cell r="J25">
            <v>0</v>
          </cell>
          <cell r="K25">
            <v>0</v>
          </cell>
          <cell r="M25">
            <v>0</v>
          </cell>
          <cell r="N25">
            <v>0</v>
          </cell>
          <cell r="S25">
            <v>0</v>
          </cell>
          <cell r="T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E25">
            <v>0</v>
          </cell>
          <cell r="AF25">
            <v>0</v>
          </cell>
          <cell r="AK25">
            <v>0</v>
          </cell>
          <cell r="AL25">
            <v>0</v>
          </cell>
          <cell r="AN25">
            <v>572.02237762237758</v>
          </cell>
          <cell r="AO25">
            <v>0</v>
          </cell>
        </row>
        <row r="26">
          <cell r="G26">
            <v>1392.3333333333333</v>
          </cell>
          <cell r="H26">
            <v>0</v>
          </cell>
          <cell r="J26">
            <v>790.70967741935488</v>
          </cell>
          <cell r="K26">
            <v>0</v>
          </cell>
          <cell r="M26">
            <v>0</v>
          </cell>
          <cell r="N26">
            <v>0</v>
          </cell>
          <cell r="S26">
            <v>0</v>
          </cell>
          <cell r="T26">
            <v>0</v>
          </cell>
          <cell r="Y26">
            <v>0</v>
          </cell>
          <cell r="Z26">
            <v>0</v>
          </cell>
          <cell r="AB26">
            <v>0</v>
          </cell>
          <cell r="AC26">
            <v>0</v>
          </cell>
          <cell r="AE26">
            <v>0</v>
          </cell>
          <cell r="AF26">
            <v>0</v>
          </cell>
          <cell r="AK26">
            <v>0</v>
          </cell>
          <cell r="AL26">
            <v>0</v>
          </cell>
          <cell r="AN26">
            <v>0</v>
          </cell>
          <cell r="AO26">
            <v>0</v>
          </cell>
        </row>
        <row r="35">
          <cell r="G35">
            <v>209491.16333333333</v>
          </cell>
          <cell r="H35">
            <v>161400</v>
          </cell>
          <cell r="J35">
            <v>150009.37379999997</v>
          </cell>
          <cell r="K35">
            <v>118272</v>
          </cell>
          <cell r="Y35">
            <v>236800.5406666667</v>
          </cell>
          <cell r="Z35">
            <v>289590</v>
          </cell>
          <cell r="AB35">
            <v>326663.78744999995</v>
          </cell>
          <cell r="AC35">
            <v>274574</v>
          </cell>
          <cell r="AE35">
            <v>0</v>
          </cell>
          <cell r="AF35">
            <v>0</v>
          </cell>
          <cell r="AK35">
            <v>27264.335664335664</v>
          </cell>
          <cell r="AL35">
            <v>30400</v>
          </cell>
          <cell r="AN35">
            <v>0</v>
          </cell>
          <cell r="AO35">
            <v>337815</v>
          </cell>
        </row>
        <row r="36">
          <cell r="G36">
            <v>473013.33333333337</v>
          </cell>
          <cell r="H36">
            <v>176698</v>
          </cell>
          <cell r="J36">
            <v>423324</v>
          </cell>
          <cell r="K36">
            <v>75768</v>
          </cell>
          <cell r="Y36">
            <v>0</v>
          </cell>
          <cell r="Z36">
            <v>70080</v>
          </cell>
          <cell r="AB36">
            <v>0</v>
          </cell>
          <cell r="AC36">
            <v>63648</v>
          </cell>
          <cell r="AE36">
            <v>0</v>
          </cell>
          <cell r="AF36">
            <v>0</v>
          </cell>
          <cell r="AK36">
            <v>0</v>
          </cell>
          <cell r="AL36">
            <v>0</v>
          </cell>
          <cell r="AN36">
            <v>177479.00249827307</v>
          </cell>
          <cell r="AO36">
            <v>221040</v>
          </cell>
        </row>
        <row r="37">
          <cell r="G37">
            <v>37986.666666666672</v>
          </cell>
          <cell r="H37">
            <v>0</v>
          </cell>
          <cell r="J37">
            <v>52490.666666666672</v>
          </cell>
          <cell r="K37">
            <v>0</v>
          </cell>
          <cell r="Y37">
            <v>0</v>
          </cell>
          <cell r="Z37">
            <v>0</v>
          </cell>
          <cell r="AB37">
            <v>0</v>
          </cell>
          <cell r="AC37">
            <v>0</v>
          </cell>
          <cell r="AE37">
            <v>0</v>
          </cell>
          <cell r="AF37">
            <v>0</v>
          </cell>
          <cell r="AK37">
            <v>0</v>
          </cell>
          <cell r="AL37">
            <v>0</v>
          </cell>
          <cell r="AN37">
            <v>361073.07692307694</v>
          </cell>
          <cell r="AO37">
            <v>108120</v>
          </cell>
        </row>
        <row r="38">
          <cell r="G38">
            <v>0</v>
          </cell>
          <cell r="H38">
            <v>0</v>
          </cell>
          <cell r="J38">
            <v>0</v>
          </cell>
          <cell r="K38">
            <v>0</v>
          </cell>
          <cell r="Y38">
            <v>0</v>
          </cell>
          <cell r="Z38">
            <v>0</v>
          </cell>
          <cell r="AB38">
            <v>4582.7280000000001</v>
          </cell>
          <cell r="AC38">
            <v>34848</v>
          </cell>
          <cell r="AE38">
            <v>0</v>
          </cell>
          <cell r="AF38">
            <v>0</v>
          </cell>
          <cell r="AK38">
            <v>150214.6668339374</v>
          </cell>
          <cell r="AL38">
            <v>0</v>
          </cell>
          <cell r="AN38">
            <v>107797.55244755244</v>
          </cell>
          <cell r="AO38">
            <v>258360</v>
          </cell>
        </row>
        <row r="39">
          <cell r="G39">
            <v>0</v>
          </cell>
          <cell r="H39">
            <v>0</v>
          </cell>
          <cell r="J39">
            <v>0</v>
          </cell>
          <cell r="K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E39">
            <v>0</v>
          </cell>
          <cell r="AF39">
            <v>0</v>
          </cell>
          <cell r="AK39">
            <v>0</v>
          </cell>
          <cell r="AL39">
            <v>0</v>
          </cell>
          <cell r="AN39">
            <v>80290.909090909088</v>
          </cell>
          <cell r="AO39">
            <v>0</v>
          </cell>
        </row>
        <row r="40">
          <cell r="G40">
            <v>13923.333333333332</v>
          </cell>
          <cell r="H40">
            <v>0</v>
          </cell>
          <cell r="J40">
            <v>12651.354838709678</v>
          </cell>
          <cell r="K40">
            <v>0</v>
          </cell>
          <cell r="Y40">
            <v>0</v>
          </cell>
          <cell r="Z40">
            <v>0</v>
          </cell>
          <cell r="AB40">
            <v>0</v>
          </cell>
          <cell r="AC40">
            <v>0</v>
          </cell>
          <cell r="AE40">
            <v>0</v>
          </cell>
          <cell r="AF40">
            <v>0</v>
          </cell>
          <cell r="AK40">
            <v>0</v>
          </cell>
          <cell r="AL40">
            <v>0</v>
          </cell>
          <cell r="AN40">
            <v>113262.20670432912</v>
          </cell>
          <cell r="AO40">
            <v>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</sheetNames>
    <sheetDataSet>
      <sheetData sheetId="0">
        <row r="5">
          <cell r="G5" t="str">
            <v>1월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9819.6666666666661</v>
          </cell>
          <cell r="H6">
            <v>17637.466666666667</v>
          </cell>
          <cell r="I6">
            <v>24056.49306666667</v>
          </cell>
          <cell r="J6">
            <v>25419.693066666667</v>
          </cell>
          <cell r="K6">
            <v>13723.800000000001</v>
          </cell>
          <cell r="L6">
            <v>13278.266666666666</v>
          </cell>
          <cell r="M6">
            <v>13015.8</v>
          </cell>
          <cell r="N6">
            <v>11373.533333333333</v>
          </cell>
          <cell r="O6">
            <v>13690.800000000001</v>
          </cell>
          <cell r="P6">
            <v>13088.599999999999</v>
          </cell>
          <cell r="Q6">
            <v>15254.8</v>
          </cell>
          <cell r="R6">
            <v>15319.666666666666</v>
          </cell>
        </row>
        <row r="7">
          <cell r="G7">
            <v>8000</v>
          </cell>
          <cell r="H7">
            <v>8000</v>
          </cell>
          <cell r="I7">
            <v>11000</v>
          </cell>
          <cell r="J7">
            <v>11000</v>
          </cell>
          <cell r="K7">
            <v>13500</v>
          </cell>
          <cell r="L7">
            <v>13500</v>
          </cell>
          <cell r="M7">
            <v>9000</v>
          </cell>
          <cell r="N7">
            <v>9000</v>
          </cell>
          <cell r="O7">
            <v>9000</v>
          </cell>
          <cell r="P7">
            <v>12000</v>
          </cell>
          <cell r="Q7">
            <v>12000</v>
          </cell>
          <cell r="R7">
            <v>10964</v>
          </cell>
        </row>
        <row r="8">
          <cell r="G8">
            <v>17819.666666666664</v>
          </cell>
          <cell r="H8">
            <v>25637.466666666667</v>
          </cell>
          <cell r="I8">
            <v>35056.49306666667</v>
          </cell>
          <cell r="J8">
            <v>36419.693066666667</v>
          </cell>
          <cell r="K8">
            <v>27223.800000000003</v>
          </cell>
          <cell r="L8">
            <v>26778.266666666666</v>
          </cell>
          <cell r="M8">
            <v>22015.8</v>
          </cell>
          <cell r="N8">
            <v>20373.533333333333</v>
          </cell>
          <cell r="O8">
            <v>22690.800000000003</v>
          </cell>
          <cell r="P8">
            <v>25088.6</v>
          </cell>
          <cell r="Q8">
            <v>27254.799999999999</v>
          </cell>
          <cell r="R8">
            <v>26283.666666666664</v>
          </cell>
        </row>
        <row r="9">
          <cell r="G9">
            <v>6618.1935483870966</v>
          </cell>
          <cell r="H9">
            <v>8060.1935483870966</v>
          </cell>
          <cell r="I9">
            <v>16743.60404731183</v>
          </cell>
          <cell r="J9">
            <v>17628.551612903226</v>
          </cell>
          <cell r="K9">
            <v>9154.4516129032254</v>
          </cell>
          <cell r="L9">
            <v>8840.8709677419356</v>
          </cell>
          <cell r="M9">
            <v>8632.9569892473119</v>
          </cell>
          <cell r="N9">
            <v>7575.9569892473119</v>
          </cell>
          <cell r="O9">
            <v>9077.6236559139797</v>
          </cell>
          <cell r="P9">
            <v>8653.2150537634407</v>
          </cell>
          <cell r="Q9">
            <v>10144.634408602149</v>
          </cell>
          <cell r="R9">
            <v>10227.634408602149</v>
          </cell>
        </row>
        <row r="10">
          <cell r="G10">
            <v>7000</v>
          </cell>
          <cell r="H10">
            <v>7000</v>
          </cell>
          <cell r="I10">
            <v>7000</v>
          </cell>
          <cell r="J10">
            <v>7000</v>
          </cell>
          <cell r="K10">
            <v>7000</v>
          </cell>
          <cell r="L10">
            <v>7000</v>
          </cell>
          <cell r="M10">
            <v>7000</v>
          </cell>
          <cell r="N10">
            <v>7000</v>
          </cell>
          <cell r="O10">
            <v>7000</v>
          </cell>
          <cell r="P10">
            <v>7000</v>
          </cell>
          <cell r="Q10">
            <v>7000</v>
          </cell>
          <cell r="R10">
            <v>7000</v>
          </cell>
        </row>
        <row r="11">
          <cell r="G11">
            <v>13618.193548387097</v>
          </cell>
          <cell r="H11">
            <v>15060.193548387097</v>
          </cell>
          <cell r="I11">
            <v>23743.60404731183</v>
          </cell>
          <cell r="J11">
            <v>24628.551612903226</v>
          </cell>
          <cell r="K11">
            <v>16154.451612903225</v>
          </cell>
          <cell r="L11">
            <v>15840.870967741936</v>
          </cell>
          <cell r="M11">
            <v>15632.956989247312</v>
          </cell>
          <cell r="N11">
            <v>14575.956989247312</v>
          </cell>
          <cell r="O11">
            <v>16077.62365591398</v>
          </cell>
          <cell r="P11">
            <v>15653.215053763441</v>
          </cell>
          <cell r="Q11">
            <v>17144.634408602149</v>
          </cell>
          <cell r="R11">
            <v>17227.634408602149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5000</v>
          </cell>
          <cell r="H16">
            <v>5000</v>
          </cell>
          <cell r="I16">
            <v>5000</v>
          </cell>
          <cell r="J16">
            <v>6000</v>
          </cell>
          <cell r="K16">
            <v>6000</v>
          </cell>
          <cell r="L16">
            <v>5000</v>
          </cell>
          <cell r="M16">
            <v>5000</v>
          </cell>
          <cell r="N16">
            <v>5000</v>
          </cell>
          <cell r="O16">
            <v>5000</v>
          </cell>
          <cell r="P16">
            <v>5000</v>
          </cell>
          <cell r="Q16">
            <v>5000</v>
          </cell>
          <cell r="R16">
            <v>5000</v>
          </cell>
        </row>
        <row r="17">
          <cell r="G17">
            <v>5000</v>
          </cell>
          <cell r="H17">
            <v>5000</v>
          </cell>
          <cell r="I17">
            <v>5000</v>
          </cell>
          <cell r="J17">
            <v>6000</v>
          </cell>
          <cell r="K17">
            <v>6000</v>
          </cell>
          <cell r="L17">
            <v>5000</v>
          </cell>
          <cell r="M17">
            <v>5000</v>
          </cell>
          <cell r="N17">
            <v>5000</v>
          </cell>
          <cell r="O17">
            <v>5000</v>
          </cell>
          <cell r="P17">
            <v>5000</v>
          </cell>
          <cell r="Q17">
            <v>5000</v>
          </cell>
          <cell r="R17">
            <v>5000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16437.860215053763</v>
          </cell>
          <cell r="H24">
            <v>25697.660215053766</v>
          </cell>
          <cell r="I24">
            <v>40800.097113978496</v>
          </cell>
          <cell r="J24">
            <v>43048.244679569892</v>
          </cell>
          <cell r="K24">
            <v>22878.251612903226</v>
          </cell>
          <cell r="L24">
            <v>22119.137634408602</v>
          </cell>
          <cell r="M24">
            <v>21648.756989247311</v>
          </cell>
          <cell r="N24">
            <v>18949.490322580645</v>
          </cell>
          <cell r="O24">
            <v>22768.423655913983</v>
          </cell>
          <cell r="P24">
            <v>21741.815053763439</v>
          </cell>
          <cell r="Q24">
            <v>25399.434408602148</v>
          </cell>
          <cell r="R24">
            <v>25547.301075268813</v>
          </cell>
        </row>
        <row r="25">
          <cell r="G25">
            <v>20000</v>
          </cell>
          <cell r="H25">
            <v>20000</v>
          </cell>
          <cell r="I25">
            <v>23000</v>
          </cell>
          <cell r="J25">
            <v>24000</v>
          </cell>
          <cell r="K25">
            <v>26500</v>
          </cell>
          <cell r="L25">
            <v>25500</v>
          </cell>
          <cell r="M25">
            <v>21000</v>
          </cell>
          <cell r="N25">
            <v>21000</v>
          </cell>
          <cell r="O25">
            <v>21000</v>
          </cell>
          <cell r="P25">
            <v>24000</v>
          </cell>
          <cell r="Q25">
            <v>24000</v>
          </cell>
          <cell r="R25">
            <v>22964</v>
          </cell>
        </row>
        <row r="26">
          <cell r="G26">
            <v>36437.860215053763</v>
          </cell>
          <cell r="H26">
            <v>45697.660215053766</v>
          </cell>
          <cell r="I26">
            <v>63800.097113978496</v>
          </cell>
          <cell r="J26">
            <v>67048.244679569892</v>
          </cell>
          <cell r="K26">
            <v>49378.25161290323</v>
          </cell>
          <cell r="L26">
            <v>47619.137634408602</v>
          </cell>
          <cell r="M26">
            <v>42648.756989247311</v>
          </cell>
          <cell r="N26">
            <v>39949.490322580648</v>
          </cell>
          <cell r="O26">
            <v>43768.423655913983</v>
          </cell>
          <cell r="P26">
            <v>45741.815053763436</v>
          </cell>
          <cell r="Q26">
            <v>49399.434408602145</v>
          </cell>
          <cell r="R26">
            <v>48511.301075268813</v>
          </cell>
        </row>
        <row r="27">
          <cell r="G27">
            <v>15010.271903323264</v>
          </cell>
          <cell r="H27">
            <v>14337.962367989356</v>
          </cell>
          <cell r="I27">
            <v>13889.526446797468</v>
          </cell>
          <cell r="J27">
            <v>13927.363156517105</v>
          </cell>
          <cell r="K27">
            <v>15007.301184803042</v>
          </cell>
          <cell r="L27">
            <v>14948.175966742649</v>
          </cell>
          <cell r="M27">
            <v>15047.957098295918</v>
          </cell>
          <cell r="N27">
            <v>14910.488092237534</v>
          </cell>
          <cell r="O27">
            <v>15049.902124054108</v>
          </cell>
          <cell r="P27">
            <v>14781.046101187294</v>
          </cell>
          <cell r="Q27">
            <v>14931.929622151716</v>
          </cell>
          <cell r="R27">
            <v>14936.452055092583</v>
          </cell>
        </row>
        <row r="28">
          <cell r="G28">
            <v>11500</v>
          </cell>
          <cell r="H28">
            <v>11500</v>
          </cell>
          <cell r="I28">
            <v>11500</v>
          </cell>
          <cell r="J28">
            <v>11500</v>
          </cell>
          <cell r="K28">
            <v>11500</v>
          </cell>
          <cell r="L28">
            <v>11500</v>
          </cell>
          <cell r="M28">
            <v>11500</v>
          </cell>
          <cell r="N28">
            <v>11500</v>
          </cell>
          <cell r="O28">
            <v>11500</v>
          </cell>
          <cell r="P28">
            <v>11500</v>
          </cell>
          <cell r="Q28">
            <v>11500</v>
          </cell>
          <cell r="R28">
            <v>11500</v>
          </cell>
        </row>
        <row r="29">
          <cell r="G29">
            <v>13434.362782693281</v>
          </cell>
          <cell r="H29">
            <v>13452.395192452714</v>
          </cell>
          <cell r="I29">
            <v>13139.742637424792</v>
          </cell>
          <cell r="J29">
            <v>13194.21599152558</v>
          </cell>
          <cell r="K29">
            <v>13268.0669120402</v>
          </cell>
          <cell r="L29">
            <v>13209.811937043474</v>
          </cell>
          <cell r="M29">
            <v>13597.561751106023</v>
          </cell>
          <cell r="N29">
            <v>13403.906375264642</v>
          </cell>
          <cell r="O29">
            <v>13641.88129109595</v>
          </cell>
          <cell r="P29">
            <v>13211.705714946229</v>
          </cell>
          <cell r="Q29">
            <v>13420.887329938212</v>
          </cell>
          <cell r="R29">
            <v>13502.966354263104</v>
          </cell>
        </row>
        <row r="30">
          <cell r="G30">
            <v>20833.947476165409</v>
          </cell>
          <cell r="H30">
            <v>21042.558811522977</v>
          </cell>
          <cell r="I30">
            <v>19767.858868481104</v>
          </cell>
          <cell r="J30">
            <v>19798.51115794374</v>
          </cell>
          <cell r="K30">
            <v>20860.586071292655</v>
          </cell>
          <cell r="L30">
            <v>20798.848456764223</v>
          </cell>
          <cell r="M30">
            <v>20914.422723621032</v>
          </cell>
          <cell r="N30">
            <v>20762.962626532153</v>
          </cell>
          <cell r="O30">
            <v>20908.993993264779</v>
          </cell>
          <cell r="P30">
            <v>20624.177227930697</v>
          </cell>
          <cell r="Q30">
            <v>20807.861775545312</v>
          </cell>
          <cell r="R30">
            <v>20817.536297402145</v>
          </cell>
        </row>
        <row r="31">
          <cell r="G31">
            <v>15000</v>
          </cell>
          <cell r="H31">
            <v>15000</v>
          </cell>
          <cell r="I31">
            <v>15000</v>
          </cell>
          <cell r="J31">
            <v>15000</v>
          </cell>
          <cell r="K31">
            <v>15000</v>
          </cell>
          <cell r="L31">
            <v>15000</v>
          </cell>
          <cell r="M31">
            <v>15000</v>
          </cell>
          <cell r="N31">
            <v>15000</v>
          </cell>
          <cell r="O31">
            <v>15000</v>
          </cell>
          <cell r="P31">
            <v>15000</v>
          </cell>
          <cell r="Q31">
            <v>15000</v>
          </cell>
          <cell r="R31">
            <v>15000</v>
          </cell>
        </row>
        <row r="32">
          <cell r="G32">
            <v>17835.192010687791</v>
          </cell>
          <cell r="H32">
            <v>18233.968633398021</v>
          </cell>
          <cell r="I32">
            <v>18362.21665793614</v>
          </cell>
          <cell r="J32">
            <v>18434.664081853072</v>
          </cell>
          <cell r="K32">
            <v>18321.093955925462</v>
          </cell>
          <cell r="L32">
            <v>18236.366931599965</v>
          </cell>
          <cell r="M32">
            <v>18266.109989579501</v>
          </cell>
          <cell r="N32">
            <v>17995.340684762949</v>
          </cell>
          <cell r="O32">
            <v>18336.290536703989</v>
          </cell>
          <cell r="P32">
            <v>18109.087486922541</v>
          </cell>
          <cell r="Q32">
            <v>18436.56405872617</v>
          </cell>
          <cell r="R32">
            <v>18453.732125804378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9000</v>
          </cell>
          <cell r="H38">
            <v>9000</v>
          </cell>
          <cell r="I38">
            <v>9000</v>
          </cell>
          <cell r="J38">
            <v>9000</v>
          </cell>
          <cell r="K38">
            <v>9000</v>
          </cell>
          <cell r="L38">
            <v>9000</v>
          </cell>
          <cell r="M38">
            <v>9000</v>
          </cell>
          <cell r="N38">
            <v>9000</v>
          </cell>
          <cell r="O38">
            <v>9000</v>
          </cell>
          <cell r="P38">
            <v>9000</v>
          </cell>
          <cell r="Q38">
            <v>9000</v>
          </cell>
          <cell r="R38">
            <v>9000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17354.993880505335</v>
          </cell>
          <cell r="H45">
            <v>16440.890982752957</v>
          </cell>
          <cell r="I45">
            <v>16301.885178498263</v>
          </cell>
          <cell r="J45">
            <v>16331.63855358719</v>
          </cell>
          <cell r="K45">
            <v>17349.421298548361</v>
          </cell>
          <cell r="L45">
            <v>17286.650522745884</v>
          </cell>
          <cell r="M45">
            <v>17387.349861006696</v>
          </cell>
          <cell r="N45">
            <v>17250.292202939494</v>
          </cell>
          <cell r="O45">
            <v>17385.884261328909</v>
          </cell>
          <cell r="P45">
            <v>17106.604942618873</v>
          </cell>
          <cell r="Q45">
            <v>17278.800129068997</v>
          </cell>
          <cell r="R45">
            <v>17290.891742452019</v>
          </cell>
        </row>
        <row r="46">
          <cell r="G46">
            <v>12100</v>
          </cell>
          <cell r="H46">
            <v>12100</v>
          </cell>
          <cell r="I46">
            <v>12021.739130434784</v>
          </cell>
          <cell r="J46">
            <v>11895.833333333334</v>
          </cell>
          <cell r="K46">
            <v>11858.490566037735</v>
          </cell>
          <cell r="L46">
            <v>11970.588235294117</v>
          </cell>
          <cell r="M46">
            <v>12071.428571428571</v>
          </cell>
          <cell r="N46">
            <v>12071.428571428571</v>
          </cell>
          <cell r="O46">
            <v>12071.428571428571</v>
          </cell>
          <cell r="P46">
            <v>12000</v>
          </cell>
          <cell r="Q46">
            <v>12000</v>
          </cell>
          <cell r="R46">
            <v>12022.557045810836</v>
          </cell>
        </row>
        <row r="47">
          <cell r="G47">
            <v>14470.634673081671</v>
          </cell>
          <cell r="H47">
            <v>14541.060242043404</v>
          </cell>
          <cell r="I47">
            <v>14758.888168170968</v>
          </cell>
          <cell r="J47">
            <v>14743.836728276592</v>
          </cell>
          <cell r="K47">
            <v>14402.584185880971</v>
          </cell>
          <cell r="L47">
            <v>14439.90454908366</v>
          </cell>
          <cell r="M47">
            <v>14769.82112249537</v>
          </cell>
          <cell r="N47">
            <v>14527.951182226716</v>
          </cell>
          <cell r="O47">
            <v>14836.019309251127</v>
          </cell>
          <cell r="P47">
            <v>14427.250866292832</v>
          </cell>
          <cell r="Q47">
            <v>14714.17151308641</v>
          </cell>
          <cell r="R47">
            <v>14796.997839545647</v>
          </cell>
        </row>
        <row r="48">
          <cell r="G48">
            <v>147395.86666666667</v>
          </cell>
          <cell r="H48">
            <v>252885.33333333334</v>
          </cell>
          <cell r="I48">
            <v>334133.29666666663</v>
          </cell>
          <cell r="J48">
            <v>354029.29666666663</v>
          </cell>
          <cell r="K48">
            <v>205957.2</v>
          </cell>
          <cell r="L48">
            <v>198485.86666666667</v>
          </cell>
          <cell r="M48">
            <v>195861.19999999998</v>
          </cell>
          <cell r="N48">
            <v>169584.93333333332</v>
          </cell>
          <cell r="O48">
            <v>206045.2</v>
          </cell>
          <cell r="P48">
            <v>193463.19999999998</v>
          </cell>
          <cell r="Q48">
            <v>227783.59999999998</v>
          </cell>
          <cell r="R48">
            <v>228821.46666666665</v>
          </cell>
        </row>
        <row r="49">
          <cell r="G49">
            <v>92000</v>
          </cell>
          <cell r="H49">
            <v>92000</v>
          </cell>
          <cell r="I49">
            <v>126500</v>
          </cell>
          <cell r="J49">
            <v>126500</v>
          </cell>
          <cell r="K49">
            <v>155250</v>
          </cell>
          <cell r="L49">
            <v>155250</v>
          </cell>
          <cell r="M49">
            <v>103500</v>
          </cell>
          <cell r="N49">
            <v>103500</v>
          </cell>
          <cell r="O49">
            <v>103500</v>
          </cell>
          <cell r="P49">
            <v>138000</v>
          </cell>
          <cell r="Q49">
            <v>138000</v>
          </cell>
          <cell r="R49">
            <v>126086</v>
          </cell>
        </row>
        <row r="50">
          <cell r="G50">
            <v>239395.86666666667</v>
          </cell>
          <cell r="H50">
            <v>344885.33333333337</v>
          </cell>
          <cell r="I50">
            <v>460633.29666666663</v>
          </cell>
          <cell r="J50">
            <v>480529.29666666663</v>
          </cell>
          <cell r="K50">
            <v>361207.2</v>
          </cell>
          <cell r="L50">
            <v>353735.8666666667</v>
          </cell>
          <cell r="M50">
            <v>299361.19999999995</v>
          </cell>
          <cell r="N50">
            <v>273084.93333333335</v>
          </cell>
          <cell r="O50">
            <v>309545.2</v>
          </cell>
          <cell r="P50">
            <v>331463.19999999995</v>
          </cell>
          <cell r="Q50">
            <v>365783.6</v>
          </cell>
          <cell r="R50">
            <v>354907.46666666667</v>
          </cell>
        </row>
        <row r="51">
          <cell r="G51">
            <v>137883.09677419355</v>
          </cell>
          <cell r="H51">
            <v>169607.09677419355</v>
          </cell>
          <cell r="I51">
            <v>330985.20175698923</v>
          </cell>
          <cell r="J51">
            <v>349019.07580645161</v>
          </cell>
          <cell r="K51">
            <v>190967.22580645161</v>
          </cell>
          <cell r="L51">
            <v>183879.93548387097</v>
          </cell>
          <cell r="M51">
            <v>180553.31182795699</v>
          </cell>
          <cell r="N51">
            <v>157299.31182795699</v>
          </cell>
          <cell r="O51">
            <v>189803.97849462368</v>
          </cell>
          <cell r="P51">
            <v>178465.44086021505</v>
          </cell>
          <cell r="Q51">
            <v>211088.15053763438</v>
          </cell>
          <cell r="R51">
            <v>212914.15053763438</v>
          </cell>
        </row>
        <row r="52">
          <cell r="G52">
            <v>105000</v>
          </cell>
          <cell r="H52">
            <v>105000</v>
          </cell>
          <cell r="I52">
            <v>105000</v>
          </cell>
          <cell r="J52">
            <v>105000</v>
          </cell>
          <cell r="K52">
            <v>105000</v>
          </cell>
          <cell r="L52">
            <v>105000</v>
          </cell>
          <cell r="M52">
            <v>105000</v>
          </cell>
          <cell r="N52">
            <v>105000</v>
          </cell>
          <cell r="O52">
            <v>105000</v>
          </cell>
          <cell r="P52">
            <v>105000</v>
          </cell>
          <cell r="Q52">
            <v>105000</v>
          </cell>
          <cell r="R52">
            <v>105000</v>
          </cell>
        </row>
        <row r="53">
          <cell r="G53">
            <v>242883.09677419355</v>
          </cell>
          <cell r="H53">
            <v>274607.09677419357</v>
          </cell>
          <cell r="I53">
            <v>435985.20175698923</v>
          </cell>
          <cell r="J53">
            <v>454019.07580645161</v>
          </cell>
          <cell r="K53">
            <v>295967.22580645164</v>
          </cell>
          <cell r="L53">
            <v>288879.93548387097</v>
          </cell>
          <cell r="M53">
            <v>285553.31182795699</v>
          </cell>
          <cell r="N53">
            <v>262299.31182795699</v>
          </cell>
          <cell r="O53">
            <v>294803.97849462368</v>
          </cell>
          <cell r="P53">
            <v>283465.44086021505</v>
          </cell>
          <cell r="Q53">
            <v>316088.15053763438</v>
          </cell>
          <cell r="R53">
            <v>317914.15053763438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45000</v>
          </cell>
          <cell r="H58">
            <v>45000</v>
          </cell>
          <cell r="I58">
            <v>45000</v>
          </cell>
          <cell r="J58">
            <v>54000</v>
          </cell>
          <cell r="K58">
            <v>54000</v>
          </cell>
          <cell r="L58">
            <v>45000</v>
          </cell>
          <cell r="M58">
            <v>45000</v>
          </cell>
          <cell r="N58">
            <v>45000</v>
          </cell>
          <cell r="O58">
            <v>45000</v>
          </cell>
          <cell r="P58">
            <v>45000</v>
          </cell>
          <cell r="Q58">
            <v>45000</v>
          </cell>
          <cell r="R58">
            <v>45000</v>
          </cell>
        </row>
        <row r="59">
          <cell r="G59">
            <v>45000</v>
          </cell>
          <cell r="H59">
            <v>45000</v>
          </cell>
          <cell r="I59">
            <v>45000</v>
          </cell>
          <cell r="J59">
            <v>54000</v>
          </cell>
          <cell r="K59">
            <v>54000</v>
          </cell>
          <cell r="L59">
            <v>45000</v>
          </cell>
          <cell r="M59">
            <v>45000</v>
          </cell>
          <cell r="N59">
            <v>45000</v>
          </cell>
          <cell r="O59">
            <v>45000</v>
          </cell>
          <cell r="P59">
            <v>45000</v>
          </cell>
          <cell r="Q59">
            <v>45000</v>
          </cell>
          <cell r="R59">
            <v>45000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285278.96344086021</v>
          </cell>
          <cell r="H66">
            <v>422492.43010752689</v>
          </cell>
          <cell r="I66">
            <v>665118.49842365587</v>
          </cell>
          <cell r="J66">
            <v>703048.37247311824</v>
          </cell>
          <cell r="K66">
            <v>396924.42580645159</v>
          </cell>
          <cell r="L66">
            <v>382365.80215053761</v>
          </cell>
          <cell r="M66">
            <v>376414.511827957</v>
          </cell>
          <cell r="N66">
            <v>326884.24516129028</v>
          </cell>
          <cell r="O66">
            <v>395849.17849462369</v>
          </cell>
          <cell r="P66">
            <v>371928.64086021506</v>
          </cell>
          <cell r="Q66">
            <v>438871.75053763436</v>
          </cell>
          <cell r="R66">
            <v>441735.61720430106</v>
          </cell>
        </row>
        <row r="67">
          <cell r="G67">
            <v>242000</v>
          </cell>
          <cell r="H67">
            <v>242000</v>
          </cell>
          <cell r="I67">
            <v>276500</v>
          </cell>
          <cell r="J67">
            <v>285500</v>
          </cell>
          <cell r="K67">
            <v>314250</v>
          </cell>
          <cell r="L67">
            <v>305250</v>
          </cell>
          <cell r="M67">
            <v>253500</v>
          </cell>
          <cell r="N67">
            <v>253500</v>
          </cell>
          <cell r="O67">
            <v>253500</v>
          </cell>
          <cell r="P67">
            <v>288000</v>
          </cell>
          <cell r="Q67">
            <v>288000</v>
          </cell>
          <cell r="R67">
            <v>276086</v>
          </cell>
        </row>
        <row r="68">
          <cell r="G68">
            <v>527278.96344086016</v>
          </cell>
          <cell r="H68">
            <v>664492.43010752695</v>
          </cell>
          <cell r="I68">
            <v>941618.49842365587</v>
          </cell>
          <cell r="J68">
            <v>988548.37247311824</v>
          </cell>
          <cell r="K68">
            <v>711174.42580645159</v>
          </cell>
          <cell r="L68">
            <v>687615.80215053761</v>
          </cell>
          <cell r="M68">
            <v>629914.511827957</v>
          </cell>
          <cell r="N68">
            <v>580384.24516129028</v>
          </cell>
          <cell r="O68">
            <v>649349.17849462363</v>
          </cell>
          <cell r="P68">
            <v>659928.64086021506</v>
          </cell>
          <cell r="Q68">
            <v>726871.75053763436</v>
          </cell>
          <cell r="R68">
            <v>717821.61720430106</v>
          </cell>
        </row>
        <row r="69">
          <cell r="G69">
            <v>119416.86983535677</v>
          </cell>
          <cell r="H69">
            <v>210575.1600490764</v>
          </cell>
          <cell r="I69">
            <v>246981.58952835973</v>
          </cell>
          <cell r="J69">
            <v>274095.79793103476</v>
          </cell>
          <cell r="K69">
            <v>155197.68434783511</v>
          </cell>
          <cell r="L69">
            <v>180350.58711671986</v>
          </cell>
          <cell r="M69">
            <v>159878.74128331867</v>
          </cell>
          <cell r="N69">
            <v>150202.55561146149</v>
          </cell>
          <cell r="O69">
            <v>160866.73346438046</v>
          </cell>
          <cell r="P69">
            <v>160932.55624297276</v>
          </cell>
          <cell r="Q69">
            <v>174629.0790942882</v>
          </cell>
          <cell r="R69">
            <v>203216.04049154301</v>
          </cell>
        </row>
        <row r="70">
          <cell r="G70">
            <v>97287.921383908571</v>
          </cell>
          <cell r="H70">
            <v>95512.655656856121</v>
          </cell>
          <cell r="I70">
            <v>112934.06222108183</v>
          </cell>
          <cell r="J70">
            <v>118610.94346552438</v>
          </cell>
          <cell r="K70">
            <v>152666.80793189741</v>
          </cell>
          <cell r="L70">
            <v>183362.25557118788</v>
          </cell>
          <cell r="M70">
            <v>110550.92053887337</v>
          </cell>
          <cell r="N70">
            <v>118856.9076015504</v>
          </cell>
          <cell r="O70">
            <v>105749.8905235212</v>
          </cell>
          <cell r="P70">
            <v>147547.53563526069</v>
          </cell>
          <cell r="Q70">
            <v>137369.80813458443</v>
          </cell>
          <cell r="R70">
            <v>145437.93389429347</v>
          </cell>
        </row>
        <row r="71">
          <cell r="G71">
            <v>216704.79121926535</v>
          </cell>
          <cell r="H71">
            <v>306087.8157059325</v>
          </cell>
          <cell r="I71">
            <v>359915.65174944157</v>
          </cell>
          <cell r="J71">
            <v>392706.74139655917</v>
          </cell>
          <cell r="K71">
            <v>307864.49227973248</v>
          </cell>
          <cell r="L71">
            <v>363712.84268790775</v>
          </cell>
          <cell r="M71">
            <v>270429.66182219202</v>
          </cell>
          <cell r="N71">
            <v>269059.46321301186</v>
          </cell>
          <cell r="O71">
            <v>266616.62398790166</v>
          </cell>
          <cell r="P71">
            <v>308480.09187823348</v>
          </cell>
          <cell r="Q71">
            <v>311998.88722887263</v>
          </cell>
          <cell r="R71">
            <v>348653.97438583651</v>
          </cell>
        </row>
        <row r="72">
          <cell r="G72">
            <v>80483.786704871847</v>
          </cell>
          <cell r="H72">
            <v>96231.311364338762</v>
          </cell>
          <cell r="I72">
            <v>171902.11102584287</v>
          </cell>
          <cell r="J72">
            <v>190085.37624883119</v>
          </cell>
          <cell r="K72">
            <v>103524.51156362557</v>
          </cell>
          <cell r="L72">
            <v>120080.1512488142</v>
          </cell>
          <cell r="M72">
            <v>106042.37134819901</v>
          </cell>
          <cell r="N72">
            <v>100050.53554047641</v>
          </cell>
          <cell r="O72">
            <v>106661.96753629218</v>
          </cell>
          <cell r="P72">
            <v>106396.7130420613</v>
          </cell>
          <cell r="Q72">
            <v>116130.54019209839</v>
          </cell>
          <cell r="R72">
            <v>135670.01249665092</v>
          </cell>
        </row>
        <row r="73">
          <cell r="G73">
            <v>85126.931210920011</v>
          </cell>
          <cell r="H73">
            <v>83573.573699749119</v>
          </cell>
          <cell r="I73">
            <v>71867.130504324799</v>
          </cell>
          <cell r="J73">
            <v>75479.691296242789</v>
          </cell>
          <cell r="K73">
            <v>79160.567075798666</v>
          </cell>
          <cell r="L73">
            <v>95076.725110986314</v>
          </cell>
          <cell r="M73">
            <v>85984.049308012618</v>
          </cell>
          <cell r="N73">
            <v>92444.261467872537</v>
          </cell>
          <cell r="O73">
            <v>82249.914851627604</v>
          </cell>
          <cell r="P73">
            <v>86069.395787235408</v>
          </cell>
          <cell r="Q73">
            <v>80132.388078507589</v>
          </cell>
          <cell r="R73">
            <v>92855.302559289892</v>
          </cell>
        </row>
        <row r="74">
          <cell r="G74">
            <v>165610.71791579184</v>
          </cell>
          <cell r="H74">
            <v>179804.88506408787</v>
          </cell>
          <cell r="I74">
            <v>243769.24153016767</v>
          </cell>
          <cell r="J74">
            <v>265565.06754507398</v>
          </cell>
          <cell r="K74">
            <v>182685.07863942423</v>
          </cell>
          <cell r="L74">
            <v>215156.87635980052</v>
          </cell>
          <cell r="M74">
            <v>192026.42065621162</v>
          </cell>
          <cell r="N74">
            <v>192494.79700834895</v>
          </cell>
          <cell r="O74">
            <v>188911.88238791979</v>
          </cell>
          <cell r="P74">
            <v>192466.10882929672</v>
          </cell>
          <cell r="Q74">
            <v>196262.92827060597</v>
          </cell>
          <cell r="R74">
            <v>228525.31505594082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60804.950864942854</v>
          </cell>
          <cell r="H79">
            <v>59695.409785535077</v>
          </cell>
          <cell r="I79">
            <v>51333.664645946279</v>
          </cell>
          <cell r="J79">
            <v>64696.87825392239</v>
          </cell>
          <cell r="K79">
            <v>67851.914636398855</v>
          </cell>
          <cell r="L79">
            <v>67911.946507847359</v>
          </cell>
          <cell r="M79">
            <v>61417.178077151875</v>
          </cell>
          <cell r="N79">
            <v>66031.615334194663</v>
          </cell>
          <cell r="O79">
            <v>58749.939179733999</v>
          </cell>
          <cell r="P79">
            <v>61478.13984802529</v>
          </cell>
          <cell r="Q79">
            <v>57237.420056076844</v>
          </cell>
          <cell r="R79">
            <v>66325.216113778486</v>
          </cell>
        </row>
        <row r="80">
          <cell r="G80">
            <v>60804.950864942854</v>
          </cell>
          <cell r="H80">
            <v>59695.409785535077</v>
          </cell>
          <cell r="I80">
            <v>51333.664645946279</v>
          </cell>
          <cell r="J80">
            <v>64696.87825392239</v>
          </cell>
          <cell r="K80">
            <v>67851.914636398855</v>
          </cell>
          <cell r="L80">
            <v>67911.946507847359</v>
          </cell>
          <cell r="M80">
            <v>61417.178077151875</v>
          </cell>
          <cell r="N80">
            <v>66031.615334194663</v>
          </cell>
          <cell r="O80">
            <v>58749.939179733999</v>
          </cell>
          <cell r="P80">
            <v>61478.13984802529</v>
          </cell>
          <cell r="Q80">
            <v>57237.420056076844</v>
          </cell>
          <cell r="R80">
            <v>66325.216113778486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199900.65654022864</v>
          </cell>
          <cell r="H87">
            <v>306806.47141341516</v>
          </cell>
          <cell r="I87">
            <v>418883.7005542026</v>
          </cell>
          <cell r="J87">
            <v>464181.17417986598</v>
          </cell>
          <cell r="K87">
            <v>258722.19591146067</v>
          </cell>
          <cell r="L87">
            <v>300430.73836553405</v>
          </cell>
          <cell r="M87">
            <v>265921.1126315177</v>
          </cell>
          <cell r="N87">
            <v>250253.0911519379</v>
          </cell>
          <cell r="O87">
            <v>267528.70100067265</v>
          </cell>
          <cell r="P87">
            <v>267329.26928503404</v>
          </cell>
          <cell r="Q87">
            <v>290759.61928638659</v>
          </cell>
          <cell r="R87">
            <v>338886.05298819393</v>
          </cell>
        </row>
        <row r="88">
          <cell r="G88">
            <v>243219.80345977144</v>
          </cell>
          <cell r="H88">
            <v>238781.63914214031</v>
          </cell>
          <cell r="I88">
            <v>236134.8573713529</v>
          </cell>
          <cell r="J88">
            <v>258787.51301568956</v>
          </cell>
          <cell r="K88">
            <v>299679.28964409494</v>
          </cell>
          <cell r="L88">
            <v>346350.92719002155</v>
          </cell>
          <cell r="M88">
            <v>257952.14792403788</v>
          </cell>
          <cell r="N88">
            <v>277332.78440361761</v>
          </cell>
          <cell r="O88">
            <v>246749.74455488281</v>
          </cell>
          <cell r="P88">
            <v>295095.07127052138</v>
          </cell>
          <cell r="Q88">
            <v>274739.61626916885</v>
          </cell>
          <cell r="R88">
            <v>304618.45256736182</v>
          </cell>
        </row>
        <row r="89">
          <cell r="G89">
            <v>443120.46000000008</v>
          </cell>
          <cell r="H89">
            <v>545588.11055555544</v>
          </cell>
          <cell r="I89">
            <v>655018.55792555551</v>
          </cell>
          <cell r="J89">
            <v>722968.68719555554</v>
          </cell>
          <cell r="K89">
            <v>558401.48555555567</v>
          </cell>
          <cell r="L89">
            <v>646781.66555555561</v>
          </cell>
          <cell r="M89">
            <v>523873.26055555558</v>
          </cell>
          <cell r="N89">
            <v>527585.87555555557</v>
          </cell>
          <cell r="O89">
            <v>514278.44555555546</v>
          </cell>
          <cell r="P89">
            <v>562424.34055555542</v>
          </cell>
          <cell r="Q89">
            <v>565499.23555555544</v>
          </cell>
          <cell r="R89">
            <v>643504.50555555569</v>
          </cell>
        </row>
        <row r="90">
          <cell r="G90">
            <v>12160.990172988571</v>
          </cell>
          <cell r="H90">
            <v>11939.081957107015</v>
          </cell>
          <cell r="I90">
            <v>10266.732929189257</v>
          </cell>
          <cell r="J90">
            <v>10782.813042320398</v>
          </cell>
          <cell r="K90">
            <v>11308.652439399808</v>
          </cell>
          <cell r="L90">
            <v>13582.389301569472</v>
          </cell>
          <cell r="M90">
            <v>12283.435615430375</v>
          </cell>
          <cell r="N90">
            <v>13206.323066838933</v>
          </cell>
          <cell r="O90">
            <v>11749.9878359468</v>
          </cell>
          <cell r="P90">
            <v>12295.627969605059</v>
          </cell>
          <cell r="Q90">
            <v>11447.484011215369</v>
          </cell>
          <cell r="R90">
            <v>13265.043222755698</v>
          </cell>
        </row>
        <row r="91">
          <cell r="G91">
            <v>27978.996831309894</v>
          </cell>
          <cell r="H91">
            <v>42310.173284256947</v>
          </cell>
          <cell r="I91">
            <v>87151.707138306898</v>
          </cell>
          <cell r="J91">
            <v>79933.498735631874</v>
          </cell>
          <cell r="K91">
            <v>50759.515652164904</v>
          </cell>
          <cell r="L91">
            <v>18135.279549946805</v>
          </cell>
          <cell r="M91">
            <v>35982.458716681314</v>
          </cell>
          <cell r="N91">
            <v>19382.377721871831</v>
          </cell>
          <cell r="O91">
            <v>45178.466535619547</v>
          </cell>
          <cell r="P91">
            <v>32530.643757027225</v>
          </cell>
          <cell r="Q91">
            <v>53154.520905711775</v>
          </cell>
          <cell r="R91">
            <v>25605.426175123634</v>
          </cell>
        </row>
        <row r="92">
          <cell r="G92">
            <v>-5287.9213839085714</v>
          </cell>
          <cell r="H92">
            <v>-3512.6556568561209</v>
          </cell>
          <cell r="I92">
            <v>13565.937778918174</v>
          </cell>
          <cell r="J92">
            <v>7889.0565344756178</v>
          </cell>
          <cell r="K92">
            <v>2583.1920681025949</v>
          </cell>
          <cell r="L92">
            <v>-28112.255571187881</v>
          </cell>
          <cell r="M92">
            <v>-7050.9205388733681</v>
          </cell>
          <cell r="N92">
            <v>-15356.907601550396</v>
          </cell>
          <cell r="O92">
            <v>-2249.8905235212005</v>
          </cell>
          <cell r="P92">
            <v>-9547.5356352606905</v>
          </cell>
          <cell r="Q92">
            <v>630.19186541557428</v>
          </cell>
          <cell r="R92">
            <v>-19351.93389429347</v>
          </cell>
        </row>
        <row r="93">
          <cell r="G93">
            <v>22691.075447401323</v>
          </cell>
          <cell r="H93">
            <v>38797.517627400826</v>
          </cell>
          <cell r="I93">
            <v>100717.64491722507</v>
          </cell>
          <cell r="J93">
            <v>87822.555270107492</v>
          </cell>
          <cell r="K93">
            <v>53342.707720267499</v>
          </cell>
          <cell r="L93">
            <v>-9976.9760212410765</v>
          </cell>
          <cell r="M93">
            <v>28931.538177807946</v>
          </cell>
          <cell r="N93">
            <v>4025.4701203214354</v>
          </cell>
          <cell r="O93">
            <v>42928.576012098347</v>
          </cell>
          <cell r="P93">
            <v>22983.108121766534</v>
          </cell>
          <cell r="Q93">
            <v>53784.71277112735</v>
          </cell>
          <cell r="R93">
            <v>6253.4922808301635</v>
          </cell>
        </row>
        <row r="94">
          <cell r="G94">
            <v>57399.310069321698</v>
          </cell>
          <cell r="H94">
            <v>73375.785409854783</v>
          </cell>
          <cell r="I94">
            <v>159083.09073114637</v>
          </cell>
          <cell r="J94">
            <v>158933.69955762042</v>
          </cell>
          <cell r="K94">
            <v>87442.714242826041</v>
          </cell>
          <cell r="L94">
            <v>63799.784235056766</v>
          </cell>
          <cell r="M94">
            <v>74510.940479757977</v>
          </cell>
          <cell r="N94">
            <v>57248.776287480578</v>
          </cell>
          <cell r="O94">
            <v>83142.010958331492</v>
          </cell>
          <cell r="P94">
            <v>72068.727818153755</v>
          </cell>
          <cell r="Q94">
            <v>94957.610345535999</v>
          </cell>
          <cell r="R94">
            <v>77244.138040983467</v>
          </cell>
        </row>
        <row r="95">
          <cell r="G95">
            <v>19873.068789079989</v>
          </cell>
          <cell r="H95">
            <v>21426.426300250881</v>
          </cell>
          <cell r="I95">
            <v>33132.869495675201</v>
          </cell>
          <cell r="J95">
            <v>29520.308703757211</v>
          </cell>
          <cell r="K95">
            <v>25839.432924201334</v>
          </cell>
          <cell r="L95">
            <v>9923.2748890136863</v>
          </cell>
          <cell r="M95">
            <v>19015.950691987382</v>
          </cell>
          <cell r="N95">
            <v>12555.738532127463</v>
          </cell>
          <cell r="O95">
            <v>22750.085148372396</v>
          </cell>
          <cell r="P95">
            <v>18930.604212764592</v>
          </cell>
          <cell r="Q95">
            <v>24867.611921492411</v>
          </cell>
          <cell r="R95">
            <v>12144.697440710108</v>
          </cell>
        </row>
        <row r="96">
          <cell r="G96">
            <v>77272.378858401687</v>
          </cell>
          <cell r="H96">
            <v>94802.211710105665</v>
          </cell>
          <cell r="I96">
            <v>192215.96022682157</v>
          </cell>
          <cell r="J96">
            <v>188454.00826137763</v>
          </cell>
          <cell r="K96">
            <v>113282.14716702737</v>
          </cell>
          <cell r="L96">
            <v>73723.059124070453</v>
          </cell>
          <cell r="M96">
            <v>93526.891171745359</v>
          </cell>
          <cell r="N96">
            <v>69804.514819608041</v>
          </cell>
          <cell r="O96">
            <v>105892.09610670389</v>
          </cell>
          <cell r="P96">
            <v>90999.332030918347</v>
          </cell>
          <cell r="Q96">
            <v>119825.22226702841</v>
          </cell>
          <cell r="R96">
            <v>89388.835481693575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-15804.950864942854</v>
          </cell>
          <cell r="H101">
            <v>-14695.409785535077</v>
          </cell>
          <cell r="I101">
            <v>-6333.6646459462791</v>
          </cell>
          <cell r="J101">
            <v>-10696.87825392239</v>
          </cell>
          <cell r="K101">
            <v>-13851.914636398855</v>
          </cell>
          <cell r="L101">
            <v>-22911.946507847359</v>
          </cell>
          <cell r="M101">
            <v>-16417.178077151875</v>
          </cell>
          <cell r="N101">
            <v>-21031.615334194663</v>
          </cell>
          <cell r="O101">
            <v>-13749.939179733999</v>
          </cell>
          <cell r="P101">
            <v>-16478.13984802529</v>
          </cell>
          <cell r="Q101">
            <v>-12237.420056076844</v>
          </cell>
          <cell r="R101">
            <v>-21325.216113778486</v>
          </cell>
        </row>
        <row r="102">
          <cell r="G102">
            <v>-15804.950864942854</v>
          </cell>
          <cell r="H102">
            <v>-14695.409785535077</v>
          </cell>
          <cell r="I102">
            <v>-6333.6646459462791</v>
          </cell>
          <cell r="J102">
            <v>-10696.87825392239</v>
          </cell>
          <cell r="K102">
            <v>-13851.914636398855</v>
          </cell>
          <cell r="L102">
            <v>-22911.946507847359</v>
          </cell>
          <cell r="M102">
            <v>-16417.178077151875</v>
          </cell>
          <cell r="N102">
            <v>-21031.615334194663</v>
          </cell>
          <cell r="O102">
            <v>-13749.939179733999</v>
          </cell>
          <cell r="P102">
            <v>-16478.13984802529</v>
          </cell>
          <cell r="Q102">
            <v>-12237.420056076844</v>
          </cell>
          <cell r="R102">
            <v>-21325.216113778486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85378.306900631593</v>
          </cell>
          <cell r="H109">
            <v>115685.95869411173</v>
          </cell>
          <cell r="I109">
            <v>246234.79786945326</v>
          </cell>
          <cell r="J109">
            <v>238867.1982932523</v>
          </cell>
          <cell r="K109">
            <v>138202.22989499095</v>
          </cell>
          <cell r="L109">
            <v>81935.063785003571</v>
          </cell>
          <cell r="M109">
            <v>110493.39919643929</v>
          </cell>
          <cell r="N109">
            <v>76631.154009352409</v>
          </cell>
          <cell r="O109">
            <v>128320.47749395104</v>
          </cell>
          <cell r="P109">
            <v>104599.37157518098</v>
          </cell>
          <cell r="Q109">
            <v>148112.13125124777</v>
          </cell>
          <cell r="R109">
            <v>102849.5642161071</v>
          </cell>
        </row>
        <row r="110">
          <cell r="G110">
            <v>-1219.8034597714359</v>
          </cell>
          <cell r="H110">
            <v>3218.3608578596832</v>
          </cell>
          <cell r="I110">
            <v>40365.142628647096</v>
          </cell>
          <cell r="J110">
            <v>26712.486984310439</v>
          </cell>
          <cell r="K110">
            <v>14570.710355905074</v>
          </cell>
          <cell r="L110">
            <v>-41100.927190021554</v>
          </cell>
          <cell r="M110">
            <v>-4452.1479240378612</v>
          </cell>
          <cell r="N110">
            <v>-23832.784403617596</v>
          </cell>
          <cell r="O110">
            <v>6750.2554451171964</v>
          </cell>
          <cell r="P110">
            <v>-7095.0712705213882</v>
          </cell>
          <cell r="Q110">
            <v>13260.383730831141</v>
          </cell>
          <cell r="R110">
            <v>-28532.452567361848</v>
          </cell>
        </row>
        <row r="111">
          <cell r="G111">
            <v>84158.503440860164</v>
          </cell>
          <cell r="H111">
            <v>118904.31955197142</v>
          </cell>
          <cell r="I111">
            <v>286599.94049810036</v>
          </cell>
          <cell r="J111">
            <v>265579.6852775627</v>
          </cell>
          <cell r="K111">
            <v>152772.94025089603</v>
          </cell>
          <cell r="L111">
            <v>40834.136594982017</v>
          </cell>
          <cell r="M111">
            <v>106041.25127240142</v>
          </cell>
          <cell r="N111">
            <v>52798.369605734813</v>
          </cell>
          <cell r="O111">
            <v>135070.73293906823</v>
          </cell>
          <cell r="P111">
            <v>97504.300304659584</v>
          </cell>
          <cell r="Q111">
            <v>161372.51498207892</v>
          </cell>
          <cell r="R111">
            <v>74317.111648745253</v>
          </cell>
        </row>
        <row r="112">
          <cell r="G112">
            <v>15306.615161365504</v>
          </cell>
          <cell r="H112">
            <v>20523.554581222968</v>
          </cell>
          <cell r="I112">
            <v>34835.288137607844</v>
          </cell>
          <cell r="J112">
            <v>26756.018990732387</v>
          </cell>
          <cell r="K112">
            <v>15988.587058639101</v>
          </cell>
          <cell r="L112">
            <v>18151.026098844119</v>
          </cell>
          <cell r="M112">
            <v>15040.416403331348</v>
          </cell>
          <cell r="N112">
            <v>15855.365099737362</v>
          </cell>
          <cell r="O112">
            <v>17134.695253099886</v>
          </cell>
          <cell r="P112">
            <v>15875.48421860517</v>
          </cell>
          <cell r="Q112">
            <v>16346.837320651051</v>
          </cell>
          <cell r="R112">
            <v>15924.438162624447</v>
          </cell>
        </row>
        <row r="113">
          <cell r="G113">
            <v>68851.888279494655</v>
          </cell>
          <cell r="H113">
            <v>98380.764970748452</v>
          </cell>
          <cell r="I113">
            <v>251764.6523604925</v>
          </cell>
          <cell r="J113">
            <v>238823.66628683032</v>
          </cell>
          <cell r="K113">
            <v>136784.35319225694</v>
          </cell>
          <cell r="L113">
            <v>22683.110496137899</v>
          </cell>
          <cell r="M113">
            <v>91000.83486907008</v>
          </cell>
          <cell r="N113">
            <v>36943.004505997451</v>
          </cell>
          <cell r="O113">
            <v>117936.03768596835</v>
          </cell>
          <cell r="P113">
            <v>81628.816086054416</v>
          </cell>
          <cell r="Q113">
            <v>145025.67766142788</v>
          </cell>
          <cell r="R113">
            <v>58392.67348612081</v>
          </cell>
        </row>
        <row r="115">
          <cell r="G115">
            <v>11834.705</v>
          </cell>
          <cell r="H115">
            <v>23534.010555555556</v>
          </cell>
          <cell r="I115">
            <v>23534.010555555556</v>
          </cell>
          <cell r="J115">
            <v>23534.010555555556</v>
          </cell>
          <cell r="K115">
            <v>23534.010555555556</v>
          </cell>
          <cell r="L115">
            <v>23534.010555555556</v>
          </cell>
          <cell r="M115">
            <v>23534.010555555556</v>
          </cell>
          <cell r="N115">
            <v>23534.010555555556</v>
          </cell>
          <cell r="O115">
            <v>23534.010555555556</v>
          </cell>
          <cell r="P115">
            <v>23534.010555555556</v>
          </cell>
          <cell r="Q115">
            <v>23534.010555555556</v>
          </cell>
          <cell r="R115">
            <v>23534.010555555556</v>
          </cell>
        </row>
        <row r="116">
          <cell r="G116">
            <v>80686.593279494657</v>
          </cell>
          <cell r="H116">
            <v>121914.775526304</v>
          </cell>
          <cell r="I116">
            <v>275298.66291604808</v>
          </cell>
          <cell r="J116">
            <v>262357.6768423859</v>
          </cell>
          <cell r="K116">
            <v>160318.36374781249</v>
          </cell>
          <cell r="L116">
            <v>46217.121051693452</v>
          </cell>
          <cell r="M116">
            <v>114534.84542462564</v>
          </cell>
          <cell r="N116">
            <v>60477.015061553007</v>
          </cell>
          <cell r="O116">
            <v>141470.04824152391</v>
          </cell>
          <cell r="P116">
            <v>105162.82664160998</v>
          </cell>
          <cell r="Q116">
            <v>168559.68821698343</v>
          </cell>
          <cell r="R116">
            <v>81926.684041676373</v>
          </cell>
        </row>
        <row r="119">
          <cell r="G119">
            <v>19246.896705999316</v>
          </cell>
          <cell r="H119">
            <v>37440.686177854819</v>
          </cell>
          <cell r="I119">
            <v>89338.679537601623</v>
          </cell>
          <cell r="J119">
            <v>85530.032679488766</v>
          </cell>
          <cell r="K119">
            <v>39612.95761632931</v>
          </cell>
          <cell r="L119">
            <v>6547.6634356579607</v>
          </cell>
          <cell r="M119">
            <v>28295.161301706747</v>
          </cell>
          <cell r="N119">
            <v>10794.533119246813</v>
          </cell>
          <cell r="O119">
            <v>37422.322653194948</v>
          </cell>
          <cell r="P119">
            <v>23930.120613699248</v>
          </cell>
          <cell r="Q119">
            <v>45447.454692970954</v>
          </cell>
          <cell r="R119">
            <v>18613.952087039324</v>
          </cell>
        </row>
        <row r="120">
          <cell r="G120">
            <v>12013.325319063246</v>
          </cell>
          <cell r="H120">
            <v>13620.968377087813</v>
          </cell>
          <cell r="I120">
            <v>33822.857746442707</v>
          </cell>
          <cell r="J120">
            <v>30561.168908409261</v>
          </cell>
          <cell r="K120">
            <v>29860.144097584962</v>
          </cell>
          <cell r="L120">
            <v>5121.3961248587566</v>
          </cell>
          <cell r="M120">
            <v>14952.166098883539</v>
          </cell>
          <cell r="N120">
            <v>6588.0509304799398</v>
          </cell>
          <cell r="O120">
            <v>18797.86762616007</v>
          </cell>
          <cell r="P120">
            <v>17069.688936658222</v>
          </cell>
          <cell r="Q120">
            <v>27533.802906047636</v>
          </cell>
          <cell r="R120">
            <v>10256.724585483706</v>
          </cell>
        </row>
        <row r="121">
          <cell r="G121">
            <v>18004.722799437681</v>
          </cell>
          <cell r="H121">
            <v>25111.009800988722</v>
          </cell>
          <cell r="I121">
            <v>88496.95964588369</v>
          </cell>
          <cell r="J121">
            <v>84319.61207887638</v>
          </cell>
          <cell r="K121">
            <v>36729.847861492366</v>
          </cell>
          <cell r="L121">
            <v>6065.8421193325285</v>
          </cell>
          <cell r="M121">
            <v>26083.701528068861</v>
          </cell>
          <cell r="N121">
            <v>10012.520557024409</v>
          </cell>
          <cell r="O121">
            <v>34472.560991888589</v>
          </cell>
          <cell r="P121">
            <v>22074.996821938003</v>
          </cell>
          <cell r="Q121">
            <v>42116.373425400998</v>
          </cell>
          <cell r="R121">
            <v>17319.938791116645</v>
          </cell>
        </row>
        <row r="122">
          <cell r="G122">
            <v>13710.860418496093</v>
          </cell>
          <cell r="H122">
            <v>15545.67043037196</v>
          </cell>
          <cell r="I122">
            <v>28074.308801395135</v>
          </cell>
          <cell r="J122">
            <v>25366.978145319936</v>
          </cell>
          <cell r="K122">
            <v>20195.266539429442</v>
          </cell>
          <cell r="L122">
            <v>3463.7461714020574</v>
          </cell>
          <cell r="M122">
            <v>15168.86415828765</v>
          </cell>
          <cell r="N122">
            <v>6683.5299294724036</v>
          </cell>
          <cell r="O122">
            <v>19070.30049030732</v>
          </cell>
          <cell r="P122">
            <v>12987.806799631255</v>
          </cell>
          <cell r="Q122">
            <v>20949.632645905807</v>
          </cell>
          <cell r="R122">
            <v>8541.4406157367921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5876.0830364983258</v>
          </cell>
          <cell r="H124">
            <v>6662.4301844451256</v>
          </cell>
          <cell r="I124">
            <v>12031.846629169344</v>
          </cell>
          <cell r="J124">
            <v>13045.874474735969</v>
          </cell>
          <cell r="K124">
            <v>10386.137077420855</v>
          </cell>
          <cell r="L124">
            <v>1484.4626448865961</v>
          </cell>
          <cell r="M124">
            <v>6500.9417821232782</v>
          </cell>
          <cell r="N124">
            <v>2864.3699697738871</v>
          </cell>
          <cell r="O124">
            <v>8172.9859244174222</v>
          </cell>
          <cell r="P124">
            <v>5566.2029141276807</v>
          </cell>
          <cell r="Q124">
            <v>8978.4139911024886</v>
          </cell>
          <cell r="R124">
            <v>3660.6174067443394</v>
          </cell>
        </row>
        <row r="126">
          <cell r="G126">
            <v>0.27954057887082512</v>
          </cell>
          <cell r="H126">
            <v>0.38056917110765565</v>
          </cell>
          <cell r="I126">
            <v>0.35484997079606262</v>
          </cell>
          <cell r="J126">
            <v>0.35813047345469562</v>
          </cell>
          <cell r="K126">
            <v>0.28960152745432372</v>
          </cell>
          <cell r="L126">
            <v>0.28865809372893492</v>
          </cell>
          <cell r="M126">
            <v>0.31093298586125256</v>
          </cell>
          <cell r="N126">
            <v>0.29219423984571674</v>
          </cell>
          <cell r="O126">
            <v>0.31731032674542142</v>
          </cell>
          <cell r="P126">
            <v>0.29315775679597911</v>
          </cell>
          <cell r="Q126">
            <v>0.31337522724128253</v>
          </cell>
          <cell r="R126">
            <v>0.3187720475148928</v>
          </cell>
        </row>
        <row r="127">
          <cell r="G127">
            <v>0.1744806949999225</v>
          </cell>
          <cell r="H127">
            <v>0.13845153959859668</v>
          </cell>
          <cell r="I127">
            <v>0.13434315512255871</v>
          </cell>
          <cell r="J127">
            <v>0.12796541223726504</v>
          </cell>
          <cell r="K127">
            <v>0.21830087579984461</v>
          </cell>
          <cell r="L127">
            <v>0.22578015152422515</v>
          </cell>
          <cell r="M127">
            <v>0.16430801014514179</v>
          </cell>
          <cell r="N127">
            <v>0.17833013363627243</v>
          </cell>
          <cell r="O127">
            <v>0.15939036103802037</v>
          </cell>
          <cell r="P127">
            <v>0.20911351842544279</v>
          </cell>
          <cell r="Q127">
            <v>0.18985467504814654</v>
          </cell>
          <cell r="R127">
            <v>0.17565088174840288</v>
          </cell>
        </row>
        <row r="128">
          <cell r="G128">
            <v>0.26149933210763976</v>
          </cell>
          <cell r="H128">
            <v>0.2552430834264704</v>
          </cell>
          <cell r="I128">
            <v>0.35150669014158575</v>
          </cell>
          <cell r="J128">
            <v>0.35306221276080502</v>
          </cell>
          <cell r="K128">
            <v>0.26852375293149805</v>
          </cell>
          <cell r="L128">
            <v>0.26741668081039055</v>
          </cell>
          <cell r="M128">
            <v>0.28663145305861748</v>
          </cell>
          <cell r="N128">
            <v>0.27102615747993486</v>
          </cell>
          <cell r="O128">
            <v>0.29229878897305045</v>
          </cell>
          <cell r="P128">
            <v>0.27043142214222715</v>
          </cell>
          <cell r="Q128">
            <v>0.29040632048432474</v>
          </cell>
          <cell r="R128">
            <v>0.29661150546966092</v>
          </cell>
        </row>
        <row r="129">
          <cell r="G129">
            <v>0.19913557581512892</v>
          </cell>
          <cell r="H129">
            <v>0.15801534410709403</v>
          </cell>
          <cell r="I129">
            <v>0.11151012875785506</v>
          </cell>
          <cell r="J129">
            <v>0.10621635007836228</v>
          </cell>
          <cell r="K129">
            <v>0.147643104405692</v>
          </cell>
          <cell r="L129">
            <v>0.15270155175551459</v>
          </cell>
          <cell r="M129">
            <v>0.16668928565449168</v>
          </cell>
          <cell r="N129">
            <v>0.1809146283266532</v>
          </cell>
          <cell r="O129">
            <v>0.16170036627045545</v>
          </cell>
          <cell r="P129">
            <v>0.1591081118454456</v>
          </cell>
          <cell r="Q129">
            <v>0.14445464405837236</v>
          </cell>
          <cell r="R129">
            <v>0.14627589568693036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8.5343818206483818E-2</v>
          </cell>
          <cell r="H131">
            <v>6.772086176018316E-2</v>
          </cell>
          <cell r="I131">
            <v>4.7790055181937879E-2</v>
          </cell>
          <cell r="J131">
            <v>5.4625551468872033E-2</v>
          </cell>
          <cell r="K131">
            <v>7.5930739408641604E-2</v>
          </cell>
          <cell r="L131">
            <v>6.5443522180934827E-2</v>
          </cell>
          <cell r="M131">
            <v>7.1438265280496432E-2</v>
          </cell>
          <cell r="N131">
            <v>7.7534840711422803E-2</v>
          </cell>
          <cell r="O131">
            <v>6.9300156973052335E-2</v>
          </cell>
          <cell r="P131">
            <v>6.8189190790905255E-2</v>
          </cell>
          <cell r="Q131">
            <v>6.1909133167873866E-2</v>
          </cell>
          <cell r="R131">
            <v>6.2689669580113017E-2</v>
          </cell>
        </row>
        <row r="132">
          <cell r="G132">
            <v>1.0000000000000002</v>
          </cell>
          <cell r="H132">
            <v>1</v>
          </cell>
          <cell r="I132">
            <v>1</v>
          </cell>
          <cell r="J132">
            <v>1</v>
          </cell>
          <cell r="K132">
            <v>1.0000000000000002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0.99999999999999989</v>
          </cell>
          <cell r="Q132">
            <v>1.0000000000000002</v>
          </cell>
          <cell r="R132">
            <v>0.99999999999999989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5598.666666666667</v>
          </cell>
          <cell r="I6">
            <v>11160.626399999999</v>
          </cell>
          <cell r="J6">
            <v>11160.626399999999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8199.8666666666668</v>
          </cell>
          <cell r="H7">
            <v>10419</v>
          </cell>
          <cell r="I7">
            <v>10944.466666666667</v>
          </cell>
          <cell r="J7">
            <v>11988.466666666667</v>
          </cell>
          <cell r="K7">
            <v>11453.2</v>
          </cell>
          <cell r="L7">
            <v>10950.533333333333</v>
          </cell>
          <cell r="M7">
            <v>10950.533333333333</v>
          </cell>
          <cell r="N7">
            <v>9308.2666666666664</v>
          </cell>
          <cell r="O7">
            <v>11522.866666666667</v>
          </cell>
          <cell r="P7">
            <v>10429.533333333333</v>
          </cell>
          <cell r="Q7">
            <v>12539.266666666666</v>
          </cell>
          <cell r="R7">
            <v>12604.133333333333</v>
          </cell>
        </row>
        <row r="8">
          <cell r="G8">
            <v>1232</v>
          </cell>
          <cell r="H8">
            <v>1232</v>
          </cell>
          <cell r="I8">
            <v>1334.6666666666667</v>
          </cell>
          <cell r="J8">
            <v>1540</v>
          </cell>
          <cell r="K8">
            <v>1540</v>
          </cell>
          <cell r="L8">
            <v>1540</v>
          </cell>
          <cell r="M8">
            <v>1334.6666666666667</v>
          </cell>
          <cell r="N8">
            <v>1334.6666666666667</v>
          </cell>
          <cell r="O8">
            <v>1437.3333333333333</v>
          </cell>
          <cell r="P8">
            <v>1642.6666666666667</v>
          </cell>
          <cell r="Q8">
            <v>1642.6666666666667</v>
          </cell>
          <cell r="R8">
            <v>1642.6666666666667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387.8</v>
          </cell>
          <cell r="H11">
            <v>387.8</v>
          </cell>
          <cell r="I11">
            <v>616.73333333333323</v>
          </cell>
          <cell r="J11">
            <v>730.6</v>
          </cell>
          <cell r="K11">
            <v>730.6</v>
          </cell>
          <cell r="L11">
            <v>787.73333333333335</v>
          </cell>
          <cell r="M11">
            <v>730.6</v>
          </cell>
          <cell r="N11">
            <v>730.6</v>
          </cell>
          <cell r="O11">
            <v>730.6</v>
          </cell>
          <cell r="P11">
            <v>1016.4</v>
          </cell>
          <cell r="Q11">
            <v>1072.8666666666666</v>
          </cell>
          <cell r="R11">
            <v>1072.8666666666666</v>
          </cell>
        </row>
        <row r="12">
          <cell r="G12">
            <v>8000</v>
          </cell>
          <cell r="H12">
            <v>8000</v>
          </cell>
          <cell r="I12">
            <v>11000</v>
          </cell>
          <cell r="J12">
            <v>11000</v>
          </cell>
          <cell r="K12">
            <v>13500</v>
          </cell>
          <cell r="L12">
            <v>13500</v>
          </cell>
          <cell r="M12">
            <v>9000</v>
          </cell>
          <cell r="N12">
            <v>9000</v>
          </cell>
          <cell r="O12">
            <v>9000</v>
          </cell>
          <cell r="P12">
            <v>12000</v>
          </cell>
          <cell r="Q12">
            <v>12000</v>
          </cell>
          <cell r="R12">
            <v>10964</v>
          </cell>
        </row>
        <row r="13">
          <cell r="G13">
            <v>17819.666666666664</v>
          </cell>
          <cell r="H13">
            <v>25637.466666666667</v>
          </cell>
          <cell r="I13">
            <v>35056.49306666667</v>
          </cell>
          <cell r="J13">
            <v>36419.693066666667</v>
          </cell>
          <cell r="K13">
            <v>27223.800000000003</v>
          </cell>
          <cell r="L13">
            <v>26778.266666666666</v>
          </cell>
          <cell r="M13">
            <v>22015.8</v>
          </cell>
          <cell r="N13">
            <v>20373.533333333333</v>
          </cell>
          <cell r="O13">
            <v>22690.800000000003</v>
          </cell>
          <cell r="P13">
            <v>25088.6</v>
          </cell>
          <cell r="Q13">
            <v>27254.799999999999</v>
          </cell>
          <cell r="R13">
            <v>26283.666666666664</v>
          </cell>
        </row>
        <row r="14">
          <cell r="G14">
            <v>0</v>
          </cell>
          <cell r="H14">
            <v>0</v>
          </cell>
          <cell r="I14">
            <v>8108.6147999999994</v>
          </cell>
          <cell r="J14">
            <v>8108.1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5332</v>
          </cell>
          <cell r="H15">
            <v>6774</v>
          </cell>
          <cell r="I15">
            <v>7136</v>
          </cell>
          <cell r="J15">
            <v>7782</v>
          </cell>
          <cell r="K15">
            <v>7416</v>
          </cell>
          <cell r="L15">
            <v>7071</v>
          </cell>
          <cell r="M15">
            <v>7071</v>
          </cell>
          <cell r="N15">
            <v>6014</v>
          </cell>
          <cell r="O15">
            <v>7427</v>
          </cell>
          <cell r="P15">
            <v>6669</v>
          </cell>
          <cell r="Q15">
            <v>8129</v>
          </cell>
          <cell r="R15">
            <v>8212</v>
          </cell>
        </row>
        <row r="16">
          <cell r="G16">
            <v>1064</v>
          </cell>
          <cell r="H16">
            <v>1064</v>
          </cell>
          <cell r="I16">
            <v>1152.6666666666667</v>
          </cell>
          <cell r="J16">
            <v>1330</v>
          </cell>
          <cell r="K16">
            <v>1330</v>
          </cell>
          <cell r="L16">
            <v>1330</v>
          </cell>
          <cell r="M16">
            <v>1152.6666666666667</v>
          </cell>
          <cell r="N16">
            <v>1152.6666666666667</v>
          </cell>
          <cell r="O16">
            <v>1241.3333333333333</v>
          </cell>
          <cell r="P16">
            <v>1418.6666666666667</v>
          </cell>
          <cell r="Q16">
            <v>1418.6666666666667</v>
          </cell>
          <cell r="R16">
            <v>1418.6666666666667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222.19354838709677</v>
          </cell>
          <cell r="H19">
            <v>222.19354838709677</v>
          </cell>
          <cell r="I19">
            <v>346.32258064516128</v>
          </cell>
          <cell r="J19">
            <v>408.45161290322579</v>
          </cell>
          <cell r="K19">
            <v>408.45161290322579</v>
          </cell>
          <cell r="L19">
            <v>439.87096774193549</v>
          </cell>
          <cell r="M19">
            <v>409.29032258064518</v>
          </cell>
          <cell r="N19">
            <v>409.29032258064518</v>
          </cell>
          <cell r="O19">
            <v>409.29032258064518</v>
          </cell>
          <cell r="P19">
            <v>565.54838709677415</v>
          </cell>
          <cell r="Q19">
            <v>596.9677419354839</v>
          </cell>
          <cell r="R19">
            <v>596.9677419354839</v>
          </cell>
        </row>
        <row r="20">
          <cell r="G20">
            <v>7000</v>
          </cell>
          <cell r="H20">
            <v>7000</v>
          </cell>
          <cell r="I20">
            <v>7000</v>
          </cell>
          <cell r="J20">
            <v>7000</v>
          </cell>
          <cell r="K20">
            <v>7000</v>
          </cell>
          <cell r="L20">
            <v>7000</v>
          </cell>
          <cell r="M20">
            <v>7000</v>
          </cell>
          <cell r="N20">
            <v>7000</v>
          </cell>
          <cell r="O20">
            <v>7000</v>
          </cell>
          <cell r="P20">
            <v>7000</v>
          </cell>
          <cell r="Q20">
            <v>7000</v>
          </cell>
          <cell r="R20">
            <v>7000</v>
          </cell>
        </row>
        <row r="21">
          <cell r="G21">
            <v>13618.193548387097</v>
          </cell>
          <cell r="H21">
            <v>15060.193548387097</v>
          </cell>
          <cell r="I21">
            <v>23743.60404731183</v>
          </cell>
          <cell r="J21">
            <v>24628.551612903226</v>
          </cell>
          <cell r="K21">
            <v>16154.451612903225</v>
          </cell>
          <cell r="L21">
            <v>15840.870967741936</v>
          </cell>
          <cell r="M21">
            <v>15632.956989247312</v>
          </cell>
          <cell r="N21">
            <v>14575.956989247312</v>
          </cell>
          <cell r="O21">
            <v>16077.62365591398</v>
          </cell>
          <cell r="P21">
            <v>15653.215053763441</v>
          </cell>
          <cell r="Q21">
            <v>17144.634408602149</v>
          </cell>
          <cell r="R21">
            <v>17227.634408602149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5000</v>
          </cell>
          <cell r="H36">
            <v>5000</v>
          </cell>
          <cell r="I36">
            <v>5000</v>
          </cell>
          <cell r="J36">
            <v>6000</v>
          </cell>
          <cell r="K36">
            <v>6000</v>
          </cell>
          <cell r="L36">
            <v>5000</v>
          </cell>
          <cell r="M36">
            <v>5000</v>
          </cell>
          <cell r="N36">
            <v>5000</v>
          </cell>
          <cell r="O36">
            <v>5000</v>
          </cell>
          <cell r="P36">
            <v>5000</v>
          </cell>
          <cell r="Q36">
            <v>5000</v>
          </cell>
          <cell r="R36">
            <v>5000</v>
          </cell>
        </row>
        <row r="37">
          <cell r="G37">
            <v>5000</v>
          </cell>
          <cell r="H37">
            <v>5000</v>
          </cell>
          <cell r="I37">
            <v>5000</v>
          </cell>
          <cell r="J37">
            <v>6000</v>
          </cell>
          <cell r="K37">
            <v>6000</v>
          </cell>
          <cell r="L37">
            <v>5000</v>
          </cell>
          <cell r="M37">
            <v>5000</v>
          </cell>
          <cell r="N37">
            <v>5000</v>
          </cell>
          <cell r="O37">
            <v>5000</v>
          </cell>
          <cell r="P37">
            <v>5000</v>
          </cell>
          <cell r="Q37">
            <v>5000</v>
          </cell>
          <cell r="R37">
            <v>5000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5598.666666666667</v>
          </cell>
          <cell r="I54">
            <v>19269.241199999997</v>
          </cell>
          <cell r="J54">
            <v>19268.7264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13531.866666666667</v>
          </cell>
          <cell r="H55">
            <v>17193</v>
          </cell>
          <cell r="I55">
            <v>18080.466666666667</v>
          </cell>
          <cell r="J55">
            <v>19770.466666666667</v>
          </cell>
          <cell r="K55">
            <v>18869.2</v>
          </cell>
          <cell r="L55">
            <v>18021.533333333333</v>
          </cell>
          <cell r="M55">
            <v>18021.533333333333</v>
          </cell>
          <cell r="N55">
            <v>15322.266666666666</v>
          </cell>
          <cell r="O55">
            <v>18949.866666666669</v>
          </cell>
          <cell r="P55">
            <v>17098.533333333333</v>
          </cell>
          <cell r="Q55">
            <v>20668.266666666666</v>
          </cell>
          <cell r="R55">
            <v>20816.133333333331</v>
          </cell>
        </row>
        <row r="56">
          <cell r="G56">
            <v>2296</v>
          </cell>
          <cell r="H56">
            <v>2296</v>
          </cell>
          <cell r="I56">
            <v>2487.3333333333335</v>
          </cell>
          <cell r="J56">
            <v>2870</v>
          </cell>
          <cell r="K56">
            <v>2870</v>
          </cell>
          <cell r="L56">
            <v>2870</v>
          </cell>
          <cell r="M56">
            <v>2487.3333333333335</v>
          </cell>
          <cell r="N56">
            <v>2487.3333333333335</v>
          </cell>
          <cell r="O56">
            <v>2678.6666666666665</v>
          </cell>
          <cell r="P56">
            <v>3061.3333333333335</v>
          </cell>
          <cell r="Q56">
            <v>3061.3333333333335</v>
          </cell>
          <cell r="R56">
            <v>3061.3333333333335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609.99354838709678</v>
          </cell>
          <cell r="H59">
            <v>609.99354838709678</v>
          </cell>
          <cell r="I59">
            <v>963.05591397849457</v>
          </cell>
          <cell r="J59">
            <v>1139.0516129032258</v>
          </cell>
          <cell r="K59">
            <v>1139.0516129032258</v>
          </cell>
          <cell r="L59">
            <v>1227.6043010752687</v>
          </cell>
          <cell r="M59">
            <v>1139.8903225806453</v>
          </cell>
          <cell r="N59">
            <v>1139.8903225806453</v>
          </cell>
          <cell r="O59">
            <v>1139.8903225806453</v>
          </cell>
          <cell r="P59">
            <v>1581.9483870967742</v>
          </cell>
          <cell r="Q59">
            <v>1669.8344086021505</v>
          </cell>
          <cell r="R59">
            <v>1669.8344086021505</v>
          </cell>
        </row>
        <row r="60">
          <cell r="G60">
            <v>20000</v>
          </cell>
          <cell r="H60">
            <v>20000</v>
          </cell>
          <cell r="I60">
            <v>23000</v>
          </cell>
          <cell r="J60">
            <v>24000</v>
          </cell>
          <cell r="K60">
            <v>26500</v>
          </cell>
          <cell r="L60">
            <v>25500</v>
          </cell>
          <cell r="M60">
            <v>21000</v>
          </cell>
          <cell r="N60">
            <v>21000</v>
          </cell>
          <cell r="O60">
            <v>21000</v>
          </cell>
          <cell r="P60">
            <v>24000</v>
          </cell>
          <cell r="Q60">
            <v>24000</v>
          </cell>
          <cell r="R60">
            <v>22964</v>
          </cell>
        </row>
        <row r="61">
          <cell r="G61">
            <v>36437.860215053763</v>
          </cell>
          <cell r="H61">
            <v>45697.660215053766</v>
          </cell>
          <cell r="I61">
            <v>63800.097113978496</v>
          </cell>
          <cell r="J61">
            <v>67048.244679569892</v>
          </cell>
          <cell r="K61">
            <v>49378.25161290323</v>
          </cell>
          <cell r="L61">
            <v>47619.137634408602</v>
          </cell>
          <cell r="M61">
            <v>42648.756989247311</v>
          </cell>
          <cell r="N61">
            <v>39949.490322580648</v>
          </cell>
          <cell r="O61">
            <v>43768.423655913983</v>
          </cell>
          <cell r="P61">
            <v>45741.815053763436</v>
          </cell>
          <cell r="Q61">
            <v>49399.434408602145</v>
          </cell>
          <cell r="R61">
            <v>48511.301075268813</v>
          </cell>
        </row>
        <row r="63">
          <cell r="G63">
            <v>9819.6666666666661</v>
          </cell>
          <cell r="H63">
            <v>17637.466666666667</v>
          </cell>
          <cell r="I63">
            <v>24056.49306666667</v>
          </cell>
          <cell r="J63">
            <v>25419.693066666667</v>
          </cell>
          <cell r="K63">
            <v>13723.800000000001</v>
          </cell>
          <cell r="L63">
            <v>13278.266666666666</v>
          </cell>
          <cell r="M63">
            <v>13015.8</v>
          </cell>
          <cell r="N63">
            <v>11373.533333333333</v>
          </cell>
          <cell r="O63">
            <v>13690.800000000001</v>
          </cell>
          <cell r="P63">
            <v>13088.599999999999</v>
          </cell>
          <cell r="Q63">
            <v>15254.8</v>
          </cell>
          <cell r="R63">
            <v>15319.666666666666</v>
          </cell>
        </row>
        <row r="64">
          <cell r="G64">
            <v>8000</v>
          </cell>
          <cell r="H64">
            <v>8000</v>
          </cell>
          <cell r="I64">
            <v>11000</v>
          </cell>
          <cell r="J64">
            <v>11000</v>
          </cell>
          <cell r="K64">
            <v>13500</v>
          </cell>
          <cell r="L64">
            <v>13500</v>
          </cell>
          <cell r="M64">
            <v>9000</v>
          </cell>
          <cell r="N64">
            <v>9000</v>
          </cell>
          <cell r="O64">
            <v>9000</v>
          </cell>
          <cell r="P64">
            <v>12000</v>
          </cell>
          <cell r="Q64">
            <v>12000</v>
          </cell>
          <cell r="R64">
            <v>10964</v>
          </cell>
        </row>
        <row r="65">
          <cell r="G65">
            <v>17819.666666666664</v>
          </cell>
          <cell r="H65">
            <v>25637.466666666667</v>
          </cell>
          <cell r="I65">
            <v>35056.49306666667</v>
          </cell>
          <cell r="J65">
            <v>36419.693066666667</v>
          </cell>
          <cell r="K65">
            <v>27223.800000000003</v>
          </cell>
          <cell r="L65">
            <v>26778.266666666666</v>
          </cell>
          <cell r="M65">
            <v>22015.8</v>
          </cell>
          <cell r="N65">
            <v>20373.533333333333</v>
          </cell>
          <cell r="O65">
            <v>22690.800000000003</v>
          </cell>
          <cell r="P65">
            <v>25088.6</v>
          </cell>
          <cell r="Q65">
            <v>27254.799999999999</v>
          </cell>
          <cell r="R65">
            <v>26283.666666666664</v>
          </cell>
        </row>
        <row r="66">
          <cell r="G66">
            <v>6618.1935483870966</v>
          </cell>
          <cell r="H66">
            <v>8060.1935483870966</v>
          </cell>
          <cell r="I66">
            <v>16743.60404731183</v>
          </cell>
          <cell r="J66">
            <v>17628.551612903226</v>
          </cell>
          <cell r="K66">
            <v>9154.4516129032254</v>
          </cell>
          <cell r="L66">
            <v>8840.8709677419356</v>
          </cell>
          <cell r="M66">
            <v>8632.9569892473119</v>
          </cell>
          <cell r="N66">
            <v>7575.9569892473119</v>
          </cell>
          <cell r="O66">
            <v>9077.6236559139797</v>
          </cell>
          <cell r="P66">
            <v>8653.2150537634407</v>
          </cell>
          <cell r="Q66">
            <v>10144.634408602149</v>
          </cell>
          <cell r="R66">
            <v>10227.634408602149</v>
          </cell>
        </row>
        <row r="67">
          <cell r="G67">
            <v>7000</v>
          </cell>
          <cell r="H67">
            <v>7000</v>
          </cell>
          <cell r="I67">
            <v>7000</v>
          </cell>
          <cell r="J67">
            <v>7000</v>
          </cell>
          <cell r="K67">
            <v>7000</v>
          </cell>
          <cell r="L67">
            <v>7000</v>
          </cell>
          <cell r="M67">
            <v>7000</v>
          </cell>
          <cell r="N67">
            <v>7000</v>
          </cell>
          <cell r="O67">
            <v>7000</v>
          </cell>
          <cell r="P67">
            <v>7000</v>
          </cell>
          <cell r="Q67">
            <v>7000</v>
          </cell>
          <cell r="R67">
            <v>7000</v>
          </cell>
        </row>
        <row r="68">
          <cell r="G68">
            <v>13618.193548387097</v>
          </cell>
          <cell r="H68">
            <v>15060.193548387097</v>
          </cell>
          <cell r="I68">
            <v>23743.60404731183</v>
          </cell>
          <cell r="J68">
            <v>24628.551612903226</v>
          </cell>
          <cell r="K68">
            <v>16154.451612903225</v>
          </cell>
          <cell r="L68">
            <v>15840.870967741936</v>
          </cell>
          <cell r="M68">
            <v>15632.956989247312</v>
          </cell>
          <cell r="N68">
            <v>14575.956989247312</v>
          </cell>
          <cell r="O68">
            <v>16077.62365591398</v>
          </cell>
          <cell r="P68">
            <v>15653.215053763441</v>
          </cell>
          <cell r="Q68">
            <v>17144.634408602149</v>
          </cell>
          <cell r="R68">
            <v>17227.634408602149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5000</v>
          </cell>
          <cell r="H73">
            <v>5000</v>
          </cell>
          <cell r="I73">
            <v>5000</v>
          </cell>
          <cell r="J73">
            <v>6000</v>
          </cell>
          <cell r="K73">
            <v>6000</v>
          </cell>
          <cell r="L73">
            <v>5000</v>
          </cell>
          <cell r="M73">
            <v>5000</v>
          </cell>
          <cell r="N73">
            <v>5000</v>
          </cell>
          <cell r="O73">
            <v>5000</v>
          </cell>
          <cell r="P73">
            <v>5000</v>
          </cell>
          <cell r="Q73">
            <v>5000</v>
          </cell>
          <cell r="R73">
            <v>5000</v>
          </cell>
        </row>
        <row r="74">
          <cell r="G74">
            <v>5000</v>
          </cell>
          <cell r="H74">
            <v>5000</v>
          </cell>
          <cell r="I74">
            <v>5000</v>
          </cell>
          <cell r="J74">
            <v>6000</v>
          </cell>
          <cell r="K74">
            <v>6000</v>
          </cell>
          <cell r="L74">
            <v>5000</v>
          </cell>
          <cell r="M74">
            <v>5000</v>
          </cell>
          <cell r="N74">
            <v>5000</v>
          </cell>
          <cell r="O74">
            <v>5000</v>
          </cell>
          <cell r="P74">
            <v>5000</v>
          </cell>
          <cell r="Q74">
            <v>5000</v>
          </cell>
          <cell r="R74">
            <v>5000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16437.860215053763</v>
          </cell>
          <cell r="H81">
            <v>25697.660215053766</v>
          </cell>
          <cell r="I81">
            <v>40800.097113978496</v>
          </cell>
          <cell r="J81">
            <v>43048.244679569892</v>
          </cell>
          <cell r="K81">
            <v>22878.251612903226</v>
          </cell>
          <cell r="L81">
            <v>22119.137634408602</v>
          </cell>
          <cell r="M81">
            <v>21648.756989247311</v>
          </cell>
          <cell r="N81">
            <v>18949.490322580645</v>
          </cell>
          <cell r="O81">
            <v>22768.423655913983</v>
          </cell>
          <cell r="P81">
            <v>21741.815053763439</v>
          </cell>
          <cell r="Q81">
            <v>25399.434408602148</v>
          </cell>
          <cell r="R81">
            <v>25547.301075268813</v>
          </cell>
        </row>
        <row r="82">
          <cell r="G82">
            <v>20000</v>
          </cell>
          <cell r="H82">
            <v>20000</v>
          </cell>
          <cell r="I82">
            <v>23000</v>
          </cell>
          <cell r="J82">
            <v>24000</v>
          </cell>
          <cell r="K82">
            <v>26500</v>
          </cell>
          <cell r="L82">
            <v>25500</v>
          </cell>
          <cell r="M82">
            <v>21000</v>
          </cell>
          <cell r="N82">
            <v>21000</v>
          </cell>
          <cell r="O82">
            <v>21000</v>
          </cell>
          <cell r="P82">
            <v>24000</v>
          </cell>
          <cell r="Q82">
            <v>24000</v>
          </cell>
          <cell r="R82">
            <v>22964</v>
          </cell>
        </row>
        <row r="83">
          <cell r="G83">
            <v>36437.860215053763</v>
          </cell>
          <cell r="H83">
            <v>45697.660215053766</v>
          </cell>
          <cell r="I83">
            <v>63800.097113978496</v>
          </cell>
          <cell r="J83">
            <v>67048.244679569892</v>
          </cell>
          <cell r="K83">
            <v>49378.25161290323</v>
          </cell>
          <cell r="L83">
            <v>47619.137634408602</v>
          </cell>
          <cell r="M83">
            <v>42648.756989247311</v>
          </cell>
          <cell r="N83">
            <v>39949.490322580648</v>
          </cell>
          <cell r="O83">
            <v>43768.423655913983</v>
          </cell>
          <cell r="P83">
            <v>45741.815053763436</v>
          </cell>
          <cell r="Q83">
            <v>49399.434408602145</v>
          </cell>
          <cell r="R83">
            <v>48511.301075268813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0</v>
          </cell>
          <cell r="H6">
            <v>12500</v>
          </cell>
          <cell r="I6">
            <v>12500</v>
          </cell>
          <cell r="J6">
            <v>12500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G7">
            <v>16000</v>
          </cell>
          <cell r="H7">
            <v>16000</v>
          </cell>
          <cell r="I7">
            <v>16000</v>
          </cell>
          <cell r="J7">
            <v>16000</v>
          </cell>
          <cell r="K7">
            <v>16000</v>
          </cell>
          <cell r="L7">
            <v>16000</v>
          </cell>
          <cell r="M7">
            <v>16000</v>
          </cell>
          <cell r="N7">
            <v>16000</v>
          </cell>
          <cell r="O7">
            <v>16000</v>
          </cell>
          <cell r="P7">
            <v>16000</v>
          </cell>
          <cell r="Q7">
            <v>16000</v>
          </cell>
          <cell r="R7">
            <v>16000</v>
          </cell>
        </row>
        <row r="8">
          <cell r="G8">
            <v>10000</v>
          </cell>
          <cell r="H8">
            <v>10000</v>
          </cell>
          <cell r="I8">
            <v>10000</v>
          </cell>
          <cell r="J8">
            <v>10000</v>
          </cell>
          <cell r="K8">
            <v>10000</v>
          </cell>
          <cell r="L8">
            <v>10000</v>
          </cell>
          <cell r="M8">
            <v>10000</v>
          </cell>
          <cell r="N8">
            <v>10000</v>
          </cell>
          <cell r="O8">
            <v>10000</v>
          </cell>
          <cell r="P8">
            <v>10000</v>
          </cell>
          <cell r="Q8">
            <v>10000</v>
          </cell>
          <cell r="R8">
            <v>10000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10000</v>
          </cell>
          <cell r="H11">
            <v>10000</v>
          </cell>
          <cell r="I11">
            <v>10000</v>
          </cell>
          <cell r="J11">
            <v>10000</v>
          </cell>
          <cell r="K11">
            <v>10000</v>
          </cell>
          <cell r="L11">
            <v>10000</v>
          </cell>
          <cell r="M11">
            <v>10000</v>
          </cell>
          <cell r="N11">
            <v>10000</v>
          </cell>
          <cell r="O11">
            <v>10000</v>
          </cell>
          <cell r="P11">
            <v>10000</v>
          </cell>
          <cell r="Q11">
            <v>10000</v>
          </cell>
          <cell r="R11">
            <v>10000</v>
          </cell>
        </row>
        <row r="12">
          <cell r="G12">
            <v>11500</v>
          </cell>
          <cell r="H12">
            <v>11500</v>
          </cell>
          <cell r="I12">
            <v>11500</v>
          </cell>
          <cell r="J12">
            <v>11500</v>
          </cell>
          <cell r="K12">
            <v>11500</v>
          </cell>
          <cell r="L12">
            <v>11500</v>
          </cell>
          <cell r="M12">
            <v>11500</v>
          </cell>
          <cell r="N12">
            <v>11500</v>
          </cell>
          <cell r="O12">
            <v>11500</v>
          </cell>
          <cell r="P12">
            <v>11500</v>
          </cell>
          <cell r="Q12">
            <v>11500</v>
          </cell>
          <cell r="R12">
            <v>11500</v>
          </cell>
        </row>
        <row r="13">
          <cell r="G13">
            <v>13434.362782693281</v>
          </cell>
          <cell r="H13">
            <v>13452.395192452714</v>
          </cell>
          <cell r="I13">
            <v>13139.742637424792</v>
          </cell>
          <cell r="J13">
            <v>13194.21599152558</v>
          </cell>
          <cell r="K13">
            <v>13268.0669120402</v>
          </cell>
          <cell r="L13">
            <v>13209.811937043474</v>
          </cell>
          <cell r="M13">
            <v>13597.561751106023</v>
          </cell>
          <cell r="N13">
            <v>13403.906375264642</v>
          </cell>
          <cell r="O13">
            <v>13641.88129109595</v>
          </cell>
          <cell r="P13">
            <v>13211.705714946229</v>
          </cell>
          <cell r="Q13">
            <v>13420.887329938212</v>
          </cell>
          <cell r="R13">
            <v>13502.966354263104</v>
          </cell>
        </row>
        <row r="14">
          <cell r="G14">
            <v>0</v>
          </cell>
          <cell r="H14">
            <v>18500</v>
          </cell>
          <cell r="I14">
            <v>18500</v>
          </cell>
          <cell r="J14">
            <v>18500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22000</v>
          </cell>
          <cell r="H15">
            <v>22000</v>
          </cell>
          <cell r="I15">
            <v>22000</v>
          </cell>
          <cell r="J15">
            <v>22000</v>
          </cell>
          <cell r="K15">
            <v>22000</v>
          </cell>
          <cell r="L15">
            <v>22000</v>
          </cell>
          <cell r="M15">
            <v>22000</v>
          </cell>
          <cell r="N15">
            <v>22000</v>
          </cell>
          <cell r="O15">
            <v>22000</v>
          </cell>
          <cell r="P15">
            <v>22000</v>
          </cell>
          <cell r="Q15">
            <v>22000</v>
          </cell>
          <cell r="R15">
            <v>22000</v>
          </cell>
        </row>
        <row r="16">
          <cell r="G16">
            <v>16000</v>
          </cell>
          <cell r="H16">
            <v>16000</v>
          </cell>
          <cell r="I16">
            <v>16000</v>
          </cell>
          <cell r="J16">
            <v>16000</v>
          </cell>
          <cell r="K16">
            <v>16000</v>
          </cell>
          <cell r="L16">
            <v>16000</v>
          </cell>
          <cell r="M16">
            <v>16000</v>
          </cell>
          <cell r="N16">
            <v>16000</v>
          </cell>
          <cell r="O16">
            <v>16000</v>
          </cell>
          <cell r="P16">
            <v>16000</v>
          </cell>
          <cell r="Q16">
            <v>16000</v>
          </cell>
          <cell r="R16">
            <v>16000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16000</v>
          </cell>
          <cell r="H19">
            <v>16000</v>
          </cell>
          <cell r="I19">
            <v>16000</v>
          </cell>
          <cell r="J19">
            <v>16000</v>
          </cell>
          <cell r="K19">
            <v>16000</v>
          </cell>
          <cell r="L19">
            <v>16000</v>
          </cell>
          <cell r="M19">
            <v>16000</v>
          </cell>
          <cell r="N19">
            <v>16000</v>
          </cell>
          <cell r="O19">
            <v>16000</v>
          </cell>
          <cell r="P19">
            <v>16000</v>
          </cell>
          <cell r="Q19">
            <v>16000</v>
          </cell>
          <cell r="R19">
            <v>16000</v>
          </cell>
        </row>
        <row r="20">
          <cell r="G20">
            <v>15000</v>
          </cell>
          <cell r="H20">
            <v>15000</v>
          </cell>
          <cell r="I20">
            <v>15000</v>
          </cell>
          <cell r="J20">
            <v>15000</v>
          </cell>
          <cell r="K20">
            <v>15000</v>
          </cell>
          <cell r="L20">
            <v>15000</v>
          </cell>
          <cell r="M20">
            <v>15000</v>
          </cell>
          <cell r="N20">
            <v>15000</v>
          </cell>
          <cell r="O20">
            <v>15000</v>
          </cell>
          <cell r="P20">
            <v>15000</v>
          </cell>
          <cell r="Q20">
            <v>15000</v>
          </cell>
          <cell r="R20">
            <v>15000</v>
          </cell>
        </row>
        <row r="21">
          <cell r="G21">
            <v>17835.192010687791</v>
          </cell>
          <cell r="H21">
            <v>18233.968633398021</v>
          </cell>
          <cell r="I21">
            <v>18362.21665793614</v>
          </cell>
          <cell r="J21">
            <v>18434.664081853072</v>
          </cell>
          <cell r="K21">
            <v>18321.093955925462</v>
          </cell>
          <cell r="L21">
            <v>18236.366931599965</v>
          </cell>
          <cell r="M21">
            <v>18266.109989579501</v>
          </cell>
          <cell r="N21">
            <v>17995.340684762949</v>
          </cell>
          <cell r="O21">
            <v>18336.290536703989</v>
          </cell>
          <cell r="P21">
            <v>18109.087486922541</v>
          </cell>
          <cell r="Q21">
            <v>18436.56405872617</v>
          </cell>
          <cell r="R21">
            <v>18453.732125804378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10500</v>
          </cell>
          <cell r="H23">
            <v>10500</v>
          </cell>
          <cell r="I23">
            <v>10500</v>
          </cell>
          <cell r="J23">
            <v>10500</v>
          </cell>
          <cell r="K23">
            <v>10500</v>
          </cell>
          <cell r="L23">
            <v>10500</v>
          </cell>
          <cell r="M23">
            <v>10500</v>
          </cell>
          <cell r="N23">
            <v>10500</v>
          </cell>
          <cell r="O23">
            <v>10500</v>
          </cell>
          <cell r="P23">
            <v>10500</v>
          </cell>
          <cell r="Q23">
            <v>10500</v>
          </cell>
          <cell r="R23">
            <v>10500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9000</v>
          </cell>
          <cell r="H36">
            <v>9000</v>
          </cell>
          <cell r="I36">
            <v>9000</v>
          </cell>
          <cell r="J36">
            <v>9000</v>
          </cell>
          <cell r="K36">
            <v>9000</v>
          </cell>
          <cell r="L36">
            <v>9000</v>
          </cell>
          <cell r="M36">
            <v>9000</v>
          </cell>
          <cell r="N36">
            <v>9000</v>
          </cell>
          <cell r="O36">
            <v>9000</v>
          </cell>
          <cell r="P36">
            <v>9000</v>
          </cell>
          <cell r="Q36">
            <v>9000</v>
          </cell>
          <cell r="R36">
            <v>9000</v>
          </cell>
        </row>
        <row r="37">
          <cell r="G37">
            <v>9000</v>
          </cell>
          <cell r="H37">
            <v>9000</v>
          </cell>
          <cell r="I37">
            <v>9000</v>
          </cell>
          <cell r="J37">
            <v>9000</v>
          </cell>
          <cell r="K37">
            <v>9000</v>
          </cell>
          <cell r="L37">
            <v>9000</v>
          </cell>
          <cell r="M37">
            <v>9000</v>
          </cell>
          <cell r="N37">
            <v>9000</v>
          </cell>
          <cell r="O37">
            <v>9000</v>
          </cell>
          <cell r="P37">
            <v>9000</v>
          </cell>
          <cell r="Q37">
            <v>9000</v>
          </cell>
          <cell r="R37">
            <v>9000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12500.000000000002</v>
          </cell>
          <cell r="I54">
            <v>15024.836774579375</v>
          </cell>
          <cell r="J54">
            <v>15024.743929105765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18364.197105104984</v>
          </cell>
          <cell r="H55">
            <v>18363.9853428721</v>
          </cell>
          <cell r="I55">
            <v>18368.080469899374</v>
          </cell>
          <cell r="J55">
            <v>18361.704495257236</v>
          </cell>
          <cell r="K55">
            <v>18358.12859050728</v>
          </cell>
          <cell r="L55">
            <v>18354.183698760375</v>
          </cell>
          <cell r="M55">
            <v>18354.183698760375</v>
          </cell>
          <cell r="N55">
            <v>18355.004046398706</v>
          </cell>
          <cell r="O55">
            <v>18351.573274042385</v>
          </cell>
          <cell r="P55">
            <v>18340.200718970049</v>
          </cell>
          <cell r="Q55">
            <v>18359.849560034061</v>
          </cell>
          <cell r="R55">
            <v>18367.010203624111</v>
          </cell>
        </row>
        <row r="56">
          <cell r="G56">
            <v>12780.48780487805</v>
          </cell>
          <cell r="H56">
            <v>12780.48780487805</v>
          </cell>
          <cell r="I56">
            <v>12780.48780487805</v>
          </cell>
          <cell r="J56">
            <v>12780.48780487805</v>
          </cell>
          <cell r="K56">
            <v>12780.48780487805</v>
          </cell>
          <cell r="L56">
            <v>12780.48780487805</v>
          </cell>
          <cell r="M56">
            <v>12780.48780487805</v>
          </cell>
          <cell r="N56">
            <v>12780.48780487805</v>
          </cell>
          <cell r="O56">
            <v>12780.48780487805</v>
          </cell>
          <cell r="P56">
            <v>12780.48780487805</v>
          </cell>
          <cell r="Q56">
            <v>12780.48780487805</v>
          </cell>
          <cell r="R56">
            <v>12780.48780487805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12185.533427111866</v>
          </cell>
          <cell r="H59">
            <v>12185.533427111866</v>
          </cell>
          <cell r="I59">
            <v>12157.647810174152</v>
          </cell>
          <cell r="J59">
            <v>12151.535233046168</v>
          </cell>
          <cell r="K59">
            <v>12151.535233046168</v>
          </cell>
          <cell r="L59">
            <v>12149.899445725217</v>
          </cell>
          <cell r="M59">
            <v>12154.366860422339</v>
          </cell>
          <cell r="N59">
            <v>12154.366860422339</v>
          </cell>
          <cell r="O59">
            <v>12154.366860422339</v>
          </cell>
          <cell r="P59">
            <v>12145.006973841975</v>
          </cell>
          <cell r="Q59">
            <v>12145.006973841975</v>
          </cell>
          <cell r="R59">
            <v>12145.006973841975</v>
          </cell>
        </row>
        <row r="60">
          <cell r="G60">
            <v>12100</v>
          </cell>
          <cell r="H60">
            <v>12100</v>
          </cell>
          <cell r="I60">
            <v>12021.739130434784</v>
          </cell>
          <cell r="J60">
            <v>11895.833333333334</v>
          </cell>
          <cell r="K60">
            <v>11858.490566037735</v>
          </cell>
          <cell r="L60">
            <v>11970.588235294117</v>
          </cell>
          <cell r="M60">
            <v>12071.428571428571</v>
          </cell>
          <cell r="N60">
            <v>12071.428571428571</v>
          </cell>
          <cell r="O60">
            <v>12071.428571428571</v>
          </cell>
          <cell r="P60">
            <v>12000</v>
          </cell>
          <cell r="Q60">
            <v>12000</v>
          </cell>
          <cell r="R60">
            <v>12022.557045810836</v>
          </cell>
        </row>
        <row r="61">
          <cell r="G61">
            <v>14470.634673081675</v>
          </cell>
          <cell r="H61">
            <v>14541.060242043404</v>
          </cell>
          <cell r="I61">
            <v>14758.888168170968</v>
          </cell>
          <cell r="J61">
            <v>14743.836728276594</v>
          </cell>
          <cell r="K61">
            <v>14402.584185880971</v>
          </cell>
          <cell r="L61">
            <v>14439.90454908366</v>
          </cell>
          <cell r="M61">
            <v>14769.821122495367</v>
          </cell>
          <cell r="N61">
            <v>14527.951182226716</v>
          </cell>
          <cell r="O61">
            <v>14836.019309251127</v>
          </cell>
          <cell r="P61">
            <v>14427.250866292832</v>
          </cell>
          <cell r="Q61">
            <v>14714.17151308641</v>
          </cell>
          <cell r="R61">
            <v>14796.997839545647</v>
          </cell>
        </row>
        <row r="62">
          <cell r="G62">
            <v>0</v>
          </cell>
          <cell r="H62">
            <v>69983.333333333343</v>
          </cell>
          <cell r="I62">
            <v>139507.82999999999</v>
          </cell>
          <cell r="J62">
            <v>139507.82999999999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131197.86666666667</v>
          </cell>
          <cell r="H63">
            <v>166704</v>
          </cell>
          <cell r="I63">
            <v>175111.46666666667</v>
          </cell>
          <cell r="J63">
            <v>191815.46666666667</v>
          </cell>
          <cell r="K63">
            <v>183251.20000000001</v>
          </cell>
          <cell r="L63">
            <v>175208.53333333333</v>
          </cell>
          <cell r="M63">
            <v>175208.53333333333</v>
          </cell>
          <cell r="N63">
            <v>148932.26666666666</v>
          </cell>
          <cell r="O63">
            <v>184365.86666666667</v>
          </cell>
          <cell r="P63">
            <v>166872.53333333333</v>
          </cell>
          <cell r="Q63">
            <v>200628.26666666666</v>
          </cell>
          <cell r="R63">
            <v>201666.13333333333</v>
          </cell>
        </row>
        <row r="64">
          <cell r="G64">
            <v>12320</v>
          </cell>
          <cell r="H64">
            <v>12320</v>
          </cell>
          <cell r="I64">
            <v>13346.666666666668</v>
          </cell>
          <cell r="J64">
            <v>15400</v>
          </cell>
          <cell r="K64">
            <v>15400</v>
          </cell>
          <cell r="L64">
            <v>15400</v>
          </cell>
          <cell r="M64">
            <v>13346.666666666668</v>
          </cell>
          <cell r="N64">
            <v>13346.666666666668</v>
          </cell>
          <cell r="O64">
            <v>14373.333333333332</v>
          </cell>
          <cell r="P64">
            <v>16426.666666666668</v>
          </cell>
          <cell r="Q64">
            <v>16426.666666666668</v>
          </cell>
          <cell r="R64">
            <v>16426.666666666668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3878</v>
          </cell>
          <cell r="H67">
            <v>3878</v>
          </cell>
          <cell r="I67">
            <v>6167.3333333333321</v>
          </cell>
          <cell r="J67">
            <v>7306</v>
          </cell>
          <cell r="K67">
            <v>7306</v>
          </cell>
          <cell r="L67">
            <v>7877.333333333333</v>
          </cell>
          <cell r="M67">
            <v>7306</v>
          </cell>
          <cell r="N67">
            <v>7306</v>
          </cell>
          <cell r="O67">
            <v>7306</v>
          </cell>
          <cell r="P67">
            <v>10164</v>
          </cell>
          <cell r="Q67">
            <v>10728.666666666666</v>
          </cell>
          <cell r="R67">
            <v>10728.666666666666</v>
          </cell>
        </row>
        <row r="68">
          <cell r="G68">
            <v>92000</v>
          </cell>
          <cell r="H68">
            <v>92000</v>
          </cell>
          <cell r="I68">
            <v>126500</v>
          </cell>
          <cell r="J68">
            <v>126500</v>
          </cell>
          <cell r="K68">
            <v>155250</v>
          </cell>
          <cell r="L68">
            <v>155250</v>
          </cell>
          <cell r="M68">
            <v>103500</v>
          </cell>
          <cell r="N68">
            <v>103500</v>
          </cell>
          <cell r="O68">
            <v>103500</v>
          </cell>
          <cell r="P68">
            <v>138000</v>
          </cell>
          <cell r="Q68">
            <v>138000</v>
          </cell>
          <cell r="R68">
            <v>126086</v>
          </cell>
        </row>
        <row r="69">
          <cell r="G69">
            <v>239395.86666666667</v>
          </cell>
          <cell r="H69">
            <v>344885.33333333337</v>
          </cell>
          <cell r="I69">
            <v>460633.29666666663</v>
          </cell>
          <cell r="J69">
            <v>480529.29666666663</v>
          </cell>
          <cell r="K69">
            <v>361207.2</v>
          </cell>
          <cell r="L69">
            <v>353735.8666666667</v>
          </cell>
          <cell r="M69">
            <v>299361.19999999995</v>
          </cell>
          <cell r="N69">
            <v>273084.93333333335</v>
          </cell>
          <cell r="O69">
            <v>309545.2</v>
          </cell>
          <cell r="P69">
            <v>331463.19999999995</v>
          </cell>
          <cell r="Q69">
            <v>365783.6</v>
          </cell>
          <cell r="R69">
            <v>354907.46666666667</v>
          </cell>
        </row>
        <row r="70">
          <cell r="G70">
            <v>0</v>
          </cell>
          <cell r="H70">
            <v>0</v>
          </cell>
          <cell r="I70">
            <v>150009.37379999997</v>
          </cell>
          <cell r="J70">
            <v>149999.85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G71">
            <v>117304</v>
          </cell>
          <cell r="H71">
            <v>149028</v>
          </cell>
          <cell r="I71">
            <v>156992</v>
          </cell>
          <cell r="J71">
            <v>171204</v>
          </cell>
          <cell r="K71">
            <v>163152</v>
          </cell>
          <cell r="L71">
            <v>155562</v>
          </cell>
          <cell r="M71">
            <v>155562</v>
          </cell>
          <cell r="N71">
            <v>132308</v>
          </cell>
          <cell r="O71">
            <v>163394</v>
          </cell>
          <cell r="P71">
            <v>146718</v>
          </cell>
          <cell r="Q71">
            <v>178838</v>
          </cell>
          <cell r="R71">
            <v>180664</v>
          </cell>
        </row>
        <row r="72">
          <cell r="G72">
            <v>17024</v>
          </cell>
          <cell r="H72">
            <v>17024</v>
          </cell>
          <cell r="I72">
            <v>18442.666666666668</v>
          </cell>
          <cell r="J72">
            <v>21280</v>
          </cell>
          <cell r="K72">
            <v>21280</v>
          </cell>
          <cell r="L72">
            <v>21280</v>
          </cell>
          <cell r="M72">
            <v>18442.666666666668</v>
          </cell>
          <cell r="N72">
            <v>18442.666666666668</v>
          </cell>
          <cell r="O72">
            <v>19861.333333333332</v>
          </cell>
          <cell r="P72">
            <v>22698.666666666668</v>
          </cell>
          <cell r="Q72">
            <v>22698.666666666668</v>
          </cell>
          <cell r="R72">
            <v>22698.666666666668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3555.0967741935483</v>
          </cell>
          <cell r="H75">
            <v>3555.0967741935483</v>
          </cell>
          <cell r="I75">
            <v>5541.1612903225805</v>
          </cell>
          <cell r="J75">
            <v>6535.2258064516127</v>
          </cell>
          <cell r="K75">
            <v>6535.2258064516127</v>
          </cell>
          <cell r="L75">
            <v>7037.9354838709678</v>
          </cell>
          <cell r="M75">
            <v>6548.6451612903238</v>
          </cell>
          <cell r="N75">
            <v>6548.6451612903238</v>
          </cell>
          <cell r="O75">
            <v>6548.6451612903238</v>
          </cell>
          <cell r="P75">
            <v>9048.7741935483864</v>
          </cell>
          <cell r="Q75">
            <v>9551.4838709677424</v>
          </cell>
          <cell r="R75">
            <v>9551.4838709677424</v>
          </cell>
        </row>
        <row r="76">
          <cell r="G76">
            <v>105000</v>
          </cell>
          <cell r="H76">
            <v>105000</v>
          </cell>
          <cell r="I76">
            <v>105000</v>
          </cell>
          <cell r="J76">
            <v>105000</v>
          </cell>
          <cell r="K76">
            <v>105000</v>
          </cell>
          <cell r="L76">
            <v>105000</v>
          </cell>
          <cell r="M76">
            <v>105000</v>
          </cell>
          <cell r="N76">
            <v>105000</v>
          </cell>
          <cell r="O76">
            <v>105000</v>
          </cell>
          <cell r="P76">
            <v>105000</v>
          </cell>
          <cell r="Q76">
            <v>105000</v>
          </cell>
          <cell r="R76">
            <v>105000</v>
          </cell>
        </row>
        <row r="77">
          <cell r="G77">
            <v>242883.09677419355</v>
          </cell>
          <cell r="H77">
            <v>274607.09677419357</v>
          </cell>
          <cell r="I77">
            <v>435985.20175698923</v>
          </cell>
          <cell r="J77">
            <v>454019.07580645161</v>
          </cell>
          <cell r="K77">
            <v>295967.22580645164</v>
          </cell>
          <cell r="L77">
            <v>288879.93548387097</v>
          </cell>
          <cell r="M77">
            <v>285553.31182795699</v>
          </cell>
          <cell r="N77">
            <v>262299.31182795699</v>
          </cell>
          <cell r="O77">
            <v>294803.97849462368</v>
          </cell>
          <cell r="P77">
            <v>283465.44086021505</v>
          </cell>
          <cell r="Q77">
            <v>316088.15053763438</v>
          </cell>
          <cell r="R77">
            <v>317914.15053763438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45000</v>
          </cell>
          <cell r="H92">
            <v>45000</v>
          </cell>
          <cell r="I92">
            <v>45000</v>
          </cell>
          <cell r="J92">
            <v>54000</v>
          </cell>
          <cell r="K92">
            <v>54000</v>
          </cell>
          <cell r="L92">
            <v>45000</v>
          </cell>
          <cell r="M92">
            <v>45000</v>
          </cell>
          <cell r="N92">
            <v>45000</v>
          </cell>
          <cell r="O92">
            <v>45000</v>
          </cell>
          <cell r="P92">
            <v>45000</v>
          </cell>
          <cell r="Q92">
            <v>45000</v>
          </cell>
          <cell r="R92">
            <v>45000</v>
          </cell>
        </row>
        <row r="93">
          <cell r="G93">
            <v>45000</v>
          </cell>
          <cell r="H93">
            <v>45000</v>
          </cell>
          <cell r="I93">
            <v>45000</v>
          </cell>
          <cell r="J93">
            <v>54000</v>
          </cell>
          <cell r="K93">
            <v>54000</v>
          </cell>
          <cell r="L93">
            <v>45000</v>
          </cell>
          <cell r="M93">
            <v>45000</v>
          </cell>
          <cell r="N93">
            <v>45000</v>
          </cell>
          <cell r="O93">
            <v>45000</v>
          </cell>
          <cell r="P93">
            <v>45000</v>
          </cell>
          <cell r="Q93">
            <v>45000</v>
          </cell>
          <cell r="R93">
            <v>45000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0</v>
          </cell>
          <cell r="H110">
            <v>69983.333333333343</v>
          </cell>
          <cell r="I110">
            <v>289517.20379999996</v>
          </cell>
          <cell r="J110">
            <v>289507.68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G111">
            <v>248501.86666666667</v>
          </cell>
          <cell r="H111">
            <v>315732</v>
          </cell>
          <cell r="I111">
            <v>332103.46666666667</v>
          </cell>
          <cell r="J111">
            <v>363019.46666666667</v>
          </cell>
          <cell r="K111">
            <v>346403.2</v>
          </cell>
          <cell r="L111">
            <v>330770.53333333333</v>
          </cell>
          <cell r="M111">
            <v>330770.53333333333</v>
          </cell>
          <cell r="N111">
            <v>281240.26666666666</v>
          </cell>
          <cell r="O111">
            <v>347759.8666666667</v>
          </cell>
          <cell r="P111">
            <v>313590.53333333333</v>
          </cell>
          <cell r="Q111">
            <v>379466.26666666666</v>
          </cell>
          <cell r="R111">
            <v>382330.1333333333</v>
          </cell>
        </row>
        <row r="112">
          <cell r="G112">
            <v>29344</v>
          </cell>
          <cell r="H112">
            <v>29344</v>
          </cell>
          <cell r="I112">
            <v>31789.333333333336</v>
          </cell>
          <cell r="J112">
            <v>36680</v>
          </cell>
          <cell r="K112">
            <v>36680</v>
          </cell>
          <cell r="L112">
            <v>36680</v>
          </cell>
          <cell r="M112">
            <v>31789.333333333336</v>
          </cell>
          <cell r="N112">
            <v>31789.333333333336</v>
          </cell>
          <cell r="O112">
            <v>34234.666666666664</v>
          </cell>
          <cell r="P112">
            <v>39125.333333333336</v>
          </cell>
          <cell r="Q112">
            <v>39125.333333333336</v>
          </cell>
          <cell r="R112">
            <v>39125.333333333336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7433.0967741935483</v>
          </cell>
          <cell r="H115">
            <v>7433.0967741935483</v>
          </cell>
          <cell r="I115">
            <v>11708.494623655912</v>
          </cell>
          <cell r="J115">
            <v>13841.225806451614</v>
          </cell>
          <cell r="K115">
            <v>13841.225806451614</v>
          </cell>
          <cell r="L115">
            <v>14915.268817204302</v>
          </cell>
          <cell r="M115">
            <v>13854.645161290324</v>
          </cell>
          <cell r="N115">
            <v>13854.645161290324</v>
          </cell>
          <cell r="O115">
            <v>13854.645161290324</v>
          </cell>
          <cell r="P115">
            <v>19212.774193548386</v>
          </cell>
          <cell r="Q115">
            <v>20280.150537634407</v>
          </cell>
          <cell r="R115">
            <v>20280.150537634407</v>
          </cell>
        </row>
        <row r="116">
          <cell r="G116">
            <v>242000</v>
          </cell>
          <cell r="H116">
            <v>242000</v>
          </cell>
          <cell r="I116">
            <v>276500</v>
          </cell>
          <cell r="J116">
            <v>285500</v>
          </cell>
          <cell r="K116">
            <v>314250</v>
          </cell>
          <cell r="L116">
            <v>305250</v>
          </cell>
          <cell r="M116">
            <v>253500</v>
          </cell>
          <cell r="N116">
            <v>253500</v>
          </cell>
          <cell r="O116">
            <v>253500</v>
          </cell>
          <cell r="P116">
            <v>288000</v>
          </cell>
          <cell r="Q116">
            <v>288000</v>
          </cell>
          <cell r="R116">
            <v>276086</v>
          </cell>
        </row>
        <row r="117">
          <cell r="G117">
            <v>527278.96344086027</v>
          </cell>
          <cell r="H117">
            <v>664492.43010752695</v>
          </cell>
          <cell r="I117">
            <v>941618.49842365587</v>
          </cell>
          <cell r="J117">
            <v>988548.37247311836</v>
          </cell>
          <cell r="K117">
            <v>711174.42580645159</v>
          </cell>
          <cell r="L117">
            <v>687615.80215053761</v>
          </cell>
          <cell r="M117">
            <v>629914.51182795689</v>
          </cell>
          <cell r="N117">
            <v>580384.24516129028</v>
          </cell>
          <cell r="O117">
            <v>649349.17849462363</v>
          </cell>
          <cell r="P117">
            <v>659928.64086021506</v>
          </cell>
          <cell r="Q117">
            <v>726871.75053763436</v>
          </cell>
          <cell r="R117">
            <v>717821.61720430106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147395.86666666667</v>
          </cell>
          <cell r="H119">
            <v>252885.33333333334</v>
          </cell>
          <cell r="I119">
            <v>334133.29666666663</v>
          </cell>
          <cell r="J119">
            <v>354029.29666666663</v>
          </cell>
          <cell r="K119">
            <v>205957.2</v>
          </cell>
          <cell r="L119">
            <v>198485.86666666667</v>
          </cell>
          <cell r="M119">
            <v>195861.19999999998</v>
          </cell>
          <cell r="N119">
            <v>169584.93333333332</v>
          </cell>
          <cell r="O119">
            <v>206045.2</v>
          </cell>
          <cell r="P119">
            <v>193463.19999999998</v>
          </cell>
          <cell r="Q119">
            <v>227783.59999999998</v>
          </cell>
          <cell r="R119">
            <v>228821.46666666665</v>
          </cell>
        </row>
        <row r="120">
          <cell r="G120">
            <v>92000</v>
          </cell>
          <cell r="H120">
            <v>92000</v>
          </cell>
          <cell r="I120">
            <v>126500</v>
          </cell>
          <cell r="J120">
            <v>126500</v>
          </cell>
          <cell r="K120">
            <v>155250</v>
          </cell>
          <cell r="L120">
            <v>155250</v>
          </cell>
          <cell r="M120">
            <v>103500</v>
          </cell>
          <cell r="N120">
            <v>103500</v>
          </cell>
          <cell r="O120">
            <v>103500</v>
          </cell>
          <cell r="P120">
            <v>138000</v>
          </cell>
          <cell r="Q120">
            <v>138000</v>
          </cell>
          <cell r="R120">
            <v>126086</v>
          </cell>
        </row>
        <row r="121">
          <cell r="G121">
            <v>239395.86666666667</v>
          </cell>
          <cell r="H121">
            <v>344885.33333333337</v>
          </cell>
          <cell r="I121">
            <v>460633.29666666663</v>
          </cell>
          <cell r="J121">
            <v>480529.29666666663</v>
          </cell>
          <cell r="K121">
            <v>361207.2</v>
          </cell>
          <cell r="L121">
            <v>353735.8666666667</v>
          </cell>
          <cell r="M121">
            <v>299361.19999999995</v>
          </cell>
          <cell r="N121">
            <v>273084.93333333335</v>
          </cell>
          <cell r="O121">
            <v>309545.2</v>
          </cell>
          <cell r="P121">
            <v>331463.19999999995</v>
          </cell>
          <cell r="Q121">
            <v>365783.6</v>
          </cell>
          <cell r="R121">
            <v>354907.46666666667</v>
          </cell>
        </row>
        <row r="122">
          <cell r="G122">
            <v>137883.09677419355</v>
          </cell>
          <cell r="H122">
            <v>169607.09677419355</v>
          </cell>
          <cell r="I122">
            <v>330985.20175698923</v>
          </cell>
          <cell r="J122">
            <v>349019.07580645161</v>
          </cell>
          <cell r="K122">
            <v>190967.22580645161</v>
          </cell>
          <cell r="L122">
            <v>183879.93548387097</v>
          </cell>
          <cell r="M122">
            <v>180553.31182795699</v>
          </cell>
          <cell r="N122">
            <v>157299.31182795699</v>
          </cell>
          <cell r="O122">
            <v>189803.97849462368</v>
          </cell>
          <cell r="P122">
            <v>178465.44086021505</v>
          </cell>
          <cell r="Q122">
            <v>211088.15053763438</v>
          </cell>
          <cell r="R122">
            <v>212914.15053763438</v>
          </cell>
        </row>
        <row r="123">
          <cell r="G123">
            <v>105000</v>
          </cell>
          <cell r="H123">
            <v>105000</v>
          </cell>
          <cell r="I123">
            <v>105000</v>
          </cell>
          <cell r="J123">
            <v>105000</v>
          </cell>
          <cell r="K123">
            <v>105000</v>
          </cell>
          <cell r="L123">
            <v>105000</v>
          </cell>
          <cell r="M123">
            <v>105000</v>
          </cell>
          <cell r="N123">
            <v>105000</v>
          </cell>
          <cell r="O123">
            <v>105000</v>
          </cell>
          <cell r="P123">
            <v>105000</v>
          </cell>
          <cell r="Q123">
            <v>105000</v>
          </cell>
          <cell r="R123">
            <v>105000</v>
          </cell>
        </row>
        <row r="124">
          <cell r="G124">
            <v>242883.09677419355</v>
          </cell>
          <cell r="H124">
            <v>274607.09677419357</v>
          </cell>
          <cell r="I124">
            <v>435985.20175698923</v>
          </cell>
          <cell r="J124">
            <v>454019.07580645161</v>
          </cell>
          <cell r="K124">
            <v>295967.22580645164</v>
          </cell>
          <cell r="L124">
            <v>288879.93548387097</v>
          </cell>
          <cell r="M124">
            <v>285553.31182795699</v>
          </cell>
          <cell r="N124">
            <v>262299.31182795699</v>
          </cell>
          <cell r="O124">
            <v>294803.97849462368</v>
          </cell>
          <cell r="P124">
            <v>283465.44086021505</v>
          </cell>
          <cell r="Q124">
            <v>316088.15053763438</v>
          </cell>
          <cell r="R124">
            <v>317914.15053763438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45000</v>
          </cell>
          <cell r="H129">
            <v>45000</v>
          </cell>
          <cell r="I129">
            <v>45000</v>
          </cell>
          <cell r="J129">
            <v>54000</v>
          </cell>
          <cell r="K129">
            <v>54000</v>
          </cell>
          <cell r="L129">
            <v>45000</v>
          </cell>
          <cell r="M129">
            <v>45000</v>
          </cell>
          <cell r="N129">
            <v>45000</v>
          </cell>
          <cell r="O129">
            <v>45000</v>
          </cell>
          <cell r="P129">
            <v>45000</v>
          </cell>
          <cell r="Q129">
            <v>45000</v>
          </cell>
          <cell r="R129">
            <v>45000</v>
          </cell>
        </row>
        <row r="130">
          <cell r="G130">
            <v>45000</v>
          </cell>
          <cell r="H130">
            <v>45000</v>
          </cell>
          <cell r="I130">
            <v>45000</v>
          </cell>
          <cell r="J130">
            <v>54000</v>
          </cell>
          <cell r="K130">
            <v>54000</v>
          </cell>
          <cell r="L130">
            <v>45000</v>
          </cell>
          <cell r="M130">
            <v>45000</v>
          </cell>
          <cell r="N130">
            <v>45000</v>
          </cell>
          <cell r="O130">
            <v>45000</v>
          </cell>
          <cell r="P130">
            <v>45000</v>
          </cell>
          <cell r="Q130">
            <v>45000</v>
          </cell>
          <cell r="R130">
            <v>45000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285278.96344086021</v>
          </cell>
          <cell r="H137">
            <v>422492.43010752689</v>
          </cell>
          <cell r="I137">
            <v>665118.49842365587</v>
          </cell>
          <cell r="J137">
            <v>703048.37247311824</v>
          </cell>
          <cell r="K137">
            <v>396924.42580645159</v>
          </cell>
          <cell r="L137">
            <v>382365.80215053761</v>
          </cell>
          <cell r="M137">
            <v>376414.511827957</v>
          </cell>
          <cell r="N137">
            <v>326884.24516129028</v>
          </cell>
          <cell r="O137">
            <v>395849.17849462369</v>
          </cell>
          <cell r="P137">
            <v>371928.64086021506</v>
          </cell>
          <cell r="Q137">
            <v>438871.75053763436</v>
          </cell>
          <cell r="R137">
            <v>441735.61720430106</v>
          </cell>
        </row>
        <row r="138">
          <cell r="G138">
            <v>242000</v>
          </cell>
          <cell r="H138">
            <v>242000</v>
          </cell>
          <cell r="I138">
            <v>276500</v>
          </cell>
          <cell r="J138">
            <v>285500</v>
          </cell>
          <cell r="K138">
            <v>314250</v>
          </cell>
          <cell r="L138">
            <v>305250</v>
          </cell>
          <cell r="M138">
            <v>253500</v>
          </cell>
          <cell r="N138">
            <v>253500</v>
          </cell>
          <cell r="O138">
            <v>253500</v>
          </cell>
          <cell r="P138">
            <v>288000</v>
          </cell>
          <cell r="Q138">
            <v>288000</v>
          </cell>
          <cell r="R138">
            <v>276086</v>
          </cell>
        </row>
        <row r="139">
          <cell r="G139">
            <v>527278.96344086016</v>
          </cell>
          <cell r="H139">
            <v>664492.43010752695</v>
          </cell>
          <cell r="I139">
            <v>941618.49842365587</v>
          </cell>
          <cell r="J139">
            <v>988548.37247311824</v>
          </cell>
          <cell r="K139">
            <v>711174.42580645159</v>
          </cell>
          <cell r="L139">
            <v>687615.80215053761</v>
          </cell>
          <cell r="M139">
            <v>629914.511827957</v>
          </cell>
          <cell r="N139">
            <v>580384.24516129028</v>
          </cell>
          <cell r="O139">
            <v>649349.17849462363</v>
          </cell>
          <cell r="P139">
            <v>659928.64086021506</v>
          </cell>
          <cell r="Q139">
            <v>726871.75053763436</v>
          </cell>
          <cell r="R139">
            <v>717821.61720430106</v>
          </cell>
        </row>
      </sheetData>
      <sheetData sheetId="4"/>
      <sheetData sheetId="5">
        <row r="4">
          <cell r="G4" t="str">
            <v>1월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손익요약"/>
      <sheetName val="손익"/>
      <sheetName val="물량"/>
      <sheetName val="매출"/>
      <sheetName val="공헌이익"/>
      <sheetName val="원가"/>
      <sheetName val="제조4"/>
      <sheetName val="제조6"/>
      <sheetName val="본사산출"/>
      <sheetName val="인별예산"/>
      <sheetName val="계정통제"/>
      <sheetName val="2025년_예산요구안_부산크라샤"/>
    </sheetNames>
    <sheetDataSet>
      <sheetData sheetId="0">
        <row r="5">
          <cell r="G5" t="str">
            <v>1월</v>
          </cell>
        </row>
        <row r="26">
          <cell r="G26">
            <v>2315.0289145928145</v>
          </cell>
          <cell r="H26">
            <v>-30784.902507097071</v>
          </cell>
          <cell r="I26">
            <v>-223482.83166666667</v>
          </cell>
        </row>
      </sheetData>
      <sheetData sheetId="1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8000</v>
          </cell>
          <cell r="H7">
            <v>0</v>
          </cell>
          <cell r="I7">
            <v>0</v>
          </cell>
          <cell r="J7">
            <v>0</v>
          </cell>
          <cell r="K7">
            <v>10000</v>
          </cell>
          <cell r="L7">
            <v>10000</v>
          </cell>
          <cell r="M7">
            <v>8000</v>
          </cell>
          <cell r="N7">
            <v>8000</v>
          </cell>
          <cell r="O7">
            <v>8000</v>
          </cell>
          <cell r="P7">
            <v>9000</v>
          </cell>
          <cell r="Q7">
            <v>8000</v>
          </cell>
          <cell r="R7">
            <v>8000</v>
          </cell>
        </row>
        <row r="8">
          <cell r="G8">
            <v>17034.792799999999</v>
          </cell>
          <cell r="H8">
            <v>4496.666666666667</v>
          </cell>
          <cell r="I8">
            <v>0.1</v>
          </cell>
          <cell r="J8">
            <v>0.1</v>
          </cell>
          <cell r="K8">
            <v>21160.626400000001</v>
          </cell>
          <cell r="L8">
            <v>20629.167999999998</v>
          </cell>
          <cell r="M8">
            <v>19160.626400000001</v>
          </cell>
          <cell r="N8">
            <v>17034.792799999999</v>
          </cell>
          <cell r="O8">
            <v>19160.626400000001</v>
          </cell>
          <cell r="P8">
            <v>19097.709600000002</v>
          </cell>
          <cell r="Q8">
            <v>19160.626400000001</v>
          </cell>
          <cell r="R8">
            <v>19692.084799999997</v>
          </cell>
        </row>
        <row r="9">
          <cell r="G9">
            <v>6691.5025666666661</v>
          </cell>
          <cell r="H9">
            <v>7463.6801333333333</v>
          </cell>
          <cell r="I9">
            <v>0</v>
          </cell>
          <cell r="J9">
            <v>0</v>
          </cell>
          <cell r="K9">
            <v>8243.1753333333345</v>
          </cell>
          <cell r="L9">
            <v>7856.5013333333336</v>
          </cell>
          <cell r="M9">
            <v>8242.5813333333335</v>
          </cell>
          <cell r="N9">
            <v>6692.0433333333331</v>
          </cell>
          <cell r="O9">
            <v>8243.3019999999997</v>
          </cell>
          <cell r="P9">
            <v>7463.8453333333327</v>
          </cell>
          <cell r="Q9">
            <v>8257.4467999999997</v>
          </cell>
          <cell r="R9">
            <v>8643.5467999999983</v>
          </cell>
        </row>
        <row r="10">
          <cell r="G10">
            <v>7000</v>
          </cell>
          <cell r="H10">
            <v>0</v>
          </cell>
          <cell r="I10">
            <v>0</v>
          </cell>
          <cell r="J10">
            <v>0</v>
          </cell>
          <cell r="K10">
            <v>8000</v>
          </cell>
          <cell r="L10">
            <v>8000</v>
          </cell>
          <cell r="M10">
            <v>8000</v>
          </cell>
          <cell r="N10">
            <v>7000</v>
          </cell>
          <cell r="O10">
            <v>7000</v>
          </cell>
          <cell r="P10">
            <v>9000</v>
          </cell>
          <cell r="Q10">
            <v>8000</v>
          </cell>
          <cell r="R10">
            <v>7574</v>
          </cell>
        </row>
        <row r="11">
          <cell r="G11">
            <v>13691.502566666666</v>
          </cell>
          <cell r="H11">
            <v>7463.6801333333333</v>
          </cell>
          <cell r="I11">
            <v>0</v>
          </cell>
          <cell r="J11">
            <v>0</v>
          </cell>
          <cell r="K11">
            <v>16243.175333333334</v>
          </cell>
          <cell r="L11">
            <v>15856.501333333334</v>
          </cell>
          <cell r="M11">
            <v>16242.581333333334</v>
          </cell>
          <cell r="N11">
            <v>13692.043333333333</v>
          </cell>
          <cell r="O11">
            <v>15243.302</v>
          </cell>
          <cell r="P11">
            <v>16463.845333333331</v>
          </cell>
          <cell r="Q11">
            <v>16257.4468</v>
          </cell>
          <cell r="R11">
            <v>16217.546799999998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4000</v>
          </cell>
          <cell r="H13">
            <v>0</v>
          </cell>
          <cell r="I13">
            <v>0</v>
          </cell>
          <cell r="J13">
            <v>0</v>
          </cell>
          <cell r="K13">
            <v>4000</v>
          </cell>
          <cell r="L13">
            <v>4000</v>
          </cell>
          <cell r="M13">
            <v>4000</v>
          </cell>
          <cell r="N13">
            <v>4000</v>
          </cell>
          <cell r="O13">
            <v>4000</v>
          </cell>
          <cell r="P13">
            <v>4000</v>
          </cell>
          <cell r="Q13">
            <v>4000</v>
          </cell>
          <cell r="R13">
            <v>4000</v>
          </cell>
        </row>
        <row r="14">
          <cell r="G14">
            <v>4000</v>
          </cell>
          <cell r="H14">
            <v>0</v>
          </cell>
          <cell r="I14">
            <v>0</v>
          </cell>
          <cell r="J14">
            <v>0</v>
          </cell>
          <cell r="K14">
            <v>4000</v>
          </cell>
          <cell r="L14">
            <v>4000</v>
          </cell>
          <cell r="M14">
            <v>4000</v>
          </cell>
          <cell r="N14">
            <v>4000</v>
          </cell>
          <cell r="O14">
            <v>4000</v>
          </cell>
          <cell r="P14">
            <v>4000</v>
          </cell>
          <cell r="Q14">
            <v>4000</v>
          </cell>
          <cell r="R14">
            <v>4000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15726.295366666665</v>
          </cell>
          <cell r="H24">
            <v>11960.346799999999</v>
          </cell>
          <cell r="I24">
            <v>0.1</v>
          </cell>
          <cell r="J24">
            <v>0.1</v>
          </cell>
          <cell r="K24">
            <v>19403.801733333334</v>
          </cell>
          <cell r="L24">
            <v>18485.669333333331</v>
          </cell>
          <cell r="M24">
            <v>19403.207733333333</v>
          </cell>
          <cell r="N24">
            <v>15726.836133333332</v>
          </cell>
          <cell r="O24">
            <v>19403.928399999997</v>
          </cell>
          <cell r="P24">
            <v>17561.554933333333</v>
          </cell>
          <cell r="Q24">
            <v>19418.073199999999</v>
          </cell>
          <cell r="R24">
            <v>20335.631599999997</v>
          </cell>
        </row>
        <row r="25">
          <cell r="G25">
            <v>19000</v>
          </cell>
          <cell r="H25">
            <v>0</v>
          </cell>
          <cell r="I25">
            <v>0</v>
          </cell>
          <cell r="J25">
            <v>0</v>
          </cell>
          <cell r="K25">
            <v>22000</v>
          </cell>
          <cell r="L25">
            <v>22000</v>
          </cell>
          <cell r="M25">
            <v>20000</v>
          </cell>
          <cell r="N25">
            <v>19000</v>
          </cell>
          <cell r="O25">
            <v>19000</v>
          </cell>
          <cell r="P25">
            <v>22000</v>
          </cell>
          <cell r="Q25">
            <v>20000</v>
          </cell>
          <cell r="R25">
            <v>19574</v>
          </cell>
        </row>
        <row r="26">
          <cell r="G26">
            <v>34726.295366666665</v>
          </cell>
          <cell r="H26">
            <v>11960.346799999999</v>
          </cell>
          <cell r="I26">
            <v>0.1</v>
          </cell>
          <cell r="J26">
            <v>0.1</v>
          </cell>
          <cell r="K26">
            <v>41403.801733333334</v>
          </cell>
          <cell r="L26">
            <v>40485.669333333331</v>
          </cell>
          <cell r="M26">
            <v>39403.207733333329</v>
          </cell>
          <cell r="N26">
            <v>34726.836133333331</v>
          </cell>
          <cell r="O26">
            <v>38403.928399999997</v>
          </cell>
          <cell r="P26">
            <v>39561.554933333333</v>
          </cell>
          <cell r="Q26">
            <v>39418.073199999999</v>
          </cell>
          <cell r="R26">
            <v>39909.631599999993</v>
          </cell>
        </row>
        <row r="27">
          <cell r="G27">
            <v>17500.000000000004</v>
          </cell>
          <cell r="H27">
            <v>17500</v>
          </cell>
          <cell r="I27">
            <v>0</v>
          </cell>
          <cell r="J27">
            <v>0</v>
          </cell>
          <cell r="K27">
            <v>17500</v>
          </cell>
          <cell r="L27">
            <v>17500</v>
          </cell>
          <cell r="M27">
            <v>17500</v>
          </cell>
          <cell r="N27">
            <v>17500.000000000004</v>
          </cell>
          <cell r="O27">
            <v>17500</v>
          </cell>
          <cell r="P27">
            <v>17500</v>
          </cell>
          <cell r="Q27">
            <v>17500</v>
          </cell>
          <cell r="R27">
            <v>17500</v>
          </cell>
        </row>
        <row r="28">
          <cell r="G28">
            <v>13000</v>
          </cell>
          <cell r="H28">
            <v>0</v>
          </cell>
          <cell r="I28">
            <v>0</v>
          </cell>
          <cell r="J28">
            <v>0</v>
          </cell>
          <cell r="K28">
            <v>13000</v>
          </cell>
          <cell r="L28">
            <v>13000</v>
          </cell>
          <cell r="M28">
            <v>13000</v>
          </cell>
          <cell r="N28">
            <v>13000</v>
          </cell>
          <cell r="O28">
            <v>13000</v>
          </cell>
          <cell r="P28">
            <v>13000</v>
          </cell>
          <cell r="Q28">
            <v>13000</v>
          </cell>
          <cell r="R28">
            <v>13000</v>
          </cell>
        </row>
        <row r="29">
          <cell r="G29">
            <v>15386.6781402824</v>
          </cell>
          <cell r="H29">
            <v>17500</v>
          </cell>
          <cell r="I29">
            <v>0</v>
          </cell>
          <cell r="J29">
            <v>0</v>
          </cell>
          <cell r="K29">
            <v>15373.4088892567</v>
          </cell>
          <cell r="L29">
            <v>15318.622641494801</v>
          </cell>
          <cell r="M29">
            <v>15621.147020537908</v>
          </cell>
          <cell r="N29">
            <v>15386.6781402824</v>
          </cell>
          <cell r="O29">
            <v>15621.147020537908</v>
          </cell>
          <cell r="P29">
            <v>15379.326848702316</v>
          </cell>
          <cell r="Q29">
            <v>15621.147020537908</v>
          </cell>
          <cell r="R29">
            <v>15671.854307675945</v>
          </cell>
        </row>
        <row r="30">
          <cell r="G30">
            <v>23395.342091004299</v>
          </cell>
          <cell r="H30">
            <v>23406.21793527736</v>
          </cell>
          <cell r="I30">
            <v>0</v>
          </cell>
          <cell r="J30">
            <v>0</v>
          </cell>
          <cell r="K30">
            <v>23409.875223649655</v>
          </cell>
          <cell r="L30">
            <v>23405.841378757905</v>
          </cell>
          <cell r="M30">
            <v>23410.265085241903</v>
          </cell>
          <cell r="N30">
            <v>23394.518266219638</v>
          </cell>
          <cell r="O30">
            <v>23409.792095449131</v>
          </cell>
          <cell r="P30">
            <v>23405.718928795239</v>
          </cell>
          <cell r="Q30">
            <v>23400.868147282523</v>
          </cell>
          <cell r="R30">
            <v>23405.296284159642</v>
          </cell>
        </row>
        <row r="31">
          <cell r="G31">
            <v>18000</v>
          </cell>
          <cell r="H31">
            <v>0</v>
          </cell>
          <cell r="I31">
            <v>0</v>
          </cell>
          <cell r="J31">
            <v>0</v>
          </cell>
          <cell r="K31">
            <v>18000</v>
          </cell>
          <cell r="L31">
            <v>18000</v>
          </cell>
          <cell r="M31">
            <v>18000</v>
          </cell>
          <cell r="N31">
            <v>18000</v>
          </cell>
          <cell r="O31">
            <v>18000</v>
          </cell>
          <cell r="P31">
            <v>18000</v>
          </cell>
          <cell r="Q31">
            <v>18000</v>
          </cell>
          <cell r="R31">
            <v>18000</v>
          </cell>
        </row>
        <row r="32">
          <cell r="G32">
            <v>20636.887023480991</v>
          </cell>
          <cell r="H32">
            <v>23406.21793527736</v>
          </cell>
          <cell r="I32">
            <v>0</v>
          </cell>
          <cell r="J32">
            <v>0</v>
          </cell>
          <cell r="K32">
            <v>20745.433025554157</v>
          </cell>
          <cell r="L32">
            <v>20678.459712340071</v>
          </cell>
          <cell r="M32">
            <v>20745.533427527444</v>
          </cell>
          <cell r="N32">
            <v>20636.593320743705</v>
          </cell>
          <cell r="O32">
            <v>20925.517712632081</v>
          </cell>
          <cell r="P32">
            <v>20450.669888055316</v>
          </cell>
          <cell r="Q32">
            <v>20743.197129822376</v>
          </cell>
          <cell r="R32">
            <v>20880.887718480331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9000</v>
          </cell>
          <cell r="H34">
            <v>0</v>
          </cell>
          <cell r="I34">
            <v>0</v>
          </cell>
          <cell r="J34">
            <v>0</v>
          </cell>
          <cell r="K34">
            <v>9000</v>
          </cell>
          <cell r="L34">
            <v>9000</v>
          </cell>
          <cell r="M34">
            <v>9000</v>
          </cell>
          <cell r="N34">
            <v>9000</v>
          </cell>
          <cell r="O34">
            <v>9000</v>
          </cell>
          <cell r="P34">
            <v>9000</v>
          </cell>
          <cell r="Q34">
            <v>9000</v>
          </cell>
          <cell r="R34">
            <v>9000</v>
          </cell>
        </row>
        <row r="35">
          <cell r="G35">
            <v>9000</v>
          </cell>
          <cell r="H35">
            <v>0</v>
          </cell>
          <cell r="I35">
            <v>0</v>
          </cell>
          <cell r="J35">
            <v>0</v>
          </cell>
          <cell r="K35">
            <v>9000</v>
          </cell>
          <cell r="L35">
            <v>9000</v>
          </cell>
          <cell r="M35">
            <v>9000</v>
          </cell>
          <cell r="N35">
            <v>9000</v>
          </cell>
          <cell r="O35">
            <v>9000</v>
          </cell>
          <cell r="P35">
            <v>9000</v>
          </cell>
          <cell r="Q35">
            <v>9000</v>
          </cell>
          <cell r="R35">
            <v>9000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20008.454522413998</v>
          </cell>
          <cell r="H45">
            <v>21185.689236591923</v>
          </cell>
          <cell r="I45">
            <v>0</v>
          </cell>
          <cell r="J45">
            <v>0</v>
          </cell>
          <cell r="K45">
            <v>20010.649115888376</v>
          </cell>
          <cell r="L45">
            <v>20010.011935732273</v>
          </cell>
          <cell r="M45">
            <v>20010.710668884731</v>
          </cell>
          <cell r="N45">
            <v>20008.220428586992</v>
          </cell>
          <cell r="O45">
            <v>20010.635990596627</v>
          </cell>
          <cell r="P45">
            <v>20009.992585166834</v>
          </cell>
          <cell r="Q45">
            <v>20009.317186012053</v>
          </cell>
          <cell r="R45">
            <v>20010.013251813627</v>
          </cell>
        </row>
        <row r="46">
          <cell r="G46">
            <v>14000</v>
          </cell>
          <cell r="H46">
            <v>0</v>
          </cell>
          <cell r="I46">
            <v>0</v>
          </cell>
          <cell r="J46">
            <v>0</v>
          </cell>
          <cell r="K46">
            <v>14090.909090909092</v>
          </cell>
          <cell r="L46">
            <v>14090.909090909092</v>
          </cell>
          <cell r="M46">
            <v>14200</v>
          </cell>
          <cell r="N46">
            <v>14000</v>
          </cell>
          <cell r="O46">
            <v>14000</v>
          </cell>
          <cell r="P46">
            <v>14318.181818181818</v>
          </cell>
          <cell r="Q46">
            <v>14200</v>
          </cell>
          <cell r="R46">
            <v>14117.298457137018</v>
          </cell>
        </row>
        <row r="47">
          <cell r="G47">
            <v>16721.013846106001</v>
          </cell>
          <cell r="H47">
            <v>21185.689236591923</v>
          </cell>
          <cell r="I47">
            <v>0</v>
          </cell>
          <cell r="J47">
            <v>0</v>
          </cell>
          <cell r="K47">
            <v>16865.182393089937</v>
          </cell>
          <cell r="L47">
            <v>16793.558688684316</v>
          </cell>
          <cell r="M47">
            <v>17061.351465334847</v>
          </cell>
          <cell r="N47">
            <v>16720.959023463551</v>
          </cell>
          <cell r="O47">
            <v>17036.927607645473</v>
          </cell>
          <cell r="P47">
            <v>16844.802615139542</v>
          </cell>
          <cell r="Q47">
            <v>17061.777281391827</v>
          </cell>
          <cell r="R47">
            <v>17119.883857810404</v>
          </cell>
        </row>
        <row r="48">
          <cell r="G48">
            <v>158108.87400000001</v>
          </cell>
          <cell r="H48">
            <v>78691.666666666672</v>
          </cell>
          <cell r="I48">
            <v>0</v>
          </cell>
          <cell r="J48">
            <v>0</v>
          </cell>
          <cell r="K48">
            <v>195310.962</v>
          </cell>
          <cell r="L48">
            <v>186010.44</v>
          </cell>
          <cell r="M48">
            <v>195310.962</v>
          </cell>
          <cell r="N48">
            <v>158108.87400000001</v>
          </cell>
          <cell r="O48">
            <v>195310.962</v>
          </cell>
          <cell r="P48">
            <v>176709.91800000001</v>
          </cell>
          <cell r="Q48">
            <v>195310.962</v>
          </cell>
          <cell r="R48">
            <v>204611.48399999997</v>
          </cell>
        </row>
        <row r="49">
          <cell r="G49">
            <v>104000</v>
          </cell>
          <cell r="H49">
            <v>0</v>
          </cell>
          <cell r="I49">
            <v>0</v>
          </cell>
          <cell r="J49">
            <v>0</v>
          </cell>
          <cell r="K49">
            <v>130000</v>
          </cell>
          <cell r="L49">
            <v>130000</v>
          </cell>
          <cell r="M49">
            <v>104000</v>
          </cell>
          <cell r="N49">
            <v>104000</v>
          </cell>
          <cell r="O49">
            <v>104000</v>
          </cell>
          <cell r="P49">
            <v>117000</v>
          </cell>
          <cell r="Q49">
            <v>104000</v>
          </cell>
          <cell r="R49">
            <v>104000</v>
          </cell>
        </row>
        <row r="50">
          <cell r="G50">
            <v>262108.87400000001</v>
          </cell>
          <cell r="H50">
            <v>78691.666666666672</v>
          </cell>
          <cell r="I50">
            <v>0</v>
          </cell>
          <cell r="J50">
            <v>0</v>
          </cell>
          <cell r="K50">
            <v>325310.962</v>
          </cell>
          <cell r="L50">
            <v>316010.44</v>
          </cell>
          <cell r="M50">
            <v>299310.962</v>
          </cell>
          <cell r="N50">
            <v>262108.87400000001</v>
          </cell>
          <cell r="O50">
            <v>299310.962</v>
          </cell>
          <cell r="P50">
            <v>293709.91800000001</v>
          </cell>
          <cell r="Q50">
            <v>299310.962</v>
          </cell>
          <cell r="R50">
            <v>308611.48399999994</v>
          </cell>
        </row>
        <row r="51">
          <cell r="G51">
            <v>156549.99164999995</v>
          </cell>
          <cell r="H51">
            <v>174696.5238</v>
          </cell>
          <cell r="I51">
            <v>0</v>
          </cell>
          <cell r="J51">
            <v>0</v>
          </cell>
          <cell r="K51">
            <v>192971.70600000001</v>
          </cell>
          <cell r="L51">
            <v>183888.024</v>
          </cell>
          <cell r="M51">
            <v>192961.014</v>
          </cell>
          <cell r="N51">
            <v>156557.13</v>
          </cell>
          <cell r="O51">
            <v>192973.986</v>
          </cell>
          <cell r="P51">
            <v>174696.666</v>
          </cell>
          <cell r="Q51">
            <v>193231.42379999999</v>
          </cell>
          <cell r="R51">
            <v>202304.77379999994</v>
          </cell>
        </row>
        <row r="52">
          <cell r="G52">
            <v>126000</v>
          </cell>
          <cell r="H52">
            <v>0</v>
          </cell>
          <cell r="I52">
            <v>0</v>
          </cell>
          <cell r="J52">
            <v>0</v>
          </cell>
          <cell r="K52">
            <v>144000</v>
          </cell>
          <cell r="L52">
            <v>144000</v>
          </cell>
          <cell r="M52">
            <v>144000</v>
          </cell>
          <cell r="N52">
            <v>126000</v>
          </cell>
          <cell r="O52">
            <v>126000</v>
          </cell>
          <cell r="P52">
            <v>162000</v>
          </cell>
          <cell r="Q52">
            <v>144000</v>
          </cell>
          <cell r="R52">
            <v>136332</v>
          </cell>
        </row>
        <row r="53">
          <cell r="G53">
            <v>282549.99164999998</v>
          </cell>
          <cell r="H53">
            <v>174696.5238</v>
          </cell>
          <cell r="I53">
            <v>0</v>
          </cell>
          <cell r="J53">
            <v>0</v>
          </cell>
          <cell r="K53">
            <v>336971.70600000001</v>
          </cell>
          <cell r="L53">
            <v>327888.02399999998</v>
          </cell>
          <cell r="M53">
            <v>336961.01399999997</v>
          </cell>
          <cell r="N53">
            <v>282557.13</v>
          </cell>
          <cell r="O53">
            <v>318973.98600000003</v>
          </cell>
          <cell r="P53">
            <v>336696.66599999997</v>
          </cell>
          <cell r="Q53">
            <v>337231.42379999999</v>
          </cell>
          <cell r="R53">
            <v>338636.77379999997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36000</v>
          </cell>
          <cell r="H55">
            <v>0</v>
          </cell>
          <cell r="I55">
            <v>0</v>
          </cell>
          <cell r="J55">
            <v>0</v>
          </cell>
          <cell r="K55">
            <v>36000</v>
          </cell>
          <cell r="L55">
            <v>36000</v>
          </cell>
          <cell r="M55">
            <v>36000</v>
          </cell>
          <cell r="N55">
            <v>36000</v>
          </cell>
          <cell r="O55">
            <v>36000</v>
          </cell>
          <cell r="P55">
            <v>36000</v>
          </cell>
          <cell r="Q55">
            <v>36000</v>
          </cell>
          <cell r="R55">
            <v>36000</v>
          </cell>
        </row>
        <row r="56">
          <cell r="G56">
            <v>36000</v>
          </cell>
          <cell r="H56">
            <v>0</v>
          </cell>
          <cell r="I56">
            <v>0</v>
          </cell>
          <cell r="J56">
            <v>0</v>
          </cell>
          <cell r="K56">
            <v>36000</v>
          </cell>
          <cell r="L56">
            <v>36000</v>
          </cell>
          <cell r="M56">
            <v>36000</v>
          </cell>
          <cell r="N56">
            <v>36000</v>
          </cell>
          <cell r="O56">
            <v>36000</v>
          </cell>
          <cell r="P56">
            <v>36000</v>
          </cell>
          <cell r="Q56">
            <v>36000</v>
          </cell>
          <cell r="R56">
            <v>36000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314658.86564999993</v>
          </cell>
          <cell r="H66">
            <v>253388.19046666665</v>
          </cell>
          <cell r="I66">
            <v>0</v>
          </cell>
          <cell r="J66">
            <v>0</v>
          </cell>
          <cell r="K66">
            <v>388282.66800000001</v>
          </cell>
          <cell r="L66">
            <v>369898.46400000004</v>
          </cell>
          <cell r="M66">
            <v>388271.97600000002</v>
          </cell>
          <cell r="N66">
            <v>314666.00400000002</v>
          </cell>
          <cell r="O66">
            <v>388284.94799999997</v>
          </cell>
          <cell r="P66">
            <v>351406.58400000003</v>
          </cell>
          <cell r="Q66">
            <v>388542.38579999999</v>
          </cell>
          <cell r="R66">
            <v>406916.2577999999</v>
          </cell>
        </row>
        <row r="67">
          <cell r="G67">
            <v>266000</v>
          </cell>
          <cell r="H67">
            <v>0</v>
          </cell>
          <cell r="I67">
            <v>0</v>
          </cell>
          <cell r="J67">
            <v>0</v>
          </cell>
          <cell r="K67">
            <v>310000</v>
          </cell>
          <cell r="L67">
            <v>310000</v>
          </cell>
          <cell r="M67">
            <v>284000</v>
          </cell>
          <cell r="N67">
            <v>266000</v>
          </cell>
          <cell r="O67">
            <v>266000</v>
          </cell>
          <cell r="P67">
            <v>315000</v>
          </cell>
          <cell r="Q67">
            <v>284000</v>
          </cell>
          <cell r="R67">
            <v>276332</v>
          </cell>
        </row>
        <row r="68">
          <cell r="G68">
            <v>580658.86564999993</v>
          </cell>
          <cell r="H68">
            <v>253388.19046666665</v>
          </cell>
          <cell r="I68">
            <v>0</v>
          </cell>
          <cell r="J68">
            <v>0</v>
          </cell>
          <cell r="K68">
            <v>698282.66800000006</v>
          </cell>
          <cell r="L68">
            <v>679898.46400000004</v>
          </cell>
          <cell r="M68">
            <v>672271.97600000002</v>
          </cell>
          <cell r="N68">
            <v>580666.00399999996</v>
          </cell>
          <cell r="O68">
            <v>654284.94799999997</v>
          </cell>
          <cell r="P68">
            <v>666406.58400000003</v>
          </cell>
          <cell r="Q68">
            <v>672542.38580000005</v>
          </cell>
          <cell r="R68">
            <v>683248.2577999999</v>
          </cell>
        </row>
        <row r="69">
          <cell r="G69">
            <v>146083.08682380492</v>
          </cell>
          <cell r="H69">
            <v>103896.65511259204</v>
          </cell>
          <cell r="I69">
            <v>223482.83166666667</v>
          </cell>
          <cell r="J69">
            <v>196960.16500000001</v>
          </cell>
          <cell r="K69">
            <v>159323.50326119742</v>
          </cell>
          <cell r="L69">
            <v>161301.74856907059</v>
          </cell>
          <cell r="M69">
            <v>165430.73641040028</v>
          </cell>
          <cell r="N69">
            <v>145842.32633079932</v>
          </cell>
          <cell r="O69">
            <v>173045.30766848318</v>
          </cell>
          <cell r="P69">
            <v>146191.84802834791</v>
          </cell>
          <cell r="Q69">
            <v>161818.4793860018</v>
          </cell>
          <cell r="R69">
            <v>178676.36713612609</v>
          </cell>
        </row>
        <row r="70">
          <cell r="G70">
            <v>129351.5767833037</v>
          </cell>
          <cell r="H70">
            <v>0</v>
          </cell>
          <cell r="I70">
            <v>0</v>
          </cell>
          <cell r="J70">
            <v>0</v>
          </cell>
          <cell r="K70">
            <v>142754.98305471227</v>
          </cell>
          <cell r="L70">
            <v>151753.88004881531</v>
          </cell>
          <cell r="M70">
            <v>118581.68563757338</v>
          </cell>
          <cell r="N70">
            <v>129138.3916016751</v>
          </cell>
          <cell r="O70">
            <v>124039.85329603592</v>
          </cell>
          <cell r="P70">
            <v>130299.51190665369</v>
          </cell>
          <cell r="Q70">
            <v>115992.39941299481</v>
          </cell>
          <cell r="R70">
            <v>122254.58175679747</v>
          </cell>
        </row>
        <row r="71">
          <cell r="G71">
            <v>275434.66360710864</v>
          </cell>
          <cell r="H71">
            <v>103896.65511259204</v>
          </cell>
          <cell r="I71">
            <v>223482.83166666667</v>
          </cell>
          <cell r="J71">
            <v>196960.16500000001</v>
          </cell>
          <cell r="K71">
            <v>302078.48631590966</v>
          </cell>
          <cell r="L71">
            <v>313055.62861788587</v>
          </cell>
          <cell r="M71">
            <v>284012.42204797367</v>
          </cell>
          <cell r="N71">
            <v>274980.71793247445</v>
          </cell>
          <cell r="O71">
            <v>297085.16096451908</v>
          </cell>
          <cell r="P71">
            <v>276491.35993500159</v>
          </cell>
          <cell r="Q71">
            <v>277810.87879899662</v>
          </cell>
          <cell r="R71">
            <v>300930.94889292354</v>
          </cell>
        </row>
        <row r="72">
          <cell r="G72">
            <v>108194.55100598212</v>
          </cell>
          <cell r="H72">
            <v>172450.27442927464</v>
          </cell>
          <cell r="I72">
            <v>0</v>
          </cell>
          <cell r="J72">
            <v>0</v>
          </cell>
          <cell r="K72">
            <v>117675.43550270224</v>
          </cell>
          <cell r="L72">
            <v>119225.45609420241</v>
          </cell>
          <cell r="M72">
            <v>122177.39856393298</v>
          </cell>
          <cell r="N72">
            <v>108024.96407442239</v>
          </cell>
          <cell r="O72">
            <v>127812.24634436493</v>
          </cell>
          <cell r="P72">
            <v>108059.48932000979</v>
          </cell>
          <cell r="Q72">
            <v>119725.13341964448</v>
          </cell>
          <cell r="R72">
            <v>132089.14986616312</v>
          </cell>
        </row>
        <row r="73">
          <cell r="G73">
            <v>113182.62968539074</v>
          </cell>
          <cell r="H73">
            <v>0</v>
          </cell>
          <cell r="I73">
            <v>0</v>
          </cell>
          <cell r="J73">
            <v>0</v>
          </cell>
          <cell r="K73">
            <v>114203.98644376981</v>
          </cell>
          <cell r="L73">
            <v>121403.10403905224</v>
          </cell>
          <cell r="M73">
            <v>118581.68563757338</v>
          </cell>
          <cell r="N73">
            <v>112996.09265146572</v>
          </cell>
          <cell r="O73">
            <v>108534.87163403143</v>
          </cell>
          <cell r="P73">
            <v>130299.51190665369</v>
          </cell>
          <cell r="Q73">
            <v>115992.39941299481</v>
          </cell>
          <cell r="R73">
            <v>115744.52527824801</v>
          </cell>
        </row>
        <row r="74">
          <cell r="G74">
            <v>221377.18069137287</v>
          </cell>
          <cell r="H74">
            <v>172450.27442927464</v>
          </cell>
          <cell r="I74">
            <v>0</v>
          </cell>
          <cell r="J74">
            <v>0</v>
          </cell>
          <cell r="K74">
            <v>231879.42194647205</v>
          </cell>
          <cell r="L74">
            <v>240628.56013325465</v>
          </cell>
          <cell r="M74">
            <v>240759.08420150634</v>
          </cell>
          <cell r="N74">
            <v>221021.05672588811</v>
          </cell>
          <cell r="O74">
            <v>236347.11797839636</v>
          </cell>
          <cell r="P74">
            <v>238359.00122666347</v>
          </cell>
          <cell r="Q74">
            <v>235717.53283263929</v>
          </cell>
          <cell r="R74">
            <v>247833.67514441113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64675.788391651848</v>
          </cell>
          <cell r="H76">
            <v>0</v>
          </cell>
          <cell r="I76">
            <v>0</v>
          </cell>
          <cell r="J76">
            <v>0</v>
          </cell>
          <cell r="K76">
            <v>57101.993221884906</v>
          </cell>
          <cell r="L76">
            <v>60701.55201952612</v>
          </cell>
          <cell r="M76">
            <v>59290.842818786688</v>
          </cell>
          <cell r="N76">
            <v>64569.195800837551</v>
          </cell>
          <cell r="O76">
            <v>62019.926648017958</v>
          </cell>
          <cell r="P76">
            <v>57910.894180734969</v>
          </cell>
          <cell r="Q76">
            <v>57996.199706497406</v>
          </cell>
          <cell r="R76">
            <v>61127.290878398737</v>
          </cell>
        </row>
        <row r="77">
          <cell r="G77">
            <v>64675.788391651848</v>
          </cell>
          <cell r="H77">
            <v>0</v>
          </cell>
          <cell r="I77">
            <v>0</v>
          </cell>
          <cell r="J77">
            <v>0</v>
          </cell>
          <cell r="K77">
            <v>57101.993221884906</v>
          </cell>
          <cell r="L77">
            <v>60701.55201952612</v>
          </cell>
          <cell r="M77">
            <v>59290.842818786688</v>
          </cell>
          <cell r="N77">
            <v>64569.195800837551</v>
          </cell>
          <cell r="O77">
            <v>62019.926648017958</v>
          </cell>
          <cell r="P77">
            <v>57910.894180734969</v>
          </cell>
          <cell r="Q77">
            <v>57996.199706497406</v>
          </cell>
          <cell r="R77">
            <v>61127.290878398737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254277.63782978704</v>
          </cell>
          <cell r="H87">
            <v>276346.92954186664</v>
          </cell>
          <cell r="I87">
            <v>223482.83166666667</v>
          </cell>
          <cell r="J87">
            <v>196960.16500000001</v>
          </cell>
          <cell r="K87">
            <v>276998.93876389967</v>
          </cell>
          <cell r="L87">
            <v>280527.20466327301</v>
          </cell>
          <cell r="M87">
            <v>287608.13497433322</v>
          </cell>
          <cell r="N87">
            <v>253867.29040522169</v>
          </cell>
          <cell r="O87">
            <v>300857.55401284812</v>
          </cell>
          <cell r="P87">
            <v>254251.33734835772</v>
          </cell>
          <cell r="Q87">
            <v>281543.61280564626</v>
          </cell>
          <cell r="R87">
            <v>310765.51700228918</v>
          </cell>
        </row>
        <row r="88">
          <cell r="G88">
            <v>307209.99486034631</v>
          </cell>
          <cell r="H88">
            <v>0</v>
          </cell>
          <cell r="I88">
            <v>0</v>
          </cell>
          <cell r="J88">
            <v>0</v>
          </cell>
          <cell r="K88">
            <v>314060.96272036695</v>
          </cell>
          <cell r="L88">
            <v>333858.53610739368</v>
          </cell>
          <cell r="M88">
            <v>296454.21409393346</v>
          </cell>
          <cell r="N88">
            <v>306703.68005397834</v>
          </cell>
          <cell r="O88">
            <v>294594.65157808532</v>
          </cell>
          <cell r="P88">
            <v>318509.91799404233</v>
          </cell>
          <cell r="Q88">
            <v>289980.99853248702</v>
          </cell>
          <cell r="R88">
            <v>299126.39791344421</v>
          </cell>
        </row>
        <row r="89">
          <cell r="G89">
            <v>561487.63269013329</v>
          </cell>
          <cell r="H89">
            <v>276346.92954186664</v>
          </cell>
          <cell r="I89">
            <v>223482.83166666667</v>
          </cell>
          <cell r="J89">
            <v>196960.16500000001</v>
          </cell>
          <cell r="K89">
            <v>591059.90148426662</v>
          </cell>
          <cell r="L89">
            <v>614385.74077066663</v>
          </cell>
          <cell r="M89">
            <v>584062.34906826669</v>
          </cell>
          <cell r="N89">
            <v>560570.97045919998</v>
          </cell>
          <cell r="O89">
            <v>595452.20559093344</v>
          </cell>
          <cell r="P89">
            <v>572761.25534240005</v>
          </cell>
          <cell r="Q89">
            <v>571524.61133813323</v>
          </cell>
          <cell r="R89">
            <v>609891.91491573339</v>
          </cell>
        </row>
        <row r="90">
          <cell r="G90">
            <v>16168.947097912962</v>
          </cell>
          <cell r="H90">
            <v>23105.260588419282</v>
          </cell>
          <cell r="I90">
            <v>2234828316.6666665</v>
          </cell>
          <cell r="J90">
            <v>1969601650</v>
          </cell>
          <cell r="K90">
            <v>14275.498305471227</v>
          </cell>
          <cell r="L90">
            <v>15175.38800488153</v>
          </cell>
          <cell r="M90">
            <v>14822.710704696672</v>
          </cell>
          <cell r="N90">
            <v>16142.298950209388</v>
          </cell>
          <cell r="O90">
            <v>15504.981662004489</v>
          </cell>
          <cell r="P90">
            <v>14477.723545183742</v>
          </cell>
          <cell r="Q90">
            <v>14499.049926624351</v>
          </cell>
          <cell r="R90">
            <v>15281.822719599684</v>
          </cell>
        </row>
        <row r="91">
          <cell r="G91">
            <v>12025.787176195096</v>
          </cell>
          <cell r="H91">
            <v>-25204.988445925366</v>
          </cell>
          <cell r="I91">
            <v>-223482.83166666667</v>
          </cell>
          <cell r="J91">
            <v>-196960.16500000001</v>
          </cell>
          <cell r="K91">
            <v>35987.458738802583</v>
          </cell>
          <cell r="L91">
            <v>24708.691430929408</v>
          </cell>
          <cell r="M91">
            <v>29880.225589599722</v>
          </cell>
          <cell r="N91">
            <v>12266.547669200692</v>
          </cell>
          <cell r="O91">
            <v>22265.654331516824</v>
          </cell>
          <cell r="P91">
            <v>30518.06997165209</v>
          </cell>
          <cell r="Q91">
            <v>33492.482613998203</v>
          </cell>
          <cell r="R91">
            <v>25935.116863873875</v>
          </cell>
        </row>
        <row r="92">
          <cell r="G92">
            <v>-25351.576783303695</v>
          </cell>
          <cell r="H92">
            <v>0</v>
          </cell>
          <cell r="I92">
            <v>0</v>
          </cell>
          <cell r="J92">
            <v>0</v>
          </cell>
          <cell r="K92">
            <v>-12754.983054712269</v>
          </cell>
          <cell r="L92">
            <v>-21753.880048815307</v>
          </cell>
          <cell r="M92">
            <v>-14581.685637573377</v>
          </cell>
          <cell r="N92">
            <v>-25138.391601675103</v>
          </cell>
          <cell r="O92">
            <v>-20039.853296035915</v>
          </cell>
          <cell r="P92">
            <v>-13299.511906653686</v>
          </cell>
          <cell r="Q92">
            <v>-11992.399412994811</v>
          </cell>
          <cell r="R92">
            <v>-18254.581756797474</v>
          </cell>
        </row>
        <row r="93">
          <cell r="G93">
            <v>-13325.7896071086</v>
          </cell>
          <cell r="H93">
            <v>-25204.988445925366</v>
          </cell>
          <cell r="I93">
            <v>-223482.83166666667</v>
          </cell>
          <cell r="J93">
            <v>-196960.16500000001</v>
          </cell>
          <cell r="K93">
            <v>23232.475684090314</v>
          </cell>
          <cell r="L93">
            <v>2954.8113821141014</v>
          </cell>
          <cell r="M93">
            <v>15298.539952026345</v>
          </cell>
          <cell r="N93">
            <v>-12871.84393247441</v>
          </cell>
          <cell r="O93">
            <v>2225.8010354809085</v>
          </cell>
          <cell r="P93">
            <v>17218.558064998404</v>
          </cell>
          <cell r="Q93">
            <v>21500.083201003392</v>
          </cell>
          <cell r="R93">
            <v>7680.5351070764009</v>
          </cell>
        </row>
        <row r="94">
          <cell r="G94">
            <v>48355.440644017828</v>
          </cell>
          <cell r="H94">
            <v>2246.2493707253598</v>
          </cell>
          <cell r="I94">
            <v>0</v>
          </cell>
          <cell r="J94">
            <v>0</v>
          </cell>
          <cell r="K94">
            <v>75296.270497297766</v>
          </cell>
          <cell r="L94">
            <v>64662.567905797594</v>
          </cell>
          <cell r="M94">
            <v>70783.615436067019</v>
          </cell>
          <cell r="N94">
            <v>48532.165925577618</v>
          </cell>
          <cell r="O94">
            <v>65161.739655635072</v>
          </cell>
          <cell r="P94">
            <v>66637.176679990211</v>
          </cell>
          <cell r="Q94">
            <v>73506.290380355509</v>
          </cell>
          <cell r="R94">
            <v>70215.623933836818</v>
          </cell>
        </row>
        <row r="95">
          <cell r="G95">
            <v>12817.370314609259</v>
          </cell>
          <cell r="H95">
            <v>0</v>
          </cell>
          <cell r="I95">
            <v>0</v>
          </cell>
          <cell r="J95">
            <v>0</v>
          </cell>
          <cell r="K95">
            <v>29796.013556230188</v>
          </cell>
          <cell r="L95">
            <v>22596.895960947761</v>
          </cell>
          <cell r="M95">
            <v>25418.314362426623</v>
          </cell>
          <cell r="N95">
            <v>13003.907348534281</v>
          </cell>
          <cell r="O95">
            <v>17465.128365968572</v>
          </cell>
          <cell r="P95">
            <v>31700.488093346314</v>
          </cell>
          <cell r="Q95">
            <v>28007.600587005189</v>
          </cell>
          <cell r="R95">
            <v>20587.474721751991</v>
          </cell>
        </row>
        <row r="96">
          <cell r="G96">
            <v>61172.810958627088</v>
          </cell>
          <cell r="H96">
            <v>2246.2493707253598</v>
          </cell>
          <cell r="I96">
            <v>0</v>
          </cell>
          <cell r="J96">
            <v>0</v>
          </cell>
          <cell r="K96">
            <v>105092.28405352795</v>
          </cell>
          <cell r="L96">
            <v>87259.463866745355</v>
          </cell>
          <cell r="M96">
            <v>96201.929798493642</v>
          </cell>
          <cell r="N96">
            <v>61536.073274111899</v>
          </cell>
          <cell r="O96">
            <v>82626.868021603645</v>
          </cell>
          <cell r="P96">
            <v>98337.664773336524</v>
          </cell>
          <cell r="Q96">
            <v>101513.8909673607</v>
          </cell>
          <cell r="R96">
            <v>90803.098655588808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-28675.788391651848</v>
          </cell>
          <cell r="H98">
            <v>0</v>
          </cell>
          <cell r="I98">
            <v>0</v>
          </cell>
          <cell r="J98">
            <v>0</v>
          </cell>
          <cell r="K98">
            <v>-21101.993221884906</v>
          </cell>
          <cell r="L98">
            <v>-24701.55201952612</v>
          </cell>
          <cell r="M98">
            <v>-23290.842818786688</v>
          </cell>
          <cell r="N98">
            <v>-28569.195800837551</v>
          </cell>
          <cell r="O98">
            <v>-26019.926648017958</v>
          </cell>
          <cell r="P98">
            <v>-21910.894180734969</v>
          </cell>
          <cell r="Q98">
            <v>-21996.199706497406</v>
          </cell>
          <cell r="R98">
            <v>-25127.290878398737</v>
          </cell>
        </row>
        <row r="99">
          <cell r="G99">
            <v>-28675.788391651848</v>
          </cell>
          <cell r="H99">
            <v>0</v>
          </cell>
          <cell r="I99">
            <v>0</v>
          </cell>
          <cell r="J99">
            <v>0</v>
          </cell>
          <cell r="K99">
            <v>-21101.993221884906</v>
          </cell>
          <cell r="L99">
            <v>-24701.55201952612</v>
          </cell>
          <cell r="M99">
            <v>-23290.842818786688</v>
          </cell>
          <cell r="N99">
            <v>-28569.195800837551</v>
          </cell>
          <cell r="O99">
            <v>-26019.926648017958</v>
          </cell>
          <cell r="P99">
            <v>-21910.894180734969</v>
          </cell>
          <cell r="Q99">
            <v>-21996.199706497406</v>
          </cell>
          <cell r="R99">
            <v>-25127.290878398737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60381.227820212924</v>
          </cell>
          <cell r="H109">
            <v>-22958.739075200006</v>
          </cell>
          <cell r="I109">
            <v>-223482.83166666667</v>
          </cell>
          <cell r="J109">
            <v>-196960.16500000001</v>
          </cell>
          <cell r="K109">
            <v>111283.72923610035</v>
          </cell>
          <cell r="L109">
            <v>89371.259336727002</v>
          </cell>
          <cell r="M109">
            <v>100663.84102566674</v>
          </cell>
          <cell r="N109">
            <v>60798.71359477831</v>
          </cell>
          <cell r="O109">
            <v>87427.393987151896</v>
          </cell>
          <cell r="P109">
            <v>97155.246651642301</v>
          </cell>
          <cell r="Q109">
            <v>106998.77299435371</v>
          </cell>
          <cell r="R109">
            <v>96150.740797710692</v>
          </cell>
        </row>
        <row r="110">
          <cell r="G110">
            <v>-41209.994860346284</v>
          </cell>
          <cell r="H110">
            <v>0</v>
          </cell>
          <cell r="I110">
            <v>0</v>
          </cell>
          <cell r="J110">
            <v>0</v>
          </cell>
          <cell r="K110">
            <v>-4060.9627203669879</v>
          </cell>
          <cell r="L110">
            <v>-23858.536107393666</v>
          </cell>
          <cell r="M110">
            <v>-12454.214093933442</v>
          </cell>
          <cell r="N110">
            <v>-40703.680053978373</v>
          </cell>
          <cell r="O110">
            <v>-28594.651578085301</v>
          </cell>
          <cell r="P110">
            <v>-3509.9179940423419</v>
          </cell>
          <cell r="Q110">
            <v>-5980.9985324870286</v>
          </cell>
          <cell r="R110">
            <v>-22794.39791344422</v>
          </cell>
        </row>
        <row r="111">
          <cell r="G111">
            <v>19171.23295986664</v>
          </cell>
          <cell r="H111">
            <v>-22958.739075200006</v>
          </cell>
          <cell r="I111">
            <v>-223482.83166666667</v>
          </cell>
          <cell r="J111">
            <v>-196960.16500000001</v>
          </cell>
          <cell r="K111">
            <v>107222.76651573335</v>
          </cell>
          <cell r="L111">
            <v>65512.723229333336</v>
          </cell>
          <cell r="M111">
            <v>88209.626931733306</v>
          </cell>
          <cell r="N111">
            <v>20095.033540799937</v>
          </cell>
          <cell r="O111">
            <v>58832.742409066595</v>
          </cell>
          <cell r="P111">
            <v>93645.328657599952</v>
          </cell>
          <cell r="Q111">
            <v>101017.77446186668</v>
          </cell>
          <cell r="R111">
            <v>73356.342884266473</v>
          </cell>
        </row>
        <row r="112">
          <cell r="G112">
            <v>16856.204045273767</v>
          </cell>
          <cell r="H112">
            <v>7826.16343189708</v>
          </cell>
          <cell r="I112">
            <v>0</v>
          </cell>
          <cell r="J112">
            <v>0</v>
          </cell>
          <cell r="K112">
            <v>15698.755219152457</v>
          </cell>
          <cell r="L112">
            <v>17821.994817749423</v>
          </cell>
          <cell r="M112">
            <v>16051.78205212071</v>
          </cell>
          <cell r="N112">
            <v>15863.062395615161</v>
          </cell>
          <cell r="O112">
            <v>17264.937823838532</v>
          </cell>
          <cell r="P112">
            <v>16031.319982833596</v>
          </cell>
          <cell r="Q112">
            <v>15125.007903778645</v>
          </cell>
          <cell r="R112">
            <v>15157.449107527089</v>
          </cell>
        </row>
        <row r="113">
          <cell r="G113">
            <v>2315.0289145928728</v>
          </cell>
          <cell r="H113">
            <v>-30784.902507097086</v>
          </cell>
          <cell r="I113">
            <v>-223482.83166666667</v>
          </cell>
          <cell r="J113">
            <v>-196960.16500000001</v>
          </cell>
          <cell r="K113">
            <v>91524.011296580895</v>
          </cell>
          <cell r="L113">
            <v>47690.728411583914</v>
          </cell>
          <cell r="M113">
            <v>72157.844879612589</v>
          </cell>
          <cell r="N113">
            <v>4231.9711451847761</v>
          </cell>
          <cell r="O113">
            <v>41567.804585228063</v>
          </cell>
          <cell r="P113">
            <v>77614.008674766359</v>
          </cell>
          <cell r="Q113">
            <v>85892.766558088028</v>
          </cell>
          <cell r="R113">
            <v>58198.89377673938</v>
          </cell>
        </row>
        <row r="115">
          <cell r="G115">
            <v>57289.855000000003</v>
          </cell>
          <cell r="H115">
            <v>57706.521666666667</v>
          </cell>
          <cell r="I115">
            <v>57706.521666666667</v>
          </cell>
          <cell r="J115">
            <v>57914.855000000003</v>
          </cell>
          <cell r="K115">
            <v>57914.855000000003</v>
          </cell>
          <cell r="L115">
            <v>57914.855000000003</v>
          </cell>
          <cell r="M115">
            <v>57914.855000000003</v>
          </cell>
          <cell r="N115">
            <v>58123.188333333339</v>
          </cell>
          <cell r="O115">
            <v>58123.188333333339</v>
          </cell>
          <cell r="P115">
            <v>58123.188333333339</v>
          </cell>
          <cell r="Q115">
            <v>58123.188333333339</v>
          </cell>
          <cell r="R115">
            <v>58123.188333333339</v>
          </cell>
        </row>
        <row r="116">
          <cell r="G116">
            <v>59604.88391459288</v>
          </cell>
          <cell r="H116">
            <v>26921.619159569582</v>
          </cell>
          <cell r="I116">
            <v>-165776.31</v>
          </cell>
          <cell r="J116">
            <v>-139045.31</v>
          </cell>
          <cell r="K116">
            <v>149438.86629658091</v>
          </cell>
          <cell r="L116">
            <v>105605.58341158391</v>
          </cell>
          <cell r="M116">
            <v>130072.6998796126</v>
          </cell>
          <cell r="N116">
            <v>62355.159478518115</v>
          </cell>
          <cell r="O116">
            <v>99690.992918561402</v>
          </cell>
          <cell r="P116">
            <v>135737.1970080997</v>
          </cell>
          <cell r="Q116">
            <v>144015.95489142137</v>
          </cell>
          <cell r="R116">
            <v>116322.08211007272</v>
          </cell>
        </row>
        <row r="119">
          <cell r="G119">
            <v>630.36429238703613</v>
          </cell>
          <cell r="H119">
            <v>-9560.4901001611524</v>
          </cell>
          <cell r="I119">
            <v>-60852.629596198458</v>
          </cell>
          <cell r="J119">
            <v>-53630.714612691307</v>
          </cell>
          <cell r="K119">
            <v>25599.436319439166</v>
          </cell>
          <cell r="L119">
            <v>13047.497303596239</v>
          </cell>
          <cell r="M119">
            <v>20963.566238679432</v>
          </cell>
          <cell r="N119">
            <v>1152.3185238267463</v>
          </cell>
          <cell r="O119">
            <v>12408.428356155466</v>
          </cell>
          <cell r="P119">
            <v>20580.77671779013</v>
          </cell>
          <cell r="Q119">
            <v>24943.853680458393</v>
          </cell>
          <cell r="R119">
            <v>17428.748462762647</v>
          </cell>
        </row>
        <row r="120">
          <cell r="G120">
            <v>414.63761488967248</v>
          </cell>
          <cell r="H120">
            <v>0</v>
          </cell>
          <cell r="I120">
            <v>-40027.313571309343</v>
          </cell>
          <cell r="J120">
            <v>-35276.921393544908</v>
          </cell>
          <cell r="K120">
            <v>17039.118989783539</v>
          </cell>
          <cell r="L120">
            <v>9118.7067213405389</v>
          </cell>
          <cell r="M120">
            <v>11162.76765265567</v>
          </cell>
          <cell r="N120">
            <v>757.96584623062722</v>
          </cell>
          <cell r="O120">
            <v>6607.2919606026435</v>
          </cell>
          <cell r="P120">
            <v>13626.574576201461</v>
          </cell>
          <cell r="Q120">
            <v>13282.207799312735</v>
          </cell>
          <cell r="R120">
            <v>8858.6906496769061</v>
          </cell>
        </row>
        <row r="121">
          <cell r="G121">
            <v>624.14918412263592</v>
          </cell>
          <cell r="H121">
            <v>-21224.412406935935</v>
          </cell>
          <cell r="I121">
            <v>-60252.65005154239</v>
          </cell>
          <cell r="J121">
            <v>-53101.939899972698</v>
          </cell>
          <cell r="K121">
            <v>25292.829693811742</v>
          </cell>
          <cell r="L121">
            <v>12898.62277248331</v>
          </cell>
          <cell r="M121">
            <v>20711.336204834977</v>
          </cell>
          <cell r="N121">
            <v>1141.0092069604646</v>
          </cell>
          <cell r="O121">
            <v>12259.95640676199</v>
          </cell>
          <cell r="P121">
            <v>20346.300405664599</v>
          </cell>
          <cell r="Q121">
            <v>24678.268502583309</v>
          </cell>
          <cell r="R121">
            <v>17232.263538914049</v>
          </cell>
        </row>
        <row r="122">
          <cell r="G122">
            <v>502.34941803941092</v>
          </cell>
          <cell r="H122">
            <v>0</v>
          </cell>
          <cell r="I122">
            <v>-48494.629903701709</v>
          </cell>
          <cell r="J122">
            <v>-42739.347072948636</v>
          </cell>
          <cell r="K122">
            <v>18874.101034837153</v>
          </cell>
          <cell r="L122">
            <v>10100.721291331058</v>
          </cell>
          <cell r="M122">
            <v>15456.139826754004</v>
          </cell>
          <cell r="N122">
            <v>918.30477524095215</v>
          </cell>
          <cell r="O122">
            <v>8004.9883368839719</v>
          </cell>
          <cell r="P122">
            <v>18867.564797817406</v>
          </cell>
          <cell r="Q122">
            <v>18390.749260586865</v>
          </cell>
          <cell r="R122">
            <v>11612.721285113001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143.52840515411742</v>
          </cell>
          <cell r="H124">
            <v>0</v>
          </cell>
          <cell r="I124">
            <v>-13855.608543914774</v>
          </cell>
          <cell r="J124">
            <v>-12211.242020842468</v>
          </cell>
          <cell r="K124">
            <v>4718.5252587092882</v>
          </cell>
          <cell r="L124">
            <v>2525.1803228327644</v>
          </cell>
          <cell r="M124">
            <v>3864.0349566885011</v>
          </cell>
          <cell r="N124">
            <v>262.37279292598635</v>
          </cell>
          <cell r="O124">
            <v>2287.1395248239919</v>
          </cell>
          <cell r="P124">
            <v>4192.7921772927575</v>
          </cell>
          <cell r="Q124">
            <v>4597.6873151467162</v>
          </cell>
          <cell r="R124">
            <v>3066.4698402727754</v>
          </cell>
        </row>
        <row r="126">
          <cell r="G126">
            <v>0.27229218970593017</v>
          </cell>
          <cell r="H126">
            <v>0.31055775141587982</v>
          </cell>
          <cell r="I126">
            <v>0</v>
          </cell>
          <cell r="J126">
            <v>0</v>
          </cell>
          <cell r="K126">
            <v>0.27970186136712188</v>
          </cell>
          <cell r="L126">
            <v>0.27358561586631264</v>
          </cell>
          <cell r="M126">
            <v>0.29052372993753944</v>
          </cell>
          <cell r="N126">
            <v>0.27228884231355832</v>
          </cell>
          <cell r="O126">
            <v>0.29851055353943434</v>
          </cell>
          <cell r="P126">
            <v>0.26516832552782821</v>
          </cell>
          <cell r="Q126">
            <v>0.29040691876642755</v>
          </cell>
          <cell r="R126">
            <v>0.29946872408988084</v>
          </cell>
        </row>
        <row r="127">
          <cell r="G127">
            <v>0.17910688383889659</v>
          </cell>
          <cell r="H127">
            <v>0</v>
          </cell>
          <cell r="I127">
            <v>0</v>
          </cell>
          <cell r="J127">
            <v>0</v>
          </cell>
          <cell r="K127">
            <v>0.18617102494086246</v>
          </cell>
          <cell r="L127">
            <v>0.19120502087205773</v>
          </cell>
          <cell r="M127">
            <v>0.15469929390601281</v>
          </cell>
          <cell r="N127">
            <v>0.17910468200924676</v>
          </cell>
          <cell r="O127">
            <v>0.15895215122692996</v>
          </cell>
          <cell r="P127">
            <v>0.17556849348295153</v>
          </cell>
          <cell r="Q127">
            <v>0.15463709380382074</v>
          </cell>
          <cell r="R127">
            <v>0.15221407272207466</v>
          </cell>
        </row>
        <row r="128">
          <cell r="G128">
            <v>0.26960751124458437</v>
          </cell>
          <cell r="H128">
            <v>0.68944224858412029</v>
          </cell>
          <cell r="I128">
            <v>0</v>
          </cell>
          <cell r="J128">
            <v>0</v>
          </cell>
          <cell r="K128">
            <v>0.27635184838928295</v>
          </cell>
          <cell r="L128">
            <v>0.2704639497464727</v>
          </cell>
          <cell r="M128">
            <v>0.28702819824219472</v>
          </cell>
          <cell r="N128">
            <v>0.26961649023971451</v>
          </cell>
          <cell r="O128">
            <v>0.29493875197630254</v>
          </cell>
          <cell r="P128">
            <v>0.26214726894114837</v>
          </cell>
          <cell r="Q128">
            <v>0.28731486353852342</v>
          </cell>
          <cell r="R128">
            <v>0.29609263030015437</v>
          </cell>
        </row>
        <row r="129">
          <cell r="G129">
            <v>0.2169948784971247</v>
          </cell>
          <cell r="H129">
            <v>0</v>
          </cell>
          <cell r="I129">
            <v>0</v>
          </cell>
          <cell r="J129">
            <v>0</v>
          </cell>
          <cell r="K129">
            <v>0.20622021224218612</v>
          </cell>
          <cell r="L129">
            <v>0.21179633081212548</v>
          </cell>
          <cell r="M129">
            <v>0.21419902233140237</v>
          </cell>
          <cell r="N129">
            <v>0.21699221089581819</v>
          </cell>
          <cell r="O129">
            <v>0.1925766447557036</v>
          </cell>
          <cell r="P129">
            <v>0.24309483713024058</v>
          </cell>
          <cell r="Q129">
            <v>0.21411289911298256</v>
          </cell>
          <cell r="R129">
            <v>0.19953508617640273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6.1998536713464204E-2</v>
          </cell>
          <cell r="H131">
            <v>0</v>
          </cell>
          <cell r="I131">
            <v>0</v>
          </cell>
          <cell r="J131">
            <v>0</v>
          </cell>
          <cell r="K131">
            <v>5.155505306054653E-2</v>
          </cell>
          <cell r="L131">
            <v>5.2949082703031371E-2</v>
          </cell>
          <cell r="M131">
            <v>5.3549755582850592E-2</v>
          </cell>
          <cell r="N131">
            <v>6.1997774541662339E-2</v>
          </cell>
          <cell r="O131">
            <v>5.5021898501629599E-2</v>
          </cell>
          <cell r="P131">
            <v>5.4021074917831244E-2</v>
          </cell>
          <cell r="Q131">
            <v>5.3528224778245641E-2</v>
          </cell>
          <cell r="R131">
            <v>5.2689486711487384E-2</v>
          </cell>
        </row>
        <row r="132">
          <cell r="G132">
            <v>1</v>
          </cell>
          <cell r="H132">
            <v>1</v>
          </cell>
          <cell r="I132">
            <v>0</v>
          </cell>
          <cell r="J132">
            <v>0</v>
          </cell>
          <cell r="K132">
            <v>0.99999999999999989</v>
          </cell>
          <cell r="L132">
            <v>0.99999999999999989</v>
          </cell>
          <cell r="M132">
            <v>1</v>
          </cell>
          <cell r="N132">
            <v>1.0000000000000002</v>
          </cell>
          <cell r="O132">
            <v>1</v>
          </cell>
          <cell r="P132">
            <v>1</v>
          </cell>
          <cell r="Q132">
            <v>0.99999999999999989</v>
          </cell>
          <cell r="R132">
            <v>1</v>
          </cell>
        </row>
      </sheetData>
      <sheetData sheetId="2">
        <row r="5"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9034.7927999999993</v>
          </cell>
          <cell r="H6">
            <v>4496.666666666667</v>
          </cell>
          <cell r="I6">
            <v>0.1</v>
          </cell>
          <cell r="J6">
            <v>0.1</v>
          </cell>
          <cell r="K6">
            <v>11160.626399999999</v>
          </cell>
          <cell r="L6">
            <v>10629.168</v>
          </cell>
          <cell r="M6">
            <v>11160.626399999999</v>
          </cell>
          <cell r="N6">
            <v>9034.7927999999993</v>
          </cell>
          <cell r="O6">
            <v>11160.626399999999</v>
          </cell>
          <cell r="P6">
            <v>10097.7096</v>
          </cell>
          <cell r="Q6">
            <v>11160.626399999999</v>
          </cell>
          <cell r="R6">
            <v>11692.084799999999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8000</v>
          </cell>
          <cell r="H12">
            <v>0</v>
          </cell>
          <cell r="I12">
            <v>0</v>
          </cell>
          <cell r="J12">
            <v>0</v>
          </cell>
          <cell r="K12">
            <v>10000</v>
          </cell>
          <cell r="L12">
            <v>10000</v>
          </cell>
          <cell r="M12">
            <v>8000</v>
          </cell>
          <cell r="N12">
            <v>8000</v>
          </cell>
          <cell r="O12">
            <v>8000</v>
          </cell>
          <cell r="P12">
            <v>9000</v>
          </cell>
          <cell r="Q12">
            <v>8000</v>
          </cell>
          <cell r="R12">
            <v>8000</v>
          </cell>
        </row>
        <row r="13">
          <cell r="G13">
            <v>17034.792799999999</v>
          </cell>
          <cell r="H13">
            <v>4496.666666666667</v>
          </cell>
          <cell r="I13">
            <v>0.1</v>
          </cell>
          <cell r="J13">
            <v>0.1</v>
          </cell>
          <cell r="K13">
            <v>21160.626400000001</v>
          </cell>
          <cell r="L13">
            <v>20629.167999999998</v>
          </cell>
          <cell r="M13">
            <v>19160.626400000001</v>
          </cell>
          <cell r="N13">
            <v>17034.792799999999</v>
          </cell>
          <cell r="O13">
            <v>19160.626400000001</v>
          </cell>
          <cell r="P13">
            <v>19097.709600000002</v>
          </cell>
          <cell r="Q13">
            <v>19160.626400000001</v>
          </cell>
          <cell r="R13">
            <v>19692.084799999997</v>
          </cell>
        </row>
        <row r="14">
          <cell r="G14">
            <v>6564.1718999999994</v>
          </cell>
          <cell r="H14">
            <v>7336.4147999999996</v>
          </cell>
          <cell r="I14">
            <v>0</v>
          </cell>
          <cell r="J14">
            <v>0</v>
          </cell>
          <cell r="K14">
            <v>8108.1</v>
          </cell>
          <cell r="L14">
            <v>7722</v>
          </cell>
          <cell r="M14">
            <v>8108.1</v>
          </cell>
          <cell r="N14">
            <v>6563.7</v>
          </cell>
          <cell r="O14">
            <v>8108.1</v>
          </cell>
          <cell r="P14">
            <v>7335.9</v>
          </cell>
          <cell r="Q14">
            <v>8108.6147999999994</v>
          </cell>
          <cell r="R14">
            <v>8494.7147999999979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127.33066666666667</v>
          </cell>
          <cell r="H17">
            <v>127.26533333333333</v>
          </cell>
          <cell r="I17">
            <v>0</v>
          </cell>
          <cell r="J17">
            <v>0</v>
          </cell>
          <cell r="K17">
            <v>135.0753333333333</v>
          </cell>
          <cell r="L17">
            <v>134.50133333333332</v>
          </cell>
          <cell r="M17">
            <v>134.48133333333334</v>
          </cell>
          <cell r="N17">
            <v>128.34333333333333</v>
          </cell>
          <cell r="O17">
            <v>135.20200000000003</v>
          </cell>
          <cell r="P17">
            <v>127.94533333333334</v>
          </cell>
          <cell r="Q17">
            <v>148.83200000000002</v>
          </cell>
          <cell r="R17">
            <v>148.83200000000002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7000</v>
          </cell>
          <cell r="H20">
            <v>0</v>
          </cell>
          <cell r="I20">
            <v>0</v>
          </cell>
          <cell r="J20">
            <v>0</v>
          </cell>
          <cell r="K20">
            <v>8000</v>
          </cell>
          <cell r="L20">
            <v>8000</v>
          </cell>
          <cell r="M20">
            <v>8000</v>
          </cell>
          <cell r="N20">
            <v>7000</v>
          </cell>
          <cell r="O20">
            <v>7000</v>
          </cell>
          <cell r="P20">
            <v>9000</v>
          </cell>
          <cell r="Q20">
            <v>8000</v>
          </cell>
          <cell r="R20">
            <v>7574</v>
          </cell>
        </row>
        <row r="21">
          <cell r="G21">
            <v>13691.502566666666</v>
          </cell>
          <cell r="H21">
            <v>7463.6801333333333</v>
          </cell>
          <cell r="I21">
            <v>0</v>
          </cell>
          <cell r="J21">
            <v>0</v>
          </cell>
          <cell r="K21">
            <v>16243.175333333334</v>
          </cell>
          <cell r="L21">
            <v>15856.501333333334</v>
          </cell>
          <cell r="M21">
            <v>16242.581333333334</v>
          </cell>
          <cell r="N21">
            <v>13692.043333333333</v>
          </cell>
          <cell r="O21">
            <v>15243.302</v>
          </cell>
          <cell r="P21">
            <v>16463.845333333331</v>
          </cell>
          <cell r="Q21">
            <v>16257.4468</v>
          </cell>
          <cell r="R21">
            <v>16217.546799999998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4000</v>
          </cell>
          <cell r="H28">
            <v>0</v>
          </cell>
          <cell r="I28">
            <v>0</v>
          </cell>
          <cell r="J28">
            <v>0</v>
          </cell>
          <cell r="K28">
            <v>4000</v>
          </cell>
          <cell r="L28">
            <v>4000</v>
          </cell>
          <cell r="M28">
            <v>4000</v>
          </cell>
          <cell r="N28">
            <v>4000</v>
          </cell>
          <cell r="O28">
            <v>4000</v>
          </cell>
          <cell r="P28">
            <v>4000</v>
          </cell>
          <cell r="Q28">
            <v>4000</v>
          </cell>
          <cell r="R28">
            <v>4000</v>
          </cell>
        </row>
        <row r="29">
          <cell r="G29">
            <v>4000</v>
          </cell>
          <cell r="H29">
            <v>0</v>
          </cell>
          <cell r="I29">
            <v>0</v>
          </cell>
          <cell r="J29">
            <v>0</v>
          </cell>
          <cell r="K29">
            <v>4000</v>
          </cell>
          <cell r="L29">
            <v>4000</v>
          </cell>
          <cell r="M29">
            <v>4000</v>
          </cell>
          <cell r="N29">
            <v>4000</v>
          </cell>
          <cell r="O29">
            <v>4000</v>
          </cell>
          <cell r="P29">
            <v>4000</v>
          </cell>
          <cell r="Q29">
            <v>4000</v>
          </cell>
          <cell r="R29">
            <v>4000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15598.964699999999</v>
          </cell>
          <cell r="H54">
            <v>11833.081466666667</v>
          </cell>
          <cell r="I54">
            <v>0.1</v>
          </cell>
          <cell r="J54">
            <v>0.1</v>
          </cell>
          <cell r="K54">
            <v>19268.7264</v>
          </cell>
          <cell r="L54">
            <v>18351.167999999998</v>
          </cell>
          <cell r="M54">
            <v>19268.7264</v>
          </cell>
          <cell r="N54">
            <v>15598.4928</v>
          </cell>
          <cell r="O54">
            <v>19268.7264</v>
          </cell>
          <cell r="P54">
            <v>17433.6096</v>
          </cell>
          <cell r="Q54">
            <v>19269.241199999997</v>
          </cell>
          <cell r="R54">
            <v>20186.799599999998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127.33066666666667</v>
          </cell>
          <cell r="H57">
            <v>127.26533333333333</v>
          </cell>
          <cell r="I57">
            <v>0</v>
          </cell>
          <cell r="J57">
            <v>0</v>
          </cell>
          <cell r="K57">
            <v>135.0753333333333</v>
          </cell>
          <cell r="L57">
            <v>134.50133333333332</v>
          </cell>
          <cell r="M57">
            <v>134.48133333333334</v>
          </cell>
          <cell r="N57">
            <v>128.34333333333333</v>
          </cell>
          <cell r="O57">
            <v>135.20200000000003</v>
          </cell>
          <cell r="P57">
            <v>127.94533333333334</v>
          </cell>
          <cell r="Q57">
            <v>148.83200000000002</v>
          </cell>
          <cell r="R57">
            <v>148.83200000000002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19000</v>
          </cell>
          <cell r="H60">
            <v>0</v>
          </cell>
          <cell r="I60">
            <v>0</v>
          </cell>
          <cell r="J60">
            <v>0</v>
          </cell>
          <cell r="K60">
            <v>22000</v>
          </cell>
          <cell r="L60">
            <v>22000</v>
          </cell>
          <cell r="M60">
            <v>20000</v>
          </cell>
          <cell r="N60">
            <v>19000</v>
          </cell>
          <cell r="O60">
            <v>19000</v>
          </cell>
          <cell r="P60">
            <v>22000</v>
          </cell>
          <cell r="Q60">
            <v>20000</v>
          </cell>
          <cell r="R60">
            <v>19574</v>
          </cell>
        </row>
        <row r="61">
          <cell r="G61">
            <v>34726.295366666665</v>
          </cell>
          <cell r="H61">
            <v>11960.346799999999</v>
          </cell>
          <cell r="I61">
            <v>0.1</v>
          </cell>
          <cell r="J61">
            <v>0.1</v>
          </cell>
          <cell r="K61">
            <v>41403.801733333334</v>
          </cell>
          <cell r="L61">
            <v>40485.669333333331</v>
          </cell>
          <cell r="M61">
            <v>39403.207733333329</v>
          </cell>
          <cell r="N61">
            <v>34726.836133333331</v>
          </cell>
          <cell r="O61">
            <v>38403.928400000004</v>
          </cell>
          <cell r="P61">
            <v>39561.554933333333</v>
          </cell>
          <cell r="Q61">
            <v>39418.073199999999</v>
          </cell>
          <cell r="R61">
            <v>39909.631599999993</v>
          </cell>
        </row>
        <row r="63">
          <cell r="G63">
            <v>9034.7927999999993</v>
          </cell>
          <cell r="H63">
            <v>4496.666666666667</v>
          </cell>
          <cell r="I63">
            <v>0.1</v>
          </cell>
          <cell r="J63">
            <v>0.1</v>
          </cell>
          <cell r="K63">
            <v>11160.626399999999</v>
          </cell>
          <cell r="L63">
            <v>10629.168</v>
          </cell>
          <cell r="M63">
            <v>11160.626399999999</v>
          </cell>
          <cell r="N63">
            <v>9034.7927999999993</v>
          </cell>
          <cell r="O63">
            <v>11160.626399999999</v>
          </cell>
          <cell r="P63">
            <v>10097.7096</v>
          </cell>
          <cell r="Q63">
            <v>11160.626399999999</v>
          </cell>
          <cell r="R63">
            <v>11692.084799999999</v>
          </cell>
        </row>
        <row r="64">
          <cell r="G64">
            <v>8000</v>
          </cell>
          <cell r="H64">
            <v>0</v>
          </cell>
          <cell r="I64">
            <v>0</v>
          </cell>
          <cell r="J64">
            <v>0</v>
          </cell>
          <cell r="K64">
            <v>10000</v>
          </cell>
          <cell r="L64">
            <v>10000</v>
          </cell>
          <cell r="M64">
            <v>8000</v>
          </cell>
          <cell r="N64">
            <v>8000</v>
          </cell>
          <cell r="O64">
            <v>8000</v>
          </cell>
          <cell r="P64">
            <v>9000</v>
          </cell>
          <cell r="Q64">
            <v>8000</v>
          </cell>
          <cell r="R64">
            <v>8000</v>
          </cell>
        </row>
        <row r="65">
          <cell r="G65">
            <v>17034.792799999999</v>
          </cell>
          <cell r="H65">
            <v>4496.666666666667</v>
          </cell>
          <cell r="I65">
            <v>0.1</v>
          </cell>
          <cell r="J65">
            <v>0.1</v>
          </cell>
          <cell r="K65">
            <v>21160.626400000001</v>
          </cell>
          <cell r="L65">
            <v>20629.167999999998</v>
          </cell>
          <cell r="M65">
            <v>19160.626400000001</v>
          </cell>
          <cell r="N65">
            <v>17034.792799999999</v>
          </cell>
          <cell r="O65">
            <v>19160.626400000001</v>
          </cell>
          <cell r="P65">
            <v>19097.709600000002</v>
          </cell>
          <cell r="Q65">
            <v>19160.626400000001</v>
          </cell>
          <cell r="R65">
            <v>19692.084799999997</v>
          </cell>
        </row>
        <row r="66">
          <cell r="G66">
            <v>6691.5025666666661</v>
          </cell>
          <cell r="H66">
            <v>7463.6801333333333</v>
          </cell>
          <cell r="I66">
            <v>0</v>
          </cell>
          <cell r="J66">
            <v>0</v>
          </cell>
          <cell r="K66">
            <v>8243.1753333333345</v>
          </cell>
          <cell r="L66">
            <v>7856.5013333333336</v>
          </cell>
          <cell r="M66">
            <v>8242.5813333333335</v>
          </cell>
          <cell r="N66">
            <v>6692.0433333333331</v>
          </cell>
          <cell r="O66">
            <v>8243.3019999999997</v>
          </cell>
          <cell r="P66">
            <v>7463.8453333333327</v>
          </cell>
          <cell r="Q66">
            <v>8257.4467999999997</v>
          </cell>
          <cell r="R66">
            <v>8643.5467999999983</v>
          </cell>
        </row>
        <row r="67">
          <cell r="G67">
            <v>7000</v>
          </cell>
          <cell r="H67">
            <v>0</v>
          </cell>
          <cell r="I67">
            <v>0</v>
          </cell>
          <cell r="J67">
            <v>0</v>
          </cell>
          <cell r="K67">
            <v>8000</v>
          </cell>
          <cell r="L67">
            <v>8000</v>
          </cell>
          <cell r="M67">
            <v>8000</v>
          </cell>
          <cell r="N67">
            <v>7000</v>
          </cell>
          <cell r="O67">
            <v>7000</v>
          </cell>
          <cell r="P67">
            <v>9000</v>
          </cell>
          <cell r="Q67">
            <v>8000</v>
          </cell>
          <cell r="R67">
            <v>7574</v>
          </cell>
        </row>
        <row r="68">
          <cell r="G68">
            <v>13691.502566666666</v>
          </cell>
          <cell r="H68">
            <v>7463.6801333333333</v>
          </cell>
          <cell r="I68">
            <v>0</v>
          </cell>
          <cell r="J68">
            <v>0</v>
          </cell>
          <cell r="K68">
            <v>16243.175333333334</v>
          </cell>
          <cell r="L68">
            <v>15856.501333333334</v>
          </cell>
          <cell r="M68">
            <v>16242.581333333334</v>
          </cell>
          <cell r="N68">
            <v>13692.043333333333</v>
          </cell>
          <cell r="O68">
            <v>15243.302</v>
          </cell>
          <cell r="P68">
            <v>16463.845333333331</v>
          </cell>
          <cell r="Q68">
            <v>16257.4468</v>
          </cell>
          <cell r="R68">
            <v>16217.546799999998</v>
          </cell>
        </row>
        <row r="69"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G70">
            <v>4000</v>
          </cell>
          <cell r="H70">
            <v>0</v>
          </cell>
          <cell r="I70">
            <v>0</v>
          </cell>
          <cell r="J70">
            <v>0</v>
          </cell>
          <cell r="K70">
            <v>4000</v>
          </cell>
          <cell r="L70">
            <v>4000</v>
          </cell>
          <cell r="M70">
            <v>4000</v>
          </cell>
          <cell r="N70">
            <v>4000</v>
          </cell>
          <cell r="O70">
            <v>4000</v>
          </cell>
          <cell r="P70">
            <v>4000</v>
          </cell>
          <cell r="Q70">
            <v>4000</v>
          </cell>
          <cell r="R70">
            <v>4000</v>
          </cell>
        </row>
        <row r="71">
          <cell r="G71">
            <v>4000</v>
          </cell>
          <cell r="H71">
            <v>0</v>
          </cell>
          <cell r="I71">
            <v>0</v>
          </cell>
          <cell r="J71">
            <v>0</v>
          </cell>
          <cell r="K71">
            <v>4000</v>
          </cell>
          <cell r="L71">
            <v>4000</v>
          </cell>
          <cell r="M71">
            <v>4000</v>
          </cell>
          <cell r="N71">
            <v>4000</v>
          </cell>
          <cell r="O71">
            <v>4000</v>
          </cell>
          <cell r="P71">
            <v>4000</v>
          </cell>
          <cell r="Q71">
            <v>4000</v>
          </cell>
          <cell r="R71">
            <v>4000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15726.295366666665</v>
          </cell>
          <cell r="H81">
            <v>11960.346799999999</v>
          </cell>
          <cell r="I81">
            <v>0.1</v>
          </cell>
          <cell r="J81">
            <v>0.1</v>
          </cell>
          <cell r="K81">
            <v>19403.801733333334</v>
          </cell>
          <cell r="L81">
            <v>18485.669333333331</v>
          </cell>
          <cell r="M81">
            <v>19403.207733333333</v>
          </cell>
          <cell r="N81">
            <v>15726.836133333332</v>
          </cell>
          <cell r="O81">
            <v>19403.928399999997</v>
          </cell>
          <cell r="P81">
            <v>17561.554933333333</v>
          </cell>
          <cell r="Q81">
            <v>19418.073199999999</v>
          </cell>
          <cell r="R81">
            <v>20335.631599999997</v>
          </cell>
        </row>
        <row r="82">
          <cell r="G82">
            <v>19000</v>
          </cell>
          <cell r="H82">
            <v>0</v>
          </cell>
          <cell r="I82">
            <v>0</v>
          </cell>
          <cell r="J82">
            <v>0</v>
          </cell>
          <cell r="K82">
            <v>22000</v>
          </cell>
          <cell r="L82">
            <v>22000</v>
          </cell>
          <cell r="M82">
            <v>20000</v>
          </cell>
          <cell r="N82">
            <v>19000</v>
          </cell>
          <cell r="O82">
            <v>19000</v>
          </cell>
          <cell r="P82">
            <v>22000</v>
          </cell>
          <cell r="Q82">
            <v>20000</v>
          </cell>
          <cell r="R82">
            <v>19574</v>
          </cell>
        </row>
        <row r="83">
          <cell r="G83">
            <v>34726.295366666665</v>
          </cell>
          <cell r="H83">
            <v>11960.346799999999</v>
          </cell>
          <cell r="I83">
            <v>0.1</v>
          </cell>
          <cell r="J83">
            <v>0.1</v>
          </cell>
          <cell r="K83">
            <v>41403.801733333334</v>
          </cell>
          <cell r="L83">
            <v>40485.669333333331</v>
          </cell>
          <cell r="M83">
            <v>39403.207733333329</v>
          </cell>
          <cell r="N83">
            <v>34726.836133333331</v>
          </cell>
          <cell r="O83">
            <v>38403.928399999997</v>
          </cell>
          <cell r="P83">
            <v>39561.554933333333</v>
          </cell>
          <cell r="Q83">
            <v>39418.073199999999</v>
          </cell>
          <cell r="R83">
            <v>39909.631599999993</v>
          </cell>
        </row>
      </sheetData>
      <sheetData sheetId="3">
        <row r="5">
          <cell r="F5" t="str">
            <v>연간</v>
          </cell>
          <cell r="G5" t="str">
            <v>1월</v>
          </cell>
          <cell r="H5" t="str">
            <v>2월</v>
          </cell>
          <cell r="I5" t="str">
            <v>3월</v>
          </cell>
          <cell r="J5" t="str">
            <v>4월</v>
          </cell>
          <cell r="K5" t="str">
            <v>5월</v>
          </cell>
          <cell r="L5" t="str">
            <v>6월</v>
          </cell>
          <cell r="M5" t="str">
            <v>7월</v>
          </cell>
          <cell r="N5" t="str">
            <v>8월</v>
          </cell>
          <cell r="O5" t="str">
            <v>9월</v>
          </cell>
          <cell r="P5" t="str">
            <v>10월</v>
          </cell>
          <cell r="Q5" t="str">
            <v>11월</v>
          </cell>
          <cell r="R5" t="str">
            <v>12월</v>
          </cell>
        </row>
        <row r="6">
          <cell r="G6">
            <v>17500</v>
          </cell>
          <cell r="H6">
            <v>17500</v>
          </cell>
          <cell r="I6">
            <v>0</v>
          </cell>
          <cell r="J6">
            <v>0</v>
          </cell>
          <cell r="K6">
            <v>17500</v>
          </cell>
          <cell r="L6">
            <v>17500</v>
          </cell>
          <cell r="M6">
            <v>17500</v>
          </cell>
          <cell r="N6">
            <v>17500</v>
          </cell>
          <cell r="O6">
            <v>17500</v>
          </cell>
          <cell r="P6">
            <v>17500</v>
          </cell>
          <cell r="Q6">
            <v>17500</v>
          </cell>
          <cell r="R6">
            <v>17500</v>
          </cell>
        </row>
        <row r="7"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13000</v>
          </cell>
          <cell r="H12">
            <v>0</v>
          </cell>
          <cell r="I12">
            <v>0</v>
          </cell>
          <cell r="J12">
            <v>0</v>
          </cell>
          <cell r="K12">
            <v>13000</v>
          </cell>
          <cell r="L12">
            <v>13000</v>
          </cell>
          <cell r="M12">
            <v>13000</v>
          </cell>
          <cell r="N12">
            <v>13000</v>
          </cell>
          <cell r="O12">
            <v>13000</v>
          </cell>
          <cell r="P12">
            <v>13000</v>
          </cell>
          <cell r="Q12">
            <v>13000</v>
          </cell>
          <cell r="R12">
            <v>13000</v>
          </cell>
        </row>
        <row r="13">
          <cell r="G13">
            <v>15386.6781402824</v>
          </cell>
          <cell r="H13">
            <v>17500</v>
          </cell>
          <cell r="I13">
            <v>0</v>
          </cell>
          <cell r="J13">
            <v>0</v>
          </cell>
          <cell r="K13">
            <v>15373.4088892567</v>
          </cell>
          <cell r="L13">
            <v>15318.622641494801</v>
          </cell>
          <cell r="M13">
            <v>15621.147020537908</v>
          </cell>
          <cell r="N13">
            <v>15386.6781402824</v>
          </cell>
          <cell r="O13">
            <v>15621.147020537908</v>
          </cell>
          <cell r="P13">
            <v>15379.326848702316</v>
          </cell>
          <cell r="Q13">
            <v>15621.147020537908</v>
          </cell>
          <cell r="R13">
            <v>15671.854307675945</v>
          </cell>
        </row>
        <row r="14">
          <cell r="G14">
            <v>23500</v>
          </cell>
          <cell r="H14">
            <v>23500</v>
          </cell>
          <cell r="I14">
            <v>0</v>
          </cell>
          <cell r="J14">
            <v>0</v>
          </cell>
          <cell r="K14">
            <v>23500</v>
          </cell>
          <cell r="L14">
            <v>23500</v>
          </cell>
          <cell r="M14">
            <v>23500</v>
          </cell>
          <cell r="N14">
            <v>23500</v>
          </cell>
          <cell r="O14">
            <v>23500</v>
          </cell>
          <cell r="P14">
            <v>23500</v>
          </cell>
          <cell r="Q14">
            <v>23500</v>
          </cell>
          <cell r="R14">
            <v>23500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G17">
            <v>18000</v>
          </cell>
          <cell r="H17">
            <v>18000</v>
          </cell>
          <cell r="I17">
            <v>0</v>
          </cell>
          <cell r="J17">
            <v>0</v>
          </cell>
          <cell r="K17">
            <v>18000</v>
          </cell>
          <cell r="L17">
            <v>18000</v>
          </cell>
          <cell r="M17">
            <v>18000</v>
          </cell>
          <cell r="N17">
            <v>18000</v>
          </cell>
          <cell r="O17">
            <v>18000</v>
          </cell>
          <cell r="P17">
            <v>18000</v>
          </cell>
          <cell r="Q17">
            <v>18000</v>
          </cell>
          <cell r="R17">
            <v>18000</v>
          </cell>
        </row>
        <row r="18"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18000</v>
          </cell>
          <cell r="H20">
            <v>0</v>
          </cell>
          <cell r="I20">
            <v>0</v>
          </cell>
          <cell r="J20">
            <v>0</v>
          </cell>
          <cell r="K20">
            <v>18000</v>
          </cell>
          <cell r="L20">
            <v>18000</v>
          </cell>
          <cell r="M20">
            <v>18000</v>
          </cell>
          <cell r="N20">
            <v>18000</v>
          </cell>
          <cell r="O20">
            <v>18000</v>
          </cell>
          <cell r="P20">
            <v>18000</v>
          </cell>
          <cell r="Q20">
            <v>18000</v>
          </cell>
          <cell r="R20">
            <v>18000</v>
          </cell>
        </row>
        <row r="21">
          <cell r="G21">
            <v>20636.887023480991</v>
          </cell>
          <cell r="H21">
            <v>23406.21793527736</v>
          </cell>
          <cell r="I21">
            <v>0</v>
          </cell>
          <cell r="J21">
            <v>0</v>
          </cell>
          <cell r="K21">
            <v>20745.433025554157</v>
          </cell>
          <cell r="L21">
            <v>20678.459712340071</v>
          </cell>
          <cell r="M21">
            <v>20745.533427527444</v>
          </cell>
          <cell r="N21">
            <v>20636.593320743705</v>
          </cell>
          <cell r="O21">
            <v>20925.517712632081</v>
          </cell>
          <cell r="P21">
            <v>20450.669888055316</v>
          </cell>
          <cell r="Q21">
            <v>20743.197129822376</v>
          </cell>
          <cell r="R21">
            <v>20880.887718480331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9000</v>
          </cell>
          <cell r="H28">
            <v>0</v>
          </cell>
          <cell r="I28">
            <v>0</v>
          </cell>
          <cell r="J28">
            <v>0</v>
          </cell>
          <cell r="K28">
            <v>9000</v>
          </cell>
          <cell r="L28">
            <v>9000</v>
          </cell>
          <cell r="M28">
            <v>9000</v>
          </cell>
          <cell r="N28">
            <v>9000</v>
          </cell>
          <cell r="O28">
            <v>9000</v>
          </cell>
          <cell r="P28">
            <v>9000</v>
          </cell>
          <cell r="Q28">
            <v>9000</v>
          </cell>
          <cell r="R28">
            <v>9000</v>
          </cell>
        </row>
        <row r="29">
          <cell r="G29">
            <v>9000</v>
          </cell>
          <cell r="H29">
            <v>0</v>
          </cell>
          <cell r="I29">
            <v>0</v>
          </cell>
          <cell r="J29">
            <v>0</v>
          </cell>
          <cell r="K29">
            <v>9000</v>
          </cell>
          <cell r="L29">
            <v>9000</v>
          </cell>
          <cell r="M29">
            <v>9000</v>
          </cell>
          <cell r="N29">
            <v>9000</v>
          </cell>
          <cell r="O29">
            <v>9000</v>
          </cell>
          <cell r="P29">
            <v>9000</v>
          </cell>
          <cell r="Q29">
            <v>9000</v>
          </cell>
          <cell r="R29">
            <v>9000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20024.849062579135</v>
          </cell>
          <cell r="H54">
            <v>21219.951470291013</v>
          </cell>
          <cell r="I54">
            <v>0</v>
          </cell>
          <cell r="J54">
            <v>0</v>
          </cell>
          <cell r="K54">
            <v>20024.743929105767</v>
          </cell>
          <cell r="L54">
            <v>20024.743929105767</v>
          </cell>
          <cell r="M54">
            <v>20024.743929105767</v>
          </cell>
          <cell r="N54">
            <v>20024.743929105767</v>
          </cell>
          <cell r="O54">
            <v>20024.743929105767</v>
          </cell>
          <cell r="P54">
            <v>20024.743929105764</v>
          </cell>
          <cell r="Q54">
            <v>20024.83677457938</v>
          </cell>
          <cell r="R54">
            <v>20024.832554438195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18000</v>
          </cell>
          <cell r="H57">
            <v>18000</v>
          </cell>
          <cell r="I57">
            <v>0</v>
          </cell>
          <cell r="J57">
            <v>0</v>
          </cell>
          <cell r="K57">
            <v>18000</v>
          </cell>
          <cell r="L57">
            <v>18000</v>
          </cell>
          <cell r="M57">
            <v>18000</v>
          </cell>
          <cell r="N57">
            <v>18000</v>
          </cell>
          <cell r="O57">
            <v>18000</v>
          </cell>
          <cell r="P57">
            <v>18000</v>
          </cell>
          <cell r="Q57">
            <v>18000</v>
          </cell>
          <cell r="R57">
            <v>18000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14000</v>
          </cell>
          <cell r="H60">
            <v>0</v>
          </cell>
          <cell r="I60">
            <v>0</v>
          </cell>
          <cell r="J60">
            <v>0</v>
          </cell>
          <cell r="K60">
            <v>14090.909090909092</v>
          </cell>
          <cell r="L60">
            <v>14090.909090909092</v>
          </cell>
          <cell r="M60">
            <v>14200</v>
          </cell>
          <cell r="N60">
            <v>14000</v>
          </cell>
          <cell r="O60">
            <v>14000</v>
          </cell>
          <cell r="P60">
            <v>14318.181818181818</v>
          </cell>
          <cell r="Q60">
            <v>14200</v>
          </cell>
          <cell r="R60">
            <v>14117.298457137018</v>
          </cell>
        </row>
        <row r="61">
          <cell r="G61">
            <v>16721.013846106005</v>
          </cell>
          <cell r="H61">
            <v>21185.689236591923</v>
          </cell>
          <cell r="I61">
            <v>0</v>
          </cell>
          <cell r="J61">
            <v>0</v>
          </cell>
          <cell r="K61">
            <v>16865.182393089937</v>
          </cell>
          <cell r="L61">
            <v>16793.558688684312</v>
          </cell>
          <cell r="M61">
            <v>17061.351465334847</v>
          </cell>
          <cell r="N61">
            <v>16720.959023463551</v>
          </cell>
          <cell r="O61">
            <v>17036.927607645473</v>
          </cell>
          <cell r="P61">
            <v>16844.802615139542</v>
          </cell>
          <cell r="Q61">
            <v>17061.777281391827</v>
          </cell>
          <cell r="R61">
            <v>17119.883857810404</v>
          </cell>
        </row>
        <row r="62">
          <cell r="G62">
            <v>158108.87400000001</v>
          </cell>
          <cell r="H62">
            <v>78691.666666666672</v>
          </cell>
          <cell r="I62">
            <v>0</v>
          </cell>
          <cell r="J62">
            <v>0</v>
          </cell>
          <cell r="K62">
            <v>195310.962</v>
          </cell>
          <cell r="L62">
            <v>186010.44</v>
          </cell>
          <cell r="M62">
            <v>195310.962</v>
          </cell>
          <cell r="N62">
            <v>158108.87400000001</v>
          </cell>
          <cell r="O62">
            <v>195310.962</v>
          </cell>
          <cell r="P62">
            <v>176709.91800000001</v>
          </cell>
          <cell r="Q62">
            <v>195310.962</v>
          </cell>
          <cell r="R62">
            <v>204611.48399999997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68">
          <cell r="G68">
            <v>104000</v>
          </cell>
          <cell r="H68">
            <v>0</v>
          </cell>
          <cell r="I68">
            <v>0</v>
          </cell>
          <cell r="J68">
            <v>0</v>
          </cell>
          <cell r="K68">
            <v>130000</v>
          </cell>
          <cell r="L68">
            <v>130000</v>
          </cell>
          <cell r="M68">
            <v>104000</v>
          </cell>
          <cell r="N68">
            <v>104000</v>
          </cell>
          <cell r="O68">
            <v>104000</v>
          </cell>
          <cell r="P68">
            <v>117000</v>
          </cell>
          <cell r="Q68">
            <v>104000</v>
          </cell>
          <cell r="R68">
            <v>104000</v>
          </cell>
        </row>
        <row r="69">
          <cell r="G69">
            <v>262108.87400000001</v>
          </cell>
          <cell r="H69">
            <v>78691.666666666672</v>
          </cell>
          <cell r="I69">
            <v>0</v>
          </cell>
          <cell r="J69">
            <v>0</v>
          </cell>
          <cell r="K69">
            <v>325310.962</v>
          </cell>
          <cell r="L69">
            <v>316010.44</v>
          </cell>
          <cell r="M69">
            <v>299310.962</v>
          </cell>
          <cell r="N69">
            <v>262108.87400000001</v>
          </cell>
          <cell r="O69">
            <v>299310.962</v>
          </cell>
          <cell r="P69">
            <v>293709.91800000001</v>
          </cell>
          <cell r="Q69">
            <v>299310.962</v>
          </cell>
          <cell r="R69">
            <v>308611.48399999994</v>
          </cell>
        </row>
        <row r="70">
          <cell r="G70">
            <v>154258.03964999996</v>
          </cell>
          <cell r="H70">
            <v>172405.74779999998</v>
          </cell>
          <cell r="I70">
            <v>0</v>
          </cell>
          <cell r="J70">
            <v>0</v>
          </cell>
          <cell r="K70">
            <v>190540.35</v>
          </cell>
          <cell r="L70">
            <v>181467</v>
          </cell>
          <cell r="M70">
            <v>190540.35</v>
          </cell>
          <cell r="N70">
            <v>154246.95000000001</v>
          </cell>
          <cell r="O70">
            <v>190540.35</v>
          </cell>
          <cell r="P70">
            <v>172393.65</v>
          </cell>
          <cell r="Q70">
            <v>190552.44779999999</v>
          </cell>
          <cell r="R70">
            <v>199625.79779999994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2291.9520000000002</v>
          </cell>
          <cell r="H73">
            <v>2290.7759999999998</v>
          </cell>
          <cell r="I73">
            <v>0</v>
          </cell>
          <cell r="J73">
            <v>0</v>
          </cell>
          <cell r="K73">
            <v>2431.3559999999993</v>
          </cell>
          <cell r="L73">
            <v>2421.0239999999999</v>
          </cell>
          <cell r="M73">
            <v>2420.6640000000002</v>
          </cell>
          <cell r="N73">
            <v>2310.1799999999998</v>
          </cell>
          <cell r="O73">
            <v>2433.6360000000004</v>
          </cell>
          <cell r="P73">
            <v>2303.0160000000001</v>
          </cell>
          <cell r="Q73">
            <v>2678.9760000000006</v>
          </cell>
          <cell r="R73">
            <v>2678.9760000000006</v>
          </cell>
        </row>
        <row r="74"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126000</v>
          </cell>
          <cell r="H76">
            <v>0</v>
          </cell>
          <cell r="I76">
            <v>0</v>
          </cell>
          <cell r="J76">
            <v>0</v>
          </cell>
          <cell r="K76">
            <v>144000</v>
          </cell>
          <cell r="L76">
            <v>144000</v>
          </cell>
          <cell r="M76">
            <v>144000</v>
          </cell>
          <cell r="N76">
            <v>126000</v>
          </cell>
          <cell r="O76">
            <v>126000</v>
          </cell>
          <cell r="P76">
            <v>162000</v>
          </cell>
          <cell r="Q76">
            <v>144000</v>
          </cell>
          <cell r="R76">
            <v>136332</v>
          </cell>
        </row>
        <row r="77">
          <cell r="G77">
            <v>282549.99164999998</v>
          </cell>
          <cell r="H77">
            <v>174696.5238</v>
          </cell>
          <cell r="I77">
            <v>0</v>
          </cell>
          <cell r="J77">
            <v>0</v>
          </cell>
          <cell r="K77">
            <v>336971.70600000001</v>
          </cell>
          <cell r="L77">
            <v>327888.02399999998</v>
          </cell>
          <cell r="M77">
            <v>336961.01399999997</v>
          </cell>
          <cell r="N77">
            <v>282557.13</v>
          </cell>
          <cell r="O77">
            <v>318973.98600000003</v>
          </cell>
          <cell r="P77">
            <v>336696.66599999997</v>
          </cell>
          <cell r="Q77">
            <v>337231.42379999999</v>
          </cell>
          <cell r="R77">
            <v>338636.77379999997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G84">
            <v>36000</v>
          </cell>
          <cell r="H84">
            <v>0</v>
          </cell>
          <cell r="I84">
            <v>0</v>
          </cell>
          <cell r="J84">
            <v>0</v>
          </cell>
          <cell r="K84">
            <v>36000</v>
          </cell>
          <cell r="L84">
            <v>36000</v>
          </cell>
          <cell r="M84">
            <v>36000</v>
          </cell>
          <cell r="N84">
            <v>36000</v>
          </cell>
          <cell r="O84">
            <v>36000</v>
          </cell>
          <cell r="P84">
            <v>36000</v>
          </cell>
          <cell r="Q84">
            <v>36000</v>
          </cell>
          <cell r="R84">
            <v>36000</v>
          </cell>
        </row>
        <row r="85">
          <cell r="G85">
            <v>36000</v>
          </cell>
          <cell r="H85">
            <v>0</v>
          </cell>
          <cell r="I85">
            <v>0</v>
          </cell>
          <cell r="J85">
            <v>0</v>
          </cell>
          <cell r="K85">
            <v>36000</v>
          </cell>
          <cell r="L85">
            <v>36000</v>
          </cell>
          <cell r="M85">
            <v>36000</v>
          </cell>
          <cell r="N85">
            <v>36000</v>
          </cell>
          <cell r="O85">
            <v>36000</v>
          </cell>
          <cell r="P85">
            <v>36000</v>
          </cell>
          <cell r="Q85">
            <v>36000</v>
          </cell>
          <cell r="R85">
            <v>36000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</row>
        <row r="110">
          <cell r="G110">
            <v>312366.91365</v>
          </cell>
          <cell r="H110">
            <v>251097.41446666664</v>
          </cell>
          <cell r="I110">
            <v>0</v>
          </cell>
          <cell r="J110">
            <v>0</v>
          </cell>
          <cell r="K110">
            <v>385851.31200000003</v>
          </cell>
          <cell r="L110">
            <v>367477.44</v>
          </cell>
          <cell r="M110">
            <v>385851.31200000003</v>
          </cell>
          <cell r="N110">
            <v>312355.82400000002</v>
          </cell>
          <cell r="O110">
            <v>385851.31200000003</v>
          </cell>
          <cell r="P110">
            <v>349103.56799999997</v>
          </cell>
          <cell r="Q110">
            <v>385863.40980000002</v>
          </cell>
          <cell r="R110">
            <v>404237.28179999988</v>
          </cell>
        </row>
        <row r="111"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</row>
        <row r="113">
          <cell r="G113">
            <v>2291.9520000000002</v>
          </cell>
          <cell r="H113">
            <v>2290.7759999999998</v>
          </cell>
          <cell r="I113">
            <v>0</v>
          </cell>
          <cell r="J113">
            <v>0</v>
          </cell>
          <cell r="K113">
            <v>2431.3559999999993</v>
          </cell>
          <cell r="L113">
            <v>2421.0239999999999</v>
          </cell>
          <cell r="M113">
            <v>2420.6640000000002</v>
          </cell>
          <cell r="N113">
            <v>2310.1799999999998</v>
          </cell>
          <cell r="O113">
            <v>2433.6360000000004</v>
          </cell>
          <cell r="P113">
            <v>2303.0160000000001</v>
          </cell>
          <cell r="Q113">
            <v>2678.9760000000006</v>
          </cell>
          <cell r="R113">
            <v>2678.9760000000006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266000</v>
          </cell>
          <cell r="H116">
            <v>0</v>
          </cell>
          <cell r="I116">
            <v>0</v>
          </cell>
          <cell r="J116">
            <v>0</v>
          </cell>
          <cell r="K116">
            <v>310000</v>
          </cell>
          <cell r="L116">
            <v>310000</v>
          </cell>
          <cell r="M116">
            <v>284000</v>
          </cell>
          <cell r="N116">
            <v>266000</v>
          </cell>
          <cell r="O116">
            <v>266000</v>
          </cell>
          <cell r="P116">
            <v>315000</v>
          </cell>
          <cell r="Q116">
            <v>284000</v>
          </cell>
          <cell r="R116">
            <v>276332</v>
          </cell>
        </row>
        <row r="117">
          <cell r="G117">
            <v>580658.86565000005</v>
          </cell>
          <cell r="H117">
            <v>253388.19046666665</v>
          </cell>
          <cell r="I117">
            <v>0</v>
          </cell>
          <cell r="J117">
            <v>0</v>
          </cell>
          <cell r="K117">
            <v>698282.66800000006</v>
          </cell>
          <cell r="L117">
            <v>679898.46399999992</v>
          </cell>
          <cell r="M117">
            <v>672271.97600000002</v>
          </cell>
          <cell r="N117">
            <v>580666.00399999996</v>
          </cell>
          <cell r="O117">
            <v>654284.94800000009</v>
          </cell>
          <cell r="P117">
            <v>666406.58400000003</v>
          </cell>
          <cell r="Q117">
            <v>672542.38580000005</v>
          </cell>
          <cell r="R117">
            <v>683248.2577999999</v>
          </cell>
        </row>
        <row r="118"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</row>
        <row r="119">
          <cell r="G119">
            <v>158108.87400000001</v>
          </cell>
          <cell r="H119">
            <v>78691.666666666672</v>
          </cell>
          <cell r="I119">
            <v>0</v>
          </cell>
          <cell r="J119">
            <v>0</v>
          </cell>
          <cell r="K119">
            <v>195310.962</v>
          </cell>
          <cell r="L119">
            <v>186010.44</v>
          </cell>
          <cell r="M119">
            <v>195310.962</v>
          </cell>
          <cell r="N119">
            <v>158108.87400000001</v>
          </cell>
          <cell r="O119">
            <v>195310.962</v>
          </cell>
          <cell r="P119">
            <v>176709.91800000001</v>
          </cell>
          <cell r="Q119">
            <v>195310.962</v>
          </cell>
          <cell r="R119">
            <v>204611.48399999997</v>
          </cell>
        </row>
        <row r="120">
          <cell r="G120">
            <v>104000</v>
          </cell>
          <cell r="H120">
            <v>0</v>
          </cell>
          <cell r="I120">
            <v>0</v>
          </cell>
          <cell r="J120">
            <v>0</v>
          </cell>
          <cell r="K120">
            <v>130000</v>
          </cell>
          <cell r="L120">
            <v>130000</v>
          </cell>
          <cell r="M120">
            <v>104000</v>
          </cell>
          <cell r="N120">
            <v>104000</v>
          </cell>
          <cell r="O120">
            <v>104000</v>
          </cell>
          <cell r="P120">
            <v>117000</v>
          </cell>
          <cell r="Q120">
            <v>104000</v>
          </cell>
          <cell r="R120">
            <v>104000</v>
          </cell>
        </row>
        <row r="121">
          <cell r="G121">
            <v>262108.87400000001</v>
          </cell>
          <cell r="H121">
            <v>78691.666666666672</v>
          </cell>
          <cell r="I121">
            <v>0</v>
          </cell>
          <cell r="J121">
            <v>0</v>
          </cell>
          <cell r="K121">
            <v>325310.962</v>
          </cell>
          <cell r="L121">
            <v>316010.44</v>
          </cell>
          <cell r="M121">
            <v>299310.962</v>
          </cell>
          <cell r="N121">
            <v>262108.87400000001</v>
          </cell>
          <cell r="O121">
            <v>299310.962</v>
          </cell>
          <cell r="P121">
            <v>293709.91800000001</v>
          </cell>
          <cell r="Q121">
            <v>299310.962</v>
          </cell>
          <cell r="R121">
            <v>308611.48399999994</v>
          </cell>
        </row>
        <row r="122">
          <cell r="G122">
            <v>156549.99164999995</v>
          </cell>
          <cell r="H122">
            <v>174696.5238</v>
          </cell>
          <cell r="I122">
            <v>0</v>
          </cell>
          <cell r="J122">
            <v>0</v>
          </cell>
          <cell r="K122">
            <v>192971.70600000001</v>
          </cell>
          <cell r="L122">
            <v>183888.024</v>
          </cell>
          <cell r="M122">
            <v>192961.014</v>
          </cell>
          <cell r="N122">
            <v>156557.13</v>
          </cell>
          <cell r="O122">
            <v>192973.986</v>
          </cell>
          <cell r="P122">
            <v>174696.666</v>
          </cell>
          <cell r="Q122">
            <v>193231.42379999999</v>
          </cell>
          <cell r="R122">
            <v>202304.77379999994</v>
          </cell>
        </row>
        <row r="123">
          <cell r="G123">
            <v>126000</v>
          </cell>
          <cell r="H123">
            <v>0</v>
          </cell>
          <cell r="I123">
            <v>0</v>
          </cell>
          <cell r="J123">
            <v>0</v>
          </cell>
          <cell r="K123">
            <v>144000</v>
          </cell>
          <cell r="L123">
            <v>144000</v>
          </cell>
          <cell r="M123">
            <v>144000</v>
          </cell>
          <cell r="N123">
            <v>126000</v>
          </cell>
          <cell r="O123">
            <v>126000</v>
          </cell>
          <cell r="P123">
            <v>162000</v>
          </cell>
          <cell r="Q123">
            <v>144000</v>
          </cell>
          <cell r="R123">
            <v>136332</v>
          </cell>
        </row>
        <row r="124">
          <cell r="G124">
            <v>282549.99164999998</v>
          </cell>
          <cell r="H124">
            <v>174696.5238</v>
          </cell>
          <cell r="I124">
            <v>0</v>
          </cell>
          <cell r="J124">
            <v>0</v>
          </cell>
          <cell r="K124">
            <v>336971.70600000001</v>
          </cell>
          <cell r="L124">
            <v>327888.02399999998</v>
          </cell>
          <cell r="M124">
            <v>336961.01399999997</v>
          </cell>
          <cell r="N124">
            <v>282557.13</v>
          </cell>
          <cell r="O124">
            <v>318973.98600000003</v>
          </cell>
          <cell r="P124">
            <v>336696.66599999997</v>
          </cell>
          <cell r="Q124">
            <v>337231.42379999999</v>
          </cell>
          <cell r="R124">
            <v>338636.77379999997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36000</v>
          </cell>
          <cell r="H126">
            <v>0</v>
          </cell>
          <cell r="I126">
            <v>0</v>
          </cell>
          <cell r="J126">
            <v>0</v>
          </cell>
          <cell r="K126">
            <v>36000</v>
          </cell>
          <cell r="L126">
            <v>36000</v>
          </cell>
          <cell r="M126">
            <v>36000</v>
          </cell>
          <cell r="N126">
            <v>36000</v>
          </cell>
          <cell r="O126">
            <v>36000</v>
          </cell>
          <cell r="P126">
            <v>36000</v>
          </cell>
          <cell r="Q126">
            <v>36000</v>
          </cell>
          <cell r="R126">
            <v>36000</v>
          </cell>
        </row>
        <row r="127">
          <cell r="G127">
            <v>36000</v>
          </cell>
          <cell r="H127">
            <v>0</v>
          </cell>
          <cell r="I127">
            <v>0</v>
          </cell>
          <cell r="J127">
            <v>0</v>
          </cell>
          <cell r="K127">
            <v>36000</v>
          </cell>
          <cell r="L127">
            <v>36000</v>
          </cell>
          <cell r="M127">
            <v>36000</v>
          </cell>
          <cell r="N127">
            <v>36000</v>
          </cell>
          <cell r="O127">
            <v>36000</v>
          </cell>
          <cell r="P127">
            <v>36000</v>
          </cell>
          <cell r="Q127">
            <v>36000</v>
          </cell>
          <cell r="R127">
            <v>36000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</row>
        <row r="134"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G137">
            <v>314658.86564999993</v>
          </cell>
          <cell r="H137">
            <v>253388.19046666665</v>
          </cell>
          <cell r="I137">
            <v>0</v>
          </cell>
          <cell r="J137">
            <v>0</v>
          </cell>
          <cell r="K137">
            <v>388282.66800000001</v>
          </cell>
          <cell r="L137">
            <v>369898.46400000004</v>
          </cell>
          <cell r="M137">
            <v>388271.97600000002</v>
          </cell>
          <cell r="N137">
            <v>314666.00400000002</v>
          </cell>
          <cell r="O137">
            <v>388284.94799999997</v>
          </cell>
          <cell r="P137">
            <v>351406.58400000003</v>
          </cell>
          <cell r="Q137">
            <v>388542.38579999999</v>
          </cell>
          <cell r="R137">
            <v>406916.2577999999</v>
          </cell>
        </row>
        <row r="138">
          <cell r="G138">
            <v>266000</v>
          </cell>
          <cell r="H138">
            <v>0</v>
          </cell>
          <cell r="I138">
            <v>0</v>
          </cell>
          <cell r="J138">
            <v>0</v>
          </cell>
          <cell r="K138">
            <v>310000</v>
          </cell>
          <cell r="L138">
            <v>310000</v>
          </cell>
          <cell r="M138">
            <v>284000</v>
          </cell>
          <cell r="N138">
            <v>266000</v>
          </cell>
          <cell r="O138">
            <v>266000</v>
          </cell>
          <cell r="P138">
            <v>315000</v>
          </cell>
          <cell r="Q138">
            <v>284000</v>
          </cell>
          <cell r="R138">
            <v>276332</v>
          </cell>
        </row>
        <row r="139">
          <cell r="G139">
            <v>580658.86564999993</v>
          </cell>
          <cell r="H139">
            <v>253388.19046666665</v>
          </cell>
          <cell r="I139">
            <v>0</v>
          </cell>
          <cell r="J139">
            <v>0</v>
          </cell>
          <cell r="K139">
            <v>698282.66800000006</v>
          </cell>
          <cell r="L139">
            <v>679898.46400000004</v>
          </cell>
          <cell r="M139">
            <v>672271.97600000002</v>
          </cell>
          <cell r="N139">
            <v>580666.00399999996</v>
          </cell>
          <cell r="O139">
            <v>654284.94799999997</v>
          </cell>
          <cell r="P139">
            <v>666406.58400000003</v>
          </cell>
          <cell r="Q139">
            <v>672542.38580000005</v>
          </cell>
          <cell r="R139">
            <v>683248.2577999999</v>
          </cell>
        </row>
      </sheetData>
      <sheetData sheetId="4"/>
      <sheetData sheetId="5">
        <row r="4">
          <cell r="G4" t="str">
            <v>1월</v>
          </cell>
        </row>
      </sheetData>
      <sheetData sheetId="6">
        <row r="11">
          <cell r="I11">
            <v>6670.41</v>
          </cell>
        </row>
      </sheetData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손익계획"/>
      <sheetName val="판매계획"/>
      <sheetName val="이송계획"/>
      <sheetName val="원가계획"/>
      <sheetName val="제조4"/>
      <sheetName val="제조6"/>
      <sheetName val="본사산출"/>
      <sheetName val="인별예산"/>
      <sheetName val="계정통제"/>
      <sheetName val="2025년_예산요구안_부산모래장"/>
    </sheetNames>
    <sheetDataSet>
      <sheetData sheetId="0"/>
      <sheetData sheetId="1">
        <row r="5">
          <cell r="E5" t="str">
            <v>구분</v>
          </cell>
        </row>
        <row r="25">
          <cell r="G25">
            <v>5810.597273551457</v>
          </cell>
          <cell r="H25">
            <v>206498.76680537529</v>
          </cell>
          <cell r="I25">
            <v>-18125.732238335695</v>
          </cell>
        </row>
      </sheetData>
      <sheetData sheetId="2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0</v>
          </cell>
          <cell r="H7">
            <v>2000</v>
          </cell>
          <cell r="I7">
            <v>5000</v>
          </cell>
          <cell r="J7">
            <v>2000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G8">
            <v>5000</v>
          </cell>
          <cell r="H8">
            <v>5000</v>
          </cell>
          <cell r="I8">
            <v>0</v>
          </cell>
          <cell r="J8">
            <v>5000</v>
          </cell>
          <cell r="K8">
            <v>7000</v>
          </cell>
          <cell r="L8">
            <v>7000</v>
          </cell>
          <cell r="M8">
            <v>7000</v>
          </cell>
          <cell r="N8">
            <v>5000</v>
          </cell>
          <cell r="O8">
            <v>5000</v>
          </cell>
          <cell r="P8">
            <v>6000</v>
          </cell>
          <cell r="Q8">
            <v>6000</v>
          </cell>
          <cell r="R8">
            <v>6692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5000</v>
          </cell>
          <cell r="H11">
            <v>7000</v>
          </cell>
          <cell r="I11">
            <v>5000</v>
          </cell>
          <cell r="J11">
            <v>7000</v>
          </cell>
          <cell r="K11">
            <v>7000</v>
          </cell>
          <cell r="L11">
            <v>7000</v>
          </cell>
          <cell r="M11">
            <v>7000</v>
          </cell>
          <cell r="N11">
            <v>5000</v>
          </cell>
          <cell r="O11">
            <v>5000</v>
          </cell>
          <cell r="P11">
            <v>6000</v>
          </cell>
          <cell r="Q11">
            <v>6000</v>
          </cell>
          <cell r="R11">
            <v>6692</v>
          </cell>
        </row>
        <row r="12">
          <cell r="G12">
            <v>213.98601398601397</v>
          </cell>
          <cell r="H12">
            <v>4593.2091531880096</v>
          </cell>
          <cell r="I12">
            <v>5114.4942120189553</v>
          </cell>
          <cell r="J12">
            <v>5116.1584147817566</v>
          </cell>
          <cell r="K12">
            <v>264.33566433566432</v>
          </cell>
          <cell r="L12">
            <v>251.74825174825176</v>
          </cell>
          <cell r="M12">
            <v>264.33566433566432</v>
          </cell>
          <cell r="N12">
            <v>213.98601398601397</v>
          </cell>
          <cell r="O12">
            <v>264.33566433566432</v>
          </cell>
          <cell r="P12">
            <v>239.16083916083917</v>
          </cell>
          <cell r="Q12">
            <v>264.33566433566432</v>
          </cell>
          <cell r="R12">
            <v>276.92307692307691</v>
          </cell>
        </row>
        <row r="13">
          <cell r="G13">
            <v>14440.149208907764</v>
          </cell>
          <cell r="H13">
            <v>5120.9790209790208</v>
          </cell>
          <cell r="I13">
            <v>4361.5384615384619</v>
          </cell>
          <cell r="J13">
            <v>5830.0699300699307</v>
          </cell>
          <cell r="K13">
            <v>17690.392945850268</v>
          </cell>
          <cell r="L13">
            <v>17204.476652649148</v>
          </cell>
          <cell r="M13">
            <v>17044.140686853581</v>
          </cell>
          <cell r="N13">
            <v>15240.566022917999</v>
          </cell>
          <cell r="O13">
            <v>17558.976932252597</v>
          </cell>
          <cell r="P13">
            <v>16675.146537834062</v>
          </cell>
          <cell r="Q13">
            <v>18906.43020671804</v>
          </cell>
          <cell r="R13">
            <v>19157.89873818657</v>
          </cell>
        </row>
        <row r="14"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G16">
            <v>14654.135222893778</v>
          </cell>
          <cell r="H16">
            <v>9714.1881741670295</v>
          </cell>
          <cell r="I16">
            <v>9476.0326735574163</v>
          </cell>
          <cell r="J16">
            <v>10946.228344851686</v>
          </cell>
          <cell r="K16">
            <v>17954.728610185932</v>
          </cell>
          <cell r="L16">
            <v>17456.224904397401</v>
          </cell>
          <cell r="M16">
            <v>17308.476351189245</v>
          </cell>
          <cell r="N16">
            <v>15454.552036904013</v>
          </cell>
          <cell r="O16">
            <v>17823.312596588261</v>
          </cell>
          <cell r="P16">
            <v>16914.307376994901</v>
          </cell>
          <cell r="Q16">
            <v>19170.765871053703</v>
          </cell>
          <cell r="R16">
            <v>19434.821815109648</v>
          </cell>
        </row>
        <row r="17">
          <cell r="G17">
            <v>213.98601398601397</v>
          </cell>
          <cell r="H17">
            <v>6593.2091531880096</v>
          </cell>
          <cell r="I17">
            <v>10114.494212018955</v>
          </cell>
          <cell r="J17">
            <v>7116.1584147817566</v>
          </cell>
          <cell r="K17">
            <v>264.33566433566432</v>
          </cell>
          <cell r="L17">
            <v>251.74825174825176</v>
          </cell>
          <cell r="M17">
            <v>264.33566433566432</v>
          </cell>
          <cell r="N17">
            <v>213.98601398601397</v>
          </cell>
          <cell r="O17">
            <v>264.33566433566432</v>
          </cell>
          <cell r="P17">
            <v>239.16083916083917</v>
          </cell>
          <cell r="Q17">
            <v>264.33566433566432</v>
          </cell>
          <cell r="R17">
            <v>276.92307692307691</v>
          </cell>
        </row>
        <row r="18">
          <cell r="G18">
            <v>19440.149208907766</v>
          </cell>
          <cell r="H18">
            <v>10120.979020979021</v>
          </cell>
          <cell r="I18">
            <v>4361.5384615384619</v>
          </cell>
          <cell r="J18">
            <v>10830.069930069931</v>
          </cell>
          <cell r="K18">
            <v>24690.392945850268</v>
          </cell>
          <cell r="L18">
            <v>24204.476652649148</v>
          </cell>
          <cell r="M18">
            <v>24044.140686853581</v>
          </cell>
          <cell r="N18">
            <v>20240.566022917999</v>
          </cell>
          <cell r="O18">
            <v>22558.976932252597</v>
          </cell>
          <cell r="P18">
            <v>22675.146537834062</v>
          </cell>
          <cell r="Q18">
            <v>24906.43020671804</v>
          </cell>
          <cell r="R18">
            <v>25849.89873818657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G21">
            <v>19654.135222893779</v>
          </cell>
          <cell r="H21">
            <v>16714.18817416703</v>
          </cell>
          <cell r="I21">
            <v>14476.032673557416</v>
          </cell>
          <cell r="J21">
            <v>17946.228344851686</v>
          </cell>
          <cell r="K21">
            <v>24954.728610185932</v>
          </cell>
          <cell r="L21">
            <v>24456.224904397401</v>
          </cell>
          <cell r="M21">
            <v>24308.476351189245</v>
          </cell>
          <cell r="N21">
            <v>20454.552036904013</v>
          </cell>
          <cell r="O21">
            <v>22823.312596588261</v>
          </cell>
          <cell r="P21">
            <v>22914.307376994901</v>
          </cell>
          <cell r="Q21">
            <v>25170.765871053703</v>
          </cell>
          <cell r="R21">
            <v>26126.821815109648</v>
          </cell>
        </row>
        <row r="24">
          <cell r="G24" t="str">
            <v>1월</v>
          </cell>
          <cell r="H24" t="str">
            <v>2월</v>
          </cell>
          <cell r="I24" t="str">
            <v>3월</v>
          </cell>
          <cell r="J24" t="str">
            <v>4월</v>
          </cell>
          <cell r="K24" t="str">
            <v>5월</v>
          </cell>
          <cell r="L24" t="str">
            <v>6월</v>
          </cell>
          <cell r="M24" t="str">
            <v>7월</v>
          </cell>
          <cell r="N24" t="str">
            <v>8월</v>
          </cell>
          <cell r="O24" t="str">
            <v>9월</v>
          </cell>
          <cell r="P24" t="str">
            <v>10월</v>
          </cell>
          <cell r="Q24" t="str">
            <v>11월</v>
          </cell>
          <cell r="R24" t="str">
            <v>12월</v>
          </cell>
        </row>
        <row r="25">
          <cell r="G25">
            <v>0</v>
          </cell>
          <cell r="H25">
            <v>35000</v>
          </cell>
          <cell r="I25">
            <v>35000</v>
          </cell>
          <cell r="J25">
            <v>35000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27500</v>
          </cell>
          <cell r="H26">
            <v>27500</v>
          </cell>
          <cell r="I26">
            <v>0</v>
          </cell>
          <cell r="J26">
            <v>27500</v>
          </cell>
          <cell r="K26">
            <v>27500</v>
          </cell>
          <cell r="L26">
            <v>27500</v>
          </cell>
          <cell r="M26">
            <v>27500</v>
          </cell>
          <cell r="N26">
            <v>27500</v>
          </cell>
          <cell r="O26">
            <v>27500</v>
          </cell>
          <cell r="P26">
            <v>27500</v>
          </cell>
          <cell r="Q26">
            <v>27500</v>
          </cell>
          <cell r="R26">
            <v>27500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27500</v>
          </cell>
          <cell r="H29">
            <v>29642.857142857141</v>
          </cell>
          <cell r="I29">
            <v>35000</v>
          </cell>
          <cell r="J29">
            <v>29642.857142857141</v>
          </cell>
          <cell r="K29">
            <v>27500</v>
          </cell>
          <cell r="L29">
            <v>27500</v>
          </cell>
          <cell r="M29">
            <v>27500</v>
          </cell>
          <cell r="N29">
            <v>27500</v>
          </cell>
          <cell r="O29">
            <v>27500</v>
          </cell>
          <cell r="P29">
            <v>27500</v>
          </cell>
          <cell r="Q29">
            <v>27500</v>
          </cell>
          <cell r="R29">
            <v>27500</v>
          </cell>
        </row>
        <row r="30">
          <cell r="G30">
            <v>38000</v>
          </cell>
          <cell r="H30">
            <v>34682.239238220187</v>
          </cell>
          <cell r="I30">
            <v>1963.9782211797753</v>
          </cell>
          <cell r="J30">
            <v>34680.833889447546</v>
          </cell>
          <cell r="K30">
            <v>38000</v>
          </cell>
          <cell r="L30">
            <v>38000</v>
          </cell>
          <cell r="M30">
            <v>38000</v>
          </cell>
          <cell r="N30">
            <v>38000</v>
          </cell>
          <cell r="O30">
            <v>38000</v>
          </cell>
          <cell r="P30">
            <v>38000</v>
          </cell>
          <cell r="Q30">
            <v>38000</v>
          </cell>
          <cell r="R30">
            <v>38000</v>
          </cell>
        </row>
        <row r="31">
          <cell r="G31">
            <v>26774.317783971848</v>
          </cell>
          <cell r="H31">
            <v>60575.51189028137</v>
          </cell>
          <cell r="I31">
            <v>32803.030303030304</v>
          </cell>
          <cell r="J31">
            <v>59800.548805716426</v>
          </cell>
          <cell r="K31">
            <v>26891.213210264519</v>
          </cell>
          <cell r="L31">
            <v>26826.746685941991</v>
          </cell>
          <cell r="M31">
            <v>26990.989944186505</v>
          </cell>
          <cell r="N31">
            <v>26628.537582991587</v>
          </cell>
          <cell r="O31">
            <v>26898.560323922924</v>
          </cell>
          <cell r="P31">
            <v>26760.553763396958</v>
          </cell>
          <cell r="Q31">
            <v>26782.699113055613</v>
          </cell>
          <cell r="R31">
            <v>26847.320029743922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26938.240045855226</v>
          </cell>
          <cell r="H34">
            <v>48332.263682703953</v>
          </cell>
          <cell r="I34">
            <v>16158.284678956456</v>
          </cell>
          <cell r="J34">
            <v>48059.843532905943</v>
          </cell>
          <cell r="K34">
            <v>27054.760574292181</v>
          </cell>
          <cell r="L34">
            <v>26987.883873596224</v>
          </cell>
          <cell r="M34">
            <v>27159.119935974119</v>
          </cell>
          <cell r="N34">
            <v>26785.988534012155</v>
          </cell>
          <cell r="O34">
            <v>27063.20460180087</v>
          </cell>
          <cell r="P34">
            <v>26919.474571310449</v>
          </cell>
          <cell r="Q34">
            <v>26937.368608366731</v>
          </cell>
          <cell r="R34">
            <v>27006.232443898421</v>
          </cell>
        </row>
        <row r="35">
          <cell r="G35">
            <v>38000</v>
          </cell>
          <cell r="H35">
            <v>34778.629555711072</v>
          </cell>
          <cell r="I35">
            <v>18295.008268912581</v>
          </cell>
          <cell r="J35">
            <v>34770.535689758646</v>
          </cell>
          <cell r="K35">
            <v>38000</v>
          </cell>
          <cell r="L35">
            <v>38000</v>
          </cell>
          <cell r="M35">
            <v>38000</v>
          </cell>
          <cell r="N35">
            <v>38000</v>
          </cell>
          <cell r="O35">
            <v>38000</v>
          </cell>
          <cell r="P35">
            <v>38000</v>
          </cell>
          <cell r="Q35">
            <v>38000</v>
          </cell>
          <cell r="R35">
            <v>38000</v>
          </cell>
        </row>
        <row r="36">
          <cell r="G36">
            <v>26960.963011904467</v>
          </cell>
          <cell r="H36">
            <v>44235.436576558452</v>
          </cell>
          <cell r="I36">
            <v>32803.030303030304</v>
          </cell>
          <cell r="J36">
            <v>44888.111021712262</v>
          </cell>
          <cell r="K36">
            <v>27063.811011259197</v>
          </cell>
          <cell r="L36">
            <v>27021.453362150598</v>
          </cell>
          <cell r="M36">
            <v>27139.178662473394</v>
          </cell>
          <cell r="N36">
            <v>26843.813780312768</v>
          </cell>
          <cell r="O36">
            <v>27031.86416963438</v>
          </cell>
          <cell r="P36">
            <v>26956.216332201777</v>
          </cell>
          <cell r="Q36">
            <v>26955.498076453649</v>
          </cell>
          <cell r="R36">
            <v>27016.285270389199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G39">
            <v>27081.15143518219</v>
          </cell>
          <cell r="H39">
            <v>40505.030650762361</v>
          </cell>
          <cell r="I39">
            <v>22666.184925500071</v>
          </cell>
          <cell r="J39">
            <v>40876.222425837776</v>
          </cell>
          <cell r="K39">
            <v>27179.653777045052</v>
          </cell>
          <cell r="L39">
            <v>27134.464668417997</v>
          </cell>
          <cell r="M39">
            <v>27257.281598338624</v>
          </cell>
          <cell r="N39">
            <v>26960.524613976078</v>
          </cell>
          <cell r="O39">
            <v>27158.895224349762</v>
          </cell>
          <cell r="P39">
            <v>27071.482332873176</v>
          </cell>
          <cell r="Q39">
            <v>27071.48404875871</v>
          </cell>
          <cell r="R39">
            <v>27132.703719617111</v>
          </cell>
        </row>
        <row r="42">
          <cell r="G42" t="str">
            <v>1월</v>
          </cell>
          <cell r="H42" t="str">
            <v>2월</v>
          </cell>
          <cell r="I42" t="str">
            <v>3월</v>
          </cell>
          <cell r="J42" t="str">
            <v>4월</v>
          </cell>
          <cell r="K42" t="str">
            <v>5월</v>
          </cell>
          <cell r="L42" t="str">
            <v>6월</v>
          </cell>
          <cell r="M42" t="str">
            <v>7월</v>
          </cell>
          <cell r="N42" t="str">
            <v>8월</v>
          </cell>
          <cell r="O42" t="str">
            <v>9월</v>
          </cell>
          <cell r="P42" t="str">
            <v>10월</v>
          </cell>
          <cell r="Q42" t="str">
            <v>11월</v>
          </cell>
          <cell r="R42" t="str">
            <v>12월</v>
          </cell>
          <cell r="S42" t="str">
            <v>계</v>
          </cell>
        </row>
        <row r="43">
          <cell r="G43">
            <v>0</v>
          </cell>
          <cell r="H43">
            <v>70000</v>
          </cell>
          <cell r="I43">
            <v>175000</v>
          </cell>
          <cell r="J43">
            <v>70000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315000</v>
          </cell>
        </row>
        <row r="44">
          <cell r="G44">
            <v>137500</v>
          </cell>
          <cell r="H44">
            <v>137500</v>
          </cell>
          <cell r="I44">
            <v>0</v>
          </cell>
          <cell r="J44">
            <v>137500</v>
          </cell>
          <cell r="K44">
            <v>192500</v>
          </cell>
          <cell r="L44">
            <v>192500</v>
          </cell>
          <cell r="M44">
            <v>192500</v>
          </cell>
          <cell r="N44">
            <v>137500</v>
          </cell>
          <cell r="O44">
            <v>137500</v>
          </cell>
          <cell r="P44">
            <v>165000</v>
          </cell>
          <cell r="Q44">
            <v>165000</v>
          </cell>
          <cell r="R44">
            <v>184030</v>
          </cell>
          <cell r="S44">
            <v>1779030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G47">
            <v>137500</v>
          </cell>
          <cell r="H47">
            <v>207500</v>
          </cell>
          <cell r="I47">
            <v>175000</v>
          </cell>
          <cell r="J47">
            <v>207500</v>
          </cell>
          <cell r="K47">
            <v>192500</v>
          </cell>
          <cell r="L47">
            <v>192500</v>
          </cell>
          <cell r="M47">
            <v>192500</v>
          </cell>
          <cell r="N47">
            <v>137500</v>
          </cell>
          <cell r="O47">
            <v>137500</v>
          </cell>
          <cell r="P47">
            <v>165000</v>
          </cell>
          <cell r="Q47">
            <v>165000</v>
          </cell>
          <cell r="R47">
            <v>184030</v>
          </cell>
          <cell r="S47">
            <v>2094030</v>
          </cell>
        </row>
        <row r="48">
          <cell r="G48">
            <v>8131.4685314685312</v>
          </cell>
          <cell r="H48">
            <v>159302.77872204929</v>
          </cell>
          <cell r="I48">
            <v>10044.755244755244</v>
          </cell>
          <cell r="J48">
            <v>177432.6401351454</v>
          </cell>
          <cell r="K48">
            <v>10044.755244755244</v>
          </cell>
          <cell r="L48">
            <v>9566.4335664335667</v>
          </cell>
          <cell r="M48">
            <v>10044.755244755244</v>
          </cell>
          <cell r="N48">
            <v>8131.4685314685312</v>
          </cell>
          <cell r="O48">
            <v>10044.755244755244</v>
          </cell>
          <cell r="P48">
            <v>9088.1118881118891</v>
          </cell>
          <cell r="Q48">
            <v>10044.755244755244</v>
          </cell>
          <cell r="R48">
            <v>10523.076923076922</v>
          </cell>
          <cell r="S48">
            <v>432399.75452153035</v>
          </cell>
        </row>
        <row r="49">
          <cell r="G49">
            <v>386625.14376726619</v>
          </cell>
          <cell r="H49">
            <v>310205.9255751961</v>
          </cell>
          <cell r="I49">
            <v>143071.67832167834</v>
          </cell>
          <cell r="J49">
            <v>348641.38139388664</v>
          </cell>
          <cell r="K49">
            <v>475716.12848021893</v>
          </cell>
          <cell r="L49">
            <v>461540.13702482189</v>
          </cell>
          <cell r="M49">
            <v>460038.22988616512</v>
          </cell>
          <cell r="N49">
            <v>405833.98512733658</v>
          </cell>
          <cell r="O49">
            <v>472311.2002385676</v>
          </cell>
          <cell r="P49">
            <v>446236.15543823107</v>
          </cell>
          <cell r="Q49">
            <v>506365.23152851511</v>
          </cell>
          <cell r="R49">
            <v>514338.23852152214</v>
          </cell>
          <cell r="S49">
            <v>4930923.4353034049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G52">
            <v>394756.61229873472</v>
          </cell>
          <cell r="H52">
            <v>469508.70429724536</v>
          </cell>
          <cell r="I52">
            <v>153116.43356643358</v>
          </cell>
          <cell r="J52">
            <v>526074.02152903203</v>
          </cell>
          <cell r="K52">
            <v>485760.88372497418</v>
          </cell>
          <cell r="L52">
            <v>471106.57059125544</v>
          </cell>
          <cell r="M52">
            <v>470082.98513092037</v>
          </cell>
          <cell r="N52">
            <v>413965.45365880511</v>
          </cell>
          <cell r="O52">
            <v>482355.95548332285</v>
          </cell>
          <cell r="P52">
            <v>455324.26732634299</v>
          </cell>
          <cell r="Q52">
            <v>516409.98677327036</v>
          </cell>
          <cell r="R52">
            <v>524861.31544459902</v>
          </cell>
          <cell r="S52">
            <v>5363323.189824936</v>
          </cell>
        </row>
        <row r="53">
          <cell r="G53">
            <v>8131.4685314685312</v>
          </cell>
          <cell r="H53">
            <v>229302.77872204929</v>
          </cell>
          <cell r="I53">
            <v>185044.75524475524</v>
          </cell>
          <cell r="J53">
            <v>247432.6401351454</v>
          </cell>
          <cell r="K53">
            <v>10044.755244755244</v>
          </cell>
          <cell r="L53">
            <v>9566.4335664335667</v>
          </cell>
          <cell r="M53">
            <v>10044.755244755244</v>
          </cell>
          <cell r="N53">
            <v>8131.4685314685312</v>
          </cell>
          <cell r="O53">
            <v>10044.755244755244</v>
          </cell>
          <cell r="P53">
            <v>9088.1118881118891</v>
          </cell>
          <cell r="Q53">
            <v>10044.755244755244</v>
          </cell>
          <cell r="R53">
            <v>10523.076923076922</v>
          </cell>
          <cell r="S53">
            <v>747399.75452153047</v>
          </cell>
        </row>
        <row r="54">
          <cell r="G54">
            <v>524125.14376726619</v>
          </cell>
          <cell r="H54">
            <v>447705.9255751961</v>
          </cell>
          <cell r="I54">
            <v>143071.67832167834</v>
          </cell>
          <cell r="J54">
            <v>486141.38139388664</v>
          </cell>
          <cell r="K54">
            <v>668216.12848021893</v>
          </cell>
          <cell r="L54">
            <v>654040.13702482195</v>
          </cell>
          <cell r="M54">
            <v>652538.22988616512</v>
          </cell>
          <cell r="N54">
            <v>543333.98512733658</v>
          </cell>
          <cell r="O54">
            <v>609811.20023856754</v>
          </cell>
          <cell r="P54">
            <v>611236.15543823107</v>
          </cell>
          <cell r="Q54">
            <v>671365.23152851511</v>
          </cell>
          <cell r="R54">
            <v>698368.23852152214</v>
          </cell>
          <cell r="S54">
            <v>6709953.4353034059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G57">
            <v>532256.61229873472</v>
          </cell>
          <cell r="H57">
            <v>677008.70429724536</v>
          </cell>
          <cell r="I57">
            <v>328116.43356643361</v>
          </cell>
          <cell r="J57">
            <v>733574.02152903203</v>
          </cell>
          <cell r="K57">
            <v>678260.88372497424</v>
          </cell>
          <cell r="L57">
            <v>663606.57059125556</v>
          </cell>
          <cell r="M57">
            <v>662582.98513092031</v>
          </cell>
          <cell r="N57">
            <v>551465.45365880511</v>
          </cell>
          <cell r="O57">
            <v>619855.95548332273</v>
          </cell>
          <cell r="P57">
            <v>620324.26732634299</v>
          </cell>
          <cell r="Q57">
            <v>681409.98677327042</v>
          </cell>
          <cell r="R57">
            <v>708891.31544459902</v>
          </cell>
          <cell r="S57">
            <v>7457353.189824936</v>
          </cell>
        </row>
        <row r="59">
          <cell r="G59">
            <v>14956.135789603501</v>
          </cell>
          <cell r="H59">
            <v>204397.56062117257</v>
          </cell>
          <cell r="I59">
            <v>-24913.532471101731</v>
          </cell>
          <cell r="J59">
            <v>228583.36187974125</v>
          </cell>
          <cell r="K59">
            <v>61137.690010596663</v>
          </cell>
          <cell r="L59">
            <v>8320.6989160860394</v>
          </cell>
          <cell r="M59">
            <v>47517.078493356668</v>
          </cell>
          <cell r="N59">
            <v>40091.76410076076</v>
          </cell>
          <cell r="O59">
            <v>58514.586100921959</v>
          </cell>
          <cell r="P59">
            <v>47153.270502419029</v>
          </cell>
          <cell r="Q59">
            <v>63100.454239231985</v>
          </cell>
          <cell r="R59">
            <v>67699.801849611162</v>
          </cell>
          <cell r="S59">
            <v>816558.87003239989</v>
          </cell>
        </row>
        <row r="60">
          <cell r="G60">
            <v>-9145.5385160520436</v>
          </cell>
          <cell r="H60">
            <v>2101.2061842027215</v>
          </cell>
          <cell r="I60">
            <v>6787.8002327660342</v>
          </cell>
          <cell r="J60">
            <v>3761.5560514223289</v>
          </cell>
          <cell r="K60">
            <v>9436.5257496468785</v>
          </cell>
          <cell r="L60">
            <v>-12610.488015752338</v>
          </cell>
          <cell r="M60">
            <v>3430.9760370592048</v>
          </cell>
          <cell r="N60">
            <v>-47.499825874483577</v>
          </cell>
          <cell r="O60">
            <v>611.318093939145</v>
          </cell>
          <cell r="P60">
            <v>3420.6293692365089</v>
          </cell>
          <cell r="Q60">
            <v>5980.2372716005593</v>
          </cell>
          <cell r="R60">
            <v>8791.3008656443544</v>
          </cell>
          <cell r="S60">
            <v>22518.023497838869</v>
          </cell>
        </row>
        <row r="61">
          <cell r="G61">
            <v>-9145.5385160520436</v>
          </cell>
          <cell r="H61">
            <v>2101.2061842027215</v>
          </cell>
          <cell r="I61">
            <v>6787.8002327660342</v>
          </cell>
          <cell r="J61">
            <v>3761.5560514223289</v>
          </cell>
          <cell r="K61">
            <v>9436.5257496468785</v>
          </cell>
          <cell r="L61">
            <v>-12610.488015752338</v>
          </cell>
          <cell r="M61">
            <v>3430.9760370592048</v>
          </cell>
          <cell r="N61">
            <v>-47.499825874483577</v>
          </cell>
          <cell r="O61">
            <v>611.318093939145</v>
          </cell>
          <cell r="P61">
            <v>3420.6293692365089</v>
          </cell>
          <cell r="Q61">
            <v>5980.2372716005593</v>
          </cell>
          <cell r="R61">
            <v>8791.3008656443544</v>
          </cell>
          <cell r="S61"/>
        </row>
        <row r="62">
          <cell r="G62">
            <v>14956.135789603501</v>
          </cell>
          <cell r="H62">
            <v>204397.56062117257</v>
          </cell>
          <cell r="I62">
            <v>-24913.532471101731</v>
          </cell>
          <cell r="J62">
            <v>228583.36187974125</v>
          </cell>
          <cell r="K62">
            <v>61137.690010596663</v>
          </cell>
          <cell r="L62">
            <v>8320.6989160860394</v>
          </cell>
          <cell r="M62">
            <v>47517.078493356668</v>
          </cell>
          <cell r="N62">
            <v>40091.76410076076</v>
          </cell>
          <cell r="O62">
            <v>58514.586100921959</v>
          </cell>
          <cell r="P62">
            <v>47153.270502419029</v>
          </cell>
          <cell r="Q62">
            <v>63100.454239231985</v>
          </cell>
          <cell r="R62">
            <v>67699.801849611162</v>
          </cell>
          <cell r="S62"/>
        </row>
        <row r="63">
          <cell r="G63">
            <v>5810.597273551457</v>
          </cell>
          <cell r="H63">
            <v>206498.76680537529</v>
          </cell>
          <cell r="I63">
            <v>-18125.732238335695</v>
          </cell>
          <cell r="J63">
            <v>232344.91793116357</v>
          </cell>
          <cell r="K63">
            <v>70574.215760243547</v>
          </cell>
          <cell r="L63">
            <v>-4289.7890996662991</v>
          </cell>
          <cell r="M63">
            <v>50948.054530415873</v>
          </cell>
          <cell r="N63">
            <v>40044.264274886278</v>
          </cell>
          <cell r="O63">
            <v>59125.904194861105</v>
          </cell>
          <cell r="P63">
            <v>50573.899871655536</v>
          </cell>
          <cell r="Q63">
            <v>69080.691510832548</v>
          </cell>
          <cell r="R63">
            <v>76491.102715255518</v>
          </cell>
          <cell r="S63"/>
        </row>
        <row r="64">
          <cell r="G64">
            <v>0</v>
          </cell>
          <cell r="H64">
            <v>708.84064045393006</v>
          </cell>
          <cell r="I64">
            <v>6787.8002327660342</v>
          </cell>
          <cell r="J64">
            <v>1268.9586679497013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/>
        </row>
        <row r="65">
          <cell r="G65">
            <v>-9145.5385160520436</v>
          </cell>
          <cell r="H65">
            <v>1392.3655437487912</v>
          </cell>
          <cell r="I65">
            <v>0</v>
          </cell>
          <cell r="J65">
            <v>2492.5973834726278</v>
          </cell>
          <cell r="K65">
            <v>9436.5257496468785</v>
          </cell>
          <cell r="L65">
            <v>-12610.488015752338</v>
          </cell>
          <cell r="M65">
            <v>3430.9760370592048</v>
          </cell>
          <cell r="N65">
            <v>-47.499825874483577</v>
          </cell>
          <cell r="O65">
            <v>611.318093939145</v>
          </cell>
          <cell r="P65">
            <v>3420.6293692365089</v>
          </cell>
          <cell r="Q65">
            <v>5980.2372716005593</v>
          </cell>
          <cell r="R65">
            <v>8791.3008656443544</v>
          </cell>
          <cell r="S65"/>
        </row>
        <row r="66">
          <cell r="G66">
            <v>308.07678386270544</v>
          </cell>
          <cell r="H66">
            <v>69351.428574041769</v>
          </cell>
          <cell r="I66">
            <v>-1634.379342083497</v>
          </cell>
          <cell r="J66">
            <v>77095.898541820672</v>
          </cell>
          <cell r="K66">
            <v>1264.2292802107484</v>
          </cell>
          <cell r="L66">
            <v>168.96264746877293</v>
          </cell>
          <cell r="M66">
            <v>1015.3471589248468</v>
          </cell>
          <cell r="N66">
            <v>787.51720771630551</v>
          </cell>
          <cell r="O66">
            <v>1218.5289493170565</v>
          </cell>
          <cell r="P66">
            <v>941.16265915879296</v>
          </cell>
          <cell r="Q66">
            <v>1227.3748279470165</v>
          </cell>
          <cell r="R66">
            <v>1357.3304062941957</v>
          </cell>
          <cell r="S66"/>
        </row>
        <row r="67">
          <cell r="G67">
            <v>14648.059005740795</v>
          </cell>
          <cell r="H67">
            <v>135046.13204713081</v>
          </cell>
          <cell r="I67">
            <v>-23279.153129018232</v>
          </cell>
          <cell r="J67">
            <v>151487.46333792058</v>
          </cell>
          <cell r="K67">
            <v>59873.460730385916</v>
          </cell>
          <cell r="L67">
            <v>8151.7362686172673</v>
          </cell>
          <cell r="M67">
            <v>46501.731334431817</v>
          </cell>
          <cell r="N67">
            <v>39304.246893044452</v>
          </cell>
          <cell r="O67">
            <v>57296.057151604902</v>
          </cell>
          <cell r="P67">
            <v>46212.10784326023</v>
          </cell>
          <cell r="Q67">
            <v>61873.079411284962</v>
          </cell>
          <cell r="R67">
            <v>66342.471443316972</v>
          </cell>
        </row>
      </sheetData>
      <sheetData sheetId="3">
        <row r="6">
          <cell r="E6" t="str">
            <v>구분</v>
          </cell>
          <cell r="G6" t="str">
            <v>1월</v>
          </cell>
          <cell r="H6" t="str">
            <v>2월</v>
          </cell>
          <cell r="I6" t="str">
            <v>3월</v>
          </cell>
          <cell r="J6" t="str">
            <v>4월</v>
          </cell>
          <cell r="K6" t="str">
            <v>5월</v>
          </cell>
          <cell r="L6" t="str">
            <v>6월</v>
          </cell>
          <cell r="M6" t="str">
            <v>7월</v>
          </cell>
          <cell r="N6" t="str">
            <v>8월</v>
          </cell>
          <cell r="O6" t="str">
            <v>9월</v>
          </cell>
          <cell r="P6" t="str">
            <v>10월</v>
          </cell>
          <cell r="Q6" t="str">
            <v>11월</v>
          </cell>
          <cell r="R6" t="str">
            <v>12월</v>
          </cell>
        </row>
        <row r="7">
          <cell r="G7">
            <v>213.98601398601397</v>
          </cell>
          <cell r="H7">
            <v>239.16083916083917</v>
          </cell>
          <cell r="I7">
            <v>264.33566433566432</v>
          </cell>
          <cell r="J7">
            <v>264.33566433566432</v>
          </cell>
          <cell r="K7">
            <v>264.33566433566432</v>
          </cell>
          <cell r="L7">
            <v>251.74825174825176</v>
          </cell>
          <cell r="M7">
            <v>264.33566433566432</v>
          </cell>
          <cell r="N7">
            <v>213.98601398601397</v>
          </cell>
          <cell r="O7">
            <v>264.33566433566432</v>
          </cell>
          <cell r="P7">
            <v>239.16083916083917</v>
          </cell>
          <cell r="Q7">
            <v>264.33566433566432</v>
          </cell>
          <cell r="R7">
            <v>276.92307692307691</v>
          </cell>
        </row>
        <row r="8"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G10">
            <v>0</v>
          </cell>
          <cell r="H10">
            <v>4354.0483140271708</v>
          </cell>
          <cell r="I10">
            <v>4850.1585476832906</v>
          </cell>
          <cell r="J10">
            <v>4851.822750446092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G13">
            <v>213.98601398601397</v>
          </cell>
          <cell r="H13">
            <v>4593.2091531880096</v>
          </cell>
          <cell r="I13">
            <v>5114.4942120189553</v>
          </cell>
          <cell r="J13">
            <v>5116.1584147817566</v>
          </cell>
          <cell r="K13">
            <v>264.33566433566432</v>
          </cell>
          <cell r="L13">
            <v>251.74825174825176</v>
          </cell>
          <cell r="M13">
            <v>264.33566433566432</v>
          </cell>
          <cell r="N13">
            <v>213.98601398601397</v>
          </cell>
          <cell r="O13">
            <v>264.33566433566432</v>
          </cell>
          <cell r="P13">
            <v>239.16083916083917</v>
          </cell>
          <cell r="Q13">
            <v>264.33566433566432</v>
          </cell>
          <cell r="R13">
            <v>276.92307692307691</v>
          </cell>
        </row>
        <row r="14">
          <cell r="G14">
            <v>3530.7692307692309</v>
          </cell>
          <cell r="H14">
            <v>3946.1538461538462</v>
          </cell>
          <cell r="I14">
            <v>4361.5384615384619</v>
          </cell>
          <cell r="J14">
            <v>4361.5384615384619</v>
          </cell>
          <cell r="K14">
            <v>4361.5384615384619</v>
          </cell>
          <cell r="L14">
            <v>4153.8461538461543</v>
          </cell>
          <cell r="M14">
            <v>4361.5384615384619</v>
          </cell>
          <cell r="N14">
            <v>3530.7692307692309</v>
          </cell>
          <cell r="O14">
            <v>4361.5384615384619</v>
          </cell>
          <cell r="P14">
            <v>3946.1538461538462</v>
          </cell>
          <cell r="Q14">
            <v>4361.5384615384619</v>
          </cell>
          <cell r="R14">
            <v>4569.2307692307695</v>
          </cell>
        </row>
        <row r="15">
          <cell r="G15">
            <v>4067.8321678321677</v>
          </cell>
          <cell r="H15">
            <v>0</v>
          </cell>
          <cell r="I15">
            <v>0</v>
          </cell>
          <cell r="J15">
            <v>0</v>
          </cell>
          <cell r="K15">
            <v>5671.9580419580416</v>
          </cell>
          <cell r="L15">
            <v>5413.4965034965035</v>
          </cell>
          <cell r="M15">
            <v>5413.4965034965035</v>
          </cell>
          <cell r="N15">
            <v>4602.1678321678319</v>
          </cell>
          <cell r="O15">
            <v>5695.734265734266</v>
          </cell>
          <cell r="P15">
            <v>5156.5734265734263</v>
          </cell>
          <cell r="Q15">
            <v>6210.6993006993007</v>
          </cell>
          <cell r="R15">
            <v>6254.4755244755243</v>
          </cell>
        </row>
        <row r="16">
          <cell r="G16">
            <v>1913.2867132867134</v>
          </cell>
          <cell r="H16">
            <v>1174.8251748251748</v>
          </cell>
          <cell r="I16">
            <v>0</v>
          </cell>
          <cell r="J16">
            <v>1468.5314685314686</v>
          </cell>
          <cell r="K16">
            <v>2391.6083916083917</v>
          </cell>
          <cell r="L16">
            <v>2391.6083916083917</v>
          </cell>
          <cell r="M16">
            <v>2072.7272727272725</v>
          </cell>
          <cell r="N16">
            <v>2072.7272727272725</v>
          </cell>
          <cell r="O16">
            <v>2232.1678321678323</v>
          </cell>
          <cell r="P16">
            <v>2551.048951048951</v>
          </cell>
          <cell r="Q16">
            <v>2551.048951048951</v>
          </cell>
          <cell r="R16">
            <v>2551.048951048951</v>
          </cell>
        </row>
        <row r="17">
          <cell r="G17">
            <v>4356.2387193972736</v>
          </cell>
          <cell r="H17">
            <v>0</v>
          </cell>
          <cell r="I17">
            <v>0</v>
          </cell>
          <cell r="J17">
            <v>0</v>
          </cell>
          <cell r="K17">
            <v>4621.374764032088</v>
          </cell>
          <cell r="L17">
            <v>4601.6123169848106</v>
          </cell>
          <cell r="M17">
            <v>4600.691735804633</v>
          </cell>
          <cell r="N17">
            <v>4390.9884005403792</v>
          </cell>
          <cell r="O17">
            <v>4625.6230860987525</v>
          </cell>
          <cell r="P17">
            <v>4377.4570273445524</v>
          </cell>
          <cell r="Q17">
            <v>5091.6441927320257</v>
          </cell>
          <cell r="R17">
            <v>5091.6441927320257</v>
          </cell>
        </row>
        <row r="18">
          <cell r="G18">
            <v>572.02237762237758</v>
          </cell>
          <cell r="H18">
            <v>0</v>
          </cell>
          <cell r="I18">
            <v>0</v>
          </cell>
          <cell r="J18">
            <v>0</v>
          </cell>
          <cell r="K18">
            <v>643.91328671328677</v>
          </cell>
          <cell r="L18">
            <v>643.91328671328677</v>
          </cell>
          <cell r="M18">
            <v>595.68671328671326</v>
          </cell>
          <cell r="N18">
            <v>643.91328671328677</v>
          </cell>
          <cell r="O18">
            <v>643.91328671328677</v>
          </cell>
          <cell r="P18">
            <v>643.91328671328677</v>
          </cell>
          <cell r="Q18">
            <v>691.49930069930065</v>
          </cell>
          <cell r="R18">
            <v>691.49930069930065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G20">
            <v>14440.149208907764</v>
          </cell>
          <cell r="H20">
            <v>5120.9790209790208</v>
          </cell>
          <cell r="I20">
            <v>4361.5384615384619</v>
          </cell>
          <cell r="J20">
            <v>5830.0699300699307</v>
          </cell>
          <cell r="K20">
            <v>17690.392945850268</v>
          </cell>
          <cell r="L20">
            <v>17204.476652649148</v>
          </cell>
          <cell r="M20">
            <v>17044.140686853581</v>
          </cell>
          <cell r="N20">
            <v>15240.566022917999</v>
          </cell>
          <cell r="O20">
            <v>17558.976932252597</v>
          </cell>
          <cell r="P20">
            <v>16675.146537834062</v>
          </cell>
          <cell r="Q20">
            <v>18906.43020671804</v>
          </cell>
          <cell r="R20">
            <v>19157.89873818657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8">
          <cell r="G38" t="str">
            <v>1월</v>
          </cell>
          <cell r="H38" t="str">
            <v>2월</v>
          </cell>
          <cell r="I38" t="str">
            <v>3월</v>
          </cell>
          <cell r="J38" t="str">
            <v>4월</v>
          </cell>
          <cell r="K38" t="str">
            <v>5월</v>
          </cell>
          <cell r="L38" t="str">
            <v>6월</v>
          </cell>
          <cell r="M38" t="str">
            <v>7월</v>
          </cell>
          <cell r="N38" t="str">
            <v>8월</v>
          </cell>
          <cell r="O38" t="str">
            <v>9월</v>
          </cell>
          <cell r="P38" t="str">
            <v>10월</v>
          </cell>
          <cell r="Q38" t="str">
            <v>11월</v>
          </cell>
          <cell r="R38" t="str">
            <v>12월</v>
          </cell>
        </row>
        <row r="39">
          <cell r="G39">
            <v>38000</v>
          </cell>
          <cell r="H39">
            <v>38000</v>
          </cell>
          <cell r="I39">
            <v>38000</v>
          </cell>
          <cell r="J39">
            <v>38000</v>
          </cell>
          <cell r="K39">
            <v>38000</v>
          </cell>
          <cell r="L39">
            <v>38000</v>
          </cell>
          <cell r="M39">
            <v>38000</v>
          </cell>
          <cell r="N39">
            <v>38000</v>
          </cell>
          <cell r="O39">
            <v>38000</v>
          </cell>
          <cell r="P39">
            <v>38000</v>
          </cell>
          <cell r="Q39">
            <v>38000</v>
          </cell>
          <cell r="R39">
            <v>38000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G42">
            <v>0</v>
          </cell>
          <cell r="H42">
            <v>34500</v>
          </cell>
          <cell r="I42">
            <v>0</v>
          </cell>
          <cell r="J42">
            <v>34500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G45">
            <v>38000</v>
          </cell>
          <cell r="H45">
            <v>34682.239238220187</v>
          </cell>
          <cell r="I45">
            <v>1963.9782211797753</v>
          </cell>
          <cell r="J45">
            <v>34680.833889447546</v>
          </cell>
          <cell r="K45">
            <v>38000</v>
          </cell>
          <cell r="L45">
            <v>38000</v>
          </cell>
          <cell r="M45">
            <v>38000</v>
          </cell>
          <cell r="N45">
            <v>38000</v>
          </cell>
          <cell r="O45">
            <v>38000</v>
          </cell>
          <cell r="P45">
            <v>38000</v>
          </cell>
          <cell r="Q45">
            <v>38000</v>
          </cell>
          <cell r="R45">
            <v>38000</v>
          </cell>
        </row>
        <row r="46">
          <cell r="G46">
            <v>30500</v>
          </cell>
          <cell r="H46">
            <v>30500</v>
          </cell>
          <cell r="I46">
            <v>30500</v>
          </cell>
          <cell r="J46">
            <v>30500</v>
          </cell>
          <cell r="K46">
            <v>30500</v>
          </cell>
          <cell r="L46">
            <v>30500</v>
          </cell>
          <cell r="M46">
            <v>30500</v>
          </cell>
          <cell r="N46">
            <v>30500</v>
          </cell>
          <cell r="O46">
            <v>30500</v>
          </cell>
          <cell r="P46">
            <v>30500</v>
          </cell>
          <cell r="Q46">
            <v>30500</v>
          </cell>
          <cell r="R46">
            <v>30500</v>
          </cell>
        </row>
        <row r="47">
          <cell r="G47">
            <v>26500</v>
          </cell>
          <cell r="H47">
            <v>26500</v>
          </cell>
          <cell r="I47">
            <v>0</v>
          </cell>
          <cell r="J47">
            <v>26500</v>
          </cell>
          <cell r="K47">
            <v>26500</v>
          </cell>
          <cell r="L47">
            <v>26500</v>
          </cell>
          <cell r="M47">
            <v>26500</v>
          </cell>
          <cell r="N47">
            <v>26500</v>
          </cell>
          <cell r="O47">
            <v>26500</v>
          </cell>
          <cell r="P47">
            <v>26500</v>
          </cell>
          <cell r="Q47">
            <v>26500</v>
          </cell>
          <cell r="R47">
            <v>26500</v>
          </cell>
        </row>
        <row r="48">
          <cell r="G48">
            <v>26000</v>
          </cell>
          <cell r="H48">
            <v>26000</v>
          </cell>
          <cell r="I48">
            <v>0</v>
          </cell>
          <cell r="J48">
            <v>26000</v>
          </cell>
          <cell r="K48">
            <v>26000</v>
          </cell>
          <cell r="L48">
            <v>26000</v>
          </cell>
          <cell r="M48">
            <v>26000</v>
          </cell>
          <cell r="N48">
            <v>26000</v>
          </cell>
          <cell r="O48">
            <v>26000</v>
          </cell>
          <cell r="P48">
            <v>26000</v>
          </cell>
          <cell r="Q48">
            <v>26000</v>
          </cell>
          <cell r="R48">
            <v>26000</v>
          </cell>
        </row>
        <row r="49">
          <cell r="G49">
            <v>26000</v>
          </cell>
          <cell r="H49">
            <v>26000</v>
          </cell>
          <cell r="I49">
            <v>0</v>
          </cell>
          <cell r="J49">
            <v>26000</v>
          </cell>
          <cell r="K49">
            <v>26000</v>
          </cell>
          <cell r="L49">
            <v>26000</v>
          </cell>
          <cell r="M49">
            <v>26000</v>
          </cell>
          <cell r="N49">
            <v>26000</v>
          </cell>
          <cell r="O49">
            <v>26000</v>
          </cell>
          <cell r="P49">
            <v>26000</v>
          </cell>
          <cell r="Q49">
            <v>26000</v>
          </cell>
          <cell r="R49">
            <v>26000</v>
          </cell>
        </row>
        <row r="50">
          <cell r="G50">
            <v>26000</v>
          </cell>
          <cell r="H50">
            <v>26000</v>
          </cell>
          <cell r="I50">
            <v>0</v>
          </cell>
          <cell r="J50">
            <v>26000</v>
          </cell>
          <cell r="K50">
            <v>26000</v>
          </cell>
          <cell r="L50">
            <v>26000</v>
          </cell>
          <cell r="M50">
            <v>26000</v>
          </cell>
          <cell r="N50">
            <v>26000</v>
          </cell>
          <cell r="O50">
            <v>26000</v>
          </cell>
          <cell r="P50">
            <v>26000</v>
          </cell>
          <cell r="Q50">
            <v>26000</v>
          </cell>
          <cell r="R50">
            <v>26000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G52">
            <v>26774.317783971848</v>
          </cell>
          <cell r="H52">
            <v>60575.51189028137</v>
          </cell>
          <cell r="I52">
            <v>32803.030303030304</v>
          </cell>
          <cell r="J52">
            <v>59800.548805716426</v>
          </cell>
          <cell r="K52">
            <v>26891.213210264519</v>
          </cell>
          <cell r="L52">
            <v>26826.746685941991</v>
          </cell>
          <cell r="M52">
            <v>26990.989944186505</v>
          </cell>
          <cell r="N52">
            <v>26628.537582991587</v>
          </cell>
          <cell r="O52">
            <v>26898.560323922924</v>
          </cell>
          <cell r="P52">
            <v>26760.553763396958</v>
          </cell>
          <cell r="Q52">
            <v>26782.699113055613</v>
          </cell>
          <cell r="R52">
            <v>26847.320029743922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</row>
        <row r="70">
          <cell r="G70" t="str">
            <v>1월</v>
          </cell>
          <cell r="H70" t="str">
            <v>2월</v>
          </cell>
          <cell r="I70" t="str">
            <v>3월</v>
          </cell>
          <cell r="J70" t="str">
            <v>4월</v>
          </cell>
          <cell r="K70" t="str">
            <v>5월</v>
          </cell>
          <cell r="L70" t="str">
            <v>6월</v>
          </cell>
          <cell r="M70" t="str">
            <v>7월</v>
          </cell>
          <cell r="N70" t="str">
            <v>8월</v>
          </cell>
          <cell r="O70" t="str">
            <v>9월</v>
          </cell>
          <cell r="P70" t="str">
            <v>10월</v>
          </cell>
          <cell r="Q70" t="str">
            <v>11월</v>
          </cell>
          <cell r="R70" t="str">
            <v>12월</v>
          </cell>
        </row>
        <row r="71">
          <cell r="G71">
            <v>8131.4685314685312</v>
          </cell>
          <cell r="H71">
            <v>9088.1118881118891</v>
          </cell>
          <cell r="I71">
            <v>10044.755244755244</v>
          </cell>
          <cell r="J71">
            <v>10044.755244755244</v>
          </cell>
          <cell r="K71">
            <v>10044.755244755244</v>
          </cell>
          <cell r="L71">
            <v>9566.4335664335667</v>
          </cell>
          <cell r="M71">
            <v>10044.755244755244</v>
          </cell>
          <cell r="N71">
            <v>8131.4685314685312</v>
          </cell>
          <cell r="O71">
            <v>10044.755244755244</v>
          </cell>
          <cell r="P71">
            <v>9088.1118881118891</v>
          </cell>
          <cell r="Q71">
            <v>10044.755244755244</v>
          </cell>
          <cell r="R71">
            <v>10523.076923076922</v>
          </cell>
        </row>
        <row r="72"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G74">
            <v>0</v>
          </cell>
          <cell r="H74">
            <v>150214.6668339374</v>
          </cell>
          <cell r="I74">
            <v>0</v>
          </cell>
          <cell r="J74">
            <v>167387.88489039015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G77">
            <v>8131.4685314685312</v>
          </cell>
          <cell r="H77">
            <v>159302.77872204929</v>
          </cell>
          <cell r="I77">
            <v>10044.755244755244</v>
          </cell>
          <cell r="J77">
            <v>177432.6401351454</v>
          </cell>
          <cell r="K77">
            <v>10044.755244755244</v>
          </cell>
          <cell r="L77">
            <v>9566.4335664335667</v>
          </cell>
          <cell r="M77">
            <v>10044.755244755244</v>
          </cell>
          <cell r="N77">
            <v>8131.4685314685312</v>
          </cell>
          <cell r="O77">
            <v>10044.755244755244</v>
          </cell>
          <cell r="P77">
            <v>9088.1118881118891</v>
          </cell>
          <cell r="Q77">
            <v>10044.755244755244</v>
          </cell>
          <cell r="R77">
            <v>10523.076923076922</v>
          </cell>
        </row>
        <row r="78"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G79">
            <v>8131.4685314685312</v>
          </cell>
          <cell r="H79">
            <v>159302.77872204929</v>
          </cell>
          <cell r="I79">
            <v>10044.755244755244</v>
          </cell>
          <cell r="J79">
            <v>177432.64013514537</v>
          </cell>
          <cell r="K79">
            <v>10044.755244755244</v>
          </cell>
          <cell r="L79">
            <v>9566.4335664335667</v>
          </cell>
          <cell r="M79">
            <v>10044.755244755244</v>
          </cell>
          <cell r="N79">
            <v>8131.4685314685312</v>
          </cell>
          <cell r="O79">
            <v>10044.755244755244</v>
          </cell>
          <cell r="P79">
            <v>9088.1118881118891</v>
          </cell>
          <cell r="Q79">
            <v>10044.755244755244</v>
          </cell>
          <cell r="R79">
            <v>10523.076923076922</v>
          </cell>
        </row>
        <row r="80">
          <cell r="G80">
            <v>107688.46153846155</v>
          </cell>
          <cell r="H80">
            <v>120357.6923076923</v>
          </cell>
          <cell r="I80">
            <v>133026.92307692309</v>
          </cell>
          <cell r="J80">
            <v>133026.92307692309</v>
          </cell>
          <cell r="K80">
            <v>133026.92307692309</v>
          </cell>
          <cell r="L80">
            <v>126692.30769230772</v>
          </cell>
          <cell r="M80">
            <v>133026.92307692309</v>
          </cell>
          <cell r="N80">
            <v>107688.46153846155</v>
          </cell>
          <cell r="O80">
            <v>133026.92307692309</v>
          </cell>
          <cell r="P80">
            <v>120357.6923076923</v>
          </cell>
          <cell r="Q80">
            <v>133026.92307692309</v>
          </cell>
          <cell r="R80">
            <v>139361.53846153847</v>
          </cell>
        </row>
        <row r="81">
          <cell r="G81">
            <v>107797.55244755244</v>
          </cell>
          <cell r="H81">
            <v>0</v>
          </cell>
          <cell r="I81">
            <v>0</v>
          </cell>
          <cell r="J81">
            <v>0</v>
          </cell>
          <cell r="K81">
            <v>150306.88811188811</v>
          </cell>
          <cell r="L81">
            <v>143457.65734265733</v>
          </cell>
          <cell r="M81">
            <v>143457.65734265733</v>
          </cell>
          <cell r="N81">
            <v>121957.44755244754</v>
          </cell>
          <cell r="O81">
            <v>150936.95804195807</v>
          </cell>
          <cell r="P81">
            <v>136649.1958041958</v>
          </cell>
          <cell r="Q81">
            <v>164583.53146853147</v>
          </cell>
          <cell r="R81">
            <v>165743.60139860137</v>
          </cell>
        </row>
        <row r="82">
          <cell r="G82">
            <v>49745.454545454544</v>
          </cell>
          <cell r="H82">
            <v>30545.454545454548</v>
          </cell>
          <cell r="I82">
            <v>0</v>
          </cell>
          <cell r="J82">
            <v>38181.818181818177</v>
          </cell>
          <cell r="K82">
            <v>62181.818181818184</v>
          </cell>
          <cell r="L82">
            <v>62181.818181818184</v>
          </cell>
          <cell r="M82">
            <v>53890.909090909088</v>
          </cell>
          <cell r="N82">
            <v>53890.909090909088</v>
          </cell>
          <cell r="O82">
            <v>58036.36363636364</v>
          </cell>
          <cell r="P82">
            <v>66327.272727272721</v>
          </cell>
          <cell r="Q82">
            <v>66327.272727272721</v>
          </cell>
          <cell r="R82">
            <v>66327.272727272721</v>
          </cell>
        </row>
        <row r="83">
          <cell r="G83">
            <v>113262.20670432912</v>
          </cell>
          <cell r="H83">
            <v>0</v>
          </cell>
          <cell r="I83">
            <v>0</v>
          </cell>
          <cell r="J83">
            <v>0</v>
          </cell>
          <cell r="K83">
            <v>120155.74386483429</v>
          </cell>
          <cell r="L83">
            <v>119641.92024160507</v>
          </cell>
          <cell r="M83">
            <v>119617.98513092045</v>
          </cell>
          <cell r="N83">
            <v>114165.69841404987</v>
          </cell>
          <cell r="O83">
            <v>120266.20023856756</v>
          </cell>
          <cell r="P83">
            <v>113813.88271095837</v>
          </cell>
          <cell r="Q83">
            <v>132382.74901103266</v>
          </cell>
          <cell r="R83">
            <v>132382.74901103266</v>
          </cell>
        </row>
        <row r="84">
          <cell r="G84">
            <v>386625.14376726619</v>
          </cell>
          <cell r="H84">
            <v>310205.9255751961</v>
          </cell>
          <cell r="I84">
            <v>143071.67832167834</v>
          </cell>
          <cell r="J84">
            <v>348641.38139388664</v>
          </cell>
          <cell r="K84">
            <v>475716.12848021893</v>
          </cell>
          <cell r="L84">
            <v>461540.13702482189</v>
          </cell>
          <cell r="M84">
            <v>460038.22988616512</v>
          </cell>
          <cell r="N84">
            <v>405833.98512733658</v>
          </cell>
          <cell r="O84">
            <v>472311.2002385676</v>
          </cell>
          <cell r="P84">
            <v>446236.15543823107</v>
          </cell>
          <cell r="Q84">
            <v>506365.23152851511</v>
          </cell>
          <cell r="R84">
            <v>514338.23852152214</v>
          </cell>
        </row>
        <row r="85"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G99">
            <v>394756.61229873472</v>
          </cell>
          <cell r="H99">
            <v>469508.70429724536</v>
          </cell>
          <cell r="I99">
            <v>153116.43356643358</v>
          </cell>
          <cell r="J99">
            <v>526074.02152903203</v>
          </cell>
          <cell r="K99">
            <v>485760.88372497418</v>
          </cell>
          <cell r="L99">
            <v>471106.57059125544</v>
          </cell>
          <cell r="M99">
            <v>470082.98513092037</v>
          </cell>
          <cell r="N99">
            <v>413965.45365880511</v>
          </cell>
          <cell r="O99">
            <v>482355.95548332285</v>
          </cell>
          <cell r="P99">
            <v>455324.26732634299</v>
          </cell>
          <cell r="Q99">
            <v>516409.98677327036</v>
          </cell>
          <cell r="R99">
            <v>524861.31544459902</v>
          </cell>
        </row>
        <row r="101">
          <cell r="G101" t="str">
            <v>단중</v>
          </cell>
          <cell r="H101">
            <v>1430</v>
          </cell>
        </row>
        <row r="102">
          <cell r="G102" t="str">
            <v>1월</v>
          </cell>
          <cell r="H102" t="str">
            <v>2월</v>
          </cell>
          <cell r="I102" t="str">
            <v>3월</v>
          </cell>
          <cell r="J102" t="str">
            <v>4월</v>
          </cell>
          <cell r="K102" t="str">
            <v>5월</v>
          </cell>
          <cell r="L102" t="str">
            <v>6월</v>
          </cell>
          <cell r="M102" t="str">
            <v>7월</v>
          </cell>
          <cell r="N102" t="str">
            <v>8월</v>
          </cell>
          <cell r="O102" t="str">
            <v>9월</v>
          </cell>
          <cell r="P102" t="str">
            <v>10월</v>
          </cell>
          <cell r="Q102" t="str">
            <v>11월</v>
          </cell>
          <cell r="R102" t="str">
            <v>12월</v>
          </cell>
        </row>
        <row r="103">
          <cell r="G103">
            <v>306000</v>
          </cell>
          <cell r="H103">
            <v>342000</v>
          </cell>
          <cell r="I103">
            <v>378000</v>
          </cell>
          <cell r="J103">
            <v>378000</v>
          </cell>
          <cell r="K103">
            <v>378000</v>
          </cell>
          <cell r="L103">
            <v>360000</v>
          </cell>
          <cell r="M103">
            <v>378000</v>
          </cell>
          <cell r="N103">
            <v>306000</v>
          </cell>
          <cell r="O103">
            <v>378000</v>
          </cell>
          <cell r="P103">
            <v>342000</v>
          </cell>
          <cell r="Q103">
            <v>378000</v>
          </cell>
          <cell r="R103">
            <v>396000</v>
          </cell>
        </row>
        <row r="104"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</row>
        <row r="106">
          <cell r="G106">
            <v>0</v>
          </cell>
          <cell r="H106">
            <v>6226289.0890588546</v>
          </cell>
          <cell r="I106">
            <v>6935726.7231871057</v>
          </cell>
          <cell r="J106">
            <v>6938106.5331379119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</row>
        <row r="109">
          <cell r="G109">
            <v>306000</v>
          </cell>
          <cell r="H109">
            <v>6568289.0890588546</v>
          </cell>
          <cell r="I109">
            <v>7313726.7231871057</v>
          </cell>
          <cell r="J109">
            <v>7316106.5331379119</v>
          </cell>
          <cell r="K109">
            <v>378000</v>
          </cell>
          <cell r="L109">
            <v>360000</v>
          </cell>
          <cell r="M109">
            <v>378000</v>
          </cell>
          <cell r="N109">
            <v>306000</v>
          </cell>
          <cell r="O109">
            <v>378000</v>
          </cell>
          <cell r="P109">
            <v>342000</v>
          </cell>
          <cell r="Q109">
            <v>378000</v>
          </cell>
          <cell r="R109">
            <v>396000</v>
          </cell>
        </row>
        <row r="110">
          <cell r="G110">
            <v>5049000</v>
          </cell>
          <cell r="H110">
            <v>5643000</v>
          </cell>
          <cell r="I110">
            <v>6237000.0000000009</v>
          </cell>
          <cell r="J110">
            <v>6237000.0000000009</v>
          </cell>
          <cell r="K110">
            <v>6237000.0000000009</v>
          </cell>
          <cell r="L110">
            <v>5940000.0000000009</v>
          </cell>
          <cell r="M110">
            <v>6237000.0000000009</v>
          </cell>
          <cell r="N110">
            <v>5049000</v>
          </cell>
          <cell r="O110">
            <v>6237000.0000000009</v>
          </cell>
          <cell r="P110">
            <v>5643000</v>
          </cell>
          <cell r="Q110">
            <v>6237000.0000000009</v>
          </cell>
          <cell r="R110">
            <v>6534000</v>
          </cell>
        </row>
        <row r="111">
          <cell r="G111">
            <v>5817000</v>
          </cell>
          <cell r="H111">
            <v>0</v>
          </cell>
          <cell r="I111">
            <v>0</v>
          </cell>
          <cell r="J111">
            <v>0</v>
          </cell>
          <cell r="K111">
            <v>8110899.9999999991</v>
          </cell>
          <cell r="L111">
            <v>7741300</v>
          </cell>
          <cell r="M111">
            <v>7741300</v>
          </cell>
          <cell r="N111">
            <v>6581100</v>
          </cell>
          <cell r="O111">
            <v>8144900</v>
          </cell>
          <cell r="P111">
            <v>7373900</v>
          </cell>
          <cell r="Q111">
            <v>8881300</v>
          </cell>
          <cell r="R111">
            <v>8943900</v>
          </cell>
        </row>
        <row r="112">
          <cell r="G112">
            <v>2736000</v>
          </cell>
          <cell r="H112">
            <v>1680000</v>
          </cell>
          <cell r="I112">
            <v>0</v>
          </cell>
          <cell r="J112">
            <v>2100000</v>
          </cell>
          <cell r="K112">
            <v>3420000</v>
          </cell>
          <cell r="L112">
            <v>3420000</v>
          </cell>
          <cell r="M112">
            <v>2963999.9999999995</v>
          </cell>
          <cell r="N112">
            <v>2963999.9999999995</v>
          </cell>
          <cell r="O112">
            <v>3192000</v>
          </cell>
          <cell r="P112">
            <v>3648000</v>
          </cell>
          <cell r="Q112">
            <v>3648000</v>
          </cell>
          <cell r="R112">
            <v>3648000</v>
          </cell>
        </row>
        <row r="113">
          <cell r="G113">
            <v>6229421.3687381009</v>
          </cell>
          <cell r="H113">
            <v>0</v>
          </cell>
          <cell r="I113">
            <v>0</v>
          </cell>
          <cell r="J113">
            <v>0</v>
          </cell>
          <cell r="K113">
            <v>6608565.912565886</v>
          </cell>
          <cell r="L113">
            <v>6580305.6132882796</v>
          </cell>
          <cell r="M113">
            <v>6578989.1822006255</v>
          </cell>
          <cell r="N113">
            <v>6279113.4127727421</v>
          </cell>
          <cell r="O113">
            <v>6614641.0131212166</v>
          </cell>
          <cell r="P113">
            <v>6259763.5491027096</v>
          </cell>
          <cell r="Q113">
            <v>7281051.195606797</v>
          </cell>
          <cell r="R113">
            <v>7281051.195606797</v>
          </cell>
        </row>
        <row r="114">
          <cell r="G114">
            <v>817991.99999999988</v>
          </cell>
          <cell r="H114">
            <v>0</v>
          </cell>
          <cell r="I114">
            <v>0</v>
          </cell>
          <cell r="J114">
            <v>0</v>
          </cell>
          <cell r="K114">
            <v>920796.00000000012</v>
          </cell>
          <cell r="L114">
            <v>920796.00000000012</v>
          </cell>
          <cell r="M114">
            <v>851832</v>
          </cell>
          <cell r="N114">
            <v>920796.00000000012</v>
          </cell>
          <cell r="O114">
            <v>920796.00000000012</v>
          </cell>
          <cell r="P114">
            <v>920796.00000000012</v>
          </cell>
          <cell r="Q114">
            <v>988843.99999999988</v>
          </cell>
          <cell r="R114">
            <v>988843.99999999988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</row>
        <row r="116">
          <cell r="G116">
            <v>20649413.3687381</v>
          </cell>
          <cell r="H116">
            <v>7323000</v>
          </cell>
          <cell r="I116">
            <v>6237000.0000000009</v>
          </cell>
          <cell r="J116">
            <v>8337000.0000000009</v>
          </cell>
          <cell r="K116">
            <v>25297261.912565887</v>
          </cell>
          <cell r="L116">
            <v>24602401.61328828</v>
          </cell>
          <cell r="M116">
            <v>24373121.182200626</v>
          </cell>
          <cell r="N116">
            <v>21794009.412772741</v>
          </cell>
          <cell r="O116">
            <v>25109337.013121217</v>
          </cell>
          <cell r="P116">
            <v>23845459.549102709</v>
          </cell>
          <cell r="Q116">
            <v>27036195.195606798</v>
          </cell>
          <cell r="R116">
            <v>27395795.195606798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</row>
        <row r="124"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</row>
        <row r="128"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</row>
        <row r="131">
          <cell r="G131">
            <v>306000</v>
          </cell>
          <cell r="H131">
            <v>6568289.0890588546</v>
          </cell>
          <cell r="I131">
            <v>7313726.7231871057</v>
          </cell>
          <cell r="J131">
            <v>7316106.5331379119</v>
          </cell>
          <cell r="K131">
            <v>378000</v>
          </cell>
          <cell r="L131">
            <v>360000</v>
          </cell>
          <cell r="M131">
            <v>378000</v>
          </cell>
          <cell r="N131">
            <v>306000</v>
          </cell>
          <cell r="O131">
            <v>378000</v>
          </cell>
          <cell r="P131">
            <v>342000</v>
          </cell>
          <cell r="Q131">
            <v>378000</v>
          </cell>
          <cell r="R131">
            <v>396000</v>
          </cell>
        </row>
        <row r="134">
          <cell r="G134" t="str">
            <v>1월</v>
          </cell>
          <cell r="H134" t="str">
            <v>2월</v>
          </cell>
          <cell r="I134" t="str">
            <v>3월</v>
          </cell>
          <cell r="J134" t="str">
            <v>4월</v>
          </cell>
          <cell r="K134" t="str">
            <v>5월</v>
          </cell>
          <cell r="L134" t="str">
            <v>6월</v>
          </cell>
          <cell r="M134" t="str">
            <v>7월</v>
          </cell>
          <cell r="N134" t="str">
            <v>8월</v>
          </cell>
          <cell r="O134" t="str">
            <v>9월</v>
          </cell>
          <cell r="P134" t="str">
            <v>10월</v>
          </cell>
          <cell r="Q134" t="str">
            <v>11월</v>
          </cell>
          <cell r="R134" t="str">
            <v>12월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G136">
            <v>5000</v>
          </cell>
          <cell r="H136">
            <v>5000</v>
          </cell>
          <cell r="I136">
            <v>5000</v>
          </cell>
          <cell r="J136">
            <v>5000</v>
          </cell>
          <cell r="K136">
            <v>5000</v>
          </cell>
          <cell r="L136">
            <v>5000</v>
          </cell>
          <cell r="M136">
            <v>5000</v>
          </cell>
          <cell r="N136">
            <v>5000</v>
          </cell>
          <cell r="O136">
            <v>5000</v>
          </cell>
          <cell r="P136">
            <v>5000</v>
          </cell>
          <cell r="Q136">
            <v>5000</v>
          </cell>
          <cell r="R136">
            <v>5000</v>
          </cell>
        </row>
        <row r="137">
          <cell r="G137">
            <v>6500</v>
          </cell>
          <cell r="H137">
            <v>6500</v>
          </cell>
          <cell r="I137">
            <v>6500</v>
          </cell>
          <cell r="J137">
            <v>6500</v>
          </cell>
          <cell r="K137">
            <v>6500</v>
          </cell>
          <cell r="L137">
            <v>6500</v>
          </cell>
          <cell r="M137">
            <v>6500</v>
          </cell>
          <cell r="N137">
            <v>6500</v>
          </cell>
          <cell r="O137">
            <v>6500</v>
          </cell>
          <cell r="P137">
            <v>6500</v>
          </cell>
          <cell r="Q137">
            <v>6500</v>
          </cell>
          <cell r="R137">
            <v>6500</v>
          </cell>
        </row>
        <row r="138">
          <cell r="G138">
            <v>7500</v>
          </cell>
          <cell r="H138">
            <v>7500</v>
          </cell>
          <cell r="I138">
            <v>7500</v>
          </cell>
          <cell r="J138">
            <v>7500</v>
          </cell>
          <cell r="K138">
            <v>7500</v>
          </cell>
          <cell r="L138">
            <v>7500</v>
          </cell>
          <cell r="M138">
            <v>7500</v>
          </cell>
          <cell r="N138">
            <v>7500</v>
          </cell>
          <cell r="O138">
            <v>7500</v>
          </cell>
          <cell r="P138">
            <v>7500</v>
          </cell>
          <cell r="Q138">
            <v>7500</v>
          </cell>
          <cell r="R138">
            <v>7500</v>
          </cell>
        </row>
        <row r="139">
          <cell r="G139">
            <v>7000</v>
          </cell>
          <cell r="H139">
            <v>7000</v>
          </cell>
          <cell r="I139">
            <v>7000</v>
          </cell>
          <cell r="J139">
            <v>7000</v>
          </cell>
          <cell r="K139">
            <v>7000</v>
          </cell>
          <cell r="L139">
            <v>7000</v>
          </cell>
          <cell r="M139">
            <v>7000</v>
          </cell>
          <cell r="N139">
            <v>7000</v>
          </cell>
          <cell r="O139">
            <v>7000</v>
          </cell>
          <cell r="P139">
            <v>7000</v>
          </cell>
          <cell r="Q139">
            <v>7000</v>
          </cell>
          <cell r="R139">
            <v>7000</v>
          </cell>
        </row>
        <row r="140"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</row>
        <row r="142">
          <cell r="G142">
            <v>5000</v>
          </cell>
          <cell r="H142">
            <v>5000</v>
          </cell>
          <cell r="I142">
            <v>5000</v>
          </cell>
          <cell r="J142">
            <v>5000</v>
          </cell>
          <cell r="K142">
            <v>5000</v>
          </cell>
          <cell r="L142">
            <v>5000</v>
          </cell>
          <cell r="M142">
            <v>5000</v>
          </cell>
          <cell r="N142">
            <v>5000</v>
          </cell>
          <cell r="O142">
            <v>5000</v>
          </cell>
          <cell r="P142">
            <v>5000</v>
          </cell>
          <cell r="Q142">
            <v>5000</v>
          </cell>
          <cell r="R142">
            <v>5000</v>
          </cell>
        </row>
        <row r="143">
          <cell r="G143">
            <v>6500</v>
          </cell>
          <cell r="H143">
            <v>6500</v>
          </cell>
          <cell r="I143">
            <v>6500</v>
          </cell>
          <cell r="J143">
            <v>6500</v>
          </cell>
          <cell r="K143">
            <v>6500</v>
          </cell>
          <cell r="L143">
            <v>6500</v>
          </cell>
          <cell r="M143">
            <v>6500</v>
          </cell>
          <cell r="N143">
            <v>6500</v>
          </cell>
          <cell r="O143">
            <v>6500</v>
          </cell>
          <cell r="P143">
            <v>6500</v>
          </cell>
          <cell r="Q143">
            <v>6500</v>
          </cell>
          <cell r="R143">
            <v>6500</v>
          </cell>
        </row>
        <row r="144">
          <cell r="G144">
            <v>7500</v>
          </cell>
          <cell r="H144">
            <v>7500</v>
          </cell>
          <cell r="I144">
            <v>7500</v>
          </cell>
          <cell r="J144">
            <v>7500</v>
          </cell>
          <cell r="K144">
            <v>7500</v>
          </cell>
          <cell r="L144">
            <v>7500</v>
          </cell>
          <cell r="M144">
            <v>7500</v>
          </cell>
          <cell r="N144">
            <v>7500</v>
          </cell>
          <cell r="O144">
            <v>7500</v>
          </cell>
          <cell r="P144">
            <v>7500</v>
          </cell>
          <cell r="Q144">
            <v>7500</v>
          </cell>
          <cell r="R144">
            <v>7500</v>
          </cell>
        </row>
        <row r="145">
          <cell r="G145">
            <v>7000</v>
          </cell>
          <cell r="H145">
            <v>7000</v>
          </cell>
          <cell r="I145">
            <v>7000</v>
          </cell>
          <cell r="J145">
            <v>7000</v>
          </cell>
          <cell r="K145">
            <v>7000</v>
          </cell>
          <cell r="L145">
            <v>7000</v>
          </cell>
          <cell r="M145">
            <v>7000</v>
          </cell>
          <cell r="N145">
            <v>7000</v>
          </cell>
          <cell r="O145">
            <v>7000</v>
          </cell>
          <cell r="P145">
            <v>7000</v>
          </cell>
          <cell r="Q145">
            <v>7000</v>
          </cell>
          <cell r="R145">
            <v>7000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</row>
        <row r="149"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</row>
        <row r="152"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</row>
        <row r="155"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</row>
        <row r="158"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</row>
        <row r="161">
          <cell r="G161" t="str">
            <v>1월</v>
          </cell>
          <cell r="H161" t="str">
            <v>2월</v>
          </cell>
          <cell r="I161" t="str">
            <v>3월</v>
          </cell>
          <cell r="J161" t="str">
            <v>4월</v>
          </cell>
          <cell r="K161" t="str">
            <v>5월</v>
          </cell>
          <cell r="L161" t="str">
            <v>6월</v>
          </cell>
          <cell r="M161" t="str">
            <v>7월</v>
          </cell>
          <cell r="N161" t="str">
            <v>8월</v>
          </cell>
          <cell r="O161" t="str">
            <v>9월</v>
          </cell>
          <cell r="P161" t="str">
            <v>10월</v>
          </cell>
          <cell r="Q161" t="str">
            <v>11월</v>
          </cell>
          <cell r="R161" t="str">
            <v>12월</v>
          </cell>
        </row>
        <row r="162">
          <cell r="G162">
            <v>8131.4685314685312</v>
          </cell>
          <cell r="H162">
            <v>9088.1118881118891</v>
          </cell>
          <cell r="I162">
            <v>10044.755244755244</v>
          </cell>
          <cell r="J162">
            <v>10044.755244755244</v>
          </cell>
          <cell r="K162">
            <v>10044.755244755244</v>
          </cell>
          <cell r="L162">
            <v>9566.4335664335667</v>
          </cell>
          <cell r="M162">
            <v>10044.755244755244</v>
          </cell>
          <cell r="N162">
            <v>8131.4685314685312</v>
          </cell>
          <cell r="O162">
            <v>10044.755244755244</v>
          </cell>
          <cell r="P162">
            <v>9088.1118881118891</v>
          </cell>
          <cell r="Q162">
            <v>10044.755244755244</v>
          </cell>
          <cell r="R162">
            <v>10523.076923076922</v>
          </cell>
        </row>
        <row r="163"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</row>
        <row r="164"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G165">
            <v>0</v>
          </cell>
          <cell r="H165">
            <v>182870.02918914118</v>
          </cell>
          <cell r="I165">
            <v>36376.189107624683</v>
          </cell>
          <cell r="J165">
            <v>203776.55551873584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</row>
        <row r="166"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</row>
        <row r="168">
          <cell r="G168">
            <v>8131.4685314685312</v>
          </cell>
          <cell r="H168">
            <v>191958.14107725307</v>
          </cell>
          <cell r="I168">
            <v>46420.944352379927</v>
          </cell>
          <cell r="J168">
            <v>213821.31076349108</v>
          </cell>
          <cell r="K168">
            <v>10044.755244755244</v>
          </cell>
          <cell r="L168">
            <v>9566.4335664335667</v>
          </cell>
          <cell r="M168">
            <v>10044.755244755244</v>
          </cell>
          <cell r="N168">
            <v>8131.4685314685312</v>
          </cell>
          <cell r="O168">
            <v>10044.755244755244</v>
          </cell>
          <cell r="P168">
            <v>9088.1118881118891</v>
          </cell>
          <cell r="Q168">
            <v>10044.755244755244</v>
          </cell>
          <cell r="R168">
            <v>10523.076923076922</v>
          </cell>
        </row>
        <row r="169"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</row>
        <row r="170">
          <cell r="G170">
            <v>28470.629370629369</v>
          </cell>
          <cell r="H170">
            <v>159302.77872204929</v>
          </cell>
          <cell r="I170">
            <v>10044.755244755244</v>
          </cell>
          <cell r="J170">
            <v>177432.64013514537</v>
          </cell>
          <cell r="K170">
            <v>38404.545454545456</v>
          </cell>
          <cell r="L170">
            <v>36633.91608391609</v>
          </cell>
          <cell r="M170">
            <v>37112.237762237768</v>
          </cell>
          <cell r="N170">
            <v>31142.307692307688</v>
          </cell>
          <cell r="O170">
            <v>38523.426573426572</v>
          </cell>
          <cell r="P170">
            <v>34870.979020979023</v>
          </cell>
          <cell r="Q170">
            <v>41098.251748251751</v>
          </cell>
          <cell r="R170">
            <v>41795.454545454544</v>
          </cell>
        </row>
        <row r="171">
          <cell r="G171">
            <v>120124.82517482518</v>
          </cell>
          <cell r="H171">
            <v>127994.05594405593</v>
          </cell>
          <cell r="I171">
            <v>133026.92307692309</v>
          </cell>
          <cell r="J171">
            <v>142572.37762237765</v>
          </cell>
          <cell r="K171">
            <v>148572.37762237765</v>
          </cell>
          <cell r="L171">
            <v>142237.76223776228</v>
          </cell>
          <cell r="M171">
            <v>146499.65034965036</v>
          </cell>
          <cell r="N171">
            <v>121161.18881118883</v>
          </cell>
          <cell r="O171">
            <v>147536.013986014</v>
          </cell>
          <cell r="P171">
            <v>136939.51048951049</v>
          </cell>
          <cell r="Q171">
            <v>149608.74125874127</v>
          </cell>
          <cell r="R171">
            <v>155943.35664335664</v>
          </cell>
        </row>
        <row r="172">
          <cell r="G172">
            <v>140469.34284303201</v>
          </cell>
          <cell r="H172">
            <v>0</v>
          </cell>
          <cell r="I172">
            <v>0</v>
          </cell>
          <cell r="J172">
            <v>0</v>
          </cell>
          <cell r="K172">
            <v>184967.19884212877</v>
          </cell>
          <cell r="L172">
            <v>177969.74972004342</v>
          </cell>
          <cell r="M172">
            <v>177962.84536119207</v>
          </cell>
          <cell r="N172">
            <v>154889.86055650038</v>
          </cell>
          <cell r="O172">
            <v>185629.13118769872</v>
          </cell>
          <cell r="P172">
            <v>169480.12350927995</v>
          </cell>
          <cell r="Q172">
            <v>202770.86291402165</v>
          </cell>
          <cell r="R172">
            <v>203930.93284409156</v>
          </cell>
        </row>
        <row r="173">
          <cell r="G173">
            <v>53749.611188811185</v>
          </cell>
          <cell r="H173">
            <v>30545.454545454548</v>
          </cell>
          <cell r="I173">
            <v>0</v>
          </cell>
          <cell r="J173">
            <v>38181.818181818177</v>
          </cell>
          <cell r="K173">
            <v>66689.211188811198</v>
          </cell>
          <cell r="L173">
            <v>66689.211188811198</v>
          </cell>
          <cell r="M173">
            <v>58060.716083916079</v>
          </cell>
          <cell r="N173">
            <v>58398.302097902095</v>
          </cell>
          <cell r="O173">
            <v>62543.756643356646</v>
          </cell>
          <cell r="P173">
            <v>70834.665734265727</v>
          </cell>
          <cell r="Q173">
            <v>71167.767832167825</v>
          </cell>
          <cell r="R173">
            <v>71167.767832167825</v>
          </cell>
        </row>
        <row r="174">
          <cell r="G174">
            <v>113262.20670432912</v>
          </cell>
          <cell r="H174">
            <v>0</v>
          </cell>
          <cell r="I174">
            <v>0</v>
          </cell>
          <cell r="J174">
            <v>0</v>
          </cell>
          <cell r="K174">
            <v>120155.74386483429</v>
          </cell>
          <cell r="L174">
            <v>119641.92024160507</v>
          </cell>
          <cell r="M174">
            <v>119617.98513092045</v>
          </cell>
          <cell r="N174">
            <v>114165.69841404987</v>
          </cell>
          <cell r="O174">
            <v>120266.20023856756</v>
          </cell>
          <cell r="P174">
            <v>113813.88271095837</v>
          </cell>
          <cell r="Q174">
            <v>132382.74901103266</v>
          </cell>
          <cell r="R174">
            <v>132382.74901103266</v>
          </cell>
        </row>
        <row r="175">
          <cell r="G175">
            <v>456076.61528162687</v>
          </cell>
          <cell r="H175">
            <v>317842.28921155975</v>
          </cell>
          <cell r="I175">
            <v>143071.67832167834</v>
          </cell>
          <cell r="J175">
            <v>358186.83593934117</v>
          </cell>
          <cell r="K175">
            <v>558789.0769726974</v>
          </cell>
          <cell r="L175">
            <v>543172.55947213806</v>
          </cell>
          <cell r="M175">
            <v>539253.43468791677</v>
          </cell>
          <cell r="N175">
            <v>479757.3575719489</v>
          </cell>
          <cell r="O175">
            <v>554498.52862906351</v>
          </cell>
          <cell r="P175">
            <v>525939.16146499349</v>
          </cell>
          <cell r="Q175">
            <v>597028.37276421511</v>
          </cell>
          <cell r="R175">
            <v>605220.26087610319</v>
          </cell>
        </row>
        <row r="176"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</row>
        <row r="177"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</row>
        <row r="178"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</row>
        <row r="179"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</row>
        <row r="181"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</row>
        <row r="184"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</row>
        <row r="185"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</row>
        <row r="187"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</row>
        <row r="190">
          <cell r="G190">
            <v>8131.4685314685312</v>
          </cell>
          <cell r="H190">
            <v>191958.14107725307</v>
          </cell>
          <cell r="I190">
            <v>46420.944352379927</v>
          </cell>
          <cell r="J190">
            <v>213821.31076349108</v>
          </cell>
          <cell r="K190">
            <v>10044.755244755244</v>
          </cell>
          <cell r="L190">
            <v>9566.4335664335667</v>
          </cell>
          <cell r="M190">
            <v>10044.755244755244</v>
          </cell>
          <cell r="N190">
            <v>8131.4685314685312</v>
          </cell>
          <cell r="O190">
            <v>10044.755244755244</v>
          </cell>
          <cell r="P190">
            <v>9088.1118881118891</v>
          </cell>
          <cell r="Q190">
            <v>10044.755244755244</v>
          </cell>
          <cell r="R190">
            <v>10523.076923076922</v>
          </cell>
        </row>
        <row r="193">
          <cell r="G193" t="str">
            <v>1월</v>
          </cell>
          <cell r="H193" t="str">
            <v>2월</v>
          </cell>
          <cell r="I193" t="str">
            <v>3월</v>
          </cell>
          <cell r="J193" t="str">
            <v>4월</v>
          </cell>
          <cell r="K193" t="str">
            <v>5월</v>
          </cell>
          <cell r="L193" t="str">
            <v>6월</v>
          </cell>
          <cell r="M193" t="str">
            <v>7월</v>
          </cell>
          <cell r="N193" t="str">
            <v>8월</v>
          </cell>
          <cell r="O193" t="str">
            <v>9월</v>
          </cell>
          <cell r="P193" t="str">
            <v>10월</v>
          </cell>
          <cell r="Q193" t="str">
            <v>11월</v>
          </cell>
          <cell r="R193" t="str">
            <v>12월</v>
          </cell>
        </row>
        <row r="194">
          <cell r="G194">
            <v>3744.7552447552448</v>
          </cell>
          <cell r="H194">
            <v>4185.3146853146854</v>
          </cell>
          <cell r="I194">
            <v>4625.8741258741265</v>
          </cell>
          <cell r="J194">
            <v>4625.8741258741265</v>
          </cell>
          <cell r="K194">
            <v>4625.8741258741265</v>
          </cell>
          <cell r="L194">
            <v>4405.5944055944065</v>
          </cell>
          <cell r="M194">
            <v>4625.8741258741265</v>
          </cell>
          <cell r="N194">
            <v>3744.7552447552448</v>
          </cell>
          <cell r="O194">
            <v>4625.8741258741265</v>
          </cell>
          <cell r="P194">
            <v>4185.3146853146854</v>
          </cell>
          <cell r="Q194">
            <v>4625.8741258741265</v>
          </cell>
          <cell r="R194">
            <v>4846.1538461538466</v>
          </cell>
        </row>
        <row r="195">
          <cell r="G195">
            <v>4067.8321678321677</v>
          </cell>
          <cell r="H195">
            <v>0</v>
          </cell>
          <cell r="I195">
            <v>0</v>
          </cell>
          <cell r="J195">
            <v>0</v>
          </cell>
          <cell r="K195">
            <v>5671.9580419580416</v>
          </cell>
          <cell r="L195">
            <v>5413.4965034965035</v>
          </cell>
          <cell r="M195">
            <v>5413.4965034965035</v>
          </cell>
          <cell r="N195">
            <v>4602.1678321678319</v>
          </cell>
          <cell r="O195">
            <v>5695.734265734266</v>
          </cell>
          <cell r="P195">
            <v>5156.5734265734263</v>
          </cell>
          <cell r="Q195">
            <v>6210.6993006993007</v>
          </cell>
          <cell r="R195">
            <v>6254.4755244755243</v>
          </cell>
        </row>
        <row r="196">
          <cell r="G196">
            <v>1913.2867132867134</v>
          </cell>
          <cell r="H196">
            <v>1174.8251748251748</v>
          </cell>
          <cell r="I196">
            <v>0</v>
          </cell>
          <cell r="J196">
            <v>1468.5314685314686</v>
          </cell>
          <cell r="K196">
            <v>2391.6083916083917</v>
          </cell>
          <cell r="L196">
            <v>2391.6083916083917</v>
          </cell>
          <cell r="M196">
            <v>2072.7272727272725</v>
          </cell>
          <cell r="N196">
            <v>2072.7272727272725</v>
          </cell>
          <cell r="O196">
            <v>2232.1678321678323</v>
          </cell>
          <cell r="P196">
            <v>2551.048951048951</v>
          </cell>
          <cell r="Q196">
            <v>2551.048951048951</v>
          </cell>
          <cell r="R196">
            <v>2551.048951048951</v>
          </cell>
        </row>
        <row r="197">
          <cell r="G197">
            <v>4356.2387193972736</v>
          </cell>
          <cell r="H197">
            <v>4354.0483140271708</v>
          </cell>
          <cell r="I197">
            <v>4850.1585476832906</v>
          </cell>
          <cell r="J197">
            <v>4851.822750446092</v>
          </cell>
          <cell r="K197">
            <v>4621.374764032088</v>
          </cell>
          <cell r="L197">
            <v>4601.6123169848106</v>
          </cell>
          <cell r="M197">
            <v>4600.691735804633</v>
          </cell>
          <cell r="N197">
            <v>4390.9884005403792</v>
          </cell>
          <cell r="O197">
            <v>4625.6230860987525</v>
          </cell>
          <cell r="P197">
            <v>4377.4570273445524</v>
          </cell>
          <cell r="Q197">
            <v>5091.6441927320257</v>
          </cell>
          <cell r="R197">
            <v>5091.6441927320257</v>
          </cell>
        </row>
        <row r="198">
          <cell r="G198">
            <v>572.02237762237758</v>
          </cell>
          <cell r="H198">
            <v>0</v>
          </cell>
          <cell r="I198">
            <v>0</v>
          </cell>
          <cell r="J198">
            <v>0</v>
          </cell>
          <cell r="K198">
            <v>643.91328671328677</v>
          </cell>
          <cell r="L198">
            <v>643.91328671328677</v>
          </cell>
          <cell r="M198">
            <v>595.68671328671326</v>
          </cell>
          <cell r="N198">
            <v>643.91328671328677</v>
          </cell>
          <cell r="O198">
            <v>643.91328671328677</v>
          </cell>
          <cell r="P198">
            <v>643.91328671328677</v>
          </cell>
          <cell r="Q198">
            <v>691.49930069930065</v>
          </cell>
          <cell r="R198">
            <v>691.49930069930065</v>
          </cell>
        </row>
        <row r="199"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G200">
            <v>14654.135222893778</v>
          </cell>
          <cell r="H200">
            <v>9714.1881741670313</v>
          </cell>
          <cell r="I200">
            <v>9476.0326735574163</v>
          </cell>
          <cell r="J200">
            <v>10946.228344851686</v>
          </cell>
          <cell r="K200">
            <v>17954.728610185935</v>
          </cell>
          <cell r="L200">
            <v>17456.224904397401</v>
          </cell>
          <cell r="M200">
            <v>17308.476351189249</v>
          </cell>
          <cell r="N200">
            <v>15454.552036904013</v>
          </cell>
          <cell r="O200">
            <v>17823.312596588265</v>
          </cell>
          <cell r="P200">
            <v>16914.307376994901</v>
          </cell>
          <cell r="Q200">
            <v>19170.765871053703</v>
          </cell>
          <cell r="R200">
            <v>19434.821815109648</v>
          </cell>
        </row>
        <row r="201"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</row>
        <row r="204"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</row>
        <row r="205"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</row>
        <row r="206"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</row>
        <row r="207"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</row>
        <row r="208">
          <cell r="G208">
            <v>3744.7552447552448</v>
          </cell>
          <cell r="H208">
            <v>4185.3146853146854</v>
          </cell>
          <cell r="I208">
            <v>4625.8741258741265</v>
          </cell>
          <cell r="J208">
            <v>4625.8741258741265</v>
          </cell>
          <cell r="K208">
            <v>4625.8741258741265</v>
          </cell>
          <cell r="L208">
            <v>4405.5944055944065</v>
          </cell>
          <cell r="M208">
            <v>4625.8741258741265</v>
          </cell>
          <cell r="N208">
            <v>3744.7552447552448</v>
          </cell>
          <cell r="O208">
            <v>4625.8741258741265</v>
          </cell>
          <cell r="P208">
            <v>4185.3146853146854</v>
          </cell>
          <cell r="Q208">
            <v>4625.8741258741265</v>
          </cell>
          <cell r="R208">
            <v>4846.1538461538466</v>
          </cell>
        </row>
        <row r="209">
          <cell r="G209">
            <v>4067.8321678321677</v>
          </cell>
          <cell r="H209">
            <v>0</v>
          </cell>
          <cell r="I209">
            <v>0</v>
          </cell>
          <cell r="J209">
            <v>0</v>
          </cell>
          <cell r="K209">
            <v>5671.9580419580416</v>
          </cell>
          <cell r="L209">
            <v>5413.4965034965035</v>
          </cell>
          <cell r="M209">
            <v>5413.4965034965035</v>
          </cell>
          <cell r="N209">
            <v>4602.1678321678319</v>
          </cell>
          <cell r="O209">
            <v>5695.734265734266</v>
          </cell>
          <cell r="P209">
            <v>5156.5734265734263</v>
          </cell>
          <cell r="Q209">
            <v>6210.6993006993007</v>
          </cell>
          <cell r="R209">
            <v>6254.4755244755243</v>
          </cell>
        </row>
        <row r="210">
          <cell r="G210">
            <v>1913.2867132867134</v>
          </cell>
          <cell r="H210">
            <v>1174.8251748251748</v>
          </cell>
          <cell r="I210">
            <v>0</v>
          </cell>
          <cell r="J210">
            <v>1468.5314685314686</v>
          </cell>
          <cell r="K210">
            <v>2391.6083916083917</v>
          </cell>
          <cell r="L210">
            <v>2391.6083916083917</v>
          </cell>
          <cell r="M210">
            <v>2072.7272727272725</v>
          </cell>
          <cell r="N210">
            <v>2072.7272727272725</v>
          </cell>
          <cell r="O210">
            <v>2232.1678321678323</v>
          </cell>
          <cell r="P210">
            <v>2551.048951048951</v>
          </cell>
          <cell r="Q210">
            <v>2551.048951048951</v>
          </cell>
          <cell r="R210">
            <v>2551.048951048951</v>
          </cell>
        </row>
        <row r="211">
          <cell r="G211">
            <v>4356.2387193972736</v>
          </cell>
          <cell r="H211">
            <v>4354.0483140271708</v>
          </cell>
          <cell r="I211">
            <v>4850.1585476832906</v>
          </cell>
          <cell r="J211">
            <v>4851.822750446092</v>
          </cell>
          <cell r="K211">
            <v>4621.374764032088</v>
          </cell>
          <cell r="L211">
            <v>4601.6123169848106</v>
          </cell>
          <cell r="M211">
            <v>4600.691735804633</v>
          </cell>
          <cell r="N211">
            <v>4390.9884005403792</v>
          </cell>
          <cell r="O211">
            <v>4625.6230860987525</v>
          </cell>
          <cell r="P211">
            <v>4377.4570273445524</v>
          </cell>
          <cell r="Q211">
            <v>5091.6441927320257</v>
          </cell>
          <cell r="R211">
            <v>5091.6441927320257</v>
          </cell>
        </row>
        <row r="212">
          <cell r="G212">
            <v>572.02237762237758</v>
          </cell>
          <cell r="H212">
            <v>0</v>
          </cell>
          <cell r="I212">
            <v>0</v>
          </cell>
          <cell r="J212">
            <v>0</v>
          </cell>
          <cell r="K212">
            <v>643.91328671328677</v>
          </cell>
          <cell r="L212">
            <v>643.91328671328677</v>
          </cell>
          <cell r="M212">
            <v>595.68671328671326</v>
          </cell>
          <cell r="N212">
            <v>643.91328671328677</v>
          </cell>
          <cell r="O212">
            <v>643.91328671328677</v>
          </cell>
          <cell r="P212">
            <v>643.91328671328677</v>
          </cell>
          <cell r="Q212">
            <v>691.49930069930065</v>
          </cell>
          <cell r="R212">
            <v>691.49930069930065</v>
          </cell>
        </row>
        <row r="213"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</row>
        <row r="214">
          <cell r="G214">
            <v>14654.135222893778</v>
          </cell>
          <cell r="H214">
            <v>9714.1881741670313</v>
          </cell>
          <cell r="I214">
            <v>9476.0326735574163</v>
          </cell>
          <cell r="J214">
            <v>10946.228344851686</v>
          </cell>
          <cell r="K214">
            <v>17954.728610185935</v>
          </cell>
          <cell r="L214">
            <v>17456.224904397401</v>
          </cell>
          <cell r="M214">
            <v>17308.476351189249</v>
          </cell>
          <cell r="N214">
            <v>15454.552036904013</v>
          </cell>
          <cell r="O214">
            <v>17823.312596588265</v>
          </cell>
          <cell r="P214">
            <v>16914.307376994901</v>
          </cell>
          <cell r="Q214">
            <v>19170.765871053703</v>
          </cell>
          <cell r="R214">
            <v>19434.821815109648</v>
          </cell>
        </row>
        <row r="216">
          <cell r="G216">
            <v>1430</v>
          </cell>
          <cell r="H216" t="str">
            <v>KG/㎥</v>
          </cell>
        </row>
        <row r="217">
          <cell r="G217" t="str">
            <v>1월</v>
          </cell>
          <cell r="H217" t="str">
            <v>2월</v>
          </cell>
          <cell r="I217" t="str">
            <v>3월</v>
          </cell>
          <cell r="J217" t="str">
            <v>4월</v>
          </cell>
          <cell r="K217" t="str">
            <v>5월</v>
          </cell>
          <cell r="L217" t="str">
            <v>6월</v>
          </cell>
          <cell r="M217" t="str">
            <v>7월</v>
          </cell>
          <cell r="N217" t="str">
            <v>8월</v>
          </cell>
          <cell r="O217" t="str">
            <v>9월</v>
          </cell>
          <cell r="P217" t="str">
            <v>10월</v>
          </cell>
          <cell r="Q217" t="str">
            <v>11월</v>
          </cell>
          <cell r="R217" t="str">
            <v>12월</v>
          </cell>
        </row>
        <row r="218">
          <cell r="G218">
            <v>5355000</v>
          </cell>
          <cell r="H218">
            <v>5985000</v>
          </cell>
          <cell r="I218">
            <v>6615000.0000000009</v>
          </cell>
          <cell r="J218">
            <v>6615000.0000000009</v>
          </cell>
          <cell r="K218">
            <v>6615000.0000000009</v>
          </cell>
          <cell r="L218">
            <v>6300000.0000000009</v>
          </cell>
          <cell r="M218">
            <v>6615000.0000000009</v>
          </cell>
          <cell r="N218">
            <v>5355000</v>
          </cell>
          <cell r="O218">
            <v>6615000.0000000009</v>
          </cell>
          <cell r="P218">
            <v>5985000</v>
          </cell>
          <cell r="Q218">
            <v>6615000.0000000009</v>
          </cell>
          <cell r="R218">
            <v>6930000.0000000009</v>
          </cell>
        </row>
        <row r="219">
          <cell r="G219">
            <v>5817000</v>
          </cell>
          <cell r="H219">
            <v>0</v>
          </cell>
          <cell r="I219">
            <v>0</v>
          </cell>
          <cell r="J219">
            <v>0</v>
          </cell>
          <cell r="K219">
            <v>8110899.9999999991</v>
          </cell>
          <cell r="L219">
            <v>7741300</v>
          </cell>
          <cell r="M219">
            <v>7741300</v>
          </cell>
          <cell r="N219">
            <v>6581100</v>
          </cell>
          <cell r="O219">
            <v>8144900</v>
          </cell>
          <cell r="P219">
            <v>7373900</v>
          </cell>
          <cell r="Q219">
            <v>8881300</v>
          </cell>
          <cell r="R219">
            <v>8943900</v>
          </cell>
        </row>
        <row r="220">
          <cell r="G220">
            <v>2736000</v>
          </cell>
          <cell r="H220">
            <v>1680000</v>
          </cell>
          <cell r="I220">
            <v>0</v>
          </cell>
          <cell r="J220">
            <v>2100000</v>
          </cell>
          <cell r="K220">
            <v>3420000</v>
          </cell>
          <cell r="L220">
            <v>3420000</v>
          </cell>
          <cell r="M220">
            <v>2963999.9999999995</v>
          </cell>
          <cell r="N220">
            <v>2963999.9999999995</v>
          </cell>
          <cell r="O220">
            <v>3192000</v>
          </cell>
          <cell r="P220">
            <v>3648000</v>
          </cell>
          <cell r="Q220">
            <v>3648000</v>
          </cell>
          <cell r="R220">
            <v>3648000</v>
          </cell>
        </row>
        <row r="221">
          <cell r="G221">
            <v>6229421.3687381009</v>
          </cell>
          <cell r="H221">
            <v>6226289.0890588546</v>
          </cell>
          <cell r="I221">
            <v>6935726.7231871057</v>
          </cell>
          <cell r="J221">
            <v>6938106.5331379119</v>
          </cell>
          <cell r="K221">
            <v>6608565.912565886</v>
          </cell>
          <cell r="L221">
            <v>6580305.6132882796</v>
          </cell>
          <cell r="M221">
            <v>6578989.1822006255</v>
          </cell>
          <cell r="N221">
            <v>6279113.4127727421</v>
          </cell>
          <cell r="O221">
            <v>6614641.0131212166</v>
          </cell>
          <cell r="P221">
            <v>6259763.5491027096</v>
          </cell>
          <cell r="Q221">
            <v>7281051.195606797</v>
          </cell>
          <cell r="R221">
            <v>7281051.195606797</v>
          </cell>
        </row>
        <row r="222">
          <cell r="G222">
            <v>817991.99999999988</v>
          </cell>
          <cell r="H222">
            <v>0</v>
          </cell>
          <cell r="I222">
            <v>0</v>
          </cell>
          <cell r="J222">
            <v>0</v>
          </cell>
          <cell r="K222">
            <v>920796.00000000012</v>
          </cell>
          <cell r="L222">
            <v>920796.00000000012</v>
          </cell>
          <cell r="M222">
            <v>851832</v>
          </cell>
          <cell r="N222">
            <v>920796.00000000012</v>
          </cell>
          <cell r="O222">
            <v>920796.00000000012</v>
          </cell>
          <cell r="P222">
            <v>920796.00000000012</v>
          </cell>
          <cell r="Q222">
            <v>988843.99999999988</v>
          </cell>
          <cell r="R222">
            <v>988843.99999999988</v>
          </cell>
        </row>
        <row r="223"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</row>
        <row r="224">
          <cell r="G224">
            <v>20955413.3687381</v>
          </cell>
          <cell r="H224">
            <v>13891289.089058854</v>
          </cell>
          <cell r="I224">
            <v>13550726.723187108</v>
          </cell>
          <cell r="J224">
            <v>15653106.533137912</v>
          </cell>
          <cell r="K224">
            <v>25675261.912565887</v>
          </cell>
          <cell r="L224">
            <v>24962401.61328828</v>
          </cell>
          <cell r="M224">
            <v>24751121.182200626</v>
          </cell>
          <cell r="N224">
            <v>22100009.412772741</v>
          </cell>
          <cell r="O224">
            <v>25487337.013121217</v>
          </cell>
          <cell r="P224">
            <v>24187459.549102709</v>
          </cell>
          <cell r="Q224">
            <v>27414195.195606798</v>
          </cell>
          <cell r="R224">
            <v>27791795.195606798</v>
          </cell>
        </row>
        <row r="225"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</row>
        <row r="226"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</row>
        <row r="227"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</row>
        <row r="229"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G232">
            <v>5355000</v>
          </cell>
          <cell r="H232">
            <v>5985000</v>
          </cell>
          <cell r="I232">
            <v>6615000.0000000009</v>
          </cell>
          <cell r="J232">
            <v>6615000.0000000009</v>
          </cell>
          <cell r="K232">
            <v>6615000.0000000009</v>
          </cell>
          <cell r="L232">
            <v>6300000.0000000009</v>
          </cell>
          <cell r="M232">
            <v>6615000.0000000009</v>
          </cell>
          <cell r="N232">
            <v>5355000</v>
          </cell>
          <cell r="O232">
            <v>6615000.0000000009</v>
          </cell>
          <cell r="P232">
            <v>5985000</v>
          </cell>
          <cell r="Q232">
            <v>6615000.0000000009</v>
          </cell>
          <cell r="R232">
            <v>6930000.0000000009</v>
          </cell>
        </row>
        <row r="233">
          <cell r="G233">
            <v>5817000</v>
          </cell>
          <cell r="H233">
            <v>0</v>
          </cell>
          <cell r="I233">
            <v>0</v>
          </cell>
          <cell r="J233">
            <v>0</v>
          </cell>
          <cell r="K233">
            <v>8110899.9999999991</v>
          </cell>
          <cell r="L233">
            <v>7741300</v>
          </cell>
          <cell r="M233">
            <v>7741300</v>
          </cell>
          <cell r="N233">
            <v>6581100</v>
          </cell>
          <cell r="O233">
            <v>8144900</v>
          </cell>
          <cell r="P233">
            <v>7373900</v>
          </cell>
          <cell r="Q233">
            <v>8881300</v>
          </cell>
          <cell r="R233">
            <v>8943900</v>
          </cell>
        </row>
        <row r="234">
          <cell r="G234">
            <v>2736000</v>
          </cell>
          <cell r="H234">
            <v>1680000</v>
          </cell>
          <cell r="I234">
            <v>0</v>
          </cell>
          <cell r="J234">
            <v>2100000</v>
          </cell>
          <cell r="K234">
            <v>3420000</v>
          </cell>
          <cell r="L234">
            <v>3420000</v>
          </cell>
          <cell r="M234">
            <v>2963999.9999999995</v>
          </cell>
          <cell r="N234">
            <v>2963999.9999999995</v>
          </cell>
          <cell r="O234">
            <v>3192000</v>
          </cell>
          <cell r="P234">
            <v>3648000</v>
          </cell>
          <cell r="Q234">
            <v>3648000</v>
          </cell>
          <cell r="R234">
            <v>3648000</v>
          </cell>
        </row>
        <row r="235">
          <cell r="G235">
            <v>6229421.3687381009</v>
          </cell>
          <cell r="H235">
            <v>6226289.0890588546</v>
          </cell>
          <cell r="I235">
            <v>6935726.7231871057</v>
          </cell>
          <cell r="J235">
            <v>6938106.5331379119</v>
          </cell>
          <cell r="K235">
            <v>6608565.912565886</v>
          </cell>
          <cell r="L235">
            <v>6580305.6132882796</v>
          </cell>
          <cell r="M235">
            <v>6578989.1822006255</v>
          </cell>
          <cell r="N235">
            <v>6279113.4127727421</v>
          </cell>
          <cell r="O235">
            <v>6614641.0131212166</v>
          </cell>
          <cell r="P235">
            <v>6259763.5491027096</v>
          </cell>
          <cell r="Q235">
            <v>7281051.195606797</v>
          </cell>
          <cell r="R235">
            <v>7281051.195606797</v>
          </cell>
        </row>
        <row r="236">
          <cell r="G236">
            <v>817991.99999999988</v>
          </cell>
          <cell r="H236">
            <v>0</v>
          </cell>
          <cell r="I236">
            <v>0</v>
          </cell>
          <cell r="J236">
            <v>0</v>
          </cell>
          <cell r="K236">
            <v>920796.00000000012</v>
          </cell>
          <cell r="L236">
            <v>920796.00000000012</v>
          </cell>
          <cell r="M236">
            <v>851832</v>
          </cell>
          <cell r="N236">
            <v>920796.00000000012</v>
          </cell>
          <cell r="O236">
            <v>920796.00000000012</v>
          </cell>
          <cell r="P236">
            <v>920796.00000000012</v>
          </cell>
          <cell r="Q236">
            <v>988843.99999999988</v>
          </cell>
          <cell r="R236">
            <v>988843.99999999988</v>
          </cell>
        </row>
        <row r="237"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G238">
            <v>20955413.3687381</v>
          </cell>
          <cell r="H238">
            <v>13891289.089058854</v>
          </cell>
          <cell r="I238">
            <v>13550726.723187108</v>
          </cell>
          <cell r="J238">
            <v>15653106.533137912</v>
          </cell>
          <cell r="K238">
            <v>25675261.912565887</v>
          </cell>
          <cell r="L238">
            <v>24962401.61328828</v>
          </cell>
          <cell r="M238">
            <v>24751121.182200626</v>
          </cell>
          <cell r="N238">
            <v>22100009.412772741</v>
          </cell>
          <cell r="O238">
            <v>25487337.013121217</v>
          </cell>
          <cell r="P238">
            <v>24187459.549102709</v>
          </cell>
          <cell r="Q238">
            <v>27414195.195606798</v>
          </cell>
          <cell r="R238">
            <v>27791795.195606798</v>
          </cell>
        </row>
        <row r="241">
          <cell r="G241" t="str">
            <v>1월</v>
          </cell>
          <cell r="H241" t="str">
            <v>2월</v>
          </cell>
          <cell r="I241" t="str">
            <v>3월</v>
          </cell>
          <cell r="J241" t="str">
            <v>4월</v>
          </cell>
          <cell r="K241" t="str">
            <v>5월</v>
          </cell>
          <cell r="L241" t="str">
            <v>6월</v>
          </cell>
          <cell r="M241" t="str">
            <v>7월</v>
          </cell>
          <cell r="N241" t="str">
            <v>8월</v>
          </cell>
          <cell r="O241" t="str">
            <v>9월</v>
          </cell>
          <cell r="P241" t="str">
            <v>10월</v>
          </cell>
          <cell r="Q241" t="str">
            <v>11월</v>
          </cell>
          <cell r="R241" t="str">
            <v>12월</v>
          </cell>
        </row>
        <row r="242">
          <cell r="G242">
            <v>8131.4685314685312</v>
          </cell>
          <cell r="H242">
            <v>9088.1118881118891</v>
          </cell>
          <cell r="I242">
            <v>10044.755244755244</v>
          </cell>
          <cell r="J242">
            <v>10044.755244755244</v>
          </cell>
          <cell r="K242">
            <v>10044.755244755244</v>
          </cell>
          <cell r="L242">
            <v>9566.4335664335667</v>
          </cell>
          <cell r="M242">
            <v>10044.755244755244</v>
          </cell>
          <cell r="N242">
            <v>8131.4685314685312</v>
          </cell>
          <cell r="O242">
            <v>10044.755244755244</v>
          </cell>
          <cell r="P242">
            <v>9088.1118881118891</v>
          </cell>
          <cell r="Q242">
            <v>10044.755244755244</v>
          </cell>
          <cell r="R242">
            <v>10523.076923076922</v>
          </cell>
        </row>
        <row r="243">
          <cell r="G243">
            <v>28470.629370629369</v>
          </cell>
          <cell r="H243">
            <v>159302.77872204929</v>
          </cell>
          <cell r="I243">
            <v>10044.755244755244</v>
          </cell>
          <cell r="J243">
            <v>177432.64013514537</v>
          </cell>
          <cell r="K243">
            <v>38404.545454545456</v>
          </cell>
          <cell r="L243">
            <v>36633.91608391609</v>
          </cell>
          <cell r="M243">
            <v>37112.237762237768</v>
          </cell>
          <cell r="N243">
            <v>31142.307692307688</v>
          </cell>
          <cell r="O243">
            <v>38523.426573426572</v>
          </cell>
          <cell r="P243">
            <v>34870.979020979023</v>
          </cell>
          <cell r="Q243">
            <v>41098.251748251751</v>
          </cell>
          <cell r="R243">
            <v>41795.454545454544</v>
          </cell>
        </row>
        <row r="244">
          <cell r="G244">
            <v>120124.82517482518</v>
          </cell>
          <cell r="H244">
            <v>127994.05594405593</v>
          </cell>
          <cell r="I244">
            <v>133026.92307692309</v>
          </cell>
          <cell r="J244">
            <v>142572.37762237765</v>
          </cell>
          <cell r="K244">
            <v>148572.37762237765</v>
          </cell>
          <cell r="L244">
            <v>142237.76223776228</v>
          </cell>
          <cell r="M244">
            <v>146499.65034965036</v>
          </cell>
          <cell r="N244">
            <v>121161.18881118883</v>
          </cell>
          <cell r="O244">
            <v>147536.013986014</v>
          </cell>
          <cell r="P244">
            <v>136939.51048951049</v>
          </cell>
          <cell r="Q244">
            <v>149608.74125874127</v>
          </cell>
          <cell r="R244">
            <v>155943.35664335664</v>
          </cell>
        </row>
        <row r="245">
          <cell r="G245">
            <v>140469.34284303201</v>
          </cell>
          <cell r="H245">
            <v>182870.02918914118</v>
          </cell>
          <cell r="I245">
            <v>36376.189107624683</v>
          </cell>
          <cell r="J245">
            <v>203776.55551873584</v>
          </cell>
          <cell r="K245">
            <v>184967.19884212877</v>
          </cell>
          <cell r="L245">
            <v>177969.74972004342</v>
          </cell>
          <cell r="M245">
            <v>177962.84536119207</v>
          </cell>
          <cell r="N245">
            <v>154889.86055650038</v>
          </cell>
          <cell r="O245">
            <v>185629.13118769872</v>
          </cell>
          <cell r="P245">
            <v>169480.12350927995</v>
          </cell>
          <cell r="Q245">
            <v>202770.86291402165</v>
          </cell>
          <cell r="R245">
            <v>203930.93284409156</v>
          </cell>
        </row>
        <row r="246">
          <cell r="G246">
            <v>53749.611188811185</v>
          </cell>
          <cell r="H246">
            <v>30545.454545454548</v>
          </cell>
          <cell r="I246">
            <v>0</v>
          </cell>
          <cell r="J246">
            <v>38181.818181818177</v>
          </cell>
          <cell r="K246">
            <v>66689.211188811198</v>
          </cell>
          <cell r="L246">
            <v>66689.211188811198</v>
          </cell>
          <cell r="M246">
            <v>58060.716083916079</v>
          </cell>
          <cell r="N246">
            <v>58398.302097902095</v>
          </cell>
          <cell r="O246">
            <v>62543.756643356646</v>
          </cell>
          <cell r="P246">
            <v>70834.665734265727</v>
          </cell>
          <cell r="Q246">
            <v>71167.767832167825</v>
          </cell>
          <cell r="R246">
            <v>71167.767832167825</v>
          </cell>
        </row>
        <row r="247">
          <cell r="G247">
            <v>113262.20670432912</v>
          </cell>
          <cell r="H247">
            <v>0</v>
          </cell>
          <cell r="I247">
            <v>0</v>
          </cell>
          <cell r="J247">
            <v>0</v>
          </cell>
          <cell r="K247">
            <v>120155.74386483429</v>
          </cell>
          <cell r="L247">
            <v>119641.92024160507</v>
          </cell>
          <cell r="M247">
            <v>119617.98513092045</v>
          </cell>
          <cell r="N247">
            <v>114165.69841404987</v>
          </cell>
          <cell r="O247">
            <v>120266.20023856756</v>
          </cell>
          <cell r="P247">
            <v>113813.88271095837</v>
          </cell>
          <cell r="Q247">
            <v>132382.74901103266</v>
          </cell>
          <cell r="R247">
            <v>132382.74901103266</v>
          </cell>
        </row>
        <row r="248">
          <cell r="G248">
            <v>464208.08381309541</v>
          </cell>
          <cell r="H248">
            <v>509800.43028881284</v>
          </cell>
          <cell r="I248">
            <v>189492.62267405825</v>
          </cell>
          <cell r="J248">
            <v>572008.14670283231</v>
          </cell>
          <cell r="K248">
            <v>568833.8322174527</v>
          </cell>
          <cell r="L248">
            <v>552738.99303857156</v>
          </cell>
          <cell r="M248">
            <v>549298.18993267196</v>
          </cell>
          <cell r="N248">
            <v>487888.82610341744</v>
          </cell>
          <cell r="O248">
            <v>564543.2838738187</v>
          </cell>
          <cell r="P248">
            <v>535027.27335310541</v>
          </cell>
          <cell r="Q248">
            <v>607073.12800897041</v>
          </cell>
          <cell r="R248">
            <v>615743.33779918007</v>
          </cell>
        </row>
        <row r="249"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</row>
        <row r="253"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</row>
        <row r="254"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</row>
        <row r="255"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</row>
        <row r="256">
          <cell r="G256">
            <v>8131.4685314685312</v>
          </cell>
          <cell r="H256">
            <v>9088.1118881118891</v>
          </cell>
          <cell r="I256">
            <v>10044.755244755244</v>
          </cell>
          <cell r="J256">
            <v>10044.755244755244</v>
          </cell>
          <cell r="K256">
            <v>10044.755244755244</v>
          </cell>
          <cell r="L256">
            <v>9566.4335664335667</v>
          </cell>
          <cell r="M256">
            <v>10044.755244755244</v>
          </cell>
          <cell r="N256">
            <v>8131.4685314685312</v>
          </cell>
          <cell r="O256">
            <v>10044.755244755244</v>
          </cell>
          <cell r="P256">
            <v>9088.1118881118891</v>
          </cell>
          <cell r="Q256">
            <v>10044.755244755244</v>
          </cell>
          <cell r="R256">
            <v>10523.076923076922</v>
          </cell>
        </row>
        <row r="257">
          <cell r="G257">
            <v>28470.629370629369</v>
          </cell>
          <cell r="H257">
            <v>159302.77872204929</v>
          </cell>
          <cell r="I257">
            <v>10044.755244755244</v>
          </cell>
          <cell r="J257">
            <v>177432.64013514537</v>
          </cell>
          <cell r="K257">
            <v>38404.545454545456</v>
          </cell>
          <cell r="L257">
            <v>36633.91608391609</v>
          </cell>
          <cell r="M257">
            <v>37112.237762237768</v>
          </cell>
          <cell r="N257">
            <v>31142.307692307688</v>
          </cell>
          <cell r="O257">
            <v>38523.426573426572</v>
          </cell>
          <cell r="P257">
            <v>34870.979020979023</v>
          </cell>
          <cell r="Q257">
            <v>41098.251748251751</v>
          </cell>
          <cell r="R257">
            <v>41795.454545454544</v>
          </cell>
        </row>
        <row r="258">
          <cell r="G258">
            <v>120124.82517482518</v>
          </cell>
          <cell r="H258">
            <v>127994.05594405593</v>
          </cell>
          <cell r="I258">
            <v>133026.92307692309</v>
          </cell>
          <cell r="J258">
            <v>142572.37762237765</v>
          </cell>
          <cell r="K258">
            <v>148572.37762237765</v>
          </cell>
          <cell r="L258">
            <v>142237.76223776228</v>
          </cell>
          <cell r="M258">
            <v>146499.65034965036</v>
          </cell>
          <cell r="N258">
            <v>121161.18881118883</v>
          </cell>
          <cell r="O258">
            <v>147536.013986014</v>
          </cell>
          <cell r="P258">
            <v>136939.51048951049</v>
          </cell>
          <cell r="Q258">
            <v>149608.74125874127</v>
          </cell>
          <cell r="R258">
            <v>155943.35664335664</v>
          </cell>
        </row>
        <row r="259">
          <cell r="G259">
            <v>140469.34284303201</v>
          </cell>
          <cell r="H259">
            <v>182870.02918914118</v>
          </cell>
          <cell r="I259">
            <v>36376.189107624683</v>
          </cell>
          <cell r="J259">
            <v>203776.55551873584</v>
          </cell>
          <cell r="K259">
            <v>184967.19884212877</v>
          </cell>
          <cell r="L259">
            <v>177969.74972004342</v>
          </cell>
          <cell r="M259">
            <v>177962.84536119207</v>
          </cell>
          <cell r="N259">
            <v>154889.86055650038</v>
          </cell>
          <cell r="O259">
            <v>185629.13118769872</v>
          </cell>
          <cell r="P259">
            <v>169480.12350927995</v>
          </cell>
          <cell r="Q259">
            <v>202770.86291402165</v>
          </cell>
          <cell r="R259">
            <v>203930.93284409156</v>
          </cell>
        </row>
        <row r="260">
          <cell r="G260">
            <v>53749.611188811185</v>
          </cell>
          <cell r="H260">
            <v>30545.454545454548</v>
          </cell>
          <cell r="I260">
            <v>0</v>
          </cell>
          <cell r="J260">
            <v>38181.818181818177</v>
          </cell>
          <cell r="K260">
            <v>66689.211188811198</v>
          </cell>
          <cell r="L260">
            <v>66689.211188811198</v>
          </cell>
          <cell r="M260">
            <v>58060.716083916079</v>
          </cell>
          <cell r="N260">
            <v>58398.302097902095</v>
          </cell>
          <cell r="O260">
            <v>62543.756643356646</v>
          </cell>
          <cell r="P260">
            <v>70834.665734265727</v>
          </cell>
          <cell r="Q260">
            <v>71167.767832167825</v>
          </cell>
          <cell r="R260">
            <v>71167.767832167825</v>
          </cell>
        </row>
        <row r="261">
          <cell r="G261">
            <v>113262.20670432912</v>
          </cell>
          <cell r="H261">
            <v>0</v>
          </cell>
          <cell r="I261">
            <v>0</v>
          </cell>
          <cell r="J261">
            <v>0</v>
          </cell>
          <cell r="K261">
            <v>120155.74386483429</v>
          </cell>
          <cell r="L261">
            <v>119641.92024160507</v>
          </cell>
          <cell r="M261">
            <v>119617.98513092045</v>
          </cell>
          <cell r="N261">
            <v>114165.69841404987</v>
          </cell>
          <cell r="O261">
            <v>120266.20023856756</v>
          </cell>
          <cell r="P261">
            <v>113813.88271095837</v>
          </cell>
          <cell r="Q261">
            <v>132382.74901103266</v>
          </cell>
          <cell r="R261">
            <v>132382.74901103266</v>
          </cell>
        </row>
        <row r="262">
          <cell r="G262">
            <v>464208.08381309541</v>
          </cell>
          <cell r="H262">
            <v>509800.43028881284</v>
          </cell>
          <cell r="I262">
            <v>189492.62267405825</v>
          </cell>
          <cell r="J262">
            <v>572008.14670283231</v>
          </cell>
          <cell r="K262">
            <v>568833.8322174527</v>
          </cell>
          <cell r="L262">
            <v>552738.99303857156</v>
          </cell>
          <cell r="M262">
            <v>549298.18993267196</v>
          </cell>
          <cell r="N262">
            <v>487888.82610341744</v>
          </cell>
          <cell r="O262">
            <v>564543.2838738187</v>
          </cell>
          <cell r="P262">
            <v>535027.27335310541</v>
          </cell>
          <cell r="Q262">
            <v>607073.12800897041</v>
          </cell>
          <cell r="R262">
            <v>615743.33779918007</v>
          </cell>
        </row>
        <row r="265"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</row>
        <row r="266"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</row>
        <row r="267"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</row>
        <row r="268"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</row>
        <row r="270"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2"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G273">
            <v>0</v>
          </cell>
          <cell r="H273">
            <v>5000</v>
          </cell>
          <cell r="I273">
            <v>5000</v>
          </cell>
          <cell r="J273">
            <v>5000</v>
          </cell>
          <cell r="K273">
            <v>5000</v>
          </cell>
          <cell r="L273">
            <v>5000</v>
          </cell>
          <cell r="M273">
            <v>5000</v>
          </cell>
          <cell r="N273">
            <v>5000</v>
          </cell>
          <cell r="O273">
            <v>5000</v>
          </cell>
          <cell r="P273">
            <v>5000</v>
          </cell>
          <cell r="Q273">
            <v>5000</v>
          </cell>
          <cell r="R273">
            <v>5000</v>
          </cell>
        </row>
        <row r="274">
          <cell r="G274">
            <v>0</v>
          </cell>
          <cell r="H274">
            <v>6500</v>
          </cell>
          <cell r="I274">
            <v>6500</v>
          </cell>
          <cell r="J274">
            <v>6500</v>
          </cell>
          <cell r="K274">
            <v>6500</v>
          </cell>
          <cell r="L274">
            <v>6500</v>
          </cell>
          <cell r="M274">
            <v>6500</v>
          </cell>
          <cell r="N274">
            <v>6500</v>
          </cell>
          <cell r="O274">
            <v>6500</v>
          </cell>
          <cell r="P274">
            <v>6500</v>
          </cell>
          <cell r="Q274">
            <v>6500</v>
          </cell>
          <cell r="R274">
            <v>6500</v>
          </cell>
        </row>
        <row r="275">
          <cell r="G275">
            <v>0</v>
          </cell>
          <cell r="H275">
            <v>7500</v>
          </cell>
          <cell r="I275">
            <v>7500</v>
          </cell>
          <cell r="J275">
            <v>7500</v>
          </cell>
          <cell r="K275">
            <v>7500</v>
          </cell>
          <cell r="L275">
            <v>7500</v>
          </cell>
          <cell r="M275">
            <v>7500</v>
          </cell>
          <cell r="N275">
            <v>7500</v>
          </cell>
          <cell r="O275">
            <v>7500</v>
          </cell>
          <cell r="P275">
            <v>7500</v>
          </cell>
          <cell r="Q275">
            <v>7500</v>
          </cell>
          <cell r="R275">
            <v>7500</v>
          </cell>
        </row>
        <row r="276">
          <cell r="G276">
            <v>0</v>
          </cell>
          <cell r="H276">
            <v>7000</v>
          </cell>
          <cell r="I276">
            <v>7000</v>
          </cell>
          <cell r="J276">
            <v>7000</v>
          </cell>
          <cell r="K276">
            <v>7000</v>
          </cell>
          <cell r="L276">
            <v>7000</v>
          </cell>
          <cell r="M276">
            <v>7000</v>
          </cell>
          <cell r="N276">
            <v>7000</v>
          </cell>
          <cell r="O276">
            <v>7000</v>
          </cell>
          <cell r="P276">
            <v>7000</v>
          </cell>
          <cell r="Q276">
            <v>7000</v>
          </cell>
          <cell r="R276">
            <v>7000</v>
          </cell>
        </row>
        <row r="277"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80"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G286"/>
          <cell r="H286"/>
          <cell r="I286"/>
          <cell r="J286"/>
          <cell r="K286"/>
          <cell r="L286"/>
          <cell r="M286"/>
          <cell r="N286"/>
          <cell r="O286"/>
          <cell r="P286"/>
          <cell r="Q286"/>
          <cell r="R286"/>
        </row>
        <row r="287"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G288">
            <v>0</v>
          </cell>
          <cell r="H288">
            <v>3.4965034965034967</v>
          </cell>
          <cell r="I288">
            <v>3.4965034965034967</v>
          </cell>
          <cell r="J288">
            <v>3.4965034965034967</v>
          </cell>
          <cell r="K288">
            <v>3.4965034965034967</v>
          </cell>
          <cell r="L288">
            <v>3.4965034965034967</v>
          </cell>
          <cell r="M288">
            <v>3.4965034965034967</v>
          </cell>
          <cell r="N288">
            <v>3.4965034965034967</v>
          </cell>
          <cell r="O288">
            <v>3.4965034965034967</v>
          </cell>
          <cell r="P288">
            <v>3.4965034965034967</v>
          </cell>
          <cell r="Q288">
            <v>3.4965034965034967</v>
          </cell>
          <cell r="R288">
            <v>3.4965034965034967</v>
          </cell>
        </row>
        <row r="289">
          <cell r="G289">
            <v>0</v>
          </cell>
          <cell r="H289">
            <v>4.5454545454545459</v>
          </cell>
          <cell r="I289">
            <v>4.5454545454545459</v>
          </cell>
          <cell r="J289">
            <v>4.5454545454545459</v>
          </cell>
          <cell r="K289">
            <v>4.5454545454545459</v>
          </cell>
          <cell r="L289">
            <v>4.5454545454545459</v>
          </cell>
          <cell r="M289">
            <v>4.5454545454545459</v>
          </cell>
          <cell r="N289">
            <v>4.5454545454545459</v>
          </cell>
          <cell r="O289">
            <v>4.5454545454545459</v>
          </cell>
          <cell r="P289">
            <v>4.5454545454545459</v>
          </cell>
          <cell r="Q289">
            <v>4.5454545454545459</v>
          </cell>
          <cell r="R289">
            <v>4.5454545454545459</v>
          </cell>
        </row>
        <row r="290">
          <cell r="G290">
            <v>0</v>
          </cell>
          <cell r="H290">
            <v>5.244755244755245</v>
          </cell>
          <cell r="I290">
            <v>5.244755244755245</v>
          </cell>
          <cell r="J290">
            <v>5.244755244755245</v>
          </cell>
          <cell r="K290">
            <v>5.244755244755245</v>
          </cell>
          <cell r="L290">
            <v>5.244755244755245</v>
          </cell>
          <cell r="M290">
            <v>5.244755244755245</v>
          </cell>
          <cell r="N290">
            <v>5.244755244755245</v>
          </cell>
          <cell r="O290">
            <v>5.244755244755245</v>
          </cell>
          <cell r="P290">
            <v>5.244755244755245</v>
          </cell>
          <cell r="Q290">
            <v>5.244755244755245</v>
          </cell>
          <cell r="R290">
            <v>5.244755244755245</v>
          </cell>
        </row>
        <row r="291">
          <cell r="G291">
            <v>0</v>
          </cell>
          <cell r="H291">
            <v>4.895104895104895</v>
          </cell>
          <cell r="I291">
            <v>4.895104895104895</v>
          </cell>
          <cell r="J291">
            <v>4.895104895104895</v>
          </cell>
          <cell r="K291">
            <v>4.895104895104895</v>
          </cell>
          <cell r="L291">
            <v>4.895104895104895</v>
          </cell>
          <cell r="M291">
            <v>4.895104895104895</v>
          </cell>
          <cell r="N291">
            <v>4.895104895104895</v>
          </cell>
          <cell r="O291">
            <v>4.895104895104895</v>
          </cell>
          <cell r="P291">
            <v>4.895104895104895</v>
          </cell>
          <cell r="Q291">
            <v>4.895104895104895</v>
          </cell>
          <cell r="R291">
            <v>4.895104895104895</v>
          </cell>
        </row>
        <row r="292"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9">
          <cell r="G299">
            <v>3744.7552447552448</v>
          </cell>
          <cell r="H299">
            <v>4185.3146853146854</v>
          </cell>
          <cell r="I299">
            <v>4625.8741258741265</v>
          </cell>
          <cell r="J299">
            <v>4625.8741258741265</v>
          </cell>
          <cell r="K299">
            <v>4625.8741258741265</v>
          </cell>
          <cell r="L299">
            <v>4405.5944055944065</v>
          </cell>
          <cell r="M299">
            <v>4625.8741258741265</v>
          </cell>
          <cell r="N299">
            <v>3744.7552447552448</v>
          </cell>
          <cell r="O299">
            <v>4625.8741258741265</v>
          </cell>
          <cell r="P299">
            <v>4185.3146853146854</v>
          </cell>
          <cell r="Q299">
            <v>4625.8741258741265</v>
          </cell>
          <cell r="R299">
            <v>4846.1538461538466</v>
          </cell>
        </row>
        <row r="300">
          <cell r="G300">
            <v>4067.8321678321677</v>
          </cell>
          <cell r="H300">
            <v>0</v>
          </cell>
          <cell r="I300">
            <v>0</v>
          </cell>
          <cell r="J300">
            <v>0</v>
          </cell>
          <cell r="K300">
            <v>5671.9580419580416</v>
          </cell>
          <cell r="L300">
            <v>5413.4965034965035</v>
          </cell>
          <cell r="M300">
            <v>5413.4965034965035</v>
          </cell>
          <cell r="N300">
            <v>4602.1678321678319</v>
          </cell>
          <cell r="O300">
            <v>5695.734265734266</v>
          </cell>
          <cell r="P300">
            <v>5156.5734265734263</v>
          </cell>
          <cell r="Q300">
            <v>6210.6993006993007</v>
          </cell>
          <cell r="R300">
            <v>6254.4755244755243</v>
          </cell>
        </row>
        <row r="301">
          <cell r="G301">
            <v>1913.2867132867134</v>
          </cell>
          <cell r="H301">
            <v>1174.8251748251748</v>
          </cell>
          <cell r="I301">
            <v>0</v>
          </cell>
          <cell r="J301">
            <v>1468.5314685314686</v>
          </cell>
          <cell r="K301">
            <v>2391.6083916083917</v>
          </cell>
          <cell r="L301">
            <v>2391.6083916083917</v>
          </cell>
          <cell r="M301">
            <v>2072.7272727272725</v>
          </cell>
          <cell r="N301">
            <v>2072.7272727272725</v>
          </cell>
          <cell r="O301">
            <v>2232.1678321678323</v>
          </cell>
          <cell r="P301">
            <v>2551.048951048951</v>
          </cell>
          <cell r="Q301">
            <v>2551.048951048951</v>
          </cell>
          <cell r="R301">
            <v>2551.048951048951</v>
          </cell>
        </row>
        <row r="302">
          <cell r="G302">
            <v>4356.2387193972736</v>
          </cell>
          <cell r="H302">
            <v>4354.0483140271708</v>
          </cell>
          <cell r="I302">
            <v>4850.1585476832906</v>
          </cell>
          <cell r="J302">
            <v>4851.822750446092</v>
          </cell>
          <cell r="K302">
            <v>4621.374764032088</v>
          </cell>
          <cell r="L302">
            <v>4601.6123169848106</v>
          </cell>
          <cell r="M302">
            <v>4600.691735804633</v>
          </cell>
          <cell r="N302">
            <v>4390.9884005403792</v>
          </cell>
          <cell r="O302">
            <v>4625.6230860987525</v>
          </cell>
          <cell r="P302">
            <v>4377.4570273445524</v>
          </cell>
          <cell r="Q302">
            <v>5091.6441927320257</v>
          </cell>
          <cell r="R302">
            <v>5091.6441927320257</v>
          </cell>
        </row>
        <row r="303">
          <cell r="G303">
            <v>572.02237762237758</v>
          </cell>
          <cell r="H303">
            <v>0</v>
          </cell>
          <cell r="I303">
            <v>0</v>
          </cell>
          <cell r="J303">
            <v>0</v>
          </cell>
          <cell r="K303">
            <v>643.91328671328677</v>
          </cell>
          <cell r="L303">
            <v>643.91328671328677</v>
          </cell>
          <cell r="M303">
            <v>595.68671328671326</v>
          </cell>
          <cell r="N303">
            <v>643.91328671328677</v>
          </cell>
          <cell r="O303">
            <v>643.91328671328677</v>
          </cell>
          <cell r="P303">
            <v>643.91328671328677</v>
          </cell>
          <cell r="Q303">
            <v>691.49930069930065</v>
          </cell>
          <cell r="R303">
            <v>691.49930069930065</v>
          </cell>
        </row>
        <row r="304"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6">
          <cell r="G306">
            <v>8131.4685314685312</v>
          </cell>
          <cell r="H306">
            <v>9088.1118881118891</v>
          </cell>
          <cell r="I306">
            <v>10044.755244755244</v>
          </cell>
          <cell r="J306">
            <v>10044.755244755244</v>
          </cell>
          <cell r="K306">
            <v>10044.755244755244</v>
          </cell>
          <cell r="L306">
            <v>9566.4335664335667</v>
          </cell>
          <cell r="M306">
            <v>10044.755244755244</v>
          </cell>
          <cell r="N306">
            <v>8131.4685314685312</v>
          </cell>
          <cell r="O306">
            <v>10044.755244755244</v>
          </cell>
          <cell r="P306">
            <v>9088.1118881118891</v>
          </cell>
          <cell r="Q306">
            <v>10044.755244755244</v>
          </cell>
          <cell r="R306">
            <v>10523.076923076922</v>
          </cell>
        </row>
        <row r="307">
          <cell r="G307">
            <v>8131.4685314685312</v>
          </cell>
          <cell r="H307">
            <v>159302.77872204929</v>
          </cell>
          <cell r="I307">
            <v>10044.755244755244</v>
          </cell>
          <cell r="J307">
            <v>177432.64013514537</v>
          </cell>
          <cell r="K307">
            <v>10044.755244755244</v>
          </cell>
          <cell r="L307">
            <v>9566.4335664335667</v>
          </cell>
          <cell r="M307">
            <v>10044.755244755244</v>
          </cell>
          <cell r="N307">
            <v>8131.4685314685312</v>
          </cell>
          <cell r="O307">
            <v>10044.755244755244</v>
          </cell>
          <cell r="P307">
            <v>9088.1118881118891</v>
          </cell>
          <cell r="Q307">
            <v>10044.755244755244</v>
          </cell>
          <cell r="R307">
            <v>10523.076923076922</v>
          </cell>
        </row>
        <row r="308">
          <cell r="G308">
            <v>107688.46153846155</v>
          </cell>
          <cell r="H308">
            <v>120357.6923076923</v>
          </cell>
          <cell r="I308">
            <v>133026.92307692309</v>
          </cell>
          <cell r="J308">
            <v>133026.92307692309</v>
          </cell>
          <cell r="K308">
            <v>133026.92307692309</v>
          </cell>
          <cell r="L308">
            <v>126692.30769230772</v>
          </cell>
          <cell r="M308">
            <v>133026.92307692309</v>
          </cell>
          <cell r="N308">
            <v>107688.46153846155</v>
          </cell>
          <cell r="O308">
            <v>133026.92307692309</v>
          </cell>
          <cell r="P308">
            <v>120357.6923076923</v>
          </cell>
          <cell r="Q308">
            <v>133026.92307692309</v>
          </cell>
          <cell r="R308">
            <v>139361.53846153847</v>
          </cell>
        </row>
        <row r="309">
          <cell r="G309">
            <v>107797.55244755244</v>
          </cell>
          <cell r="H309">
            <v>150214.6668339374</v>
          </cell>
          <cell r="I309">
            <v>0</v>
          </cell>
          <cell r="J309">
            <v>167387.88489039015</v>
          </cell>
          <cell r="K309">
            <v>150306.88811188811</v>
          </cell>
          <cell r="L309">
            <v>143457.65734265733</v>
          </cell>
          <cell r="M309">
            <v>143457.65734265733</v>
          </cell>
          <cell r="N309">
            <v>121957.44755244754</v>
          </cell>
          <cell r="O309">
            <v>150936.95804195807</v>
          </cell>
          <cell r="P309">
            <v>136649.1958041958</v>
          </cell>
          <cell r="Q309">
            <v>164583.53146853147</v>
          </cell>
          <cell r="R309">
            <v>165743.60139860137</v>
          </cell>
        </row>
        <row r="310">
          <cell r="G310">
            <v>49745.454545454544</v>
          </cell>
          <cell r="H310">
            <v>30545.454545454548</v>
          </cell>
          <cell r="I310">
            <v>0</v>
          </cell>
          <cell r="J310">
            <v>38181.818181818177</v>
          </cell>
          <cell r="K310">
            <v>62181.818181818184</v>
          </cell>
          <cell r="L310">
            <v>62181.818181818184</v>
          </cell>
          <cell r="M310">
            <v>53890.909090909088</v>
          </cell>
          <cell r="N310">
            <v>53890.909090909088</v>
          </cell>
          <cell r="O310">
            <v>58036.36363636364</v>
          </cell>
          <cell r="P310">
            <v>66327.272727272721</v>
          </cell>
          <cell r="Q310">
            <v>66327.272727272721</v>
          </cell>
          <cell r="R310">
            <v>66327.272727272721</v>
          </cell>
        </row>
        <row r="311">
          <cell r="G311">
            <v>113262.20670432912</v>
          </cell>
          <cell r="H311">
            <v>0</v>
          </cell>
          <cell r="I311">
            <v>0</v>
          </cell>
          <cell r="J311">
            <v>0</v>
          </cell>
          <cell r="K311">
            <v>120155.74386483429</v>
          </cell>
          <cell r="L311">
            <v>119641.92024160507</v>
          </cell>
          <cell r="M311">
            <v>119617.98513092045</v>
          </cell>
          <cell r="N311">
            <v>114165.69841404987</v>
          </cell>
          <cell r="O311">
            <v>120266.20023856756</v>
          </cell>
          <cell r="P311">
            <v>113813.88271095837</v>
          </cell>
          <cell r="Q311">
            <v>132382.74901103266</v>
          </cell>
          <cell r="R311">
            <v>132382.74901103266</v>
          </cell>
        </row>
        <row r="313">
          <cell r="G313"/>
        </row>
      </sheetData>
      <sheetData sheetId="4">
        <row r="6">
          <cell r="E6" t="str">
            <v>구분</v>
          </cell>
        </row>
      </sheetData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6">
          <cell r="P16" t="str">
            <v>부산</v>
          </cell>
          <cell r="Q16" t="str">
            <v>(주)동양건재부문_EJ1_부산레미콘</v>
          </cell>
          <cell r="R16">
            <v>16200000</v>
          </cell>
          <cell r="S16">
            <v>6912000</v>
          </cell>
          <cell r="T16">
            <v>0</v>
          </cell>
          <cell r="U16">
            <v>23112000</v>
          </cell>
        </row>
        <row r="17">
          <cell r="P17" t="str">
            <v>서부산</v>
          </cell>
          <cell r="Q17" t="str">
            <v>(주)동양건재부문_EK1_서부산레미콘</v>
          </cell>
          <cell r="R17">
            <v>159800000</v>
          </cell>
          <cell r="S17">
            <v>68000000</v>
          </cell>
          <cell r="T17">
            <v>21600000</v>
          </cell>
          <cell r="U17">
            <v>249400000</v>
          </cell>
        </row>
        <row r="18">
          <cell r="P18" t="str">
            <v>김해</v>
          </cell>
          <cell r="Q18" t="str">
            <v>(주)동양건재부문_EL1_김해레미콘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</row>
        <row r="19">
          <cell r="P19" t="str">
            <v>정관</v>
          </cell>
          <cell r="Q19" t="str">
            <v>(주)동양건재부문_EM1_정관레미콘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</row>
        <row r="20">
          <cell r="P20" t="str">
            <v>양산</v>
          </cell>
          <cell r="Q20" t="str">
            <v>(주)동양건재부문_EN1_양산레미콘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P21" t="str">
            <v>창원</v>
          </cell>
          <cell r="Q21" t="str">
            <v>(주)동양건재부문_EH1_창원레미콘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22">
          <cell r="Q22" t="str">
            <v>계</v>
          </cell>
          <cell r="R22">
            <v>176000000</v>
          </cell>
          <cell r="S22">
            <v>74912000</v>
          </cell>
          <cell r="T22">
            <v>21600000</v>
          </cell>
          <cell r="U22">
            <v>272512000</v>
          </cell>
        </row>
        <row r="27">
          <cell r="P27" t="str">
            <v>합계 : 금액</v>
          </cell>
          <cell r="R27" t="str">
            <v>제품코드</v>
          </cell>
          <cell r="S27" t="str">
            <v>제품코드명</v>
          </cell>
        </row>
        <row r="28">
          <cell r="R28">
            <v>10005118</v>
          </cell>
          <cell r="S28">
            <v>10005845</v>
          </cell>
          <cell r="T28">
            <v>10005735</v>
          </cell>
          <cell r="U28" t="str">
            <v>총합계</v>
          </cell>
        </row>
        <row r="29">
          <cell r="P29" t="str">
            <v>손익항목</v>
          </cell>
          <cell r="Q29" t="str">
            <v>고객코드명</v>
          </cell>
          <cell r="R29" t="str">
            <v>쇄석 -25mm</v>
          </cell>
          <cell r="S29" t="str">
            <v>쇄사(습식)</v>
          </cell>
          <cell r="T29" t="str">
            <v>하천사</v>
          </cell>
        </row>
      </sheetData>
      <sheetData sheetId="8"/>
      <sheetData sheetId="9">
        <row r="16">
          <cell r="L16" t="str">
            <v>부산</v>
          </cell>
          <cell r="M16" t="str">
            <v>(주)동양건재부문_EJ1_부산레미콘</v>
          </cell>
          <cell r="N16">
            <v>122500000</v>
          </cell>
          <cell r="O16">
            <v>141000000</v>
          </cell>
          <cell r="P16">
            <v>263500000</v>
          </cell>
        </row>
        <row r="17">
          <cell r="L17" t="str">
            <v>서부산</v>
          </cell>
          <cell r="M17" t="str">
            <v>(주)동양건재부문_EK1_서부산레미콘</v>
          </cell>
          <cell r="N17">
            <v>0</v>
          </cell>
          <cell r="O17">
            <v>28800000</v>
          </cell>
          <cell r="P17">
            <v>28800000</v>
          </cell>
        </row>
        <row r="18">
          <cell r="L18" t="str">
            <v>김해</v>
          </cell>
          <cell r="M18" t="str">
            <v>(주)동양건재부문_EL1_김해레미콘</v>
          </cell>
          <cell r="N18">
            <v>0</v>
          </cell>
          <cell r="O18">
            <v>0</v>
          </cell>
          <cell r="P18">
            <v>0</v>
          </cell>
        </row>
        <row r="19">
          <cell r="L19" t="str">
            <v>정관</v>
          </cell>
          <cell r="M19" t="str">
            <v>(주)동양건재부문_EM1_정관레미콘</v>
          </cell>
          <cell r="N19">
            <v>0</v>
          </cell>
          <cell r="O19">
            <v>288000</v>
          </cell>
          <cell r="P19">
            <v>288000</v>
          </cell>
        </row>
        <row r="20">
          <cell r="L20" t="str">
            <v>양산</v>
          </cell>
          <cell r="M20" t="str">
            <v>(주)동양건재부문_EN1_양산레미콘</v>
          </cell>
          <cell r="N20">
            <v>0</v>
          </cell>
          <cell r="O20">
            <v>0</v>
          </cell>
          <cell r="P20">
            <v>0</v>
          </cell>
        </row>
        <row r="21">
          <cell r="L21" t="str">
            <v>창원</v>
          </cell>
          <cell r="M21" t="str">
            <v>(주)동양건재부문_EH1_창원레미콘</v>
          </cell>
          <cell r="N21">
            <v>0</v>
          </cell>
          <cell r="O21">
            <v>0</v>
          </cell>
          <cell r="P21">
            <v>0</v>
          </cell>
        </row>
        <row r="22">
          <cell r="M22" t="str">
            <v>계</v>
          </cell>
          <cell r="N22">
            <v>122500000</v>
          </cell>
          <cell r="O22">
            <v>170088000</v>
          </cell>
          <cell r="P22">
            <v>292588000</v>
          </cell>
        </row>
        <row r="23">
          <cell r="M23"/>
        </row>
        <row r="24">
          <cell r="M24"/>
        </row>
        <row r="25">
          <cell r="M25"/>
        </row>
        <row r="26">
          <cell r="M26"/>
        </row>
        <row r="27">
          <cell r="L27" t="str">
            <v>합계 : 금액</v>
          </cell>
          <cell r="M27"/>
          <cell r="N27" t="str">
            <v>제품코드</v>
          </cell>
          <cell r="O27" t="str">
            <v>제품코드명</v>
          </cell>
        </row>
        <row r="28">
          <cell r="M28"/>
          <cell r="N28">
            <v>10005118</v>
          </cell>
          <cell r="O28">
            <v>10005845</v>
          </cell>
          <cell r="P28" t="str">
            <v>총합계</v>
          </cell>
        </row>
        <row r="29">
          <cell r="L29" t="str">
            <v>손익항목</v>
          </cell>
          <cell r="M29" t="str">
            <v>고객코드명</v>
          </cell>
          <cell r="N29" t="str">
            <v>쇄석 -25mm</v>
          </cell>
          <cell r="O29" t="str">
            <v>쇄사(습식)</v>
          </cell>
        </row>
      </sheetData>
      <sheetData sheetId="10"/>
      <sheetData sheetId="11">
        <row r="15">
          <cell r="P15"/>
          <cell r="Q15" t="str">
            <v>세척사</v>
          </cell>
          <cell r="R15" t="str">
            <v>하천사</v>
          </cell>
          <cell r="S15" t="str">
            <v>옹진사1</v>
          </cell>
        </row>
        <row r="16">
          <cell r="O16" t="str">
            <v>부산</v>
          </cell>
          <cell r="P16" t="str">
            <v>(주)동양건재부문_EJ1_부산레미콘</v>
          </cell>
          <cell r="Q16">
            <v>0</v>
          </cell>
          <cell r="R16">
            <v>11400000</v>
          </cell>
          <cell r="S16">
            <v>159217500</v>
          </cell>
          <cell r="T16">
            <v>170617500</v>
          </cell>
          <cell r="U16">
            <v>159217500</v>
          </cell>
        </row>
        <row r="17">
          <cell r="O17" t="str">
            <v>서부산</v>
          </cell>
          <cell r="P17" t="str">
            <v>(주)동양건재부문_EK1_서부산레미콘</v>
          </cell>
          <cell r="Q17">
            <v>95920000</v>
          </cell>
          <cell r="R17">
            <v>0</v>
          </cell>
          <cell r="S17">
            <v>0</v>
          </cell>
          <cell r="T17">
            <v>95920000</v>
          </cell>
          <cell r="U17">
            <v>95920000</v>
          </cell>
        </row>
        <row r="18">
          <cell r="O18" t="str">
            <v>김해</v>
          </cell>
          <cell r="P18" t="str">
            <v>(주)동양건재부문_EL1_김해레미콘</v>
          </cell>
          <cell r="Q18">
            <v>68200000</v>
          </cell>
          <cell r="R18">
            <v>0</v>
          </cell>
          <cell r="S18">
            <v>0</v>
          </cell>
          <cell r="T18">
            <v>68200000</v>
          </cell>
          <cell r="U18">
            <v>68200000</v>
          </cell>
        </row>
        <row r="19">
          <cell r="O19" t="str">
            <v>정관</v>
          </cell>
          <cell r="P19" t="str">
            <v>(주)동양건재부문_EM1_정관레미콘</v>
          </cell>
          <cell r="Q19">
            <v>78760000</v>
          </cell>
          <cell r="R19">
            <v>0</v>
          </cell>
          <cell r="S19">
            <v>0</v>
          </cell>
          <cell r="T19">
            <v>78760000</v>
          </cell>
          <cell r="U19">
            <v>78760000</v>
          </cell>
        </row>
        <row r="20">
          <cell r="O20" t="str">
            <v>양산</v>
          </cell>
          <cell r="P20" t="str">
            <v>(주)동양건재부문_EN1_양산레미콘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O21" t="str">
            <v>창원</v>
          </cell>
          <cell r="P21" t="str">
            <v>(주)동양건재부문_EH1_창원레미콘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</row>
        <row r="35">
          <cell r="C35" t="str">
            <v>세척사</v>
          </cell>
          <cell r="D35" t="str">
            <v>서해사1</v>
          </cell>
          <cell r="E35" t="str">
            <v>하천사</v>
          </cell>
          <cell r="F35" t="str">
            <v>옹진사1</v>
          </cell>
          <cell r="G35"/>
          <cell r="H35"/>
          <cell r="I35" t="str">
            <v>부산 세척사</v>
          </cell>
        </row>
        <row r="36">
          <cell r="C36">
            <v>8832</v>
          </cell>
          <cell r="D36">
            <v>4556</v>
          </cell>
          <cell r="E36">
            <v>300</v>
          </cell>
          <cell r="F36">
            <v>11721</v>
          </cell>
          <cell r="G36"/>
          <cell r="H36">
            <v>25409</v>
          </cell>
          <cell r="I36">
            <v>25109</v>
          </cell>
          <cell r="J36">
            <v>25409</v>
          </cell>
          <cell r="K36">
            <v>0</v>
          </cell>
        </row>
        <row r="37">
          <cell r="C37">
            <v>0</v>
          </cell>
          <cell r="D37">
            <v>4556</v>
          </cell>
          <cell r="E37">
            <v>0</v>
          </cell>
          <cell r="F37">
            <v>7106</v>
          </cell>
          <cell r="G37"/>
          <cell r="H37">
            <v>11662</v>
          </cell>
          <cell r="I37">
            <v>11662</v>
          </cell>
          <cell r="J37">
            <v>11662</v>
          </cell>
          <cell r="K37">
            <v>0</v>
          </cell>
          <cell r="P37"/>
          <cell r="Q37" t="str">
            <v>세척사</v>
          </cell>
          <cell r="R37" t="str">
            <v>하천사</v>
          </cell>
          <cell r="S37" t="str">
            <v>옹진사1</v>
          </cell>
        </row>
        <row r="38">
          <cell r="C38">
            <v>8832</v>
          </cell>
          <cell r="D38">
            <v>0</v>
          </cell>
          <cell r="E38">
            <v>300</v>
          </cell>
          <cell r="F38">
            <v>4615</v>
          </cell>
          <cell r="G38"/>
          <cell r="H38">
            <v>13747</v>
          </cell>
          <cell r="I38">
            <v>13447</v>
          </cell>
          <cell r="J38">
            <v>13747</v>
          </cell>
          <cell r="K38">
            <v>0</v>
          </cell>
          <cell r="O38" t="str">
            <v>부산</v>
          </cell>
          <cell r="P38" t="str">
            <v>(주)동양건재부문_EJ1_부산레미콘</v>
          </cell>
        </row>
        <row r="39">
          <cell r="C39">
            <v>242880000</v>
          </cell>
          <cell r="D39">
            <v>124355000</v>
          </cell>
          <cell r="E39">
            <v>11400000</v>
          </cell>
          <cell r="F39">
            <v>370859000</v>
          </cell>
          <cell r="G39"/>
          <cell r="H39">
            <v>749494000</v>
          </cell>
          <cell r="I39">
            <v>738094000</v>
          </cell>
          <cell r="J39">
            <v>749494000</v>
          </cell>
          <cell r="K39">
            <v>0</v>
          </cell>
          <cell r="O39" t="str">
            <v>서부산</v>
          </cell>
          <cell r="P39" t="str">
            <v>(주)동양건재부문_EK1_서부산레미콘</v>
          </cell>
        </row>
        <row r="40">
          <cell r="C40">
            <v>0</v>
          </cell>
          <cell r="D40">
            <v>124355000</v>
          </cell>
          <cell r="E40">
            <v>0</v>
          </cell>
          <cell r="F40">
            <v>211641500</v>
          </cell>
          <cell r="G40"/>
          <cell r="H40">
            <v>335996500</v>
          </cell>
          <cell r="I40">
            <v>335996500</v>
          </cell>
          <cell r="J40">
            <v>335996500</v>
          </cell>
          <cell r="K40">
            <v>0</v>
          </cell>
          <cell r="O40" t="str">
            <v>김해</v>
          </cell>
          <cell r="P40" t="str">
            <v>(주)동양건재부문_EL1_김해레미콘</v>
          </cell>
        </row>
        <row r="41">
          <cell r="C41">
            <v>242880000</v>
          </cell>
          <cell r="D41">
            <v>0</v>
          </cell>
          <cell r="E41">
            <v>11400000</v>
          </cell>
          <cell r="F41">
            <v>159217500</v>
          </cell>
          <cell r="G41"/>
          <cell r="H41">
            <v>413497500</v>
          </cell>
          <cell r="I41">
            <v>402097500</v>
          </cell>
          <cell r="J41">
            <v>413497500</v>
          </cell>
          <cell r="K41">
            <v>0</v>
          </cell>
          <cell r="O41" t="str">
            <v>정관</v>
          </cell>
          <cell r="P41" t="str">
            <v>(주)동양건재부문_EM1_정관레미콘</v>
          </cell>
        </row>
        <row r="42">
          <cell r="C42">
            <v>254620004</v>
          </cell>
          <cell r="D42">
            <v>131398199</v>
          </cell>
          <cell r="E42">
            <v>8090161</v>
          </cell>
          <cell r="F42">
            <v>313733356</v>
          </cell>
          <cell r="G42"/>
          <cell r="H42">
            <v>707841720</v>
          </cell>
          <cell r="I42">
            <v>699751559</v>
          </cell>
          <cell r="J42">
            <v>707841720</v>
          </cell>
          <cell r="K42">
            <v>0</v>
          </cell>
          <cell r="O42" t="str">
            <v>양산</v>
          </cell>
          <cell r="P42" t="str">
            <v>(주)동양건재부문_EN1_양산레미콘</v>
          </cell>
        </row>
        <row r="43">
          <cell r="C43">
            <v>0</v>
          </cell>
          <cell r="D43">
            <v>131398199</v>
          </cell>
          <cell r="E43">
            <v>0</v>
          </cell>
          <cell r="F43">
            <v>190204695</v>
          </cell>
          <cell r="G43"/>
          <cell r="H43">
            <v>321602894</v>
          </cell>
          <cell r="I43">
            <v>321602894</v>
          </cell>
          <cell r="J43">
            <v>321602894</v>
          </cell>
          <cell r="K43">
            <v>0</v>
          </cell>
          <cell r="O43" t="str">
            <v>창원</v>
          </cell>
          <cell r="P43" t="str">
            <v>(주)동양건재부문_EH1_창원레미콘</v>
          </cell>
        </row>
        <row r="44">
          <cell r="C44">
            <v>254620004</v>
          </cell>
          <cell r="D44">
            <v>0</v>
          </cell>
          <cell r="E44">
            <v>8090161</v>
          </cell>
          <cell r="F44">
            <v>123528661</v>
          </cell>
          <cell r="G44"/>
          <cell r="H44">
            <v>386238826</v>
          </cell>
          <cell r="I44">
            <v>378148665</v>
          </cell>
          <cell r="J44">
            <v>386238826</v>
          </cell>
          <cell r="K44">
            <v>0</v>
          </cell>
        </row>
        <row r="45">
          <cell r="C45">
            <v>-11740004</v>
          </cell>
          <cell r="D45">
            <v>-7043199</v>
          </cell>
          <cell r="E45">
            <v>3309839</v>
          </cell>
          <cell r="F45">
            <v>57125644</v>
          </cell>
          <cell r="G45"/>
          <cell r="H45">
            <v>41652280</v>
          </cell>
          <cell r="I45">
            <v>38342441</v>
          </cell>
          <cell r="J45">
            <v>41652280</v>
          </cell>
          <cell r="K45">
            <v>0</v>
          </cell>
        </row>
        <row r="46">
          <cell r="C46">
            <v>-19392809</v>
          </cell>
          <cell r="D46">
            <v>-10961449</v>
          </cell>
          <cell r="E46">
            <v>2950641</v>
          </cell>
          <cell r="F46">
            <v>45440404</v>
          </cell>
          <cell r="G46"/>
          <cell r="H46">
            <v>18036787</v>
          </cell>
          <cell r="I46">
            <v>15086146</v>
          </cell>
          <cell r="J46">
            <v>18036787</v>
          </cell>
          <cell r="K46">
            <v>0</v>
          </cell>
          <cell r="M46"/>
          <cell r="O46" t="str">
            <v>부산</v>
          </cell>
          <cell r="Q46">
            <v>0</v>
          </cell>
          <cell r="R46">
            <v>38000</v>
          </cell>
          <cell r="S46">
            <v>34500</v>
          </cell>
        </row>
        <row r="47">
          <cell r="C47">
            <v>-19392809</v>
          </cell>
          <cell r="D47">
            <v>-10961449</v>
          </cell>
          <cell r="E47">
            <v>2950641</v>
          </cell>
          <cell r="F47">
            <v>45440404</v>
          </cell>
          <cell r="G47"/>
          <cell r="H47">
            <v>18036787</v>
          </cell>
          <cell r="I47">
            <v>15086146</v>
          </cell>
          <cell r="J47">
            <v>18036787</v>
          </cell>
          <cell r="K47">
            <v>0</v>
          </cell>
          <cell r="M47"/>
          <cell r="O47" t="str">
            <v>서부산</v>
          </cell>
          <cell r="Q47">
            <v>27500</v>
          </cell>
          <cell r="R47">
            <v>0</v>
          </cell>
          <cell r="S47">
            <v>0</v>
          </cell>
        </row>
        <row r="48">
          <cell r="C48">
            <v>12735676</v>
          </cell>
          <cell r="D48">
            <v>6568411</v>
          </cell>
          <cell r="E48">
            <v>440169</v>
          </cell>
          <cell r="F48">
            <v>16984618</v>
          </cell>
          <cell r="G48"/>
          <cell r="H48">
            <v>36728874</v>
          </cell>
          <cell r="I48">
            <v>36288705</v>
          </cell>
          <cell r="J48">
            <v>36728874</v>
          </cell>
          <cell r="K48">
            <v>0</v>
          </cell>
          <cell r="M48"/>
          <cell r="O48" t="str">
            <v>김해</v>
          </cell>
          <cell r="Q48">
            <v>27500</v>
          </cell>
          <cell r="R48">
            <v>0</v>
          </cell>
          <cell r="S48">
            <v>0</v>
          </cell>
        </row>
        <row r="49">
          <cell r="C49">
            <v>12735676</v>
          </cell>
          <cell r="D49">
            <v>6568411</v>
          </cell>
          <cell r="E49">
            <v>440169</v>
          </cell>
          <cell r="F49">
            <v>16984618</v>
          </cell>
          <cell r="G49"/>
          <cell r="H49">
            <v>36728874</v>
          </cell>
          <cell r="I49">
            <v>36288705</v>
          </cell>
          <cell r="J49">
            <v>36728874</v>
          </cell>
          <cell r="K49">
            <v>0</v>
          </cell>
          <cell r="M49"/>
          <cell r="O49" t="str">
            <v>정관</v>
          </cell>
          <cell r="Q49">
            <v>27500</v>
          </cell>
          <cell r="R49">
            <v>0</v>
          </cell>
          <cell r="S49">
            <v>0</v>
          </cell>
        </row>
        <row r="50">
          <cell r="C50">
            <v>-32128484</v>
          </cell>
          <cell r="D50">
            <v>-17529860</v>
          </cell>
          <cell r="E50">
            <v>2510472</v>
          </cell>
          <cell r="F50">
            <v>28455786</v>
          </cell>
          <cell r="G50"/>
          <cell r="H50">
            <v>-18692086</v>
          </cell>
          <cell r="I50">
            <v>-21202558</v>
          </cell>
          <cell r="J50">
            <v>-18692086</v>
          </cell>
          <cell r="K50">
            <v>0</v>
          </cell>
          <cell r="M50"/>
          <cell r="O50" t="str">
            <v>양산</v>
          </cell>
          <cell r="Q50">
            <v>0</v>
          </cell>
          <cell r="R50">
            <v>0</v>
          </cell>
          <cell r="S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/>
          <cell r="J51">
            <v>0</v>
          </cell>
          <cell r="K51">
            <v>0</v>
          </cell>
          <cell r="M51"/>
          <cell r="O51" t="str">
            <v>창원</v>
          </cell>
          <cell r="Q51">
            <v>0</v>
          </cell>
          <cell r="R51">
            <v>0</v>
          </cell>
          <cell r="S51">
            <v>0</v>
          </cell>
        </row>
        <row r="54">
          <cell r="C54">
            <v>0</v>
          </cell>
          <cell r="D54">
            <v>-17529860</v>
          </cell>
          <cell r="E54">
            <v>0</v>
          </cell>
          <cell r="I54">
            <v>-9651867.2134538423</v>
          </cell>
        </row>
        <row r="55">
          <cell r="C55">
            <v>-32128484</v>
          </cell>
          <cell r="D55">
            <v>0</v>
          </cell>
          <cell r="E55">
            <v>2510472</v>
          </cell>
          <cell r="I55">
            <v>-11550690.78654616</v>
          </cell>
        </row>
        <row r="57">
          <cell r="C57">
            <v>0</v>
          </cell>
          <cell r="D57">
            <v>1</v>
          </cell>
          <cell r="E57">
            <v>0</v>
          </cell>
          <cell r="I57">
            <v>0.45522182811403428</v>
          </cell>
        </row>
        <row r="58">
          <cell r="C58">
            <v>1</v>
          </cell>
          <cell r="D58">
            <v>0</v>
          </cell>
          <cell r="E58">
            <v>1</v>
          </cell>
          <cell r="I58">
            <v>0.54477817188596578</v>
          </cell>
        </row>
        <row r="60">
          <cell r="C60"/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부산모래장(당월)"/>
      <sheetName val="서부산크라샤(당월)"/>
      <sheetName val="부산크라샤(당월)"/>
      <sheetName val="부산모래장(누계)"/>
      <sheetName val="서부산크라샤(누계)"/>
      <sheetName val="부산크라샤(누계)"/>
    </sheetNames>
    <sheetDataSet>
      <sheetData sheetId="0">
        <row r="47">
          <cell r="Q47">
            <v>5000</v>
          </cell>
        </row>
      </sheetData>
      <sheetData sheetId="1">
        <row r="59">
          <cell r="F59">
            <v>1632</v>
          </cell>
          <cell r="U59">
            <v>976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71">
          <cell r="U71">
            <v>10736</v>
          </cell>
        </row>
        <row r="72">
          <cell r="U72">
            <v>0</v>
          </cell>
        </row>
        <row r="86">
          <cell r="U86">
            <v>2159.3171375203683</v>
          </cell>
        </row>
        <row r="87">
          <cell r="U87">
            <v>0</v>
          </cell>
        </row>
      </sheetData>
      <sheetData sheetId="2">
        <row r="59">
          <cell r="F59">
            <v>0</v>
          </cell>
        </row>
      </sheetData>
      <sheetData sheetId="3">
        <row r="2">
          <cell r="M2">
            <v>0</v>
          </cell>
        </row>
      </sheetData>
      <sheetData sheetId="4">
        <row r="8">
          <cell r="E8">
            <v>78513.626400000008</v>
          </cell>
        </row>
      </sheetData>
      <sheetData sheetId="5">
        <row r="8">
          <cell r="E8">
            <v>21531.559466666666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  <sheetName val="부산(물량)"/>
      <sheetName val="부산(금액)"/>
      <sheetName val="서부산(물량)"/>
      <sheetName val="서부산(금액)"/>
      <sheetName val="부산크라샤(물량)"/>
      <sheetName val="부산크라샤(금액)"/>
      <sheetName val="서부산(손익)"/>
      <sheetName val="PFT상세(서부산)"/>
      <sheetName val="부산크라샤(손익)"/>
      <sheetName val="PFT상세(부산크라샤)"/>
      <sheetName val="부산모래장(손익)"/>
      <sheetName val="PFT상세(부산모래장)"/>
      <sheetName val="PFT상세(부산골재)1월"/>
      <sheetName val="피벗1"/>
      <sheetName val="PFT상세(부산골재)2월"/>
      <sheetName val="피벗2"/>
      <sheetName val="PFT상세(부산골재)3월"/>
      <sheetName val="피벗3"/>
      <sheetName val="PFT상세(부산골재)4월"/>
      <sheetName val="피벗4"/>
      <sheetName val="PFT상세(부산골재)5월"/>
      <sheetName val="피벗5"/>
      <sheetName val="PFT상세(서부산) (2)"/>
      <sheetName val="월별"/>
      <sheetName val="PFT상세(부산골재)5월누계"/>
      <sheetName val="피벗0"/>
      <sheetName val="피벗0 (2)"/>
    </sheetNames>
    <sheetDataSet>
      <sheetData sheetId="0"/>
      <sheetData sheetId="1">
        <row r="45">
          <cell r="C45" t="str">
            <v>서해사</v>
          </cell>
        </row>
      </sheetData>
      <sheetData sheetId="2">
        <row r="46">
          <cell r="M46">
            <v>297296070</v>
          </cell>
        </row>
      </sheetData>
      <sheetData sheetId="3">
        <row r="45">
          <cell r="B45" t="str">
            <v>구분</v>
          </cell>
        </row>
      </sheetData>
      <sheetData sheetId="4">
        <row r="42">
          <cell r="G42">
            <v>6</v>
          </cell>
        </row>
      </sheetData>
      <sheetData sheetId="5">
        <row r="42">
          <cell r="B42">
            <v>1</v>
          </cell>
        </row>
      </sheetData>
      <sheetData sheetId="6">
        <row r="42">
          <cell r="F42">
            <v>5</v>
          </cell>
        </row>
      </sheetData>
      <sheetData sheetId="7">
        <row r="10">
          <cell r="H10">
            <v>10736000</v>
          </cell>
        </row>
      </sheetData>
      <sheetData sheetId="8"/>
      <sheetData sheetId="9">
        <row r="37">
          <cell r="E37">
            <v>0</v>
          </cell>
        </row>
      </sheetData>
      <sheetData sheetId="10"/>
      <sheetData sheetId="11">
        <row r="15">
          <cell r="O15" t="str">
            <v>세척사</v>
          </cell>
          <cell r="P15" t="str">
            <v>하천사</v>
          </cell>
          <cell r="Q15" t="str">
            <v>옹진사1</v>
          </cell>
          <cell r="R15" t="str">
            <v>계</v>
          </cell>
          <cell r="S15" t="str">
            <v>부산 세척사</v>
          </cell>
        </row>
        <row r="16">
          <cell r="M16" t="str">
            <v>부산</v>
          </cell>
          <cell r="O16">
            <v>0</v>
          </cell>
          <cell r="P16">
            <v>0</v>
          </cell>
          <cell r="Q16">
            <v>157527000</v>
          </cell>
          <cell r="R16">
            <v>157527000</v>
          </cell>
          <cell r="S16">
            <v>157527000</v>
          </cell>
        </row>
        <row r="17">
          <cell r="M17" t="str">
            <v>서부산</v>
          </cell>
          <cell r="O17">
            <v>75840000</v>
          </cell>
          <cell r="P17">
            <v>0</v>
          </cell>
          <cell r="Q17">
            <v>0</v>
          </cell>
          <cell r="R17">
            <v>75840000</v>
          </cell>
          <cell r="S17">
            <v>75840000</v>
          </cell>
        </row>
        <row r="18">
          <cell r="M18" t="str">
            <v>김해</v>
          </cell>
          <cell r="O18">
            <v>46080000</v>
          </cell>
          <cell r="P18">
            <v>0</v>
          </cell>
          <cell r="Q18">
            <v>0</v>
          </cell>
          <cell r="R18">
            <v>46080000</v>
          </cell>
          <cell r="S18">
            <v>46080000</v>
          </cell>
        </row>
        <row r="19">
          <cell r="M19" t="str">
            <v>정관</v>
          </cell>
          <cell r="O19">
            <v>96000000</v>
          </cell>
          <cell r="P19">
            <v>0</v>
          </cell>
          <cell r="Q19">
            <v>0</v>
          </cell>
          <cell r="R19">
            <v>96000000</v>
          </cell>
          <cell r="S19">
            <v>96000000</v>
          </cell>
        </row>
        <row r="20">
          <cell r="M20" t="str">
            <v>양산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</row>
        <row r="21">
          <cell r="M21" t="str">
            <v>창원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</row>
        <row r="46">
          <cell r="O46">
            <v>0</v>
          </cell>
          <cell r="P46">
            <v>0</v>
          </cell>
        </row>
        <row r="47">
          <cell r="O47">
            <v>30000</v>
          </cell>
          <cell r="P47">
            <v>0</v>
          </cell>
        </row>
        <row r="48">
          <cell r="O48">
            <v>30000</v>
          </cell>
          <cell r="P48">
            <v>0</v>
          </cell>
        </row>
        <row r="49">
          <cell r="O49">
            <v>30000</v>
          </cell>
          <cell r="P49">
            <v>0</v>
          </cell>
        </row>
        <row r="50">
          <cell r="O50">
            <v>0</v>
          </cell>
          <cell r="P50">
            <v>0</v>
          </cell>
        </row>
        <row r="51">
          <cell r="O51">
            <v>0</v>
          </cell>
          <cell r="P51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 tint="0.249977111117893"/>
  </sheetPr>
  <dimension ref="A6:M25"/>
  <sheetViews>
    <sheetView showGridLines="0" view="pageBreakPreview" zoomScaleNormal="100" zoomScaleSheetLayoutView="100" workbookViewId="0"/>
  </sheetViews>
  <sheetFormatPr defaultRowHeight="16.5"/>
  <cols>
    <col min="13" max="13" width="15.75" customWidth="1"/>
  </cols>
  <sheetData>
    <row r="6" spans="1:13">
      <c r="A6" s="736" t="s">
        <v>220</v>
      </c>
      <c r="B6" s="737"/>
      <c r="C6" s="737"/>
      <c r="D6" s="737"/>
      <c r="E6" s="737"/>
      <c r="F6" s="737"/>
      <c r="G6" s="737"/>
      <c r="H6" s="737"/>
      <c r="I6" s="737"/>
      <c r="J6" s="737"/>
      <c r="K6" s="737"/>
      <c r="L6" s="737"/>
      <c r="M6" s="737"/>
    </row>
    <row r="7" spans="1:13">
      <c r="A7" s="737"/>
      <c r="B7" s="737"/>
      <c r="C7" s="737"/>
      <c r="D7" s="737"/>
      <c r="E7" s="737"/>
      <c r="F7" s="737"/>
      <c r="G7" s="737"/>
      <c r="H7" s="737"/>
      <c r="I7" s="737"/>
      <c r="J7" s="737"/>
      <c r="K7" s="737"/>
      <c r="L7" s="737"/>
      <c r="M7" s="737"/>
    </row>
    <row r="8" spans="1:13">
      <c r="A8" s="737"/>
      <c r="B8" s="737"/>
      <c r="C8" s="737"/>
      <c r="D8" s="737"/>
      <c r="E8" s="737"/>
      <c r="F8" s="737"/>
      <c r="G8" s="737"/>
      <c r="H8" s="737"/>
      <c r="I8" s="737"/>
      <c r="J8" s="737"/>
      <c r="K8" s="737"/>
      <c r="L8" s="737"/>
      <c r="M8" s="737"/>
    </row>
    <row r="9" spans="1:13">
      <c r="A9" s="737"/>
      <c r="B9" s="737"/>
      <c r="C9" s="737"/>
      <c r="D9" s="737"/>
      <c r="E9" s="737"/>
      <c r="F9" s="737"/>
      <c r="G9" s="737"/>
      <c r="H9" s="737"/>
      <c r="I9" s="737"/>
      <c r="J9" s="737"/>
      <c r="K9" s="737"/>
      <c r="L9" s="737"/>
      <c r="M9" s="737"/>
    </row>
    <row r="10" spans="1:13">
      <c r="A10" s="737"/>
      <c r="B10" s="737"/>
      <c r="C10" s="737"/>
      <c r="D10" s="737"/>
      <c r="E10" s="737"/>
      <c r="F10" s="737"/>
      <c r="G10" s="737"/>
      <c r="H10" s="737"/>
      <c r="I10" s="737"/>
      <c r="J10" s="737"/>
      <c r="K10" s="737"/>
      <c r="L10" s="737"/>
      <c r="M10" s="737"/>
    </row>
    <row r="11" spans="1:13">
      <c r="A11" s="737"/>
      <c r="B11" s="737"/>
      <c r="C11" s="737"/>
      <c r="D11" s="737"/>
      <c r="E11" s="737"/>
      <c r="F11" s="737"/>
      <c r="G11" s="737"/>
      <c r="H11" s="737"/>
      <c r="I11" s="737"/>
      <c r="J11" s="737"/>
      <c r="K11" s="737"/>
      <c r="L11" s="737"/>
      <c r="M11" s="737"/>
    </row>
    <row r="12" spans="1:13">
      <c r="A12" s="737"/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7"/>
    </row>
    <row r="13" spans="1:13">
      <c r="A13" s="737"/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7"/>
    </row>
    <row r="14" spans="1:13">
      <c r="A14" s="737"/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7"/>
    </row>
    <row r="24" spans="1:13">
      <c r="A24" s="738" t="s">
        <v>99</v>
      </c>
      <c r="B24" s="738"/>
      <c r="C24" s="738"/>
      <c r="D24" s="738"/>
      <c r="E24" s="738"/>
      <c r="F24" s="738"/>
      <c r="G24" s="738"/>
      <c r="H24" s="738"/>
      <c r="I24" s="738"/>
      <c r="J24" s="738"/>
      <c r="K24" s="738"/>
      <c r="L24" s="738"/>
      <c r="M24" s="738"/>
    </row>
    <row r="25" spans="1:13">
      <c r="A25" s="738"/>
      <c r="B25" s="738"/>
      <c r="C25" s="738"/>
      <c r="D25" s="738"/>
      <c r="E25" s="738"/>
      <c r="F25" s="738"/>
      <c r="G25" s="738"/>
      <c r="H25" s="738"/>
      <c r="I25" s="738"/>
      <c r="J25" s="738"/>
      <c r="K25" s="738"/>
      <c r="L25" s="738"/>
      <c r="M25" s="738"/>
    </row>
  </sheetData>
  <mergeCells count="2">
    <mergeCell ref="A6:M14"/>
    <mergeCell ref="A24:M25"/>
  </mergeCells>
  <phoneticPr fontId="1" type="noConversion"/>
  <pageMargins left="0.7" right="0.48" top="0.75" bottom="0.75" header="0.3" footer="0.3"/>
  <pageSetup paperSize="9" scale="99" orientation="landscape" r:id="rId1"/>
  <headerFooter>
    <oddFooter>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1" tint="0.249977111117893"/>
    <pageSetUpPr fitToPage="1"/>
  </sheetPr>
  <dimension ref="A1:AE42"/>
  <sheetViews>
    <sheetView showGridLines="0" view="pageBreakPreview" zoomScale="70" zoomScaleNormal="70" zoomScaleSheetLayoutView="70" workbookViewId="0"/>
  </sheetViews>
  <sheetFormatPr defaultRowHeight="16.5"/>
  <cols>
    <col min="3" max="3" width="9.875" customWidth="1"/>
    <col min="4" max="4" width="11" bestFit="1" customWidth="1"/>
    <col min="5" max="14" width="10.625" customWidth="1"/>
    <col min="15" max="16" width="1.625" customWidth="1"/>
    <col min="19" max="19" width="11.5" bestFit="1" customWidth="1"/>
    <col min="20" max="20" width="12.125" bestFit="1" customWidth="1"/>
    <col min="21" max="21" width="10.5" bestFit="1" customWidth="1"/>
    <col min="22" max="22" width="11.375" bestFit="1" customWidth="1"/>
    <col min="23" max="23" width="10.5" bestFit="1" customWidth="1"/>
    <col min="24" max="24" width="1.625" customWidth="1"/>
    <col min="26" max="37" width="9.125" customWidth="1"/>
  </cols>
  <sheetData>
    <row r="1" spans="1:25" ht="20.100000000000001" customHeight="1"/>
    <row r="2" spans="1:25" ht="20.100000000000001" customHeight="1"/>
    <row r="3" spans="1:25" ht="20.100000000000001" customHeight="1">
      <c r="C3" s="4" t="s">
        <v>221</v>
      </c>
    </row>
    <row r="4" spans="1:25" ht="20.100000000000001" customHeight="1">
      <c r="H4" s="235"/>
      <c r="X4" s="5" t="s">
        <v>101</v>
      </c>
    </row>
    <row r="5" spans="1:25" ht="27" customHeight="1" thickBot="1">
      <c r="C5" s="741" t="s">
        <v>61</v>
      </c>
      <c r="D5" s="742"/>
      <c r="E5" s="120" t="s">
        <v>186</v>
      </c>
      <c r="F5" s="121"/>
      <c r="G5" s="121"/>
      <c r="H5" s="121"/>
      <c r="I5" s="122"/>
      <c r="J5" s="121" t="s">
        <v>222</v>
      </c>
      <c r="K5" s="121"/>
      <c r="L5" s="121"/>
      <c r="M5" s="121"/>
      <c r="N5" s="122"/>
      <c r="O5" s="123"/>
      <c r="P5" s="741" t="s">
        <v>223</v>
      </c>
      <c r="Q5" s="742"/>
      <c r="R5" s="742"/>
      <c r="S5" s="742"/>
      <c r="T5" s="742"/>
      <c r="U5" s="742"/>
      <c r="V5" s="742"/>
      <c r="W5" s="742"/>
      <c r="X5" s="745"/>
    </row>
    <row r="6" spans="1:25" ht="27" customHeight="1" thickTop="1">
      <c r="A6" t="s">
        <v>141</v>
      </c>
      <c r="C6" s="743"/>
      <c r="D6" s="744"/>
      <c r="E6" s="171" t="s">
        <v>62</v>
      </c>
      <c r="F6" s="204" t="s">
        <v>63</v>
      </c>
      <c r="G6" s="201" t="s">
        <v>64</v>
      </c>
      <c r="H6" s="124" t="s">
        <v>65</v>
      </c>
      <c r="I6" s="125" t="s">
        <v>66</v>
      </c>
      <c r="J6" s="171" t="s">
        <v>62</v>
      </c>
      <c r="K6" s="204" t="s">
        <v>63</v>
      </c>
      <c r="L6" s="201" t="s">
        <v>64</v>
      </c>
      <c r="M6" s="124" t="s">
        <v>65</v>
      </c>
      <c r="N6" s="125" t="s">
        <v>66</v>
      </c>
      <c r="O6" s="123"/>
      <c r="P6" s="743"/>
      <c r="Q6" s="744"/>
      <c r="R6" s="744"/>
      <c r="S6" s="744"/>
      <c r="T6" s="744"/>
      <c r="U6" s="744"/>
      <c r="V6" s="744"/>
      <c r="W6" s="744"/>
      <c r="X6" s="746"/>
    </row>
    <row r="7" spans="1:25" ht="21.75" customHeight="1">
      <c r="A7" s="235">
        <f>+F7/E7</f>
        <v>0.93689678510998309</v>
      </c>
      <c r="B7" s="235">
        <f>+K7/J7</f>
        <v>0.92911571072319199</v>
      </c>
      <c r="C7" s="88" t="s">
        <v>0</v>
      </c>
      <c r="D7" s="89" t="s">
        <v>40</v>
      </c>
      <c r="E7" s="320">
        <f>+'[1]4월'!$Z$7/1000</f>
        <v>295.5</v>
      </c>
      <c r="F7" s="321">
        <f>+'[2]4월'!$Z$7/1000</f>
        <v>276.85300000000001</v>
      </c>
      <c r="G7" s="296">
        <f>+F7-E7</f>
        <v>-18.646999999999991</v>
      </c>
      <c r="H7" s="297">
        <f>+'[3]4월'!$Z$7/1000</f>
        <v>331.03750000000002</v>
      </c>
      <c r="I7" s="298">
        <f>+F7-H7</f>
        <v>-54.184500000000014</v>
      </c>
      <c r="J7" s="320">
        <f>+'[1]4월누계'!$Z$7/1000</f>
        <v>1002.5</v>
      </c>
      <c r="K7" s="321">
        <f>+'[2]4월누계'!$Z$7/1000</f>
        <v>931.43849999999998</v>
      </c>
      <c r="L7" s="296">
        <f>+K7-J7</f>
        <v>-71.061500000000024</v>
      </c>
      <c r="M7" s="297">
        <f>+'[3]4월누계'!$Z$7/1000</f>
        <v>1125.9659999999999</v>
      </c>
      <c r="N7" s="298">
        <f>+K7-M7</f>
        <v>-194.52749999999992</v>
      </c>
      <c r="O7" s="87"/>
      <c r="P7" s="90"/>
      <c r="Q7" s="91" t="s">
        <v>84</v>
      </c>
      <c r="R7" s="91"/>
      <c r="S7" s="87"/>
      <c r="T7" s="87"/>
      <c r="U7" s="87"/>
      <c r="V7" s="87"/>
      <c r="W7" s="87"/>
      <c r="X7" s="92"/>
      <c r="Y7" s="235"/>
    </row>
    <row r="8" spans="1:25" ht="21.75" customHeight="1">
      <c r="B8" s="235"/>
      <c r="C8" s="88"/>
      <c r="D8" s="93" t="s">
        <v>69</v>
      </c>
      <c r="E8" s="322">
        <f>+'[1]4월'!$AA$7</f>
        <v>11100</v>
      </c>
      <c r="F8" s="323">
        <f>+'[2]4월'!$AO$7</f>
        <v>11123.664999999999</v>
      </c>
      <c r="G8" s="299">
        <f>+F8-E8</f>
        <v>23.664999999999054</v>
      </c>
      <c r="H8" s="300">
        <f>+'[3]4월'!$AO$7</f>
        <v>8574.9830000000002</v>
      </c>
      <c r="I8" s="301">
        <f>+F8-H8</f>
        <v>2548.6819999999989</v>
      </c>
      <c r="J8" s="322">
        <f>+'[1]4월누계'!$AA$7</f>
        <v>41300</v>
      </c>
      <c r="K8" s="323">
        <f>+'[2]4월누계'!$AO$7</f>
        <v>45346.46</v>
      </c>
      <c r="L8" s="299">
        <f>+K8-J8</f>
        <v>4046.4599999999991</v>
      </c>
      <c r="M8" s="300">
        <f>+'[3]4월누계'!$AO$7</f>
        <v>30310.545999999998</v>
      </c>
      <c r="N8" s="301">
        <f>+K8-M8</f>
        <v>15035.914000000001</v>
      </c>
      <c r="O8" s="87"/>
      <c r="P8" s="90"/>
      <c r="Q8" s="215" t="s">
        <v>55</v>
      </c>
      <c r="R8" s="216"/>
      <c r="S8" s="217" t="s">
        <v>12</v>
      </c>
      <c r="T8" s="218" t="s">
        <v>67</v>
      </c>
      <c r="U8" s="219" t="s">
        <v>56</v>
      </c>
      <c r="V8" s="218" t="s">
        <v>39</v>
      </c>
      <c r="W8" s="220" t="s">
        <v>57</v>
      </c>
      <c r="X8" s="92"/>
      <c r="Y8" s="235"/>
    </row>
    <row r="9" spans="1:25" ht="21.75" customHeight="1">
      <c r="B9" s="235"/>
      <c r="C9" s="88"/>
      <c r="D9" s="93" t="s">
        <v>1</v>
      </c>
      <c r="E9" s="322">
        <f>+'[1]4월'!$AE$7/1000</f>
        <v>84.994573024421584</v>
      </c>
      <c r="F9" s="323">
        <f>+'[2]4월'!$AN$7/1000</f>
        <v>68.025000000000006</v>
      </c>
      <c r="G9" s="299">
        <f t="shared" ref="G9:G36" si="0">+F9-E9</f>
        <v>-16.969573024421578</v>
      </c>
      <c r="H9" s="300">
        <f>+'[3]4월'!$AN$7/1000</f>
        <v>86.343000000000004</v>
      </c>
      <c r="I9" s="301">
        <f t="shared" ref="I9:I36" si="1">+F9-H9</f>
        <v>-18.317999999999998</v>
      </c>
      <c r="J9" s="322">
        <f>+'[1]4월누계'!$AE$7/1000</f>
        <v>328.46128880579244</v>
      </c>
      <c r="K9" s="323">
        <f>+'[2]4월누계'!$AN$7/1000</f>
        <v>235.42500000000001</v>
      </c>
      <c r="L9" s="299">
        <f t="shared" ref="L9:L10" si="2">+K9-J9</f>
        <v>-93.036288805792424</v>
      </c>
      <c r="M9" s="300">
        <f>+'[3]4월누계'!$AN$7/1000</f>
        <v>321.06</v>
      </c>
      <c r="N9" s="301">
        <f t="shared" ref="N9:N10" si="3">+K9-M9</f>
        <v>-85.634999999999991</v>
      </c>
      <c r="O9" s="87"/>
      <c r="P9" s="90"/>
      <c r="Q9" s="94" t="s">
        <v>51</v>
      </c>
      <c r="R9" s="178" t="s">
        <v>16</v>
      </c>
      <c r="S9" s="191">
        <f>+[4]수도권!$T$5/1000</f>
        <v>110</v>
      </c>
      <c r="T9" s="95">
        <f>+[4]수도권!$U$5/1000</f>
        <v>99.751999999999995</v>
      </c>
      <c r="U9" s="296">
        <f>+T9-S9</f>
        <v>-10.248000000000005</v>
      </c>
      <c r="V9" s="297">
        <f>+[5]수도권!$T$5/1000</f>
        <v>122.51349999999999</v>
      </c>
      <c r="W9" s="298">
        <f>+T9-V9</f>
        <v>-22.761499999999998</v>
      </c>
      <c r="X9" s="92"/>
      <c r="Y9" s="235"/>
    </row>
    <row r="10" spans="1:25" ht="21.75" customHeight="1">
      <c r="B10" s="235"/>
      <c r="C10" s="96" t="s">
        <v>2</v>
      </c>
      <c r="D10" s="97" t="s">
        <v>40</v>
      </c>
      <c r="E10" s="324">
        <f>+'[1]4월'!$Z$8/1000</f>
        <v>29678.682042955701</v>
      </c>
      <c r="F10" s="325">
        <f>+'[2]4월'!$Z$8/1000</f>
        <v>27262.254197999999</v>
      </c>
      <c r="G10" s="326">
        <f t="shared" si="0"/>
        <v>-2416.4278449557023</v>
      </c>
      <c r="H10" s="327">
        <f>+'[3]4월'!$Z$8/1000</f>
        <v>33733.439596000004</v>
      </c>
      <c r="I10" s="328">
        <f t="shared" si="1"/>
        <v>-6471.1853980000051</v>
      </c>
      <c r="J10" s="324">
        <f>+'[1]4월누계'!$Z$8/1000</f>
        <v>100714.15532651998</v>
      </c>
      <c r="K10" s="325">
        <f>+'[2]4월누계'!$Z$8/1000</f>
        <v>92138.561625999981</v>
      </c>
      <c r="L10" s="326">
        <f t="shared" si="2"/>
        <v>-8575.5937005199958</v>
      </c>
      <c r="M10" s="327">
        <f>+'[3]4월누계'!$Z$8/1000</f>
        <v>114335.88003400003</v>
      </c>
      <c r="N10" s="328">
        <f t="shared" si="3"/>
        <v>-22197.31840800005</v>
      </c>
      <c r="O10" s="87"/>
      <c r="P10" s="90"/>
      <c r="Q10" s="98"/>
      <c r="R10" s="179" t="s">
        <v>17</v>
      </c>
      <c r="S10" s="192">
        <f>+[4]영남권!$T$5/1000</f>
        <v>128.5</v>
      </c>
      <c r="T10" s="99">
        <f>+[4]영남권!$U$5/1000</f>
        <v>119.871</v>
      </c>
      <c r="U10" s="299">
        <f t="shared" ref="U10:U20" si="4">+T10-S10</f>
        <v>-8.6290000000000049</v>
      </c>
      <c r="V10" s="300">
        <f>+[5]영남권!$T$5/1000</f>
        <v>147.22149999999999</v>
      </c>
      <c r="W10" s="301">
        <f t="shared" ref="W10:W20" si="5">+T10-V10</f>
        <v>-27.350499999999997</v>
      </c>
      <c r="X10" s="92"/>
      <c r="Y10" s="235"/>
    </row>
    <row r="11" spans="1:25" ht="21.75" customHeight="1">
      <c r="B11" s="235"/>
      <c r="C11" s="88"/>
      <c r="D11" s="93" t="s">
        <v>3</v>
      </c>
      <c r="E11" s="322">
        <f>+'[1]4월'!$AA$8/1000</f>
        <v>12145.191004931508</v>
      </c>
      <c r="F11" s="323">
        <f>+'[2]4월'!$AO$8/1000</f>
        <v>10147.504217</v>
      </c>
      <c r="G11" s="299">
        <f>+F11-E11</f>
        <v>-1997.6867879315087</v>
      </c>
      <c r="H11" s="300">
        <f>+'[3]4월'!$AO$8/1000</f>
        <v>8822.0394919999999</v>
      </c>
      <c r="I11" s="301">
        <f>+F11-H11</f>
        <v>1325.4647249999998</v>
      </c>
      <c r="J11" s="322">
        <f>+'[1]4월누계'!$AA$8/1000</f>
        <v>45208.404903013703</v>
      </c>
      <c r="K11" s="323">
        <f>+'[2]4월누계'!$AO$8/1000</f>
        <v>38439.847709000001</v>
      </c>
      <c r="L11" s="299">
        <f>+K11-J11</f>
        <v>-6768.5571940137015</v>
      </c>
      <c r="M11" s="300">
        <f>+'[3]4월누계'!$AO$8/1000</f>
        <v>31755.57242</v>
      </c>
      <c r="N11" s="301">
        <f>+K11-M11</f>
        <v>6684.2752890000011</v>
      </c>
      <c r="O11" s="87"/>
      <c r="P11" s="90"/>
      <c r="Q11" s="98"/>
      <c r="R11" s="180" t="s">
        <v>106</v>
      </c>
      <c r="S11" s="193">
        <f>+[4]중부권!$T$5/1000</f>
        <v>57</v>
      </c>
      <c r="T11" s="100">
        <f>+[4]중부권!$U$5/1000</f>
        <v>57.23</v>
      </c>
      <c r="U11" s="302">
        <f t="shared" si="4"/>
        <v>0.22999999999999687</v>
      </c>
      <c r="V11" s="303">
        <f>+[5]중부권!$T$5/1000</f>
        <v>61.302500000000002</v>
      </c>
      <c r="W11" s="304">
        <f t="shared" si="5"/>
        <v>-4.0725000000000051</v>
      </c>
      <c r="X11" s="92"/>
      <c r="Y11" s="235"/>
    </row>
    <row r="12" spans="1:25" ht="21.75" customHeight="1">
      <c r="B12" s="235"/>
      <c r="C12" s="88"/>
      <c r="D12" s="93" t="s">
        <v>1</v>
      </c>
      <c r="E12" s="322">
        <f>+'[1]4월'!$AE$8/1000</f>
        <v>1722.1223940021503</v>
      </c>
      <c r="F12" s="323">
        <f>+'[2]4월'!$AN$8/1000</f>
        <v>1449.066</v>
      </c>
      <c r="G12" s="299">
        <f t="shared" si="0"/>
        <v>-273.05639400215023</v>
      </c>
      <c r="H12" s="300">
        <f>+'[3]4월'!$AN$8/1000</f>
        <v>1746.820408</v>
      </c>
      <c r="I12" s="301">
        <f t="shared" si="1"/>
        <v>-297.75440800000001</v>
      </c>
      <c r="J12" s="322">
        <f>+'[1]4월누계'!$AE$8/1000</f>
        <v>6226.9410922532734</v>
      </c>
      <c r="K12" s="323">
        <f>+'[2]4월누계'!$AN$8/1000</f>
        <v>5026.8145000000004</v>
      </c>
      <c r="L12" s="299">
        <f t="shared" ref="L12:L15" si="6">+K12-J12</f>
        <v>-1200.126592253273</v>
      </c>
      <c r="M12" s="300">
        <f>+'[3]4월누계'!$AN$8/1000</f>
        <v>6528.42958</v>
      </c>
      <c r="N12" s="301">
        <f t="shared" ref="N12:N15" si="7">+K12-M12</f>
        <v>-1501.6150799999996</v>
      </c>
      <c r="O12" s="87"/>
      <c r="P12" s="90"/>
      <c r="Q12" s="101" t="s">
        <v>58</v>
      </c>
      <c r="R12" s="181"/>
      <c r="S12" s="194">
        <f>SUM(S9:S11)</f>
        <v>295.5</v>
      </c>
      <c r="T12" s="102">
        <f>SUM(T9:T11)</f>
        <v>276.85300000000001</v>
      </c>
      <c r="U12" s="305">
        <f t="shared" si="4"/>
        <v>-18.646999999999991</v>
      </c>
      <c r="V12" s="306">
        <f>SUM(V9:V11)</f>
        <v>331.03750000000002</v>
      </c>
      <c r="W12" s="307">
        <f t="shared" si="5"/>
        <v>-54.184500000000014</v>
      </c>
      <c r="X12" s="92"/>
    </row>
    <row r="13" spans="1:25" ht="21.75" customHeight="1">
      <c r="B13" s="235"/>
      <c r="C13" s="88"/>
      <c r="D13" s="103" t="s">
        <v>4</v>
      </c>
      <c r="E13" s="329">
        <f>+'[1]4월'!$E$8/1000-E10-E11-E12</f>
        <v>142.52816666665763</v>
      </c>
      <c r="F13" s="330">
        <f>+'[2]4월'!$F$8/1000-F10-F11-F12</f>
        <v>118.48886400000333</v>
      </c>
      <c r="G13" s="302">
        <f t="shared" si="0"/>
        <v>-24.039302666654294</v>
      </c>
      <c r="H13" s="303">
        <f>+'[3]4월'!$F$8/1000-H10-H11-H12</f>
        <v>165.79909399999042</v>
      </c>
      <c r="I13" s="304">
        <f t="shared" si="1"/>
        <v>-47.310229999987087</v>
      </c>
      <c r="J13" s="329">
        <f>+'[1]4월누계'!$E$8/1000-J10-J11-J12</f>
        <v>642.6326666666464</v>
      </c>
      <c r="K13" s="330">
        <f>+'[2]4월누계'!$F$8/1000-K10-K11-K12</f>
        <v>591.32315799998469</v>
      </c>
      <c r="L13" s="302">
        <f t="shared" si="6"/>
        <v>-51.309508666661714</v>
      </c>
      <c r="M13" s="303">
        <f>+'[3]4월누계'!$F$8/1000-M10-M11-M12</f>
        <v>659.3536320000203</v>
      </c>
      <c r="N13" s="304">
        <f t="shared" si="7"/>
        <v>-68.030474000035611</v>
      </c>
      <c r="O13" s="87"/>
      <c r="P13" s="90"/>
      <c r="Q13" s="94" t="s">
        <v>59</v>
      </c>
      <c r="R13" s="178" t="s">
        <v>16</v>
      </c>
      <c r="S13" s="191">
        <f>+[4]수도권!$T$61</f>
        <v>97316.07043168816</v>
      </c>
      <c r="T13" s="95">
        <f>+[4]수도권!$U$61</f>
        <v>96454.113487158218</v>
      </c>
      <c r="U13" s="296">
        <f t="shared" si="4"/>
        <v>-861.95694452994212</v>
      </c>
      <c r="V13" s="297">
        <f>+[5]수도권!$Q$85</f>
        <v>99830.045678349328</v>
      </c>
      <c r="W13" s="298">
        <f t="shared" si="5"/>
        <v>-3375.9321911911102</v>
      </c>
      <c r="X13" s="92"/>
    </row>
    <row r="14" spans="1:25" ht="21.75" customHeight="1">
      <c r="A14" s="235">
        <f>+F14/E14</f>
        <v>0.89216366357975607</v>
      </c>
      <c r="B14" s="235">
        <f>+K14/J14</f>
        <v>0.89138454603489115</v>
      </c>
      <c r="C14" s="104" t="s">
        <v>8</v>
      </c>
      <c r="D14" s="105"/>
      <c r="E14" s="329">
        <f>SUM(E10:E13)</f>
        <v>43688.523608556017</v>
      </c>
      <c r="F14" s="330">
        <f>SUM(F10:F13)</f>
        <v>38977.313279000002</v>
      </c>
      <c r="G14" s="302">
        <f t="shared" si="0"/>
        <v>-4711.2103295560155</v>
      </c>
      <c r="H14" s="303">
        <f>SUM(H10:H13)</f>
        <v>44468.098589999994</v>
      </c>
      <c r="I14" s="304">
        <f t="shared" si="1"/>
        <v>-5490.7853109999924</v>
      </c>
      <c r="J14" s="329">
        <f>SUM(J10:J13)</f>
        <v>152792.1339884536</v>
      </c>
      <c r="K14" s="330">
        <f>SUM(K10:K13)</f>
        <v>136196.54699299997</v>
      </c>
      <c r="L14" s="302">
        <f t="shared" si="6"/>
        <v>-16595.586995453632</v>
      </c>
      <c r="M14" s="303">
        <f>SUM(M10:M13)</f>
        <v>153279.23566600005</v>
      </c>
      <c r="N14" s="304">
        <f t="shared" si="7"/>
        <v>-17082.688673000084</v>
      </c>
      <c r="O14" s="87"/>
      <c r="P14" s="90"/>
      <c r="Q14" s="98"/>
      <c r="R14" s="179" t="s">
        <v>17</v>
      </c>
      <c r="S14" s="192">
        <f>+[4]영남권!$T$61</f>
        <v>100478.00771571984</v>
      </c>
      <c r="T14" s="99">
        <f>+[4]영남권!$U$61</f>
        <v>98385.128898458555</v>
      </c>
      <c r="U14" s="299">
        <f t="shared" si="4"/>
        <v>-2092.878817261284</v>
      </c>
      <c r="V14" s="300">
        <f>+[5]영남권!$Q$85</f>
        <v>101618.83495007084</v>
      </c>
      <c r="W14" s="301">
        <f t="shared" si="5"/>
        <v>-3233.7060516122874</v>
      </c>
      <c r="X14" s="92"/>
      <c r="Y14" s="235"/>
    </row>
    <row r="15" spans="1:25" ht="21.75" customHeight="1">
      <c r="C15" s="88" t="s">
        <v>5</v>
      </c>
      <c r="D15" s="97" t="s">
        <v>40</v>
      </c>
      <c r="E15" s="324">
        <f>+('[1]4월'!$Z$10+'[1]4월'!$Z$19)/1000</f>
        <v>25988.678581463686</v>
      </c>
      <c r="F15" s="325">
        <f>+('[2]4월'!$Z$10+'[2]4월'!$Z$19)/1000</f>
        <v>24425.137669999993</v>
      </c>
      <c r="G15" s="326">
        <f t="shared" si="0"/>
        <v>-1563.5409114636932</v>
      </c>
      <c r="H15" s="327">
        <f>+('[3]4월'!$Z$10+'[3]4월'!$Z$19)/1000</f>
        <v>28415.357178999999</v>
      </c>
      <c r="I15" s="328">
        <f t="shared" si="1"/>
        <v>-3990.2195090000059</v>
      </c>
      <c r="J15" s="324">
        <f>+('[1]4월누계'!$Z$10+'[1]4월누계'!$Z$19)/1000</f>
        <v>90655.876635450972</v>
      </c>
      <c r="K15" s="325">
        <f>+('[2]4월누계'!$Z$10+'[2]4월누계'!$Z$19)/1000</f>
        <v>84643.213508000001</v>
      </c>
      <c r="L15" s="326">
        <f t="shared" si="6"/>
        <v>-6012.6631274509709</v>
      </c>
      <c r="M15" s="327">
        <f>+('[3]4월누계'!$Z$10+'[3]4월누계'!$Z$19)/1000</f>
        <v>99332.255999999965</v>
      </c>
      <c r="N15" s="328">
        <f t="shared" si="7"/>
        <v>-14689.042491999964</v>
      </c>
      <c r="O15" s="87"/>
      <c r="P15" s="90"/>
      <c r="Q15" s="98"/>
      <c r="R15" s="180" t="s">
        <v>105</v>
      </c>
      <c r="S15" s="193">
        <f>+[4]중부권!$T$61</f>
        <v>106359.47901754387</v>
      </c>
      <c r="T15" s="100">
        <f>+[4]중부권!$U$61</f>
        <v>102148.62913419002</v>
      </c>
      <c r="U15" s="302">
        <f t="shared" si="4"/>
        <v>-4210.849883353847</v>
      </c>
      <c r="V15" s="303">
        <f>+[5]중부권!$Q$85</f>
        <v>106728.90198417631</v>
      </c>
      <c r="W15" s="304">
        <f t="shared" si="5"/>
        <v>-4580.272849986286</v>
      </c>
      <c r="X15" s="92"/>
    </row>
    <row r="16" spans="1:25" ht="21.75" customHeight="1">
      <c r="C16" s="88"/>
      <c r="D16" s="93" t="s">
        <v>3</v>
      </c>
      <c r="E16" s="322">
        <f>+('[1]4월'!$AA$10+'[1]4월'!$AA$19)/1000</f>
        <v>11817.13684395239</v>
      </c>
      <c r="F16" s="323">
        <f>+('[2]4월'!$AO$10+'[2]4월'!$AO$19)/1000</f>
        <v>9979.7603579999995</v>
      </c>
      <c r="G16" s="299">
        <f>+F16-E16</f>
        <v>-1837.3764859523908</v>
      </c>
      <c r="H16" s="300">
        <f>+('[3]4월'!$AO$10+'[3]4월'!$AO$19)/1000</f>
        <v>8659.0857879999985</v>
      </c>
      <c r="I16" s="301">
        <f>+F16-H16</f>
        <v>1320.674570000001</v>
      </c>
      <c r="J16" s="322">
        <f>+('[1]4월누계'!$AA$10+'[1]4월누계'!$AA$19)/1000</f>
        <v>43987.256783206984</v>
      </c>
      <c r="K16" s="323">
        <f>+('[2]4월누계'!$AO$10+'[2]4월누계'!$AO$19)/1000</f>
        <v>37939.687751000005</v>
      </c>
      <c r="L16" s="299">
        <f>+K16-J16</f>
        <v>-6047.5690322069786</v>
      </c>
      <c r="M16" s="300">
        <f>+('[3]4월누계'!$AO$10+'[3]4월누계'!$AO$19)/1000</f>
        <v>31058.810272999999</v>
      </c>
      <c r="N16" s="301">
        <f>+K16-M16</f>
        <v>6880.8774780000058</v>
      </c>
      <c r="O16" s="87"/>
      <c r="P16" s="90"/>
      <c r="Q16" s="101" t="s">
        <v>58</v>
      </c>
      <c r="R16" s="181"/>
      <c r="S16" s="194">
        <f>+[4]합계!$T$61</f>
        <v>100435.47222658443</v>
      </c>
      <c r="T16" s="102">
        <f>+[4]합계!$U$61</f>
        <v>98470.346196543367</v>
      </c>
      <c r="U16" s="305">
        <f>+T16-S16</f>
        <v>-1965.126030041065</v>
      </c>
      <c r="V16" s="306">
        <f>+[5]합계!$Q$85</f>
        <v>101892.73306876901</v>
      </c>
      <c r="W16" s="307">
        <f>+T16-V16</f>
        <v>-3422.3868722256448</v>
      </c>
      <c r="X16" s="92"/>
    </row>
    <row r="17" spans="2:27" ht="21.75" customHeight="1">
      <c r="C17" s="88"/>
      <c r="D17" s="93" t="s">
        <v>1</v>
      </c>
      <c r="E17" s="322">
        <f>+('[1]4월'!$AE$10+'[1]4월'!$AE$19)/1000</f>
        <v>1401.3030645228682</v>
      </c>
      <c r="F17" s="323">
        <f>+('[2]4월'!$AN$10+'[2]4월'!$AN$19)/1000</f>
        <v>1346.1014279899998</v>
      </c>
      <c r="G17" s="299">
        <f t="shared" si="0"/>
        <v>-55.201636532868406</v>
      </c>
      <c r="H17" s="300">
        <f>+('[3]4월'!$AN$10+'[3]4월'!$AN$19)/1000</f>
        <v>1547.4415899999999</v>
      </c>
      <c r="I17" s="301">
        <f t="shared" si="1"/>
        <v>-201.34016201000009</v>
      </c>
      <c r="J17" s="322">
        <f>+('[1]4월누계'!$AE$10+'[1]4월누계'!$AE$19)/1000</f>
        <v>5401.0457522651868</v>
      </c>
      <c r="K17" s="323">
        <f>+('[2]4월누계'!$AN$10+'[2]4월누계'!$AN$19)/1000</f>
        <v>5287.1679159999994</v>
      </c>
      <c r="L17" s="299">
        <f t="shared" ref="L17:L20" si="8">+K17-J17</f>
        <v>-113.8778362651874</v>
      </c>
      <c r="M17" s="300">
        <f>+('[3]4월누계'!$AN$10+'[3]4월누계'!$AN$19)/1000</f>
        <v>5776.7520540100004</v>
      </c>
      <c r="N17" s="301">
        <f t="shared" ref="N17:N20" si="9">+K17-M17</f>
        <v>-489.58413801000097</v>
      </c>
      <c r="O17" s="87"/>
      <c r="P17" s="90"/>
      <c r="Q17" s="173" t="s">
        <v>60</v>
      </c>
      <c r="R17" s="182" t="s">
        <v>16</v>
      </c>
      <c r="S17" s="195">
        <f>+[4]수도권!$Q$90</f>
        <v>16623.91845103669</v>
      </c>
      <c r="T17" s="106">
        <f>+[4]수도권!$R$90</f>
        <v>16372.588453780394</v>
      </c>
      <c r="U17" s="308">
        <f t="shared" si="4"/>
        <v>-251.32999725629634</v>
      </c>
      <c r="V17" s="309">
        <f>+[5]수도권!$Q$90</f>
        <v>19731.470343182533</v>
      </c>
      <c r="W17" s="310">
        <f t="shared" si="5"/>
        <v>-3358.8818894021388</v>
      </c>
      <c r="X17" s="92"/>
    </row>
    <row r="18" spans="2:27" ht="21.75" customHeight="1">
      <c r="C18" s="88"/>
      <c r="D18" s="103" t="s">
        <v>4</v>
      </c>
      <c r="E18" s="329">
        <f>+('[1]4월'!$E$10+'[1]4월'!$E$19)/1000-E15-E16-E17</f>
        <v>68.281598999998096</v>
      </c>
      <c r="F18" s="330">
        <f>+('[2]4월'!$F$10+'[2]4월'!$F$19)/1000-F15-F16-F17</f>
        <v>22.623854999999139</v>
      </c>
      <c r="G18" s="302">
        <f t="shared" si="0"/>
        <v>-45.657743999998956</v>
      </c>
      <c r="H18" s="303">
        <f>+('[3]4월'!$F$10+'[3]4월'!$F$19)/1000-H15-H16-H17</f>
        <v>28.446047999998427</v>
      </c>
      <c r="I18" s="304">
        <f t="shared" si="1"/>
        <v>-5.8221929999992881</v>
      </c>
      <c r="J18" s="329">
        <f>+('[1]4월누계'!$E$10+'[1]4월누계'!$E$19)/1000-J15-J16-J17</f>
        <v>177.66449600000306</v>
      </c>
      <c r="K18" s="330">
        <f>+('[2]4월누계'!$F$10+'[2]4월누계'!$F$19)/1000-K15-K16-K17</f>
        <v>404.22394300001088</v>
      </c>
      <c r="L18" s="302">
        <f t="shared" si="8"/>
        <v>226.55944700000782</v>
      </c>
      <c r="M18" s="303">
        <f>+('[3]4월누계'!$F$10+'[3]4월누계'!$F$19)/1000-M15-M16-M17</f>
        <v>99.923077999997076</v>
      </c>
      <c r="N18" s="304">
        <f t="shared" si="9"/>
        <v>304.3008650000138</v>
      </c>
      <c r="O18" s="87"/>
      <c r="P18" s="90"/>
      <c r="Q18" s="174"/>
      <c r="R18" s="183" t="s">
        <v>17</v>
      </c>
      <c r="S18" s="196">
        <f>+[4]영남권!$Q$90</f>
        <v>21632.131471105226</v>
      </c>
      <c r="T18" s="107">
        <f>+[4]영남권!$R$90</f>
        <v>19312.770977202876</v>
      </c>
      <c r="U18" s="311">
        <f t="shared" si="4"/>
        <v>-2319.3604939023498</v>
      </c>
      <c r="V18" s="312">
        <f>+[5]영남권!$Q$90</f>
        <v>23376.451103679865</v>
      </c>
      <c r="W18" s="313">
        <f t="shared" si="5"/>
        <v>-4063.6801264769892</v>
      </c>
      <c r="X18" s="92"/>
    </row>
    <row r="19" spans="2:27" ht="21.75" customHeight="1">
      <c r="C19" s="88" t="s">
        <v>8</v>
      </c>
      <c r="D19" s="108"/>
      <c r="E19" s="322">
        <f>SUM(E15:E18)</f>
        <v>39275.400088938943</v>
      </c>
      <c r="F19" s="323">
        <f>SUM(F15:F18)</f>
        <v>35773.623310989991</v>
      </c>
      <c r="G19" s="299">
        <f t="shared" si="0"/>
        <v>-3501.7767779489513</v>
      </c>
      <c r="H19" s="300">
        <f>SUM(H15:H18)</f>
        <v>38650.330604999996</v>
      </c>
      <c r="I19" s="301">
        <f t="shared" si="1"/>
        <v>-2876.7072940100043</v>
      </c>
      <c r="J19" s="322">
        <f>SUM(J15:J18)</f>
        <v>140221.84366692317</v>
      </c>
      <c r="K19" s="323">
        <f>SUM(K15:K18)</f>
        <v>128274.29311800002</v>
      </c>
      <c r="L19" s="299">
        <f t="shared" si="8"/>
        <v>-11947.550548923158</v>
      </c>
      <c r="M19" s="300">
        <f>SUM(M15:M18)</f>
        <v>136267.74140500996</v>
      </c>
      <c r="N19" s="301">
        <f t="shared" si="9"/>
        <v>-7993.4482870099455</v>
      </c>
      <c r="O19" s="87"/>
      <c r="P19" s="90"/>
      <c r="Q19" s="174"/>
      <c r="R19" s="184" t="s">
        <v>105</v>
      </c>
      <c r="S19" s="197">
        <f>+[4]중부권!$Q$90</f>
        <v>28532.276531709969</v>
      </c>
      <c r="T19" s="109">
        <f>+[4]중부권!$R$90</f>
        <v>24648.00757753494</v>
      </c>
      <c r="U19" s="314">
        <f t="shared" si="4"/>
        <v>-3884.2689541750296</v>
      </c>
      <c r="V19" s="315">
        <f>+[5]중부권!$Q$90</f>
        <v>31984.708210314828</v>
      </c>
      <c r="W19" s="316">
        <f t="shared" si="5"/>
        <v>-7336.7006327798881</v>
      </c>
      <c r="X19" s="92"/>
    </row>
    <row r="20" spans="2:27" ht="21.75" customHeight="1">
      <c r="C20" s="96" t="s">
        <v>15</v>
      </c>
      <c r="D20" s="97" t="s">
        <v>40</v>
      </c>
      <c r="E20" s="324">
        <f t="shared" ref="E20:F23" si="10">+E10-E15</f>
        <v>3690.003461492015</v>
      </c>
      <c r="F20" s="325">
        <f t="shared" si="10"/>
        <v>2837.1165280000059</v>
      </c>
      <c r="G20" s="326">
        <f t="shared" si="0"/>
        <v>-852.88693349200912</v>
      </c>
      <c r="H20" s="327">
        <f>+H10-H15</f>
        <v>5318.0824170000051</v>
      </c>
      <c r="I20" s="328">
        <f t="shared" si="1"/>
        <v>-2480.9658889999992</v>
      </c>
      <c r="J20" s="324">
        <f t="shared" ref="J20:K20" si="11">+J10-J15</f>
        <v>10058.278691069005</v>
      </c>
      <c r="K20" s="325">
        <f t="shared" si="11"/>
        <v>7495.3481179999799</v>
      </c>
      <c r="L20" s="326">
        <f t="shared" si="8"/>
        <v>-2562.9305730690248</v>
      </c>
      <c r="M20" s="327">
        <f>+M10-M15</f>
        <v>15003.624034000066</v>
      </c>
      <c r="N20" s="328">
        <f t="shared" si="9"/>
        <v>-7508.275916000086</v>
      </c>
      <c r="O20" s="87"/>
      <c r="P20" s="90"/>
      <c r="Q20" s="175" t="s">
        <v>58</v>
      </c>
      <c r="R20" s="185"/>
      <c r="S20" s="198">
        <f>+[4]합계!$Q$90</f>
        <v>21098.814504089765</v>
      </c>
      <c r="T20" s="110">
        <f>+[4]합계!$R$90</f>
        <v>19361.121552651734</v>
      </c>
      <c r="U20" s="317">
        <f t="shared" si="4"/>
        <v>-1737.6929514380317</v>
      </c>
      <c r="V20" s="318">
        <f>+[5]합계!$Q$90</f>
        <v>23604.167751300134</v>
      </c>
      <c r="W20" s="319">
        <f t="shared" si="5"/>
        <v>-4243.0461986484006</v>
      </c>
      <c r="X20" s="92"/>
    </row>
    <row r="21" spans="2:27" ht="21.75" customHeight="1">
      <c r="C21" s="88"/>
      <c r="D21" s="93" t="s">
        <v>3</v>
      </c>
      <c r="E21" s="322">
        <f t="shared" si="10"/>
        <v>328.05416097911802</v>
      </c>
      <c r="F21" s="323">
        <f t="shared" si="10"/>
        <v>167.74385900000016</v>
      </c>
      <c r="G21" s="299">
        <f>+F21-E21</f>
        <v>-160.31030197911787</v>
      </c>
      <c r="H21" s="300">
        <f>+H11-H16</f>
        <v>162.95370400000138</v>
      </c>
      <c r="I21" s="301">
        <f>+F21-H21</f>
        <v>4.7901549999987765</v>
      </c>
      <c r="J21" s="322">
        <f t="shared" ref="J21:K21" si="12">+J11-J16</f>
        <v>1221.1481198067195</v>
      </c>
      <c r="K21" s="323">
        <f t="shared" si="12"/>
        <v>500.15995799999655</v>
      </c>
      <c r="L21" s="299">
        <f>+K21-J21</f>
        <v>-720.98816180672293</v>
      </c>
      <c r="M21" s="300">
        <f>+M11-M16</f>
        <v>696.76214700000128</v>
      </c>
      <c r="N21" s="301">
        <f>+K21-M21</f>
        <v>-196.60218900000473</v>
      </c>
      <c r="O21" s="87"/>
      <c r="P21" s="90"/>
      <c r="Q21" s="144" t="s">
        <v>85</v>
      </c>
      <c r="R21" s="145"/>
      <c r="S21" s="146"/>
      <c r="T21" s="152"/>
      <c r="U21" s="146"/>
      <c r="X21" s="92"/>
    </row>
    <row r="22" spans="2:27" ht="21.75" customHeight="1">
      <c r="C22" s="88"/>
      <c r="D22" s="93" t="s">
        <v>1</v>
      </c>
      <c r="E22" s="322">
        <f t="shared" si="10"/>
        <v>320.81932947928203</v>
      </c>
      <c r="F22" s="323">
        <f t="shared" si="10"/>
        <v>102.96457201000021</v>
      </c>
      <c r="G22" s="299">
        <f t="shared" si="0"/>
        <v>-217.85475746928182</v>
      </c>
      <c r="H22" s="300">
        <f>+H12-H17</f>
        <v>199.37881800000014</v>
      </c>
      <c r="I22" s="301">
        <f t="shared" si="1"/>
        <v>-96.414245989999927</v>
      </c>
      <c r="J22" s="322">
        <f t="shared" ref="J22:K22" si="13">+J12-J17</f>
        <v>825.89533998808656</v>
      </c>
      <c r="K22" s="323">
        <f t="shared" si="13"/>
        <v>-260.35341599999902</v>
      </c>
      <c r="L22" s="299">
        <f t="shared" ref="L22:L25" si="14">+K22-J22</f>
        <v>-1086.2487559880856</v>
      </c>
      <c r="M22" s="300">
        <f>+M12-M17</f>
        <v>751.67752598999959</v>
      </c>
      <c r="N22" s="301">
        <f t="shared" ref="N22:N25" si="15">+K22-M22</f>
        <v>-1012.0309419899986</v>
      </c>
      <c r="O22" s="87"/>
      <c r="P22" s="90"/>
      <c r="Q22" s="221" t="s">
        <v>11</v>
      </c>
      <c r="R22" s="222"/>
      <c r="S22" s="223" t="s">
        <v>12</v>
      </c>
      <c r="T22" s="224" t="s">
        <v>13</v>
      </c>
      <c r="U22" s="225" t="s">
        <v>92</v>
      </c>
      <c r="V22" s="224" t="s">
        <v>14</v>
      </c>
      <c r="W22" s="226" t="s">
        <v>93</v>
      </c>
      <c r="X22" s="92"/>
    </row>
    <row r="23" spans="2:27" ht="21.75" customHeight="1">
      <c r="C23" s="88"/>
      <c r="D23" s="103" t="s">
        <v>4</v>
      </c>
      <c r="E23" s="329">
        <f t="shared" si="10"/>
        <v>74.24656766665953</v>
      </c>
      <c r="F23" s="330">
        <f t="shared" si="10"/>
        <v>95.865009000004193</v>
      </c>
      <c r="G23" s="302">
        <f t="shared" si="0"/>
        <v>21.618441333344663</v>
      </c>
      <c r="H23" s="303">
        <f>+H13-H18</f>
        <v>137.35304599999199</v>
      </c>
      <c r="I23" s="304">
        <f t="shared" si="1"/>
        <v>-41.488036999987798</v>
      </c>
      <c r="J23" s="329">
        <f t="shared" ref="J23:K23" si="16">+J13-J18</f>
        <v>464.96817066664335</v>
      </c>
      <c r="K23" s="330">
        <f t="shared" si="16"/>
        <v>187.09921499997381</v>
      </c>
      <c r="L23" s="302">
        <f t="shared" si="14"/>
        <v>-277.86895566666954</v>
      </c>
      <c r="M23" s="303">
        <f>+M13-M18</f>
        <v>559.43055400002322</v>
      </c>
      <c r="N23" s="304">
        <f t="shared" si="15"/>
        <v>-372.33133900004941</v>
      </c>
      <c r="O23" s="87"/>
      <c r="P23" s="90"/>
      <c r="Q23" s="147" t="s">
        <v>86</v>
      </c>
      <c r="R23" s="148"/>
      <c r="S23" s="207">
        <f>+'[6]4월'!$F$10</f>
        <v>872522.52252252249</v>
      </c>
      <c r="T23" s="213">
        <f>+'[6]4월'!$G$10</f>
        <v>800210.93236806407</v>
      </c>
      <c r="U23" s="210">
        <f>+T23-S23</f>
        <v>-72311.590154458419</v>
      </c>
      <c r="V23" s="189">
        <f>+'[6]4월'!$G$10</f>
        <v>800210.93236806407</v>
      </c>
      <c r="W23" s="186">
        <f>+T23-V23</f>
        <v>0</v>
      </c>
      <c r="X23" s="92"/>
    </row>
    <row r="24" spans="2:27" ht="21.75" customHeight="1">
      <c r="C24" s="104" t="s">
        <v>8</v>
      </c>
      <c r="D24" s="105"/>
      <c r="E24" s="329">
        <f>SUM(E20:E23)</f>
        <v>4413.1235196170746</v>
      </c>
      <c r="F24" s="330">
        <f>SUM(F20:F23)</f>
        <v>3203.6899680100105</v>
      </c>
      <c r="G24" s="302">
        <f t="shared" si="0"/>
        <v>-1209.4335516070641</v>
      </c>
      <c r="H24" s="303">
        <f>SUM(H20:H23)</f>
        <v>5817.7679849999986</v>
      </c>
      <c r="I24" s="304">
        <f t="shared" si="1"/>
        <v>-2614.0780169899881</v>
      </c>
      <c r="J24" s="329">
        <f>SUM(J20:J23)</f>
        <v>12570.290321530454</v>
      </c>
      <c r="K24" s="330">
        <f>SUM(K20:K23)</f>
        <v>7922.2538749999512</v>
      </c>
      <c r="L24" s="302">
        <f t="shared" si="14"/>
        <v>-4648.0364465305029</v>
      </c>
      <c r="M24" s="303">
        <f>SUM(M20:M23)</f>
        <v>17011.49426099009</v>
      </c>
      <c r="N24" s="304">
        <f t="shared" si="15"/>
        <v>-9089.2403859901387</v>
      </c>
      <c r="O24" s="87"/>
      <c r="P24" s="90"/>
      <c r="Q24" s="149" t="s">
        <v>87</v>
      </c>
      <c r="R24" s="150"/>
      <c r="S24" s="208">
        <f>+'[6]4월'!$F$15</f>
        <v>2.3976510067114095E-2</v>
      </c>
      <c r="T24" s="214">
        <f>+'[6]4월'!$G$15</f>
        <v>1.4249312193258659E-2</v>
      </c>
      <c r="U24" s="211">
        <f>+T24-S24</f>
        <v>-9.7271978738554359E-3</v>
      </c>
      <c r="V24" s="190">
        <f>+'[6]4월'!$G$15</f>
        <v>1.4249312193258659E-2</v>
      </c>
      <c r="W24" s="187">
        <f>+T24-V24</f>
        <v>0</v>
      </c>
      <c r="X24" s="92"/>
    </row>
    <row r="25" spans="2:27" ht="21.75" customHeight="1">
      <c r="C25" s="96" t="s">
        <v>6</v>
      </c>
      <c r="D25" s="97" t="s">
        <v>40</v>
      </c>
      <c r="E25" s="324">
        <f>+('[1]4월'!$Z$13+'[1]4월'!$Z$20)/1000</f>
        <v>658.80674299999998</v>
      </c>
      <c r="F25" s="325">
        <f>+('[2]4월'!$Z$13+'[2]4월'!$Z$20)/1000</f>
        <v>671.44764499999985</v>
      </c>
      <c r="G25" s="326">
        <f t="shared" si="0"/>
        <v>12.640901999999869</v>
      </c>
      <c r="H25" s="327">
        <f>+('[3]4월'!$Z$13+'[3]4월'!$Z$20)/1000</f>
        <v>682.8362410000002</v>
      </c>
      <c r="I25" s="328">
        <f t="shared" si="1"/>
        <v>-11.388596000000348</v>
      </c>
      <c r="J25" s="324">
        <f>+('[1]4월누계'!$Z$13+'[1]4월누계'!$Z$20)/1000</f>
        <v>2703.2670659999999</v>
      </c>
      <c r="K25" s="325">
        <f>+('[2]4월누계'!$Z$13+'[2]4월누계'!$Z$20)/1000</f>
        <v>2671.6816100000005</v>
      </c>
      <c r="L25" s="326">
        <f t="shared" si="14"/>
        <v>-31.58545599999934</v>
      </c>
      <c r="M25" s="327">
        <f>+('[3]4월누계'!$Z$13+'[3]4월누계'!$Z$20)/1000</f>
        <v>2654.9902910000001</v>
      </c>
      <c r="N25" s="328">
        <f t="shared" si="15"/>
        <v>16.691319000000476</v>
      </c>
      <c r="O25" s="87"/>
      <c r="P25" s="90"/>
      <c r="Q25" s="144" t="s">
        <v>88</v>
      </c>
      <c r="R25" s="151"/>
      <c r="S25" s="71"/>
      <c r="T25" s="152"/>
      <c r="U25" s="71"/>
      <c r="X25" s="92"/>
    </row>
    <row r="26" spans="2:27" ht="21.75" customHeight="1">
      <c r="C26" s="88"/>
      <c r="D26" s="93" t="s">
        <v>68</v>
      </c>
      <c r="E26" s="322">
        <f>+('[1]4월'!$AA$13+'[1]4월'!$AA$20)/1000</f>
        <v>122.86234800000001</v>
      </c>
      <c r="F26" s="323">
        <f>+('[2]4월'!$AO$13+'[2]4월'!$AO$20)/1000</f>
        <v>168.01540499999999</v>
      </c>
      <c r="G26" s="299">
        <f>+F26-E26</f>
        <v>45.153056999999976</v>
      </c>
      <c r="H26" s="300">
        <f>+('[3]4월'!$AO$13+'[3]4월'!$AO$20)/1000</f>
        <v>169.13637199999997</v>
      </c>
      <c r="I26" s="301">
        <f>+F26-H26</f>
        <v>-1.120966999999979</v>
      </c>
      <c r="J26" s="322">
        <f>+('[1]4월누계'!$AA$13+'[1]4월누계'!$AA$20)/1000</f>
        <v>512.07927199999995</v>
      </c>
      <c r="K26" s="323">
        <f>+('[2]4월누계'!$AO$13+'[2]4월누계'!$AO$20)/1000</f>
        <v>606.74288999999999</v>
      </c>
      <c r="L26" s="299">
        <f>+K26-J26</f>
        <v>94.663618000000042</v>
      </c>
      <c r="M26" s="300">
        <f>+('[3]4월누계'!$AO$13+'[3]4월누계'!$AO$20)/1000</f>
        <v>554.17757900000004</v>
      </c>
      <c r="N26" s="301">
        <f>+K26-M26</f>
        <v>52.565310999999951</v>
      </c>
      <c r="O26" s="87"/>
      <c r="P26" s="90"/>
      <c r="Q26" s="221" t="s">
        <v>11</v>
      </c>
      <c r="R26" s="222"/>
      <c r="S26" s="223" t="s">
        <v>12</v>
      </c>
      <c r="T26" s="224" t="s">
        <v>13</v>
      </c>
      <c r="U26" s="225" t="s">
        <v>92</v>
      </c>
      <c r="V26" s="224" t="s">
        <v>14</v>
      </c>
      <c r="W26" s="226" t="s">
        <v>93</v>
      </c>
      <c r="X26" s="92"/>
    </row>
    <row r="27" spans="2:27" ht="21.75" customHeight="1">
      <c r="C27" s="88"/>
      <c r="D27" s="93" t="s">
        <v>1</v>
      </c>
      <c r="E27" s="322">
        <f>+('[1]4월'!$AE$13+'[1]4월'!$AE$20+'[1]4월'!$AE$22)/1000</f>
        <v>46.61091026128824</v>
      </c>
      <c r="F27" s="323">
        <f>+('[2]4월'!$AN$13+'[2]4월'!$AN$20+'[2]4월'!$AN$22)/1000</f>
        <v>45.658013234615105</v>
      </c>
      <c r="G27" s="299">
        <f t="shared" si="0"/>
        <v>-0.95289702667313492</v>
      </c>
      <c r="H27" s="300">
        <f>+('[3]4월'!$AN$13+'[3]4월'!$AN$20+'[3]4월'!$AN$22)/1000</f>
        <v>45.501372494892841</v>
      </c>
      <c r="I27" s="301">
        <f t="shared" si="1"/>
        <v>0.15664073972226333</v>
      </c>
      <c r="J27" s="322">
        <f>+('[1]4월누계'!$AE$13+'[1]4월누계'!$AE$20+'[1]4월누계'!$AE$22)/1000</f>
        <v>190.45868857793621</v>
      </c>
      <c r="K27" s="323">
        <f>+('[2]4월누계'!$AN$13+'[2]4월누계'!$AN$20+'[2]4월누계'!$AN$22)/1000</f>
        <v>187.38508721705841</v>
      </c>
      <c r="L27" s="299">
        <f t="shared" ref="L27:L31" si="17">+K27-J27</f>
        <v>-3.0736013608778023</v>
      </c>
      <c r="M27" s="300">
        <f>+('[3]4월누계'!$AN$13+'[3]4월누계'!$AN$20+'[3]4월누계'!$AN$22)/1000</f>
        <v>178.67938762327847</v>
      </c>
      <c r="N27" s="301">
        <f t="shared" ref="N27:N31" si="18">+K27-M27</f>
        <v>8.70569959377994</v>
      </c>
      <c r="O27" s="87"/>
      <c r="P27" s="90"/>
      <c r="Q27" s="1" t="s">
        <v>89</v>
      </c>
      <c r="R27" s="176" t="s">
        <v>90</v>
      </c>
      <c r="S27" s="207">
        <f>(+'[7]서부산크라샤(당월)'!$Z$66+'[7]부산모래장(당월)'!$Q$48+'[7]부산크라샤(당월)'!$T$66)/1000</f>
        <v>53.994473024421573</v>
      </c>
      <c r="T27" s="213">
        <f>(+'[7]서부산크라샤(당월)'!$AA$66+'[7]부산모래장(당월)'!$R$48+'[7]부산크라샤(당월)'!$U$66)/1000</f>
        <v>29.138999999999999</v>
      </c>
      <c r="U27" s="210">
        <f>+T27-S27</f>
        <v>-24.855473024421574</v>
      </c>
      <c r="V27" s="189">
        <f>+[8]손익총괄!$V$27</f>
        <v>32.340000000000003</v>
      </c>
      <c r="W27" s="186">
        <f>+T27-V27</f>
        <v>-3.2010000000000041</v>
      </c>
      <c r="X27" s="92"/>
    </row>
    <row r="28" spans="2:27" ht="21.75" customHeight="1">
      <c r="B28" s="85"/>
      <c r="C28" s="88"/>
      <c r="D28" s="103" t="s">
        <v>4</v>
      </c>
      <c r="E28" s="329">
        <f>+('[1]4월'!$E$13+'[1]4월'!$E$20)/1000-E25-E26-E27+('[1]4월'!$E$22/1000)</f>
        <v>1750.4842484930389</v>
      </c>
      <c r="F28" s="330">
        <f>+('[2]4월'!$F$13+'[2]4월'!$F$20)/1000-F25-F26-F27+'[2]4월'!$F$22/1000</f>
        <v>1711.0197197689192</v>
      </c>
      <c r="G28" s="302">
        <f t="shared" si="0"/>
        <v>-39.464528724119646</v>
      </c>
      <c r="H28" s="303">
        <f>+('[3]4월'!$F$13+'[3]4월'!$F$20)/1000-H25-H26-H27+'[3]4월'!$F$22/1000</f>
        <v>1617.9186455016084</v>
      </c>
      <c r="I28" s="304">
        <f t="shared" si="1"/>
        <v>93.101074267310878</v>
      </c>
      <c r="J28" s="329">
        <f>+('[1]4월누계'!$E$13+'[1]4월누계'!$E$20)/1000-J25-J26-J27+('[1]4월누계'!$E$22/1000)</f>
        <v>6281.7638006247016</v>
      </c>
      <c r="K28" s="330">
        <f>+('[2]4월누계'!$F$13+'[2]4월누계'!$F$20)/1000-K25-K26-K27+'[2]4월누계'!$F$22/1000</f>
        <v>7058.2385637820407</v>
      </c>
      <c r="L28" s="302">
        <f t="shared" si="17"/>
        <v>776.47476315733911</v>
      </c>
      <c r="M28" s="303">
        <f>+('[3]4월누계'!$F$13+'[3]4월누계'!$F$20)/1000-M25-M26-M27+'[3]4월누계'!$F$22/1000</f>
        <v>7170.2525813758675</v>
      </c>
      <c r="N28" s="304">
        <f t="shared" si="18"/>
        <v>-112.01401759382679</v>
      </c>
      <c r="O28" s="87"/>
      <c r="P28" s="90"/>
      <c r="Q28" s="2"/>
      <c r="R28" s="177" t="s">
        <v>91</v>
      </c>
      <c r="S28" s="209">
        <f>(+'[7]서부산크라샤(당월)'!$Z$59+'[7]부산모래장(당월)'!$Q$47+'[7]부산크라샤(당월)'!$T$59)/1000</f>
        <v>31</v>
      </c>
      <c r="T28" s="141">
        <f>(+'[7]서부산크라샤(당월)'!$AA$59+'[7]부산모래장(당월)'!$R$47+'[7]부산크라샤(당월)'!$U$59)/1000</f>
        <v>23.326000000000001</v>
      </c>
      <c r="U28" s="212">
        <f>+T28-S28</f>
        <v>-7.6739999999999995</v>
      </c>
      <c r="V28" s="70">
        <f>+[8]손익총괄!$V$28</f>
        <v>25.899000000000001</v>
      </c>
      <c r="W28" s="188">
        <f>+T28-V28</f>
        <v>-2.5730000000000004</v>
      </c>
      <c r="X28" s="92"/>
    </row>
    <row r="29" spans="2:27" ht="21.75" customHeight="1">
      <c r="C29" s="104" t="s">
        <v>8</v>
      </c>
      <c r="D29" s="105"/>
      <c r="E29" s="329">
        <f>SUM(E25:E28)</f>
        <v>2578.764249754327</v>
      </c>
      <c r="F29" s="330">
        <f>SUM(F25:F28)</f>
        <v>2596.1407830035341</v>
      </c>
      <c r="G29" s="302">
        <f t="shared" si="0"/>
        <v>17.376533249207114</v>
      </c>
      <c r="H29" s="303">
        <f>SUM(H25:H28)</f>
        <v>2515.3926309965013</v>
      </c>
      <c r="I29" s="304">
        <f t="shared" si="1"/>
        <v>80.748152007032786</v>
      </c>
      <c r="J29" s="329">
        <f>SUM(J25:J28)</f>
        <v>9687.5688272026382</v>
      </c>
      <c r="K29" s="330">
        <f>SUM(K25:K28)</f>
        <v>10524.0481509991</v>
      </c>
      <c r="L29" s="302">
        <f t="shared" si="17"/>
        <v>836.47932379646227</v>
      </c>
      <c r="M29" s="303">
        <f>SUM(M25:M28)</f>
        <v>10558.099838999147</v>
      </c>
      <c r="N29" s="304">
        <f t="shared" si="18"/>
        <v>-34.051688000046852</v>
      </c>
      <c r="O29" s="87"/>
      <c r="P29" s="90"/>
      <c r="Q29" s="747" t="s">
        <v>100</v>
      </c>
      <c r="R29" s="748"/>
      <c r="S29" s="209">
        <f>SUM(S27:S28)</f>
        <v>84.99447302442158</v>
      </c>
      <c r="T29" s="141">
        <f>SUM(T27:T28)</f>
        <v>52.465000000000003</v>
      </c>
      <c r="U29" s="212">
        <f>+T29-S29</f>
        <v>-32.529473024421577</v>
      </c>
      <c r="V29" s="70">
        <f>SUM(V27:V28)</f>
        <v>58.239000000000004</v>
      </c>
      <c r="W29" s="188">
        <f>+T29-V29</f>
        <v>-5.7740000000000009</v>
      </c>
      <c r="X29" s="92"/>
    </row>
    <row r="30" spans="2:27" ht="21.75" customHeight="1">
      <c r="B30" s="235"/>
      <c r="C30" s="88" t="s">
        <v>7</v>
      </c>
      <c r="D30" s="97" t="s">
        <v>40</v>
      </c>
      <c r="E30" s="324">
        <f>+E20-E25</f>
        <v>3031.196718492015</v>
      </c>
      <c r="F30" s="331">
        <f>+F20-F25</f>
        <v>2165.6688830000062</v>
      </c>
      <c r="G30" s="326">
        <f t="shared" si="0"/>
        <v>-865.52783549200876</v>
      </c>
      <c r="H30" s="327">
        <f>+H20-H25</f>
        <v>4635.2461760000051</v>
      </c>
      <c r="I30" s="328">
        <f t="shared" si="1"/>
        <v>-2469.5772929999989</v>
      </c>
      <c r="J30" s="324">
        <f>+J20-J25</f>
        <v>7355.0116250690044</v>
      </c>
      <c r="K30" s="331">
        <f>+K20-K25</f>
        <v>4823.6665079999793</v>
      </c>
      <c r="L30" s="326">
        <f t="shared" si="17"/>
        <v>-2531.345117069025</v>
      </c>
      <c r="M30" s="327">
        <f>+M20-M25</f>
        <v>12348.633743000066</v>
      </c>
      <c r="N30" s="328">
        <f t="shared" si="18"/>
        <v>-7524.9672350000865</v>
      </c>
      <c r="O30" s="87"/>
      <c r="P30" s="90"/>
      <c r="Q30" s="144" t="s">
        <v>113</v>
      </c>
      <c r="X30" s="92"/>
      <c r="Z30" s="235"/>
      <c r="AA30" s="235"/>
    </row>
    <row r="31" spans="2:27" ht="21.75" customHeight="1">
      <c r="B31" s="235"/>
      <c r="C31" s="88"/>
      <c r="D31" s="111" t="s">
        <v>10</v>
      </c>
      <c r="E31" s="199">
        <f>+E30/E10</f>
        <v>0.10213380479984878</v>
      </c>
      <c r="F31" s="205">
        <f>+F30/F10</f>
        <v>7.9438364387303048E-2</v>
      </c>
      <c r="G31" s="202">
        <f t="shared" si="0"/>
        <v>-2.2695440412545731E-2</v>
      </c>
      <c r="H31" s="112">
        <f>+H30/H10</f>
        <v>0.13740805063203923</v>
      </c>
      <c r="I31" s="113">
        <f t="shared" si="1"/>
        <v>-5.7969686244736182E-2</v>
      </c>
      <c r="J31" s="199">
        <f>+J30/J10</f>
        <v>7.3028578765554006E-2</v>
      </c>
      <c r="K31" s="205">
        <f>+K30/K10</f>
        <v>5.2352309639689669E-2</v>
      </c>
      <c r="L31" s="202">
        <f t="shared" si="17"/>
        <v>-2.0676269125864337E-2</v>
      </c>
      <c r="M31" s="112">
        <f>+M30/M10</f>
        <v>0.10800313724202723</v>
      </c>
      <c r="N31" s="113">
        <f t="shared" si="18"/>
        <v>-5.5650827602337562E-2</v>
      </c>
      <c r="O31" s="87"/>
      <c r="P31" s="90"/>
      <c r="Q31" s="221" t="s">
        <v>11</v>
      </c>
      <c r="R31" s="222"/>
      <c r="S31" s="223" t="s">
        <v>12</v>
      </c>
      <c r="T31" s="224" t="s">
        <v>13</v>
      </c>
      <c r="U31" s="225" t="s">
        <v>92</v>
      </c>
      <c r="V31" s="224" t="s">
        <v>14</v>
      </c>
      <c r="W31" s="226" t="s">
        <v>93</v>
      </c>
      <c r="X31" s="92"/>
    </row>
    <row r="32" spans="2:27" ht="21.75" customHeight="1">
      <c r="B32" s="235"/>
      <c r="C32" s="88"/>
      <c r="D32" s="93" t="s">
        <v>3</v>
      </c>
      <c r="E32" s="322">
        <f t="shared" ref="E32:F34" si="19">+E21-E26</f>
        <v>205.19181297911803</v>
      </c>
      <c r="F32" s="323">
        <f t="shared" si="19"/>
        <v>-0.2715459999998302</v>
      </c>
      <c r="G32" s="299">
        <f>+F32-E32</f>
        <v>-205.46335897911786</v>
      </c>
      <c r="H32" s="300">
        <f>+H21-H26</f>
        <v>-6.1826679999985856</v>
      </c>
      <c r="I32" s="301">
        <f>+F32-H32</f>
        <v>5.9111219999987554</v>
      </c>
      <c r="J32" s="322">
        <f t="shared" ref="J32:K32" si="20">+J21-J26</f>
        <v>709.06884780671953</v>
      </c>
      <c r="K32" s="323">
        <f t="shared" si="20"/>
        <v>-106.58293200000344</v>
      </c>
      <c r="L32" s="299">
        <f>+K32-J32</f>
        <v>-815.65177980672297</v>
      </c>
      <c r="M32" s="300">
        <f>+M21-M26</f>
        <v>142.58456800000124</v>
      </c>
      <c r="N32" s="301">
        <f>+K32-M32</f>
        <v>-249.16750000000468</v>
      </c>
      <c r="O32" s="87"/>
      <c r="P32" s="90"/>
      <c r="Q32" s="749" t="s">
        <v>104</v>
      </c>
      <c r="R32" s="750"/>
      <c r="S32" s="240">
        <f>+'사업장별(당월)'!T33</f>
        <v>48.34988766666666</v>
      </c>
      <c r="T32" s="241">
        <f>+'사업장별(당월)'!U33</f>
        <v>23.021931000000002</v>
      </c>
      <c r="U32" s="242">
        <f>+T32-S32</f>
        <v>-25.327956666666658</v>
      </c>
      <c r="V32" s="243">
        <f>+'사업장별(당월)'!W33</f>
        <v>71.958666999999991</v>
      </c>
      <c r="W32" s="244">
        <f>+T32-V32</f>
        <v>-48.936735999999989</v>
      </c>
      <c r="X32" s="92"/>
      <c r="Z32" s="235"/>
      <c r="AA32" s="235"/>
    </row>
    <row r="33" spans="2:31" ht="21.75" customHeight="1">
      <c r="B33" s="235"/>
      <c r="C33" s="88"/>
      <c r="D33" s="93" t="s">
        <v>1</v>
      </c>
      <c r="E33" s="322">
        <f t="shared" si="19"/>
        <v>274.20841921799376</v>
      </c>
      <c r="F33" s="323">
        <f t="shared" si="19"/>
        <v>57.306558775385106</v>
      </c>
      <c r="G33" s="299">
        <f t="shared" si="0"/>
        <v>-216.90186044260867</v>
      </c>
      <c r="H33" s="300">
        <f>+H22-H27</f>
        <v>153.87744550510729</v>
      </c>
      <c r="I33" s="301">
        <f t="shared" si="1"/>
        <v>-96.57088672972219</v>
      </c>
      <c r="J33" s="322">
        <f t="shared" ref="J33:K33" si="21">+J22-J27</f>
        <v>635.43665141015038</v>
      </c>
      <c r="K33" s="323">
        <f t="shared" si="21"/>
        <v>-447.73850321705743</v>
      </c>
      <c r="L33" s="299">
        <f t="shared" ref="L33:L36" si="22">+K33-J33</f>
        <v>-1083.1751546272078</v>
      </c>
      <c r="M33" s="300">
        <f>+M22-M27</f>
        <v>572.99813836672115</v>
      </c>
      <c r="N33" s="301">
        <f t="shared" ref="N33:N36" si="23">+K33-M33</f>
        <v>-1020.7366415837786</v>
      </c>
      <c r="O33" s="87"/>
      <c r="P33" s="90"/>
      <c r="Q33" s="751" t="s">
        <v>44</v>
      </c>
      <c r="R33" s="752"/>
      <c r="S33" s="169">
        <f>+'사업장별(당월)'!T34</f>
        <v>63.963999999999999</v>
      </c>
      <c r="T33" s="250">
        <f>+'사업장별(당월)'!U34</f>
        <v>63.367074000000002</v>
      </c>
      <c r="U33" s="170">
        <f>+T33-S33</f>
        <v>-0.59692599999999629</v>
      </c>
      <c r="V33" s="251">
        <f>+'사업장별(당월)'!W34</f>
        <v>63.157758000000001</v>
      </c>
      <c r="W33" s="172">
        <f>+T33-V33</f>
        <v>0.20931600000000117</v>
      </c>
      <c r="X33" s="92"/>
      <c r="Z33" s="235"/>
      <c r="AA33" s="235"/>
    </row>
    <row r="34" spans="2:31" ht="21.75" customHeight="1">
      <c r="B34" s="235"/>
      <c r="C34" s="88"/>
      <c r="D34" s="103" t="s">
        <v>4</v>
      </c>
      <c r="E34" s="329">
        <f t="shared" si="19"/>
        <v>-1676.2376808263793</v>
      </c>
      <c r="F34" s="330">
        <f t="shared" si="19"/>
        <v>-1615.154710768915</v>
      </c>
      <c r="G34" s="302">
        <f t="shared" si="0"/>
        <v>61.082970057464308</v>
      </c>
      <c r="H34" s="303">
        <f>+H23-H28</f>
        <v>-1480.5655995016164</v>
      </c>
      <c r="I34" s="304">
        <f t="shared" si="1"/>
        <v>-134.58911126729868</v>
      </c>
      <c r="J34" s="329">
        <f t="shared" ref="J34:K34" si="24">+J23-J28</f>
        <v>-5816.7956299580583</v>
      </c>
      <c r="K34" s="330">
        <f t="shared" si="24"/>
        <v>-6871.1393487820669</v>
      </c>
      <c r="L34" s="302">
        <f t="shared" si="22"/>
        <v>-1054.3437188240086</v>
      </c>
      <c r="M34" s="303">
        <f>+M23-M28</f>
        <v>-6610.8220273758443</v>
      </c>
      <c r="N34" s="304">
        <f t="shared" si="23"/>
        <v>-260.31732140622262</v>
      </c>
      <c r="O34" s="87"/>
      <c r="P34" s="90"/>
      <c r="Q34" s="262" t="s">
        <v>29</v>
      </c>
      <c r="R34" s="263"/>
      <c r="S34" s="257">
        <f>+'사업장별(당월)'!T35</f>
        <v>-1670.9086974930385</v>
      </c>
      <c r="T34" s="258">
        <f>+'사업장별(당월)'!U35</f>
        <v>-1654.8984837689195</v>
      </c>
      <c r="U34" s="259">
        <f>+T34-S34</f>
        <v>16.010213724119012</v>
      </c>
      <c r="V34" s="260">
        <f>+'사업장별(당월)'!W35</f>
        <v>-1567.4228325016084</v>
      </c>
      <c r="W34" s="261">
        <f>+T34-V34</f>
        <v>-87.47565126731115</v>
      </c>
      <c r="X34" s="92"/>
      <c r="Z34" s="235"/>
      <c r="AA34" s="235"/>
    </row>
    <row r="35" spans="2:31" ht="21.75" customHeight="1">
      <c r="B35" s="235"/>
      <c r="C35" s="88" t="s">
        <v>8</v>
      </c>
      <c r="D35" s="108"/>
      <c r="E35" s="322">
        <f>SUM(E30,E32:E34)</f>
        <v>1834.3592698627472</v>
      </c>
      <c r="F35" s="332">
        <f>SUM(F30,F32:F34)</f>
        <v>607.54918500647614</v>
      </c>
      <c r="G35" s="299">
        <f t="shared" si="0"/>
        <v>-1226.810084856271</v>
      </c>
      <c r="H35" s="300">
        <f>SUM(H30,H32:H34)</f>
        <v>3302.3753540034973</v>
      </c>
      <c r="I35" s="301">
        <f t="shared" si="1"/>
        <v>-2694.8261689970213</v>
      </c>
      <c r="J35" s="322">
        <f>SUM(J30,J32:J34)</f>
        <v>2882.7214943278159</v>
      </c>
      <c r="K35" s="332">
        <f>SUM(K30,K32:K34)</f>
        <v>-2601.7942759991492</v>
      </c>
      <c r="L35" s="299">
        <f t="shared" si="22"/>
        <v>-5484.5157703269651</v>
      </c>
      <c r="M35" s="300">
        <f>SUM(M30,M32:M34)</f>
        <v>6453.3944219909454</v>
      </c>
      <c r="N35" s="301">
        <f t="shared" si="23"/>
        <v>-9055.1886979900955</v>
      </c>
      <c r="O35" s="87"/>
      <c r="P35" s="90"/>
      <c r="Q35" s="264" t="s">
        <v>103</v>
      </c>
      <c r="R35" s="265"/>
      <c r="S35" s="252">
        <f>+S36-S32-S33-S34</f>
        <v>-117.64287100000615</v>
      </c>
      <c r="T35" s="253">
        <f>+T36-T32-T33-T34</f>
        <v>-46.645231999992347</v>
      </c>
      <c r="U35" s="254">
        <f>+T35-S35</f>
        <v>70.997639000013805</v>
      </c>
      <c r="V35" s="255">
        <f>+V36-V32-V33-V34</f>
        <v>-48.259192000000212</v>
      </c>
      <c r="W35" s="256">
        <f>+T35-V35</f>
        <v>1.6139600000078644</v>
      </c>
      <c r="X35" s="92"/>
      <c r="Z35" s="235"/>
      <c r="AA35" s="235"/>
      <c r="AD35" s="86"/>
      <c r="AE35" s="235"/>
    </row>
    <row r="36" spans="2:31" ht="21.75" customHeight="1" thickBot="1">
      <c r="C36" s="114"/>
      <c r="D36" s="115" t="s">
        <v>9</v>
      </c>
      <c r="E36" s="200">
        <f>+E35/E14</f>
        <v>4.1987211247932942E-2</v>
      </c>
      <c r="F36" s="206">
        <f>+F35/F14</f>
        <v>1.5587251503397192E-2</v>
      </c>
      <c r="G36" s="203">
        <f t="shared" si="0"/>
        <v>-2.639995974453575E-2</v>
      </c>
      <c r="H36" s="116">
        <f>+H35/H14</f>
        <v>7.4263920849229587E-2</v>
      </c>
      <c r="I36" s="117">
        <f t="shared" si="1"/>
        <v>-5.8676669345832391E-2</v>
      </c>
      <c r="J36" s="200">
        <f>+J35/J14</f>
        <v>1.8866949620231506E-2</v>
      </c>
      <c r="K36" s="206">
        <f>+K35/K14</f>
        <v>-1.910323230245237E-2</v>
      </c>
      <c r="L36" s="203">
        <f t="shared" si="22"/>
        <v>-3.7970181922683879E-2</v>
      </c>
      <c r="M36" s="116">
        <f>+M35/M14</f>
        <v>4.2102209043194089E-2</v>
      </c>
      <c r="N36" s="117">
        <f t="shared" si="23"/>
        <v>-6.1205441345646455E-2</v>
      </c>
      <c r="O36" s="87"/>
      <c r="P36" s="118"/>
      <c r="Q36" s="739" t="s">
        <v>102</v>
      </c>
      <c r="R36" s="740"/>
      <c r="S36" s="245">
        <f>+'사업장별(당월)'!T41</f>
        <v>-1676.237680826378</v>
      </c>
      <c r="T36" s="246">
        <f>+'사업장별(당월)'!U41</f>
        <v>-1615.1547107689119</v>
      </c>
      <c r="U36" s="247">
        <f>+T36-S36</f>
        <v>61.082970057466127</v>
      </c>
      <c r="V36" s="248">
        <f>+'사업장별(당월)'!W41</f>
        <v>-1480.5655995016084</v>
      </c>
      <c r="W36" s="249">
        <f>+T36-V36</f>
        <v>-134.58911126730345</v>
      </c>
      <c r="X36" s="119"/>
      <c r="AA36" s="235"/>
    </row>
    <row r="37" spans="2:31" ht="20.100000000000001" customHeight="1" thickTop="1">
      <c r="F37" s="235"/>
    </row>
    <row r="38" spans="2:31">
      <c r="E38" s="86">
        <f>+'[1]4월'!$E$26/1000</f>
        <v>1834.3592698627479</v>
      </c>
      <c r="F38" s="227">
        <f>+'[2]4월'!$F$26/1000</f>
        <v>607.54918500647273</v>
      </c>
      <c r="H38" s="227">
        <f>+'[3]4월'!$F$26/1000</f>
        <v>3302.3753540034991</v>
      </c>
      <c r="J38" s="237">
        <f>+'[1]4월누계'!$E$26/1000</f>
        <v>2882.7214943278254</v>
      </c>
      <c r="K38" s="237">
        <f>+'[2]4월누계'!$F$26/1000</f>
        <v>-2601.7942759991429</v>
      </c>
      <c r="L38" s="238"/>
      <c r="M38" s="237">
        <f>+'[3]4월누계'!$F$26/1000</f>
        <v>6453.3944219909235</v>
      </c>
      <c r="N38" s="238"/>
      <c r="O38" s="238"/>
    </row>
    <row r="39" spans="2:31">
      <c r="E39" t="b">
        <f>+E35=E38</f>
        <v>1</v>
      </c>
      <c r="F39" t="b">
        <f>+F35=F38</f>
        <v>0</v>
      </c>
      <c r="H39" t="b">
        <f>+H35=H38</f>
        <v>1</v>
      </c>
      <c r="J39" t="b">
        <f>+J35=J38</f>
        <v>0</v>
      </c>
      <c r="K39" t="b">
        <f>+K35=K38</f>
        <v>0</v>
      </c>
      <c r="M39" t="b">
        <f>+M35=M38</f>
        <v>0</v>
      </c>
    </row>
    <row r="40" spans="2:31">
      <c r="E40" s="239">
        <f>+E35-E38</f>
        <v>0</v>
      </c>
      <c r="F40" s="239">
        <f>+F35-F38</f>
        <v>3.4106051316484809E-12</v>
      </c>
      <c r="G40" s="236"/>
      <c r="H40" s="239">
        <f>+H35-H38</f>
        <v>0</v>
      </c>
      <c r="I40" s="236"/>
      <c r="J40" s="239">
        <f>+J35-J38</f>
        <v>-9.5496943686157465E-12</v>
      </c>
      <c r="K40" s="239">
        <f>+K35-K38</f>
        <v>-6.3664629124104977E-12</v>
      </c>
      <c r="L40" s="236"/>
      <c r="M40" s="239">
        <f>+M35-M38</f>
        <v>2.1827872842550278E-11</v>
      </c>
      <c r="N40" s="236"/>
      <c r="O40" s="86"/>
      <c r="P40" s="86"/>
    </row>
    <row r="42" spans="2:31">
      <c r="E42" s="85"/>
      <c r="F42" s="85"/>
      <c r="G42" s="85"/>
    </row>
  </sheetData>
  <mergeCells count="6">
    <mergeCell ref="Q36:R36"/>
    <mergeCell ref="C5:D6"/>
    <mergeCell ref="P5:X6"/>
    <mergeCell ref="Q29:R29"/>
    <mergeCell ref="Q32:R32"/>
    <mergeCell ref="Q33:R33"/>
  </mergeCells>
  <phoneticPr fontId="1" type="noConversion"/>
  <printOptions horizontalCentered="1"/>
  <pageMargins left="0.15748031496062992" right="0.15748031496062992" top="0.39370078740157483" bottom="0.35433070866141736" header="0.31496062992125984" footer="0.31496062992125984"/>
  <pageSetup paperSize="9" scale="6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1" tint="0.249977111117893"/>
    <pageSetUpPr fitToPage="1"/>
  </sheetPr>
  <dimension ref="A1:AQ78"/>
  <sheetViews>
    <sheetView showGridLines="0" showZeros="0" topLeftCell="E19" zoomScale="85" zoomScaleNormal="85" zoomScaleSheetLayoutView="85" workbookViewId="0">
      <selection activeCell="Y34" sqref="Y34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12.125" bestFit="1" customWidth="1"/>
    <col min="37" max="37" width="13.625" bestFit="1" customWidth="1"/>
    <col min="38" max="38" width="9.25" bestFit="1" customWidth="1"/>
    <col min="39" max="39" width="8.25" customWidth="1"/>
    <col min="41" max="41" width="13.25" bestFit="1" customWidth="1"/>
    <col min="42" max="43" width="9.875" bestFit="1" customWidth="1"/>
  </cols>
  <sheetData>
    <row r="1" spans="1:39" ht="18" customHeight="1">
      <c r="H1" s="4"/>
      <c r="K1" s="6"/>
      <c r="L1" s="6"/>
      <c r="P1" s="6"/>
      <c r="Q1" s="6"/>
    </row>
    <row r="2" spans="1:39" ht="18" customHeight="1">
      <c r="H2" s="7"/>
      <c r="AD2" s="5"/>
      <c r="AG2" s="5"/>
    </row>
    <row r="3" spans="1:39" ht="26.25">
      <c r="H3" s="4" t="s">
        <v>224</v>
      </c>
      <c r="AD3" s="5"/>
      <c r="AG3" s="5"/>
    </row>
    <row r="4" spans="1:39" ht="18" customHeight="1">
      <c r="H4" s="7"/>
      <c r="AD4" s="5"/>
      <c r="AG4" s="5" t="s">
        <v>77</v>
      </c>
    </row>
    <row r="5" spans="1:39" s="8" customFormat="1" ht="19.5" customHeight="1">
      <c r="G5" s="334"/>
      <c r="H5" s="753" t="s">
        <v>35</v>
      </c>
      <c r="I5" s="754"/>
      <c r="J5" s="158" t="s">
        <v>51</v>
      </c>
      <c r="K5" s="159"/>
      <c r="L5" s="159"/>
      <c r="M5" s="159"/>
      <c r="N5" s="160"/>
      <c r="O5" s="158" t="s">
        <v>52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9" s="8" customFormat="1" ht="19.5" customHeight="1">
      <c r="A6" s="8" t="s">
        <v>232</v>
      </c>
      <c r="G6" s="334"/>
      <c r="H6" s="755"/>
      <c r="I6" s="756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9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+IFERROR(HLOOKUP($B7,'[1]4월'!$D$6:$BN$259,2,),)/1000</f>
        <v>42</v>
      </c>
      <c r="K7" s="36">
        <f>+IFERROR(HLOOKUP($B7,'[2]4월'!$F$6:$CP$99,2,),)/1000</f>
        <v>40.25</v>
      </c>
      <c r="L7" s="37">
        <f t="shared" ref="L7:L26" si="0">+K7-J7</f>
        <v>-1.75</v>
      </c>
      <c r="M7" s="38">
        <f>+IFERROR(HLOOKUP($B7,'[3]4월'!$F$6:$CC$57,2,),)/1000</f>
        <v>46.247</v>
      </c>
      <c r="N7" s="39">
        <f>+K7-M7</f>
        <v>-5.9969999999999999</v>
      </c>
      <c r="O7" s="35">
        <f>+IFERROR(HLOOKUP($B7,'[1]4월'!$D$6:$BN$259,3,),)/1000</f>
        <v>4118.1500299999998</v>
      </c>
      <c r="P7" s="36">
        <f>+IFERROR(HLOOKUP($B7,'[2]4월'!$F$6:$CP$99,3,),)/1000</f>
        <v>3841.7711029999996</v>
      </c>
      <c r="Q7" s="37">
        <f>+P7-O7</f>
        <v>-276.3789270000002</v>
      </c>
      <c r="R7" s="38">
        <f>+IFERROR(HLOOKUP($B7,'[3]4월'!$F$6:$CC$57,3,),)/1000</f>
        <v>4615.887573</v>
      </c>
      <c r="S7" s="39">
        <f>+P7-R7</f>
        <v>-774.11647000000039</v>
      </c>
      <c r="T7" s="35">
        <f>+IFERROR(HLOOKUP($B7,'[1]4월'!$D$6:$BN$259,16,),)/1000</f>
        <v>413.70969318204038</v>
      </c>
      <c r="U7" s="36">
        <f>+IFERROR(HLOOKUP($B7,'[2]4월'!$F$6:$CP$99,16,),)/1000</f>
        <v>321.01658199999946</v>
      </c>
      <c r="V7" s="40">
        <f>+U7-T7</f>
        <v>-92.693111182040923</v>
      </c>
      <c r="W7" s="41">
        <f>+IFERROR(HLOOKUP($B7,'[3]4월'!$F$6:$CC$57,16,),)/1000</f>
        <v>589.76878699999986</v>
      </c>
      <c r="X7" s="39">
        <f>+U7-W7</f>
        <v>-268.7522050000004</v>
      </c>
      <c r="Y7" s="35">
        <f>+[4]안양!$Q$85</f>
        <v>98051.191190476195</v>
      </c>
      <c r="Z7" s="36">
        <f>+[4]안양!$R$85</f>
        <v>95439.899645248312</v>
      </c>
      <c r="AA7" s="42">
        <f>+[5]안양!$Q$85</f>
        <v>99791.139505664702</v>
      </c>
      <c r="AB7" s="43">
        <f>+[4]안양!$Q$89</f>
        <v>81257.91450319346</v>
      </c>
      <c r="AC7" s="36">
        <f>+[4]안양!$R$89</f>
        <v>79659.205830918363</v>
      </c>
      <c r="AD7" s="44">
        <f>+[5]안양!$Q$89</f>
        <v>80207.362234399712</v>
      </c>
      <c r="AE7" s="43">
        <f>+Y7-AB7</f>
        <v>16793.276687282734</v>
      </c>
      <c r="AF7" s="36">
        <f>+Z7-AC7</f>
        <v>15780.693814329949</v>
      </c>
      <c r="AG7" s="44">
        <f>+AA7-AD7</f>
        <v>19583.777271264989</v>
      </c>
      <c r="AH7" s="17"/>
      <c r="AI7" s="18"/>
      <c r="AJ7" s="720"/>
      <c r="AK7" s="720"/>
    </row>
    <row r="8" spans="1:39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+IFERROR(HLOOKUP($B8,'[1]4월'!$D$6:$BN$259,2,),)/1000</f>
        <v>30</v>
      </c>
      <c r="K8" s="46">
        <f>+IFERROR(HLOOKUP($B8,'[2]4월'!$F$6:$CP$99,2,),)/1000</f>
        <v>33.57</v>
      </c>
      <c r="L8" s="47">
        <f t="shared" si="0"/>
        <v>3.5700000000000003</v>
      </c>
      <c r="M8" s="48">
        <f>+IFERROR(HLOOKUP($B8,'[3]4월'!$F$6:$CC$57,2,),)/1000</f>
        <v>30.094999999999999</v>
      </c>
      <c r="N8" s="49">
        <f t="shared" ref="N8:N26" si="2">+K8-M8</f>
        <v>3.4750000000000014</v>
      </c>
      <c r="O8" s="45">
        <f>+IFERROR(HLOOKUP($B8,'[1]4월'!$D$6:$BN$259,3,),)/1000</f>
        <v>2954.0596060856992</v>
      </c>
      <c r="P8" s="46">
        <f>+IFERROR(HLOOKUP($B8,'[2]4월'!$F$6:$CP$99,3,),)/1000</f>
        <v>3322.1847299999995</v>
      </c>
      <c r="Q8" s="47">
        <f t="shared" ref="Q8:Q26" si="3">+P8-O8</f>
        <v>368.12512391430027</v>
      </c>
      <c r="R8" s="48">
        <f>+IFERROR(HLOOKUP($B8,'[3]4월'!$F$6:$CC$57,3,),)/1000</f>
        <v>3074.4291430000003</v>
      </c>
      <c r="S8" s="49">
        <f t="shared" ref="S8:S26" si="4">+P8-R8</f>
        <v>247.7555869999992</v>
      </c>
      <c r="T8" s="45">
        <f>+IFERROR(HLOOKUP($B8,'[1]4월'!$D$6:$BN$259,16,),)/1000</f>
        <v>185.05258558863665</v>
      </c>
      <c r="U8" s="46">
        <f>+IFERROR(HLOOKUP($B8,'[2]4월'!$F$6:$CP$99,16,),)/1000</f>
        <v>222.53656899999947</v>
      </c>
      <c r="V8" s="47">
        <f t="shared" ref="V8:V26" si="5">+U8-T8</f>
        <v>37.483983411362829</v>
      </c>
      <c r="W8" s="48">
        <f>+IFERROR(HLOOKUP($B8,'[3]4월'!$F$6:$CC$57,16,),)/1000</f>
        <v>331.00998500000009</v>
      </c>
      <c r="X8" s="49">
        <f t="shared" ref="X8:X26" si="6">+U8-W8</f>
        <v>-108.47341600000061</v>
      </c>
      <c r="Y8" s="45">
        <f>+[4]인천!$Q$85</f>
        <v>98468.653536189959</v>
      </c>
      <c r="Z8" s="46">
        <f>+[4]인천!$R$85</f>
        <v>98978.103153922173</v>
      </c>
      <c r="AA8" s="50">
        <f>+[5]인천!$Q$85</f>
        <v>102157.47276956306</v>
      </c>
      <c r="AB8" s="51">
        <f>+[4]인천!$Q$89</f>
        <v>82591.23583730089</v>
      </c>
      <c r="AC8" s="46">
        <f>+[4]인천!$R$89</f>
        <v>82750.979782550101</v>
      </c>
      <c r="AD8" s="52">
        <f>+[5]인천!$Q$89</f>
        <v>81515.983492211104</v>
      </c>
      <c r="AE8" s="51">
        <f t="shared" ref="AE8:AE27" si="7">+Y8-AB8</f>
        <v>15877.417698889069</v>
      </c>
      <c r="AF8" s="46">
        <f t="shared" ref="AF8:AF27" si="8">+Z8-AC8</f>
        <v>16227.123371372072</v>
      </c>
      <c r="AG8" s="52">
        <f t="shared" ref="AG8:AG27" si="9">+AA8-AD8</f>
        <v>20641.489277351953</v>
      </c>
      <c r="AH8" s="17"/>
      <c r="AI8" s="18"/>
      <c r="AJ8" s="720"/>
      <c r="AK8" s="720"/>
    </row>
    <row r="9" spans="1:39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+IFERROR(HLOOKUP($B9,'[1]4월'!$D$6:$BN$259,2,),)/1000</f>
        <v>22</v>
      </c>
      <c r="K9" s="46">
        <f>+IFERROR(HLOOKUP($B9,'[2]4월'!$F$6:$CP$99,2,),)/1000</f>
        <v>13.605</v>
      </c>
      <c r="L9" s="47">
        <f t="shared" si="0"/>
        <v>-8.3949999999999996</v>
      </c>
      <c r="M9" s="48">
        <f>+IFERROR(HLOOKUP($B9,'[3]4월'!$F$6:$CC$57,2,),)/1000</f>
        <v>28.573</v>
      </c>
      <c r="N9" s="49">
        <f t="shared" si="2"/>
        <v>-14.968</v>
      </c>
      <c r="O9" s="45">
        <f>+IFERROR(HLOOKUP($B9,'[1]4월'!$D$6:$BN$259,3,),)/1000</f>
        <v>2112.8557613999997</v>
      </c>
      <c r="P9" s="46">
        <f>+IFERROR(HLOOKUP($B9,'[2]4월'!$F$6:$CP$99,3,),)/1000</f>
        <v>1269.8887999999999</v>
      </c>
      <c r="Q9" s="47">
        <f t="shared" si="3"/>
        <v>-842.96696139999972</v>
      </c>
      <c r="R9" s="48">
        <f>+IFERROR(HLOOKUP($B9,'[3]4월'!$F$6:$CC$57,3,),)/1000</f>
        <v>2775.4873820000003</v>
      </c>
      <c r="S9" s="49">
        <f t="shared" si="4"/>
        <v>-1505.5985820000003</v>
      </c>
      <c r="T9" s="45">
        <f>+IFERROR(HLOOKUP($B9,'[1]4월'!$D$6:$BN$259,16,),)/1000</f>
        <v>121.37225835771102</v>
      </c>
      <c r="U9" s="46">
        <f>+IFERROR(HLOOKUP($B9,'[2]4월'!$F$6:$CP$99,16,),)/1000</f>
        <v>-15.154132000000169</v>
      </c>
      <c r="V9" s="47">
        <f t="shared" si="5"/>
        <v>-136.52639035771119</v>
      </c>
      <c r="W9" s="48">
        <f>+IFERROR(HLOOKUP($B9,'[3]4월'!$F$6:$CC$57,16,),)/1000</f>
        <v>232.72628300000039</v>
      </c>
      <c r="X9" s="49">
        <f t="shared" si="6"/>
        <v>-247.88041500000057</v>
      </c>
      <c r="Y9" s="45">
        <f>+[4]파주!$Q$85</f>
        <v>96038.898245454533</v>
      </c>
      <c r="Z9" s="46">
        <f>+[4]파주!$R$85</f>
        <v>93525.184798028815</v>
      </c>
      <c r="AA9" s="50">
        <f>+[5]파주!$Q$85</f>
        <v>97212.840491015842</v>
      </c>
      <c r="AB9" s="51">
        <f>+[4]파주!$Q$89</f>
        <v>79787.252676244243</v>
      </c>
      <c r="AC9" s="46">
        <f>+[4]파주!$R$89</f>
        <v>78035.925632793238</v>
      </c>
      <c r="AD9" s="52">
        <f>+[5]파주!$Q$89</f>
        <v>81147.556057640992</v>
      </c>
      <c r="AE9" s="51">
        <f t="shared" si="7"/>
        <v>16251.64556921029</v>
      </c>
      <c r="AF9" s="46">
        <f t="shared" si="8"/>
        <v>15489.259165235577</v>
      </c>
      <c r="AG9" s="52">
        <f t="shared" si="9"/>
        <v>16065.284433374851</v>
      </c>
      <c r="AH9" s="17"/>
      <c r="AI9" s="18"/>
      <c r="AJ9" s="720"/>
      <c r="AK9" s="724"/>
    </row>
    <row r="10" spans="1:39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+IFERROR(HLOOKUP($B10,'[1]4월'!$D$6:$BN$259,2,),)/1000</f>
        <v>16</v>
      </c>
      <c r="K10" s="46">
        <f>+IFERROR(HLOOKUP($B10,'[2]4월'!$F$6:$CP$99,2,),)/1000</f>
        <v>12.327</v>
      </c>
      <c r="L10" s="47">
        <f t="shared" si="0"/>
        <v>-3.673</v>
      </c>
      <c r="M10" s="48">
        <f>+IFERROR(HLOOKUP($B10,'[3]4월'!$F$6:$CC$57,2,),)/1000</f>
        <v>17.598500000000001</v>
      </c>
      <c r="N10" s="49">
        <f t="shared" si="2"/>
        <v>-5.2715000000000014</v>
      </c>
      <c r="O10" s="45">
        <f>+IFERROR(HLOOKUP($B10,'[1]4월'!$D$6:$BN$259,3,),)/1000</f>
        <v>1519.70235</v>
      </c>
      <c r="P10" s="46">
        <f>+IFERROR(HLOOKUP($B10,'[2]4월'!$F$6:$CP$99,3,),)/1000</f>
        <v>1182.4699639999999</v>
      </c>
      <c r="Q10" s="47">
        <f t="shared" si="3"/>
        <v>-337.23238600000013</v>
      </c>
      <c r="R10" s="48">
        <f>+IFERROR(HLOOKUP($B10,'[3]4월'!$F$6:$CC$57,3,),)/1000</f>
        <v>1762.1677180000001</v>
      </c>
      <c r="S10" s="49">
        <f t="shared" si="4"/>
        <v>-579.69775400000026</v>
      </c>
      <c r="T10" s="45">
        <f>+IFERROR(HLOOKUP($B10,'[1]4월'!$D$6:$BN$259,16,),)/1000</f>
        <v>109.18152581442014</v>
      </c>
      <c r="U10" s="46">
        <f>+IFERROR(HLOOKUP($B10,'[2]4월'!$F$6:$CP$99,16,),)/1000</f>
        <v>64.832589999999954</v>
      </c>
      <c r="V10" s="47">
        <f t="shared" si="5"/>
        <v>-44.348935814420187</v>
      </c>
      <c r="W10" s="48">
        <f>+IFERROR(HLOOKUP($B10,'[3]4월'!$F$6:$CC$57,16,),)/1000</f>
        <v>272.512742</v>
      </c>
      <c r="X10" s="49">
        <f t="shared" si="6"/>
        <v>-207.68015200000005</v>
      </c>
      <c r="Y10" s="45">
        <f>+[4]김포!$Q$85</f>
        <v>94981.396875000006</v>
      </c>
      <c r="Z10" s="46">
        <f>+[4]김포!$R$85</f>
        <v>96085.257199767613</v>
      </c>
      <c r="AA10" s="50">
        <f>+[5]김포!$Q$85</f>
        <v>100131.69974713755</v>
      </c>
      <c r="AB10" s="51">
        <f>+[4]김포!$Q$89</f>
        <v>76890.479671320965</v>
      </c>
      <c r="AC10" s="46">
        <f>+[4]김포!$R$89</f>
        <v>76364.793698175796</v>
      </c>
      <c r="AD10" s="52">
        <f>+[5]김포!$Q$89</f>
        <v>75716.070980381031</v>
      </c>
      <c r="AE10" s="51">
        <f t="shared" si="7"/>
        <v>18090.917203679041</v>
      </c>
      <c r="AF10" s="46">
        <f t="shared" si="8"/>
        <v>19720.463501591817</v>
      </c>
      <c r="AG10" s="52">
        <f t="shared" si="9"/>
        <v>24415.628766756519</v>
      </c>
      <c r="AH10" s="17"/>
      <c r="AI10" s="18"/>
      <c r="AJ10" s="720"/>
      <c r="AK10" s="724"/>
    </row>
    <row r="11" spans="1:39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+IFERROR(HLOOKUP($B11,'[1]4월'!$D$6:$BN$259,2,),)/1000</f>
        <v>21</v>
      </c>
      <c r="K11" s="63">
        <f>+IFERROR(HLOOKUP($B11,'[2]4월'!$F$6:$CP$99,2,),)/1000</f>
        <v>20.498999999999999</v>
      </c>
      <c r="L11" s="64">
        <f t="shared" si="0"/>
        <v>-0.50100000000000122</v>
      </c>
      <c r="M11" s="65">
        <f>+IFERROR(HLOOKUP($B11,'[3]4월'!$F$6:$CC$57,2,),)/1000</f>
        <v>22.908999999999999</v>
      </c>
      <c r="N11" s="66">
        <f t="shared" si="2"/>
        <v>-2.41</v>
      </c>
      <c r="O11" s="62">
        <f>+IFERROR(HLOOKUP($B11,'[1]4월'!$D$6:$BN$259,3,),)/1000</f>
        <v>2261.6910870199999</v>
      </c>
      <c r="P11" s="63">
        <f>+IFERROR(HLOOKUP($B11,'[2]4월'!$F$6:$CP$99,3,),)/1000</f>
        <v>2136.8245000000002</v>
      </c>
      <c r="Q11" s="64">
        <f t="shared" si="3"/>
        <v>-124.86658701999977</v>
      </c>
      <c r="R11" s="65">
        <f>+IFERROR(HLOOKUP($B11,'[3]4월'!$F$6:$CC$57,3,),)/1000</f>
        <v>2386.5480280000002</v>
      </c>
      <c r="S11" s="66">
        <f t="shared" si="4"/>
        <v>-249.72352799999999</v>
      </c>
      <c r="T11" s="62">
        <f>+IFERROR(HLOOKUP($B11,'[1]4월'!$D$6:$BN$259,16,),)/1000</f>
        <v>236.95571246335922</v>
      </c>
      <c r="U11" s="63">
        <f>+IFERROR(HLOOKUP($B11,'[2]4월'!$F$6:$CP$99,16,),)/1000</f>
        <v>112.51179200000007</v>
      </c>
      <c r="V11" s="64">
        <f t="shared" si="5"/>
        <v>-124.44392046335915</v>
      </c>
      <c r="W11" s="65">
        <f>+IFERROR(HLOOKUP($B11,'[3]4월'!$F$6:$CC$57,16,),)/1000</f>
        <v>252.58252199999987</v>
      </c>
      <c r="X11" s="66">
        <f t="shared" si="6"/>
        <v>-140.0707299999998</v>
      </c>
      <c r="Y11" s="62">
        <f>+[4]부산!$Q$85</f>
        <v>107699.57557238096</v>
      </c>
      <c r="Z11" s="63">
        <f>+[4]부산!$R$85</f>
        <v>104240.42636226157</v>
      </c>
      <c r="AA11" s="67">
        <f>+[5]부산!$Q$85</f>
        <v>104175.12890130516</v>
      </c>
      <c r="AB11" s="68">
        <f>+[4]부산!$Q$89</f>
        <v>84183.559976519362</v>
      </c>
      <c r="AC11" s="63">
        <f>+[4]부산!$R$89</f>
        <v>86169.896254444495</v>
      </c>
      <c r="AD11" s="69">
        <f>+[5]부산!$Q$89</f>
        <v>81975.794342048859</v>
      </c>
      <c r="AE11" s="68">
        <f t="shared" si="7"/>
        <v>23516.015595861594</v>
      </c>
      <c r="AF11" s="63">
        <f t="shared" si="8"/>
        <v>18070.530107817074</v>
      </c>
      <c r="AG11" s="69">
        <f t="shared" si="9"/>
        <v>22199.334559256298</v>
      </c>
      <c r="AH11" s="17"/>
      <c r="AI11" s="18"/>
      <c r="AJ11" s="726"/>
      <c r="AK11" s="720"/>
      <c r="AL11" s="724"/>
      <c r="AM11" s="86"/>
    </row>
    <row r="12" spans="1:39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+IFERROR(HLOOKUP($B12,'[1]4월'!$D$6:$BN$259,2,),)/1000</f>
        <v>22</v>
      </c>
      <c r="K12" s="46">
        <f>+IFERROR(HLOOKUP($B12,'[2]4월'!$F$6:$CP$99,2,),)/1000</f>
        <v>19.391999999999999</v>
      </c>
      <c r="L12" s="47">
        <f t="shared" si="0"/>
        <v>-2.6080000000000005</v>
      </c>
      <c r="M12" s="48">
        <f>+IFERROR(HLOOKUP($B12,'[3]4월'!$F$6:$CC$57,2,),)/1000</f>
        <v>25.12</v>
      </c>
      <c r="N12" s="49">
        <f t="shared" si="2"/>
        <v>-5.7280000000000015</v>
      </c>
      <c r="O12" s="45">
        <f>+IFERROR(HLOOKUP($B12,'[1]4월'!$D$6:$BN$259,3,),)/1000</f>
        <v>2184.6009480000007</v>
      </c>
      <c r="P12" s="46">
        <f>+IFERROR(HLOOKUP($B12,'[2]4월'!$F$6:$CP$99,3,),)/1000</f>
        <v>1895.2186000000002</v>
      </c>
      <c r="Q12" s="47">
        <f t="shared" si="3"/>
        <v>-289.38234800000055</v>
      </c>
      <c r="R12" s="48">
        <f>+IFERROR(HLOOKUP($B12,'[3]4월'!$F$6:$CC$57,3,),)/1000</f>
        <v>2565.4977999999996</v>
      </c>
      <c r="S12" s="49">
        <f t="shared" si="4"/>
        <v>-670.27919999999949</v>
      </c>
      <c r="T12" s="45">
        <f>+IFERROR(HLOOKUP($B12,'[1]4월'!$D$6:$BN$259,16,),)/1000</f>
        <v>210.32020589076663</v>
      </c>
      <c r="U12" s="46">
        <f>+IFERROR(HLOOKUP($B12,'[2]4월'!$F$6:$CP$99,16,),)/1000</f>
        <v>155.86616599999999</v>
      </c>
      <c r="V12" s="47">
        <f t="shared" si="5"/>
        <v>-54.454039890766637</v>
      </c>
      <c r="W12" s="48">
        <f>+IFERROR(HLOOKUP($B12,'[3]4월'!$F$6:$CC$57,16,),)/1000</f>
        <v>358.97475199999951</v>
      </c>
      <c r="X12" s="49">
        <f t="shared" si="6"/>
        <v>-203.10858599999952</v>
      </c>
      <c r="Y12" s="45">
        <f>+[4]서부산!$Q$85</f>
        <v>99300.043090909123</v>
      </c>
      <c r="Z12" s="46">
        <f>+[4]서부산!$R$85</f>
        <v>97731.982260726072</v>
      </c>
      <c r="AA12" s="50">
        <f>+[5]서부산!$Q$85</f>
        <v>102129.68949044586</v>
      </c>
      <c r="AB12" s="51">
        <f>+[4]서부산!$Q$89</f>
        <v>78928.444757490433</v>
      </c>
      <c r="AC12" s="46">
        <f>+[4]서부산!$R$89</f>
        <v>77327.457906768715</v>
      </c>
      <c r="AD12" s="52">
        <f>+[5]서부산!$Q$89</f>
        <v>78340.860956397199</v>
      </c>
      <c r="AE12" s="51">
        <f t="shared" si="7"/>
        <v>20371.598333418689</v>
      </c>
      <c r="AF12" s="46">
        <f t="shared" si="8"/>
        <v>20404.524353957357</v>
      </c>
      <c r="AG12" s="52">
        <f t="shared" si="9"/>
        <v>23788.828534048662</v>
      </c>
      <c r="AH12" s="17"/>
      <c r="AI12" s="18"/>
      <c r="AJ12" s="720"/>
      <c r="AK12" s="724"/>
    </row>
    <row r="13" spans="1:39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+IFERROR(HLOOKUP($B13,'[1]4월'!$D$6:$BN$259,2,),)/1000</f>
        <v>15</v>
      </c>
      <c r="K13" s="46">
        <f>+IFERROR(HLOOKUP($B13,'[2]4월'!$F$6:$CP$99,2,),)/1000</f>
        <v>11.975</v>
      </c>
      <c r="L13" s="47">
        <f t="shared" si="0"/>
        <v>-3.0250000000000004</v>
      </c>
      <c r="M13" s="48">
        <f>+IFERROR(HLOOKUP($B13,'[3]4월'!$F$6:$CC$57,2,),)/1000</f>
        <v>17.236000000000001</v>
      </c>
      <c r="N13" s="49">
        <f t="shared" si="2"/>
        <v>-5.261000000000001</v>
      </c>
      <c r="O13" s="45">
        <f>+IFERROR(HLOOKUP($B13,'[1]4월'!$D$6:$BN$259,3,),)/1000</f>
        <v>1444.4978000000001</v>
      </c>
      <c r="P13" s="46">
        <f>+IFERROR(HLOOKUP($B13,'[2]4월'!$F$6:$CP$99,3,),)/1000</f>
        <v>1030.4699000000001</v>
      </c>
      <c r="Q13" s="47">
        <f t="shared" si="3"/>
        <v>-414.02790000000005</v>
      </c>
      <c r="R13" s="48">
        <f>+IFERROR(HLOOKUP($B13,'[3]4월'!$F$6:$CC$57,3,),)/1000</f>
        <v>1721.9678000000001</v>
      </c>
      <c r="S13" s="49">
        <f t="shared" si="4"/>
        <v>-691.49790000000007</v>
      </c>
      <c r="T13" s="45">
        <f>+IFERROR(HLOOKUP($B13,'[1]4월'!$D$6:$BN$259,16,),)/1000</f>
        <v>150.40606133195618</v>
      </c>
      <c r="U13" s="46">
        <f>+IFERROR(HLOOKUP($B13,'[2]4월'!$F$6:$CP$99,16,),)/1000</f>
        <v>-22.904841000000086</v>
      </c>
      <c r="V13" s="47">
        <f t="shared" si="5"/>
        <v>-173.31090233195627</v>
      </c>
      <c r="W13" s="48">
        <f>+IFERROR(HLOOKUP($B13,'[3]4월'!$F$6:$CC$57,16,),)/1000</f>
        <v>209.15239699999995</v>
      </c>
      <c r="X13" s="49">
        <f t="shared" si="6"/>
        <v>-232.05723800000004</v>
      </c>
      <c r="Y13" s="45">
        <f>+[4]김해!$Q$85</f>
        <v>96299.853333333333</v>
      </c>
      <c r="Z13" s="46">
        <f>+[4]김해!$R$85</f>
        <v>86017.766412341749</v>
      </c>
      <c r="AA13" s="50">
        <f>+[5]김해!$Q$85</f>
        <v>99943.842077680092</v>
      </c>
      <c r="AB13" s="51">
        <f>+[4]김해!$Q$89</f>
        <v>75958.305022314031</v>
      </c>
      <c r="AC13" s="46">
        <f>+[4]김해!$R$89</f>
        <v>75417.830720214639</v>
      </c>
      <c r="AD13" s="52">
        <f>+[5]김해!$Q$89</f>
        <v>79096.376928900019</v>
      </c>
      <c r="AE13" s="51">
        <f t="shared" si="7"/>
        <v>20341.548311019302</v>
      </c>
      <c r="AF13" s="46">
        <f t="shared" si="8"/>
        <v>10599.93569212711</v>
      </c>
      <c r="AG13" s="52">
        <f t="shared" si="9"/>
        <v>20847.465148780073</v>
      </c>
      <c r="AH13" s="17"/>
      <c r="AI13" s="18"/>
      <c r="AJ13" s="720"/>
      <c r="AK13" s="724"/>
    </row>
    <row r="14" spans="1:39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+IFERROR(HLOOKUP($B14,'[1]4월'!$D$6:$BN$259,2,),)/1000</f>
        <v>20</v>
      </c>
      <c r="K14" s="46">
        <f>+IFERROR(HLOOKUP($B14,'[2]4월'!$F$6:$CP$99,2,),)/1000</f>
        <v>23.628499999999999</v>
      </c>
      <c r="L14" s="47">
        <f t="shared" si="0"/>
        <v>3.6284999999999989</v>
      </c>
      <c r="M14" s="48">
        <f>+IFERROR(HLOOKUP($B14,'[3]4월'!$F$6:$CC$57,2,),)/1000</f>
        <v>21.271999999999998</v>
      </c>
      <c r="N14" s="49">
        <f t="shared" si="2"/>
        <v>2.3565000000000005</v>
      </c>
      <c r="O14" s="45">
        <f>+IFERROR(HLOOKUP($B14,'[1]4월'!$D$6:$BN$259,3,),)/1000</f>
        <v>2039.9952796799998</v>
      </c>
      <c r="P14" s="46">
        <f>+IFERROR(HLOOKUP($B14,'[2]4월'!$F$6:$CP$99,3,),)/1000</f>
        <v>2450.8407000000002</v>
      </c>
      <c r="Q14" s="47">
        <f t="shared" si="3"/>
        <v>410.84542032000036</v>
      </c>
      <c r="R14" s="48">
        <f>+IFERROR(HLOOKUP($B14,'[3]4월'!$F$6:$CC$57,3,),)/1000</f>
        <v>2214.5888999999997</v>
      </c>
      <c r="S14" s="49">
        <f t="shared" si="4"/>
        <v>236.25180000000046</v>
      </c>
      <c r="T14" s="45">
        <f>+IFERROR(HLOOKUP($B14,'[1]4월'!$D$6:$BN$259,16,),)/1000</f>
        <v>180.25227454130456</v>
      </c>
      <c r="U14" s="46">
        <f>+IFERROR(HLOOKUP($B14,'[2]4월'!$F$6:$CP$99,16,),)/1000</f>
        <v>280.09121400000009</v>
      </c>
      <c r="V14" s="47">
        <f t="shared" si="5"/>
        <v>99.838939458695535</v>
      </c>
      <c r="W14" s="48">
        <f>+IFERROR(HLOOKUP($B14,'[3]4월'!$F$6:$CC$57,16,),)/1000</f>
        <v>247.37615299999976</v>
      </c>
      <c r="X14" s="49">
        <f t="shared" si="6"/>
        <v>32.715061000000333</v>
      </c>
      <c r="Y14" s="45">
        <f>+[4]정관!$Q$85</f>
        <v>101999.763984</v>
      </c>
      <c r="Z14" s="46">
        <f>+[4]정관!$R$85</f>
        <v>103723.92238186936</v>
      </c>
      <c r="AA14" s="50">
        <f>+[5]정관!$Q$85</f>
        <v>104108.16566378337</v>
      </c>
      <c r="AB14" s="51">
        <f>+[4]정관!$Q$89</f>
        <v>82026.059506934747</v>
      </c>
      <c r="AC14" s="46">
        <f>+[4]정관!$R$89</f>
        <v>83859.793337693292</v>
      </c>
      <c r="AD14" s="52">
        <f>+[5]정관!$Q$89</f>
        <v>82781.134072959772</v>
      </c>
      <c r="AE14" s="51">
        <f t="shared" si="7"/>
        <v>19973.704477065257</v>
      </c>
      <c r="AF14" s="46">
        <f t="shared" si="8"/>
        <v>19864.129044176065</v>
      </c>
      <c r="AG14" s="52">
        <f t="shared" si="9"/>
        <v>21327.031590823593</v>
      </c>
      <c r="AH14" s="17"/>
      <c r="AI14" s="18"/>
      <c r="AJ14" s="720"/>
      <c r="AK14" s="724"/>
    </row>
    <row r="15" spans="1:39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+IFERROR(HLOOKUP($B15,'[1]4월'!$D$6:$BN$259,2,),)/1000</f>
        <v>12</v>
      </c>
      <c r="K15" s="46">
        <f>+IFERROR(HLOOKUP($B15,'[2]4월'!$F$6:$CP$99,2,),)/1000</f>
        <v>6.2770000000000001</v>
      </c>
      <c r="L15" s="47">
        <f t="shared" si="0"/>
        <v>-5.7229999999999999</v>
      </c>
      <c r="M15" s="48">
        <f>+IFERROR(HLOOKUP($B15,'[3]4월'!$F$6:$CC$57,2,),)/1000</f>
        <v>12.804</v>
      </c>
      <c r="N15" s="49">
        <f t="shared" si="2"/>
        <v>-6.5270000000000001</v>
      </c>
      <c r="O15" s="45">
        <f>+IFERROR(HLOOKUP($B15,'[1]4월'!$D$6:$BN$259,3,),)/1000</f>
        <v>1133.46</v>
      </c>
      <c r="P15" s="46">
        <f>+IFERROR(HLOOKUP($B15,'[2]4월'!$F$6:$CP$99,3,),)/1000</f>
        <v>579.56164999999999</v>
      </c>
      <c r="Q15" s="47">
        <f t="shared" si="3"/>
        <v>-553.89835000000005</v>
      </c>
      <c r="R15" s="48">
        <f>+IFERROR(HLOOKUP($B15,'[3]4월'!$F$6:$CC$57,3,),)/1000</f>
        <v>1198.3639450000001</v>
      </c>
      <c r="S15" s="49">
        <f t="shared" si="4"/>
        <v>-618.80229500000007</v>
      </c>
      <c r="T15" s="45">
        <f>+IFERROR(HLOOKUP($B15,'[1]4월'!$D$6:$BN$259,16,),)/1000</f>
        <v>107.5825690425827</v>
      </c>
      <c r="U15" s="46">
        <f>+IFERROR(HLOOKUP($B15,'[2]4월'!$F$6:$CP$99,16,),)/1000</f>
        <v>-26.417205999999922</v>
      </c>
      <c r="V15" s="47">
        <f t="shared" si="5"/>
        <v>-133.99977504258263</v>
      </c>
      <c r="W15" s="48">
        <f>+IFERROR(HLOOKUP($B15,'[3]4월'!$F$6:$CC$57,16,),)/1000</f>
        <v>114.71239700000014</v>
      </c>
      <c r="X15" s="49">
        <f t="shared" si="6"/>
        <v>-141.12960300000006</v>
      </c>
      <c r="Y15" s="45">
        <f>+[4]양산!$Q$85</f>
        <v>94455</v>
      </c>
      <c r="Z15" s="46">
        <f>+[4]양산!$R$85</f>
        <v>92330.9941054644</v>
      </c>
      <c r="AA15" s="50">
        <f>+[5]양산!$Q$85</f>
        <v>93592.935410809136</v>
      </c>
      <c r="AB15" s="51">
        <f>+[4]양산!$Q$89</f>
        <v>73683.516440895895</v>
      </c>
      <c r="AC15" s="46">
        <f>+[4]양산!$R$89</f>
        <v>72880.115501035529</v>
      </c>
      <c r="AD15" s="52">
        <f>+[5]양산!$Q$89</f>
        <v>73554.020384254909</v>
      </c>
      <c r="AE15" s="51">
        <f t="shared" si="7"/>
        <v>20771.483559104105</v>
      </c>
      <c r="AF15" s="46">
        <f t="shared" si="8"/>
        <v>19450.878604428872</v>
      </c>
      <c r="AG15" s="52">
        <f t="shared" si="9"/>
        <v>20038.915026554227</v>
      </c>
      <c r="AH15" s="17"/>
      <c r="AI15" s="18"/>
      <c r="AJ15" s="720"/>
      <c r="AK15" s="724"/>
    </row>
    <row r="16" spans="1:39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+IFERROR(HLOOKUP($B16,'[1]4월'!$D$6:$BN$259,2,),)/1000</f>
        <v>13</v>
      </c>
      <c r="K16" s="46">
        <f>+IFERROR(HLOOKUP($B16,'[2]4월'!$F$6:$CP$99,2,),)/1000</f>
        <v>12.462</v>
      </c>
      <c r="L16" s="47">
        <f t="shared" si="0"/>
        <v>-0.53800000000000026</v>
      </c>
      <c r="M16" s="48">
        <f>+IFERROR(HLOOKUP($B16,'[3]4월'!$F$6:$CC$57,2,),)/1000</f>
        <v>19.111499999999999</v>
      </c>
      <c r="N16" s="49">
        <f t="shared" si="2"/>
        <v>-6.6494999999999997</v>
      </c>
      <c r="O16" s="45">
        <f>+IFERROR(HLOOKUP($B16,'[1]4월'!$D$6:$BN$259,3,),)/1000</f>
        <v>1300.0007767700001</v>
      </c>
      <c r="P16" s="46">
        <f>+IFERROR(HLOOKUP($B16,'[2]4월'!$F$6:$CP$99,3,),)/1000</f>
        <v>1202.3307</v>
      </c>
      <c r="Q16" s="47">
        <f t="shared" si="3"/>
        <v>-97.670076770000151</v>
      </c>
      <c r="R16" s="48">
        <f>+IFERROR(HLOOKUP($B16,'[3]4월'!$F$6:$CC$57,3,),)/1000</f>
        <v>1984.4875500000001</v>
      </c>
      <c r="S16" s="49">
        <f t="shared" si="4"/>
        <v>-782.15685000000008</v>
      </c>
      <c r="T16" s="45">
        <f>+IFERROR(HLOOKUP($B16,'[1]4월'!$D$6:$BN$259,16,),)/1000</f>
        <v>133.42460077555475</v>
      </c>
      <c r="U16" s="46">
        <f>+IFERROR(HLOOKUP($B16,'[2]4월'!$F$6:$CP$99,16,),)/1000</f>
        <v>126.42043699999992</v>
      </c>
      <c r="V16" s="47">
        <f t="shared" si="5"/>
        <v>-7.0041637755548294</v>
      </c>
      <c r="W16" s="48">
        <f>+IFERROR(HLOOKUP($B16,'[3]4월'!$F$6:$CC$57,16,),)/1000</f>
        <v>350.89097999999996</v>
      </c>
      <c r="X16" s="49">
        <f t="shared" si="6"/>
        <v>-224.47054300000002</v>
      </c>
      <c r="Y16" s="45">
        <f>+[4]창원!$Q$85</f>
        <v>100000.05975153847</v>
      </c>
      <c r="Z16" s="46">
        <f>+[4]창원!$R$85</f>
        <v>96479.754453538757</v>
      </c>
      <c r="AA16" s="50">
        <f>+[5]창원!$Q$85</f>
        <v>103837.35185621223</v>
      </c>
      <c r="AB16" s="51">
        <f>+[4]창원!$Q$89</f>
        <v>75916.257993663923</v>
      </c>
      <c r="AC16" s="46">
        <f>+[4]창원!$R$89</f>
        <v>72322.006900978973</v>
      </c>
      <c r="AD16" s="52">
        <f>+[5]창원!$Q$89</f>
        <v>74909.070193339081</v>
      </c>
      <c r="AE16" s="51">
        <f t="shared" si="7"/>
        <v>24083.801757874549</v>
      </c>
      <c r="AF16" s="46">
        <f t="shared" si="8"/>
        <v>24157.747552559784</v>
      </c>
      <c r="AG16" s="52">
        <f t="shared" si="9"/>
        <v>28928.281662873153</v>
      </c>
      <c r="AH16" s="17"/>
      <c r="AI16" s="18"/>
      <c r="AJ16" s="720"/>
      <c r="AK16" s="724"/>
    </row>
    <row r="17" spans="2:39" s="8" customFormat="1" ht="22.5" customHeight="1">
      <c r="B17" s="8" t="s">
        <v>78</v>
      </c>
      <c r="G17" s="334" t="str">
        <f t="shared" si="1"/>
        <v>대구</v>
      </c>
      <c r="H17" s="74"/>
      <c r="I17" s="75" t="s">
        <v>70</v>
      </c>
      <c r="J17" s="45">
        <f>+IFERROR(HLOOKUP($B17,'[1]4월'!$D$6:$BN$259,2,),)/1000</f>
        <v>12.5</v>
      </c>
      <c r="K17" s="46">
        <f>+IFERROR(HLOOKUP($B17,'[2]4월'!$F$6:$CP$99,2,),)/1000</f>
        <v>11.7315</v>
      </c>
      <c r="L17" s="47">
        <f t="shared" si="0"/>
        <v>-0.76849999999999952</v>
      </c>
      <c r="M17" s="48">
        <f>+IFERROR(HLOOKUP($B17,'[3]4월'!$F$6:$CC$57,2,),)/1000</f>
        <v>17.658999999999999</v>
      </c>
      <c r="N17" s="49">
        <f t="shared" si="2"/>
        <v>-5.9274999999999984</v>
      </c>
      <c r="O17" s="45">
        <f>+IFERROR(HLOOKUP($B17,'[1]4월'!$D$6:$BN$259,3,),)/1000</f>
        <v>1221.1000999999999</v>
      </c>
      <c r="P17" s="46">
        <f>+IFERROR(HLOOKUP($B17,'[2]4월'!$F$6:$CP$99,3,),)/1000</f>
        <v>1058.2244499999999</v>
      </c>
      <c r="Q17" s="47">
        <f t="shared" si="3"/>
        <v>-162.87564999999995</v>
      </c>
      <c r="R17" s="48">
        <f>+IFERROR(HLOOKUP($B17,'[3]4월'!$F$6:$CC$57,3,),)/1000</f>
        <v>1760.5862</v>
      </c>
      <c r="S17" s="49">
        <f t="shared" si="4"/>
        <v>-702.36175000000003</v>
      </c>
      <c r="T17" s="45">
        <f>+IFERROR(HLOOKUP($B17,'[1]4월'!$D$6:$BN$259,16,),)/1000</f>
        <v>123.7420622812238</v>
      </c>
      <c r="U17" s="46">
        <f>+IFERROR(HLOOKUP($B17,'[2]4월'!$F$6:$CP$99,16,),)/1000</f>
        <v>50.698715999999983</v>
      </c>
      <c r="V17" s="47">
        <f t="shared" si="5"/>
        <v>-73.043346281223819</v>
      </c>
      <c r="W17" s="48">
        <f>+IFERROR(HLOOKUP($B17,'[3]4월'!$F$6:$CC$57,16,),)/1000</f>
        <v>287.68351899999993</v>
      </c>
      <c r="X17" s="49">
        <f t="shared" si="6"/>
        <v>-236.98480299999994</v>
      </c>
      <c r="Y17" s="45">
        <f>+[4]대구!$Q$85</f>
        <v>97688.007999999987</v>
      </c>
      <c r="Z17" s="46">
        <f>+[4]대구!$R$85</f>
        <v>90203.678131526234</v>
      </c>
      <c r="AA17" s="50">
        <f>+[5]대구!$Q$85</f>
        <v>99699.088283594756</v>
      </c>
      <c r="AB17" s="51">
        <f>+[4]대구!$Q$89</f>
        <v>72963.433027028863</v>
      </c>
      <c r="AC17" s="46">
        <f>+[4]대구!$R$89</f>
        <v>72248.873375101219</v>
      </c>
      <c r="AD17" s="52">
        <f>+[5]대구!$Q$89</f>
        <v>73859.704116880908</v>
      </c>
      <c r="AE17" s="51">
        <f t="shared" si="7"/>
        <v>24724.574972971124</v>
      </c>
      <c r="AF17" s="46">
        <f t="shared" si="8"/>
        <v>17954.804756425016</v>
      </c>
      <c r="AG17" s="52">
        <f t="shared" si="9"/>
        <v>25839.384166713848</v>
      </c>
      <c r="AH17" s="17"/>
      <c r="AI17" s="18"/>
      <c r="AJ17" s="720"/>
      <c r="AK17" s="724"/>
    </row>
    <row r="18" spans="2:39" s="8" customFormat="1" ht="22.5" customHeight="1">
      <c r="B18" s="8" t="s">
        <v>79</v>
      </c>
      <c r="G18" s="336" t="str">
        <f t="shared" si="1"/>
        <v>울산</v>
      </c>
      <c r="H18" s="74"/>
      <c r="I18" s="77" t="s">
        <v>71</v>
      </c>
      <c r="J18" s="9">
        <f>+IFERROR(HLOOKUP($B18,'[1]4월'!$D$6:$BN$259,2,),)/1000</f>
        <v>13</v>
      </c>
      <c r="K18" s="10">
        <f>+IFERROR(HLOOKUP($B18,'[2]4월'!$F$6:$CP$99,2,),)/1000</f>
        <v>13.906000000000001</v>
      </c>
      <c r="L18" s="11">
        <f t="shared" si="0"/>
        <v>0.90600000000000058</v>
      </c>
      <c r="M18" s="12">
        <f>+IFERROR(HLOOKUP($B18,'[3]4월'!$F$6:$CC$57,2,),)/1000</f>
        <v>11.11</v>
      </c>
      <c r="N18" s="13">
        <f t="shared" si="2"/>
        <v>2.7960000000000012</v>
      </c>
      <c r="O18" s="9">
        <f>+IFERROR(HLOOKUP($B18,'[1]4월'!$D$6:$BN$259,3,),)/1000</f>
        <v>1326.078</v>
      </c>
      <c r="P18" s="10">
        <f>+IFERROR(HLOOKUP($B18,'[2]4월'!$F$6:$CP$99,3,),)/1000</f>
        <v>1439.8668</v>
      </c>
      <c r="Q18" s="11">
        <f t="shared" si="3"/>
        <v>113.78880000000004</v>
      </c>
      <c r="R18" s="12">
        <f>+IFERROR(HLOOKUP($B18,'[3]4월'!$F$6:$CC$57,3,),)/1000</f>
        <v>1127.6673000000001</v>
      </c>
      <c r="S18" s="13">
        <f t="shared" si="4"/>
        <v>312.19949999999994</v>
      </c>
      <c r="T18" s="9">
        <f>+IFERROR(HLOOKUP($B18,'[1]4월'!$D$6:$BN$259,16,),)/1000</f>
        <v>114.98217509375442</v>
      </c>
      <c r="U18" s="10">
        <f>+IFERROR(HLOOKUP($B18,'[2]4월'!$F$6:$CP$99,16,),)/1000</f>
        <v>174.90095600000021</v>
      </c>
      <c r="V18" s="11">
        <f t="shared" si="5"/>
        <v>59.918780906245786</v>
      </c>
      <c r="W18" s="12">
        <f>+IFERROR(HLOOKUP($B18,'[3]4월'!$F$6:$CC$57,16,),)/1000</f>
        <v>133.17268700000008</v>
      </c>
      <c r="X18" s="13">
        <f t="shared" si="6"/>
        <v>41.728269000000125</v>
      </c>
      <c r="Y18" s="9">
        <f>+[4]울산!$Q$85</f>
        <v>102006</v>
      </c>
      <c r="Z18" s="10">
        <f>+[4]울산!$R$85</f>
        <v>103542.84481518769</v>
      </c>
      <c r="AA18" s="14">
        <f>+[5]울산!$Q$85</f>
        <v>101500.20702070207</v>
      </c>
      <c r="AB18" s="15">
        <f>+[4]울산!$Q$89</f>
        <v>81874.02490320272</v>
      </c>
      <c r="AC18" s="10">
        <f>+[4]울산!$R$89</f>
        <v>80692.96005173157</v>
      </c>
      <c r="AD18" s="16">
        <f>+[5]울산!$Q$89</f>
        <v>78272.848784878486</v>
      </c>
      <c r="AE18" s="15">
        <f t="shared" si="7"/>
        <v>20131.97509679728</v>
      </c>
      <c r="AF18" s="10">
        <f t="shared" si="8"/>
        <v>22849.884763456124</v>
      </c>
      <c r="AG18" s="16">
        <f t="shared" si="9"/>
        <v>23227.358235823587</v>
      </c>
      <c r="AH18" s="17"/>
      <c r="AI18" s="18"/>
      <c r="AJ18" s="720"/>
      <c r="AK18" s="724"/>
    </row>
    <row r="19" spans="2:39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+IFERROR(HLOOKUP($B19,'[1]4월'!$D$6:$BN$259,2,),)/1000</f>
        <v>25</v>
      </c>
      <c r="K19" s="46">
        <f>+IFERROR(HLOOKUP($B19,'[2]4월'!$F$6:$CP$99,2,),)/1000</f>
        <v>23.172999999999998</v>
      </c>
      <c r="L19" s="47">
        <f t="shared" si="0"/>
        <v>-1.8270000000000017</v>
      </c>
      <c r="M19" s="48">
        <f>+IFERROR(HLOOKUP($B19,'[3]4월'!$F$6:$CC$57,2,),)/1000</f>
        <v>30.068999999999999</v>
      </c>
      <c r="N19" s="49">
        <f t="shared" si="2"/>
        <v>-6.8960000000000008</v>
      </c>
      <c r="O19" s="45">
        <f>+IFERROR(HLOOKUP($B19,'[1]4월'!$D$6:$BN$259,3,),)/1000</f>
        <v>2575</v>
      </c>
      <c r="P19" s="46">
        <f>+IFERROR(HLOOKUP($B19,'[2]4월'!$F$6:$CP$99,3,),)/1000</f>
        <v>2210.5820699999999</v>
      </c>
      <c r="Q19" s="47">
        <f t="shared" si="3"/>
        <v>-364.41793000000007</v>
      </c>
      <c r="R19" s="48">
        <f>+IFERROR(HLOOKUP($B19,'[3]4월'!$F$6:$CC$57,3,),)/1000</f>
        <v>3153.8161999999998</v>
      </c>
      <c r="S19" s="49">
        <f t="shared" si="4"/>
        <v>-943.23412999999982</v>
      </c>
      <c r="T19" s="45">
        <f>+IFERROR(HLOOKUP($B19,'[1]4월'!$D$6:$BN$259,16,),)/1000</f>
        <v>367.52538730355934</v>
      </c>
      <c r="U19" s="46">
        <f>+IFERROR(HLOOKUP($B19,'[2]4월'!$F$6:$CP$99,16,),)/1000</f>
        <v>177.27360899999982</v>
      </c>
      <c r="V19" s="47">
        <f t="shared" si="5"/>
        <v>-190.25177830355952</v>
      </c>
      <c r="W19" s="48">
        <f>+IFERROR(HLOOKUP($B19,'[3]4월'!$F$6:$CC$57,16,),)/1000</f>
        <v>538.83441399999936</v>
      </c>
      <c r="X19" s="49">
        <f t="shared" si="6"/>
        <v>-361.5608049999995</v>
      </c>
      <c r="Y19" s="45">
        <f>+[4]아산!$Q$85</f>
        <v>103000</v>
      </c>
      <c r="Z19" s="46">
        <f>+[4]아산!$R$85</f>
        <v>95394.729642256061</v>
      </c>
      <c r="AA19" s="50">
        <f>+[5]아산!$Q$85</f>
        <v>104707.6933630595</v>
      </c>
      <c r="AB19" s="51">
        <f>+[4]아산!$Q$89</f>
        <v>78535.543257378173</v>
      </c>
      <c r="AC19" s="46">
        <f>+[4]아산!$R$89</f>
        <v>77222.152605940428</v>
      </c>
      <c r="AD19" s="52">
        <f>+[5]아산!$Q$89</f>
        <v>77280.259490415279</v>
      </c>
      <c r="AE19" s="51">
        <f t="shared" si="7"/>
        <v>24464.456742621827</v>
      </c>
      <c r="AF19" s="46">
        <f t="shared" si="8"/>
        <v>18172.577036315633</v>
      </c>
      <c r="AG19" s="52">
        <f t="shared" si="9"/>
        <v>27427.433872644222</v>
      </c>
      <c r="AH19" s="17"/>
      <c r="AI19" s="18"/>
      <c r="AJ19" s="720"/>
      <c r="AK19" s="724"/>
    </row>
    <row r="20" spans="2:39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+IFERROR(HLOOKUP($B20,'[1]4월'!$D$6:$BN$259,2,),)/1000</f>
        <v>11</v>
      </c>
      <c r="K20" s="46">
        <f>+IFERROR(HLOOKUP($B20,'[2]4월'!$F$6:$CP$99,2,),)/1000</f>
        <v>17.106000000000002</v>
      </c>
      <c r="L20" s="47">
        <f t="shared" si="0"/>
        <v>6.1060000000000016</v>
      </c>
      <c r="M20" s="48">
        <f>+IFERROR(HLOOKUP($B20,'[3]4월'!$F$6:$CC$57,2,),)/1000</f>
        <v>9.7720000000000002</v>
      </c>
      <c r="N20" s="49">
        <f t="shared" si="2"/>
        <v>7.3340000000000014</v>
      </c>
      <c r="O20" s="45">
        <f>+IFERROR(HLOOKUP($B20,'[1]4월'!$D$6:$BN$259,3,),)/1000</f>
        <v>1067.6501800000001</v>
      </c>
      <c r="P20" s="46">
        <f>+IFERROR(HLOOKUP($B20,'[2]4월'!$F$6:$CP$99,3,),)/1000</f>
        <v>1690.8335500000001</v>
      </c>
      <c r="Q20" s="47">
        <f t="shared" si="3"/>
        <v>623.18336999999997</v>
      </c>
      <c r="R20" s="48">
        <f>+IFERROR(HLOOKUP($B20,'[3]4월'!$F$6:$CC$57,3,),)/1000</f>
        <v>934.79441899999995</v>
      </c>
      <c r="S20" s="49">
        <f t="shared" si="4"/>
        <v>756.03913100000011</v>
      </c>
      <c r="T20" s="45">
        <f>+IFERROR(HLOOKUP($B20,'[1]4월'!$D$6:$BN$259,16,),)/1000</f>
        <v>113.79379000099429</v>
      </c>
      <c r="U20" s="46">
        <f>+IFERROR(HLOOKUP($B20,'[2]4월'!$F$6:$CP$99,16,),)/1000</f>
        <v>227.34831699999998</v>
      </c>
      <c r="V20" s="47">
        <f t="shared" si="5"/>
        <v>113.55452699900569</v>
      </c>
      <c r="W20" s="48">
        <f>+IFERROR(HLOOKUP($B20,'[3]4월'!$F$6:$CC$57,16,),)/1000</f>
        <v>98.974597999999958</v>
      </c>
      <c r="X20" s="49">
        <f t="shared" si="6"/>
        <v>128.37371900000002</v>
      </c>
      <c r="Y20" s="45">
        <f>+[4]전주!$Q$85</f>
        <v>97059.107272727284</v>
      </c>
      <c r="Z20" s="46">
        <f>+[4]전주!$R$85</f>
        <v>98858.360001174355</v>
      </c>
      <c r="AA20" s="50">
        <f>+[5]전주!$Q$85</f>
        <v>95671.078368940012</v>
      </c>
      <c r="AB20" s="51">
        <f>+[4]전주!$Q$89</f>
        <v>72864.538787788435</v>
      </c>
      <c r="AC20" s="46">
        <f>+[4]전주!$R$89</f>
        <v>76136.611745370232</v>
      </c>
      <c r="AD20" s="52">
        <f>+[5]전주!$Q$89</f>
        <v>70537.058545603941</v>
      </c>
      <c r="AE20" s="51">
        <f t="shared" si="7"/>
        <v>24194.568484938849</v>
      </c>
      <c r="AF20" s="46">
        <f t="shared" si="8"/>
        <v>22721.748255804123</v>
      </c>
      <c r="AG20" s="52">
        <f t="shared" si="9"/>
        <v>25134.019823336072</v>
      </c>
      <c r="AH20" s="17"/>
      <c r="AI20" s="18"/>
      <c r="AJ20" s="720"/>
      <c r="AK20" s="724"/>
    </row>
    <row r="21" spans="2:39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+IFERROR(HLOOKUP($B21,'[1]4월'!$D$6:$BN$259,2,),)/1000</f>
        <v>8</v>
      </c>
      <c r="K21" s="46">
        <f>+IFERROR(HLOOKUP($B21,'[2]4월'!$F$6:$CP$99,2,),)/1000</f>
        <v>7.0430000000000001</v>
      </c>
      <c r="L21" s="47">
        <f t="shared" si="0"/>
        <v>-0.95699999999999985</v>
      </c>
      <c r="M21" s="48">
        <f>+IFERROR(HLOOKUP($B21,'[3]4월'!$F$6:$CC$57,2,),)/1000</f>
        <v>10.98</v>
      </c>
      <c r="N21" s="49">
        <f t="shared" si="2"/>
        <v>-3.9370000000000003</v>
      </c>
      <c r="O21" s="45">
        <f>+IFERROR(HLOOKUP($B21,'[1]4월'!$D$6:$BN$259,3,),)/1000</f>
        <v>878.93212400000004</v>
      </c>
      <c r="P21" s="46">
        <f>+IFERROR(HLOOKUP($B21,'[2]4월'!$F$6:$CP$99,3,),)/1000</f>
        <v>750.89675</v>
      </c>
      <c r="Q21" s="47">
        <f t="shared" si="3"/>
        <v>-128.03537400000005</v>
      </c>
      <c r="R21" s="48">
        <f>+IFERROR(HLOOKUP($B21,'[3]4월'!$F$6:$CC$57,3,),)/1000</f>
        <v>1236.60708</v>
      </c>
      <c r="S21" s="49">
        <f t="shared" si="4"/>
        <v>-485.71033</v>
      </c>
      <c r="T21" s="45">
        <f>+IFERROR(HLOOKUP($B21,'[1]4월'!$D$6:$BN$259,16,),)/1000</f>
        <v>219.11094975512708</v>
      </c>
      <c r="U21" s="46">
        <f>+IFERROR(HLOOKUP($B21,'[2]4월'!$F$6:$CP$99,16,),)/1000</f>
        <v>173.95166999999998</v>
      </c>
      <c r="V21" s="47">
        <f t="shared" si="5"/>
        <v>-45.159279755127102</v>
      </c>
      <c r="W21" s="48">
        <f>+IFERROR(HLOOKUP($B21,'[3]4월'!$F$6:$CC$57,16,),)/1000</f>
        <v>393.17557400000004</v>
      </c>
      <c r="X21" s="49">
        <f t="shared" si="6"/>
        <v>-219.22390400000006</v>
      </c>
      <c r="Y21" s="45">
        <f>+[4]군산!$Q$85</f>
        <v>109866.51550000001</v>
      </c>
      <c r="Z21" s="46">
        <f>+[4]군산!$R$85</f>
        <v>106616.03720005679</v>
      </c>
      <c r="AA21" s="50">
        <f>+[5]군산!$Q$85</f>
        <v>112623.59562841531</v>
      </c>
      <c r="AB21" s="51">
        <f>+[4]군산!$Q$89</f>
        <v>72311.47543338692</v>
      </c>
      <c r="AC21" s="46">
        <f>+[4]군산!$R$89</f>
        <v>69387.861848644054</v>
      </c>
      <c r="AD21" s="52">
        <f>+[5]군산!$Q$89</f>
        <v>69227.20719489982</v>
      </c>
      <c r="AE21" s="51">
        <f t="shared" si="7"/>
        <v>37555.040066613088</v>
      </c>
      <c r="AF21" s="46">
        <f t="shared" si="8"/>
        <v>37228.175351412734</v>
      </c>
      <c r="AG21" s="52">
        <f t="shared" si="9"/>
        <v>43396.388433515487</v>
      </c>
      <c r="AH21" s="17"/>
      <c r="AI21" s="18"/>
      <c r="AJ21" s="720"/>
      <c r="AK21" s="724"/>
    </row>
    <row r="22" spans="2:39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+IFERROR(HLOOKUP($B22,'[1]4월'!$D$6:$BN$259,2,),)/1000</f>
        <v>5</v>
      </c>
      <c r="K22" s="46">
        <f>+IFERROR(HLOOKUP($B22,'[2]4월'!$F$6:$CP$99,2,),)/1000</f>
        <v>2.5684999999999998</v>
      </c>
      <c r="L22" s="47">
        <f t="shared" si="0"/>
        <v>-2.4315000000000002</v>
      </c>
      <c r="M22" s="48">
        <f>+IFERROR(HLOOKUP($B22,'[3]4월'!$F$6:$CC$57,2,),)/1000</f>
        <v>6.9255000000000004</v>
      </c>
      <c r="N22" s="49">
        <f t="shared" si="2"/>
        <v>-4.3570000000000011</v>
      </c>
      <c r="O22" s="45">
        <f>+IFERROR(HLOOKUP($B22,'[1]4월'!$D$6:$BN$259,3,),)/1000</f>
        <v>560</v>
      </c>
      <c r="P22" s="46">
        <f>+IFERROR(HLOOKUP($B22,'[2]4월'!$F$6:$CP$99,3,),)/1000</f>
        <v>290.20384999999999</v>
      </c>
      <c r="Q22" s="47">
        <f t="shared" si="3"/>
        <v>-269.79615000000001</v>
      </c>
      <c r="R22" s="48">
        <f>+IFERROR(HLOOKUP($B22,'[3]4월'!$F$6:$CC$57,3,),)/1000</f>
        <v>765.701145</v>
      </c>
      <c r="S22" s="49">
        <f t="shared" si="4"/>
        <v>-475.49729500000001</v>
      </c>
      <c r="T22" s="45">
        <f>+IFERROR(HLOOKUP($B22,'[1]4월'!$D$6:$BN$259,16,),)/1000</f>
        <v>97.265945582292829</v>
      </c>
      <c r="U22" s="46">
        <f>+IFERROR(HLOOKUP($B22,'[2]4월'!$F$6:$CP$99,16,),)/1000</f>
        <v>14.251572999999976</v>
      </c>
      <c r="V22" s="47">
        <f t="shared" si="5"/>
        <v>-83.01437258229285</v>
      </c>
      <c r="W22" s="48">
        <f>+IFERROR(HLOOKUP($B22,'[3]4월'!$F$6:$CC$57,16,),)/1000</f>
        <v>170.20888200000005</v>
      </c>
      <c r="X22" s="49">
        <f t="shared" si="6"/>
        <v>-155.95730900000007</v>
      </c>
      <c r="Y22" s="45">
        <f>+[4]원주!$Q$85</f>
        <v>112000</v>
      </c>
      <c r="Z22" s="46">
        <f>+[4]원주!$R$85</f>
        <v>112985.73097138407</v>
      </c>
      <c r="AA22" s="50">
        <f>+[5]원주!$Q$85</f>
        <v>110562.57959714101</v>
      </c>
      <c r="AB22" s="51">
        <f>+[4]원주!$Q$89</f>
        <v>72748.332179743258</v>
      </c>
      <c r="AC22" s="46">
        <f>+[4]원주!$R$89</f>
        <v>73010.817597819725</v>
      </c>
      <c r="AD22" s="52">
        <f>+[5]원주!$Q$89</f>
        <v>72123.368565446552</v>
      </c>
      <c r="AE22" s="51">
        <f t="shared" si="7"/>
        <v>39251.667820256742</v>
      </c>
      <c r="AF22" s="46">
        <f t="shared" si="8"/>
        <v>39974.913373564341</v>
      </c>
      <c r="AG22" s="52">
        <f t="shared" si="9"/>
        <v>38439.21103169446</v>
      </c>
      <c r="AH22" s="17"/>
      <c r="AI22" s="18"/>
      <c r="AJ22" s="720"/>
      <c r="AK22" s="724"/>
    </row>
    <row r="23" spans="2:39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+IFERROR(HLOOKUP($B23,'[1]4월'!$D$6:$BN$259,2,),)/1000</f>
        <v>8</v>
      </c>
      <c r="K23" s="46">
        <f>+IFERROR(HLOOKUP($B23,'[2]4월'!$F$6:$CP$99,2,),)/1000</f>
        <v>7.3395000000000001</v>
      </c>
      <c r="L23" s="47">
        <f t="shared" si="0"/>
        <v>-0.66049999999999986</v>
      </c>
      <c r="M23" s="48">
        <f>+IFERROR(HLOOKUP($B23,'[3]4월'!$F$6:$CC$57,2,),)/1000</f>
        <v>3.556</v>
      </c>
      <c r="N23" s="49">
        <f t="shared" si="2"/>
        <v>3.7835000000000001</v>
      </c>
      <c r="O23" s="45">
        <f>+IFERROR(HLOOKUP($B23,'[1]4월'!$D$6:$BN$259,3,),)/1000</f>
        <v>980.90800000000002</v>
      </c>
      <c r="P23" s="46">
        <f>+IFERROR(HLOOKUP($B23,'[2]4월'!$F$6:$CP$99,3,),)/1000</f>
        <v>910.08608100000004</v>
      </c>
      <c r="Q23" s="47">
        <f t="shared" si="3"/>
        <v>-70.82191899999998</v>
      </c>
      <c r="R23" s="48">
        <f>+IFERROR(HLOOKUP($B23,'[3]4월'!$F$6:$CC$57,3,),)/1000</f>
        <v>454.84141299999999</v>
      </c>
      <c r="S23" s="49">
        <f t="shared" si="4"/>
        <v>455.24466800000005</v>
      </c>
      <c r="T23" s="45">
        <f>+IFERROR(HLOOKUP($B23,'[1]4월'!$D$6:$BN$259,16,),)/1000</f>
        <v>146.51892148672539</v>
      </c>
      <c r="U23" s="46">
        <f>+IFERROR(HLOOKUP($B23,'[2]4월'!$F$6:$CP$99,16,),)/1000</f>
        <v>128.44487099999998</v>
      </c>
      <c r="V23" s="47">
        <f t="shared" si="5"/>
        <v>-18.074050486725412</v>
      </c>
      <c r="W23" s="48">
        <f>+IFERROR(HLOOKUP($B23,'[3]4월'!$F$6:$CC$57,16,),)/1000</f>
        <v>53.489504000000032</v>
      </c>
      <c r="X23" s="49">
        <f t="shared" si="6"/>
        <v>74.955366999999939</v>
      </c>
      <c r="Y23" s="45">
        <f>+[4]제주!$Q$85</f>
        <v>122613.5</v>
      </c>
      <c r="Z23" s="46">
        <f>+[4]제주!$R$85</f>
        <v>123584.35305637153</v>
      </c>
      <c r="AA23" s="50">
        <f>+[5]제주!$Q$85</f>
        <v>127908.1588863892</v>
      </c>
      <c r="AB23" s="51">
        <f>+[4]제주!$Q$89</f>
        <v>91127.321153324228</v>
      </c>
      <c r="AC23" s="46">
        <f>+[4]제주!$R$89</f>
        <v>91260.283815918316</v>
      </c>
      <c r="AD23" s="52">
        <f>+[5]제주!$Q$89</f>
        <v>87547.523516237401</v>
      </c>
      <c r="AE23" s="51">
        <f t="shared" si="7"/>
        <v>31486.178846675772</v>
      </c>
      <c r="AF23" s="46">
        <f t="shared" si="8"/>
        <v>32324.069240453216</v>
      </c>
      <c r="AG23" s="52">
        <f t="shared" si="9"/>
        <v>40360.635370151795</v>
      </c>
      <c r="AH23" s="17"/>
      <c r="AI23" s="18"/>
      <c r="AJ23" s="720"/>
      <c r="AK23" s="724"/>
    </row>
    <row r="24" spans="2:39" s="8" customFormat="1" ht="22.5" customHeight="1">
      <c r="F24" s="731">
        <f>+K24/J24</f>
        <v>0.90683636363636355</v>
      </c>
      <c r="G24" s="337" t="str">
        <f t="shared" si="1"/>
        <v>수도권</v>
      </c>
      <c r="H24" s="74"/>
      <c r="I24" s="78" t="s">
        <v>42</v>
      </c>
      <c r="J24" s="22">
        <f>SUM(J7:J10)</f>
        <v>110</v>
      </c>
      <c r="K24" s="19">
        <f>SUM(K7:K10)</f>
        <v>99.751999999999995</v>
      </c>
      <c r="L24" s="20">
        <f t="shared" si="0"/>
        <v>-10.248000000000005</v>
      </c>
      <c r="M24" s="24">
        <f>SUM(M7:M10)</f>
        <v>122.51349999999999</v>
      </c>
      <c r="N24" s="21">
        <f t="shared" si="2"/>
        <v>-22.761499999999998</v>
      </c>
      <c r="O24" s="22">
        <f>SUM(O7:O10)</f>
        <v>10704.767747485699</v>
      </c>
      <c r="P24" s="19">
        <f>SUM(P7:P10)</f>
        <v>9616.3145969999987</v>
      </c>
      <c r="Q24" s="20">
        <f t="shared" si="3"/>
        <v>-1088.4531504857005</v>
      </c>
      <c r="R24" s="24">
        <f>SUM(R7:R10)</f>
        <v>12227.971816000001</v>
      </c>
      <c r="S24" s="21">
        <f t="shared" si="4"/>
        <v>-2611.6572190000024</v>
      </c>
      <c r="T24" s="22">
        <f>SUM(T7:T10)</f>
        <v>829.31606294280823</v>
      </c>
      <c r="U24" s="19">
        <f>SUM(U7:U10)</f>
        <v>593.2316089999988</v>
      </c>
      <c r="V24" s="20">
        <f t="shared" si="5"/>
        <v>-236.08445394280943</v>
      </c>
      <c r="W24" s="24">
        <f>SUM(W7:W10)</f>
        <v>1426.0177970000004</v>
      </c>
      <c r="X24" s="21">
        <f t="shared" si="6"/>
        <v>-832.78618800000163</v>
      </c>
      <c r="Y24" s="22">
        <f>+[4]수도권!$Q$85</f>
        <v>97316.07043168816</v>
      </c>
      <c r="Z24" s="19">
        <f>+[4]수도권!$R$85</f>
        <v>96454.113487158218</v>
      </c>
      <c r="AA24" s="23">
        <f>+[5]수도권!$Q$85</f>
        <v>99830.045678349328</v>
      </c>
      <c r="AB24" s="28">
        <f>+[4]수도권!$Q$89</f>
        <v>80692.15198065147</v>
      </c>
      <c r="AC24" s="19">
        <f>+[4]수도권!$R$89</f>
        <v>80081.525033377824</v>
      </c>
      <c r="AD24" s="29">
        <f>+[5]수도권!$Q$89</f>
        <v>80098.575335166795</v>
      </c>
      <c r="AE24" s="28">
        <f t="shared" si="7"/>
        <v>16623.91845103669</v>
      </c>
      <c r="AF24" s="19">
        <f t="shared" si="8"/>
        <v>16372.588453780394</v>
      </c>
      <c r="AG24" s="29">
        <f t="shared" si="9"/>
        <v>19731.470343182533</v>
      </c>
      <c r="AH24" s="17"/>
      <c r="AI24" s="18"/>
      <c r="AJ24" s="720"/>
      <c r="AK24" s="724"/>
    </row>
    <row r="25" spans="2:39" s="8" customFormat="1" ht="22.5" customHeight="1">
      <c r="F25" s="731">
        <f t="shared" ref="F25:F26" si="10">+K25/J25</f>
        <v>0.9328482490272374</v>
      </c>
      <c r="G25" s="334" t="str">
        <f t="shared" si="1"/>
        <v>영남권</v>
      </c>
      <c r="H25" s="74"/>
      <c r="I25" s="78" t="s">
        <v>43</v>
      </c>
      <c r="J25" s="22">
        <f>SUM(J11:J18)</f>
        <v>128.5</v>
      </c>
      <c r="K25" s="19">
        <f>SUM(K11:K18)</f>
        <v>119.87100000000001</v>
      </c>
      <c r="L25" s="20">
        <f t="shared" si="0"/>
        <v>-8.6289999999999907</v>
      </c>
      <c r="M25" s="24">
        <f>SUM(M11:M18)</f>
        <v>147.22149999999999</v>
      </c>
      <c r="N25" s="21">
        <f t="shared" si="2"/>
        <v>-27.350499999999982</v>
      </c>
      <c r="O25" s="22">
        <f>SUM(O11:O18)</f>
        <v>12911.423991469999</v>
      </c>
      <c r="P25" s="19">
        <f>SUM(P11:P18)</f>
        <v>11793.337300000001</v>
      </c>
      <c r="Q25" s="20">
        <f t="shared" si="3"/>
        <v>-1118.0866914699982</v>
      </c>
      <c r="R25" s="24">
        <f>SUM(R11:R18)</f>
        <v>14959.707523000001</v>
      </c>
      <c r="S25" s="21">
        <f t="shared" si="4"/>
        <v>-3166.3702229999999</v>
      </c>
      <c r="T25" s="22">
        <f>SUM(T11:T18)</f>
        <v>1257.6656614205024</v>
      </c>
      <c r="U25" s="19">
        <f>SUM(U11:U18)</f>
        <v>851.16723400000024</v>
      </c>
      <c r="V25" s="20">
        <f t="shared" si="5"/>
        <v>-406.49842742050214</v>
      </c>
      <c r="W25" s="24">
        <f>SUM(W11:W18)</f>
        <v>1954.5454069999992</v>
      </c>
      <c r="X25" s="21">
        <f t="shared" si="6"/>
        <v>-1103.3781729999989</v>
      </c>
      <c r="Y25" s="22">
        <f>+[4]영남권!$Q$85</f>
        <v>100478.00771571984</v>
      </c>
      <c r="Z25" s="19">
        <f>+[4]영남권!$R$85</f>
        <v>98385.128898458555</v>
      </c>
      <c r="AA25" s="23">
        <f>+[5]영남권!$Q$85</f>
        <v>101618.83495007084</v>
      </c>
      <c r="AB25" s="28">
        <f>+[4]영남권!$Q$89</f>
        <v>78845.876244614614</v>
      </c>
      <c r="AC25" s="19">
        <f>+[4]영남권!$R$89</f>
        <v>79072.35792125568</v>
      </c>
      <c r="AD25" s="29">
        <f>+[5]영남권!$Q$89</f>
        <v>78242.383846390978</v>
      </c>
      <c r="AE25" s="28">
        <f t="shared" si="7"/>
        <v>21632.131471105226</v>
      </c>
      <c r="AF25" s="19">
        <f t="shared" si="8"/>
        <v>19312.770977202876</v>
      </c>
      <c r="AG25" s="29">
        <f t="shared" si="9"/>
        <v>23376.451103679865</v>
      </c>
      <c r="AH25" s="17"/>
      <c r="AI25" s="18"/>
      <c r="AJ25" s="720"/>
      <c r="AK25" s="724"/>
    </row>
    <row r="26" spans="2:39" s="8" customFormat="1" ht="22.5" customHeight="1">
      <c r="F26" s="731">
        <f t="shared" si="10"/>
        <v>1.0040350877192983</v>
      </c>
      <c r="G26" s="334" t="str">
        <f t="shared" si="1"/>
        <v>중부권</v>
      </c>
      <c r="H26" s="74"/>
      <c r="I26" s="78" t="s">
        <v>107</v>
      </c>
      <c r="J26" s="22">
        <f>SUM(J19:J23)</f>
        <v>57</v>
      </c>
      <c r="K26" s="19">
        <f>SUM(K19:K23)</f>
        <v>57.23</v>
      </c>
      <c r="L26" s="20">
        <f t="shared" si="0"/>
        <v>0.22999999999999687</v>
      </c>
      <c r="M26" s="24">
        <f>SUM(M19:M23)</f>
        <v>61.302499999999995</v>
      </c>
      <c r="N26" s="21">
        <f t="shared" si="2"/>
        <v>-4.072499999999998</v>
      </c>
      <c r="O26" s="22">
        <f>SUM(O19:O23)</f>
        <v>6062.4903040000008</v>
      </c>
      <c r="P26" s="19">
        <f>SUM(P19:P23)</f>
        <v>5852.6023009999999</v>
      </c>
      <c r="Q26" s="20">
        <f t="shared" si="3"/>
        <v>-209.88800300000094</v>
      </c>
      <c r="R26" s="24">
        <f>SUM(R19:R23)</f>
        <v>6545.7602569999999</v>
      </c>
      <c r="S26" s="21">
        <f t="shared" si="4"/>
        <v>-693.15795600000001</v>
      </c>
      <c r="T26" s="22">
        <f>SUM(T19:T23)</f>
        <v>944.21499412869889</v>
      </c>
      <c r="U26" s="19">
        <f>SUM(U19:U23)</f>
        <v>721.27003999999965</v>
      </c>
      <c r="V26" s="20">
        <f t="shared" si="5"/>
        <v>-222.94495412869924</v>
      </c>
      <c r="W26" s="24">
        <f>SUM(W19:W23)</f>
        <v>1254.6829719999996</v>
      </c>
      <c r="X26" s="21">
        <f t="shared" si="6"/>
        <v>-533.41293199999996</v>
      </c>
      <c r="Y26" s="22">
        <f>+[4]중부권!$Q$85</f>
        <v>106359.47901754387</v>
      </c>
      <c r="Z26" s="19">
        <f>+[4]중부권!$R$85</f>
        <v>102148.62913419002</v>
      </c>
      <c r="AA26" s="23">
        <f>+[5]중부권!$Q$85</f>
        <v>106728.90198417631</v>
      </c>
      <c r="AB26" s="28">
        <f>+[4]중부권!$Q$89</f>
        <v>77827.202485833899</v>
      </c>
      <c r="AC26" s="19">
        <f>+[4]중부권!$R$89</f>
        <v>77500.621556655082</v>
      </c>
      <c r="AD26" s="29">
        <f>+[5]중부권!$Q$89</f>
        <v>74744.19377386148</v>
      </c>
      <c r="AE26" s="28">
        <f t="shared" si="7"/>
        <v>28532.276531709969</v>
      </c>
      <c r="AF26" s="19">
        <f t="shared" si="8"/>
        <v>24648.00757753494</v>
      </c>
      <c r="AG26" s="29">
        <f t="shared" si="9"/>
        <v>31984.708210314828</v>
      </c>
      <c r="AH26" s="17"/>
      <c r="AI26" s="18"/>
      <c r="AJ26" s="720"/>
      <c r="AK26" s="724"/>
    </row>
    <row r="27" spans="2:39" s="3" customFormat="1" ht="22.5" customHeight="1">
      <c r="B27" s="25"/>
      <c r="F27" s="716">
        <f>+K27/M27</f>
        <v>0.83631914813276442</v>
      </c>
      <c r="G27" s="336">
        <f>+K27/J27</f>
        <v>0.93689678510998309</v>
      </c>
      <c r="H27" s="267" t="s">
        <v>94</v>
      </c>
      <c r="I27" s="268"/>
      <c r="J27" s="269">
        <f>SUM(J24:J26)</f>
        <v>295.5</v>
      </c>
      <c r="K27" s="270">
        <f>SUM(K24:K26)</f>
        <v>276.85300000000001</v>
      </c>
      <c r="L27" s="271">
        <f t="shared" ref="L27:L32" si="11">+K27-J27</f>
        <v>-18.646999999999991</v>
      </c>
      <c r="M27" s="272">
        <f>SUM(M24:M26)</f>
        <v>331.03750000000002</v>
      </c>
      <c r="N27" s="273">
        <f t="shared" ref="N27:N32" si="12">+K27-M27</f>
        <v>-54.184500000000014</v>
      </c>
      <c r="O27" s="269">
        <f>SUM(O24:O26)</f>
        <v>29678.682042955697</v>
      </c>
      <c r="P27" s="270">
        <f>SUM(P24:P26)</f>
        <v>27262.254197999999</v>
      </c>
      <c r="Q27" s="271">
        <f t="shared" ref="Q27:Q43" si="13">+P27-O27</f>
        <v>-2416.4278449556987</v>
      </c>
      <c r="R27" s="272">
        <f>SUM(R24:R26)</f>
        <v>33733.439596000004</v>
      </c>
      <c r="S27" s="273">
        <f t="shared" ref="S27:S34" si="14">+P27-R27</f>
        <v>-6471.1853980000051</v>
      </c>
      <c r="T27" s="269">
        <f>SUM(T24:T26)</f>
        <v>3031.1967184920095</v>
      </c>
      <c r="U27" s="270">
        <f>SUM(U24:U26)</f>
        <v>2165.6688829999985</v>
      </c>
      <c r="V27" s="271">
        <f t="shared" ref="V27:V32" si="15">+U27-T27</f>
        <v>-865.52783549201104</v>
      </c>
      <c r="W27" s="272">
        <f>SUM(W24:W26)</f>
        <v>4635.2461759999987</v>
      </c>
      <c r="X27" s="273">
        <f t="shared" ref="X27:X32" si="16">+U27-W27</f>
        <v>-2469.5772930000003</v>
      </c>
      <c r="Y27" s="269">
        <f>+[4]합계!$Q$85</f>
        <v>100435.47222658443</v>
      </c>
      <c r="Z27" s="270">
        <f>+[4]합계!$R$85</f>
        <v>98470.346196543367</v>
      </c>
      <c r="AA27" s="274">
        <f>+[5]합계!$Q$85</f>
        <v>101892.73306876901</v>
      </c>
      <c r="AB27" s="275">
        <f>+[4]합계!$Q$89</f>
        <v>79336.657722494667</v>
      </c>
      <c r="AC27" s="270">
        <f>+[4]합계!$R$89</f>
        <v>79109.224643891634</v>
      </c>
      <c r="AD27" s="276">
        <f>+[5]합계!$Q$89</f>
        <v>78288.565317468878</v>
      </c>
      <c r="AE27" s="275">
        <f t="shared" si="7"/>
        <v>21098.814504089765</v>
      </c>
      <c r="AF27" s="270">
        <f t="shared" si="8"/>
        <v>19361.121552651734</v>
      </c>
      <c r="AG27" s="276">
        <f t="shared" si="9"/>
        <v>23604.167751300134</v>
      </c>
      <c r="AH27" s="26"/>
      <c r="AI27" s="729">
        <f t="shared" ref="AI27" si="17">+AF27-AE27</f>
        <v>-1737.6929514380317</v>
      </c>
      <c r="AJ27" s="730">
        <f t="shared" ref="AJ27" si="18">+AF27-AG27</f>
        <v>-4243.0461986484006</v>
      </c>
      <c r="AK27" s="724"/>
      <c r="AL27" s="25"/>
    </row>
    <row r="28" spans="2:39" s="8" customFormat="1" ht="22.5" customHeight="1">
      <c r="B28" s="8" t="s">
        <v>114</v>
      </c>
      <c r="E28" s="8" t="s">
        <v>123</v>
      </c>
      <c r="G28" s="334" t="s">
        <v>3</v>
      </c>
      <c r="H28" s="758" t="s">
        <v>48</v>
      </c>
      <c r="I28" s="759"/>
      <c r="J28" s="153">
        <f>+IFERROR(HLOOKUP($B28,'[1]4월'!$D$6:$BN$259,2,),)</f>
        <v>11100</v>
      </c>
      <c r="K28" s="154">
        <f>+IFERROR(HLOOKUP($E28,'[2]4월'!$F$6:$CP$99,2,),)</f>
        <v>11123.664999999999</v>
      </c>
      <c r="L28" s="155">
        <f>+K28-J28</f>
        <v>23.664999999999054</v>
      </c>
      <c r="M28" s="156">
        <f>+IFERROR(HLOOKUP($E28,'[3]4월'!$F$6:$CC$57,2,),)</f>
        <v>8574.9830000000002</v>
      </c>
      <c r="N28" s="157">
        <f>+K28-M28</f>
        <v>2548.6819999999989</v>
      </c>
      <c r="O28" s="153">
        <f>+IFERROR(HLOOKUP($B28,'[1]4월'!$D$6:$BN$259,3,),)/1000</f>
        <v>12145.191004931508</v>
      </c>
      <c r="P28" s="154">
        <f>+IFERROR(HLOOKUP($E28,'[2]4월'!$F$6:$CP$99,3,),)/1000</f>
        <v>10147.504217</v>
      </c>
      <c r="Q28" s="155">
        <f>+P28-O28</f>
        <v>-1997.6867879315087</v>
      </c>
      <c r="R28" s="156">
        <f>+IFERROR(HLOOKUP($E28,'[3]4월'!$F$6:$CC$57,3,),)/1000</f>
        <v>8822.0394919999999</v>
      </c>
      <c r="S28" s="157">
        <f t="shared" si="14"/>
        <v>1325.4647249999998</v>
      </c>
      <c r="T28" s="153">
        <f>+IFERROR(HLOOKUP($B28,'[1]4월'!$D$6:$BN$259,16,),)/1000</f>
        <v>205.19181297911817</v>
      </c>
      <c r="U28" s="154">
        <f>+IFERROR(HLOOKUP($E28,'[2]4월'!$F$6:$CP$99,16,),)/1000</f>
        <v>-0.2715459999988834</v>
      </c>
      <c r="V28" s="155">
        <f t="shared" si="15"/>
        <v>-205.46335897911706</v>
      </c>
      <c r="W28" s="156">
        <f>+IFERROR(HLOOKUP($E28,'[3]4월'!$F$6:$CC$57,16,),)/1000</f>
        <v>-6.182667999998201</v>
      </c>
      <c r="X28" s="157">
        <f t="shared" si="16"/>
        <v>5.9111219999993176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  <c r="AJ28" s="720"/>
      <c r="AK28" s="724"/>
    </row>
    <row r="29" spans="2:39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45</v>
      </c>
      <c r="I29" s="75" t="s">
        <v>115</v>
      </c>
      <c r="J29" s="55">
        <f>+IFERROR(HLOOKUP($B29,'[1]4월'!$D$6:$BN$259,2,),)/1000</f>
        <v>17.946228344851686</v>
      </c>
      <c r="K29" s="56">
        <f>+IFERROR(HLOOKUP($C29,'[2]4월'!$F$6:$CP$99,2,),)/1000</f>
        <v>25.408999999999999</v>
      </c>
      <c r="L29" s="37">
        <f t="shared" si="11"/>
        <v>7.4627716551483125</v>
      </c>
      <c r="M29" s="37">
        <f>+IFERROR(HLOOKUP($C29,'[3]4월'!$F$6:$CC$57,2,),)/1000</f>
        <v>20.579000000000001</v>
      </c>
      <c r="N29" s="57">
        <f t="shared" si="12"/>
        <v>4.8299999999999983</v>
      </c>
      <c r="O29" s="55">
        <f>+IFERROR(HLOOKUP($B29,'[1]4월'!$D$6:$BN$259,3,),)/1000</f>
        <v>733.57402152903205</v>
      </c>
      <c r="P29" s="56">
        <f>+IFERROR(HLOOKUP($C29,'[2]4월'!$F$6:$CP$99,3,),)/1000</f>
        <v>749.49400000000003</v>
      </c>
      <c r="Q29" s="37">
        <f t="shared" si="13"/>
        <v>15.919978470967976</v>
      </c>
      <c r="R29" s="37">
        <f>+IFERROR(HLOOKUP($C29,'[3]4월'!$F$6:$CC$57,3,),)/1000</f>
        <v>653.70640800000001</v>
      </c>
      <c r="S29" s="57">
        <f t="shared" si="14"/>
        <v>95.787592000000018</v>
      </c>
      <c r="T29" s="55">
        <f>+IFERROR(HLOOKUP($B29,'[1]4월'!$D$6:$BN$259,21,),)/1000</f>
        <v>232.34491793116359</v>
      </c>
      <c r="U29" s="56">
        <f>+IFERROR(HLOOKUP($C29,'[2]4월'!$F$6:$CP$99,21,),)/1000</f>
        <v>-18.692086302362814</v>
      </c>
      <c r="V29" s="37">
        <f t="shared" si="15"/>
        <v>-251.0370042335264</v>
      </c>
      <c r="W29" s="37">
        <f>+IFERROR(HLOOKUP($C29,'[3]4월'!$F$6:$CC$57,21,),)/1000</f>
        <v>40.624191761937489</v>
      </c>
      <c r="X29" s="57">
        <f t="shared" si="16"/>
        <v>-59.316278064300306</v>
      </c>
      <c r="Y29" s="732" t="s">
        <v>243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  <c r="AJ29" s="720"/>
      <c r="AK29" s="724"/>
    </row>
    <row r="30" spans="2:39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+IFERROR(HLOOKUP($B30,'[1]4월'!$D$6:$BN$259,2,),)/1000</f>
        <v>67.048244679569891</v>
      </c>
      <c r="K30" s="58">
        <f>+IFERROR(HLOOKUP($C30,'[2]4월'!$F$6:$CP$99,2,),)/1000</f>
        <v>27.056000000000001</v>
      </c>
      <c r="L30" s="47">
        <f t="shared" si="11"/>
        <v>-39.992244679569893</v>
      </c>
      <c r="M30" s="47">
        <f>+IFERROR(HLOOKUP($C30,'[3]4월'!$F$6:$CC$57,2,),)/1000</f>
        <v>27.24</v>
      </c>
      <c r="N30" s="59">
        <f t="shared" si="12"/>
        <v>-0.1839999999999975</v>
      </c>
      <c r="O30" s="53">
        <f>+IFERROR(HLOOKUP($B30,'[1]4월'!$D$6:$BN$259,3,),)/1000</f>
        <v>988.54837247311821</v>
      </c>
      <c r="P30" s="58">
        <f>+IFERROR(HLOOKUP($C30,'[2]4월'!$F$6:$CP$99,3,),)/1000</f>
        <v>390.31200000000001</v>
      </c>
      <c r="Q30" s="47">
        <f t="shared" si="13"/>
        <v>-598.23637247311819</v>
      </c>
      <c r="R30" s="47">
        <f>+IFERROR(HLOOKUP($C30,'[3]4월'!$F$6:$CC$57,3,),)/1000</f>
        <v>382.24799999999999</v>
      </c>
      <c r="S30" s="59">
        <f t="shared" si="14"/>
        <v>8.0640000000000214</v>
      </c>
      <c r="T30" s="53">
        <f>+IFERROR(HLOOKUP($B30,'[1]4월'!$D$6:$BN$259,21,),)/1000</f>
        <v>238.82366628683033</v>
      </c>
      <c r="U30" s="58">
        <f>+IFERROR(HLOOKUP($C30,'[2]4월'!$F$6:$CP$99,21,),)/1000</f>
        <v>105.2219447877477</v>
      </c>
      <c r="V30" s="47">
        <f t="shared" si="15"/>
        <v>-133.60172149908263</v>
      </c>
      <c r="W30" s="47">
        <f>+IFERROR(HLOOKUP($C30,'[3]4월'!$F$6:$CC$57,21,),)/1000</f>
        <v>61.107316063169705</v>
      </c>
      <c r="X30" s="59">
        <f t="shared" si="16"/>
        <v>44.114628724577997</v>
      </c>
      <c r="Y30" s="266" t="s">
        <v>244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721"/>
      <c r="AK30" s="724"/>
      <c r="AL30" s="86"/>
    </row>
    <row r="31" spans="2:39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+IFERROR(HLOOKUP($B31,'[1]4월'!$D$6:$BN$259,2,),)/1000</f>
        <v>1E-4</v>
      </c>
      <c r="K31" s="58">
        <f>+IFERROR(HLOOKUP($C31,'[2]4월'!$F$6:$CP$99,2,),)/1000</f>
        <v>15.56</v>
      </c>
      <c r="L31" s="47">
        <f t="shared" si="11"/>
        <v>15.559900000000001</v>
      </c>
      <c r="M31" s="47">
        <f>+IFERROR(HLOOKUP($C31,'[3]4월'!$F$6:$CC$57,2,),)/1000</f>
        <v>38.524000000000001</v>
      </c>
      <c r="N31" s="59">
        <f t="shared" si="12"/>
        <v>-22.963999999999999</v>
      </c>
      <c r="O31" s="53">
        <f>+IFERROR(HLOOKUP($B31,'[1]4월'!$D$6:$BN$259,3,),)/1000</f>
        <v>0</v>
      </c>
      <c r="P31" s="58">
        <f>+IFERROR(HLOOKUP($C31,'[2]4월'!$F$6:$CP$99,3,),)/1000</f>
        <v>309.26</v>
      </c>
      <c r="Q31" s="47">
        <f t="shared" si="13"/>
        <v>309.26</v>
      </c>
      <c r="R31" s="47">
        <f>+IFERROR(HLOOKUP($C31,'[3]4월'!$F$6:$CC$57,3,),)/1000</f>
        <v>710.86599999999999</v>
      </c>
      <c r="S31" s="59">
        <f t="shared" si="14"/>
        <v>-401.60599999999999</v>
      </c>
      <c r="T31" s="53">
        <f>+IFERROR(HLOOKUP($B31,'[1]4월'!$D$6:$BN$259,21,),)/1000</f>
        <v>-196.96016500000002</v>
      </c>
      <c r="U31" s="58">
        <f>+IFERROR(HLOOKUP($C31,'[2]4월'!$F$6:$CP$99,21,),)/1000</f>
        <v>-29.223299709999939</v>
      </c>
      <c r="V31" s="47">
        <f t="shared" si="15"/>
        <v>167.73686529000008</v>
      </c>
      <c r="W31" s="47">
        <f>+IFERROR(HLOOKUP($C31,'[3]4월'!$F$6:$CC$57,21,),)/1000</f>
        <v>52.14593768000006</v>
      </c>
      <c r="X31" s="59">
        <f t="shared" si="16"/>
        <v>-81.369237389999995</v>
      </c>
      <c r="Y31" s="266"/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721"/>
      <c r="AK31" s="724"/>
      <c r="AL31" s="86"/>
    </row>
    <row r="32" spans="2:39" s="3" customFormat="1" ht="22.5" customHeight="1">
      <c r="G32" s="338"/>
      <c r="H32" s="134" t="s">
        <v>33</v>
      </c>
      <c r="I32" s="135"/>
      <c r="J32" s="136">
        <f>SUM(J29:J31)</f>
        <v>84.994573024421584</v>
      </c>
      <c r="K32" s="140">
        <f>SUM(K29:K31)</f>
        <v>68.025000000000006</v>
      </c>
      <c r="L32" s="138">
        <f t="shared" si="11"/>
        <v>-16.969573024421578</v>
      </c>
      <c r="M32" s="138">
        <f>SUM(M29:M31)</f>
        <v>86.343000000000004</v>
      </c>
      <c r="N32" s="139">
        <f t="shared" si="12"/>
        <v>-18.317999999999998</v>
      </c>
      <c r="O32" s="136">
        <f>SUM(O29:O31)</f>
        <v>1722.1223940021503</v>
      </c>
      <c r="P32" s="140">
        <f>SUM(P29:P31)</f>
        <v>1449.066</v>
      </c>
      <c r="Q32" s="138">
        <f t="shared" si="13"/>
        <v>-273.05639400215023</v>
      </c>
      <c r="R32" s="138">
        <f>SUM(R29:R31)</f>
        <v>1746.820408</v>
      </c>
      <c r="S32" s="139">
        <f t="shared" si="14"/>
        <v>-297.75440800000001</v>
      </c>
      <c r="T32" s="136">
        <f>SUM(T29:T31)</f>
        <v>274.20841921799394</v>
      </c>
      <c r="U32" s="140">
        <f>SUM(U29:U31)</f>
        <v>57.306558775384957</v>
      </c>
      <c r="V32" s="138">
        <f t="shared" si="15"/>
        <v>-216.90186044260898</v>
      </c>
      <c r="W32" s="138">
        <f>SUM(W29:W31)</f>
        <v>153.87744550510726</v>
      </c>
      <c r="X32" s="139">
        <f t="shared" si="16"/>
        <v>-96.570886729722304</v>
      </c>
      <c r="Y32" s="266" t="s">
        <v>245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  <c r="AJ32" s="722"/>
      <c r="AK32" s="720"/>
      <c r="AL32" s="725"/>
      <c r="AM32" s="722"/>
    </row>
    <row r="33" spans="2:43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49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(IFERROR(HLOOKUP($B33,'[1]4월'!$D$6:$BN$259,3,),)++IFERROR(HLOOKUP($C33,'[1]4월'!$D$6:$BN$259,3,),)+IFERROR(HLOOKUP($D33,'[1]4월'!$D$6:$BN$259,3,),))/1000</f>
        <v>66.666666666666671</v>
      </c>
      <c r="P33" s="46">
        <f>+IFERROR(HLOOKUP($E33,'[2]4월'!$F$6:$CP$99,3,),)/1000</f>
        <v>43.34</v>
      </c>
      <c r="Q33" s="48">
        <f t="shared" si="13"/>
        <v>-23.326666666666668</v>
      </c>
      <c r="R33" s="47">
        <f>+IFERROR(HLOOKUP($E33,'[3]4월'!$F$6:$CC$57,3,),)/1000</f>
        <v>90.84</v>
      </c>
      <c r="S33" s="59">
        <f t="shared" si="14"/>
        <v>-47.5</v>
      </c>
      <c r="T33" s="45">
        <f>(IFERROR(HLOOKUP($B33,'[1]4월'!$D$6:$BN$259,21,),)++IFERROR(HLOOKUP($C33,'[1]4월'!$D$6:$BN$259,21,),)+IFERROR(HLOOKUP($D33,'[1]4월'!$D$6:$BN$259,21,),))/1000</f>
        <v>48.34988766666666</v>
      </c>
      <c r="U33" s="46">
        <f>+IFERROR(HLOOKUP($E33,'[2]4월'!$F$6:$CP$99,16,),)/1000</f>
        <v>23.021931000000002</v>
      </c>
      <c r="V33" s="48">
        <f t="shared" ref="V33:V39" si="19">+U33-T33</f>
        <v>-25.327956666666658</v>
      </c>
      <c r="W33" s="47">
        <f>+IFERROR(HLOOKUP($E33,'[3]4월'!$F$6:$CC$57,16,),)/1000</f>
        <v>71.958666999999991</v>
      </c>
      <c r="X33" s="59">
        <f t="shared" ref="X33:X37" si="20">+U33-W33</f>
        <v>-48.936735999999989</v>
      </c>
      <c r="Y33" s="266" t="s">
        <v>246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  <c r="AJ33" s="720"/>
      <c r="AK33" s="724"/>
    </row>
    <row r="34" spans="2:43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2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22">+K34-M34</f>
        <v>0</v>
      </c>
      <c r="O34" s="45">
        <f>(+IFERROR(HLOOKUP($B34,'[1]4월'!$D$6:$BN$259,3,),)+IFERROR(HLOOKUP($C34,'[1]4월'!$D$6:$BN$259,3,),))/1000</f>
        <v>74.091499999999996</v>
      </c>
      <c r="P34" s="46">
        <f>+IFERROR(HLOOKUP($E34,'[2]4월'!$F$6:$CP$99,3,),)/1000</f>
        <v>73.488214000000013</v>
      </c>
      <c r="Q34" s="48">
        <f>+P34-O34</f>
        <v>-0.60328599999998289</v>
      </c>
      <c r="R34" s="47">
        <f>+IFERROR(HLOOKUP($E34,'[3]4월'!$F$6:$CC$57,3,),)/1000</f>
        <v>73.25669400000001</v>
      </c>
      <c r="S34" s="59">
        <f t="shared" si="14"/>
        <v>0.23152000000000328</v>
      </c>
      <c r="T34" s="45">
        <f>(+IFERROR(HLOOKUP($B34,'[1]4월'!$D$6:$BN$259,21,),)+IFERROR(HLOOKUP($C34,'[1]4월'!$D$6:$BN$259,21,),))/1000</f>
        <v>63.963999999999999</v>
      </c>
      <c r="U34" s="46">
        <f>+IFERROR(HLOOKUP($E34,'[2]4월'!$F$6:$CP$99,16,),)/1000</f>
        <v>63.367074000000002</v>
      </c>
      <c r="V34" s="48">
        <f t="shared" si="19"/>
        <v>-0.59692599999999629</v>
      </c>
      <c r="W34" s="47">
        <f>+IFERROR(HLOOKUP($E34,'[3]4월'!$F$6:$CC$57,16,),)/1000</f>
        <v>63.157758000000001</v>
      </c>
      <c r="X34" s="59">
        <f t="shared" si="20"/>
        <v>0.20931600000000117</v>
      </c>
      <c r="Y34" s="266" t="s">
        <v>247</v>
      </c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  <c r="AJ34" s="720"/>
      <c r="AK34" s="724"/>
    </row>
    <row r="35" spans="2:43" s="8" customFormat="1" ht="22.5" customHeight="1">
      <c r="B35" s="8" t="s">
        <v>122</v>
      </c>
      <c r="D35"/>
      <c r="E35"/>
      <c r="F35"/>
      <c r="G35" s="334" t="str">
        <f t="shared" si="21"/>
        <v>공통비</v>
      </c>
      <c r="H35" s="81"/>
      <c r="I35" s="82" t="s">
        <v>50</v>
      </c>
      <c r="J35" s="45"/>
      <c r="K35" s="46"/>
      <c r="L35" s="48">
        <f>+K35-J35</f>
        <v>0</v>
      </c>
      <c r="M35" s="47"/>
      <c r="N35" s="59">
        <f t="shared" si="22"/>
        <v>0</v>
      </c>
      <c r="O35" s="45"/>
      <c r="P35" s="46"/>
      <c r="Q35" s="48">
        <f t="shared" ref="Q35:Q38" si="23">+P35-O35</f>
        <v>0</v>
      </c>
      <c r="R35" s="47"/>
      <c r="S35" s="59">
        <f t="shared" ref="S35:S38" si="24">+P35-R35</f>
        <v>0</v>
      </c>
      <c r="T35" s="45">
        <f>-'[1]4월'!$Z$22/1000</f>
        <v>-1670.9086974930385</v>
      </c>
      <c r="U35" s="46">
        <f>+-'[2]4월'!$Z$22/1000</f>
        <v>-1654.8984837689195</v>
      </c>
      <c r="V35" s="48">
        <f t="shared" si="19"/>
        <v>16.010213724119012</v>
      </c>
      <c r="W35" s="47">
        <f>+-'[3]4월'!$Z$22/1000</f>
        <v>-1567.4228325016084</v>
      </c>
      <c r="X35" s="59">
        <f t="shared" si="20"/>
        <v>-87.47565126731115</v>
      </c>
      <c r="Y35" s="712"/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J35" s="720"/>
      <c r="AK35" s="724"/>
      <c r="AL35" s="86"/>
    </row>
    <row r="36" spans="2:43" s="8" customFormat="1" ht="22.5" customHeight="1">
      <c r="D36"/>
      <c r="E36"/>
      <c r="F36"/>
      <c r="G36" s="334" t="str">
        <f t="shared" si="2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22"/>
        <v>0</v>
      </c>
      <c r="O36" s="45"/>
      <c r="P36" s="46"/>
      <c r="Q36" s="48">
        <f t="shared" si="23"/>
        <v>0</v>
      </c>
      <c r="R36" s="47"/>
      <c r="S36" s="59">
        <f t="shared" si="24"/>
        <v>0</v>
      </c>
      <c r="T36" s="45"/>
      <c r="U36" s="46">
        <f>'[2]4월'!$BD$26/1000</f>
        <v>0</v>
      </c>
      <c r="V36" s="48">
        <f t="shared" si="19"/>
        <v>0</v>
      </c>
      <c r="W36" s="47">
        <f>-'[3]4월'!$BD$26/1000</f>
        <v>0</v>
      </c>
      <c r="X36" s="59">
        <f t="shared" si="20"/>
        <v>0</v>
      </c>
      <c r="Y36" s="266"/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J36" s="720"/>
      <c r="AK36" s="724"/>
      <c r="AL36" s="86"/>
    </row>
    <row r="37" spans="2:43" s="8" customFormat="1" ht="22.5" customHeight="1">
      <c r="D37"/>
      <c r="E37"/>
      <c r="F37"/>
      <c r="G37" s="334" t="str">
        <f t="shared" si="21"/>
        <v>대손</v>
      </c>
      <c r="H37" s="81"/>
      <c r="I37" s="82" t="s">
        <v>96</v>
      </c>
      <c r="J37" s="45"/>
      <c r="K37" s="46"/>
      <c r="L37" s="48"/>
      <c r="M37" s="47"/>
      <c r="N37" s="59">
        <f t="shared" si="22"/>
        <v>0</v>
      </c>
      <c r="O37" s="45"/>
      <c r="P37" s="46"/>
      <c r="Q37" s="48">
        <f t="shared" si="23"/>
        <v>0</v>
      </c>
      <c r="R37" s="47"/>
      <c r="S37" s="59">
        <f t="shared" si="24"/>
        <v>0</v>
      </c>
      <c r="T37" s="45"/>
      <c r="U37" s="46">
        <f>'[2]4월'!$BE$26/1000</f>
        <v>0</v>
      </c>
      <c r="V37" s="48">
        <f t="shared" si="19"/>
        <v>0</v>
      </c>
      <c r="W37" s="47">
        <f>'[3]4월'!$BE$26/1000</f>
        <v>0</v>
      </c>
      <c r="X37" s="59">
        <f t="shared" si="20"/>
        <v>0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720"/>
      <c r="AK37" s="724"/>
      <c r="AL37" s="86"/>
      <c r="AO37" s="720"/>
      <c r="AP37" s="720"/>
      <c r="AQ37" s="720"/>
    </row>
    <row r="38" spans="2:43" s="8" customFormat="1" ht="22.5" customHeight="1">
      <c r="D38"/>
      <c r="E38"/>
      <c r="F38"/>
      <c r="G38" s="334" t="str">
        <f t="shared" si="2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22"/>
        <v>0</v>
      </c>
      <c r="O38" s="45"/>
      <c r="P38" s="46"/>
      <c r="Q38" s="48">
        <f t="shared" si="23"/>
        <v>0</v>
      </c>
      <c r="R38" s="47">
        <f>+IFERROR(HLOOKUP($I$38,'[3]4월'!$F$6:$BJ$50,3,),)/1000</f>
        <v>0</v>
      </c>
      <c r="S38" s="59">
        <f t="shared" si="24"/>
        <v>0</v>
      </c>
      <c r="T38" s="45">
        <f>SUM('[1]4월'!$AM$26:$AQ$26)/1000</f>
        <v>-32.504495999999996</v>
      </c>
      <c r="U38" s="46">
        <f>+'[2]4월'!$BF$26/1000</f>
        <v>-31.152419999999999</v>
      </c>
      <c r="V38" s="48">
        <f t="shared" si="19"/>
        <v>1.3520759999999967</v>
      </c>
      <c r="W38" s="47">
        <f>+'[3]4월'!$BF$26/1000</f>
        <v>-33.797813000000005</v>
      </c>
      <c r="X38" s="59">
        <f>+U38-W38</f>
        <v>2.6453930000000057</v>
      </c>
      <c r="Y38" s="228"/>
      <c r="Z38" s="229"/>
      <c r="AA38" s="229"/>
      <c r="AB38" s="229"/>
      <c r="AC38" s="229"/>
      <c r="AD38" s="229"/>
      <c r="AE38" s="229"/>
      <c r="AF38" s="229"/>
      <c r="AG38" s="50"/>
      <c r="AH38" s="17"/>
      <c r="AI38" s="18"/>
      <c r="AJ38" s="720"/>
      <c r="AK38" s="724"/>
      <c r="AL38" s="86"/>
      <c r="AQ38" s="720"/>
    </row>
    <row r="39" spans="2:43" s="8" customFormat="1" ht="22.5" customHeight="1">
      <c r="B39" t="s">
        <v>30</v>
      </c>
      <c r="D39"/>
      <c r="G39" s="334" t="str">
        <f t="shared" si="21"/>
        <v>퇴직위로금</v>
      </c>
      <c r="H39" s="81"/>
      <c r="I39" s="82" t="s">
        <v>252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+'[2]4월'!$BG$26/1000</f>
        <v>0</v>
      </c>
      <c r="V39" s="48">
        <f t="shared" si="19"/>
        <v>0</v>
      </c>
      <c r="W39" s="47"/>
      <c r="X39" s="59">
        <f>+U39-W39</f>
        <v>0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  <c r="AJ39" s="720"/>
      <c r="AK39" s="724"/>
    </row>
    <row r="40" spans="2:43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IFERROR(HLOOKUP($B39,'[1]4월'!$D$6:$BN$259,3,),)/1000</f>
        <v>1.77</v>
      </c>
      <c r="P40" s="46">
        <f>+('[2]4월'!$F$8-SUM('[2]4월'!$Z$8,'[2]4월'!$AH$8,'[2]4월'!$AN$8,'[2]4월'!$AO$8,'[2]4월'!$BA$8,'[2]4월'!$BD$8,'[2]4월'!$BE$8,'[2]4월'!$BF$8))/1000</f>
        <v>1.6606499999985098</v>
      </c>
      <c r="Q40" s="54">
        <f>+P40-O40</f>
        <v>-0.1093500000014902</v>
      </c>
      <c r="R40" s="60">
        <f>+('[3]4월'!$F$8-SUM('[3]4월'!$Z$8,'[3]4월'!$AH$8,'[3]4월'!$AN$8,'[3]4월'!$AO$8,'[3]4월'!$BA$8,'[3]4월'!$BD$8,'[3]4월'!$BE$8,'[3]4월'!$BF$8))/1000</f>
        <v>1.70239999999851</v>
      </c>
      <c r="S40" s="61">
        <f>+P40-R40</f>
        <v>-4.1750000000000176E-2</v>
      </c>
      <c r="T40" s="45">
        <f>+('[1]4월'!$E$26-'[1]4월'!$Z$26-'[1]4월'!$AA$26-'[1]4월'!$AE$26-'[1]4월'!$AL$26-'[1]4월'!$AM$26-'[1]4월'!$AN$26-'[1]4월'!$AO$26-'[1]4월'!$AP$26-'[1]4월'!$AQ$26-'[1]4월'!$AS$26+'[1]4월'!$AS$26)/1000</f>
        <v>-85.138375000006164</v>
      </c>
      <c r="U40" s="46">
        <f>+('[2]4월'!$F$26-SUM('[2]4월'!$Z$26,'[2]4월'!$AH$26,'[2]4월'!$AN$26,'[2]4월'!$AO$26,'[2]4월'!$BA$26,'[2]4월'!$BD$26,'[2]4월'!$BE$26,'[2]4월'!$BF$26))/1000-U39</f>
        <v>-15.492811999992352</v>
      </c>
      <c r="V40" s="48">
        <f>+U40-T40</f>
        <v>69.645563000013809</v>
      </c>
      <c r="W40" s="60">
        <f>+('[3]4월'!$F$26-SUM('[3]4월'!$Z$26,'[3]4월'!$AH$26,'[3]4월'!$AN$26,'[3]4월'!$AO$26,'[3]4월'!$BA$26,'[3]4월'!$BD$26,'[3]4월'!$BE$26,'[3]4월'!$BF$26))/1000</f>
        <v>-14.461379000000189</v>
      </c>
      <c r="X40" s="59">
        <f>+U40-W40</f>
        <v>-1.0314329999921625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  <c r="AJ40" s="720"/>
      <c r="AK40" s="724"/>
    </row>
    <row r="41" spans="2:43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22"/>
        <v>0</v>
      </c>
      <c r="O41" s="136">
        <f>SUM(O33:O40)</f>
        <v>142.52816666666669</v>
      </c>
      <c r="P41" s="137">
        <f>SUM(P33:P40)</f>
        <v>118.48886399999853</v>
      </c>
      <c r="Q41" s="141">
        <f t="shared" si="13"/>
        <v>-24.039302666668164</v>
      </c>
      <c r="R41" s="142">
        <f>SUM(R33:R40)</f>
        <v>165.79909399999852</v>
      </c>
      <c r="S41" s="143">
        <f>+P41-R41</f>
        <v>-47.31022999999999</v>
      </c>
      <c r="T41" s="136">
        <f>SUM(T33:T40)</f>
        <v>-1676.237680826378</v>
      </c>
      <c r="U41" s="137">
        <f>SUM(U33:U40)</f>
        <v>-1615.1547107689119</v>
      </c>
      <c r="V41" s="141">
        <f>+U41-T41</f>
        <v>61.082970057466127</v>
      </c>
      <c r="W41" s="142">
        <f>SUM(W33:W40)</f>
        <v>-1480.5655995016084</v>
      </c>
      <c r="X41" s="143">
        <f>+U41-W41</f>
        <v>-134.58911126730345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  <c r="AJ41" s="722"/>
      <c r="AK41" s="724"/>
    </row>
    <row r="42" spans="2:43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  <c r="AJ42" s="720"/>
      <c r="AK42" s="724"/>
      <c r="AO42" s="720"/>
    </row>
    <row r="43" spans="2:43" s="3" customFormat="1" ht="22.5" customHeight="1">
      <c r="G43" s="339">
        <f>+P43/O43</f>
        <v>0.89216366357975574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43688.523608556025</v>
      </c>
      <c r="P43" s="280">
        <f>+P27+P32+P28+P41</f>
        <v>38977.313278999995</v>
      </c>
      <c r="Q43" s="281">
        <f t="shared" si="13"/>
        <v>-4711.21032955603</v>
      </c>
      <c r="R43" s="282">
        <f>+R27+R32+R28+R41</f>
        <v>44468.098590000009</v>
      </c>
      <c r="S43" s="283">
        <f>+P43-R43</f>
        <v>-5490.7853110000142</v>
      </c>
      <c r="T43" s="279">
        <f>+T27+T32+T28+T41</f>
        <v>1834.359269862744</v>
      </c>
      <c r="U43" s="280">
        <f>+U27+U32+U28+U41</f>
        <v>607.5491850064725</v>
      </c>
      <c r="V43" s="281">
        <f>+U43-T43</f>
        <v>-1226.8100848562715</v>
      </c>
      <c r="W43" s="282">
        <f>+W27+W32+W28+W41</f>
        <v>3302.3753540034986</v>
      </c>
      <c r="X43" s="283">
        <f>+U43-W43</f>
        <v>-2694.8261689970259</v>
      </c>
      <c r="Y43" s="760"/>
      <c r="Z43" s="761"/>
      <c r="AA43" s="761"/>
      <c r="AB43" s="761"/>
      <c r="AC43" s="761"/>
      <c r="AD43" s="761"/>
      <c r="AE43" s="761"/>
      <c r="AF43" s="761"/>
      <c r="AG43" s="762"/>
      <c r="AH43" s="25"/>
      <c r="AJ43" s="722"/>
      <c r="AK43" s="724"/>
      <c r="AO43" s="722"/>
    </row>
    <row r="44" spans="2:43" s="33" customFormat="1">
      <c r="G44" s="336">
        <f>+U43/T43</f>
        <v>0.33120512158555088</v>
      </c>
      <c r="P44" s="295">
        <f>+P43/O43</f>
        <v>0.89216366357975574</v>
      </c>
      <c r="R44" s="295">
        <f>+P43/R43</f>
        <v>0.87652304719332474</v>
      </c>
      <c r="T44" s="295">
        <f>+T43/O43</f>
        <v>4.1987211247932865E-2</v>
      </c>
      <c r="U44" s="295">
        <f>+U43/P43</f>
        <v>1.5587251503397102E-2</v>
      </c>
      <c r="AC44" s="34"/>
      <c r="AF44" s="34"/>
      <c r="AJ44" s="723"/>
      <c r="AK44" s="724"/>
    </row>
    <row r="45" spans="2:43" s="33" customFormat="1" ht="17.25" thickBot="1">
      <c r="G45" s="340"/>
      <c r="AC45" s="34"/>
      <c r="AF45" s="34"/>
      <c r="AJ45" s="723"/>
    </row>
    <row r="46" spans="2:43" s="33" customFormat="1">
      <c r="F46" s="295">
        <f>+K28/M28</f>
        <v>1.2972229799172779</v>
      </c>
      <c r="G46" s="336">
        <f>+K28/J28</f>
        <v>1.0021319819819818</v>
      </c>
      <c r="I46" s="757" t="s">
        <v>82</v>
      </c>
      <c r="J46" s="126">
        <f>+'[1]4월'!$Z$7/1000</f>
        <v>295.5</v>
      </c>
      <c r="K46" s="127">
        <f>+'[2]4월'!$AI$7/1000</f>
        <v>276.85300000000001</v>
      </c>
      <c r="L46" s="127"/>
      <c r="M46" s="127">
        <f>+'[3]4월'!$Z$7/1000</f>
        <v>331.03750000000002</v>
      </c>
      <c r="N46" s="127"/>
      <c r="O46" s="127">
        <f>+'[1]4월'!$E$8/1000</f>
        <v>43688.523608556017</v>
      </c>
      <c r="P46" s="127">
        <f>+'[2]4월'!$F$8/1000</f>
        <v>38977.313279000002</v>
      </c>
      <c r="Q46" s="127"/>
      <c r="R46" s="127">
        <f>+'[3]4월'!$F$8/1000</f>
        <v>44468.098589999994</v>
      </c>
      <c r="S46" s="127"/>
      <c r="T46" s="132">
        <f>+'[1]4월'!$E$26/1000</f>
        <v>1834.3592698627479</v>
      </c>
      <c r="U46" s="127">
        <f>+'[2]4월'!$F$26/1000</f>
        <v>607.54918500647273</v>
      </c>
      <c r="V46" s="127"/>
      <c r="W46" s="127">
        <f>+'[3]4월'!$F$26/1000</f>
        <v>3302.3753540034991</v>
      </c>
      <c r="X46" s="128"/>
      <c r="AC46" s="34"/>
      <c r="AF46" s="34"/>
      <c r="AJ46" s="723"/>
    </row>
    <row r="47" spans="2:43" s="33" customFormat="1" ht="17.25" thickBot="1">
      <c r="F47" s="295">
        <f>+K32/M32</f>
        <v>0.78784614850074708</v>
      </c>
      <c r="G47" s="336">
        <f>+K32/J32</f>
        <v>0.80034521710526518</v>
      </c>
      <c r="I47" s="757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3.865352482534945E-12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  <c r="AJ47" s="723"/>
    </row>
    <row r="48" spans="2:43">
      <c r="T48" s="294"/>
      <c r="U48" s="294"/>
      <c r="V48" s="294"/>
    </row>
    <row r="49" spans="10:33">
      <c r="P49" s="728">
        <f>+P46/100</f>
        <v>389.77313279000003</v>
      </c>
      <c r="T49" s="294"/>
      <c r="U49" s="294"/>
      <c r="V49" s="294"/>
      <c r="AC49" s="34"/>
      <c r="AD49" s="33"/>
      <c r="AE49" s="33"/>
      <c r="AF49" s="34"/>
    </row>
    <row r="50" spans="10:33">
      <c r="S50" t="s">
        <v>40</v>
      </c>
      <c r="T50" s="236">
        <f>(+T27+T35)/100</f>
        <v>13.60288020998971</v>
      </c>
      <c r="U50" s="236">
        <f>(+U27+U35)/100</f>
        <v>5.1077039923107899</v>
      </c>
      <c r="V50" s="236">
        <f>+U50-T50</f>
        <v>-8.4951762176789209</v>
      </c>
      <c r="W50" s="235">
        <f>+U50/T50-1</f>
        <v>-0.62451305065821394</v>
      </c>
      <c r="AC50" s="34"/>
      <c r="AD50" s="33"/>
      <c r="AE50" s="33"/>
      <c r="AF50" s="34"/>
    </row>
    <row r="51" spans="10:33">
      <c r="S51" t="s">
        <v>3</v>
      </c>
      <c r="T51" s="6">
        <f>+T28/100</f>
        <v>2.0519181297911815</v>
      </c>
      <c r="U51" s="6">
        <f>+U28/100</f>
        <v>-2.7154599999888339E-3</v>
      </c>
      <c r="V51" s="236">
        <f t="shared" ref="V51:V56" si="25">+U51-T51</f>
        <v>-2.0546335897911705</v>
      </c>
      <c r="Y51" s="228" t="s">
        <v>233</v>
      </c>
      <c r="AC51" s="34"/>
      <c r="AD51" s="33"/>
      <c r="AE51" s="33"/>
      <c r="AF51" s="34"/>
    </row>
    <row r="52" spans="10:33">
      <c r="S52" t="s">
        <v>1</v>
      </c>
      <c r="T52" s="6">
        <f>+T32/100</f>
        <v>2.7420841921799393</v>
      </c>
      <c r="U52" s="6">
        <f>+U32/100</f>
        <v>0.57306558775384953</v>
      </c>
      <c r="V52" s="236">
        <f t="shared" si="25"/>
        <v>-2.16901860442609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1.1231388766666666</v>
      </c>
      <c r="U53" s="6">
        <f>(U33+U34)/100</f>
        <v>0.86389004999999996</v>
      </c>
      <c r="V53" s="236">
        <f t="shared" si="25"/>
        <v>-0.2592488266666666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-1.1764287100000186</v>
      </c>
      <c r="U54" s="236">
        <f>(U46/100)-U50-U51-U52-U53</f>
        <v>-0.46645231999992309</v>
      </c>
      <c r="V54" s="236">
        <f t="shared" si="25"/>
        <v>0.70997639000009549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-5.3289833333352021E-2</v>
      </c>
      <c r="U55" s="236">
        <f>SUM(U53:U54)</f>
        <v>0.39743773000007687</v>
      </c>
      <c r="V55" s="236">
        <f>SUM(V53:V54)</f>
        <v>0.45072756333342889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18.343592698627479</v>
      </c>
      <c r="U56" s="236">
        <f>SUM(U50:U54)</f>
        <v>6.0754918500647284</v>
      </c>
      <c r="V56" s="236">
        <f t="shared" si="25"/>
        <v>-12.268100848562749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36"/>
      <c r="K58" s="236"/>
      <c r="L58" s="236"/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1.1231388766666666</v>
      </c>
      <c r="U58" s="294">
        <f>+(U33+U34)/100</f>
        <v>0.86389004999999996</v>
      </c>
      <c r="V58" s="236">
        <f>+U58-T58</f>
        <v>-0.2592488266666666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26">+T36/100</f>
        <v>0</v>
      </c>
      <c r="U59" s="236">
        <f t="shared" si="26"/>
        <v>0</v>
      </c>
      <c r="V59" s="236">
        <f>+U59-T59</f>
        <v>0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26"/>
        <v>0</v>
      </c>
      <c r="U60" s="236">
        <f t="shared" si="26"/>
        <v>0</v>
      </c>
      <c r="V60" s="236">
        <f>+U60-T60</f>
        <v>0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26"/>
        <v>-0.32504495999999994</v>
      </c>
      <c r="U61" s="236">
        <f t="shared" si="26"/>
        <v>-0.31152419999999997</v>
      </c>
      <c r="V61" s="236">
        <f>+U61-T61</f>
        <v>1.3520759999999965E-2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-0.85138375000006161</v>
      </c>
      <c r="U62" s="236">
        <f>+U40/100</f>
        <v>-0.15492811999992351</v>
      </c>
      <c r="V62" s="236">
        <f>+U62-T62</f>
        <v>0.6964556300001381</v>
      </c>
      <c r="AC62" s="236"/>
      <c r="AD62" s="236"/>
      <c r="AE62" s="236"/>
    </row>
    <row r="63" spans="10:33">
      <c r="T63" s="6">
        <f>SUM(T58:T62)</f>
        <v>-5.3289833333394987E-2</v>
      </c>
      <c r="U63" s="6">
        <f>SUM(U58:U62)</f>
        <v>0.39743773000007643</v>
      </c>
      <c r="V63" s="6">
        <f>SUM(V58:V62)</f>
        <v>0.45072756333347147</v>
      </c>
      <c r="AC63" s="236"/>
      <c r="AE63" s="236"/>
    </row>
    <row r="64" spans="10:33">
      <c r="AC64" s="236"/>
      <c r="AE64" s="236"/>
    </row>
    <row r="65" spans="20:31">
      <c r="AC65" s="236"/>
      <c r="AE65" s="236"/>
    </row>
    <row r="66" spans="20:31">
      <c r="T66" s="6">
        <f>SUM(T33:T34,T36,T38:T40)</f>
        <v>-5.3289833333394938</v>
      </c>
      <c r="U66" s="6">
        <f>SUM(U33:U34,U36,U38:U40)</f>
        <v>39.74377300000765</v>
      </c>
      <c r="V66" s="6">
        <f>+U66-T66</f>
        <v>45.072756333347144</v>
      </c>
      <c r="AC66" s="236"/>
      <c r="AE66" s="236"/>
    </row>
    <row r="67" spans="20:31">
      <c r="AC67" s="236"/>
      <c r="AE67" s="236"/>
    </row>
    <row r="68" spans="20:31">
      <c r="AC68" s="236"/>
      <c r="AE68" s="236"/>
    </row>
    <row r="69" spans="20:31">
      <c r="AC69" s="236"/>
      <c r="AE69" s="236"/>
    </row>
    <row r="70" spans="20:31">
      <c r="AC70" s="236"/>
      <c r="AE70" s="236"/>
    </row>
    <row r="71" spans="20:31">
      <c r="AC71" s="236"/>
      <c r="AE71" s="236"/>
    </row>
    <row r="72" spans="20:31">
      <c r="AC72" s="236"/>
      <c r="AE72" s="236"/>
    </row>
    <row r="73" spans="20:31">
      <c r="AC73" s="236"/>
      <c r="AE73" s="236"/>
    </row>
    <row r="74" spans="20:31">
      <c r="AC74" s="236"/>
      <c r="AE74" s="236"/>
    </row>
    <row r="75" spans="20:31">
      <c r="AC75" s="236"/>
      <c r="AE75" s="236"/>
    </row>
    <row r="76" spans="20:31">
      <c r="AC76" s="236"/>
      <c r="AE76" s="236"/>
    </row>
    <row r="77" spans="20:31">
      <c r="AC77" s="236"/>
      <c r="AE77" s="236"/>
    </row>
    <row r="78" spans="20:31">
      <c r="AC78" s="236"/>
    </row>
  </sheetData>
  <mergeCells count="4">
    <mergeCell ref="H5:I6"/>
    <mergeCell ref="I46:I47"/>
    <mergeCell ref="H28:I28"/>
    <mergeCell ref="Y43:AG43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82D9E-47F7-4148-8969-B6697DB06FB7}">
  <sheetPr>
    <tabColor theme="1" tint="0.249977111117893"/>
    <pageSetUpPr fitToPage="1"/>
  </sheetPr>
  <dimension ref="A1:AL78"/>
  <sheetViews>
    <sheetView showGridLines="0" showZeros="0" tabSelected="1" view="pageBreakPreview" topLeftCell="E22" zoomScale="85" zoomScaleNormal="85" zoomScaleSheetLayoutView="85" workbookViewId="0">
      <selection activeCell="L28" sqref="L28"/>
    </sheetView>
  </sheetViews>
  <sheetFormatPr defaultRowHeight="16.5"/>
  <cols>
    <col min="1" max="1" width="9" hidden="1" customWidth="1"/>
    <col min="2" max="2" width="13" hidden="1" customWidth="1"/>
    <col min="3" max="3" width="11" hidden="1" customWidth="1"/>
    <col min="4" max="4" width="9" hidden="1" customWidth="1"/>
    <col min="5" max="5" width="0.25" customWidth="1"/>
    <col min="6" max="6" width="9" customWidth="1"/>
    <col min="7" max="7" width="9" style="5"/>
    <col min="8" max="8" width="7.5" customWidth="1"/>
    <col min="9" max="9" width="11" bestFit="1" customWidth="1"/>
    <col min="10" max="14" width="8.625" customWidth="1"/>
    <col min="15" max="24" width="9.125" customWidth="1"/>
    <col min="25" max="33" width="8.625" customWidth="1"/>
    <col min="34" max="34" width="0.75" customWidth="1"/>
    <col min="36" max="36" width="9.625" bestFit="1" customWidth="1"/>
    <col min="37" max="37" width="13.625" bestFit="1" customWidth="1"/>
    <col min="38" max="38" width="9.125" bestFit="1" customWidth="1"/>
  </cols>
  <sheetData>
    <row r="1" spans="1:36" ht="18" customHeight="1">
      <c r="H1" s="4"/>
      <c r="K1" s="6"/>
      <c r="L1" s="6"/>
      <c r="P1" s="6"/>
      <c r="Q1" s="6"/>
    </row>
    <row r="2" spans="1:36" ht="18" customHeight="1">
      <c r="H2" s="7"/>
      <c r="AD2" s="5"/>
      <c r="AG2" s="5"/>
    </row>
    <row r="3" spans="1:36" ht="26.25">
      <c r="H3" s="4" t="s">
        <v>229</v>
      </c>
      <c r="AD3" s="5"/>
      <c r="AG3" s="5"/>
    </row>
    <row r="4" spans="1:36" ht="18" customHeight="1">
      <c r="H4" s="7"/>
      <c r="AD4" s="5"/>
      <c r="AG4" s="5" t="s">
        <v>77</v>
      </c>
    </row>
    <row r="5" spans="1:36" s="8" customFormat="1" ht="19.5" customHeight="1">
      <c r="G5" s="334"/>
      <c r="H5" s="753" t="s">
        <v>11</v>
      </c>
      <c r="I5" s="754"/>
      <c r="J5" s="158" t="s">
        <v>0</v>
      </c>
      <c r="K5" s="159"/>
      <c r="L5" s="159"/>
      <c r="M5" s="159"/>
      <c r="N5" s="160"/>
      <c r="O5" s="158" t="s">
        <v>2</v>
      </c>
      <c r="P5" s="159"/>
      <c r="Q5" s="159"/>
      <c r="R5" s="159"/>
      <c r="S5" s="160"/>
      <c r="T5" s="158" t="s">
        <v>98</v>
      </c>
      <c r="U5" s="159"/>
      <c r="V5" s="159"/>
      <c r="W5" s="159"/>
      <c r="X5" s="160"/>
      <c r="Y5" s="158" t="s">
        <v>53</v>
      </c>
      <c r="Z5" s="159"/>
      <c r="AA5" s="160"/>
      <c r="AB5" s="158" t="s">
        <v>34</v>
      </c>
      <c r="AC5" s="159"/>
      <c r="AD5" s="160"/>
      <c r="AE5" s="158" t="s">
        <v>54</v>
      </c>
      <c r="AF5" s="159"/>
      <c r="AG5" s="160"/>
    </row>
    <row r="6" spans="1:36" s="8" customFormat="1" ht="19.5" customHeight="1">
      <c r="A6" s="8" t="s">
        <v>230</v>
      </c>
      <c r="G6" s="334"/>
      <c r="H6" s="755"/>
      <c r="I6" s="756"/>
      <c r="J6" s="161" t="s">
        <v>36</v>
      </c>
      <c r="K6" s="162" t="s">
        <v>37</v>
      </c>
      <c r="L6" s="163" t="s">
        <v>38</v>
      </c>
      <c r="M6" s="162" t="s">
        <v>39</v>
      </c>
      <c r="N6" s="164" t="s">
        <v>38</v>
      </c>
      <c r="O6" s="161" t="s">
        <v>12</v>
      </c>
      <c r="P6" s="162" t="s">
        <v>13</v>
      </c>
      <c r="Q6" s="163" t="s">
        <v>28</v>
      </c>
      <c r="R6" s="162" t="s">
        <v>14</v>
      </c>
      <c r="S6" s="164" t="s">
        <v>28</v>
      </c>
      <c r="T6" s="161" t="s">
        <v>12</v>
      </c>
      <c r="U6" s="162" t="s">
        <v>13</v>
      </c>
      <c r="V6" s="163" t="s">
        <v>28</v>
      </c>
      <c r="W6" s="162" t="s">
        <v>14</v>
      </c>
      <c r="X6" s="164" t="s">
        <v>28</v>
      </c>
      <c r="Y6" s="165" t="s">
        <v>12</v>
      </c>
      <c r="Z6" s="166" t="s">
        <v>13</v>
      </c>
      <c r="AA6" s="167" t="s">
        <v>14</v>
      </c>
      <c r="AB6" s="168" t="s">
        <v>12</v>
      </c>
      <c r="AC6" s="166" t="s">
        <v>13</v>
      </c>
      <c r="AD6" s="164" t="s">
        <v>14</v>
      </c>
      <c r="AE6" s="168" t="s">
        <v>12</v>
      </c>
      <c r="AF6" s="166" t="s">
        <v>13</v>
      </c>
      <c r="AG6" s="164" t="s">
        <v>14</v>
      </c>
    </row>
    <row r="7" spans="1:36" s="8" customFormat="1" ht="22.5" customHeight="1">
      <c r="B7" s="8" t="s">
        <v>18</v>
      </c>
      <c r="G7" s="335" t="str">
        <f>+I7</f>
        <v>안양</v>
      </c>
      <c r="H7" s="72" t="s">
        <v>40</v>
      </c>
      <c r="I7" s="73" t="s">
        <v>18</v>
      </c>
      <c r="J7" s="35">
        <f>+IFERROR(HLOOKUP($B7,'[1]4월누계'!$D$6:$BN$259,2,),)/1000</f>
        <v>142</v>
      </c>
      <c r="K7" s="36">
        <f>+IFERROR(HLOOKUP($B7,'[2]4월누계'!$F$6:$CP$99,2,),)/1000</f>
        <v>140.46</v>
      </c>
      <c r="L7" s="37">
        <f t="shared" ref="L7:L32" si="0">+K7-J7</f>
        <v>-1.539999999999992</v>
      </c>
      <c r="M7" s="38">
        <f>+IFERROR(HLOOKUP($B7,'[3]4월누계'!$F$6:$CC$57,2,),)/1000</f>
        <v>170.69800000000001</v>
      </c>
      <c r="N7" s="39">
        <f>+K7-M7</f>
        <v>-30.238</v>
      </c>
      <c r="O7" s="35">
        <f>+IFERROR(HLOOKUP($B7,'[1]4월누계'!$D$6:$BN$259,3,),)/1000</f>
        <v>13924.713573999999</v>
      </c>
      <c r="P7" s="36">
        <f>+IFERROR(HLOOKUP($B7,'[2]4월누계'!$F$6:$CP$99,3,),)/1000</f>
        <v>13476.409308</v>
      </c>
      <c r="Q7" s="37">
        <f>+P7-O7</f>
        <v>-448.30426599999919</v>
      </c>
      <c r="R7" s="38">
        <f>+IFERROR(HLOOKUP($B7,'[3]4월누계'!$F$6:$CC$57,3,),)/1000</f>
        <v>16839.669386999998</v>
      </c>
      <c r="S7" s="39">
        <f>+P7-R7</f>
        <v>-3363.2600789999979</v>
      </c>
      <c r="T7" s="35">
        <f>+IFERROR(HLOOKUP($B7,'[1]4월누계'!$D$6:$BN$259,16,),)/1000</f>
        <v>1004.0780856304433</v>
      </c>
      <c r="U7" s="36">
        <f>+IFERROR(HLOOKUP($B7,'[2]4월누계'!$F$6:$CP$99,16,),)/1000</f>
        <v>865.27362800000014</v>
      </c>
      <c r="V7" s="40">
        <f>+U7-T7</f>
        <v>-138.80445763044315</v>
      </c>
      <c r="W7" s="41">
        <f>+IFERROR(HLOOKUP($B7,'[3]4월누계'!$F$6:$CC$57,16,),)/1000</f>
        <v>1780.9295909999962</v>
      </c>
      <c r="X7" s="39">
        <f>+U7-W7</f>
        <v>-915.65596299999606</v>
      </c>
      <c r="Y7" s="35">
        <f>+[9]안양!$Q$85</f>
        <v>98061.363197183106</v>
      </c>
      <c r="Z7" s="36">
        <f>+[9]안양!$R$85</f>
        <v>95926.12387224377</v>
      </c>
      <c r="AA7" s="42">
        <f>+[10]안양!$Q$85</f>
        <v>98646.302102992719</v>
      </c>
      <c r="AB7" s="43">
        <f>+[9]안양!$Q$89</f>
        <v>82250.836970037533</v>
      </c>
      <c r="AC7" s="36">
        <f>+[9]안양!$R$89</f>
        <v>81028.977996633592</v>
      </c>
      <c r="AD7" s="44">
        <f>+[10]안양!$Q$89</f>
        <v>81001.250943484687</v>
      </c>
      <c r="AE7" s="43">
        <f>+Y7-AB7</f>
        <v>15810.526227145572</v>
      </c>
      <c r="AF7" s="36">
        <f>+Z7-AC7</f>
        <v>14897.145875610178</v>
      </c>
      <c r="AG7" s="44">
        <f>+AA7-AD7</f>
        <v>17645.051159508032</v>
      </c>
      <c r="AH7" s="17"/>
      <c r="AI7" s="729"/>
      <c r="AJ7" s="730"/>
    </row>
    <row r="8" spans="1:36" s="8" customFormat="1" ht="22.5" customHeight="1">
      <c r="B8" s="8" t="s">
        <v>19</v>
      </c>
      <c r="G8" s="336" t="str">
        <f t="shared" ref="G8:G26" si="1">+I8</f>
        <v>인천</v>
      </c>
      <c r="H8" s="74" t="s">
        <v>41</v>
      </c>
      <c r="I8" s="75" t="s">
        <v>19</v>
      </c>
      <c r="J8" s="45">
        <f>+IFERROR(HLOOKUP($B8,'[1]4월누계'!$D$6:$BN$259,2,),)/1000</f>
        <v>110</v>
      </c>
      <c r="K8" s="46">
        <f>+IFERROR(HLOOKUP($B8,'[2]4월누계'!$F$6:$CP$99,2,),)/1000</f>
        <v>103.72199999999999</v>
      </c>
      <c r="L8" s="47">
        <f t="shared" si="0"/>
        <v>-6.2780000000000058</v>
      </c>
      <c r="M8" s="48">
        <f>+IFERROR(HLOOKUP($B8,'[3]4월누계'!$F$6:$CC$57,2,),)/1000</f>
        <v>113.751</v>
      </c>
      <c r="N8" s="49">
        <f t="shared" ref="N8:N32" si="2">+K8-M8</f>
        <v>-10.029000000000011</v>
      </c>
      <c r="O8" s="45">
        <f>+IFERROR(HLOOKUP($B8,'[1]4월누계'!$D$6:$BN$259,3,),)/1000</f>
        <v>10761.842338980896</v>
      </c>
      <c r="P8" s="46">
        <f>+IFERROR(HLOOKUP($B8,'[2]4월누계'!$F$6:$CP$99,3,),)/1000</f>
        <v>10154.913379000001</v>
      </c>
      <c r="Q8" s="47">
        <f t="shared" ref="Q8:Q43" si="3">+P8-O8</f>
        <v>-606.92895998089443</v>
      </c>
      <c r="R8" s="48">
        <f>+IFERROR(HLOOKUP($B8,'[3]4월누계'!$F$6:$CC$57,3,),)/1000</f>
        <v>11517.811092</v>
      </c>
      <c r="S8" s="49">
        <f t="shared" ref="S8:S38" si="4">+P8-R8</f>
        <v>-1362.8977129999985</v>
      </c>
      <c r="T8" s="45">
        <f>+IFERROR(HLOOKUP($B8,'[1]4월누계'!$D$6:$BN$259,16,),)/1000</f>
        <v>367.15216053031429</v>
      </c>
      <c r="U8" s="46">
        <f>+IFERROR(HLOOKUP($B8,'[2]4월누계'!$F$6:$CP$99,16,),)/1000</f>
        <v>143.88324800000166</v>
      </c>
      <c r="V8" s="47">
        <f t="shared" ref="V8:V39" si="5">+U8-T8</f>
        <v>-223.26891253031263</v>
      </c>
      <c r="W8" s="48">
        <f>+IFERROR(HLOOKUP($B8,'[3]4월누계'!$F$6:$CC$57,16,),)/1000</f>
        <v>955.53587900000002</v>
      </c>
      <c r="X8" s="49">
        <f t="shared" ref="X8:X37" si="6">+U8-W8</f>
        <v>-811.65263099999834</v>
      </c>
      <c r="Y8" s="45">
        <f>+[9]인천!$Q$85</f>
        <v>97834.930354371798</v>
      </c>
      <c r="Z8" s="46">
        <f>+[9]인천!$R$85</f>
        <v>97920.695560008113</v>
      </c>
      <c r="AA8" s="50">
        <f>+[10]인천!$Q$85</f>
        <v>101254.59197721339</v>
      </c>
      <c r="AB8" s="51">
        <f>+[9]인천!$Q$89</f>
        <v>83353.552204490872</v>
      </c>
      <c r="AC8" s="46">
        <f>+[9]인천!$R$89</f>
        <v>84814.026522298664</v>
      </c>
      <c r="AD8" s="52">
        <f>+[10]인천!$Q$89</f>
        <v>82842.101792039073</v>
      </c>
      <c r="AE8" s="51">
        <f t="shared" ref="AE8:AG27" si="7">+Y8-AB8</f>
        <v>14481.378149880926</v>
      </c>
      <c r="AF8" s="46">
        <f t="shared" si="7"/>
        <v>13106.669037709449</v>
      </c>
      <c r="AG8" s="52">
        <f t="shared" si="7"/>
        <v>18412.49018517432</v>
      </c>
      <c r="AH8" s="17"/>
      <c r="AI8" s="729"/>
      <c r="AJ8" s="730"/>
    </row>
    <row r="9" spans="1:36" s="8" customFormat="1" ht="22.5" customHeight="1">
      <c r="B9" s="8" t="s">
        <v>20</v>
      </c>
      <c r="G9" s="336" t="str">
        <f t="shared" si="1"/>
        <v>파주</v>
      </c>
      <c r="H9" s="74"/>
      <c r="I9" s="75" t="s">
        <v>20</v>
      </c>
      <c r="J9" s="45">
        <f>+IFERROR(HLOOKUP($B9,'[1]4월누계'!$D$6:$BN$259,2,),)/1000</f>
        <v>70</v>
      </c>
      <c r="K9" s="46">
        <f>+IFERROR(HLOOKUP($B9,'[2]4월누계'!$F$6:$CP$99,2,),)/1000</f>
        <v>43.280999999999999</v>
      </c>
      <c r="L9" s="47">
        <f t="shared" si="0"/>
        <v>-26.719000000000001</v>
      </c>
      <c r="M9" s="48">
        <f>+IFERROR(HLOOKUP($B9,'[3]4월누계'!$F$6:$CC$57,2,),)/1000</f>
        <v>94.777000000000001</v>
      </c>
      <c r="N9" s="49">
        <f t="shared" si="2"/>
        <v>-51.496000000000002</v>
      </c>
      <c r="O9" s="45">
        <f>+IFERROR(HLOOKUP($B9,'[1]4월누계'!$D$6:$BN$259,3,),)/1000</f>
        <v>6747.2054817999997</v>
      </c>
      <c r="P9" s="46">
        <f>+IFERROR(HLOOKUP($B9,'[2]4월누계'!$F$6:$CP$99,3,),)/1000</f>
        <v>3997.0859150000001</v>
      </c>
      <c r="Q9" s="47">
        <f t="shared" si="3"/>
        <v>-2750.1195667999996</v>
      </c>
      <c r="R9" s="48">
        <f>+IFERROR(HLOOKUP($B9,'[3]4월누계'!$F$6:$CC$57,3,),)/1000</f>
        <v>9538.5461930000001</v>
      </c>
      <c r="S9" s="49">
        <f t="shared" si="4"/>
        <v>-5541.4602780000005</v>
      </c>
      <c r="T9" s="45">
        <f>+IFERROR(HLOOKUP($B9,'[1]4월누계'!$D$6:$BN$259,16,),)/1000</f>
        <v>191.85720570806706</v>
      </c>
      <c r="U9" s="46">
        <f>+IFERROR(HLOOKUP($B9,'[2]4월누계'!$F$6:$CP$99,16,),)/1000</f>
        <v>-312.75034799999963</v>
      </c>
      <c r="V9" s="47">
        <f t="shared" si="5"/>
        <v>-504.60755370806669</v>
      </c>
      <c r="W9" s="48">
        <f>+IFERROR(HLOOKUP($B9,'[3]4월누계'!$F$6:$CC$57,16,),)/1000</f>
        <v>720.66829500000074</v>
      </c>
      <c r="X9" s="49">
        <f t="shared" si="6"/>
        <v>-1033.4186430000004</v>
      </c>
      <c r="Y9" s="45">
        <f>+[9]파주!$Q$85</f>
        <v>96388.649739999993</v>
      </c>
      <c r="Z9" s="46">
        <f>+[9]파주!$R$85</f>
        <v>92404.743899324341</v>
      </c>
      <c r="AA9" s="50">
        <f>+[10]파주!$Q$85</f>
        <v>100686.07387406503</v>
      </c>
      <c r="AB9" s="51">
        <f>+[9]파주!$Q$89</f>
        <v>79623.451215699111</v>
      </c>
      <c r="AC9" s="46">
        <f>+[9]파주!$R$89</f>
        <v>79057.740104468947</v>
      </c>
      <c r="AD9" s="52">
        <f>+[10]파주!$Q$89</f>
        <v>83027.044904367402</v>
      </c>
      <c r="AE9" s="51">
        <f t="shared" si="7"/>
        <v>16765.198524300882</v>
      </c>
      <c r="AF9" s="46">
        <f t="shared" si="7"/>
        <v>13347.003794855395</v>
      </c>
      <c r="AG9" s="52">
        <f t="shared" si="7"/>
        <v>17659.028969697625</v>
      </c>
      <c r="AH9" s="17"/>
      <c r="AI9" s="729"/>
      <c r="AJ9" s="730"/>
    </row>
    <row r="10" spans="1:36" s="8" customFormat="1" ht="22.5" customHeight="1">
      <c r="B10" s="8" t="s">
        <v>110</v>
      </c>
      <c r="G10" s="336" t="str">
        <f t="shared" si="1"/>
        <v>김포</v>
      </c>
      <c r="H10" s="74"/>
      <c r="I10" s="75" t="s">
        <v>108</v>
      </c>
      <c r="J10" s="45">
        <f>+IFERROR(HLOOKUP($B10,'[1]4월누계'!$D$6:$BN$259,2,),)/1000</f>
        <v>48</v>
      </c>
      <c r="K10" s="46">
        <f>+IFERROR(HLOOKUP($B10,'[2]4월누계'!$F$6:$CP$99,2,),)/1000</f>
        <v>36.927</v>
      </c>
      <c r="L10" s="47">
        <f t="shared" si="0"/>
        <v>-11.073</v>
      </c>
      <c r="M10" s="48">
        <f>+IFERROR(HLOOKUP($B10,'[3]4월누계'!$F$6:$CC$57,2,),)/1000</f>
        <v>41.157499999999999</v>
      </c>
      <c r="N10" s="49">
        <f t="shared" si="2"/>
        <v>-4.2304999999999993</v>
      </c>
      <c r="O10" s="45">
        <f>+IFERROR(HLOOKUP($B10,'[1]4월누계'!$D$6:$BN$259,3,),)/1000</f>
        <v>4575.4514800000006</v>
      </c>
      <c r="P10" s="46">
        <f>+IFERROR(HLOOKUP($B10,'[2]4월누계'!$F$6:$CP$99,3,),)/1000</f>
        <v>3518.4271359999998</v>
      </c>
      <c r="Q10" s="47">
        <f t="shared" si="3"/>
        <v>-1057.0243440000008</v>
      </c>
      <c r="R10" s="48">
        <f>+IFERROR(HLOOKUP($B10,'[3]4월누계'!$F$6:$CC$57,3,),)/1000</f>
        <v>4025.2966450000004</v>
      </c>
      <c r="S10" s="49">
        <f t="shared" si="4"/>
        <v>-506.86950900000056</v>
      </c>
      <c r="T10" s="45">
        <f>+IFERROR(HLOOKUP($B10,'[1]4월누계'!$D$6:$BN$259,16,),)/1000</f>
        <v>187.88291251728705</v>
      </c>
      <c r="U10" s="46">
        <f>+IFERROR(HLOOKUP($B10,'[2]4월누계'!$F$6:$CP$99,16,),)/1000</f>
        <v>-50.511174000000175</v>
      </c>
      <c r="V10" s="47">
        <f t="shared" si="5"/>
        <v>-238.39408651728723</v>
      </c>
      <c r="W10" s="48">
        <f>+IFERROR(HLOOKUP($B10,'[3]4월누계'!$F$6:$CC$57,16,),)/1000</f>
        <v>266.92423200000053</v>
      </c>
      <c r="X10" s="49">
        <f t="shared" si="6"/>
        <v>-317.43540600000068</v>
      </c>
      <c r="Y10" s="45">
        <f>+[9]김포!$Q$85</f>
        <v>95321.905833333352</v>
      </c>
      <c r="Z10" s="46">
        <f>+[9]김포!$R$85</f>
        <v>95344.507612542177</v>
      </c>
      <c r="AA10" s="50">
        <f>+[10]김포!$Q$85</f>
        <v>97802.263135516012</v>
      </c>
      <c r="AB10" s="51">
        <f>+[9]김포!$Q$89</f>
        <v>76938.040132741706</v>
      </c>
      <c r="AC10" s="46">
        <f>+[9]김포!$R$89</f>
        <v>78484.914656212306</v>
      </c>
      <c r="AD10" s="52">
        <f>+[10]김포!$Q$89</f>
        <v>76096.809323216978</v>
      </c>
      <c r="AE10" s="51">
        <f t="shared" si="7"/>
        <v>18383.865700591647</v>
      </c>
      <c r="AF10" s="46">
        <f t="shared" si="7"/>
        <v>16859.592956329871</v>
      </c>
      <c r="AG10" s="52">
        <f t="shared" si="7"/>
        <v>21705.453812299034</v>
      </c>
      <c r="AH10" s="17"/>
      <c r="AI10" s="729"/>
      <c r="AJ10" s="730"/>
    </row>
    <row r="11" spans="1:36" s="8" customFormat="1" ht="22.5" customHeight="1">
      <c r="B11" s="8" t="s">
        <v>21</v>
      </c>
      <c r="G11" s="334" t="str">
        <f t="shared" si="1"/>
        <v>부산</v>
      </c>
      <c r="H11" s="74"/>
      <c r="I11" s="76" t="s">
        <v>21</v>
      </c>
      <c r="J11" s="62">
        <f>+IFERROR(HLOOKUP($B11,'[1]4월누계'!$D$6:$BN$259,2,),)/1000</f>
        <v>78</v>
      </c>
      <c r="K11" s="63">
        <f>+IFERROR(HLOOKUP($B11,'[2]4월누계'!$F$6:$CP$99,2,),)/1000</f>
        <v>74.846999999999994</v>
      </c>
      <c r="L11" s="64">
        <f t="shared" si="0"/>
        <v>-3.1530000000000058</v>
      </c>
      <c r="M11" s="65">
        <f>+IFERROR(HLOOKUP($B11,'[3]4월누계'!$F$6:$CC$57,2,),)/1000</f>
        <v>85.016999999999996</v>
      </c>
      <c r="N11" s="66">
        <f t="shared" si="2"/>
        <v>-10.170000000000002</v>
      </c>
      <c r="O11" s="62">
        <f>+IFERROR(HLOOKUP($B11,'[1]4월누계'!$D$6:$BN$259,3,),)/1000</f>
        <v>8400.5963082399994</v>
      </c>
      <c r="P11" s="63">
        <f>+IFERROR(HLOOKUP($B11,'[2]4월누계'!$F$6:$CP$99,3,),)/1000</f>
        <v>7925.7260199999992</v>
      </c>
      <c r="Q11" s="64">
        <f t="shared" si="3"/>
        <v>-474.87028824000026</v>
      </c>
      <c r="R11" s="65">
        <f>+IFERROR(HLOOKUP($B11,'[3]4월누계'!$F$6:$CC$57,3,),)/1000</f>
        <v>9081.9494360000008</v>
      </c>
      <c r="S11" s="66">
        <f t="shared" si="4"/>
        <v>-1156.2234160000016</v>
      </c>
      <c r="T11" s="62">
        <f>+IFERROR(HLOOKUP($B11,'[1]4월누계'!$D$6:$BN$259,16,),)/1000</f>
        <v>706.94000700146069</v>
      </c>
      <c r="U11" s="63">
        <f>+IFERROR(HLOOKUP($B11,'[2]4월누계'!$F$6:$CP$99,16,),)/1000</f>
        <v>676.07838300000014</v>
      </c>
      <c r="V11" s="64">
        <f t="shared" si="5"/>
        <v>-30.861624001460541</v>
      </c>
      <c r="W11" s="65">
        <f>+IFERROR(HLOOKUP($B11,'[3]4월누계'!$F$6:$CC$57,16,),)/1000</f>
        <v>989.91648800000041</v>
      </c>
      <c r="X11" s="66">
        <f t="shared" si="6"/>
        <v>-313.83810500000027</v>
      </c>
      <c r="Y11" s="62">
        <f>+[9]부산!$Q$85</f>
        <v>107699.95266974359</v>
      </c>
      <c r="Z11" s="63">
        <f>+[9]부산!$R$85</f>
        <v>105892.36736275334</v>
      </c>
      <c r="AA11" s="67">
        <f>+[10]부산!$Q$85</f>
        <v>106825.09893315454</v>
      </c>
      <c r="AB11" s="68">
        <f>+[9]부산!$Q$89</f>
        <v>84690.817004781231</v>
      </c>
      <c r="AC11" s="63">
        <f>+[9]부산!$R$89</f>
        <v>83622.63086218854</v>
      </c>
      <c r="AD11" s="69">
        <f>+[10]부산!$Q$89</f>
        <v>83745.240196307015</v>
      </c>
      <c r="AE11" s="68">
        <f t="shared" si="7"/>
        <v>23009.135664962363</v>
      </c>
      <c r="AF11" s="63">
        <f t="shared" si="7"/>
        <v>22269.736500564803</v>
      </c>
      <c r="AG11" s="69">
        <f t="shared" si="7"/>
        <v>23079.858736847527</v>
      </c>
      <c r="AH11" s="17"/>
      <c r="AI11" s="729"/>
      <c r="AJ11" s="730"/>
    </row>
    <row r="12" spans="1:36" s="8" customFormat="1" ht="22.5" customHeight="1">
      <c r="B12" s="8" t="s">
        <v>22</v>
      </c>
      <c r="G12" s="334" t="str">
        <f t="shared" si="1"/>
        <v>서부산</v>
      </c>
      <c r="H12" s="74"/>
      <c r="I12" s="75" t="s">
        <v>22</v>
      </c>
      <c r="J12" s="45">
        <f>+IFERROR(HLOOKUP($B12,'[1]4월누계'!$D$6:$BN$259,2,),)/1000</f>
        <v>76</v>
      </c>
      <c r="K12" s="46">
        <f>+IFERROR(HLOOKUP($B12,'[2]4월누계'!$F$6:$CP$99,2,),)/1000</f>
        <v>67.222999999999999</v>
      </c>
      <c r="L12" s="47">
        <f t="shared" si="0"/>
        <v>-8.777000000000001</v>
      </c>
      <c r="M12" s="48">
        <f>+IFERROR(HLOOKUP($B12,'[3]4월누계'!$F$6:$CC$57,2,),)/1000</f>
        <v>88.974999999999994</v>
      </c>
      <c r="N12" s="49">
        <f t="shared" si="2"/>
        <v>-21.751999999999995</v>
      </c>
      <c r="O12" s="45">
        <f>+IFERROR(HLOOKUP($B12,'[1]4월누계'!$D$6:$BN$259,3,),)/1000</f>
        <v>7546.8166315800017</v>
      </c>
      <c r="P12" s="46">
        <f>+IFERROR(HLOOKUP($B12,'[2]4월누계'!$F$6:$CP$99,3,),)/1000</f>
        <v>6505.4800179999993</v>
      </c>
      <c r="Q12" s="47">
        <f t="shared" si="3"/>
        <v>-1041.3366135800024</v>
      </c>
      <c r="R12" s="48">
        <f>+IFERROR(HLOOKUP($B12,'[3]4월누계'!$F$6:$CC$57,3,),)/1000</f>
        <v>8987.0293199999996</v>
      </c>
      <c r="S12" s="49">
        <f t="shared" si="4"/>
        <v>-2481.5493020000004</v>
      </c>
      <c r="T12" s="45">
        <f>+IFERROR(HLOOKUP($B12,'[1]4월누계'!$D$6:$BN$259,16,),)/1000</f>
        <v>603.16345072580964</v>
      </c>
      <c r="U12" s="46">
        <f>+IFERROR(HLOOKUP($B12,'[2]4월누계'!$F$6:$CP$99,16,),)/1000</f>
        <v>414.885348999999</v>
      </c>
      <c r="V12" s="47">
        <f t="shared" si="5"/>
        <v>-188.27810172581064</v>
      </c>
      <c r="W12" s="48">
        <f>+IFERROR(HLOOKUP($B12,'[3]4월누계'!$F$6:$CC$57,16,),)/1000</f>
        <v>1022.0486360000009</v>
      </c>
      <c r="X12" s="49">
        <f t="shared" si="6"/>
        <v>-607.1632870000019</v>
      </c>
      <c r="Y12" s="45">
        <f>+[9]서부산!$Q$85</f>
        <v>99300.218836578963</v>
      </c>
      <c r="Z12" s="46">
        <f>+[9]서부산!$R$85</f>
        <v>96774.616098656697</v>
      </c>
      <c r="AA12" s="50">
        <f>+[10]서부산!$Q$85</f>
        <v>101006.23006462491</v>
      </c>
      <c r="AB12" s="51">
        <f>+[9]서부산!$Q$89</f>
        <v>78845.643267087318</v>
      </c>
      <c r="AC12" s="46">
        <f>+[9]서부산!$R$89</f>
        <v>77141.00579904858</v>
      </c>
      <c r="AD12" s="52">
        <f>+[10]서부산!$Q$89</f>
        <v>79548.426930813221</v>
      </c>
      <c r="AE12" s="51">
        <f t="shared" si="7"/>
        <v>20454.575569491644</v>
      </c>
      <c r="AF12" s="46">
        <f t="shared" si="7"/>
        <v>19633.610299608117</v>
      </c>
      <c r="AG12" s="52">
        <f t="shared" si="7"/>
        <v>21457.803133811685</v>
      </c>
      <c r="AH12" s="17"/>
      <c r="AI12" s="729"/>
      <c r="AJ12" s="730"/>
    </row>
    <row r="13" spans="1:36" s="8" customFormat="1" ht="22.5" customHeight="1">
      <c r="B13" s="8" t="s">
        <v>23</v>
      </c>
      <c r="G13" s="334" t="str">
        <f t="shared" si="1"/>
        <v>김해</v>
      </c>
      <c r="H13" s="74"/>
      <c r="I13" s="75" t="s">
        <v>23</v>
      </c>
      <c r="J13" s="45">
        <f>+IFERROR(HLOOKUP($B13,'[1]4월누계'!$D$6:$BN$259,2,),)/1000</f>
        <v>52</v>
      </c>
      <c r="K13" s="46">
        <f>+IFERROR(HLOOKUP($B13,'[2]4월누계'!$F$6:$CP$99,2,),)/1000</f>
        <v>34.274999999999999</v>
      </c>
      <c r="L13" s="47">
        <f t="shared" si="0"/>
        <v>-17.725000000000001</v>
      </c>
      <c r="M13" s="48">
        <f>+IFERROR(HLOOKUP($B13,'[3]4월누계'!$F$6:$CC$57,2,),)/1000</f>
        <v>52.341999999999999</v>
      </c>
      <c r="N13" s="49">
        <f t="shared" si="2"/>
        <v>-18.067</v>
      </c>
      <c r="O13" s="45">
        <f>+IFERROR(HLOOKUP($B13,'[1]4월누계'!$D$6:$BN$259,3,),)/1000</f>
        <v>5007.6001499999993</v>
      </c>
      <c r="P13" s="46">
        <f>+IFERROR(HLOOKUP($B13,'[2]4월누계'!$F$6:$CP$99,3,),)/1000</f>
        <v>3117.4157</v>
      </c>
      <c r="Q13" s="47">
        <f t="shared" si="3"/>
        <v>-1890.1844499999993</v>
      </c>
      <c r="R13" s="48">
        <f>+IFERROR(HLOOKUP($B13,'[3]4월누계'!$F$6:$CC$57,3,),)/1000</f>
        <v>5200.4931999999999</v>
      </c>
      <c r="S13" s="49">
        <f t="shared" si="4"/>
        <v>-2083.0774999999999</v>
      </c>
      <c r="T13" s="45">
        <f>+IFERROR(HLOOKUP($B13,'[1]4월누계'!$D$6:$BN$259,16,),)/1000</f>
        <v>394.7360457548956</v>
      </c>
      <c r="U13" s="46">
        <f>+IFERROR(HLOOKUP($B13,'[2]4월누계'!$F$6:$CP$99,16,),)/1000</f>
        <v>-105.52443200000005</v>
      </c>
      <c r="V13" s="47">
        <f t="shared" si="5"/>
        <v>-500.26047775489565</v>
      </c>
      <c r="W13" s="48">
        <f>+IFERROR(HLOOKUP($B13,'[3]4월누계'!$F$6:$CC$57,16,),)/1000</f>
        <v>409.07597900000007</v>
      </c>
      <c r="X13" s="49">
        <f t="shared" si="6"/>
        <v>-514.60041100000012</v>
      </c>
      <c r="Y13" s="45">
        <f>+[9]김해!$Q$85</f>
        <v>96300.002884615373</v>
      </c>
      <c r="Z13" s="46">
        <f>+[9]김해!$R$85</f>
        <v>90917.487111503899</v>
      </c>
      <c r="AA13" s="50">
        <f>+[10]김해!$Q$85</f>
        <v>99460.374442104439</v>
      </c>
      <c r="AB13" s="51">
        <f>+[9]김해!$Q$89</f>
        <v>76419.640724798999</v>
      </c>
      <c r="AC13" s="46">
        <f>+[9]김해!$R$89</f>
        <v>76591.029400500818</v>
      </c>
      <c r="AD13" s="52">
        <f>+[10]김해!$Q$89</f>
        <v>80371.435419363566</v>
      </c>
      <c r="AE13" s="51">
        <f t="shared" si="7"/>
        <v>19880.362159816374</v>
      </c>
      <c r="AF13" s="46">
        <f t="shared" si="7"/>
        <v>14326.45771100308</v>
      </c>
      <c r="AG13" s="52">
        <f t="shared" si="7"/>
        <v>19088.939022740873</v>
      </c>
      <c r="AH13" s="17"/>
      <c r="AI13" s="729"/>
      <c r="AJ13" s="730"/>
    </row>
    <row r="14" spans="1:36" s="8" customFormat="1" ht="22.5" customHeight="1">
      <c r="B14" s="8" t="s">
        <v>24</v>
      </c>
      <c r="G14" s="334" t="str">
        <f t="shared" si="1"/>
        <v>정관</v>
      </c>
      <c r="H14" s="74"/>
      <c r="I14" s="75" t="s">
        <v>24</v>
      </c>
      <c r="J14" s="45">
        <f>+IFERROR(HLOOKUP($B14,'[1]4월누계'!$D$6:$BN$259,2,),)/1000</f>
        <v>76</v>
      </c>
      <c r="K14" s="46">
        <f>+IFERROR(HLOOKUP($B14,'[2]4월누계'!$F$6:$CP$99,2,),)/1000</f>
        <v>77.971500000000006</v>
      </c>
      <c r="L14" s="47">
        <f t="shared" si="0"/>
        <v>1.971500000000006</v>
      </c>
      <c r="M14" s="48">
        <f>+IFERROR(HLOOKUP($B14,'[3]4월누계'!$F$6:$CC$57,2,),)/1000</f>
        <v>78.444500000000005</v>
      </c>
      <c r="N14" s="49">
        <f t="shared" si="2"/>
        <v>-0.47299999999999898</v>
      </c>
      <c r="O14" s="45">
        <f>+IFERROR(HLOOKUP($B14,'[1]4월누계'!$D$6:$BN$259,3,),)/1000</f>
        <v>7751.9834280799996</v>
      </c>
      <c r="P14" s="46">
        <f>+IFERROR(HLOOKUP($B14,'[2]4월누계'!$F$6:$CP$99,3,),)/1000</f>
        <v>7962.4657900000002</v>
      </c>
      <c r="Q14" s="47">
        <f t="shared" si="3"/>
        <v>210.48236192000059</v>
      </c>
      <c r="R14" s="48">
        <f>+IFERROR(HLOOKUP($B14,'[3]4월누계'!$F$6:$CC$57,3,),)/1000</f>
        <v>8063.9056500000006</v>
      </c>
      <c r="S14" s="49">
        <f t="shared" si="4"/>
        <v>-101.43986000000041</v>
      </c>
      <c r="T14" s="45">
        <f>+IFERROR(HLOOKUP($B14,'[1]4월누계'!$D$6:$BN$259,16,),)/1000</f>
        <v>622.11555386929422</v>
      </c>
      <c r="U14" s="46">
        <f>+IFERROR(HLOOKUP($B14,'[2]4월누계'!$F$6:$CP$99,16,),)/1000</f>
        <v>647.16190400000039</v>
      </c>
      <c r="V14" s="47">
        <f t="shared" si="5"/>
        <v>25.046350130706173</v>
      </c>
      <c r="W14" s="48">
        <f>+IFERROR(HLOOKUP($B14,'[3]4월누계'!$F$6:$CC$57,16,),)/1000</f>
        <v>785.51300000000003</v>
      </c>
      <c r="X14" s="49">
        <f t="shared" si="6"/>
        <v>-138.35109599999964</v>
      </c>
      <c r="Y14" s="45">
        <f>+[9]정관!$Q$85</f>
        <v>101999.78194842106</v>
      </c>
      <c r="Z14" s="46">
        <f>+[9]정관!$R$85</f>
        <v>102120.207896475</v>
      </c>
      <c r="AA14" s="50">
        <f>+[10]정관!$Q$85</f>
        <v>102797.59129065773</v>
      </c>
      <c r="AB14" s="51">
        <f>+[9]정관!$Q$89</f>
        <v>81952.254274702267</v>
      </c>
      <c r="AC14" s="46">
        <f>+[9]정관!$R$89</f>
        <v>84055.177710746924</v>
      </c>
      <c r="AD14" s="52">
        <f>+[10]정관!$Q$89</f>
        <v>82725.870521291974</v>
      </c>
      <c r="AE14" s="51">
        <f t="shared" si="7"/>
        <v>20047.527673718796</v>
      </c>
      <c r="AF14" s="46">
        <f t="shared" si="7"/>
        <v>18065.030185728072</v>
      </c>
      <c r="AG14" s="52">
        <f t="shared" si="7"/>
        <v>20071.720769365755</v>
      </c>
      <c r="AH14" s="17"/>
      <c r="AI14" s="729"/>
      <c r="AJ14" s="730"/>
    </row>
    <row r="15" spans="1:36" s="8" customFormat="1" ht="22.5" customHeight="1">
      <c r="B15" s="8" t="s">
        <v>25</v>
      </c>
      <c r="G15" s="334" t="str">
        <f t="shared" si="1"/>
        <v>양산</v>
      </c>
      <c r="H15" s="74"/>
      <c r="I15" s="75" t="s">
        <v>25</v>
      </c>
      <c r="J15" s="45">
        <f>+IFERROR(HLOOKUP($B15,'[1]4월누계'!$D$6:$BN$259,2,),)/1000</f>
        <v>43</v>
      </c>
      <c r="K15" s="46">
        <f>+IFERROR(HLOOKUP($B15,'[2]4월누계'!$F$6:$CP$99,2,),)/1000</f>
        <v>29.916</v>
      </c>
      <c r="L15" s="47">
        <f t="shared" si="0"/>
        <v>-13.084</v>
      </c>
      <c r="M15" s="48">
        <f>+IFERROR(HLOOKUP($B15,'[3]4월누계'!$F$6:$CC$57,2,),)/1000</f>
        <v>49.695999999999998</v>
      </c>
      <c r="N15" s="49">
        <f t="shared" si="2"/>
        <v>-19.779999999999998</v>
      </c>
      <c r="O15" s="45">
        <f>+IFERROR(HLOOKUP($B15,'[1]4월누계'!$D$6:$BN$259,3,),)/1000</f>
        <v>4068.5842499999999</v>
      </c>
      <c r="P15" s="46">
        <f>+IFERROR(HLOOKUP($B15,'[2]4월누계'!$F$6:$CP$99,3,),)/1000</f>
        <v>2823.580027</v>
      </c>
      <c r="Q15" s="47">
        <f t="shared" si="3"/>
        <v>-1245.0042229999999</v>
      </c>
      <c r="R15" s="48">
        <f>+IFERROR(HLOOKUP($B15,'[3]4월누계'!$F$6:$CC$57,3,),)/1000</f>
        <v>4664.9935550000009</v>
      </c>
      <c r="S15" s="49">
        <f t="shared" si="4"/>
        <v>-1841.413528000001</v>
      </c>
      <c r="T15" s="45">
        <f>+IFERROR(HLOOKUP($B15,'[1]4월누계'!$D$6:$BN$259,16,),)/1000</f>
        <v>287.32842133808822</v>
      </c>
      <c r="U15" s="46">
        <f>+IFERROR(HLOOKUP($B15,'[2]4월누계'!$F$6:$CP$99,16,),)/1000</f>
        <v>20.936166999999912</v>
      </c>
      <c r="V15" s="47">
        <f t="shared" si="5"/>
        <v>-266.39225433808832</v>
      </c>
      <c r="W15" s="48">
        <f>+IFERROR(HLOOKUP($B15,'[3]4월누계'!$F$6:$CC$57,16,),)/1000</f>
        <v>498.47379300000085</v>
      </c>
      <c r="X15" s="49">
        <f t="shared" si="6"/>
        <v>-477.53762600000096</v>
      </c>
      <c r="Y15" s="45">
        <f>+[9]양산!$Q$85</f>
        <v>94618.238372093023</v>
      </c>
      <c r="Z15" s="46">
        <f>+[9]양산!$R$85</f>
        <v>94383.608336676014</v>
      </c>
      <c r="AA15" s="50">
        <f>+[10]양산!$Q$85</f>
        <v>93870.604374597562</v>
      </c>
      <c r="AB15" s="51">
        <f>+[9]양산!$Q$89</f>
        <v>74182.515756995359</v>
      </c>
      <c r="AC15" s="46">
        <f>+[9]양산!$R$89</f>
        <v>73513.548666354705</v>
      </c>
      <c r="AD15" s="52">
        <f>+[10]양산!$Q$89</f>
        <v>72551.281189632966</v>
      </c>
      <c r="AE15" s="51">
        <f t="shared" si="7"/>
        <v>20435.722615097664</v>
      </c>
      <c r="AF15" s="46">
        <f t="shared" si="7"/>
        <v>20870.059670321309</v>
      </c>
      <c r="AG15" s="52">
        <f t="shared" si="7"/>
        <v>21319.323184964596</v>
      </c>
      <c r="AH15" s="17"/>
      <c r="AI15" s="729"/>
      <c r="AJ15" s="730"/>
    </row>
    <row r="16" spans="1:36" s="8" customFormat="1" ht="22.5" customHeight="1">
      <c r="B16" s="8" t="s">
        <v>26</v>
      </c>
      <c r="G16" s="334" t="str">
        <f t="shared" si="1"/>
        <v>창원</v>
      </c>
      <c r="H16" s="74"/>
      <c r="I16" s="75" t="s">
        <v>26</v>
      </c>
      <c r="J16" s="45">
        <f>+IFERROR(HLOOKUP($B16,'[1]4월누계'!$D$6:$BN$259,2,),)/1000</f>
        <v>38</v>
      </c>
      <c r="K16" s="46">
        <f>+IFERROR(HLOOKUP($B16,'[2]4월누계'!$F$6:$CP$99,2,),)/1000</f>
        <v>43.261000000000003</v>
      </c>
      <c r="L16" s="47">
        <f t="shared" si="0"/>
        <v>5.2610000000000028</v>
      </c>
      <c r="M16" s="48">
        <f>+IFERROR(HLOOKUP($B16,'[3]4월누계'!$F$6:$CC$57,2,),)/1000</f>
        <v>70.602500000000006</v>
      </c>
      <c r="N16" s="49">
        <f t="shared" si="2"/>
        <v>-27.341500000000003</v>
      </c>
      <c r="O16" s="45">
        <f>+IFERROR(HLOOKUP($B16,'[1]4월누계'!$D$6:$BN$259,3,),)/1000</f>
        <v>3800.0101299060007</v>
      </c>
      <c r="P16" s="46">
        <f>+IFERROR(HLOOKUP($B16,'[2]4월누계'!$F$6:$CP$99,3,),)/1000</f>
        <v>4266.6756299999997</v>
      </c>
      <c r="Q16" s="47">
        <f t="shared" si="3"/>
        <v>466.66550009399907</v>
      </c>
      <c r="R16" s="48">
        <f>+IFERROR(HLOOKUP($B16,'[3]4월누계'!$F$6:$CC$57,3,),)/1000</f>
        <v>7271.7708499999999</v>
      </c>
      <c r="S16" s="49">
        <f t="shared" si="4"/>
        <v>-3005.0952200000002</v>
      </c>
      <c r="T16" s="45">
        <f>+IFERROR(HLOOKUP($B16,'[1]4월누계'!$D$6:$BN$259,16,),)/1000</f>
        <v>162.18132037641155</v>
      </c>
      <c r="U16" s="46">
        <f>+IFERROR(HLOOKUP($B16,'[2]4월누계'!$F$6:$CP$99,16,),)/1000</f>
        <v>332.12888100000038</v>
      </c>
      <c r="V16" s="47">
        <f t="shared" si="5"/>
        <v>169.94756062358883</v>
      </c>
      <c r="W16" s="48">
        <f>+IFERROR(HLOOKUP($B16,'[3]4월누계'!$F$6:$CC$57,16,),)/1000</f>
        <v>1193.0863290000002</v>
      </c>
      <c r="X16" s="49">
        <f t="shared" si="6"/>
        <v>-860.95744799999989</v>
      </c>
      <c r="Y16" s="45">
        <f>+[9]창원!$Q$85</f>
        <v>100000.2665764737</v>
      </c>
      <c r="Z16" s="46">
        <f>+[9]창원!$R$85</f>
        <v>98626.375488315112</v>
      </c>
      <c r="AA16" s="50">
        <f>+[10]창원!$Q$85</f>
        <v>102995.93994546935</v>
      </c>
      <c r="AB16" s="51">
        <f>+[9]창원!$Q$89</f>
        <v>75802.288394739749</v>
      </c>
      <c r="AC16" s="46">
        <f>+[9]창원!$R$89</f>
        <v>74300.810730218902</v>
      </c>
      <c r="AD16" s="52">
        <f>+[10]창원!$Q$89</f>
        <v>75262.614669999355</v>
      </c>
      <c r="AE16" s="51">
        <f t="shared" si="7"/>
        <v>24197.978181733954</v>
      </c>
      <c r="AF16" s="46">
        <f t="shared" si="7"/>
        <v>24325.56475809621</v>
      </c>
      <c r="AG16" s="52">
        <f t="shared" si="7"/>
        <v>27733.325275469993</v>
      </c>
      <c r="AH16" s="17"/>
      <c r="AI16" s="729"/>
      <c r="AJ16" s="730"/>
    </row>
    <row r="17" spans="2:38" s="8" customFormat="1" ht="22.5" customHeight="1">
      <c r="B17" s="8" t="s">
        <v>70</v>
      </c>
      <c r="G17" s="334" t="str">
        <f t="shared" si="1"/>
        <v>대구</v>
      </c>
      <c r="H17" s="74"/>
      <c r="I17" s="75" t="s">
        <v>70</v>
      </c>
      <c r="J17" s="45">
        <f>+IFERROR(HLOOKUP($B17,'[1]4월누계'!$D$6:$BN$259,2,),)/1000</f>
        <v>46</v>
      </c>
      <c r="K17" s="46">
        <f>+IFERROR(HLOOKUP($B17,'[2]4월누계'!$F$6:$CP$99,2,),)/1000</f>
        <v>41.921500000000002</v>
      </c>
      <c r="L17" s="47">
        <f t="shared" si="0"/>
        <v>-4.0784999999999982</v>
      </c>
      <c r="M17" s="48">
        <f>+IFERROR(HLOOKUP($B17,'[3]4월누계'!$F$6:$CC$57,2,),)/1000</f>
        <v>61.982500000000002</v>
      </c>
      <c r="N17" s="49">
        <f t="shared" si="2"/>
        <v>-20.061</v>
      </c>
      <c r="O17" s="45">
        <f>+IFERROR(HLOOKUP($B17,'[1]4월누계'!$D$6:$BN$259,3,),)/1000</f>
        <v>4487.9162799330952</v>
      </c>
      <c r="P17" s="46">
        <f>+IFERROR(HLOOKUP($B17,'[2]4월누계'!$F$6:$CP$99,3,),)/1000</f>
        <v>3851.6995790000001</v>
      </c>
      <c r="Q17" s="47">
        <f t="shared" si="3"/>
        <v>-636.21670093309513</v>
      </c>
      <c r="R17" s="48">
        <f>+IFERROR(HLOOKUP($B17,'[3]4월누계'!$F$6:$CC$57,3,),)/1000</f>
        <v>6243.7076420000003</v>
      </c>
      <c r="S17" s="49">
        <f t="shared" si="4"/>
        <v>-2392.0080630000002</v>
      </c>
      <c r="T17" s="45">
        <f>+IFERROR(HLOOKUP($B17,'[1]4월누계'!$D$6:$BN$259,16,),)/1000</f>
        <v>335.67678495587666</v>
      </c>
      <c r="U17" s="46">
        <f>+IFERROR(HLOOKUP($B17,'[2]4월누계'!$F$6:$CP$99,16,),)/1000</f>
        <v>61.169039999999683</v>
      </c>
      <c r="V17" s="47">
        <f t="shared" si="5"/>
        <v>-274.507744955877</v>
      </c>
      <c r="W17" s="48">
        <f>+IFERROR(HLOOKUP($B17,'[3]4월누계'!$F$6:$CC$57,16,),)/1000</f>
        <v>907.73586000000046</v>
      </c>
      <c r="X17" s="49">
        <f t="shared" si="6"/>
        <v>-846.5668200000008</v>
      </c>
      <c r="Y17" s="45">
        <f>+[9]대구!$Q$85</f>
        <v>97563.397389849895</v>
      </c>
      <c r="Z17" s="46">
        <f>+[9]대구!$R$85</f>
        <v>91878.85879560608</v>
      </c>
      <c r="AA17" s="50">
        <f>+[10]대구!$Q$85</f>
        <v>100733.3947807849</v>
      </c>
      <c r="AB17" s="51">
        <f>+[9]대구!$Q$89</f>
        <v>73789.665063000037</v>
      </c>
      <c r="AC17" s="46">
        <f>+[9]대구!$R$89</f>
        <v>74846.670992211642</v>
      </c>
      <c r="AD17" s="52">
        <f>+[10]대구!$Q$89</f>
        <v>75016.613500891282</v>
      </c>
      <c r="AE17" s="51">
        <f t="shared" si="7"/>
        <v>23773.732326849859</v>
      </c>
      <c r="AF17" s="46">
        <f t="shared" si="7"/>
        <v>17032.187803394438</v>
      </c>
      <c r="AG17" s="52">
        <f t="shared" si="7"/>
        <v>25716.781279893621</v>
      </c>
      <c r="AH17" s="17"/>
      <c r="AI17" s="729"/>
      <c r="AJ17" s="730"/>
    </row>
    <row r="18" spans="2:38" s="8" customFormat="1" ht="22.5" customHeight="1">
      <c r="B18" s="8" t="s">
        <v>71</v>
      </c>
      <c r="G18" s="336" t="str">
        <f t="shared" si="1"/>
        <v>울산</v>
      </c>
      <c r="H18" s="74"/>
      <c r="I18" s="77" t="s">
        <v>71</v>
      </c>
      <c r="J18" s="9">
        <f>+IFERROR(HLOOKUP($B18,'[1]4월누계'!$D$6:$BN$259,2,),)/1000</f>
        <v>42</v>
      </c>
      <c r="K18" s="10">
        <f>+IFERROR(HLOOKUP($B18,'[2]4월누계'!$F$6:$CP$99,2,),)/1000</f>
        <v>44.811</v>
      </c>
      <c r="L18" s="11">
        <f t="shared" si="0"/>
        <v>2.8109999999999999</v>
      </c>
      <c r="M18" s="12">
        <f>+IFERROR(HLOOKUP($B18,'[3]4월누계'!$F$6:$CC$57,2,),)/1000</f>
        <v>28.464500000000001</v>
      </c>
      <c r="N18" s="13">
        <f t="shared" si="2"/>
        <v>16.346499999999999</v>
      </c>
      <c r="O18" s="9">
        <f>+IFERROR(HLOOKUP($B18,'[1]4월누계'!$D$6:$BN$259,3,),)/1000</f>
        <v>4276.0919999999996</v>
      </c>
      <c r="P18" s="10">
        <f>+IFERROR(HLOOKUP($B18,'[2]4월누계'!$F$6:$CP$99,3,),)/1000</f>
        <v>4723.1275999999998</v>
      </c>
      <c r="Q18" s="11">
        <f t="shared" si="3"/>
        <v>447.03560000000016</v>
      </c>
      <c r="R18" s="12">
        <f>+IFERROR(HLOOKUP($B18,'[3]4월누계'!$F$6:$CC$57,3,),)/1000</f>
        <v>2936.2033919999999</v>
      </c>
      <c r="S18" s="13">
        <f t="shared" si="4"/>
        <v>1786.9242079999999</v>
      </c>
      <c r="T18" s="9">
        <f>+IFERROR(HLOOKUP($B18,'[1]4월누계'!$D$6:$BN$259,16,),)/1000</f>
        <v>199.37463338262816</v>
      </c>
      <c r="U18" s="10">
        <f>+IFERROR(HLOOKUP($B18,'[2]4월누계'!$F$6:$CP$99,16,),)/1000</f>
        <v>419.25622299999964</v>
      </c>
      <c r="V18" s="11">
        <f t="shared" si="5"/>
        <v>219.88158961737147</v>
      </c>
      <c r="W18" s="12">
        <f>+IFERROR(HLOOKUP($B18,'[3]4월누계'!$F$6:$CC$57,16,),)/1000</f>
        <v>95.296588000000085</v>
      </c>
      <c r="X18" s="13">
        <f t="shared" si="6"/>
        <v>323.95963499999954</v>
      </c>
      <c r="Y18" s="9">
        <f>+[9]울산!$Q$85</f>
        <v>101811.71428571429</v>
      </c>
      <c r="Z18" s="10">
        <f>+[9]울산!$R$85</f>
        <v>105401.07562875186</v>
      </c>
      <c r="AA18" s="14">
        <f>+[10]울산!$Q$85</f>
        <v>103153.16945669167</v>
      </c>
      <c r="AB18" s="15">
        <f>+[9]울산!$Q$89</f>
        <v>82149.681856165029</v>
      </c>
      <c r="AC18" s="10">
        <f>+[9]울산!$R$89</f>
        <v>83489.311687732654</v>
      </c>
      <c r="AD18" s="16">
        <f>+[10]울산!$Q$89</f>
        <v>82047.019108280263</v>
      </c>
      <c r="AE18" s="15">
        <f t="shared" si="7"/>
        <v>19662.032429549261</v>
      </c>
      <c r="AF18" s="10">
        <f t="shared" si="7"/>
        <v>21911.763941019206</v>
      </c>
      <c r="AG18" s="16">
        <f t="shared" si="7"/>
        <v>21106.150348411407</v>
      </c>
      <c r="AH18" s="17"/>
      <c r="AI18" s="729"/>
      <c r="AJ18" s="730"/>
    </row>
    <row r="19" spans="2:38" s="8" customFormat="1" ht="22.5" customHeight="1">
      <c r="B19" s="8" t="s">
        <v>76</v>
      </c>
      <c r="G19" s="336" t="str">
        <f t="shared" si="1"/>
        <v>아산</v>
      </c>
      <c r="H19" s="74"/>
      <c r="I19" s="75" t="s">
        <v>27</v>
      </c>
      <c r="J19" s="45">
        <f>+IFERROR(HLOOKUP($B19,'[1]4월누계'!$D$6:$BN$259,2,),)/1000</f>
        <v>79</v>
      </c>
      <c r="K19" s="46">
        <f>+IFERROR(HLOOKUP($B19,'[2]4월누계'!$F$6:$CP$99,2,),)/1000</f>
        <v>81.34</v>
      </c>
      <c r="L19" s="47">
        <f t="shared" si="0"/>
        <v>2.3400000000000034</v>
      </c>
      <c r="M19" s="48">
        <f>+IFERROR(HLOOKUP($B19,'[3]4월누계'!$F$6:$CC$57,2,),)/1000</f>
        <v>98.311000000000007</v>
      </c>
      <c r="N19" s="49">
        <f t="shared" si="2"/>
        <v>-16.971000000000004</v>
      </c>
      <c r="O19" s="45">
        <f>+IFERROR(HLOOKUP($B19,'[1]4월누계'!$D$6:$BN$259,3,),)/1000</f>
        <v>8137</v>
      </c>
      <c r="P19" s="46">
        <f>+IFERROR(HLOOKUP($B19,'[2]4월누계'!$F$6:$CP$99,3,),)/1000</f>
        <v>8067.0730510000012</v>
      </c>
      <c r="Q19" s="47">
        <f t="shared" si="3"/>
        <v>-69.926948999998785</v>
      </c>
      <c r="R19" s="48">
        <f>+IFERROR(HLOOKUP($B19,'[3]4월누계'!$F$6:$CC$57,3,),)/1000</f>
        <v>9986.3714509999991</v>
      </c>
      <c r="S19" s="49">
        <f t="shared" si="4"/>
        <v>-1919.2983999999979</v>
      </c>
      <c r="T19" s="45">
        <f>+IFERROR(HLOOKUP($B19,'[1]4월누계'!$D$6:$BN$259,16,),)/1000</f>
        <v>833.39268092772738</v>
      </c>
      <c r="U19" s="46">
        <f>+IFERROR(HLOOKUP($B19,'[2]4월누계'!$F$6:$CP$99,16,),)/1000</f>
        <v>357.75960800000058</v>
      </c>
      <c r="V19" s="47">
        <f t="shared" si="5"/>
        <v>-475.6330729277268</v>
      </c>
      <c r="W19" s="48">
        <f>+IFERROR(HLOOKUP($B19,'[3]4월누계'!$F$6:$CC$57,16,),)/1000</f>
        <v>1119.1053419999998</v>
      </c>
      <c r="X19" s="49">
        <f t="shared" si="6"/>
        <v>-761.34573399999931</v>
      </c>
      <c r="Y19" s="45">
        <f>+[9]아산!$Q$85</f>
        <v>103000</v>
      </c>
      <c r="Z19" s="46">
        <f>+[9]아산!$R$85</f>
        <v>99154.798016997171</v>
      </c>
      <c r="AA19" s="50">
        <f>+[10]아산!$Q$85</f>
        <v>101478.36042159382</v>
      </c>
      <c r="AB19" s="51">
        <f>+[9]아산!$Q$89</f>
        <v>79359.056432094163</v>
      </c>
      <c r="AC19" s="46">
        <f>+[9]아산!$R$89</f>
        <v>82952.716250430152</v>
      </c>
      <c r="AD19" s="52">
        <f>+[10]아산!$Q$89</f>
        <v>79552.634299050042</v>
      </c>
      <c r="AE19" s="51">
        <f t="shared" si="7"/>
        <v>23640.943567905837</v>
      </c>
      <c r="AF19" s="46">
        <f t="shared" si="7"/>
        <v>16202.081766567018</v>
      </c>
      <c r="AG19" s="52">
        <f t="shared" si="7"/>
        <v>21925.726122543783</v>
      </c>
      <c r="AH19" s="17"/>
      <c r="AI19" s="729"/>
      <c r="AJ19" s="730"/>
    </row>
    <row r="20" spans="2:38" s="8" customFormat="1" ht="22.5" customHeight="1">
      <c r="B20" s="8" t="s">
        <v>72</v>
      </c>
      <c r="G20" s="336" t="str">
        <f t="shared" si="1"/>
        <v>전주</v>
      </c>
      <c r="H20" s="74"/>
      <c r="I20" s="75" t="s">
        <v>72</v>
      </c>
      <c r="J20" s="45">
        <f>+IFERROR(HLOOKUP($B20,'[1]4월누계'!$D$6:$BN$259,2,),)/1000</f>
        <v>35</v>
      </c>
      <c r="K20" s="46">
        <f>+IFERROR(HLOOKUP($B20,'[2]4월누계'!$F$6:$CP$99,2,),)/1000</f>
        <v>60.048000000000002</v>
      </c>
      <c r="L20" s="47">
        <f t="shared" si="0"/>
        <v>25.048000000000002</v>
      </c>
      <c r="M20" s="48">
        <f>+IFERROR(HLOOKUP($B20,'[3]4월누계'!$F$6:$CC$57,2,),)/1000</f>
        <v>25.734999999999999</v>
      </c>
      <c r="N20" s="49">
        <f t="shared" si="2"/>
        <v>34.313000000000002</v>
      </c>
      <c r="O20" s="45">
        <f>+IFERROR(HLOOKUP($B20,'[1]4월누계'!$D$6:$BN$259,3,),)/1000</f>
        <v>3394.24773</v>
      </c>
      <c r="P20" s="46">
        <f>+IFERROR(HLOOKUP($B20,'[2]4월누계'!$F$6:$CP$99,3,),)/1000</f>
        <v>5832.2443960000001</v>
      </c>
      <c r="Q20" s="47">
        <f t="shared" si="3"/>
        <v>2437.996666</v>
      </c>
      <c r="R20" s="48">
        <f>+IFERROR(HLOOKUP($B20,'[3]4월누계'!$F$6:$CC$57,3,),)/1000</f>
        <v>2477.4563480000002</v>
      </c>
      <c r="S20" s="49">
        <f t="shared" si="4"/>
        <v>3354.7880479999999</v>
      </c>
      <c r="T20" s="45">
        <f>+IFERROR(HLOOKUP($B20,'[1]4월누계'!$D$6:$BN$259,16,),)/1000</f>
        <v>203.73372291863032</v>
      </c>
      <c r="U20" s="46">
        <f>+IFERROR(HLOOKUP($B20,'[2]4월누계'!$F$6:$CP$99,16,),)/1000</f>
        <v>686.34031599999958</v>
      </c>
      <c r="V20" s="47">
        <f t="shared" si="5"/>
        <v>482.60659308136928</v>
      </c>
      <c r="W20" s="48">
        <f>+IFERROR(HLOOKUP($B20,'[3]4월누계'!$F$6:$CC$57,16,),)/1000</f>
        <v>52.556105999999808</v>
      </c>
      <c r="X20" s="49">
        <f t="shared" si="6"/>
        <v>633.7842099999998</v>
      </c>
      <c r="Y20" s="45">
        <f>+[9]전주!$Q$85</f>
        <v>96978.506571428574</v>
      </c>
      <c r="Z20" s="46">
        <f>+[9]전주!$R$85</f>
        <v>97128.152836716821</v>
      </c>
      <c r="AA20" s="50">
        <f>+[10]전주!$Q$85</f>
        <v>96272.833495466737</v>
      </c>
      <c r="AB20" s="51">
        <f>+[9]전주!$Q$89</f>
        <v>73463.965027721686</v>
      </c>
      <c r="AC20" s="46">
        <f>+[9]전주!$R$89</f>
        <v>75272.977245648683</v>
      </c>
      <c r="AD20" s="52">
        <f>+[10]전주!$Q$89</f>
        <v>71946.768216300319</v>
      </c>
      <c r="AE20" s="51">
        <f t="shared" si="7"/>
        <v>23514.541543706888</v>
      </c>
      <c r="AF20" s="46">
        <f t="shared" si="7"/>
        <v>21855.175591068139</v>
      </c>
      <c r="AG20" s="52">
        <f t="shared" si="7"/>
        <v>24326.065279166418</v>
      </c>
      <c r="AH20" s="17"/>
      <c r="AI20" s="729"/>
      <c r="AJ20" s="730"/>
    </row>
    <row r="21" spans="2:38" s="8" customFormat="1" ht="22.5" customHeight="1">
      <c r="B21" s="8" t="s">
        <v>73</v>
      </c>
      <c r="G21" s="336" t="str">
        <f t="shared" si="1"/>
        <v>군산</v>
      </c>
      <c r="H21" s="74"/>
      <c r="I21" s="75" t="s">
        <v>73</v>
      </c>
      <c r="J21" s="45">
        <f>+IFERROR(HLOOKUP($B21,'[1]4월누계'!$D$6:$BN$259,2,),)/1000</f>
        <v>25.5</v>
      </c>
      <c r="K21" s="46">
        <f>+IFERROR(HLOOKUP($B21,'[2]4월누계'!$F$6:$CP$99,2,),)/1000</f>
        <v>19.001999999999999</v>
      </c>
      <c r="L21" s="47">
        <f t="shared" si="0"/>
        <v>-6.4980000000000011</v>
      </c>
      <c r="M21" s="48">
        <f>+IFERROR(HLOOKUP($B21,'[3]4월누계'!$F$6:$CC$57,2,),)/1000</f>
        <v>32.875</v>
      </c>
      <c r="N21" s="49">
        <f t="shared" si="2"/>
        <v>-13.873000000000001</v>
      </c>
      <c r="O21" s="45">
        <f>+IFERROR(HLOOKUP($B21,'[1]4월누계'!$D$6:$BN$259,3,),)/1000</f>
        <v>2817.9150439999999</v>
      </c>
      <c r="P21" s="46">
        <f>+IFERROR(HLOOKUP($B21,'[2]4월누계'!$F$6:$CP$99,3,),)/1000</f>
        <v>2081.4382770000002</v>
      </c>
      <c r="Q21" s="47">
        <f t="shared" si="3"/>
        <v>-736.47676699999965</v>
      </c>
      <c r="R21" s="48">
        <f>+IFERROR(HLOOKUP($B21,'[3]4월누계'!$F$6:$CC$57,3,),)/1000</f>
        <v>3584.0588900000002</v>
      </c>
      <c r="S21" s="49">
        <f t="shared" si="4"/>
        <v>-1502.620613</v>
      </c>
      <c r="T21" s="45">
        <f>+IFERROR(HLOOKUP($B21,'[1]4월누계'!$D$6:$BN$259,16,),)/1000</f>
        <v>616.97770143474474</v>
      </c>
      <c r="U21" s="46">
        <f>+IFERROR(HLOOKUP($B21,'[2]4월누계'!$F$6:$CP$99,16,),)/1000</f>
        <v>373.77420199999983</v>
      </c>
      <c r="V21" s="47">
        <f t="shared" si="5"/>
        <v>-243.20349943474491</v>
      </c>
      <c r="W21" s="48">
        <f>+IFERROR(HLOOKUP($B21,'[3]4월누계'!$F$6:$CC$57,16,),)/1000</f>
        <v>968.94532500000014</v>
      </c>
      <c r="X21" s="49">
        <f t="shared" si="6"/>
        <v>-595.17112300000031</v>
      </c>
      <c r="Y21" s="45">
        <f>+[9]군산!$Q$85</f>
        <v>110506.47231372548</v>
      </c>
      <c r="Z21" s="46">
        <f>+[9]군산!$R$85</f>
        <v>109537.85269971582</v>
      </c>
      <c r="AA21" s="50">
        <f>+[10]군산!$Q$85</f>
        <v>109033.50568233752</v>
      </c>
      <c r="AB21" s="51">
        <f>+[9]군산!$Q$89</f>
        <v>73076.889477504548</v>
      </c>
      <c r="AC21" s="46">
        <f>+[9]군산!$R$89</f>
        <v>72378.669350594675</v>
      </c>
      <c r="AD21" s="52">
        <f>+[10]군산!$Q$89</f>
        <v>69903.816915998905</v>
      </c>
      <c r="AE21" s="51">
        <f t="shared" si="7"/>
        <v>37429.582836220929</v>
      </c>
      <c r="AF21" s="46">
        <f t="shared" si="7"/>
        <v>37159.183349121144</v>
      </c>
      <c r="AG21" s="52">
        <f t="shared" si="7"/>
        <v>39129.688766338615</v>
      </c>
      <c r="AH21" s="17"/>
      <c r="AI21" s="729"/>
      <c r="AJ21" s="730"/>
    </row>
    <row r="22" spans="2:38" s="8" customFormat="1" ht="22.5" customHeight="1">
      <c r="B22" s="8" t="s">
        <v>74</v>
      </c>
      <c r="G22" s="336" t="str">
        <f t="shared" si="1"/>
        <v>원주</v>
      </c>
      <c r="H22" s="74"/>
      <c r="I22" s="75" t="s">
        <v>74</v>
      </c>
      <c r="J22" s="45">
        <f>+IFERROR(HLOOKUP($B22,'[1]4월누계'!$D$6:$BN$259,2,),)/1000</f>
        <v>13</v>
      </c>
      <c r="K22" s="46">
        <f>+IFERROR(HLOOKUP($B22,'[2]4월누계'!$F$6:$CP$99,2,),)/1000</f>
        <v>8.4380000000000006</v>
      </c>
      <c r="L22" s="47">
        <f t="shared" si="0"/>
        <v>-4.5619999999999994</v>
      </c>
      <c r="M22" s="48">
        <f>+IFERROR(HLOOKUP($B22,'[3]4월누계'!$F$6:$CC$57,2,),)/1000</f>
        <v>20.073499999999999</v>
      </c>
      <c r="N22" s="49">
        <f t="shared" si="2"/>
        <v>-11.635499999999999</v>
      </c>
      <c r="O22" s="45">
        <f>+IFERROR(HLOOKUP($B22,'[1]4월누계'!$D$6:$BN$259,3,),)/1000</f>
        <v>1456</v>
      </c>
      <c r="P22" s="46">
        <f>+IFERROR(HLOOKUP($B22,'[2]4월누계'!$F$6:$CP$99,3,),)/1000</f>
        <v>906.76150399999995</v>
      </c>
      <c r="Q22" s="47">
        <f t="shared" si="3"/>
        <v>-549.23849600000005</v>
      </c>
      <c r="R22" s="48">
        <f>+IFERROR(HLOOKUP($B22,'[3]4월누계'!$F$6:$CC$57,3,),)/1000</f>
        <v>2234.6113450000003</v>
      </c>
      <c r="S22" s="49">
        <f t="shared" si="4"/>
        <v>-1327.8498410000002</v>
      </c>
      <c r="T22" s="45">
        <f>+IFERROR(HLOOKUP($B22,'[1]4월누계'!$D$6:$BN$259,16,),)/1000</f>
        <v>106.71072758737405</v>
      </c>
      <c r="U22" s="46">
        <f>+IFERROR(HLOOKUP($B22,'[2]4월누계'!$F$6:$CP$99,16,),)/1000</f>
        <v>-61.959749000000159</v>
      </c>
      <c r="V22" s="47">
        <f t="shared" si="5"/>
        <v>-168.6704765873742</v>
      </c>
      <c r="W22" s="48">
        <f>+IFERROR(HLOOKUP($B22,'[3]4월누계'!$F$6:$CC$57,16,),)/1000</f>
        <v>405.84467300000023</v>
      </c>
      <c r="X22" s="49">
        <f t="shared" si="6"/>
        <v>-467.80442200000039</v>
      </c>
      <c r="Y22" s="45">
        <f>+[9]원주!$Q$85</f>
        <v>112000</v>
      </c>
      <c r="Z22" s="46">
        <f>+[9]원주!$R$85</f>
        <v>107461.6620052145</v>
      </c>
      <c r="AA22" s="50">
        <f>+[10]원주!$Q$85</f>
        <v>111334.87911978245</v>
      </c>
      <c r="AB22" s="51">
        <f>+[9]원주!$Q$89</f>
        <v>74232.239872050952</v>
      </c>
      <c r="AC22" s="46">
        <f>+[9]원주!$R$89</f>
        <v>73849.071225408872</v>
      </c>
      <c r="AD22" s="52">
        <f>+[10]원주!$Q$89</f>
        <v>73474.145854644361</v>
      </c>
      <c r="AE22" s="51">
        <f t="shared" si="7"/>
        <v>37767.760127949048</v>
      </c>
      <c r="AF22" s="46">
        <f t="shared" si="7"/>
        <v>33612.590779805629</v>
      </c>
      <c r="AG22" s="52">
        <f t="shared" si="7"/>
        <v>37860.733265138086</v>
      </c>
      <c r="AH22" s="17"/>
      <c r="AI22" s="729"/>
      <c r="AJ22" s="730"/>
    </row>
    <row r="23" spans="2:38" s="8" customFormat="1" ht="22.5" customHeight="1">
      <c r="B23" s="8" t="s">
        <v>75</v>
      </c>
      <c r="G23" s="334" t="str">
        <f t="shared" si="1"/>
        <v>제주</v>
      </c>
      <c r="H23" s="74"/>
      <c r="I23" s="75" t="s">
        <v>75</v>
      </c>
      <c r="J23" s="45">
        <f>+IFERROR(HLOOKUP($B23,'[1]4월누계'!$D$6:$BN$259,2,),)/1000</f>
        <v>29</v>
      </c>
      <c r="K23" s="46">
        <f>+IFERROR(HLOOKUP($B23,'[2]4월누계'!$F$6:$CP$99,2,),)/1000</f>
        <v>23.994499999999999</v>
      </c>
      <c r="L23" s="47">
        <f t="shared" si="0"/>
        <v>-5.0055000000000014</v>
      </c>
      <c r="M23" s="48">
        <f>+IFERROR(HLOOKUP($B23,'[3]4월누계'!$F$6:$CC$57,2,),)/1000</f>
        <v>13.064</v>
      </c>
      <c r="N23" s="49">
        <f t="shared" si="2"/>
        <v>10.930499999999999</v>
      </c>
      <c r="O23" s="45">
        <f>+IFERROR(HLOOKUP($B23,'[1]4월누계'!$D$6:$BN$259,3,),)/1000</f>
        <v>3560.1804999999999</v>
      </c>
      <c r="P23" s="46">
        <f>+IFERROR(HLOOKUP($B23,'[2]4월누계'!$F$6:$CP$99,3,),)/1000</f>
        <v>2928.0382960000002</v>
      </c>
      <c r="Q23" s="47">
        <f t="shared" si="3"/>
        <v>-632.14220399999977</v>
      </c>
      <c r="R23" s="48">
        <f>+IFERROR(HLOOKUP($B23,'[3]4월누계'!$F$6:$CC$57,3,),)/1000</f>
        <v>1682.0056380000001</v>
      </c>
      <c r="S23" s="49">
        <f t="shared" si="4"/>
        <v>1246.0326580000001</v>
      </c>
      <c r="T23" s="45">
        <f>+IFERROR(HLOOKUP($B23,'[1]4월누계'!$D$6:$BN$259,16,),)/1000</f>
        <v>531.71021040996413</v>
      </c>
      <c r="U23" s="46">
        <f>+IFERROR(HLOOKUP($B23,'[2]4월누계'!$F$6:$CP$99,16,),)/1000</f>
        <v>355.76526199999995</v>
      </c>
      <c r="V23" s="47">
        <f t="shared" si="5"/>
        <v>-175.94494840996418</v>
      </c>
      <c r="W23" s="48">
        <f>+IFERROR(HLOOKUP($B23,'[3]4월누계'!$F$6:$CC$57,16,),)/1000</f>
        <v>176.97762700000004</v>
      </c>
      <c r="X23" s="49">
        <f t="shared" si="6"/>
        <v>178.78763499999991</v>
      </c>
      <c r="Y23" s="45">
        <f>+[9]제주!$Q$85</f>
        <v>122764.8448275862</v>
      </c>
      <c r="Z23" s="46">
        <f>+[9]제주!$R$85</f>
        <v>121628.83989398679</v>
      </c>
      <c r="AA23" s="50">
        <f>+[10]제주!$Q$85</f>
        <v>128751.19703000612</v>
      </c>
      <c r="AB23" s="51">
        <f>+[9]제주!$Q$89</f>
        <v>90694.676229846023</v>
      </c>
      <c r="AC23" s="46">
        <f>+[9]제주!$R$89</f>
        <v>90280.53501911716</v>
      </c>
      <c r="AD23" s="52">
        <f>+[10]제주!$Q$89</f>
        <v>88808.506152082555</v>
      </c>
      <c r="AE23" s="51">
        <f t="shared" si="7"/>
        <v>32070.168597740179</v>
      </c>
      <c r="AF23" s="46">
        <f t="shared" si="7"/>
        <v>31348.304874869631</v>
      </c>
      <c r="AG23" s="52">
        <f t="shared" si="7"/>
        <v>39942.690877923567</v>
      </c>
      <c r="AH23" s="17"/>
      <c r="AI23" s="729"/>
      <c r="AJ23" s="730"/>
    </row>
    <row r="24" spans="2:38" s="8" customFormat="1" ht="22.5" customHeight="1">
      <c r="F24" s="731">
        <f>+K24/J24</f>
        <v>0.87672972972972985</v>
      </c>
      <c r="G24" s="337" t="str">
        <f t="shared" si="1"/>
        <v>수도권</v>
      </c>
      <c r="H24" s="74"/>
      <c r="I24" s="78" t="s">
        <v>42</v>
      </c>
      <c r="J24" s="22">
        <f>SUM(J7:J10)</f>
        <v>370</v>
      </c>
      <c r="K24" s="19">
        <f>SUM(K7:K10)</f>
        <v>324.39000000000004</v>
      </c>
      <c r="L24" s="20">
        <f t="shared" si="0"/>
        <v>-45.609999999999957</v>
      </c>
      <c r="M24" s="24">
        <f>SUM(M7:M10)</f>
        <v>420.38350000000003</v>
      </c>
      <c r="N24" s="21">
        <f t="shared" si="2"/>
        <v>-95.993499999999983</v>
      </c>
      <c r="O24" s="22">
        <f>SUM(O7:O10)</f>
        <v>36009.212874780897</v>
      </c>
      <c r="P24" s="19">
        <f>SUM(P7:P10)</f>
        <v>31146.835737999998</v>
      </c>
      <c r="Q24" s="20">
        <f t="shared" si="3"/>
        <v>-4862.3771367808986</v>
      </c>
      <c r="R24" s="24">
        <f>SUM(R7:R10)</f>
        <v>41921.323317000002</v>
      </c>
      <c r="S24" s="21">
        <f t="shared" si="4"/>
        <v>-10774.487579000004</v>
      </c>
      <c r="T24" s="22">
        <f>SUM(T7:T10)</f>
        <v>1750.9703643861117</v>
      </c>
      <c r="U24" s="19">
        <f>SUM(U7:U10)</f>
        <v>645.89535400000204</v>
      </c>
      <c r="V24" s="20">
        <f t="shared" si="5"/>
        <v>-1105.0750103861096</v>
      </c>
      <c r="W24" s="24">
        <f>SUM(W7:W10)</f>
        <v>3724.0579969999981</v>
      </c>
      <c r="X24" s="21">
        <f t="shared" si="6"/>
        <v>-3078.162642999996</v>
      </c>
      <c r="Y24" s="22">
        <f>+[9]수도권!$Q$85</f>
        <v>97322.19695886728</v>
      </c>
      <c r="Z24" s="19">
        <f>+[9]수도권!$R$85</f>
        <v>96029.099317575528</v>
      </c>
      <c r="AA24" s="23">
        <f>+[10]수도권!$Q$85</f>
        <v>99728.341364175052</v>
      </c>
      <c r="AB24" s="28">
        <f>+[9]수도권!$Q$89</f>
        <v>81392.370550567197</v>
      </c>
      <c r="AC24" s="19">
        <f>+[9]수도권!$R$89</f>
        <v>81690.858551438243</v>
      </c>
      <c r="AD24" s="29">
        <f>+[10]수도권!$Q$89</f>
        <v>81473.809571555641</v>
      </c>
      <c r="AE24" s="28">
        <f t="shared" si="7"/>
        <v>15929.826408300083</v>
      </c>
      <c r="AF24" s="19">
        <f t="shared" si="7"/>
        <v>14338.240766137285</v>
      </c>
      <c r="AG24" s="29">
        <f t="shared" si="7"/>
        <v>18254.531792619411</v>
      </c>
      <c r="AH24" s="17"/>
      <c r="AI24" s="729"/>
      <c r="AJ24" s="730"/>
    </row>
    <row r="25" spans="2:38" s="8" customFormat="1" ht="22.5" customHeight="1">
      <c r="F25" s="731">
        <f t="shared" ref="F25:F26" si="8">+K25/J25</f>
        <v>0.91846119733924614</v>
      </c>
      <c r="G25" s="334" t="str">
        <f t="shared" si="1"/>
        <v>영남권</v>
      </c>
      <c r="H25" s="74"/>
      <c r="I25" s="78" t="s">
        <v>43</v>
      </c>
      <c r="J25" s="22">
        <f>SUM(J11:J18)</f>
        <v>451</v>
      </c>
      <c r="K25" s="19">
        <f>SUM(K11:K18)</f>
        <v>414.226</v>
      </c>
      <c r="L25" s="20">
        <f t="shared" si="0"/>
        <v>-36.774000000000001</v>
      </c>
      <c r="M25" s="24">
        <f>SUM(M11:M18)</f>
        <v>515.52400000000011</v>
      </c>
      <c r="N25" s="21">
        <f t="shared" si="2"/>
        <v>-101.29800000000012</v>
      </c>
      <c r="O25" s="22">
        <f>SUM(O11:O18)</f>
        <v>45339.599177739095</v>
      </c>
      <c r="P25" s="19">
        <f>SUM(P11:P18)</f>
        <v>41176.170363999998</v>
      </c>
      <c r="Q25" s="20">
        <f t="shared" si="3"/>
        <v>-4163.4288137390977</v>
      </c>
      <c r="R25" s="24">
        <f>SUM(R11:R18)</f>
        <v>52450.053045000008</v>
      </c>
      <c r="S25" s="21">
        <f t="shared" si="4"/>
        <v>-11273.88268100001</v>
      </c>
      <c r="T25" s="22">
        <f>SUM(T11:T18)</f>
        <v>3311.516217404464</v>
      </c>
      <c r="U25" s="19">
        <f>SUM(U11:U18)</f>
        <v>2466.0915149999992</v>
      </c>
      <c r="V25" s="20">
        <f t="shared" si="5"/>
        <v>-845.42470240446482</v>
      </c>
      <c r="W25" s="24">
        <f>SUM(W11:W18)</f>
        <v>5901.1466730000038</v>
      </c>
      <c r="X25" s="21">
        <f t="shared" si="6"/>
        <v>-3435.0551580000047</v>
      </c>
      <c r="Y25" s="22">
        <f>+[9]영남권!$Q$85</f>
        <v>100531.26203489822</v>
      </c>
      <c r="Z25" s="19">
        <f>+[9]영남권!$R$85</f>
        <v>99408.906498250755</v>
      </c>
      <c r="AA25" s="23">
        <f>+[10]영남권!$Q$85</f>
        <v>101754.44168144187</v>
      </c>
      <c r="AB25" s="28">
        <f>+[9]영남권!$Q$89</f>
        <v>79191.333979260162</v>
      </c>
      <c r="AC25" s="19">
        <f>+[9]영남권!$R$89</f>
        <v>79437.509436927983</v>
      </c>
      <c r="AD25" s="29">
        <f>+[10]영남권!$Q$89</f>
        <v>79144.888056084397</v>
      </c>
      <c r="AE25" s="28">
        <f t="shared" si="7"/>
        <v>21339.928055638055</v>
      </c>
      <c r="AF25" s="19">
        <f t="shared" si="7"/>
        <v>19971.397061322772</v>
      </c>
      <c r="AG25" s="29">
        <f t="shared" si="7"/>
        <v>22609.553625357468</v>
      </c>
      <c r="AH25" s="17"/>
      <c r="AI25" s="729"/>
      <c r="AJ25" s="730"/>
    </row>
    <row r="26" spans="2:38" s="8" customFormat="1" ht="22.5" customHeight="1">
      <c r="F26" s="731">
        <f t="shared" si="8"/>
        <v>1.0623829201101929</v>
      </c>
      <c r="G26" s="334" t="str">
        <f t="shared" si="1"/>
        <v>중부권</v>
      </c>
      <c r="H26" s="74"/>
      <c r="I26" s="78" t="s">
        <v>106</v>
      </c>
      <c r="J26" s="22">
        <f>SUM(J19:J23)</f>
        <v>181.5</v>
      </c>
      <c r="K26" s="19">
        <f>SUM(K19:K23)</f>
        <v>192.82249999999999</v>
      </c>
      <c r="L26" s="20">
        <f t="shared" si="0"/>
        <v>11.322499999999991</v>
      </c>
      <c r="M26" s="24">
        <f>SUM(M19:M23)</f>
        <v>190.05849999999998</v>
      </c>
      <c r="N26" s="21">
        <f t="shared" si="2"/>
        <v>2.76400000000001</v>
      </c>
      <c r="O26" s="22">
        <f>SUM(O19:O23)</f>
        <v>19365.343273999999</v>
      </c>
      <c r="P26" s="19">
        <f>SUM(P19:P23)</f>
        <v>19815.555523999999</v>
      </c>
      <c r="Q26" s="20">
        <f t="shared" si="3"/>
        <v>450.21225000000049</v>
      </c>
      <c r="R26" s="24">
        <f>SUM(R19:R23)</f>
        <v>19964.503671999999</v>
      </c>
      <c r="S26" s="21">
        <f t="shared" si="4"/>
        <v>-148.94814799999949</v>
      </c>
      <c r="T26" s="22">
        <f>SUM(T19:T23)</f>
        <v>2292.5250432784405</v>
      </c>
      <c r="U26" s="19">
        <f>SUM(U19:U23)</f>
        <v>1711.6796389999997</v>
      </c>
      <c r="V26" s="20">
        <f t="shared" si="5"/>
        <v>-580.84540427844081</v>
      </c>
      <c r="W26" s="24">
        <f>SUM(W19:W23)</f>
        <v>2723.4290729999998</v>
      </c>
      <c r="X26" s="21">
        <f t="shared" si="6"/>
        <v>-1011.7494340000001</v>
      </c>
      <c r="Y26" s="22">
        <f>+[9]중부권!$Q$85</f>
        <v>106696.10619283745</v>
      </c>
      <c r="Z26" s="19">
        <f>+[9]중부권!$R$85</f>
        <v>102615.38085832004</v>
      </c>
      <c r="AA26" s="23">
        <f>+[10]중부권!$Q$85</f>
        <v>105015.16653650969</v>
      </c>
      <c r="AB26" s="28">
        <f>+[9]중부권!$Q$89</f>
        <v>78783.634406524856</v>
      </c>
      <c r="AC26" s="19">
        <f>+[9]중부권!$R$89</f>
        <v>79981.590716804669</v>
      </c>
      <c r="AD26" s="29">
        <f>+[10]중부권!$Q$89</f>
        <v>76837.745219524717</v>
      </c>
      <c r="AE26" s="28">
        <f t="shared" si="7"/>
        <v>27912.471786312599</v>
      </c>
      <c r="AF26" s="19">
        <f t="shared" si="7"/>
        <v>22633.790141515376</v>
      </c>
      <c r="AG26" s="29">
        <f t="shared" si="7"/>
        <v>28177.421316984968</v>
      </c>
      <c r="AH26" s="17"/>
      <c r="AI26" s="729"/>
      <c r="AJ26" s="730"/>
    </row>
    <row r="27" spans="2:38" s="3" customFormat="1" ht="22.5" customHeight="1">
      <c r="B27" s="25"/>
      <c r="F27" s="716">
        <f>+K27/M27</f>
        <v>0.82723501420113921</v>
      </c>
      <c r="G27" s="336">
        <f>+K27/J27</f>
        <v>0.92911571072319199</v>
      </c>
      <c r="H27" s="267" t="s">
        <v>94</v>
      </c>
      <c r="I27" s="268"/>
      <c r="J27" s="269">
        <f>SUM(J24:J26)</f>
        <v>1002.5</v>
      </c>
      <c r="K27" s="270">
        <f>SUM(K24:K26)</f>
        <v>931.43849999999998</v>
      </c>
      <c r="L27" s="271">
        <f t="shared" si="0"/>
        <v>-71.061500000000024</v>
      </c>
      <c r="M27" s="272">
        <f>SUM(M24:M26)</f>
        <v>1125.9660000000001</v>
      </c>
      <c r="N27" s="273">
        <f t="shared" si="2"/>
        <v>-194.52750000000015</v>
      </c>
      <c r="O27" s="269">
        <f>SUM(O24:O26)</f>
        <v>100714.15532651999</v>
      </c>
      <c r="P27" s="270">
        <f>SUM(P24:P26)</f>
        <v>92138.561625999995</v>
      </c>
      <c r="Q27" s="271">
        <f t="shared" si="3"/>
        <v>-8575.5937005199958</v>
      </c>
      <c r="R27" s="272">
        <f>SUM(R24:R26)</f>
        <v>114335.880034</v>
      </c>
      <c r="S27" s="273">
        <f t="shared" si="4"/>
        <v>-22197.318408000006</v>
      </c>
      <c r="T27" s="269">
        <f>SUM(T24:T26)</f>
        <v>7355.0116250690162</v>
      </c>
      <c r="U27" s="270">
        <f>SUM(U24:U26)</f>
        <v>4823.6665080000012</v>
      </c>
      <c r="V27" s="271">
        <f t="shared" si="5"/>
        <v>-2531.345117069015</v>
      </c>
      <c r="W27" s="272">
        <f>SUM(W24:W26)</f>
        <v>12348.633743000002</v>
      </c>
      <c r="X27" s="273">
        <f t="shared" si="6"/>
        <v>-7524.967235000001</v>
      </c>
      <c r="Y27" s="269">
        <f>+[9]합계!$Q$85</f>
        <v>100462.99783194013</v>
      </c>
      <c r="Z27" s="270">
        <f>+[9]합계!$R$85</f>
        <v>98896.819799018063</v>
      </c>
      <c r="AA27" s="274">
        <f>+[10]합계!$Q$85</f>
        <v>101545.60808514841</v>
      </c>
      <c r="AB27" s="275">
        <f>+[9]합계!$Q$89</f>
        <v>79929.87368891816</v>
      </c>
      <c r="AC27" s="270">
        <f>+[9]합계!$R$89</f>
        <v>80327.119045338084</v>
      </c>
      <c r="AD27" s="276">
        <f>+[10]합계!$Q$89</f>
        <v>79626.842087759753</v>
      </c>
      <c r="AE27" s="275">
        <f t="shared" si="7"/>
        <v>20533.124143021967</v>
      </c>
      <c r="AF27" s="270">
        <f t="shared" si="7"/>
        <v>18569.700753679979</v>
      </c>
      <c r="AG27" s="276">
        <f t="shared" si="7"/>
        <v>21918.765997388662</v>
      </c>
      <c r="AH27" s="26"/>
      <c r="AI27" s="729">
        <f t="shared" ref="AI27" si="9">+AF27-AE27</f>
        <v>-1963.4233893419878</v>
      </c>
      <c r="AJ27" s="730">
        <f t="shared" ref="AJ27" si="10">+AF27-AG27</f>
        <v>-3349.0652437086828</v>
      </c>
      <c r="AL27" s="25"/>
    </row>
    <row r="28" spans="2:38" s="8" customFormat="1" ht="22.5" customHeight="1">
      <c r="B28" s="8" t="s">
        <v>3</v>
      </c>
      <c r="E28" s="8" t="s">
        <v>123</v>
      </c>
      <c r="G28" s="334" t="s">
        <v>3</v>
      </c>
      <c r="H28" s="758" t="s">
        <v>3</v>
      </c>
      <c r="I28" s="759"/>
      <c r="J28" s="153">
        <f>+IFERROR(HLOOKUP($B28,'[1]4월누계'!$D$6:$BN$259,2,),)</f>
        <v>41300</v>
      </c>
      <c r="K28" s="154">
        <f>+IFERROR(HLOOKUP($E28,'[2]4월누계'!$F$6:$CP$99,2,),)</f>
        <v>45346.46</v>
      </c>
      <c r="L28" s="155">
        <f>+K28-J28</f>
        <v>4046.4599999999991</v>
      </c>
      <c r="M28" s="156">
        <f>+IFERROR(HLOOKUP($E28,'[3]4월누계'!$F$6:$CC$57,2,),)</f>
        <v>30310.545999999998</v>
      </c>
      <c r="N28" s="157">
        <f>+K28-M28</f>
        <v>15035.914000000001</v>
      </c>
      <c r="O28" s="153">
        <f>+IFERROR(HLOOKUP($B28,'[1]4월누계'!$D$6:$BN$259,3,),)/1000</f>
        <v>45208.404903013703</v>
      </c>
      <c r="P28" s="154">
        <f>+IFERROR(HLOOKUP($E28,'[2]4월누계'!$F$6:$CP$99,3,),)/1000</f>
        <v>38439.847709000001</v>
      </c>
      <c r="Q28" s="155">
        <f>+P28-O28</f>
        <v>-6768.5571940137015</v>
      </c>
      <c r="R28" s="156">
        <f>+IFERROR(HLOOKUP($E28,'[3]4월누계'!$F$6:$CC$57,3,),)/1000</f>
        <v>31755.57242</v>
      </c>
      <c r="S28" s="157">
        <f t="shared" si="4"/>
        <v>6684.2752890000011</v>
      </c>
      <c r="T28" s="153">
        <f>+IFERROR(HLOOKUP($B28,'[1]4월누계'!$D$6:$BN$259,16,),)/1000</f>
        <v>709.06884780672181</v>
      </c>
      <c r="U28" s="154">
        <f>+IFERROR(HLOOKUP($E28,'[2]4월누계'!$F$6:$CP$99,16,),)/1000</f>
        <v>-106.5829320000032</v>
      </c>
      <c r="V28" s="155">
        <f t="shared" si="5"/>
        <v>-815.65177980672502</v>
      </c>
      <c r="W28" s="156">
        <f>+IFERROR(HLOOKUP($E28,'[3]4월누계'!$F$6:$CC$57,16,),)/1000</f>
        <v>142.58456800000357</v>
      </c>
      <c r="X28" s="157">
        <f t="shared" si="6"/>
        <v>-249.16750000000678</v>
      </c>
      <c r="Y28" s="287" t="s">
        <v>109</v>
      </c>
      <c r="Z28" s="288"/>
      <c r="AA28" s="288"/>
      <c r="AB28" s="288"/>
      <c r="AC28" s="288"/>
      <c r="AD28" s="288"/>
      <c r="AE28" s="288"/>
      <c r="AF28" s="288"/>
      <c r="AG28" s="289"/>
      <c r="AH28" s="17"/>
      <c r="AI28" s="18"/>
    </row>
    <row r="29" spans="2:38" s="8" customFormat="1" ht="22.5" customHeight="1">
      <c r="B29" s="8" t="s">
        <v>115</v>
      </c>
      <c r="C29" s="73" t="s">
        <v>46</v>
      </c>
      <c r="G29" s="335" t="str">
        <f>+I29</f>
        <v>부산모래장</v>
      </c>
      <c r="H29" s="80" t="s">
        <v>1</v>
      </c>
      <c r="I29" s="75" t="s">
        <v>115</v>
      </c>
      <c r="J29" s="55">
        <f>+IFERROR(HLOOKUP($B29,'[1]4월누계'!$D$6:$BN$259,2,),)/1000</f>
        <v>68.790584415469894</v>
      </c>
      <c r="K29" s="56">
        <f>+IFERROR(HLOOKUP($C29,'[2]4월누계'!$F$6:$CP$99,2,),)/1000</f>
        <v>94.411000000000001</v>
      </c>
      <c r="L29" s="37">
        <f t="shared" si="0"/>
        <v>25.620415584530107</v>
      </c>
      <c r="M29" s="37">
        <f>+IFERROR(HLOOKUP($C29,'[3]4월누계'!$F$6:$CC$57,2,),)/1000</f>
        <v>86.685000000000002</v>
      </c>
      <c r="N29" s="57">
        <f t="shared" si="2"/>
        <v>7.7259999999999991</v>
      </c>
      <c r="O29" s="55">
        <f>+IFERROR(HLOOKUP($B29,'[1]4월누계'!$D$6:$BN$259,3,),)/1000</f>
        <v>2270.9557716914455</v>
      </c>
      <c r="P29" s="56">
        <f>+IFERROR(HLOOKUP($C29,'[2]4월누계'!$F$6:$CP$99,3,),)/1000</f>
        <v>2729.2325000000001</v>
      </c>
      <c r="Q29" s="37">
        <f t="shared" si="3"/>
        <v>458.27672830855454</v>
      </c>
      <c r="R29" s="37">
        <f>+IFERROR(HLOOKUP($C29,'[3]4월누계'!$F$6:$CC$57,3,),)/1000</f>
        <v>2636.47408</v>
      </c>
      <c r="S29" s="57">
        <f t="shared" si="4"/>
        <v>92.758420000000115</v>
      </c>
      <c r="T29" s="55">
        <f>+IFERROR(HLOOKUP($B29,'[1]4월누계'!$D$6:$BN$259,21,),)/1000</f>
        <v>426.52854977175451</v>
      </c>
      <c r="U29" s="56">
        <f>+IFERROR(HLOOKUP($C29,'[2]4월누계'!$F$6:$CP$99,21,),)/1000</f>
        <v>3.7498764290714024</v>
      </c>
      <c r="V29" s="37">
        <f t="shared" si="5"/>
        <v>-422.77867334268313</v>
      </c>
      <c r="W29" s="37">
        <f>+IFERROR(HLOOKUP($C29,'[3]4월누계'!$F$6:$CC$57,21,),)/1000</f>
        <v>194.37668699777569</v>
      </c>
      <c r="X29" s="57">
        <f t="shared" si="6"/>
        <v>-190.62681056870429</v>
      </c>
      <c r="Y29" s="733" t="s">
        <v>248</v>
      </c>
      <c r="Z29" s="229"/>
      <c r="AA29" s="229"/>
      <c r="AB29" s="341"/>
      <c r="AC29" s="229"/>
      <c r="AD29" s="229"/>
      <c r="AE29" s="229"/>
      <c r="AF29" s="229"/>
      <c r="AG29" s="50"/>
      <c r="AH29" s="17"/>
      <c r="AI29" s="18"/>
    </row>
    <row r="30" spans="2:38" s="8" customFormat="1" ht="22.5" customHeight="1">
      <c r="B30" s="8" t="s">
        <v>116</v>
      </c>
      <c r="C30" s="75" t="s">
        <v>47</v>
      </c>
      <c r="G30" s="335" t="str">
        <f>+I30</f>
        <v>서부산CR</v>
      </c>
      <c r="H30" s="79"/>
      <c r="I30" s="75" t="s">
        <v>125</v>
      </c>
      <c r="J30" s="53">
        <f>+IFERROR(HLOOKUP($B30,'[1]4월누계'!$D$6:$BN$259,2,),)/1000</f>
        <v>212.9838622236559</v>
      </c>
      <c r="K30" s="58">
        <f>+IFERROR(HLOOKUP($C30,'[2]4월누계'!$F$6:$CP$99,2,),)/1000</f>
        <v>73.477999999999994</v>
      </c>
      <c r="L30" s="47">
        <f t="shared" si="0"/>
        <v>-139.50586222365592</v>
      </c>
      <c r="M30" s="47">
        <f>+IFERROR(HLOOKUP($C30,'[3]4월누계'!$F$6:$CC$57,2,),)/1000</f>
        <v>99.713999999999999</v>
      </c>
      <c r="N30" s="59">
        <f t="shared" si="2"/>
        <v>-26.236000000000004</v>
      </c>
      <c r="O30" s="53">
        <f>+IFERROR(HLOOKUP($B30,'[1]4월누계'!$D$6:$BN$259,3,),)/1000</f>
        <v>3121.9382644451616</v>
      </c>
      <c r="P30" s="58">
        <f>+IFERROR(HLOOKUP($C30,'[2]4월누계'!$F$6:$CP$99,3,),)/1000</f>
        <v>1042.126</v>
      </c>
      <c r="Q30" s="47">
        <f t="shared" si="3"/>
        <v>-2079.8122644451614</v>
      </c>
      <c r="R30" s="47">
        <f>+IFERROR(HLOOKUP($C30,'[3]4월누계'!$F$6:$CC$57,3,),)/1000</f>
        <v>1384.3620000000001</v>
      </c>
      <c r="S30" s="59">
        <f t="shared" si="4"/>
        <v>-342.2360000000001</v>
      </c>
      <c r="T30" s="53">
        <f>+IFERROR(HLOOKUP($B30,'[1]4월누계'!$D$6:$BN$259,21,),)/1000</f>
        <v>657.82097189756655</v>
      </c>
      <c r="U30" s="58">
        <f>+IFERROR(HLOOKUP($C30,'[2]4월누계'!$F$6:$CP$99,21,),)/1000</f>
        <v>154.62181743387021</v>
      </c>
      <c r="V30" s="47">
        <f t="shared" si="5"/>
        <v>-503.19915446369635</v>
      </c>
      <c r="W30" s="47">
        <f>+IFERROR(HLOOKUP($C30,'[3]4월누계'!$F$6:$CC$57,21,),)/1000</f>
        <v>198.10859981894603</v>
      </c>
      <c r="X30" s="59">
        <f t="shared" si="6"/>
        <v>-43.486782385075827</v>
      </c>
      <c r="Y30" s="266" t="s">
        <v>249</v>
      </c>
      <c r="Z30" s="229"/>
      <c r="AA30" s="229"/>
      <c r="AB30" s="229"/>
      <c r="AC30" s="229"/>
      <c r="AD30" s="229"/>
      <c r="AE30" s="229"/>
      <c r="AF30" s="229"/>
      <c r="AG30" s="50"/>
      <c r="AH30" s="17"/>
      <c r="AI30" s="18"/>
      <c r="AJ30" s="333"/>
      <c r="AK30" s="86"/>
      <c r="AL30" s="86"/>
    </row>
    <row r="31" spans="2:38" s="8" customFormat="1" ht="22.5" customHeight="1">
      <c r="B31" s="8" t="s">
        <v>111</v>
      </c>
      <c r="C31" s="77" t="s">
        <v>111</v>
      </c>
      <c r="G31" s="335" t="str">
        <f>+I31</f>
        <v>부산CR</v>
      </c>
      <c r="H31" s="79"/>
      <c r="I31" s="77" t="s">
        <v>126</v>
      </c>
      <c r="J31" s="53">
        <f>+IFERROR(HLOOKUP($B31,'[1]4월누계'!$D$6:$BN$259,2,),)/1000</f>
        <v>46.686842166666665</v>
      </c>
      <c r="K31" s="58">
        <f>+IFERROR(HLOOKUP($C31,'[2]4월누계'!$F$6:$CP$99,2,),)/1000</f>
        <v>67.536000000000001</v>
      </c>
      <c r="L31" s="47">
        <f t="shared" si="0"/>
        <v>20.849157833333336</v>
      </c>
      <c r="M31" s="47">
        <f>+IFERROR(HLOOKUP($C31,'[3]4월누계'!$F$6:$CC$57,2,),)/1000</f>
        <v>134.661</v>
      </c>
      <c r="N31" s="59">
        <f t="shared" si="2"/>
        <v>-67.125</v>
      </c>
      <c r="O31" s="53">
        <f>+IFERROR(HLOOKUP($B31,'[1]4월누계'!$D$6:$BN$259,3,),)/1000</f>
        <v>834.04705611666668</v>
      </c>
      <c r="P31" s="58">
        <f>+IFERROR(HLOOKUP($C31,'[2]4월누계'!$F$6:$CP$99,3,),)/1000</f>
        <v>1255.4559999999999</v>
      </c>
      <c r="Q31" s="47">
        <f t="shared" si="3"/>
        <v>421.40894388333322</v>
      </c>
      <c r="R31" s="47">
        <f>+IFERROR(HLOOKUP($C31,'[3]4월누계'!$F$6:$CC$57,3,),)/1000</f>
        <v>2507.5934999999999</v>
      </c>
      <c r="S31" s="59">
        <f t="shared" si="4"/>
        <v>-1252.1375</v>
      </c>
      <c r="T31" s="53">
        <f>+IFERROR(HLOOKUP($B31,'[1]4월누계'!$D$6:$BN$259,21,),)/1000</f>
        <v>-448.91287025917103</v>
      </c>
      <c r="U31" s="58">
        <f>+IFERROR(HLOOKUP($C31,'[2]4월누계'!$F$6:$CP$99,21,),)/1000</f>
        <v>-606.11019707999992</v>
      </c>
      <c r="V31" s="47">
        <f t="shared" si="5"/>
        <v>-157.19732682082889</v>
      </c>
      <c r="W31" s="47">
        <f>+IFERROR(HLOOKUP($C31,'[3]4월누계'!$F$6:$CC$57,21,),)/1000</f>
        <v>180.51285155000019</v>
      </c>
      <c r="X31" s="59">
        <f t="shared" si="6"/>
        <v>-786.62304863000008</v>
      </c>
      <c r="Y31" s="715" t="s">
        <v>250</v>
      </c>
      <c r="Z31" s="229"/>
      <c r="AA31" s="229"/>
      <c r="AB31" s="229"/>
      <c r="AC31" s="229"/>
      <c r="AD31" s="229"/>
      <c r="AE31" s="229"/>
      <c r="AF31" s="229"/>
      <c r="AG31" s="50"/>
      <c r="AH31" s="17"/>
      <c r="AI31" s="18"/>
      <c r="AJ31" s="333"/>
      <c r="AK31" s="86"/>
      <c r="AL31" s="86"/>
    </row>
    <row r="32" spans="2:38" s="3" customFormat="1" ht="22.5" customHeight="1">
      <c r="G32" s="338"/>
      <c r="H32" s="134" t="s">
        <v>33</v>
      </c>
      <c r="I32" s="135"/>
      <c r="J32" s="136">
        <f>SUM(J29:J31)</f>
        <v>328.46128880579249</v>
      </c>
      <c r="K32" s="140">
        <f>SUM(K29:K31)</f>
        <v>235.42500000000001</v>
      </c>
      <c r="L32" s="138">
        <f t="shared" si="0"/>
        <v>-93.036288805792481</v>
      </c>
      <c r="M32" s="138">
        <f>SUM(M29:M31)</f>
        <v>321.06</v>
      </c>
      <c r="N32" s="139">
        <f t="shared" si="2"/>
        <v>-85.634999999999991</v>
      </c>
      <c r="O32" s="136">
        <f>SUM(O29:O31)</f>
        <v>6226.9410922532743</v>
      </c>
      <c r="P32" s="140">
        <f>SUM(P29:P31)</f>
        <v>5026.8145000000004</v>
      </c>
      <c r="Q32" s="138">
        <f t="shared" si="3"/>
        <v>-1200.1265922532739</v>
      </c>
      <c r="R32" s="138">
        <f>SUM(R29:R31)</f>
        <v>6528.42958</v>
      </c>
      <c r="S32" s="139">
        <f t="shared" si="4"/>
        <v>-1501.6150799999996</v>
      </c>
      <c r="T32" s="136">
        <f>SUM(T29:T31)</f>
        <v>635.43665141015003</v>
      </c>
      <c r="U32" s="140">
        <f>SUM(U29:U31)</f>
        <v>-447.73850321705834</v>
      </c>
      <c r="V32" s="138">
        <f t="shared" si="5"/>
        <v>-1083.1751546272085</v>
      </c>
      <c r="W32" s="138">
        <f>SUM(W29:W31)</f>
        <v>572.99813836672195</v>
      </c>
      <c r="X32" s="139">
        <f t="shared" si="6"/>
        <v>-1020.7366415837803</v>
      </c>
      <c r="Y32" s="734" t="s">
        <v>234</v>
      </c>
      <c r="Z32" s="229"/>
      <c r="AA32" s="229"/>
      <c r="AB32" s="229"/>
      <c r="AC32" s="229"/>
      <c r="AD32" s="229"/>
      <c r="AE32" s="229"/>
      <c r="AF32" s="229"/>
      <c r="AG32" s="50"/>
      <c r="AH32" s="26"/>
      <c r="AI32" s="27"/>
    </row>
    <row r="33" spans="2:38" s="8" customFormat="1" ht="22.5" customHeight="1">
      <c r="B33" s="8" t="s">
        <v>119</v>
      </c>
      <c r="C33" s="8" t="s">
        <v>118</v>
      </c>
      <c r="D33" t="s">
        <v>117</v>
      </c>
      <c r="E33" t="s">
        <v>81</v>
      </c>
      <c r="F33"/>
      <c r="G33" s="334" t="str">
        <f>+I33</f>
        <v>레미콘임대</v>
      </c>
      <c r="H33" s="83" t="s">
        <v>4</v>
      </c>
      <c r="I33" s="82" t="s">
        <v>80</v>
      </c>
      <c r="J33" s="45"/>
      <c r="K33" s="46"/>
      <c r="L33" s="48">
        <f>+K33-J33</f>
        <v>0</v>
      </c>
      <c r="M33" s="47"/>
      <c r="N33" s="59">
        <f>+K33-M33</f>
        <v>0</v>
      </c>
      <c r="O33" s="45">
        <f>(IFERROR(HLOOKUP($B33,'[1]4월누계'!$D$6:$BN$259,3,),)++IFERROR(HLOOKUP($C33,'[1]4월누계'!$D$6:$BN$259,3,),)+IFERROR(HLOOKUP($D33,'[1]4월누계'!$D$6:$BN$259,3,),))/1000</f>
        <v>339.18666666666667</v>
      </c>
      <c r="P33" s="46">
        <f>+IFERROR(HLOOKUP($E33,'[2]4월누계'!$F$6:$CP$99,3,),)/1000</f>
        <v>290.86</v>
      </c>
      <c r="Q33" s="48">
        <f t="shared" si="3"/>
        <v>-48.326666666666654</v>
      </c>
      <c r="R33" s="47">
        <f>+IFERROR(HLOOKUP($E33,'[3]4월누계'!$F$6:$CC$57,3,),)/1000</f>
        <v>363.36</v>
      </c>
      <c r="S33" s="59">
        <f t="shared" si="4"/>
        <v>-72.5</v>
      </c>
      <c r="T33" s="45">
        <f>(IFERROR(HLOOKUP($B33,'[1]4월누계'!$D$6:$BN$259,21,),)++IFERROR(HLOOKUP($C33,'[1]4월누계'!$D$6:$BN$259,21,),)+IFERROR(HLOOKUP($D33,'[1]4월누계'!$D$6:$BN$259,21,),))/1000</f>
        <v>269.11386666666664</v>
      </c>
      <c r="U33" s="46">
        <f>+IFERROR(HLOOKUP($E33,'[2]4월누계'!$F$6:$CP$99,16,),)/1000</f>
        <v>214.42715200000001</v>
      </c>
      <c r="V33" s="48">
        <f t="shared" si="5"/>
        <v>-54.686714666666632</v>
      </c>
      <c r="W33" s="47">
        <f>+IFERROR(HLOOKUP($E33,'[3]4월누계'!$F$6:$CC$57,16,),)/1000</f>
        <v>290.84225699999996</v>
      </c>
      <c r="X33" s="59">
        <f t="shared" si="6"/>
        <v>-76.415104999999954</v>
      </c>
      <c r="Y33" s="228" t="s">
        <v>235</v>
      </c>
      <c r="Z33" s="229"/>
      <c r="AA33" s="229"/>
      <c r="AB33" s="229"/>
      <c r="AC33" s="229"/>
      <c r="AD33" s="229"/>
      <c r="AE33" s="229"/>
      <c r="AF33" s="229"/>
      <c r="AG33" s="50"/>
      <c r="AH33" s="17"/>
      <c r="AI33" s="18"/>
    </row>
    <row r="34" spans="2:38" s="8" customFormat="1" ht="22.5" customHeight="1">
      <c r="B34" s="8" t="s">
        <v>120</v>
      </c>
      <c r="C34" s="8" t="s">
        <v>121</v>
      </c>
      <c r="D34"/>
      <c r="E34" t="s">
        <v>31</v>
      </c>
      <c r="F34"/>
      <c r="G34" s="334" t="str">
        <f t="shared" ref="G34:G39" si="11">+I34</f>
        <v>임대</v>
      </c>
      <c r="H34" s="83"/>
      <c r="I34" s="82" t="s">
        <v>44</v>
      </c>
      <c r="J34" s="45"/>
      <c r="K34" s="46"/>
      <c r="L34" s="48">
        <f>+K34-J34</f>
        <v>0</v>
      </c>
      <c r="M34" s="47">
        <v>0</v>
      </c>
      <c r="N34" s="59">
        <f t="shared" ref="N34:N41" si="12">+K34-M34</f>
        <v>0</v>
      </c>
      <c r="O34" s="45">
        <f>(+IFERROR(HLOOKUP($B34,'[1]4월누계'!$D$6:$BN$259,3,),)+IFERROR(HLOOKUP($C34,'[1]4월누계'!$D$6:$BN$259,3,),))/1000</f>
        <v>296.36599999999999</v>
      </c>
      <c r="P34" s="46">
        <f>+IFERROR(HLOOKUP($E34,'[2]4월누계'!$F$6:$CP$99,3,),)/1000</f>
        <v>293.76295799999997</v>
      </c>
      <c r="Q34" s="48">
        <f>+P34-O34</f>
        <v>-2.6030420000000163</v>
      </c>
      <c r="R34" s="47">
        <f>+IFERROR(HLOOKUP($E34,'[3]4월누계'!$F$6:$CC$57,3,),)/1000</f>
        <v>289.184032</v>
      </c>
      <c r="S34" s="59">
        <f t="shared" si="4"/>
        <v>4.5789259999999672</v>
      </c>
      <c r="T34" s="45">
        <f>(+IFERROR(HLOOKUP($B34,'[1]4월누계'!$D$6:$BN$259,21,),)+IFERROR(HLOOKUP($C34,'[1]4월누계'!$D$6:$BN$259,21,),))/1000</f>
        <v>268.44894400000004</v>
      </c>
      <c r="U34" s="46">
        <f>+IFERROR(HLOOKUP($E34,'[2]4월누계'!$F$6:$CP$99,16,),)/1000</f>
        <v>265.87135700000005</v>
      </c>
      <c r="V34" s="48">
        <f t="shared" si="5"/>
        <v>-2.5775869999999941</v>
      </c>
      <c r="W34" s="47">
        <f>+IFERROR(HLOOKUP($E34,'[3]4월누계'!$F$6:$CC$57,16,),)/1000</f>
        <v>261.371352</v>
      </c>
      <c r="X34" s="59">
        <f t="shared" si="6"/>
        <v>4.5000050000000442</v>
      </c>
      <c r="Y34" s="735"/>
      <c r="Z34" s="229"/>
      <c r="AA34" s="229"/>
      <c r="AB34" s="229"/>
      <c r="AC34" s="229"/>
      <c r="AD34" s="229"/>
      <c r="AE34" s="229"/>
      <c r="AF34" s="229"/>
      <c r="AG34" s="50"/>
      <c r="AH34" s="17"/>
      <c r="AI34" s="18"/>
    </row>
    <row r="35" spans="2:38" s="8" customFormat="1" ht="22.5" customHeight="1">
      <c r="B35" s="8" t="s">
        <v>122</v>
      </c>
      <c r="D35"/>
      <c r="E35"/>
      <c r="F35"/>
      <c r="G35" s="334" t="str">
        <f t="shared" si="11"/>
        <v>공통비</v>
      </c>
      <c r="H35" s="81"/>
      <c r="I35" s="82" t="s">
        <v>29</v>
      </c>
      <c r="J35" s="45"/>
      <c r="K35" s="46"/>
      <c r="L35" s="48">
        <f>+K35-J35</f>
        <v>0</v>
      </c>
      <c r="M35" s="47"/>
      <c r="N35" s="59">
        <f t="shared" si="12"/>
        <v>0</v>
      </c>
      <c r="O35" s="45"/>
      <c r="P35" s="46"/>
      <c r="Q35" s="48">
        <f t="shared" ref="Q35:Q38" si="13">+P35-O35</f>
        <v>0</v>
      </c>
      <c r="R35" s="47"/>
      <c r="S35" s="59">
        <f t="shared" si="4"/>
        <v>0</v>
      </c>
      <c r="T35" s="45">
        <f>-'[1]4월누계'!$Z$22/1000</f>
        <v>-6052.7697246247008</v>
      </c>
      <c r="U35" s="46">
        <f>+-'[2]4월누계'!$Z$22/1000</f>
        <v>-5907.7310518720415</v>
      </c>
      <c r="V35" s="48">
        <f t="shared" si="5"/>
        <v>145.03867275265929</v>
      </c>
      <c r="W35" s="47">
        <f>+-'[3]4월누계'!$Z$22/1000</f>
        <v>-5407.8338633758676</v>
      </c>
      <c r="X35" s="59">
        <f t="shared" si="6"/>
        <v>-499.89718849617384</v>
      </c>
      <c r="Y35" s="228" t="s">
        <v>236</v>
      </c>
      <c r="Z35" s="229"/>
      <c r="AA35" s="229"/>
      <c r="AB35" s="229"/>
      <c r="AC35" s="229"/>
      <c r="AD35" s="229"/>
      <c r="AE35" s="229"/>
      <c r="AF35" s="229"/>
      <c r="AG35" s="50"/>
      <c r="AH35" s="17"/>
      <c r="AI35" s="18"/>
      <c r="AK35" s="234"/>
      <c r="AL35" s="86"/>
    </row>
    <row r="36" spans="2:38" s="8" customFormat="1" ht="22.5" customHeight="1">
      <c r="D36"/>
      <c r="E36"/>
      <c r="F36"/>
      <c r="G36" s="334" t="str">
        <f t="shared" si="11"/>
        <v>OPC 소급분</v>
      </c>
      <c r="H36" s="81"/>
      <c r="I36" s="82" t="s">
        <v>95</v>
      </c>
      <c r="J36" s="45"/>
      <c r="K36" s="46"/>
      <c r="L36" s="48"/>
      <c r="M36" s="47"/>
      <c r="N36" s="59">
        <f t="shared" si="12"/>
        <v>0</v>
      </c>
      <c r="O36" s="45"/>
      <c r="P36" s="46"/>
      <c r="Q36" s="48">
        <f t="shared" si="13"/>
        <v>0</v>
      </c>
      <c r="R36" s="47"/>
      <c r="S36" s="59">
        <f t="shared" si="4"/>
        <v>0</v>
      </c>
      <c r="T36" s="45">
        <f>+'[1]4월누계'!$AS$26/1000</f>
        <v>-136.67126000000002</v>
      </c>
      <c r="U36" s="46">
        <f>'[2]4월누계'!$BD$26/1000</f>
        <v>0</v>
      </c>
      <c r="V36" s="48">
        <f t="shared" si="5"/>
        <v>136.67126000000002</v>
      </c>
      <c r="W36" s="47">
        <f>-'[3]4월누계'!$BD$26/1000</f>
        <v>0</v>
      </c>
      <c r="X36" s="59">
        <f t="shared" si="6"/>
        <v>0</v>
      </c>
      <c r="Y36" s="228" t="s">
        <v>237</v>
      </c>
      <c r="Z36" s="229"/>
      <c r="AA36" s="229"/>
      <c r="AB36" s="229"/>
      <c r="AC36" s="229"/>
      <c r="AD36" s="229"/>
      <c r="AE36" s="229"/>
      <c r="AF36" s="229"/>
      <c r="AG36" s="50"/>
      <c r="AH36" s="17"/>
      <c r="AI36" s="18"/>
      <c r="AK36" s="86"/>
      <c r="AL36" s="86"/>
    </row>
    <row r="37" spans="2:38" s="8" customFormat="1" ht="22.5" customHeight="1">
      <c r="D37"/>
      <c r="E37"/>
      <c r="F37"/>
      <c r="G37" s="334" t="str">
        <f t="shared" si="11"/>
        <v>대손</v>
      </c>
      <c r="H37" s="81"/>
      <c r="I37" s="82" t="s">
        <v>96</v>
      </c>
      <c r="J37" s="45"/>
      <c r="K37" s="46"/>
      <c r="L37" s="48"/>
      <c r="M37" s="47"/>
      <c r="N37" s="59">
        <f t="shared" si="12"/>
        <v>0</v>
      </c>
      <c r="O37" s="45"/>
      <c r="P37" s="46"/>
      <c r="Q37" s="48">
        <f t="shared" si="13"/>
        <v>0</v>
      </c>
      <c r="R37" s="47"/>
      <c r="S37" s="59">
        <f t="shared" si="4"/>
        <v>0</v>
      </c>
      <c r="T37" s="45"/>
      <c r="U37" s="46">
        <f>'[2]4월누계'!$BE$26/1000</f>
        <v>-522.39605099999994</v>
      </c>
      <c r="V37" s="48">
        <f t="shared" si="5"/>
        <v>-522.39605099999994</v>
      </c>
      <c r="W37" s="47">
        <f>'[3]4월누계'!$BE$26/1000</f>
        <v>-1595.842547</v>
      </c>
      <c r="X37" s="59">
        <f t="shared" si="6"/>
        <v>1073.446496</v>
      </c>
      <c r="Y37" s="228"/>
      <c r="Z37" s="229"/>
      <c r="AA37" s="229"/>
      <c r="AB37" s="229"/>
      <c r="AC37" s="229"/>
      <c r="AD37" s="229"/>
      <c r="AE37" s="229"/>
      <c r="AF37" s="229"/>
      <c r="AG37" s="50"/>
      <c r="AH37" s="17"/>
      <c r="AI37" s="18"/>
      <c r="AJ37" s="84"/>
      <c r="AK37" s="86"/>
      <c r="AL37" s="86"/>
    </row>
    <row r="38" spans="2:38" s="8" customFormat="1" ht="22.5" customHeight="1">
      <c r="D38"/>
      <c r="E38"/>
      <c r="F38"/>
      <c r="G38" s="334" t="str">
        <f t="shared" si="11"/>
        <v>미운영 공장</v>
      </c>
      <c r="H38" s="81"/>
      <c r="I38" s="82" t="s">
        <v>112</v>
      </c>
      <c r="J38" s="45"/>
      <c r="K38" s="46"/>
      <c r="L38" s="48"/>
      <c r="M38" s="47">
        <f>SUM(M54:M59)</f>
        <v>0</v>
      </c>
      <c r="N38" s="59">
        <f t="shared" si="12"/>
        <v>0</v>
      </c>
      <c r="O38" s="45"/>
      <c r="P38" s="46"/>
      <c r="Q38" s="48">
        <f t="shared" si="13"/>
        <v>0</v>
      </c>
      <c r="R38" s="47">
        <f>+IFERROR(HLOOKUP($I$38,'[3]4월누계'!$F$6:$BJ$50,3,),)/1000</f>
        <v>0</v>
      </c>
      <c r="S38" s="59">
        <f t="shared" si="4"/>
        <v>0</v>
      </c>
      <c r="T38" s="45">
        <f>SUM('[1]4월누계'!$AM$26:$AQ$26)/1000</f>
        <v>-107.662297</v>
      </c>
      <c r="U38" s="46">
        <f>+'[2]4월누계'!$BF$26/1000</f>
        <v>-103.34340199999998</v>
      </c>
      <c r="V38" s="48">
        <f t="shared" si="5"/>
        <v>4.3188950000000119</v>
      </c>
      <c r="W38" s="47">
        <f>+'[3]4월누계'!$BF$26/1000</f>
        <v>-106.93348899999999</v>
      </c>
      <c r="X38" s="59">
        <f>+U38-W38</f>
        <v>3.5900870000000111</v>
      </c>
      <c r="Y38" s="228"/>
      <c r="Z38" s="727"/>
      <c r="AA38" s="229"/>
      <c r="AB38" s="229"/>
      <c r="AC38" s="229"/>
      <c r="AD38" s="229"/>
      <c r="AE38" s="229"/>
      <c r="AF38" s="229"/>
      <c r="AG38" s="50"/>
      <c r="AH38" s="17"/>
      <c r="AI38" s="18"/>
      <c r="AK38" s="86"/>
      <c r="AL38" s="86"/>
    </row>
    <row r="39" spans="2:38" s="8" customFormat="1" ht="22.5" customHeight="1">
      <c r="B39" t="s">
        <v>30</v>
      </c>
      <c r="D39"/>
      <c r="G39" s="334" t="str">
        <f t="shared" si="11"/>
        <v>퇴직위로금</v>
      </c>
      <c r="H39" s="81"/>
      <c r="I39" s="82" t="s">
        <v>251</v>
      </c>
      <c r="J39" s="45"/>
      <c r="K39" s="46"/>
      <c r="L39" s="48"/>
      <c r="M39" s="47"/>
      <c r="N39" s="59"/>
      <c r="O39" s="45"/>
      <c r="P39" s="46"/>
      <c r="Q39" s="48"/>
      <c r="R39" s="47"/>
      <c r="S39" s="59"/>
      <c r="T39" s="45"/>
      <c r="U39" s="46">
        <f>+'[2]4월누계'!$BG$26/1000</f>
        <v>-759.34318890999998</v>
      </c>
      <c r="V39" s="48">
        <f t="shared" si="5"/>
        <v>-759.34318890999998</v>
      </c>
      <c r="W39" s="47"/>
      <c r="X39" s="59">
        <f>+U39-W39</f>
        <v>-759.34318890999998</v>
      </c>
      <c r="Y39" s="233"/>
      <c r="Z39" s="229"/>
      <c r="AA39" s="229"/>
      <c r="AB39" s="229"/>
      <c r="AC39" s="229"/>
      <c r="AD39" s="229"/>
      <c r="AE39" s="229"/>
      <c r="AF39" s="229"/>
      <c r="AG39" s="50"/>
      <c r="AH39" s="17"/>
      <c r="AI39" s="18"/>
    </row>
    <row r="40" spans="2:38" s="8" customFormat="1" ht="22.5" customHeight="1">
      <c r="G40" s="334" t="str">
        <f>+I40</f>
        <v>기타</v>
      </c>
      <c r="H40" s="81"/>
      <c r="I40" s="82" t="s">
        <v>4</v>
      </c>
      <c r="J40" s="45"/>
      <c r="K40" s="46"/>
      <c r="L40" s="54">
        <f>+K40-J40</f>
        <v>0</v>
      </c>
      <c r="M40" s="60"/>
      <c r="N40" s="61">
        <f>+K40-M40</f>
        <v>0</v>
      </c>
      <c r="O40" s="45">
        <f>IFERROR(HLOOKUP($B39,'[1]4월누계'!$D$6:$BN$259,3,),)/1000</f>
        <v>7.08</v>
      </c>
      <c r="P40" s="46">
        <f>+('[2]4월누계'!$F$8-SUM('[2]4월누계'!$Z$8,'[2]4월누계'!$AH$8,'[2]4월누계'!$AN$8,'[2]4월누계'!$AO$8,'[2]4월누계'!$BA$8,'[2]4월누계'!$BD$8,'[2]4월누계'!$BE$8,'[2]4월누계'!$BF$8))/1000</f>
        <v>6.7001999999880795</v>
      </c>
      <c r="Q40" s="54">
        <f>+P40-O40</f>
        <v>-0.3798000000119206</v>
      </c>
      <c r="R40" s="60">
        <f>+('[3]4월누계'!$F$8-SUM('[3]4월누계'!$Z$8,'[3]4월누계'!$AH$8,'[3]4월누계'!$AN$8,'[3]4월누계'!$AO$8,'[3]4월누계'!$BA$8,'[3]4월누계'!$BD$8,'[3]4월누계'!$BE$8,'[3]4월누계'!$BF$8))/1000</f>
        <v>6.80959999999404</v>
      </c>
      <c r="S40" s="61">
        <f>+P40-R40</f>
        <v>-0.10940000000596051</v>
      </c>
      <c r="T40" s="45">
        <f>+('[1]4월누계'!$E$26-'[1]4월누계'!$Z$26-'[1]4월누계'!$AA$26-'[1]4월누계'!$AE$26-'[1]4월누계'!$AL$26-'[1]4월누계'!$AM$26-'[1]4월누계'!$AN$26-'[1]4월누계'!$AO$26-'[1]4월누계'!$AP$26-'[1]4월누계'!$AQ$26-'[1]4월누계'!$AS$26)/1000</f>
        <v>-57.2551590000228</v>
      </c>
      <c r="U40" s="46">
        <f>+('[2]4월누계'!$F$26-SUM('[2]4월누계'!$Z$26,'[2]4월누계'!$AH$26,'[2]4월누계'!$AN$26,'[2]4월누계'!$AO$26,'[2]4월누계'!$BA$26,'[2]4월누계'!$BD$26,'[2]4월누계'!$BE$26,'[2]4월누계'!$BF$26))/1000-U39</f>
        <v>-58.624164000041787</v>
      </c>
      <c r="V40" s="48">
        <f>+U40-T40</f>
        <v>-1.3690050000189871</v>
      </c>
      <c r="W40" s="60">
        <f>+('[3]4월누계'!$F$26-SUM('[3]4월누계'!$Z$26,'[3]4월누계'!$AH$26,'[3]4월누계'!$AN$26,'[3]4월누계'!$AO$26,'[3]4월누계'!$BA$26,'[3]4월누계'!$BD$26,'[3]4월누계'!$BE$26,'[3]4월누계'!$BF$26))/1000</f>
        <v>-52.425736999930812</v>
      </c>
      <c r="X40" s="59">
        <f>+U40-W40</f>
        <v>-6.1984270001109749</v>
      </c>
      <c r="Y40" s="228"/>
      <c r="Z40" s="229"/>
      <c r="AA40" s="229"/>
      <c r="AB40" s="229"/>
      <c r="AC40" s="229"/>
      <c r="AD40" s="229"/>
      <c r="AE40" s="229"/>
      <c r="AF40" s="229"/>
      <c r="AG40" s="50"/>
      <c r="AH40" s="30"/>
    </row>
    <row r="41" spans="2:38" s="3" customFormat="1" ht="22.5" customHeight="1">
      <c r="D41" s="293"/>
      <c r="G41" s="338"/>
      <c r="H41" s="134" t="s">
        <v>97</v>
      </c>
      <c r="I41" s="135"/>
      <c r="J41" s="284">
        <f>SUM(J33:J40)</f>
        <v>0</v>
      </c>
      <c r="K41" s="285">
        <f>SUM(K33:K40)</f>
        <v>0</v>
      </c>
      <c r="L41" s="285">
        <f>+K41-J41</f>
        <v>0</v>
      </c>
      <c r="M41" s="285">
        <f>SUM(M33:M40)</f>
        <v>0</v>
      </c>
      <c r="N41" s="286">
        <f t="shared" si="12"/>
        <v>0</v>
      </c>
      <c r="O41" s="136">
        <f>SUM(O33:O40)</f>
        <v>642.63266666666675</v>
      </c>
      <c r="P41" s="137">
        <f>SUM(P33:P40)</f>
        <v>591.32315799998798</v>
      </c>
      <c r="Q41" s="141">
        <f t="shared" si="3"/>
        <v>-51.309508666678767</v>
      </c>
      <c r="R41" s="142">
        <f>SUM(R33:R40)</f>
        <v>659.35363199999404</v>
      </c>
      <c r="S41" s="143">
        <f>+P41-R41</f>
        <v>-68.030474000006052</v>
      </c>
      <c r="T41" s="136">
        <f>SUM(T33:T40)</f>
        <v>-5816.7956299580574</v>
      </c>
      <c r="U41" s="137">
        <f>SUM(U33:U40)</f>
        <v>-6871.1393487820833</v>
      </c>
      <c r="V41" s="141">
        <f>+U41-T41</f>
        <v>-1054.3437188240259</v>
      </c>
      <c r="W41" s="142">
        <f>SUM(W33:W40)</f>
        <v>-6610.8220273757988</v>
      </c>
      <c r="X41" s="143">
        <f>+U41-W41</f>
        <v>-260.31732140628446</v>
      </c>
      <c r="Y41" s="230"/>
      <c r="Z41" s="231"/>
      <c r="AA41" s="231"/>
      <c r="AB41" s="231"/>
      <c r="AC41" s="231"/>
      <c r="AD41" s="231"/>
      <c r="AE41" s="231"/>
      <c r="AF41" s="231"/>
      <c r="AG41" s="232"/>
      <c r="AH41" s="25"/>
    </row>
    <row r="42" spans="2:38" s="8" customFormat="1" ht="19.5" customHeight="1">
      <c r="G42" s="334"/>
      <c r="J42" s="32"/>
      <c r="K42" s="32"/>
      <c r="L42" s="31"/>
      <c r="M42" s="31"/>
      <c r="N42" s="31"/>
      <c r="O42" s="32"/>
      <c r="P42" s="32"/>
      <c r="Q42" s="31"/>
      <c r="R42" s="31"/>
      <c r="S42" s="31"/>
      <c r="T42" s="32"/>
      <c r="U42" s="32">
        <v>19</v>
      </c>
      <c r="V42" s="31">
        <v>12.4</v>
      </c>
      <c r="W42" s="31"/>
      <c r="X42" s="31"/>
      <c r="Y42" s="32"/>
      <c r="Z42" s="32"/>
      <c r="AA42" s="32"/>
      <c r="AB42" s="32"/>
      <c r="AC42" s="32"/>
      <c r="AD42" s="32"/>
      <c r="AE42" s="32"/>
      <c r="AF42" s="32"/>
      <c r="AG42" s="32"/>
      <c r="AH42" s="30"/>
    </row>
    <row r="43" spans="2:38" s="3" customFormat="1" ht="22.5" customHeight="1">
      <c r="G43" s="339">
        <f>+P43/O43</f>
        <v>0.89138454603489092</v>
      </c>
      <c r="H43" s="277" t="s">
        <v>32</v>
      </c>
      <c r="I43" s="278"/>
      <c r="J43" s="290"/>
      <c r="K43" s="291"/>
      <c r="L43" s="291"/>
      <c r="M43" s="291"/>
      <c r="N43" s="292"/>
      <c r="O43" s="279">
        <f>+O27+O32+O28+O41</f>
        <v>152792.13398845363</v>
      </c>
      <c r="P43" s="280">
        <f>+P27+P32+P28+P41</f>
        <v>136196.54699299997</v>
      </c>
      <c r="Q43" s="281">
        <f t="shared" si="3"/>
        <v>-16595.586995453661</v>
      </c>
      <c r="R43" s="282">
        <f>+R27+R32+R28+R41</f>
        <v>153279.23566599999</v>
      </c>
      <c r="S43" s="283">
        <f>+P43-R43</f>
        <v>-17082.688673000026</v>
      </c>
      <c r="T43" s="279">
        <f>+T27+T32+T28+T41</f>
        <v>2882.7214943278314</v>
      </c>
      <c r="U43" s="280">
        <f>+U27+U32+U28+U41</f>
        <v>-2601.7942759991438</v>
      </c>
      <c r="V43" s="281">
        <f>+U43-T43</f>
        <v>-5484.5157703269751</v>
      </c>
      <c r="W43" s="282">
        <f>+W27+W32+W28+W41</f>
        <v>6453.394421990929</v>
      </c>
      <c r="X43" s="283">
        <f>+U43-W43</f>
        <v>-9055.1886979900737</v>
      </c>
      <c r="Y43" s="760"/>
      <c r="Z43" s="761"/>
      <c r="AA43" s="761"/>
      <c r="AB43" s="761"/>
      <c r="AC43" s="761"/>
      <c r="AD43" s="761"/>
      <c r="AE43" s="761"/>
      <c r="AF43" s="761"/>
      <c r="AG43" s="762"/>
      <c r="AH43" s="25"/>
    </row>
    <row r="44" spans="2:38" s="33" customFormat="1">
      <c r="G44" s="336">
        <f>+U43/T43</f>
        <v>-0.90254791561326608</v>
      </c>
      <c r="K44" s="295">
        <f>+K28/J28</f>
        <v>1.0979772397094432</v>
      </c>
      <c r="L44" s="295"/>
      <c r="M44" s="295">
        <f>+K28/M28</f>
        <v>1.4960621296627254</v>
      </c>
      <c r="P44" s="295">
        <f>+P43/O43</f>
        <v>0.89138454603489092</v>
      </c>
      <c r="R44" s="295">
        <f>+P43/R43</f>
        <v>0.88855184070578408</v>
      </c>
      <c r="T44" s="295">
        <f>+T43/O43</f>
        <v>1.8866949620231603E-2</v>
      </c>
      <c r="U44" s="295">
        <f>+U43/P43</f>
        <v>-1.9103232302452332E-2</v>
      </c>
      <c r="V44" s="33">
        <f>+V43/100</f>
        <v>-54.845157703269749</v>
      </c>
      <c r="X44" s="33">
        <f>+X43/100</f>
        <v>-90.551886979900743</v>
      </c>
      <c r="AC44" s="34"/>
      <c r="AF44" s="34"/>
    </row>
    <row r="45" spans="2:38" s="33" customFormat="1" ht="17.25" thickBot="1">
      <c r="G45" s="340"/>
      <c r="K45" s="295">
        <f>+K32/J32</f>
        <v>0.71675113026545556</v>
      </c>
      <c r="L45" s="295"/>
      <c r="M45" s="295">
        <f>+K32/M32</f>
        <v>0.73327415436367038</v>
      </c>
      <c r="AC45" s="34"/>
      <c r="AF45" s="34"/>
    </row>
    <row r="46" spans="2:38" s="33" customFormat="1">
      <c r="G46" s="340"/>
      <c r="I46" s="757" t="s">
        <v>82</v>
      </c>
      <c r="J46" s="126">
        <f>+'[1]4월누계'!$Z$7/1000</f>
        <v>1002.5</v>
      </c>
      <c r="K46" s="127">
        <f>+'[2]4월누계'!$AI$7/1000</f>
        <v>931.43849999999998</v>
      </c>
      <c r="L46" s="127"/>
      <c r="M46" s="127">
        <f>+'[3]4월누계'!$Z$7/1000</f>
        <v>1125.9659999999999</v>
      </c>
      <c r="N46" s="127"/>
      <c r="O46" s="127">
        <f>+'[1]4월누계'!$E$8/1000</f>
        <v>152792.1339884536</v>
      </c>
      <c r="P46" s="127">
        <f>+'[2]4월누계'!$F$8/1000</f>
        <v>136196.54699299997</v>
      </c>
      <c r="Q46" s="127"/>
      <c r="R46" s="127">
        <f>+'[3]4월누계'!$F$8/1000</f>
        <v>153279.23566600005</v>
      </c>
      <c r="S46" s="127"/>
      <c r="T46" s="132">
        <f>+'[1]4월누계'!$E$26/1000</f>
        <v>2882.7214943278254</v>
      </c>
      <c r="U46" s="127">
        <f>+'[2]4월누계'!$F$26/1000</f>
        <v>-2601.7942759991429</v>
      </c>
      <c r="V46" s="127"/>
      <c r="W46" s="127">
        <f>+'[3]4월누계'!$F$26/1000</f>
        <v>6453.3944219909235</v>
      </c>
      <c r="X46" s="128"/>
      <c r="AC46" s="34"/>
      <c r="AF46" s="34"/>
    </row>
    <row r="47" spans="2:38" s="33" customFormat="1" ht="17.25" thickBot="1">
      <c r="G47" s="340"/>
      <c r="I47" s="757"/>
      <c r="J47" s="131">
        <f>+J46-J27</f>
        <v>0</v>
      </c>
      <c r="K47" s="129">
        <f>+K46-K27</f>
        <v>0</v>
      </c>
      <c r="L47" s="129"/>
      <c r="M47" s="129">
        <f>+M46-M27</f>
        <v>0</v>
      </c>
      <c r="N47" s="129"/>
      <c r="O47" s="133">
        <f>+O46-O43</f>
        <v>0</v>
      </c>
      <c r="P47" s="133">
        <f>+P46-P43</f>
        <v>0</v>
      </c>
      <c r="Q47" s="129"/>
      <c r="R47" s="133">
        <f>+R46-R43</f>
        <v>0</v>
      </c>
      <c r="S47" s="129"/>
      <c r="T47" s="133">
        <f>+T46-T43</f>
        <v>-5.9117155615240335E-12</v>
      </c>
      <c r="U47" s="133">
        <f>+U46-U43</f>
        <v>0</v>
      </c>
      <c r="V47" s="129"/>
      <c r="W47" s="129">
        <f>+W46-W43</f>
        <v>0</v>
      </c>
      <c r="X47" s="130"/>
      <c r="AC47" s="34"/>
      <c r="AF47" s="34"/>
      <c r="AG47" s="33" t="s">
        <v>83</v>
      </c>
    </row>
    <row r="48" spans="2:38">
      <c r="T48" s="294"/>
      <c r="U48" s="294"/>
      <c r="V48" s="294"/>
    </row>
    <row r="49" spans="10:33">
      <c r="P49" s="728">
        <f>+P43/100</f>
        <v>1361.9654699299997</v>
      </c>
      <c r="T49" s="294"/>
      <c r="U49" s="294"/>
      <c r="V49" s="294"/>
      <c r="AC49" s="34"/>
      <c r="AD49" s="33"/>
      <c r="AE49" s="33"/>
      <c r="AF49" s="34"/>
    </row>
    <row r="50" spans="10:33">
      <c r="S50" t="s">
        <v>40</v>
      </c>
      <c r="T50" s="236">
        <f>(+T27+T35)/100</f>
        <v>13.022419004443154</v>
      </c>
      <c r="U50" s="236">
        <f>(+U27+U35)/100</f>
        <v>-10.840645438720403</v>
      </c>
      <c r="V50" s="236">
        <f>+U50-T50</f>
        <v>-23.863064443163559</v>
      </c>
      <c r="W50" s="235">
        <f>+U50/T50-1</f>
        <v>-1.8324601930733186</v>
      </c>
      <c r="AC50" s="34"/>
      <c r="AD50" s="33"/>
      <c r="AE50" s="33"/>
      <c r="AF50" s="34"/>
    </row>
    <row r="51" spans="10:33">
      <c r="S51" t="s">
        <v>3</v>
      </c>
      <c r="T51" s="6">
        <f>+T28/100</f>
        <v>7.0906884780672179</v>
      </c>
      <c r="U51" s="6">
        <f>+U28/100</f>
        <v>-1.0658293200000319</v>
      </c>
      <c r="V51" s="236">
        <f t="shared" ref="V51:V56" si="14">+U51-T51</f>
        <v>-8.1565177980672505</v>
      </c>
      <c r="Y51" s="228" t="s">
        <v>231</v>
      </c>
      <c r="AC51" s="34"/>
      <c r="AD51" s="33"/>
      <c r="AE51" s="33"/>
      <c r="AF51" s="34"/>
    </row>
    <row r="52" spans="10:33">
      <c r="S52" t="s">
        <v>1</v>
      </c>
      <c r="T52" s="6">
        <f>+T32/100</f>
        <v>6.3543665141015007</v>
      </c>
      <c r="U52" s="6">
        <f>+U32/100</f>
        <v>-4.4773850321705835</v>
      </c>
      <c r="V52" s="236">
        <f t="shared" si="14"/>
        <v>-10.831751546272084</v>
      </c>
      <c r="AC52" s="34"/>
      <c r="AD52" s="33"/>
      <c r="AE52" s="33"/>
      <c r="AF52" s="34"/>
    </row>
    <row r="53" spans="10:33">
      <c r="S53" t="s">
        <v>44</v>
      </c>
      <c r="T53" s="6">
        <f>(T33+T34)/100</f>
        <v>5.3756281066666665</v>
      </c>
      <c r="U53" s="6">
        <f>(U33+U34)/100</f>
        <v>4.8029850900000008</v>
      </c>
      <c r="V53" s="236">
        <f t="shared" si="14"/>
        <v>-0.57264301666666562</v>
      </c>
      <c r="AC53" s="34"/>
      <c r="AD53" s="33"/>
      <c r="AE53" s="33"/>
      <c r="AF53" s="34"/>
    </row>
    <row r="54" spans="10:33">
      <c r="J54" s="236"/>
      <c r="K54" s="236"/>
      <c r="L54" s="236"/>
      <c r="M54" s="236"/>
      <c r="N54" s="236"/>
      <c r="O54" s="236"/>
      <c r="P54" s="236"/>
      <c r="Q54" s="236"/>
      <c r="R54" s="236"/>
      <c r="S54" s="236" t="s">
        <v>4</v>
      </c>
      <c r="T54" s="236">
        <f>(T46/100)-T50-T51-T52-T53</f>
        <v>-3.0158871600002861</v>
      </c>
      <c r="U54" s="236">
        <f>(U46/100)-U50-U51-U52-U53</f>
        <v>-14.437068059100408</v>
      </c>
      <c r="V54" s="236">
        <f t="shared" si="14"/>
        <v>-11.421180899100122</v>
      </c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</row>
    <row r="55" spans="10:33"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>
        <f>SUM(T53:T54)</f>
        <v>2.3597409466663803</v>
      </c>
      <c r="U55" s="236">
        <f>SUM(U53:U54)</f>
        <v>-9.6340829691004082</v>
      </c>
      <c r="V55" s="236">
        <f>SUM(V53:V54)</f>
        <v>-11.993823915766788</v>
      </c>
      <c r="W55" s="236"/>
      <c r="X55" s="236"/>
      <c r="Y55" s="236"/>
      <c r="Z55" s="236"/>
      <c r="AA55" s="236"/>
      <c r="AB55" s="236"/>
      <c r="AC55" s="236"/>
      <c r="AD55" s="236"/>
      <c r="AE55" s="236"/>
      <c r="AF55" s="236"/>
      <c r="AG55" s="236"/>
    </row>
    <row r="56" spans="10:33"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>
        <f>SUM(T50:T54)</f>
        <v>28.827214943278253</v>
      </c>
      <c r="U56" s="236">
        <f>SUM(U50:U54)</f>
        <v>-26.017942759991428</v>
      </c>
      <c r="V56" s="236">
        <f t="shared" si="14"/>
        <v>-54.845157703269678</v>
      </c>
      <c r="W56" s="236"/>
      <c r="X56" s="236"/>
      <c r="Y56" s="236"/>
      <c r="Z56" s="236"/>
      <c r="AA56" s="236"/>
      <c r="AB56" s="236"/>
      <c r="AC56" s="236"/>
      <c r="AD56" s="236"/>
      <c r="AE56" s="236"/>
      <c r="AF56" s="236"/>
      <c r="AG56" s="236"/>
    </row>
    <row r="57" spans="10:33">
      <c r="J57" s="236">
        <f>+J32*1000</f>
        <v>328461.28880579252</v>
      </c>
      <c r="K57" s="236">
        <f>+K32*1000</f>
        <v>235425</v>
      </c>
      <c r="L57" s="236">
        <f>+K57-J57</f>
        <v>-93036.288805792516</v>
      </c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6"/>
      <c r="AG57" s="236"/>
    </row>
    <row r="58" spans="10:33">
      <c r="J58" s="294">
        <f>+T32/100</f>
        <v>6.3543665141015007</v>
      </c>
      <c r="K58" s="294">
        <f>+U32/100</f>
        <v>-4.4773850321705835</v>
      </c>
      <c r="L58" s="294">
        <f>+K58-J58</f>
        <v>-10.831751546272084</v>
      </c>
      <c r="M58" s="236"/>
      <c r="N58" s="236"/>
      <c r="O58" s="236"/>
      <c r="P58" s="236"/>
      <c r="Q58" s="236"/>
      <c r="R58" s="236"/>
      <c r="S58" s="236" t="s">
        <v>44</v>
      </c>
      <c r="T58" s="294">
        <f>+(T33+T34)/100</f>
        <v>5.3756281066666665</v>
      </c>
      <c r="U58" s="294">
        <f>+(U33+U34)/100</f>
        <v>4.8029850900000008</v>
      </c>
      <c r="V58" s="236">
        <f>+U58-T58</f>
        <v>-0.57264301666666562</v>
      </c>
      <c r="W58" s="236"/>
      <c r="X58" s="236"/>
      <c r="Y58" s="236"/>
      <c r="Z58" s="236"/>
      <c r="AA58" s="236"/>
      <c r="AB58" s="236"/>
      <c r="AC58" s="236"/>
      <c r="AD58" s="236"/>
      <c r="AE58" s="236"/>
      <c r="AF58" s="236"/>
      <c r="AG58" s="236"/>
    </row>
    <row r="59" spans="10:33">
      <c r="J59" s="236"/>
      <c r="K59" s="236"/>
      <c r="L59" s="236"/>
      <c r="M59" s="236"/>
      <c r="N59" s="236"/>
      <c r="O59" s="236"/>
      <c r="P59" s="236"/>
      <c r="Q59" s="236"/>
      <c r="R59" s="236"/>
      <c r="S59" s="236" t="str">
        <f>+I36</f>
        <v>OPC 소급분</v>
      </c>
      <c r="T59" s="236">
        <f t="shared" ref="T59:U61" si="15">+T36/100</f>
        <v>-1.3667126000000003</v>
      </c>
      <c r="U59" s="236">
        <f t="shared" si="15"/>
        <v>0</v>
      </c>
      <c r="V59" s="236">
        <f>+U59-T59</f>
        <v>1.3667126000000003</v>
      </c>
      <c r="W59" s="236"/>
      <c r="X59" s="236"/>
      <c r="Y59" s="236"/>
      <c r="Z59" s="236"/>
      <c r="AA59" s="236"/>
      <c r="AB59" s="236"/>
      <c r="AC59" s="236"/>
      <c r="AD59" s="236"/>
      <c r="AE59" s="236"/>
      <c r="AF59" s="236"/>
      <c r="AG59" s="236"/>
    </row>
    <row r="60" spans="10:33">
      <c r="S60" s="236" t="str">
        <f>+I37</f>
        <v>대손</v>
      </c>
      <c r="T60" s="236">
        <f t="shared" si="15"/>
        <v>0</v>
      </c>
      <c r="U60" s="236">
        <f t="shared" si="15"/>
        <v>-5.2239605099999995</v>
      </c>
      <c r="V60" s="236">
        <f>+U60-T60</f>
        <v>-5.2239605099999995</v>
      </c>
      <c r="AC60" s="236"/>
      <c r="AD60" s="236"/>
      <c r="AE60" s="236"/>
      <c r="AF60" s="236"/>
    </row>
    <row r="61" spans="10:33">
      <c r="S61" s="236" t="str">
        <f>+I38</f>
        <v>미운영 공장</v>
      </c>
      <c r="T61" s="236">
        <f t="shared" si="15"/>
        <v>-1.0766229699999998</v>
      </c>
      <c r="U61" s="236">
        <f t="shared" si="15"/>
        <v>-1.0334340199999998</v>
      </c>
      <c r="V61" s="236">
        <f>+U61-T61</f>
        <v>4.3188950000000004E-2</v>
      </c>
      <c r="AC61" s="236"/>
      <c r="AD61" s="236"/>
      <c r="AE61" s="236"/>
    </row>
    <row r="62" spans="10:33">
      <c r="S62" s="236" t="str">
        <f>+I40</f>
        <v>기타</v>
      </c>
      <c r="T62" s="236">
        <f>+T40/100</f>
        <v>-0.57255159000022804</v>
      </c>
      <c r="U62" s="236">
        <f>+U40/100</f>
        <v>-0.5862416400004179</v>
      </c>
      <c r="V62" s="236">
        <f>+U62-T62</f>
        <v>-1.3690050000189857E-2</v>
      </c>
      <c r="AC62" s="236"/>
      <c r="AD62" s="236"/>
      <c r="AE62" s="236"/>
    </row>
    <row r="63" spans="10:33">
      <c r="T63" s="6">
        <f>SUM(T58:T62)</f>
        <v>2.3597409466664381</v>
      </c>
      <c r="U63" s="6">
        <f>SUM(U58:U62)</f>
        <v>-2.0406510800004165</v>
      </c>
      <c r="V63" s="6">
        <f>SUM(V58:V62)</f>
        <v>-4.4003920266668546</v>
      </c>
      <c r="AC63" s="236"/>
      <c r="AE63" s="236"/>
    </row>
    <row r="64" spans="10:33">
      <c r="AC64" s="236"/>
      <c r="AE64" s="236"/>
    </row>
    <row r="65" spans="20:31">
      <c r="AC65" s="236"/>
      <c r="AE65" s="236"/>
    </row>
    <row r="66" spans="20:31">
      <c r="AC66" s="236"/>
      <c r="AE66" s="236"/>
    </row>
    <row r="67" spans="20:31">
      <c r="AC67" s="236"/>
      <c r="AE67" s="236"/>
    </row>
    <row r="68" spans="20:31">
      <c r="AC68" s="236"/>
      <c r="AE68" s="236"/>
    </row>
    <row r="69" spans="20:31">
      <c r="T69" s="6">
        <f>SUM(T33:T34,T36,T38:T39,T40,Y37)</f>
        <v>235.97409466664385</v>
      </c>
      <c r="U69" s="6">
        <f>SUM(U33:U34,U36,U38:U39,U40,Z37)</f>
        <v>-441.01224591004166</v>
      </c>
      <c r="V69" s="6">
        <f>+U69-T69</f>
        <v>-676.98634057668551</v>
      </c>
      <c r="AC69" s="236"/>
      <c r="AE69" s="236"/>
    </row>
    <row r="70" spans="20:31">
      <c r="AC70" s="236"/>
      <c r="AE70" s="236"/>
    </row>
    <row r="71" spans="20:31">
      <c r="AC71" s="236"/>
      <c r="AE71" s="236"/>
    </row>
    <row r="72" spans="20:31">
      <c r="AC72" s="236"/>
      <c r="AE72" s="236"/>
    </row>
    <row r="73" spans="20:31">
      <c r="AC73" s="236"/>
      <c r="AE73" s="236"/>
    </row>
    <row r="74" spans="20:31">
      <c r="AC74" s="236"/>
      <c r="AE74" s="236"/>
    </row>
    <row r="75" spans="20:31">
      <c r="AC75" s="236"/>
      <c r="AE75" s="236"/>
    </row>
    <row r="76" spans="20:31">
      <c r="AC76" s="236"/>
      <c r="AE76" s="236"/>
    </row>
    <row r="77" spans="20:31">
      <c r="AC77" s="236"/>
      <c r="AE77" s="236"/>
    </row>
    <row r="78" spans="20:31">
      <c r="AC78" s="236"/>
    </row>
  </sheetData>
  <mergeCells count="4">
    <mergeCell ref="H5:I6"/>
    <mergeCell ref="H28:I28"/>
    <mergeCell ref="Y43:AG43"/>
    <mergeCell ref="I46:I47"/>
  </mergeCells>
  <phoneticPr fontId="1" type="noConversion"/>
  <printOptions horizontalCentered="1"/>
  <pageMargins left="0" right="0" top="0.39370078740157483" bottom="0.19685039370078741" header="0.31496062992125984" footer="0.31496062992125984"/>
  <pageSetup paperSize="9" scale="57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D905-614A-44EA-9ACC-3DB31372882A}">
  <sheetPr>
    <tabColor theme="1" tint="0.249977111117893"/>
    <pageSetUpPr fitToPage="1"/>
  </sheetPr>
  <dimension ref="A1:Z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 activeCell="E8" sqref="E8"/>
    </sheetView>
  </sheetViews>
  <sheetFormatPr defaultRowHeight="16.5"/>
  <cols>
    <col min="1" max="3" width="5.625" style="6" customWidth="1"/>
    <col min="4" max="4" width="9.875" style="6" customWidth="1"/>
    <col min="5" max="7" width="9.625" style="6" customWidth="1"/>
    <col min="8" max="10" width="8.625" style="6" customWidth="1"/>
    <col min="11" max="23" width="9.625" style="6" customWidth="1"/>
    <col min="24" max="16384" width="9" style="6"/>
  </cols>
  <sheetData>
    <row r="1" spans="1:26" ht="9.9499999999999993" customHeight="1"/>
    <row r="2" spans="1:26" ht="9.9499999999999993" hidden="1" customHeight="1"/>
    <row r="3" spans="1:26" ht="9.9499999999999993" customHeight="1"/>
    <row r="4" spans="1:26" ht="31.5">
      <c r="D4" s="398" t="s">
        <v>228</v>
      </c>
      <c r="F4" s="398"/>
      <c r="I4" s="398"/>
      <c r="J4" s="398"/>
    </row>
    <row r="5" spans="1:26" ht="21.95" customHeight="1">
      <c r="W5" s="397" t="s">
        <v>142</v>
      </c>
    </row>
    <row r="6" spans="1:26" ht="24" customHeight="1" thickBot="1">
      <c r="A6" s="6" t="s">
        <v>141</v>
      </c>
      <c r="D6" s="763" t="s">
        <v>11</v>
      </c>
      <c r="E6" s="396" t="s">
        <v>140</v>
      </c>
      <c r="F6" s="395"/>
      <c r="G6" s="394"/>
      <c r="H6" s="396" t="s">
        <v>139</v>
      </c>
      <c r="I6" s="395"/>
      <c r="J6" s="395"/>
      <c r="K6" s="394"/>
      <c r="L6" s="396" t="s">
        <v>138</v>
      </c>
      <c r="M6" s="395"/>
      <c r="N6" s="395"/>
      <c r="O6" s="394"/>
      <c r="P6" s="396" t="s">
        <v>137</v>
      </c>
      <c r="Q6" s="395"/>
      <c r="R6" s="395"/>
      <c r="S6" s="394"/>
      <c r="T6" s="396" t="s">
        <v>136</v>
      </c>
      <c r="U6" s="395"/>
      <c r="V6" s="395"/>
      <c r="W6" s="394"/>
    </row>
    <row r="7" spans="1:26" ht="24" customHeight="1">
      <c r="D7" s="764"/>
      <c r="E7" s="392" t="s">
        <v>36</v>
      </c>
      <c r="F7" s="391" t="s">
        <v>37</v>
      </c>
      <c r="G7" s="393" t="s">
        <v>38</v>
      </c>
      <c r="H7" s="392" t="s">
        <v>12</v>
      </c>
      <c r="I7" s="391" t="s">
        <v>13</v>
      </c>
      <c r="J7" s="390" t="s">
        <v>38</v>
      </c>
      <c r="K7" s="389" t="s">
        <v>135</v>
      </c>
      <c r="L7" s="392" t="s">
        <v>12</v>
      </c>
      <c r="M7" s="391" t="s">
        <v>13</v>
      </c>
      <c r="N7" s="390" t="s">
        <v>38</v>
      </c>
      <c r="O7" s="389" t="s">
        <v>135</v>
      </c>
      <c r="P7" s="392" t="s">
        <v>12</v>
      </c>
      <c r="Q7" s="391" t="s">
        <v>13</v>
      </c>
      <c r="R7" s="390" t="s">
        <v>38</v>
      </c>
      <c r="S7" s="389" t="s">
        <v>135</v>
      </c>
      <c r="T7" s="392" t="s">
        <v>12</v>
      </c>
      <c r="U7" s="391" t="s">
        <v>13</v>
      </c>
      <c r="V7" s="390" t="s">
        <v>38</v>
      </c>
      <c r="W7" s="389" t="s">
        <v>135</v>
      </c>
    </row>
    <row r="8" spans="1:26" ht="24" customHeight="1">
      <c r="D8" s="388" t="s">
        <v>32</v>
      </c>
      <c r="E8" s="386">
        <f>+[4]합계!$H$86/1000</f>
        <v>3031.196718492014</v>
      </c>
      <c r="F8" s="385">
        <f>+[4]합계!$I$86/1000</f>
        <v>2165.6688830000048</v>
      </c>
      <c r="G8" s="384">
        <f t="shared" ref="G8:G28" si="0">+F8-E8</f>
        <v>-865.52783549200922</v>
      </c>
      <c r="H8" s="386">
        <f>+[4]합계!$T$5/1000</f>
        <v>295.5</v>
      </c>
      <c r="I8" s="385">
        <f>+[4]합계!$U$5/1000</f>
        <v>276.85300000000001</v>
      </c>
      <c r="J8" s="384">
        <f t="shared" ref="J8:J28" si="1">+I8-H8</f>
        <v>-18.646999999999991</v>
      </c>
      <c r="K8" s="387">
        <f>+[4]합계!$M$86/1000</f>
        <v>-270.04135033887229</v>
      </c>
      <c r="L8" s="386">
        <f>+[4]합계!$Q$85</f>
        <v>100435.47222658443</v>
      </c>
      <c r="M8" s="385">
        <f>+[4]합계!$R$85</f>
        <v>98470.346196543367</v>
      </c>
      <c r="N8" s="384">
        <f t="shared" ref="N8:N28" si="2">+M8-L8</f>
        <v>-1965.126030041065</v>
      </c>
      <c r="O8" s="387">
        <f>+[4]합계!$K$86/1000</f>
        <v>-541.67519942463935</v>
      </c>
      <c r="P8" s="386">
        <f>+[4]합계!$Q$50</f>
        <v>86719.353605569515</v>
      </c>
      <c r="Q8" s="385">
        <f>+[4]합계!$R$50</f>
        <v>86860.520661336341</v>
      </c>
      <c r="R8" s="384">
        <f t="shared" ref="R8:R28" si="3">+Q8-P8</f>
        <v>141.1670557668258</v>
      </c>
      <c r="S8" s="387">
        <f>+[4]합계!$L$56/1000</f>
        <v>23.831964783611191</v>
      </c>
      <c r="T8" s="386">
        <f>+([4]합계!$H$80+[4]합계!$H$85)/1000</f>
        <v>1021.9163340179012</v>
      </c>
      <c r="U8" s="385">
        <f>+([4]합계!$I$80+[4]합계!$I$85)/1000</f>
        <v>1099.5595845300002</v>
      </c>
      <c r="V8" s="384">
        <f t="shared" ref="V8:V28" si="4">+U8-T8</f>
        <v>77.643250512098916</v>
      </c>
      <c r="W8" s="383">
        <f>+([4]합계!$L$80+[4]합계!$L$85)/1000</f>
        <v>-77.643250512098732</v>
      </c>
      <c r="Y8" s="6">
        <f t="shared" ref="Y8:Y28" si="5">+G8-K8-O8-S8-W8</f>
        <v>-1.0103917702508625E-11</v>
      </c>
      <c r="Z8" s="6">
        <f t="shared" ref="Z8:Z28" si="6">+Y8*1000000</f>
        <v>-1.0103917702508625E-5</v>
      </c>
    </row>
    <row r="9" spans="1:26" ht="24" customHeight="1">
      <c r="D9" s="382" t="s">
        <v>16</v>
      </c>
      <c r="E9" s="381">
        <f>+[4]수도권!$H$86/1000</f>
        <v>829.31606294280743</v>
      </c>
      <c r="F9" s="380">
        <f>+[4]수도권!$I$86/1000</f>
        <v>593.23160900000039</v>
      </c>
      <c r="G9" s="379">
        <f t="shared" si="0"/>
        <v>-236.08445394280704</v>
      </c>
      <c r="H9" s="381">
        <f>+[4]수도권!$T$5/1000</f>
        <v>110</v>
      </c>
      <c r="I9" s="380">
        <f>+[4]수도권!$U$5/1000</f>
        <v>99.751999999999995</v>
      </c>
      <c r="J9" s="379">
        <f t="shared" si="1"/>
        <v>-10.248000000000005</v>
      </c>
      <c r="K9" s="378">
        <f>+[4]수도권!$M$86/1000</f>
        <v>-114.22273364221979</v>
      </c>
      <c r="L9" s="381">
        <f>+[4]수도권!$Q$85</f>
        <v>97316.07043168816</v>
      </c>
      <c r="M9" s="380">
        <f>+[4]수도권!$R$85</f>
        <v>96454.113487158218</v>
      </c>
      <c r="N9" s="379">
        <f t="shared" si="2"/>
        <v>-861.95694452994212</v>
      </c>
      <c r="O9" s="378">
        <f>+[4]수도권!$K$86/1000</f>
        <v>-85.210477665396482</v>
      </c>
      <c r="P9" s="381">
        <f>+[4]수도권!$Q$50</f>
        <v>86898.782929021021</v>
      </c>
      <c r="Q9" s="380">
        <f>+[4]수도권!$R$50</f>
        <v>87093.953625035399</v>
      </c>
      <c r="R9" s="379">
        <f t="shared" si="3"/>
        <v>195.17069601437834</v>
      </c>
      <c r="S9" s="378">
        <f>+[4]수도권!$L$56/1000</f>
        <v>-19.569797745767339</v>
      </c>
      <c r="T9" s="381">
        <f>+([4]수도권!$H$80+[4]수도권!$H$85)/1000</f>
        <v>316.58556235057779</v>
      </c>
      <c r="U9" s="380">
        <f>+([4]수도권!$I$80+[4]수도권!$I$85)/1000</f>
        <v>333.66700724000003</v>
      </c>
      <c r="V9" s="379">
        <f t="shared" si="4"/>
        <v>17.081444889422244</v>
      </c>
      <c r="W9" s="378">
        <f>+([4]수도권!$L$80+[4]수도권!$L$85)/1000</f>
        <v>-17.08144488942219</v>
      </c>
      <c r="Y9" s="6">
        <f t="shared" si="5"/>
        <v>-1.2398970739013748E-12</v>
      </c>
      <c r="Z9" s="6">
        <f t="shared" si="6"/>
        <v>-1.2398970739013748E-6</v>
      </c>
    </row>
    <row r="10" spans="1:26" ht="24" customHeight="1">
      <c r="D10" s="377" t="s">
        <v>17</v>
      </c>
      <c r="E10" s="376">
        <f>+[4]영남권!$H$86/1000</f>
        <v>1257.6656614205006</v>
      </c>
      <c r="F10" s="375">
        <f>+[4]영남권!$I$86/1000</f>
        <v>851.16723400000137</v>
      </c>
      <c r="G10" s="374">
        <f t="shared" si="0"/>
        <v>-406.49842742049918</v>
      </c>
      <c r="H10" s="376">
        <f>+[4]영남권!$T$5/1000</f>
        <v>128.5</v>
      </c>
      <c r="I10" s="375">
        <f>+[4]영남권!$U$5/1000</f>
        <v>119.871</v>
      </c>
      <c r="J10" s="374">
        <f t="shared" si="1"/>
        <v>-8.6290000000000049</v>
      </c>
      <c r="K10" s="373">
        <f>+[4]영남권!$M$86/1000</f>
        <v>-118.98327621495584</v>
      </c>
      <c r="L10" s="376">
        <f>+[4]영남권!$Q$85</f>
        <v>100478.00771571984</v>
      </c>
      <c r="M10" s="375">
        <f>+[4]영남권!$R$85</f>
        <v>98385.128898458555</v>
      </c>
      <c r="N10" s="374">
        <f t="shared" si="2"/>
        <v>-2092.878817261284</v>
      </c>
      <c r="O10" s="373">
        <f>+[4]영남권!$K$86/1000</f>
        <v>-250.77501852069886</v>
      </c>
      <c r="P10" s="376">
        <f>+[4]영남권!$Q$50</f>
        <v>86752.794368369825</v>
      </c>
      <c r="Q10" s="375">
        <f>+[4]영남권!$R$50</f>
        <v>87176.628695025225</v>
      </c>
      <c r="R10" s="374">
        <f t="shared" si="3"/>
        <v>423.83432665540022</v>
      </c>
      <c r="S10" s="373">
        <f>+[4]영남권!$L$56/1000</f>
        <v>12.001799901179991</v>
      </c>
      <c r="T10" s="376">
        <f>+([4]영남권!$H$80+[4]영남권!$H$85)/1000</f>
        <v>506.0242537139759</v>
      </c>
      <c r="U10" s="375">
        <f>+([4]영남권!$I$80+[4]영남권!$I$85)/1000</f>
        <v>554.76618629999996</v>
      </c>
      <c r="V10" s="374">
        <f t="shared" si="4"/>
        <v>48.741932586024063</v>
      </c>
      <c r="W10" s="373">
        <f>+([4]영남권!$L$80+[4]영남권!$L$85)/1000</f>
        <v>-48.741932586024063</v>
      </c>
      <c r="Y10" s="6">
        <f t="shared" si="5"/>
        <v>-4.2632564145606011E-13</v>
      </c>
      <c r="Z10" s="6">
        <f t="shared" si="6"/>
        <v>-4.2632564145606011E-7</v>
      </c>
    </row>
    <row r="11" spans="1:26" ht="24" customHeight="1">
      <c r="D11" s="372" t="s">
        <v>134</v>
      </c>
      <c r="E11" s="371">
        <f>+[4]중부권!$H$86/1000</f>
        <v>944.21499412869946</v>
      </c>
      <c r="F11" s="370">
        <f>+[4]중부권!$I$86/1000</f>
        <v>721.27004000000022</v>
      </c>
      <c r="G11" s="369">
        <f t="shared" si="0"/>
        <v>-222.94495412869924</v>
      </c>
      <c r="H11" s="371">
        <f>+[4]중부권!$T$5/1000</f>
        <v>57</v>
      </c>
      <c r="I11" s="370">
        <f>+[4]중부권!$U$5/1000</f>
        <v>57.23</v>
      </c>
      <c r="J11" s="369">
        <f t="shared" si="1"/>
        <v>0.22999999999999687</v>
      </c>
      <c r="K11" s="368">
        <f>+[4]중부권!$M$86/1000</f>
        <v>-0.38382411289392987</v>
      </c>
      <c r="L11" s="371">
        <f>+[4]중부권!$Q$85</f>
        <v>106359.47901754387</v>
      </c>
      <c r="M11" s="370">
        <f>+[4]중부권!$R$85</f>
        <v>102148.62913419002</v>
      </c>
      <c r="N11" s="369">
        <f t="shared" si="2"/>
        <v>-4210.849883353847</v>
      </c>
      <c r="O11" s="368">
        <f>+[4]중부권!$K$86/1000</f>
        <v>-239.86685275536854</v>
      </c>
      <c r="P11" s="371">
        <f>+[4]중부권!$Q$50</f>
        <v>86297.698103823757</v>
      </c>
      <c r="Q11" s="370">
        <f>+[4]중부권!$R$50</f>
        <v>85786.311260834482</v>
      </c>
      <c r="R11" s="369">
        <f t="shared" si="3"/>
        <v>-511.38684298927546</v>
      </c>
      <c r="S11" s="368">
        <f>+[4]중부권!$L$56/1000</f>
        <v>29.125595776215093</v>
      </c>
      <c r="T11" s="371">
        <f>+([4]중부권!$H$80+[4]중부권!$H$85)/1000</f>
        <v>199.30651795334742</v>
      </c>
      <c r="U11" s="370">
        <f>+([4]중부권!$I$80+[4]중부권!$I$85)/1000</f>
        <v>211.12639099</v>
      </c>
      <c r="V11" s="369">
        <f t="shared" si="4"/>
        <v>11.819873036652581</v>
      </c>
      <c r="W11" s="368">
        <f>+([4]중부권!$L$80+[4]중부권!$L$85)/1000</f>
        <v>-11.819873036652597</v>
      </c>
      <c r="Y11" s="6">
        <f t="shared" si="5"/>
        <v>7.4074080202990444E-13</v>
      </c>
      <c r="Z11" s="6">
        <f t="shared" si="6"/>
        <v>7.4074080202990444E-7</v>
      </c>
    </row>
    <row r="12" spans="1:26" ht="24" customHeight="1">
      <c r="D12" s="367" t="s">
        <v>18</v>
      </c>
      <c r="E12" s="365">
        <f>+[4]안양!$H$86/1000</f>
        <v>413.70969318204038</v>
      </c>
      <c r="F12" s="364">
        <f>+[4]안양!$I$86/1000</f>
        <v>321.01658199999946</v>
      </c>
      <c r="G12" s="366">
        <f t="shared" si="0"/>
        <v>-92.693111182040923</v>
      </c>
      <c r="H12" s="365">
        <f>+[4]안양!$T$5/1000</f>
        <v>42</v>
      </c>
      <c r="I12" s="364">
        <f>+[4]안양!$U$5/1000</f>
        <v>40.25</v>
      </c>
      <c r="J12" s="363">
        <f t="shared" si="1"/>
        <v>-1.75</v>
      </c>
      <c r="K12" s="362">
        <f>+[4]안양!$M$86/1000</f>
        <v>-23.041062715182196</v>
      </c>
      <c r="L12" s="365">
        <f>+[4]안양!$Q$85</f>
        <v>98051.191190476195</v>
      </c>
      <c r="M12" s="364">
        <f>+[4]안양!$R$85</f>
        <v>95439.899645248312</v>
      </c>
      <c r="N12" s="363">
        <f t="shared" si="2"/>
        <v>-2611.291545227883</v>
      </c>
      <c r="O12" s="362">
        <f>+[4]안양!$K$86/1000</f>
        <v>-104.5247779723817</v>
      </c>
      <c r="P12" s="365">
        <f>+[4]안양!$Q$50</f>
        <v>85910.084336935543</v>
      </c>
      <c r="Q12" s="364">
        <f>+[4]안양!$R$50</f>
        <v>84951.311781752782</v>
      </c>
      <c r="R12" s="363">
        <f t="shared" si="3"/>
        <v>-958.7725551827607</v>
      </c>
      <c r="S12" s="362">
        <f>+[4]안양!$L$56/1000</f>
        <v>38.37774305885619</v>
      </c>
      <c r="T12" s="365">
        <f>+([4]안양!$H$80+[4]안양!$H$85)/1000</f>
        <v>96.216794666666658</v>
      </c>
      <c r="U12" s="364">
        <f>+([4]안양!$I$80+[4]안양!$I$85)/1000</f>
        <v>99.721808219999986</v>
      </c>
      <c r="V12" s="363">
        <f t="shared" si="4"/>
        <v>3.5050135533333275</v>
      </c>
      <c r="W12" s="362">
        <f>+([4]안양!$L$80+[4]안양!$L$85)/1000</f>
        <v>-3.5050135533333395</v>
      </c>
      <c r="Y12" s="6">
        <f t="shared" si="5"/>
        <v>1.1857181902996672E-13</v>
      </c>
      <c r="Z12" s="6">
        <f t="shared" si="6"/>
        <v>1.1857181902996672E-7</v>
      </c>
    </row>
    <row r="13" spans="1:26" ht="24" customHeight="1">
      <c r="D13" s="354" t="s">
        <v>19</v>
      </c>
      <c r="E13" s="351">
        <f>+[4]인천!$H$86/1000</f>
        <v>185.05258558863665</v>
      </c>
      <c r="F13" s="350">
        <f>+[4]인천!$I$86/1000</f>
        <v>222.53656899999947</v>
      </c>
      <c r="G13" s="352">
        <f t="shared" si="0"/>
        <v>37.483983411362829</v>
      </c>
      <c r="H13" s="351">
        <f>+[4]인천!$T$5/1000</f>
        <v>30</v>
      </c>
      <c r="I13" s="350">
        <f>+[4]인천!$U$5/1000</f>
        <v>33.57</v>
      </c>
      <c r="J13" s="152">
        <f t="shared" si="1"/>
        <v>3.5700000000000003</v>
      </c>
      <c r="K13" s="349">
        <f>+[4]인천!$M$86/1000</f>
        <v>31.798221029059437</v>
      </c>
      <c r="L13" s="351">
        <f>+[4]인천!$Q$85</f>
        <v>98468.653536189959</v>
      </c>
      <c r="M13" s="350">
        <f>+[4]인천!$R$85</f>
        <v>98978.103153922173</v>
      </c>
      <c r="N13" s="152">
        <f t="shared" si="2"/>
        <v>509.44961773221439</v>
      </c>
      <c r="O13" s="349">
        <f>+[4]인천!$K$86/1000</f>
        <v>17.008994387225442</v>
      </c>
      <c r="P13" s="351">
        <f>+[4]인천!$Q$50</f>
        <v>89126.043253030963</v>
      </c>
      <c r="Q13" s="350">
        <f>+[4]인천!$R$50</f>
        <v>89170.258483841026</v>
      </c>
      <c r="R13" s="152">
        <f t="shared" si="3"/>
        <v>44.215230810063076</v>
      </c>
      <c r="S13" s="349">
        <f>+[4]인천!$L$56/1000</f>
        <v>-1.4762156410551184</v>
      </c>
      <c r="T13" s="351">
        <f>+([4]인천!$H$80+[4]인천!$H$85)/1000</f>
        <v>95.225722906133328</v>
      </c>
      <c r="U13" s="350">
        <f>+([4]인천!$I$80+[4]인천!$I$85)/1000</f>
        <v>105.07273926999999</v>
      </c>
      <c r="V13" s="152">
        <f t="shared" si="4"/>
        <v>9.8470163638666577</v>
      </c>
      <c r="W13" s="349">
        <f>+([4]인천!$L$80+[4]인천!$L$85)/1000</f>
        <v>-9.8470163638666488</v>
      </c>
      <c r="Y13" s="6">
        <f t="shared" si="5"/>
        <v>-2.8421709430404007E-13</v>
      </c>
      <c r="Z13" s="6">
        <f t="shared" si="6"/>
        <v>-2.8421709430404007E-7</v>
      </c>
    </row>
    <row r="14" spans="1:26" ht="24" customHeight="1">
      <c r="D14" s="354" t="s">
        <v>20</v>
      </c>
      <c r="E14" s="351">
        <f>+[4]파주!$H$86/1000</f>
        <v>121.37225835771102</v>
      </c>
      <c r="F14" s="350">
        <f>+[4]파주!$I$86/1000</f>
        <v>-15.154132000000169</v>
      </c>
      <c r="G14" s="352">
        <f t="shared" si="0"/>
        <v>-136.52639035771119</v>
      </c>
      <c r="H14" s="351">
        <f>+[4]파주!$T$5/1000</f>
        <v>22</v>
      </c>
      <c r="I14" s="350">
        <f>+[4]파주!$U$5/1000</f>
        <v>13.605</v>
      </c>
      <c r="J14" s="152">
        <f t="shared" si="1"/>
        <v>-8.3949999999999996</v>
      </c>
      <c r="K14" s="349">
        <f>+[4]파주!$M$86/1000</f>
        <v>-74.962324726764464</v>
      </c>
      <c r="L14" s="351">
        <f>+[4]파주!$Q$85</f>
        <v>96038.898245454533</v>
      </c>
      <c r="M14" s="350">
        <f>+[4]파주!$R$85</f>
        <v>93525.184798028815</v>
      </c>
      <c r="N14" s="152">
        <f t="shared" si="2"/>
        <v>-2513.7134474257182</v>
      </c>
      <c r="O14" s="349">
        <f>+[4]파주!$K$86/1000</f>
        <v>-33.666164201372645</v>
      </c>
      <c r="P14" s="351">
        <f>+[4]파주!$Q$50</f>
        <v>87308.013532225246</v>
      </c>
      <c r="Q14" s="350">
        <f>+[4]파주!$R$50</f>
        <v>89209.262077204505</v>
      </c>
      <c r="R14" s="152">
        <f t="shared" si="3"/>
        <v>1901.2485449792584</v>
      </c>
      <c r="S14" s="349">
        <f>+[4]파주!$L$56/1000</f>
        <v>-25.463449222907371</v>
      </c>
      <c r="T14" s="351">
        <f>+([4]파주!$H$80+[4]파주!$H$85)/1000</f>
        <v>70.707205333333334</v>
      </c>
      <c r="U14" s="350">
        <f>+([4]파주!$I$80+[4]파주!$I$85)/1000</f>
        <v>73.141657539999997</v>
      </c>
      <c r="V14" s="152">
        <f t="shared" si="4"/>
        <v>2.4344522066666627</v>
      </c>
      <c r="W14" s="349">
        <f>+([4]파주!$L$80+[4]파주!$L$85)/1000</f>
        <v>-2.434452206666665</v>
      </c>
      <c r="Y14" s="6">
        <f t="shared" si="5"/>
        <v>-4.75175454539567E-14</v>
      </c>
      <c r="Z14" s="6">
        <f t="shared" si="6"/>
        <v>-4.75175454539567E-8</v>
      </c>
    </row>
    <row r="15" spans="1:26" ht="24" customHeight="1">
      <c r="D15" s="354" t="s">
        <v>108</v>
      </c>
      <c r="E15" s="351">
        <f>+[4]김포!$H$86/1000</f>
        <v>109.18152581442014</v>
      </c>
      <c r="F15" s="350">
        <f>+[4]김포!$I$86/1000</f>
        <v>64.832589999999954</v>
      </c>
      <c r="G15" s="352">
        <f t="shared" si="0"/>
        <v>-44.348935814420187</v>
      </c>
      <c r="H15" s="351">
        <f>+[4]김포!$T$5/1000</f>
        <v>16</v>
      </c>
      <c r="I15" s="350">
        <f>+[4]김포!$U$5/1000</f>
        <v>12.327</v>
      </c>
      <c r="J15" s="152">
        <f t="shared" si="1"/>
        <v>-3.673</v>
      </c>
      <c r="K15" s="349">
        <f>+[4]김포!$M$86/1000</f>
        <v>-39.786562133610886</v>
      </c>
      <c r="L15" s="351">
        <f>+[4]김포!$Q$85</f>
        <v>94981.396875000006</v>
      </c>
      <c r="M15" s="350">
        <f>+[4]김포!$R$85</f>
        <v>96085.257199767613</v>
      </c>
      <c r="N15" s="152">
        <f t="shared" si="2"/>
        <v>1103.8603247676074</v>
      </c>
      <c r="O15" s="349">
        <f>+[4]김포!$K$86/1000</f>
        <v>13.300413053124901</v>
      </c>
      <c r="P15" s="351">
        <f>+[4]김포!$Q$50</f>
        <v>84755.311546320969</v>
      </c>
      <c r="Q15" s="361">
        <f>+[4]김포!$R$50</f>
        <v>86108.360862354893</v>
      </c>
      <c r="R15" s="152">
        <f t="shared" si="3"/>
        <v>1353.0493160339247</v>
      </c>
      <c r="S15" s="349">
        <f>+[4]김포!$L$56/1000</f>
        <v>-16.567823968378651</v>
      </c>
      <c r="T15" s="351">
        <f>+([4]김포!$H$80+[4]김포!$H$85)/1000</f>
        <v>54.435839444444447</v>
      </c>
      <c r="U15" s="350">
        <f>+([4]김포!$I$80+[4]김포!$I$85)/1000</f>
        <v>55.730802210000007</v>
      </c>
      <c r="V15" s="152">
        <f t="shared" si="4"/>
        <v>1.2949627655555602</v>
      </c>
      <c r="W15" s="349">
        <f>+([4]김포!$L$80+[4]김포!$L$85)/1000</f>
        <v>-1.2949627655555573</v>
      </c>
      <c r="Y15" s="6">
        <f t="shared" si="5"/>
        <v>7.7715611723760958E-15</v>
      </c>
      <c r="Z15" s="6">
        <f t="shared" si="6"/>
        <v>7.7715611723760958E-9</v>
      </c>
    </row>
    <row r="16" spans="1:26" ht="24" customHeight="1">
      <c r="D16" s="360" t="s">
        <v>21</v>
      </c>
      <c r="E16" s="358">
        <f>+[4]부산!$H$86/1000</f>
        <v>236.95571246335922</v>
      </c>
      <c r="F16" s="357">
        <f>+[4]부산!$I$86/1000</f>
        <v>112.51179200000007</v>
      </c>
      <c r="G16" s="359">
        <f t="shared" si="0"/>
        <v>-124.44392046335915</v>
      </c>
      <c r="H16" s="358">
        <f>+[4]부산!$T$5/1000</f>
        <v>21</v>
      </c>
      <c r="I16" s="357">
        <f>+[4]부산!$U$5/1000</f>
        <v>20.498999999999999</v>
      </c>
      <c r="J16" s="356">
        <f t="shared" si="1"/>
        <v>-0.50100000000000122</v>
      </c>
      <c r="K16" s="355">
        <f>+[4]부산!$M$86/1000</f>
        <v>-7.8713532181814152</v>
      </c>
      <c r="L16" s="358">
        <f>+[4]부산!$Q$85</f>
        <v>107699.57557238096</v>
      </c>
      <c r="M16" s="357">
        <f>+[4]부산!$R$85</f>
        <v>104240.42636226157</v>
      </c>
      <c r="N16" s="356">
        <f t="shared" si="2"/>
        <v>-3459.1492101193871</v>
      </c>
      <c r="O16" s="355">
        <f>+[4]부산!$K$86/1000</f>
        <v>-70.909099658237324</v>
      </c>
      <c r="P16" s="358">
        <f>+[4]부산!$Q$50</f>
        <v>91988.291703755385</v>
      </c>
      <c r="Q16" s="357">
        <f>+[4]부산!$R$50</f>
        <v>93740.018508596753</v>
      </c>
      <c r="R16" s="356">
        <f t="shared" si="3"/>
        <v>1751.726804841368</v>
      </c>
      <c r="S16" s="355">
        <f>+[4]부산!$L$56/1000</f>
        <v>20.514439115281544</v>
      </c>
      <c r="T16" s="358">
        <f>+([4]부산!$H$80+[4]부산!$H$85)/1000</f>
        <v>92.981248777777765</v>
      </c>
      <c r="U16" s="357">
        <f>+([4]부산!$I$80+[4]부산!$I$85)/1000</f>
        <v>159.15915548000001</v>
      </c>
      <c r="V16" s="356">
        <f t="shared" si="4"/>
        <v>66.177906702222245</v>
      </c>
      <c r="W16" s="355">
        <f>+([4]부산!$L$80+[4]부산!$L$85)/1000</f>
        <v>-66.177906702222231</v>
      </c>
      <c r="Y16" s="6">
        <f t="shared" si="5"/>
        <v>2.7000623958883807E-13</v>
      </c>
      <c r="Z16" s="6">
        <f t="shared" si="6"/>
        <v>2.7000623958883807E-7</v>
      </c>
    </row>
    <row r="17" spans="4:26" ht="24" customHeight="1">
      <c r="D17" s="354" t="s">
        <v>22</v>
      </c>
      <c r="E17" s="351">
        <f>+[4]서부산!$H$86/1000</f>
        <v>210.32020589076663</v>
      </c>
      <c r="F17" s="350">
        <f>+[4]서부산!$I$86/1000</f>
        <v>155.86616599999999</v>
      </c>
      <c r="G17" s="352">
        <f t="shared" si="0"/>
        <v>-54.454039890766637</v>
      </c>
      <c r="H17" s="351">
        <f>+[4]서부산!$T$5/1000</f>
        <v>22</v>
      </c>
      <c r="I17" s="350">
        <f>+[4]서부산!$U$5/1000</f>
        <v>19.391999999999999</v>
      </c>
      <c r="J17" s="152">
        <f t="shared" si="1"/>
        <v>-2.6080000000000005</v>
      </c>
      <c r="K17" s="349">
        <f>+[4]서부산!$M$86/1000</f>
        <v>-33.995433714161976</v>
      </c>
      <c r="L17" s="351">
        <f>+[4]서부산!$Q$85</f>
        <v>99300.043090909123</v>
      </c>
      <c r="M17" s="350">
        <f>+[4]서부산!$R$85</f>
        <v>97731.982260726072</v>
      </c>
      <c r="N17" s="152">
        <f t="shared" si="2"/>
        <v>-1568.0608301830507</v>
      </c>
      <c r="O17" s="349">
        <f>+[4]서부산!$K$86/1000</f>
        <v>-30.407835618909722</v>
      </c>
      <c r="P17" s="351">
        <f>+[4]서부산!$Q$50</f>
        <v>86264.984151429831</v>
      </c>
      <c r="Q17" s="350">
        <f>+[4]서부산!$R$50</f>
        <v>85126.262697544982</v>
      </c>
      <c r="R17" s="152">
        <f t="shared" si="3"/>
        <v>-1138.7214538848493</v>
      </c>
      <c r="S17" s="349">
        <f>+[4]서부산!$L$56/1000</f>
        <v>21.684599924527035</v>
      </c>
      <c r="T17" s="351">
        <f>+([4]서부산!$H$80+[4]서부산!$H$85)/1000</f>
        <v>76.451090777777779</v>
      </c>
      <c r="U17" s="350">
        <f>+([4]서부산!$I$80+[4]서부산!$I$85)/1000</f>
        <v>88.186461259999987</v>
      </c>
      <c r="V17" s="152">
        <f t="shared" si="4"/>
        <v>11.735370482222208</v>
      </c>
      <c r="W17" s="349">
        <f>+([4]서부산!$L$80+[4]서부산!$L$85)/1000</f>
        <v>-11.735370482222216</v>
      </c>
      <c r="Y17" s="6">
        <f t="shared" si="5"/>
        <v>2.4158453015843406E-13</v>
      </c>
      <c r="Z17" s="6">
        <f t="shared" si="6"/>
        <v>2.4158453015843406E-7</v>
      </c>
    </row>
    <row r="18" spans="4:26" ht="24" customHeight="1">
      <c r="D18" s="354" t="s">
        <v>23</v>
      </c>
      <c r="E18" s="351">
        <f>+[4]김해!$H$86/1000</f>
        <v>150.40606133195618</v>
      </c>
      <c r="F18" s="350">
        <f>+[4]김해!$I$86/1000</f>
        <v>-22.904841000000086</v>
      </c>
      <c r="G18" s="352">
        <f t="shared" si="0"/>
        <v>-173.31090233195627</v>
      </c>
      <c r="H18" s="351">
        <f>+[4]김해!$T$5/1000</f>
        <v>15</v>
      </c>
      <c r="I18" s="350">
        <f>+[4]김해!$U$5/1000</f>
        <v>11.975</v>
      </c>
      <c r="J18" s="152">
        <f t="shared" si="1"/>
        <v>-3.0250000000000004</v>
      </c>
      <c r="K18" s="349">
        <f>+[4]김해!$M$86/1000</f>
        <v>-41.15159893420676</v>
      </c>
      <c r="L18" s="351">
        <f>+[4]김해!$Q$85</f>
        <v>96299.853333333333</v>
      </c>
      <c r="M18" s="350">
        <f>+[4]김해!$R$85</f>
        <v>86017.766412341749</v>
      </c>
      <c r="N18" s="152">
        <f t="shared" si="2"/>
        <v>-10282.086920991584</v>
      </c>
      <c r="O18" s="349">
        <f>+[4]김해!$K$86/1000</f>
        <v>-122.63445070666661</v>
      </c>
      <c r="P18" s="351">
        <f>+[4]김해!$Q$50</f>
        <v>82872.583911202921</v>
      </c>
      <c r="Q18" s="350">
        <f>+[4]김해!$R$50</f>
        <v>83483.859562337559</v>
      </c>
      <c r="R18" s="152">
        <f t="shared" si="3"/>
        <v>611.27565113463788</v>
      </c>
      <c r="S18" s="349">
        <f>+[4]김해!$L$56/1000</f>
        <v>-3.8363981510830043</v>
      </c>
      <c r="T18" s="351">
        <f>+([4]김해!$H$80+[4]김해!$H$85)/1000</f>
        <v>51.002979999999994</v>
      </c>
      <c r="U18" s="350">
        <f>+([4]김해!$I$80+[4]김해!$I$85)/1000</f>
        <v>56.691434540000003</v>
      </c>
      <c r="V18" s="152">
        <f t="shared" si="4"/>
        <v>5.6884545400000093</v>
      </c>
      <c r="W18" s="349">
        <f>+([4]김해!$L$80+[4]김해!$L$85)/1000</f>
        <v>-5.6884545399999986</v>
      </c>
      <c r="Y18" s="6">
        <f t="shared" si="5"/>
        <v>1.0480505352461478E-13</v>
      </c>
      <c r="Z18" s="6">
        <f t="shared" si="6"/>
        <v>1.0480505352461478E-7</v>
      </c>
    </row>
    <row r="19" spans="4:26" ht="24" customHeight="1">
      <c r="D19" s="354" t="s">
        <v>24</v>
      </c>
      <c r="E19" s="351">
        <f>+[4]정관!$H$86/1000</f>
        <v>180.25227454130456</v>
      </c>
      <c r="F19" s="350">
        <f>+[4]정관!$I$86/1000</f>
        <v>280.09121400000009</v>
      </c>
      <c r="G19" s="352">
        <f t="shared" si="0"/>
        <v>99.838939458695535</v>
      </c>
      <c r="H19" s="351">
        <f>+[4]정관!$T$5/1000</f>
        <v>20</v>
      </c>
      <c r="I19" s="350">
        <f>+[4]정관!$U$5/1000</f>
        <v>23.628499999999999</v>
      </c>
      <c r="J19" s="152">
        <f t="shared" si="1"/>
        <v>3.6284999999999989</v>
      </c>
      <c r="K19" s="349">
        <f>+[4]정관!$M$86/1000</f>
        <v>46.304021373781261</v>
      </c>
      <c r="L19" s="351">
        <f>+[4]정관!$Q$85</f>
        <v>101999.763984</v>
      </c>
      <c r="M19" s="350">
        <f>+[4]정관!$R$85</f>
        <v>103723.92238186936</v>
      </c>
      <c r="N19" s="152">
        <f t="shared" si="2"/>
        <v>1724.1583978693525</v>
      </c>
      <c r="O19" s="349">
        <f>+[4]정관!$K$86/1000</f>
        <v>40.739276704055989</v>
      </c>
      <c r="P19" s="351">
        <f>+[4]정관!$Q$50</f>
        <v>89238.56200693475</v>
      </c>
      <c r="Q19" s="350">
        <f>+[4]정관!$R$50</f>
        <v>89324.062572519571</v>
      </c>
      <c r="R19" s="152">
        <f t="shared" si="3"/>
        <v>85.500565584821743</v>
      </c>
      <c r="S19" s="349">
        <f>+[4]정관!$L$56/1000</f>
        <v>2.3868138108581598</v>
      </c>
      <c r="T19" s="351">
        <f>+([4]정관!$H$80+[4]정관!$H$85)/1000</f>
        <v>74.971765000000005</v>
      </c>
      <c r="U19" s="350">
        <f>+([4]정관!$I$80+[4]정관!$I$85)/1000</f>
        <v>64.562937430000005</v>
      </c>
      <c r="V19" s="152">
        <f t="shared" si="4"/>
        <v>-10.40882757</v>
      </c>
      <c r="W19" s="349">
        <f>+([4]정관!$L$80+[4]정관!$L$85)/1000</f>
        <v>10.408827570000009</v>
      </c>
      <c r="Y19" s="6">
        <f t="shared" si="5"/>
        <v>1.1723955140041653E-13</v>
      </c>
      <c r="Z19" s="6">
        <f t="shared" si="6"/>
        <v>1.1723955140041653E-7</v>
      </c>
    </row>
    <row r="20" spans="4:26" ht="24" customHeight="1">
      <c r="D20" s="354" t="s">
        <v>25</v>
      </c>
      <c r="E20" s="351">
        <f>+[4]양산!$H$86/1000</f>
        <v>107.5825690425827</v>
      </c>
      <c r="F20" s="350">
        <f>+[4]양산!$I$86/1000</f>
        <v>-26.417205999999922</v>
      </c>
      <c r="G20" s="352">
        <f t="shared" si="0"/>
        <v>-133.99977504258263</v>
      </c>
      <c r="H20" s="351">
        <f>+[4]양산!$T$5/1000</f>
        <v>12</v>
      </c>
      <c r="I20" s="350">
        <f>+[4]양산!$U$5/1000</f>
        <v>6.2770000000000001</v>
      </c>
      <c r="J20" s="152">
        <f t="shared" si="1"/>
        <v>-5.7229999999999999</v>
      </c>
      <c r="K20" s="349">
        <f>+[4]양산!$M$86/1000</f>
        <v>-69.872871358752832</v>
      </c>
      <c r="L20" s="351">
        <f>+[4]양산!$Q$85</f>
        <v>94455</v>
      </c>
      <c r="M20" s="350">
        <f>+[4]양산!$R$85</f>
        <v>92330.9941054644</v>
      </c>
      <c r="N20" s="152">
        <f t="shared" si="2"/>
        <v>-2124.0058945355995</v>
      </c>
      <c r="O20" s="349">
        <f>+[4]양산!$K$86/1000</f>
        <v>-13.332384999999958</v>
      </c>
      <c r="P20" s="351">
        <f>+[4]양산!$Q$50</f>
        <v>82245.866440895901</v>
      </c>
      <c r="Q20" s="350">
        <f>+[4]양산!$R$50</f>
        <v>89948.672295682656</v>
      </c>
      <c r="R20" s="152">
        <f t="shared" si="3"/>
        <v>7702.8058547867549</v>
      </c>
      <c r="S20" s="349">
        <f>+[4]양산!$L$56/1000</f>
        <v>-48.288904880496453</v>
      </c>
      <c r="T20" s="351">
        <f>+([4]양산!$H$80+[4]양산!$H$85)/1000</f>
        <v>38.927033666666659</v>
      </c>
      <c r="U20" s="350">
        <f>+([4]양산!$I$80+[4]양산!$I$85)/1000</f>
        <v>41.432647469999999</v>
      </c>
      <c r="V20" s="152">
        <f t="shared" si="4"/>
        <v>2.5056138033333397</v>
      </c>
      <c r="W20" s="349">
        <f>+([4]양산!$L$80+[4]양산!$L$85)/1000</f>
        <v>-2.5056138033333353</v>
      </c>
      <c r="Y20" s="6">
        <f t="shared" si="5"/>
        <v>-4.7073456244106637E-14</v>
      </c>
      <c r="Z20" s="6">
        <f t="shared" si="6"/>
        <v>-4.7073456244106637E-8</v>
      </c>
    </row>
    <row r="21" spans="4:26" ht="24" customHeight="1">
      <c r="D21" s="354" t="s">
        <v>26</v>
      </c>
      <c r="E21" s="351">
        <f>+[4]창원!$H$86/1000</f>
        <v>133.42460077555475</v>
      </c>
      <c r="F21" s="350">
        <f>+[4]창원!$I$86/1000</f>
        <v>126.42043699999992</v>
      </c>
      <c r="G21" s="352">
        <f t="shared" si="0"/>
        <v>-7.0041637755548294</v>
      </c>
      <c r="H21" s="351">
        <f>+[4]창원!$T$5/1000</f>
        <v>13</v>
      </c>
      <c r="I21" s="350">
        <f>+[4]창원!$U$5/1000</f>
        <v>12.462</v>
      </c>
      <c r="J21" s="152">
        <f t="shared" si="1"/>
        <v>-0.53800000000000026</v>
      </c>
      <c r="K21" s="349">
        <f>+[4]창원!$M$86/1000</f>
        <v>-8.326439189754165</v>
      </c>
      <c r="L21" s="351">
        <f>+[4]창원!$Q$85</f>
        <v>100000.05975153847</v>
      </c>
      <c r="M21" s="350">
        <f>+[4]창원!$R$85</f>
        <v>96479.754453538757</v>
      </c>
      <c r="N21" s="152">
        <f t="shared" si="2"/>
        <v>-3520.3052979997155</v>
      </c>
      <c r="O21" s="349">
        <f>+[4]창원!$K$86/1000</f>
        <v>-43.870044623672456</v>
      </c>
      <c r="P21" s="351">
        <f>+[4]창원!$Q$50</f>
        <v>84523.4069824787</v>
      </c>
      <c r="Q21" s="350">
        <f>+[4]창원!$R$50</f>
        <v>81404.429144599591</v>
      </c>
      <c r="R21" s="152">
        <f t="shared" si="3"/>
        <v>-3118.9778378791088</v>
      </c>
      <c r="S21" s="349">
        <f>+[4]창원!$L$56/1000</f>
        <v>38.868727805649563</v>
      </c>
      <c r="T21" s="351">
        <f>+([4]창원!$H$80+[4]창원!$H$85)/1000</f>
        <v>67.771885222222224</v>
      </c>
      <c r="U21" s="350">
        <f>+([4]창원!$I$80+[4]창원!$I$85)/1000</f>
        <v>61.448292989999999</v>
      </c>
      <c r="V21" s="152">
        <f t="shared" si="4"/>
        <v>-6.3235922322222251</v>
      </c>
      <c r="W21" s="349">
        <f>+([4]창원!$L$80+[4]창원!$L$85)/1000</f>
        <v>6.323592232222226</v>
      </c>
      <c r="Y21" s="6">
        <f t="shared" si="5"/>
        <v>0</v>
      </c>
      <c r="Z21" s="6">
        <f t="shared" si="6"/>
        <v>0</v>
      </c>
    </row>
    <row r="22" spans="4:26" ht="24" customHeight="1">
      <c r="D22" s="354" t="s">
        <v>133</v>
      </c>
      <c r="E22" s="351">
        <f>+[4]대구!$H$86/1000</f>
        <v>123.7420622812238</v>
      </c>
      <c r="F22" s="350">
        <f>+[4]대구!$I$86/1000</f>
        <v>50.698715999999983</v>
      </c>
      <c r="G22" s="352">
        <f t="shared" si="0"/>
        <v>-73.043346281223819</v>
      </c>
      <c r="H22" s="351">
        <f>+[4]대구!$T$5/1000</f>
        <v>12.5</v>
      </c>
      <c r="I22" s="350">
        <f>+[4]대구!$U$5/1000</f>
        <v>11.7315</v>
      </c>
      <c r="J22" s="152">
        <f t="shared" si="1"/>
        <v>-0.76849999999999952</v>
      </c>
      <c r="K22" s="349">
        <f>+[4]대구!$M$86/1000</f>
        <v>-10.851883399661652</v>
      </c>
      <c r="L22" s="351">
        <f>+[4]대구!$Q$85</f>
        <v>97688.007999999987</v>
      </c>
      <c r="M22" s="350">
        <f>+[4]대구!$R$85</f>
        <v>90203.678131526234</v>
      </c>
      <c r="N22" s="152">
        <f t="shared" si="2"/>
        <v>-7484.3298684737529</v>
      </c>
      <c r="O22" s="349">
        <f>+[4]대구!$K$86/1000</f>
        <v>-87.802415851999825</v>
      </c>
      <c r="P22" s="351">
        <f>+[4]대구!$Q$50</f>
        <v>83567.144760362193</v>
      </c>
      <c r="Q22" s="350">
        <f>+[4]대구!$R$50</f>
        <v>82121.647444913266</v>
      </c>
      <c r="R22" s="152">
        <f t="shared" si="3"/>
        <v>-1445.4973154489271</v>
      </c>
      <c r="S22" s="349">
        <f>+[4]대구!$L$56/1000</f>
        <v>16.957832706188846</v>
      </c>
      <c r="T22" s="351">
        <f>+([4]대구!$H$80+[4]대구!$H$85)/1000</f>
        <v>52.768728214248675</v>
      </c>
      <c r="U22" s="350">
        <f>+([4]대구!$I$80+[4]대구!$I$85)/1000</f>
        <v>44.115607950000005</v>
      </c>
      <c r="V22" s="152">
        <f t="shared" si="4"/>
        <v>-8.6531202642486704</v>
      </c>
      <c r="W22" s="349">
        <f>+([4]대구!$L$80+[4]대구!$L$85)/1000</f>
        <v>8.6531202642486722</v>
      </c>
      <c r="Y22" s="6">
        <f t="shared" si="5"/>
        <v>1.4033219031261979E-13</v>
      </c>
      <c r="Z22" s="6">
        <f t="shared" si="6"/>
        <v>1.4033219031261979E-7</v>
      </c>
    </row>
    <row r="23" spans="4:26" ht="24" customHeight="1">
      <c r="D23" s="354" t="s">
        <v>132</v>
      </c>
      <c r="E23" s="351">
        <f>+[4]울산!$H$86/1000</f>
        <v>114.98217509375442</v>
      </c>
      <c r="F23" s="350">
        <f>+[4]울산!$I$86/1000</f>
        <v>174.90095600000021</v>
      </c>
      <c r="G23" s="352">
        <f t="shared" si="0"/>
        <v>59.918780906245786</v>
      </c>
      <c r="H23" s="351">
        <f>+[4]울산!$T$5/1000</f>
        <v>13</v>
      </c>
      <c r="I23" s="350">
        <f>+[4]울산!$U$5/1000</f>
        <v>13.906000000000001</v>
      </c>
      <c r="J23" s="152">
        <f t="shared" si="1"/>
        <v>0.90600000000000058</v>
      </c>
      <c r="K23" s="349">
        <f>+[4]울산!$M$86/1000</f>
        <v>11.578101355155974</v>
      </c>
      <c r="L23" s="351">
        <f>+[4]울산!$Q$85</f>
        <v>102006</v>
      </c>
      <c r="M23" s="350">
        <f>+[4]울산!$R$85</f>
        <v>103542.84481518769</v>
      </c>
      <c r="N23" s="152">
        <f t="shared" si="2"/>
        <v>1536.8448151876946</v>
      </c>
      <c r="O23" s="349">
        <f>+[4]울산!$K$86/1000</f>
        <v>21.371364000000082</v>
      </c>
      <c r="P23" s="351">
        <f>+[4]울산!$Q$50</f>
        <v>89226.638680843287</v>
      </c>
      <c r="Q23" s="350">
        <f>+[4]울산!$R$50</f>
        <v>88145.766130191099</v>
      </c>
      <c r="R23" s="152">
        <f t="shared" si="3"/>
        <v>-1080.8725506521878</v>
      </c>
      <c r="S23" s="349">
        <f>+[4]울산!$L$56/1000</f>
        <v>14.989442675806854</v>
      </c>
      <c r="T23" s="351">
        <f>+([4]울산!$H$80+[4]울산!$H$85)/1000</f>
        <v>51.149522055282731</v>
      </c>
      <c r="U23" s="350">
        <f>+([4]울산!$I$80+[4]울산!$I$85)/1000</f>
        <v>39.16964918</v>
      </c>
      <c r="V23" s="152">
        <f t="shared" si="4"/>
        <v>-11.97987287528273</v>
      </c>
      <c r="W23" s="349">
        <f>+([4]울산!$L$80+[4]울산!$L$85)/1000</f>
        <v>11.979872875282728</v>
      </c>
      <c r="Y23" s="6">
        <f t="shared" si="5"/>
        <v>1.4921397450962104E-13</v>
      </c>
      <c r="Z23" s="6">
        <f t="shared" si="6"/>
        <v>1.4921397450962104E-7</v>
      </c>
    </row>
    <row r="24" spans="4:26" ht="24" customHeight="1">
      <c r="D24" s="360" t="s">
        <v>27</v>
      </c>
      <c r="E24" s="358">
        <f>+[4]아산!$H$86/1000</f>
        <v>367.52538730355934</v>
      </c>
      <c r="F24" s="357">
        <f>+[4]아산!$I$86/1000</f>
        <v>177.27360899999982</v>
      </c>
      <c r="G24" s="359">
        <f t="shared" si="0"/>
        <v>-190.25177830355952</v>
      </c>
      <c r="H24" s="358">
        <f>+[4]아산!$T$5/1000</f>
        <v>25</v>
      </c>
      <c r="I24" s="357">
        <f>+[4]아산!$U$5/1000</f>
        <v>23.172999999999998</v>
      </c>
      <c r="J24" s="356">
        <f t="shared" si="1"/>
        <v>-1.8270000000000017</v>
      </c>
      <c r="K24" s="355">
        <f>+[4]아산!$M$86/1000</f>
        <v>-32.808240011464108</v>
      </c>
      <c r="L24" s="358">
        <f>+[4]아산!$Q$85</f>
        <v>103000</v>
      </c>
      <c r="M24" s="357">
        <f>+[4]아산!$R$85</f>
        <v>95394.729642256061</v>
      </c>
      <c r="N24" s="356">
        <f t="shared" si="2"/>
        <v>-7605.2703577439388</v>
      </c>
      <c r="O24" s="355">
        <f>+[4]아산!$K$86/1000</f>
        <v>-176.23693000000029</v>
      </c>
      <c r="P24" s="358">
        <f>+[4]아산!$Q$50</f>
        <v>85042.561570079852</v>
      </c>
      <c r="Q24" s="357">
        <f>+[4]아산!$R$50</f>
        <v>83980.341595896025</v>
      </c>
      <c r="R24" s="356">
        <f t="shared" si="3"/>
        <v>-1062.2199741838267</v>
      </c>
      <c r="S24" s="355">
        <f>+[4]아산!$L$56/1000</f>
        <v>24.589741343460094</v>
      </c>
      <c r="T24" s="358">
        <f>+([4]아산!$H$80+[4]아산!$H$85)/1000</f>
        <v>81.410573444444438</v>
      </c>
      <c r="U24" s="357">
        <f>+([4]아산!$I$80+[4]아산!$I$85)/1000</f>
        <v>87.206923079999996</v>
      </c>
      <c r="V24" s="356">
        <f t="shared" si="4"/>
        <v>5.7963496355555577</v>
      </c>
      <c r="W24" s="355">
        <f>+([4]아산!$L$80+[4]아산!$L$85)/1000</f>
        <v>-5.7963496355555524</v>
      </c>
      <c r="Y24" s="6">
        <f t="shared" si="5"/>
        <v>3.3217872896784684E-13</v>
      </c>
      <c r="Z24" s="6">
        <f t="shared" si="6"/>
        <v>3.3217872896784684E-7</v>
      </c>
    </row>
    <row r="25" spans="4:26" ht="24" customHeight="1">
      <c r="D25" s="354" t="s">
        <v>131</v>
      </c>
      <c r="E25" s="351">
        <f>+[4]전주!$H$86/1000</f>
        <v>113.79379000099429</v>
      </c>
      <c r="F25" s="350">
        <f>+[4]전주!$I$86/1000</f>
        <v>227.34831699999998</v>
      </c>
      <c r="G25" s="352">
        <f t="shared" si="0"/>
        <v>113.55452699900569</v>
      </c>
      <c r="H25" s="351">
        <f>+[4]전주!$T$5/1000</f>
        <v>11</v>
      </c>
      <c r="I25" s="350">
        <f>+[4]전주!$U$5/1000</f>
        <v>17.106000000000002</v>
      </c>
      <c r="J25" s="152">
        <f t="shared" si="1"/>
        <v>6.1060000000000016</v>
      </c>
      <c r="K25" s="349">
        <f>+[4]전주!$M$86/1000</f>
        <v>90.400849255242093</v>
      </c>
      <c r="L25" s="351">
        <f>+[4]전주!$Q$85</f>
        <v>97059.107272727284</v>
      </c>
      <c r="M25" s="350">
        <f>+[4]전주!$R$85</f>
        <v>98858.360001174355</v>
      </c>
      <c r="N25" s="152">
        <f t="shared" si="2"/>
        <v>1799.2527284470707</v>
      </c>
      <c r="O25" s="349">
        <f>+[4]전주!$K$86/1000</f>
        <v>30.642173591817837</v>
      </c>
      <c r="P25" s="351">
        <f>+[4]전주!$Q$50</f>
        <v>82124.616060515691</v>
      </c>
      <c r="Q25" s="350">
        <f>+[4]전주!$R$50</f>
        <v>82374.939864408763</v>
      </c>
      <c r="R25" s="152">
        <f t="shared" si="3"/>
        <v>250.32380389307218</v>
      </c>
      <c r="S25" s="349">
        <f>+[4]전주!$L$56/1000</f>
        <v>-4.179278711387644</v>
      </c>
      <c r="T25" s="351">
        <f>+([4]전주!$H$80+[4]전주!$H$85)/1000</f>
        <v>50.485613333333326</v>
      </c>
      <c r="U25" s="350">
        <f>+([4]전주!$I$80+[4]전주!$I$85)/1000</f>
        <v>53.794830470000001</v>
      </c>
      <c r="V25" s="152">
        <f t="shared" si="4"/>
        <v>3.3092171366666747</v>
      </c>
      <c r="W25" s="349">
        <f>+([4]전주!$L$80+[4]전주!$L$85)/1000</f>
        <v>-3.3092171366666712</v>
      </c>
      <c r="Y25" s="6">
        <f t="shared" si="5"/>
        <v>7.2830630415410269E-14</v>
      </c>
      <c r="Z25" s="6">
        <f t="shared" si="6"/>
        <v>7.2830630415410269E-8</v>
      </c>
    </row>
    <row r="26" spans="4:26" ht="24" customHeight="1">
      <c r="D26" s="353" t="s">
        <v>130</v>
      </c>
      <c r="E26" s="351">
        <f>+[4]군산!$H$86/1000</f>
        <v>219.11094975512708</v>
      </c>
      <c r="F26" s="350">
        <f>+[4]군산!$I$86/1000</f>
        <v>173.95166999999998</v>
      </c>
      <c r="G26" s="352">
        <f t="shared" si="0"/>
        <v>-45.159279755127102</v>
      </c>
      <c r="H26" s="351">
        <f>+[4]군산!$T$5/1000</f>
        <v>8</v>
      </c>
      <c r="I26" s="350">
        <f>+[4]군산!$U$5/1000</f>
        <v>7.0430000000000001</v>
      </c>
      <c r="J26" s="152">
        <f t="shared" si="1"/>
        <v>-0.95699999999999985</v>
      </c>
      <c r="K26" s="349">
        <f>+[4]군산!$M$86/1000</f>
        <v>-28.896446392498749</v>
      </c>
      <c r="L26" s="351">
        <f>+[4]군산!$Q$85</f>
        <v>109866.51550000001</v>
      </c>
      <c r="M26" s="350">
        <f>+[4]군산!$R$85</f>
        <v>106616.03720005679</v>
      </c>
      <c r="N26" s="152">
        <f t="shared" si="2"/>
        <v>-3250.4782999432209</v>
      </c>
      <c r="O26" s="349">
        <f>+[4]군산!$K$86/1000</f>
        <v>-22.893118666500108</v>
      </c>
      <c r="P26" s="351">
        <f>+[4]군산!$Q$50</f>
        <v>79671.691683386918</v>
      </c>
      <c r="Q26" s="350">
        <f>+[4]군산!$R$50</f>
        <v>78680.620900184585</v>
      </c>
      <c r="R26" s="152">
        <f t="shared" si="3"/>
        <v>-991.07078320233268</v>
      </c>
      <c r="S26" s="349">
        <f>+[4]군산!$L$56/1000</f>
        <v>6.9801116760939559</v>
      </c>
      <c r="T26" s="351">
        <f>+([4]군산!$H$80+[4]군산!$H$85)/1000</f>
        <v>22.447640777777778</v>
      </c>
      <c r="U26" s="350">
        <f>+([4]군산!$I$80+[4]군산!$I$85)/1000</f>
        <v>22.797467149999999</v>
      </c>
      <c r="V26" s="152">
        <f t="shared" si="4"/>
        <v>0.34982637222222124</v>
      </c>
      <c r="W26" s="349">
        <f>+([4]군산!$L$80+[4]군산!$L$85)/1000</f>
        <v>-0.3498263722222234</v>
      </c>
      <c r="Y26" s="6">
        <f t="shared" si="5"/>
        <v>2.2593038551121936E-14</v>
      </c>
      <c r="Z26" s="6">
        <f t="shared" si="6"/>
        <v>2.2593038551121936E-8</v>
      </c>
    </row>
    <row r="27" spans="4:26" ht="24" customHeight="1">
      <c r="D27" s="353" t="s">
        <v>129</v>
      </c>
      <c r="E27" s="351">
        <f>+[4]원주!$H$86/1000</f>
        <v>97.265945582292829</v>
      </c>
      <c r="F27" s="350">
        <f>+[4]원주!$I$86/1000</f>
        <v>14.251572999999976</v>
      </c>
      <c r="G27" s="352">
        <f t="shared" si="0"/>
        <v>-83.01437258229285</v>
      </c>
      <c r="H27" s="351">
        <f>+[4]원주!$T$5/1000</f>
        <v>5</v>
      </c>
      <c r="I27" s="350">
        <f>+[4]원주!$U$5/1000</f>
        <v>2.5684999999999998</v>
      </c>
      <c r="J27" s="152">
        <f t="shared" si="1"/>
        <v>-2.4315000000000002</v>
      </c>
      <c r="K27" s="349">
        <f>+[4]원주!$M$86/1000</f>
        <v>-55.780135374002334</v>
      </c>
      <c r="L27" s="351">
        <f>+[4]원주!$Q$85</f>
        <v>112000</v>
      </c>
      <c r="M27" s="350">
        <f>+[4]원주!$R$85</f>
        <v>112985.73097138407</v>
      </c>
      <c r="N27" s="152">
        <f t="shared" si="2"/>
        <v>985.73097138406592</v>
      </c>
      <c r="O27" s="349">
        <f>+[4]원주!$K$86/1000</f>
        <v>2.5318499999999737</v>
      </c>
      <c r="P27" s="351">
        <f>+[4]원주!$Q$50</f>
        <v>89059.372661319227</v>
      </c>
      <c r="Q27" s="350">
        <f>+[4]원주!$R$50</f>
        <v>100881.32567646487</v>
      </c>
      <c r="R27" s="152">
        <f t="shared" si="3"/>
        <v>11821.953015145642</v>
      </c>
      <c r="S27" s="349">
        <f>+[4]원주!$L$56/1000</f>
        <v>-30.3646880894016</v>
      </c>
      <c r="T27" s="351">
        <f>+([4]원주!$H$80+[4]원주!$H$85)/1000</f>
        <v>17.437191111111112</v>
      </c>
      <c r="U27" s="350">
        <f>+([4]원주!$I$80+[4]원주!$I$85)/1000</f>
        <v>16.838590230000001</v>
      </c>
      <c r="V27" s="152">
        <f t="shared" si="4"/>
        <v>-0.59860088111111054</v>
      </c>
      <c r="W27" s="349">
        <f>+([4]원주!$L$80+[4]원주!$L$85)/1000</f>
        <v>0.59860088111111032</v>
      </c>
      <c r="Y27" s="6">
        <f t="shared" si="5"/>
        <v>0</v>
      </c>
      <c r="Z27" s="6">
        <f t="shared" si="6"/>
        <v>0</v>
      </c>
    </row>
    <row r="28" spans="4:26" ht="24" customHeight="1" thickBot="1">
      <c r="D28" s="348" t="s">
        <v>128</v>
      </c>
      <c r="E28" s="346">
        <f>+[4]제주!$H$86/1000</f>
        <v>146.51892148672539</v>
      </c>
      <c r="F28" s="345">
        <f>+[4]제주!$I$86/1000</f>
        <v>128.44487099999998</v>
      </c>
      <c r="G28" s="347">
        <f t="shared" si="0"/>
        <v>-18.074050486725412</v>
      </c>
      <c r="H28" s="346">
        <f>+[4]제주!$T$5/1000</f>
        <v>8</v>
      </c>
      <c r="I28" s="345">
        <f>+[4]제주!$U$5/1000</f>
        <v>7.3395000000000001</v>
      </c>
      <c r="J28" s="344">
        <f t="shared" si="1"/>
        <v>-0.66049999999999986</v>
      </c>
      <c r="K28" s="343">
        <f>+[4]제주!$M$86/1000</f>
        <v>-18.513975259771076</v>
      </c>
      <c r="L28" s="346">
        <f>+[4]제주!$Q$85</f>
        <v>122613.5</v>
      </c>
      <c r="M28" s="345">
        <f>+[4]제주!$R$85</f>
        <v>123584.35305637153</v>
      </c>
      <c r="N28" s="344">
        <f t="shared" si="2"/>
        <v>970.85305637153215</v>
      </c>
      <c r="O28" s="343">
        <f>+[4]제주!$K$86/1000</f>
        <v>6.9406285000000825</v>
      </c>
      <c r="P28" s="346">
        <f>+[4]제주!$Q$50</f>
        <v>100857.94740332423</v>
      </c>
      <c r="Q28" s="345">
        <f>+[4]제주!$R$50</f>
        <v>101352.78766261015</v>
      </c>
      <c r="R28" s="344">
        <f t="shared" si="3"/>
        <v>494.84025928592018</v>
      </c>
      <c r="S28" s="343">
        <f>+[4]제주!$L$56/1000</f>
        <v>-3.5376229536351813</v>
      </c>
      <c r="T28" s="346">
        <f>+([4]제주!$H$80+[4]제주!$H$85)/1000</f>
        <v>27.525499286680766</v>
      </c>
      <c r="U28" s="345">
        <f>+([4]제주!$I$80+[4]제주!$I$85)/1000</f>
        <v>30.48858006</v>
      </c>
      <c r="V28" s="344">
        <f t="shared" si="4"/>
        <v>2.9630807733192341</v>
      </c>
      <c r="W28" s="343">
        <f>+([4]제주!$L$80+[4]제주!$L$85)/1000</f>
        <v>-2.9630807733192381</v>
      </c>
      <c r="Y28" s="6">
        <f t="shared" si="5"/>
        <v>0</v>
      </c>
      <c r="Z28" s="6">
        <f t="shared" si="6"/>
        <v>0</v>
      </c>
    </row>
    <row r="29" spans="4:26" ht="24" customHeight="1">
      <c r="Y29" s="713"/>
    </row>
    <row r="30" spans="4:26" ht="24" customHeight="1">
      <c r="Y30" s="713"/>
    </row>
    <row r="31" spans="4:26" ht="24" customHeight="1">
      <c r="Y31" s="713"/>
    </row>
    <row r="32" spans="4:26" ht="21.95" customHeight="1">
      <c r="F32" s="342"/>
      <c r="Y32" s="713"/>
    </row>
    <row r="33" spans="25:25" ht="21.95" customHeight="1"/>
    <row r="34" spans="25:25" ht="21.95" customHeight="1">
      <c r="Y34" s="714"/>
    </row>
    <row r="35" spans="25:25" ht="21.95" customHeight="1">
      <c r="Y35" s="6" t="s">
        <v>214</v>
      </c>
    </row>
    <row r="36" spans="25:25" ht="21.95" customHeight="1"/>
    <row r="37" spans="25:25" ht="21.95" customHeight="1"/>
    <row r="38" spans="25:25" ht="21.95" customHeight="1"/>
    <row r="39" spans="25:25" ht="21.95" customHeight="1"/>
    <row r="40" spans="25:25" ht="21.95" customHeight="1"/>
    <row r="41" spans="25:25" ht="21.95" customHeight="1"/>
    <row r="42" spans="25:25" ht="21.95" customHeight="1"/>
    <row r="43" spans="25:25" ht="21.95" customHeight="1"/>
    <row r="44" spans="25:25" ht="21.95" customHeight="1"/>
    <row r="45" spans="25:25" ht="21.95" customHeight="1"/>
    <row r="46" spans="25:25" ht="21.95" customHeight="1"/>
    <row r="47" spans="25:25" ht="21.95" customHeight="1"/>
    <row r="48" spans="25:25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C9EA2-7FA8-4EF3-8BE8-88EBED6DB771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227</v>
      </c>
      <c r="F4" s="398"/>
      <c r="I4" s="398"/>
    </row>
    <row r="5" spans="1:22" ht="21.95" customHeight="1">
      <c r="V5" s="397" t="s">
        <v>148</v>
      </c>
    </row>
    <row r="6" spans="1:22" ht="24" customHeight="1" thickBot="1">
      <c r="A6" s="6" t="s">
        <v>141</v>
      </c>
      <c r="D6" s="763" t="s">
        <v>11</v>
      </c>
      <c r="E6" s="396" t="s">
        <v>53</v>
      </c>
      <c r="F6" s="395"/>
      <c r="G6" s="394"/>
      <c r="H6" s="396" t="s">
        <v>147</v>
      </c>
      <c r="I6" s="395"/>
      <c r="J6" s="394"/>
      <c r="K6" s="396" t="s">
        <v>146</v>
      </c>
      <c r="L6" s="395"/>
      <c r="M6" s="394"/>
      <c r="N6" s="396" t="s">
        <v>145</v>
      </c>
      <c r="O6" s="395"/>
      <c r="P6" s="394"/>
      <c r="Q6" s="396" t="s">
        <v>144</v>
      </c>
      <c r="R6" s="395"/>
      <c r="S6" s="394"/>
      <c r="T6" s="396" t="s">
        <v>54</v>
      </c>
      <c r="U6" s="395"/>
      <c r="V6" s="394"/>
    </row>
    <row r="7" spans="1:22" ht="24" customHeight="1">
      <c r="D7" s="764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+[4]합계!$Q$85</f>
        <v>100435.47222658443</v>
      </c>
      <c r="F8" s="385">
        <f>+[4]합계!$R$85</f>
        <v>98470.346196543367</v>
      </c>
      <c r="G8" s="416">
        <f t="shared" ref="G8:G28" si="0">+F8-E8</f>
        <v>-1965.126030041065</v>
      </c>
      <c r="H8" s="386">
        <f>+[4]합계!$Q$20</f>
        <v>60804.330946679489</v>
      </c>
      <c r="I8" s="385">
        <f>+[4]합계!$R$20</f>
        <v>60716.648950750547</v>
      </c>
      <c r="J8" s="416">
        <f t="shared" ref="J8:J28" si="1">+I8-H8</f>
        <v>-87.681995928942342</v>
      </c>
      <c r="K8" s="386">
        <f>+[4]합계!$Q$21</f>
        <v>18325.059432329566</v>
      </c>
      <c r="L8" s="385">
        <f>+[4]합계!$R$21</f>
        <v>18177.727090271976</v>
      </c>
      <c r="M8" s="416">
        <f t="shared" ref="M8:M28" si="2">+L8-K8</f>
        <v>-147.33234205759072</v>
      </c>
      <c r="N8" s="386">
        <f>+[4]합계!$Q$22</f>
        <v>207.2673434856176</v>
      </c>
      <c r="O8" s="385">
        <f>+[4]합계!$R$22</f>
        <v>214.84860286911777</v>
      </c>
      <c r="P8" s="416">
        <f t="shared" ref="P8:P28" si="3">+O8-N8</f>
        <v>7.5812593835001678</v>
      </c>
      <c r="Q8" s="386">
        <f t="shared" ref="Q8:Q28" si="4">H8+K8+N8</f>
        <v>79336.657722494667</v>
      </c>
      <c r="R8" s="385">
        <f t="shared" ref="R8:R28" si="5">I8+L8+O8</f>
        <v>79109.224643891634</v>
      </c>
      <c r="S8" s="416">
        <f t="shared" ref="S8:S28" si="6">+R8-Q8</f>
        <v>-227.43307860303321</v>
      </c>
      <c r="T8" s="386">
        <f t="shared" ref="T8:T28" si="7">+E8-Q8</f>
        <v>21098.814504089765</v>
      </c>
      <c r="U8" s="385">
        <f t="shared" ref="U8:U28" si="8">+F8-R8</f>
        <v>19361.121552651734</v>
      </c>
      <c r="V8" s="416">
        <f t="shared" ref="V8:V28" si="9">+U8-T8</f>
        <v>-1737.6929514380317</v>
      </c>
    </row>
    <row r="9" spans="1:22" ht="24" customHeight="1">
      <c r="D9" s="382" t="s">
        <v>16</v>
      </c>
      <c r="E9" s="381">
        <f>+[4]수도권!$Q$85</f>
        <v>97316.07043168816</v>
      </c>
      <c r="F9" s="380">
        <f>+[4]수도권!$R$85</f>
        <v>96454.113487158218</v>
      </c>
      <c r="G9" s="415">
        <f t="shared" si="0"/>
        <v>-861.95694452994212</v>
      </c>
      <c r="H9" s="381">
        <f>+[4]수도권!$Q$20</f>
        <v>62383.845492017776</v>
      </c>
      <c r="I9" s="380">
        <f>+[4]수도권!$R$20</f>
        <v>61373.967775215431</v>
      </c>
      <c r="J9" s="415">
        <f t="shared" si="1"/>
        <v>-1009.8777168023444</v>
      </c>
      <c r="K9" s="381">
        <f>+[4]수도권!$Q$21</f>
        <v>18069.147397724606</v>
      </c>
      <c r="L9" s="380">
        <f>+[4]수도권!$R$21</f>
        <v>18460.464538576689</v>
      </c>
      <c r="M9" s="415">
        <f t="shared" si="2"/>
        <v>391.31714085208296</v>
      </c>
      <c r="N9" s="381">
        <f>+[4]수도권!$Q$22</f>
        <v>239.15909090909091</v>
      </c>
      <c r="O9" s="380">
        <f>+[4]수도권!$R$22</f>
        <v>247.09271958571026</v>
      </c>
      <c r="P9" s="415">
        <f t="shared" si="3"/>
        <v>7.9336286766193496</v>
      </c>
      <c r="Q9" s="381">
        <f t="shared" si="4"/>
        <v>80692.15198065147</v>
      </c>
      <c r="R9" s="380">
        <f t="shared" si="5"/>
        <v>80081.525033377824</v>
      </c>
      <c r="S9" s="415">
        <f t="shared" si="6"/>
        <v>-610.62694727364578</v>
      </c>
      <c r="T9" s="381">
        <f t="shared" si="7"/>
        <v>16623.91845103669</v>
      </c>
      <c r="U9" s="380">
        <f t="shared" si="8"/>
        <v>16372.588453780394</v>
      </c>
      <c r="V9" s="415">
        <f t="shared" si="9"/>
        <v>-251.32999725629634</v>
      </c>
    </row>
    <row r="10" spans="1:22" ht="24" customHeight="1">
      <c r="D10" s="377" t="s">
        <v>17</v>
      </c>
      <c r="E10" s="376">
        <f>+[4]영남권!$Q$85</f>
        <v>100478.00771571984</v>
      </c>
      <c r="F10" s="375">
        <f>+[4]영남권!$R$85</f>
        <v>98385.128898458555</v>
      </c>
      <c r="G10" s="414">
        <f t="shared" si="0"/>
        <v>-2092.878817261284</v>
      </c>
      <c r="H10" s="376">
        <f>+[4]영남권!$Q$20</f>
        <v>59827.222036547544</v>
      </c>
      <c r="I10" s="375">
        <f>+[4]영남권!$R$20</f>
        <v>60173.323811418013</v>
      </c>
      <c r="J10" s="414">
        <f t="shared" si="1"/>
        <v>346.10177487046894</v>
      </c>
      <c r="K10" s="376">
        <f>+[4]영남권!$Q$21</f>
        <v>18826.125025187703</v>
      </c>
      <c r="L10" s="375">
        <f>+[4]영남권!$R$21</f>
        <v>18708.767521070036</v>
      </c>
      <c r="M10" s="414">
        <f t="shared" si="2"/>
        <v>-117.35750411766639</v>
      </c>
      <c r="N10" s="376">
        <f>+[4]영남권!$Q$22</f>
        <v>192.52918287937743</v>
      </c>
      <c r="O10" s="375">
        <f>+[4]영남권!$R$22</f>
        <v>190.26658876762053</v>
      </c>
      <c r="P10" s="414">
        <f t="shared" si="3"/>
        <v>-2.2625941117568971</v>
      </c>
      <c r="Q10" s="376">
        <f t="shared" si="4"/>
        <v>78845.876244614614</v>
      </c>
      <c r="R10" s="375">
        <f t="shared" si="5"/>
        <v>79072.35792125568</v>
      </c>
      <c r="S10" s="414">
        <f t="shared" si="6"/>
        <v>226.48167664106586</v>
      </c>
      <c r="T10" s="376">
        <f t="shared" si="7"/>
        <v>21632.131471105226</v>
      </c>
      <c r="U10" s="375">
        <f t="shared" si="8"/>
        <v>19312.770977202876</v>
      </c>
      <c r="V10" s="414">
        <f t="shared" si="9"/>
        <v>-2319.3604939023498</v>
      </c>
    </row>
    <row r="11" spans="1:22" ht="24" customHeight="1">
      <c r="D11" s="372" t="s">
        <v>134</v>
      </c>
      <c r="E11" s="371">
        <f>+[4]중부권!$Q$85</f>
        <v>106359.47901754387</v>
      </c>
      <c r="F11" s="370">
        <f>+[4]중부권!$R$85</f>
        <v>102148.62913419002</v>
      </c>
      <c r="G11" s="413">
        <f t="shared" si="0"/>
        <v>-4210.849883353847</v>
      </c>
      <c r="H11" s="371">
        <f>+[4]중부권!$Q$20</f>
        <v>59958.925595183733</v>
      </c>
      <c r="I11" s="370">
        <f>+[4]중부권!$R$20</f>
        <v>60726.732533249116</v>
      </c>
      <c r="J11" s="413">
        <f t="shared" si="1"/>
        <v>767.80693806538329</v>
      </c>
      <c r="K11" s="371">
        <f>+[4]중부권!$Q$21</f>
        <v>17689.329522229116</v>
      </c>
      <c r="L11" s="370">
        <f>+[4]중부권!$R$21</f>
        <v>16562.928974979823</v>
      </c>
      <c r="M11" s="413">
        <f t="shared" si="2"/>
        <v>-1126.4005472492936</v>
      </c>
      <c r="N11" s="371">
        <f>+[4]중부권!$Q$22</f>
        <v>178.94736842105263</v>
      </c>
      <c r="O11" s="370">
        <f>+[4]중부권!$R$22</f>
        <v>210.96004842615011</v>
      </c>
      <c r="P11" s="413">
        <f t="shared" si="3"/>
        <v>32.012680005097479</v>
      </c>
      <c r="Q11" s="371">
        <f t="shared" si="4"/>
        <v>77827.202485833899</v>
      </c>
      <c r="R11" s="370">
        <f t="shared" si="5"/>
        <v>77500.621556655082</v>
      </c>
      <c r="S11" s="413">
        <f t="shared" si="6"/>
        <v>-326.58092917881731</v>
      </c>
      <c r="T11" s="371">
        <f t="shared" si="7"/>
        <v>28532.276531709969</v>
      </c>
      <c r="U11" s="370">
        <f t="shared" si="8"/>
        <v>24648.00757753494</v>
      </c>
      <c r="V11" s="413">
        <f t="shared" si="9"/>
        <v>-3884.2689541750296</v>
      </c>
    </row>
    <row r="12" spans="1:22" ht="24" customHeight="1">
      <c r="D12" s="412" t="s">
        <v>18</v>
      </c>
      <c r="E12" s="411">
        <f>+[4]안양!$Q$85</f>
        <v>98051.191190476195</v>
      </c>
      <c r="F12" s="410">
        <f>+[4]안양!$R$85</f>
        <v>95439.899645248312</v>
      </c>
      <c r="G12" s="409">
        <f t="shared" si="0"/>
        <v>-2611.291545227883</v>
      </c>
      <c r="H12" s="411">
        <f>+[4]안양!$Q$20</f>
        <v>63628.70580645161</v>
      </c>
      <c r="I12" s="410">
        <f>+[4]안양!$R$20</f>
        <v>61546.48193764365</v>
      </c>
      <c r="J12" s="409">
        <f t="shared" si="1"/>
        <v>-2082.2238688079597</v>
      </c>
      <c r="K12" s="411">
        <f>+[4]안양!$Q$21</f>
        <v>17443.494411027568</v>
      </c>
      <c r="L12" s="410">
        <f>+[4]안양!$R$21</f>
        <v>17893.451833716397</v>
      </c>
      <c r="M12" s="409">
        <f t="shared" si="2"/>
        <v>449.95742268882896</v>
      </c>
      <c r="N12" s="411">
        <f>+[4]안양!$Q$22</f>
        <v>185.71428571428572</v>
      </c>
      <c r="O12" s="410">
        <f>+[4]안양!$R$22</f>
        <v>219.27205955830919</v>
      </c>
      <c r="P12" s="409">
        <f t="shared" si="3"/>
        <v>33.557773844023473</v>
      </c>
      <c r="Q12" s="411">
        <f t="shared" si="4"/>
        <v>81257.91450319346</v>
      </c>
      <c r="R12" s="410">
        <f t="shared" si="5"/>
        <v>79659.205830918363</v>
      </c>
      <c r="S12" s="409">
        <f t="shared" si="6"/>
        <v>-1598.7086722750973</v>
      </c>
      <c r="T12" s="411">
        <f t="shared" si="7"/>
        <v>16793.276687282734</v>
      </c>
      <c r="U12" s="410">
        <f t="shared" si="8"/>
        <v>15780.693814329949</v>
      </c>
      <c r="V12" s="409">
        <f t="shared" si="9"/>
        <v>-1012.5828729527857</v>
      </c>
    </row>
    <row r="13" spans="1:22" ht="24" customHeight="1">
      <c r="D13" s="353" t="s">
        <v>19</v>
      </c>
      <c r="E13" s="404">
        <f>+[4]인천!$Q$85</f>
        <v>98468.653536189959</v>
      </c>
      <c r="F13" s="403">
        <f>+[4]인천!$R$85</f>
        <v>98978.103153922173</v>
      </c>
      <c r="G13" s="402">
        <f t="shared" si="0"/>
        <v>509.44961773221439</v>
      </c>
      <c r="H13" s="404">
        <f>+[4]인천!$Q$20</f>
        <v>64305.6799953765</v>
      </c>
      <c r="I13" s="403">
        <f>+[4]인천!$R$20</f>
        <v>63361.560966843383</v>
      </c>
      <c r="J13" s="402">
        <f t="shared" si="1"/>
        <v>-944.11902853311767</v>
      </c>
      <c r="K13" s="404">
        <f>+[4]인천!$Q$21</f>
        <v>17885.555841924397</v>
      </c>
      <c r="L13" s="403">
        <f>+[4]인천!$R$21</f>
        <v>19031.294605684845</v>
      </c>
      <c r="M13" s="402">
        <f t="shared" si="2"/>
        <v>1145.7387637604479</v>
      </c>
      <c r="N13" s="404">
        <f>+[4]인천!$Q$22</f>
        <v>400</v>
      </c>
      <c r="O13" s="403">
        <f>+[4]인천!$R$22</f>
        <v>358.12421002186477</v>
      </c>
      <c r="P13" s="402">
        <f t="shared" si="3"/>
        <v>-41.875789978135231</v>
      </c>
      <c r="Q13" s="404">
        <f t="shared" si="4"/>
        <v>82591.23583730089</v>
      </c>
      <c r="R13" s="403">
        <f t="shared" si="5"/>
        <v>82750.979782550101</v>
      </c>
      <c r="S13" s="402">
        <f t="shared" si="6"/>
        <v>159.74394524921081</v>
      </c>
      <c r="T13" s="404">
        <f t="shared" si="7"/>
        <v>15877.417698889069</v>
      </c>
      <c r="U13" s="403">
        <f t="shared" si="8"/>
        <v>16227.123371372072</v>
      </c>
      <c r="V13" s="402">
        <f t="shared" si="9"/>
        <v>349.70567248300358</v>
      </c>
    </row>
    <row r="14" spans="1:22" ht="24" customHeight="1">
      <c r="D14" s="353" t="s">
        <v>20</v>
      </c>
      <c r="E14" s="404">
        <f>+[4]파주!$Q$85</f>
        <v>96038.898245454533</v>
      </c>
      <c r="F14" s="403">
        <f>+[4]파주!$R$85</f>
        <v>93525.184798028815</v>
      </c>
      <c r="G14" s="402">
        <f t="shared" si="0"/>
        <v>-2513.7134474257182</v>
      </c>
      <c r="H14" s="404">
        <f>+[4]파주!$Q$20</f>
        <v>60266.206157869005</v>
      </c>
      <c r="I14" s="403">
        <f>+[4]파주!$R$20</f>
        <v>59178.081161800939</v>
      </c>
      <c r="J14" s="402">
        <f t="shared" si="1"/>
        <v>-1088.1249960680652</v>
      </c>
      <c r="K14" s="404">
        <f>+[4]파주!$Q$21</f>
        <v>19272.523791102514</v>
      </c>
      <c r="L14" s="403">
        <f>+[4]파주!$R$21</f>
        <v>18659.227805570074</v>
      </c>
      <c r="M14" s="402">
        <f t="shared" si="2"/>
        <v>-613.29598553244068</v>
      </c>
      <c r="N14" s="404">
        <f>+[4]파주!$Q$22</f>
        <v>248.52272727272728</v>
      </c>
      <c r="O14" s="403">
        <f>+[4]파주!$R$22</f>
        <v>198.61666542223549</v>
      </c>
      <c r="P14" s="402">
        <f t="shared" si="3"/>
        <v>-49.906061850491795</v>
      </c>
      <c r="Q14" s="404">
        <f t="shared" si="4"/>
        <v>79787.252676244243</v>
      </c>
      <c r="R14" s="403">
        <f t="shared" si="5"/>
        <v>78035.925632793238</v>
      </c>
      <c r="S14" s="402">
        <f t="shared" si="6"/>
        <v>-1751.327043451005</v>
      </c>
      <c r="T14" s="404">
        <f t="shared" si="7"/>
        <v>16251.64556921029</v>
      </c>
      <c r="U14" s="403">
        <f t="shared" si="8"/>
        <v>15489.259165235577</v>
      </c>
      <c r="V14" s="402">
        <f t="shared" si="9"/>
        <v>-762.38640397471318</v>
      </c>
    </row>
    <row r="15" spans="1:22" ht="24" customHeight="1">
      <c r="D15" s="353" t="s">
        <v>108</v>
      </c>
      <c r="E15" s="404">
        <f>+[4]김포!$Q$85</f>
        <v>94981.396875000006</v>
      </c>
      <c r="F15" s="403">
        <f>+[4]김포!$R$85</f>
        <v>96085.257199767613</v>
      </c>
      <c r="G15" s="402">
        <f t="shared" si="0"/>
        <v>1103.8603247676074</v>
      </c>
      <c r="H15" s="404">
        <f>+[4]김포!$Q$20</f>
        <v>58424.401557285877</v>
      </c>
      <c r="I15" s="403">
        <f>+[4]김포!$R$20</f>
        <v>57737.511608623558</v>
      </c>
      <c r="J15" s="402">
        <f t="shared" si="1"/>
        <v>-686.88994866231951</v>
      </c>
      <c r="K15" s="404">
        <f>+[4]김포!$Q$21</f>
        <v>18401.078114035088</v>
      </c>
      <c r="L15" s="403">
        <f>+[4]김포!$R$21</f>
        <v>18541.396932006635</v>
      </c>
      <c r="M15" s="402">
        <f t="shared" si="2"/>
        <v>140.31881797154711</v>
      </c>
      <c r="N15" s="404">
        <f>+[4]김포!$Q$22</f>
        <v>65</v>
      </c>
      <c r="O15" s="403">
        <f>+[4]김포!$R$22</f>
        <v>85.88515754560531</v>
      </c>
      <c r="P15" s="402">
        <f t="shared" si="3"/>
        <v>20.88515754560531</v>
      </c>
      <c r="Q15" s="404">
        <f t="shared" si="4"/>
        <v>76890.479671320965</v>
      </c>
      <c r="R15" s="403">
        <f t="shared" si="5"/>
        <v>76364.793698175796</v>
      </c>
      <c r="S15" s="402">
        <f t="shared" si="6"/>
        <v>-525.68597314516956</v>
      </c>
      <c r="T15" s="404">
        <f t="shared" si="7"/>
        <v>18090.917203679041</v>
      </c>
      <c r="U15" s="403">
        <f t="shared" si="8"/>
        <v>19720.463501591817</v>
      </c>
      <c r="V15" s="402">
        <f t="shared" si="9"/>
        <v>1629.5462979127769</v>
      </c>
    </row>
    <row r="16" spans="1:22" ht="24" customHeight="1">
      <c r="D16" s="408" t="s">
        <v>21</v>
      </c>
      <c r="E16" s="407">
        <f>+[4]부산!$Q$85</f>
        <v>107699.57557238096</v>
      </c>
      <c r="F16" s="406">
        <f>+[4]부산!$R$85</f>
        <v>104240.42636226157</v>
      </c>
      <c r="G16" s="405">
        <f t="shared" si="0"/>
        <v>-3459.1492101193871</v>
      </c>
      <c r="H16" s="407">
        <f>+[4]부산!$Q$20</f>
        <v>64020.529103503497</v>
      </c>
      <c r="I16" s="406">
        <f>+[4]부산!$R$20</f>
        <v>66659.795528712668</v>
      </c>
      <c r="J16" s="405">
        <f t="shared" si="1"/>
        <v>2639.2664252091708</v>
      </c>
      <c r="K16" s="407">
        <f>+[4]부산!$Q$21</f>
        <v>20067.79277777778</v>
      </c>
      <c r="L16" s="406">
        <f>+[4]부산!$R$21</f>
        <v>19510.10072573182</v>
      </c>
      <c r="M16" s="405">
        <f t="shared" si="2"/>
        <v>-557.69205204596074</v>
      </c>
      <c r="N16" s="407">
        <f>+[4]부산!$Q$22</f>
        <v>95.238095238095227</v>
      </c>
      <c r="O16" s="406">
        <f>+[4]부산!$R$22</f>
        <v>0</v>
      </c>
      <c r="P16" s="405">
        <f t="shared" si="3"/>
        <v>-95.238095238095227</v>
      </c>
      <c r="Q16" s="407">
        <f t="shared" si="4"/>
        <v>84183.559976519362</v>
      </c>
      <c r="R16" s="406">
        <f t="shared" si="5"/>
        <v>86169.896254444495</v>
      </c>
      <c r="S16" s="405">
        <f t="shared" si="6"/>
        <v>1986.3362779251329</v>
      </c>
      <c r="T16" s="407">
        <f t="shared" si="7"/>
        <v>23516.015595861594</v>
      </c>
      <c r="U16" s="406">
        <f t="shared" si="8"/>
        <v>18070.530107817074</v>
      </c>
      <c r="V16" s="405">
        <f t="shared" si="9"/>
        <v>-5445.48548804452</v>
      </c>
    </row>
    <row r="17" spans="4:22" ht="24" customHeight="1">
      <c r="D17" s="353" t="s">
        <v>22</v>
      </c>
      <c r="E17" s="404">
        <f>+[4]서부산!$Q$85</f>
        <v>99300.043090909123</v>
      </c>
      <c r="F17" s="403">
        <f>+[4]서부산!$R$85</f>
        <v>97731.982260726072</v>
      </c>
      <c r="G17" s="402">
        <f t="shared" si="0"/>
        <v>-1568.0608301830507</v>
      </c>
      <c r="H17" s="404">
        <f>+[4]서부산!$Q$20</f>
        <v>61712.273044123096</v>
      </c>
      <c r="I17" s="403">
        <f>+[4]서부산!$R$20</f>
        <v>60348.672050492001</v>
      </c>
      <c r="J17" s="402">
        <f t="shared" si="1"/>
        <v>-1363.6009936310948</v>
      </c>
      <c r="K17" s="404">
        <f>+[4]서부산!$Q$21</f>
        <v>17079.808077003701</v>
      </c>
      <c r="L17" s="403">
        <f>+[4]서부산!$R$21</f>
        <v>16747.359954278898</v>
      </c>
      <c r="M17" s="402">
        <f t="shared" si="2"/>
        <v>-332.4481227248034</v>
      </c>
      <c r="N17" s="404">
        <f>+[4]서부산!$Q$22</f>
        <v>136.36363636363635</v>
      </c>
      <c r="O17" s="403">
        <f>+[4]서부산!$R$22</f>
        <v>231.42590199781336</v>
      </c>
      <c r="P17" s="402">
        <f t="shared" si="3"/>
        <v>95.06226563417701</v>
      </c>
      <c r="Q17" s="404">
        <f t="shared" si="4"/>
        <v>78928.444757490433</v>
      </c>
      <c r="R17" s="403">
        <f t="shared" si="5"/>
        <v>77327.457906768715</v>
      </c>
      <c r="S17" s="402">
        <f t="shared" si="6"/>
        <v>-1600.9868507217179</v>
      </c>
      <c r="T17" s="404">
        <f t="shared" si="7"/>
        <v>20371.598333418689</v>
      </c>
      <c r="U17" s="403">
        <f t="shared" si="8"/>
        <v>20404.524353957357</v>
      </c>
      <c r="V17" s="402">
        <f t="shared" si="9"/>
        <v>32.926020538667217</v>
      </c>
    </row>
    <row r="18" spans="4:22" ht="24" customHeight="1">
      <c r="D18" s="353" t="s">
        <v>23</v>
      </c>
      <c r="E18" s="404">
        <f>+[4]김해!$Q$85</f>
        <v>96299.853333333333</v>
      </c>
      <c r="F18" s="403">
        <f>+[4]김해!$R$85</f>
        <v>86017.766412341749</v>
      </c>
      <c r="G18" s="402">
        <f t="shared" si="0"/>
        <v>-10282.086920991584</v>
      </c>
      <c r="H18" s="404">
        <f>+[4]김해!$Q$20</f>
        <v>55825.661221144444</v>
      </c>
      <c r="I18" s="403">
        <f>+[4]김해!$R$20</f>
        <v>56317.352393728514</v>
      </c>
      <c r="J18" s="402">
        <f t="shared" si="1"/>
        <v>491.69117258406914</v>
      </c>
      <c r="K18" s="404">
        <f>+[4]김해!$Q$21</f>
        <v>19799.310467836258</v>
      </c>
      <c r="L18" s="403">
        <f>+[4]김해!$R$21</f>
        <v>18737.226377127528</v>
      </c>
      <c r="M18" s="402">
        <f t="shared" si="2"/>
        <v>-1062.0840907087295</v>
      </c>
      <c r="N18" s="404">
        <f>+[4]김해!$Q$22</f>
        <v>333.33333333333331</v>
      </c>
      <c r="O18" s="403">
        <f>+[4]김해!$R$22</f>
        <v>363.25194935859815</v>
      </c>
      <c r="P18" s="402">
        <f t="shared" si="3"/>
        <v>29.918616025264839</v>
      </c>
      <c r="Q18" s="404">
        <f t="shared" si="4"/>
        <v>75958.305022314031</v>
      </c>
      <c r="R18" s="403">
        <f t="shared" si="5"/>
        <v>75417.830720214639</v>
      </c>
      <c r="S18" s="402">
        <f t="shared" si="6"/>
        <v>-540.47430209939193</v>
      </c>
      <c r="T18" s="404">
        <f t="shared" si="7"/>
        <v>20341.548311019302</v>
      </c>
      <c r="U18" s="403">
        <f t="shared" si="8"/>
        <v>10599.93569212711</v>
      </c>
      <c r="V18" s="402">
        <f t="shared" si="9"/>
        <v>-9741.6126188921917</v>
      </c>
    </row>
    <row r="19" spans="4:22" ht="24" customHeight="1">
      <c r="D19" s="353" t="s">
        <v>24</v>
      </c>
      <c r="E19" s="404">
        <f>+[4]정관!$Q$85</f>
        <v>101999.763984</v>
      </c>
      <c r="F19" s="403">
        <f>+[4]정관!$R$85</f>
        <v>103723.92238186936</v>
      </c>
      <c r="G19" s="402">
        <f t="shared" si="0"/>
        <v>1724.1583978693525</v>
      </c>
      <c r="H19" s="404">
        <f>+[4]정관!$Q$20</f>
        <v>62822.619506934752</v>
      </c>
      <c r="I19" s="403">
        <f>+[4]정관!$R$20</f>
        <v>63335.248960992387</v>
      </c>
      <c r="J19" s="402">
        <f t="shared" si="1"/>
        <v>512.62945405763458</v>
      </c>
      <c r="K19" s="404">
        <f>+[4]정관!$Q$21</f>
        <v>19003.440000000002</v>
      </c>
      <c r="L19" s="403">
        <f>+[4]정관!$R$21</f>
        <v>20268.39302968292</v>
      </c>
      <c r="M19" s="402">
        <f t="shared" si="2"/>
        <v>1264.953029682918</v>
      </c>
      <c r="N19" s="404">
        <f>+[4]정관!$Q$22</f>
        <v>200</v>
      </c>
      <c r="O19" s="403">
        <f>+[4]정관!$R$22</f>
        <v>256.15134701799542</v>
      </c>
      <c r="P19" s="402">
        <f t="shared" si="3"/>
        <v>56.15134701799542</v>
      </c>
      <c r="Q19" s="404">
        <f t="shared" si="4"/>
        <v>82026.059506934747</v>
      </c>
      <c r="R19" s="403">
        <f t="shared" si="5"/>
        <v>83859.793337693292</v>
      </c>
      <c r="S19" s="402">
        <f t="shared" si="6"/>
        <v>1833.7338307585451</v>
      </c>
      <c r="T19" s="404">
        <f t="shared" si="7"/>
        <v>19973.704477065257</v>
      </c>
      <c r="U19" s="403">
        <f t="shared" si="8"/>
        <v>19864.129044176065</v>
      </c>
      <c r="V19" s="402">
        <f t="shared" si="9"/>
        <v>-109.5754328891926</v>
      </c>
    </row>
    <row r="20" spans="4:22" ht="24" customHeight="1">
      <c r="D20" s="353" t="s">
        <v>25</v>
      </c>
      <c r="E20" s="404">
        <f>+[4]양산!$Q$85</f>
        <v>94455</v>
      </c>
      <c r="F20" s="403">
        <f>+[4]양산!$R$85</f>
        <v>92330.9941054644</v>
      </c>
      <c r="G20" s="402">
        <f t="shared" si="0"/>
        <v>-2124.0058945355995</v>
      </c>
      <c r="H20" s="404">
        <f>+[4]양산!$Q$20</f>
        <v>55998.314467211683</v>
      </c>
      <c r="I20" s="403">
        <f>+[4]양산!$R$20</f>
        <v>53375.906643300943</v>
      </c>
      <c r="J20" s="402">
        <f t="shared" si="1"/>
        <v>-2622.4078239107403</v>
      </c>
      <c r="K20" s="404">
        <f>+[4]양산!$Q$21</f>
        <v>17618.535307017544</v>
      </c>
      <c r="L20" s="403">
        <f>+[4]양산!$R$21</f>
        <v>19455.298550262865</v>
      </c>
      <c r="M20" s="402">
        <f t="shared" si="2"/>
        <v>1836.7632432453211</v>
      </c>
      <c r="N20" s="404">
        <f>+[4]양산!$Q$22</f>
        <v>66.666666666666671</v>
      </c>
      <c r="O20" s="403">
        <f>+[4]양산!$R$22</f>
        <v>48.910307471722163</v>
      </c>
      <c r="P20" s="402">
        <f t="shared" si="3"/>
        <v>-17.756359194944508</v>
      </c>
      <c r="Q20" s="404">
        <f t="shared" si="4"/>
        <v>73683.516440895895</v>
      </c>
      <c r="R20" s="403">
        <f t="shared" si="5"/>
        <v>72880.115501035529</v>
      </c>
      <c r="S20" s="402">
        <f t="shared" si="6"/>
        <v>-803.40093986036663</v>
      </c>
      <c r="T20" s="404">
        <f t="shared" si="7"/>
        <v>20771.483559104105</v>
      </c>
      <c r="U20" s="403">
        <f t="shared" si="8"/>
        <v>19450.878604428872</v>
      </c>
      <c r="V20" s="402">
        <f t="shared" si="9"/>
        <v>-1320.6049546752329</v>
      </c>
    </row>
    <row r="21" spans="4:22" ht="24" customHeight="1">
      <c r="D21" s="353" t="s">
        <v>26</v>
      </c>
      <c r="E21" s="404">
        <f>+[4]창원!$Q$85</f>
        <v>100000.05975153847</v>
      </c>
      <c r="F21" s="403">
        <f>+[4]창원!$R$85</f>
        <v>96479.754453538757</v>
      </c>
      <c r="G21" s="402">
        <f t="shared" si="0"/>
        <v>-3520.3052979997155</v>
      </c>
      <c r="H21" s="404">
        <f>+[4]창원!$Q$20</f>
        <v>57809.175639599554</v>
      </c>
      <c r="I21" s="403">
        <f>+[4]창원!$R$20</f>
        <v>55742.923286791854</v>
      </c>
      <c r="J21" s="402">
        <f t="shared" si="1"/>
        <v>-2066.2523528076999</v>
      </c>
      <c r="K21" s="404">
        <f>+[4]창원!$Q$21</f>
        <v>17991.697738679763</v>
      </c>
      <c r="L21" s="403">
        <f>+[4]창원!$R$21</f>
        <v>16494.907719467181</v>
      </c>
      <c r="M21" s="402">
        <f t="shared" si="2"/>
        <v>-1496.7900192125817</v>
      </c>
      <c r="N21" s="404">
        <f>+[4]창원!$Q$22</f>
        <v>115.38461538461539</v>
      </c>
      <c r="O21" s="403">
        <f>+[4]창원!$R$22</f>
        <v>84.175894719948644</v>
      </c>
      <c r="P21" s="402">
        <f t="shared" si="3"/>
        <v>-31.208720664666743</v>
      </c>
      <c r="Q21" s="404">
        <f t="shared" si="4"/>
        <v>75916.257993663923</v>
      </c>
      <c r="R21" s="403">
        <f t="shared" si="5"/>
        <v>72322.006900978973</v>
      </c>
      <c r="S21" s="402">
        <f t="shared" si="6"/>
        <v>-3594.25109268495</v>
      </c>
      <c r="T21" s="404">
        <f t="shared" si="7"/>
        <v>24083.801757874549</v>
      </c>
      <c r="U21" s="403">
        <f t="shared" si="8"/>
        <v>24157.747552559784</v>
      </c>
      <c r="V21" s="402">
        <f t="shared" si="9"/>
        <v>73.945794685234432</v>
      </c>
    </row>
    <row r="22" spans="4:22" ht="24" customHeight="1">
      <c r="D22" s="353" t="s">
        <v>133</v>
      </c>
      <c r="E22" s="404">
        <f>+[4]대구!$Q$85</f>
        <v>97688.007999999987</v>
      </c>
      <c r="F22" s="403">
        <f>+[4]대구!$R$85</f>
        <v>90203.678131526234</v>
      </c>
      <c r="G22" s="402">
        <f t="shared" si="0"/>
        <v>-7484.3298684737529</v>
      </c>
      <c r="H22" s="404">
        <f>+[4]대구!$Q$20</f>
        <v>54318.428711239387</v>
      </c>
      <c r="I22" s="403">
        <f>+[4]대구!$R$20</f>
        <v>53501.488300728801</v>
      </c>
      <c r="J22" s="402">
        <f t="shared" si="1"/>
        <v>-816.94041051058593</v>
      </c>
      <c r="K22" s="404">
        <f>+[4]대구!$Q$21</f>
        <v>18261.004315789476</v>
      </c>
      <c r="L22" s="403">
        <f>+[4]대구!$R$21</f>
        <v>18463.936240037507</v>
      </c>
      <c r="M22" s="402">
        <f t="shared" si="2"/>
        <v>202.93192424803055</v>
      </c>
      <c r="N22" s="404">
        <f>+[4]대구!$Q$22</f>
        <v>384</v>
      </c>
      <c r="O22" s="403">
        <f>+[4]대구!$R$22</f>
        <v>283.44883433491032</v>
      </c>
      <c r="P22" s="402">
        <f t="shared" si="3"/>
        <v>-100.55116566508968</v>
      </c>
      <c r="Q22" s="404">
        <f t="shared" si="4"/>
        <v>72963.433027028863</v>
      </c>
      <c r="R22" s="403">
        <f t="shared" si="5"/>
        <v>72248.873375101219</v>
      </c>
      <c r="S22" s="402">
        <f t="shared" si="6"/>
        <v>-714.55965192764415</v>
      </c>
      <c r="T22" s="404">
        <f t="shared" si="7"/>
        <v>24724.574972971124</v>
      </c>
      <c r="U22" s="403">
        <f t="shared" si="8"/>
        <v>17954.804756425016</v>
      </c>
      <c r="V22" s="402">
        <f t="shared" si="9"/>
        <v>-6769.7702165461087</v>
      </c>
    </row>
    <row r="23" spans="4:22" ht="24" customHeight="1">
      <c r="D23" s="353" t="s">
        <v>132</v>
      </c>
      <c r="E23" s="404">
        <f>+[4]울산!$Q$85</f>
        <v>102006</v>
      </c>
      <c r="F23" s="403">
        <f>+[4]울산!$R$85</f>
        <v>103542.84481518769</v>
      </c>
      <c r="G23" s="402">
        <f t="shared" si="0"/>
        <v>1536.8448151876946</v>
      </c>
      <c r="H23" s="404">
        <f>+[4]울산!$Q$20</f>
        <v>60721.553021876156</v>
      </c>
      <c r="I23" s="403">
        <f>+[4]울산!$R$20</f>
        <v>60927.637160511564</v>
      </c>
      <c r="J23" s="402">
        <f t="shared" si="1"/>
        <v>206.08413863540773</v>
      </c>
      <c r="K23" s="404">
        <f>+[4]울산!$Q$21</f>
        <v>20872.471881326557</v>
      </c>
      <c r="L23" s="403">
        <f>+[4]울산!$R$21</f>
        <v>19534.124730564734</v>
      </c>
      <c r="M23" s="402">
        <f t="shared" si="2"/>
        <v>-1338.3471507618233</v>
      </c>
      <c r="N23" s="404">
        <f>+[4]울산!$Q$22</f>
        <v>280</v>
      </c>
      <c r="O23" s="403">
        <f>+[4]울산!$R$22</f>
        <v>231.19816065526655</v>
      </c>
      <c r="P23" s="402">
        <f t="shared" si="3"/>
        <v>-48.801839344733452</v>
      </c>
      <c r="Q23" s="404">
        <f t="shared" si="4"/>
        <v>81874.02490320272</v>
      </c>
      <c r="R23" s="403">
        <f t="shared" si="5"/>
        <v>80692.96005173157</v>
      </c>
      <c r="S23" s="402">
        <f t="shared" si="6"/>
        <v>-1181.0648514711502</v>
      </c>
      <c r="T23" s="404">
        <f t="shared" si="7"/>
        <v>20131.97509679728</v>
      </c>
      <c r="U23" s="403">
        <f t="shared" si="8"/>
        <v>22849.884763456124</v>
      </c>
      <c r="V23" s="402">
        <f t="shared" si="9"/>
        <v>2717.9096666588448</v>
      </c>
    </row>
    <row r="24" spans="4:22" ht="24" customHeight="1">
      <c r="D24" s="408" t="s">
        <v>27</v>
      </c>
      <c r="E24" s="407">
        <f>+[4]아산!$Q$85</f>
        <v>103000</v>
      </c>
      <c r="F24" s="406">
        <f>+[4]아산!$R$85</f>
        <v>95394.729642256061</v>
      </c>
      <c r="G24" s="405">
        <f t="shared" si="0"/>
        <v>-7605.2703577439388</v>
      </c>
      <c r="H24" s="407">
        <f>+[4]아산!$Q$20</f>
        <v>58124.356593548386</v>
      </c>
      <c r="I24" s="406">
        <f>+[4]아산!$R$20</f>
        <v>57645.157563478038</v>
      </c>
      <c r="J24" s="405">
        <f t="shared" si="1"/>
        <v>-479.19903007034736</v>
      </c>
      <c r="K24" s="407">
        <f>+[4]아산!$Q$21</f>
        <v>20311.186663829791</v>
      </c>
      <c r="L24" s="406">
        <f>+[4]아산!$R$21</f>
        <v>19386.510453938008</v>
      </c>
      <c r="M24" s="405">
        <f t="shared" si="2"/>
        <v>-924.67620989178249</v>
      </c>
      <c r="N24" s="407">
        <f>+[4]아산!$Q$22</f>
        <v>100</v>
      </c>
      <c r="O24" s="406">
        <f>+[4]아산!$R$22</f>
        <v>190.48458852437815</v>
      </c>
      <c r="P24" s="405">
        <f t="shared" si="3"/>
        <v>90.484588524378154</v>
      </c>
      <c r="Q24" s="407">
        <f t="shared" si="4"/>
        <v>78535.543257378173</v>
      </c>
      <c r="R24" s="406">
        <f t="shared" si="5"/>
        <v>77222.152605940428</v>
      </c>
      <c r="S24" s="405">
        <f t="shared" si="6"/>
        <v>-1313.390651437745</v>
      </c>
      <c r="T24" s="407">
        <f t="shared" si="7"/>
        <v>24464.456742621827</v>
      </c>
      <c r="U24" s="406">
        <f t="shared" si="8"/>
        <v>18172.577036315633</v>
      </c>
      <c r="V24" s="405">
        <f t="shared" si="9"/>
        <v>-6291.8797063061938</v>
      </c>
    </row>
    <row r="25" spans="4:22" ht="24" customHeight="1">
      <c r="D25" s="353" t="s">
        <v>131</v>
      </c>
      <c r="E25" s="404">
        <f>+[4]전주!$Q$85</f>
        <v>97059.107272727284</v>
      </c>
      <c r="F25" s="403">
        <f>+[4]전주!$R$85</f>
        <v>98858.360001174355</v>
      </c>
      <c r="G25" s="402">
        <f t="shared" si="0"/>
        <v>1799.2527284470707</v>
      </c>
      <c r="H25" s="404">
        <f>+[4]전주!$Q$20</f>
        <v>56367.812043752318</v>
      </c>
      <c r="I25" s="403">
        <f>+[4]전주!$R$20</f>
        <v>61111.499427699353</v>
      </c>
      <c r="J25" s="402">
        <f t="shared" si="1"/>
        <v>4743.6873839470354</v>
      </c>
      <c r="K25" s="404">
        <f>+[4]전주!$Q$21</f>
        <v>16223.999471308833</v>
      </c>
      <c r="L25" s="403">
        <f>+[4]전주!$R$21</f>
        <v>14767.506412702138</v>
      </c>
      <c r="M25" s="402">
        <f t="shared" si="2"/>
        <v>-1456.4930586066948</v>
      </c>
      <c r="N25" s="404">
        <f>+[4]전주!$Q$22</f>
        <v>272.72727272727269</v>
      </c>
      <c r="O25" s="403">
        <f>+[4]전주!$R$22</f>
        <v>257.60590496874357</v>
      </c>
      <c r="P25" s="402">
        <f t="shared" si="3"/>
        <v>-15.121367758529118</v>
      </c>
      <c r="Q25" s="404">
        <f t="shared" si="4"/>
        <v>72864.538787788435</v>
      </c>
      <c r="R25" s="403">
        <f t="shared" si="5"/>
        <v>76136.611745370232</v>
      </c>
      <c r="S25" s="402">
        <f t="shared" si="6"/>
        <v>3272.0729575817968</v>
      </c>
      <c r="T25" s="404">
        <f t="shared" si="7"/>
        <v>24194.568484938849</v>
      </c>
      <c r="U25" s="403">
        <f t="shared" si="8"/>
        <v>22721.748255804123</v>
      </c>
      <c r="V25" s="402">
        <f t="shared" si="9"/>
        <v>-1472.8202291347261</v>
      </c>
    </row>
    <row r="26" spans="4:22" ht="24" customHeight="1">
      <c r="D26" s="353" t="s">
        <v>130</v>
      </c>
      <c r="E26" s="404">
        <f>+[4]군산!$Q$85</f>
        <v>109866.51550000001</v>
      </c>
      <c r="F26" s="403">
        <f>+[4]군산!$R$85</f>
        <v>106616.03720005679</v>
      </c>
      <c r="G26" s="402">
        <f t="shared" si="0"/>
        <v>-3250.4782999432209</v>
      </c>
      <c r="H26" s="404">
        <f>+[4]군산!$Q$20</f>
        <v>58650.377419354845</v>
      </c>
      <c r="I26" s="403">
        <f>+[4]군산!$R$20</f>
        <v>55482.440153343756</v>
      </c>
      <c r="J26" s="402">
        <f t="shared" si="1"/>
        <v>-3167.9372660110894</v>
      </c>
      <c r="K26" s="404">
        <f>+[4]군산!$Q$21</f>
        <v>13604.848014032073</v>
      </c>
      <c r="L26" s="403">
        <f>+[4]군산!$R$21</f>
        <v>13856.719295754649</v>
      </c>
      <c r="M26" s="402">
        <f t="shared" si="2"/>
        <v>251.87128172257508</v>
      </c>
      <c r="N26" s="404">
        <f>+[4]군산!$Q$22</f>
        <v>56.25</v>
      </c>
      <c r="O26" s="403">
        <f>+[4]군산!$R$22</f>
        <v>48.702399545648163</v>
      </c>
      <c r="P26" s="402">
        <f t="shared" si="3"/>
        <v>-7.5476004543518371</v>
      </c>
      <c r="Q26" s="404">
        <f t="shared" si="4"/>
        <v>72311.47543338692</v>
      </c>
      <c r="R26" s="403">
        <f t="shared" si="5"/>
        <v>69387.861848644054</v>
      </c>
      <c r="S26" s="402">
        <f t="shared" si="6"/>
        <v>-2923.6135847428668</v>
      </c>
      <c r="T26" s="404">
        <f t="shared" si="7"/>
        <v>37555.040066613088</v>
      </c>
      <c r="U26" s="403">
        <f t="shared" si="8"/>
        <v>37228.175351412734</v>
      </c>
      <c r="V26" s="402">
        <f t="shared" si="9"/>
        <v>-326.86471520035411</v>
      </c>
    </row>
    <row r="27" spans="4:22" ht="24" customHeight="1">
      <c r="D27" s="353" t="s">
        <v>129</v>
      </c>
      <c r="E27" s="404">
        <f>+[4]원주!$Q$85</f>
        <v>112000</v>
      </c>
      <c r="F27" s="403">
        <f>+[4]원주!$R$85</f>
        <v>112985.73097138407</v>
      </c>
      <c r="G27" s="402">
        <f t="shared" si="0"/>
        <v>985.73097138406592</v>
      </c>
      <c r="H27" s="404">
        <f>+[4]원주!$Q$20</f>
        <v>57608.53333333334</v>
      </c>
      <c r="I27" s="403">
        <f>+[4]원주!$R$20</f>
        <v>57622.5653104925</v>
      </c>
      <c r="J27" s="402">
        <f t="shared" si="1"/>
        <v>14.031977159160306</v>
      </c>
      <c r="K27" s="404">
        <f>+[4]원주!$Q$21</f>
        <v>14789.798846409913</v>
      </c>
      <c r="L27" s="403">
        <f>+[4]원주!$R$21</f>
        <v>15079.801829861786</v>
      </c>
      <c r="M27" s="402">
        <f t="shared" si="2"/>
        <v>290.00298345187366</v>
      </c>
      <c r="N27" s="404">
        <f>+[4]원주!$Q$22</f>
        <v>350</v>
      </c>
      <c r="O27" s="403">
        <f>+[4]원주!$R$22</f>
        <v>308.45045746544673</v>
      </c>
      <c r="P27" s="402">
        <f t="shared" si="3"/>
        <v>-41.549542534553268</v>
      </c>
      <c r="Q27" s="404">
        <f t="shared" si="4"/>
        <v>72748.332179743258</v>
      </c>
      <c r="R27" s="403">
        <f t="shared" si="5"/>
        <v>73010.817597819725</v>
      </c>
      <c r="S27" s="402">
        <f t="shared" si="6"/>
        <v>262.48541807646689</v>
      </c>
      <c r="T27" s="404">
        <f t="shared" si="7"/>
        <v>39251.667820256742</v>
      </c>
      <c r="U27" s="403">
        <f t="shared" si="8"/>
        <v>39974.913373564341</v>
      </c>
      <c r="V27" s="402">
        <f t="shared" si="9"/>
        <v>723.24555330759904</v>
      </c>
    </row>
    <row r="28" spans="4:22" ht="24" customHeight="1">
      <c r="D28" s="348" t="s">
        <v>128</v>
      </c>
      <c r="E28" s="401">
        <f>+[4]제주!$Q$85</f>
        <v>122613.5</v>
      </c>
      <c r="F28" s="400">
        <f>+[4]제주!$R$85</f>
        <v>123584.35305637153</v>
      </c>
      <c r="G28" s="399">
        <f t="shared" si="0"/>
        <v>970.85305637153215</v>
      </c>
      <c r="H28" s="401">
        <f>+[4]제주!$Q$20</f>
        <v>73407.278197997774</v>
      </c>
      <c r="I28" s="400">
        <f>+[4]제주!$R$20</f>
        <v>76090.674080290948</v>
      </c>
      <c r="J28" s="399">
        <f t="shared" si="1"/>
        <v>2683.3958822931745</v>
      </c>
      <c r="K28" s="401">
        <f>+[4]제주!$Q$21</f>
        <v>17407.542955326458</v>
      </c>
      <c r="L28" s="400">
        <f>+[4]제주!$R$21</f>
        <v>14878.545670723177</v>
      </c>
      <c r="M28" s="399">
        <f t="shared" si="2"/>
        <v>-2528.9972846032815</v>
      </c>
      <c r="N28" s="401">
        <f>+[4]제주!$Q$22</f>
        <v>312.5</v>
      </c>
      <c r="O28" s="400">
        <f>+[4]제주!$R$22</f>
        <v>291.06406490418243</v>
      </c>
      <c r="P28" s="399">
        <f t="shared" si="3"/>
        <v>-21.43593509581757</v>
      </c>
      <c r="Q28" s="401">
        <f t="shared" si="4"/>
        <v>91127.321153324228</v>
      </c>
      <c r="R28" s="400">
        <f t="shared" si="5"/>
        <v>91260.283815918316</v>
      </c>
      <c r="S28" s="399">
        <f t="shared" si="6"/>
        <v>132.96266259408731</v>
      </c>
      <c r="T28" s="401">
        <f t="shared" si="7"/>
        <v>31486.178846675772</v>
      </c>
      <c r="U28" s="400">
        <f t="shared" si="8"/>
        <v>32324.069240453216</v>
      </c>
      <c r="V28" s="399">
        <f t="shared" si="9"/>
        <v>837.89039377744484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6C93-3AD1-4759-9437-717A6F22A0F1}">
  <sheetPr>
    <tabColor theme="1" tint="0.249977111117893"/>
    <pageSetUpPr fitToPage="1"/>
  </sheetPr>
  <dimension ref="A1:Y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226</v>
      </c>
      <c r="F4" s="398"/>
      <c r="I4" s="398"/>
    </row>
    <row r="5" spans="1:22" ht="21.95" customHeight="1"/>
    <row r="6" spans="1:22" ht="24" customHeight="1" thickBot="1">
      <c r="A6" s="6" t="s">
        <v>141</v>
      </c>
      <c r="D6" s="763" t="s">
        <v>11</v>
      </c>
      <c r="E6" s="396" t="s">
        <v>154</v>
      </c>
      <c r="F6" s="395"/>
      <c r="G6" s="394"/>
      <c r="H6" s="396" t="s">
        <v>153</v>
      </c>
      <c r="I6" s="395"/>
      <c r="J6" s="394"/>
      <c r="K6" s="396" t="s">
        <v>152</v>
      </c>
      <c r="L6" s="395"/>
      <c r="M6" s="394"/>
      <c r="N6" s="396" t="s">
        <v>151</v>
      </c>
      <c r="O6" s="395"/>
      <c r="P6" s="394"/>
      <c r="Q6" s="396" t="s">
        <v>150</v>
      </c>
      <c r="R6" s="395"/>
      <c r="S6" s="394"/>
      <c r="T6" s="396" t="s">
        <v>149</v>
      </c>
      <c r="U6" s="395"/>
      <c r="V6" s="394"/>
    </row>
    <row r="7" spans="1:22" ht="24" customHeight="1">
      <c r="D7" s="764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441">
        <f>+[4]합계!$G$9</f>
        <v>100505.43437077377</v>
      </c>
      <c r="F8" s="440">
        <f>+[4]합계!$H$9</f>
        <v>100622.75708265365</v>
      </c>
      <c r="G8" s="439">
        <f t="shared" ref="G8:G28" si="0">+F8-E8</f>
        <v>117.32271187988226</v>
      </c>
      <c r="H8" s="441">
        <f>+[4]합계!$G$10</f>
        <v>93807.1457371094</v>
      </c>
      <c r="I8" s="440">
        <f>+[4]합계!$H$10</f>
        <v>94372.597405080029</v>
      </c>
      <c r="J8" s="439">
        <f t="shared" ref="J8:J28" si="1">+I8-H8</f>
        <v>565.45166797062848</v>
      </c>
      <c r="K8" s="441">
        <f>+[4]합계!$G$12</f>
        <v>63679.651004643638</v>
      </c>
      <c r="L8" s="440">
        <f>+[4]합계!$H$12</f>
        <v>62044.46390743916</v>
      </c>
      <c r="M8" s="439">
        <f t="shared" ref="M8:M28" si="2">+L8-K8</f>
        <v>-1635.1870972044781</v>
      </c>
      <c r="N8" s="441">
        <f>+[4]합계!$G$13</f>
        <v>40941.852777502092</v>
      </c>
      <c r="O8" s="440">
        <f>+[4]합계!$H$13</f>
        <v>39013.825500874191</v>
      </c>
      <c r="P8" s="439">
        <f t="shared" ref="P8:P28" si="3">+O8-N8</f>
        <v>-1928.0272766279013</v>
      </c>
      <c r="Q8" s="441">
        <f>+[4]합계!$G$16</f>
        <v>13248.190840347925</v>
      </c>
      <c r="R8" s="440">
        <f>+[4]합계!$H$16</f>
        <v>13397.284140811897</v>
      </c>
      <c r="S8" s="439">
        <f t="shared" ref="S8:S28" si="4">+R8-Q8</f>
        <v>149.0933004639719</v>
      </c>
      <c r="T8" s="441">
        <f>+[4]합계!$G$17</f>
        <v>15813.391380531966</v>
      </c>
      <c r="U8" s="440">
        <f>+[4]합계!$H$17</f>
        <v>15775.335597389312</v>
      </c>
      <c r="V8" s="439">
        <f t="shared" ref="V8:V28" si="5">+U8-T8</f>
        <v>-38.055783142654036</v>
      </c>
    </row>
    <row r="9" spans="1:22" ht="24" customHeight="1">
      <c r="D9" s="382" t="s">
        <v>16</v>
      </c>
      <c r="E9" s="438">
        <f>+[4]수도권!$G$9</f>
        <v>100000</v>
      </c>
      <c r="F9" s="437">
        <f>+[4]수도권!$H$9</f>
        <v>99805.374912700165</v>
      </c>
      <c r="G9" s="436">
        <f t="shared" si="0"/>
        <v>-194.62508729983529</v>
      </c>
      <c r="H9" s="438">
        <f>+[4]수도권!$G$10</f>
        <v>98000</v>
      </c>
      <c r="I9" s="437">
        <f>+[4]수도권!$H$10</f>
        <v>99492.036314964571</v>
      </c>
      <c r="J9" s="436">
        <f t="shared" si="1"/>
        <v>1492.0363149645709</v>
      </c>
      <c r="K9" s="438">
        <f>+[4]수도권!$G$12</f>
        <v>64180.023898335196</v>
      </c>
      <c r="L9" s="437">
        <f>+[4]수도권!$H$12</f>
        <v>62307.356002009656</v>
      </c>
      <c r="M9" s="436">
        <f t="shared" si="2"/>
        <v>-1872.6678963255399</v>
      </c>
      <c r="N9" s="438">
        <f>+[4]수도권!$G$13</f>
        <v>47161.121848172952</v>
      </c>
      <c r="O9" s="437">
        <f>+[4]수도권!$H$13</f>
        <v>44849.508229161831</v>
      </c>
      <c r="P9" s="436">
        <f t="shared" si="3"/>
        <v>-2311.613619011121</v>
      </c>
      <c r="Q9" s="438">
        <f>+[4]수도권!$G$16</f>
        <v>15800.120130330894</v>
      </c>
      <c r="R9" s="437">
        <f>+[4]수도권!$H$16</f>
        <v>15338.429547345511</v>
      </c>
      <c r="S9" s="436">
        <f t="shared" si="4"/>
        <v>-461.69058298538221</v>
      </c>
      <c r="T9" s="438">
        <f>+[4]수도권!$G$17</f>
        <v>14221.065963235602</v>
      </c>
      <c r="U9" s="437">
        <f>+[4]수도권!$H$17</f>
        <v>13855.329600600209</v>
      </c>
      <c r="V9" s="436">
        <f t="shared" si="5"/>
        <v>-365.73636263539265</v>
      </c>
    </row>
    <row r="10" spans="1:22" ht="24" customHeight="1">
      <c r="D10" s="377" t="s">
        <v>17</v>
      </c>
      <c r="E10" s="435">
        <f>+[4]영남권!$G$9</f>
        <v>100000</v>
      </c>
      <c r="F10" s="434">
        <f>+[4]영남권!$H$9</f>
        <v>100516.7860603304</v>
      </c>
      <c r="G10" s="433">
        <f t="shared" si="0"/>
        <v>516.78606033039978</v>
      </c>
      <c r="H10" s="435">
        <f>+[4]영남권!$G$10</f>
        <v>92435.406865532816</v>
      </c>
      <c r="I10" s="434">
        <f>+[4]영남권!$H$10</f>
        <v>92495.046025080708</v>
      </c>
      <c r="J10" s="433">
        <f t="shared" si="1"/>
        <v>59.639159547892632</v>
      </c>
      <c r="K10" s="435">
        <f>+[4]영남권!$G$12</f>
        <v>62721.584061192814</v>
      </c>
      <c r="L10" s="434">
        <f>+[4]영남권!$H$12</f>
        <v>61379.252681789781</v>
      </c>
      <c r="M10" s="433">
        <f t="shared" si="2"/>
        <v>-1342.3313794030328</v>
      </c>
      <c r="N10" s="435">
        <f>+[4]영남권!$G$13</f>
        <v>35526.720469982887</v>
      </c>
      <c r="O10" s="434">
        <f>+[4]영남권!$H$13</f>
        <v>34432.186467868989</v>
      </c>
      <c r="P10" s="433">
        <f t="shared" si="3"/>
        <v>-1094.5340021138982</v>
      </c>
      <c r="Q10" s="435">
        <f>+[4]영남권!$G$16</f>
        <v>10954.42333480749</v>
      </c>
      <c r="R10" s="434">
        <f>+[4]영남권!$H$16</f>
        <v>11699.191953537398</v>
      </c>
      <c r="S10" s="433">
        <f t="shared" si="4"/>
        <v>744.76861872990776</v>
      </c>
      <c r="T10" s="435">
        <f>+[4]영남권!$G$17</f>
        <v>17638.75322405621</v>
      </c>
      <c r="U10" s="434">
        <f>+[4]영남권!$H$17</f>
        <v>17882.012464955613</v>
      </c>
      <c r="V10" s="433">
        <f t="shared" si="5"/>
        <v>243.25924089940236</v>
      </c>
    </row>
    <row r="11" spans="1:22" ht="24" customHeight="1">
      <c r="D11" s="372" t="s">
        <v>134</v>
      </c>
      <c r="E11" s="432">
        <f>+[4]중부권!$G$9</f>
        <v>102563.37367797074</v>
      </c>
      <c r="F11" s="431">
        <f>+[4]중부권!$H$9</f>
        <v>102160.59760378675</v>
      </c>
      <c r="G11" s="430">
        <f t="shared" si="0"/>
        <v>-402.77607418398838</v>
      </c>
      <c r="H11" s="432">
        <f>+[4]중부권!$G$10</f>
        <v>98220.902741676648</v>
      </c>
      <c r="I11" s="431">
        <f>+[4]중부권!$H$10</f>
        <v>103273.18720658237</v>
      </c>
      <c r="J11" s="430">
        <f t="shared" si="1"/>
        <v>5052.2844649057224</v>
      </c>
      <c r="K11" s="432">
        <f>+[4]중부권!$G$12</f>
        <v>64586.564603971026</v>
      </c>
      <c r="L11" s="431">
        <f>+[4]중부권!$H$12</f>
        <v>62981.853631895938</v>
      </c>
      <c r="M11" s="430">
        <f t="shared" si="2"/>
        <v>-1604.7109720750886</v>
      </c>
      <c r="N11" s="432">
        <f>+[4]중부권!$G$13</f>
        <v>42110.967989645709</v>
      </c>
      <c r="O11" s="431">
        <f>+[4]중부권!$H$13</f>
        <v>40003.304239399549</v>
      </c>
      <c r="P11" s="430">
        <f t="shared" si="3"/>
        <v>-2107.6637502461599</v>
      </c>
      <c r="Q11" s="432">
        <f>+[4]중부권!$G$16</f>
        <v>13107.048812112786</v>
      </c>
      <c r="R11" s="431">
        <f>+[4]중부권!$H$16</f>
        <v>13439.105509741948</v>
      </c>
      <c r="S11" s="430">
        <f t="shared" si="4"/>
        <v>332.05669762916295</v>
      </c>
      <c r="T11" s="432">
        <f>+[4]중부권!$G$17</f>
        <v>14642.314000500639</v>
      </c>
      <c r="U11" s="431">
        <f>+[4]중부권!$H$17</f>
        <v>14724.327128862305</v>
      </c>
      <c r="V11" s="430">
        <f t="shared" si="5"/>
        <v>82.013128361666531</v>
      </c>
    </row>
    <row r="12" spans="1:22" ht="24" customHeight="1">
      <c r="D12" s="412" t="s">
        <v>18</v>
      </c>
      <c r="E12" s="429">
        <f>+[4]안양!$G$9</f>
        <v>100000</v>
      </c>
      <c r="F12" s="428">
        <f>+[4]안양!$H$9</f>
        <v>99615.438966714937</v>
      </c>
      <c r="G12" s="427">
        <f t="shared" si="0"/>
        <v>-384.56103328506288</v>
      </c>
      <c r="H12" s="429">
        <f>+[4]안양!$G$10</f>
        <v>0</v>
      </c>
      <c r="I12" s="428">
        <f>+[4]안양!$H$10</f>
        <v>102200.00206619283</v>
      </c>
      <c r="J12" s="427">
        <f t="shared" si="1"/>
        <v>102200.00206619283</v>
      </c>
      <c r="K12" s="429">
        <f>+[4]안양!$G$12</f>
        <v>64100.000000000007</v>
      </c>
      <c r="L12" s="428">
        <f>+[4]안양!$H$12</f>
        <v>62104.883939330735</v>
      </c>
      <c r="M12" s="427">
        <f t="shared" si="2"/>
        <v>-1995.116060669272</v>
      </c>
      <c r="N12" s="429">
        <f>+[4]안양!$G$13</f>
        <v>46100</v>
      </c>
      <c r="O12" s="428">
        <f>+[4]안양!$H$13</f>
        <v>44379.654405486166</v>
      </c>
      <c r="P12" s="427">
        <f t="shared" si="3"/>
        <v>-1720.3455945138339</v>
      </c>
      <c r="Q12" s="429">
        <f>+[4]안양!$G$16</f>
        <v>15800</v>
      </c>
      <c r="R12" s="428">
        <f>+[4]안양!$H$16</f>
        <v>15459.440581113913</v>
      </c>
      <c r="S12" s="427">
        <f t="shared" si="4"/>
        <v>-340.55941888608686</v>
      </c>
      <c r="T12" s="429">
        <f>+[4]안양!$G$17</f>
        <v>15032.258064516131</v>
      </c>
      <c r="U12" s="428">
        <f>+[4]안양!$H$17</f>
        <v>14802.401224947605</v>
      </c>
      <c r="V12" s="427">
        <f t="shared" si="5"/>
        <v>-229.85683956852517</v>
      </c>
    </row>
    <row r="13" spans="1:22" ht="24" customHeight="1">
      <c r="D13" s="353" t="s">
        <v>19</v>
      </c>
      <c r="E13" s="422">
        <f>+[4]인천!$G$9</f>
        <v>100000</v>
      </c>
      <c r="F13" s="421">
        <f>+[4]인천!$H$9</f>
        <v>99903.064756839434</v>
      </c>
      <c r="G13" s="420">
        <f t="shared" si="0"/>
        <v>-96.935243160565733</v>
      </c>
      <c r="H13" s="422">
        <f>+[4]인천!$G$10</f>
        <v>98000</v>
      </c>
      <c r="I13" s="421">
        <f>+[4]인천!$H$10</f>
        <v>99331.213289116451</v>
      </c>
      <c r="J13" s="420">
        <f t="shared" si="1"/>
        <v>1331.2132891164511</v>
      </c>
      <c r="K13" s="422">
        <f>+[4]인천!$G$12</f>
        <v>64400.000000000007</v>
      </c>
      <c r="L13" s="421">
        <f>+[4]인천!$H$12</f>
        <v>62562.478089129552</v>
      </c>
      <c r="M13" s="420">
        <f t="shared" si="2"/>
        <v>-1837.521910870455</v>
      </c>
      <c r="N13" s="422">
        <f>+[4]인천!$G$13</f>
        <v>47600</v>
      </c>
      <c r="O13" s="421">
        <f>+[4]인천!$H$13</f>
        <v>44569.286392575748</v>
      </c>
      <c r="P13" s="420">
        <f t="shared" si="3"/>
        <v>-3030.7136074242517</v>
      </c>
      <c r="Q13" s="422">
        <f>+[4]인천!$G$16</f>
        <v>16000</v>
      </c>
      <c r="R13" s="421">
        <f>+[4]인천!$H$16</f>
        <v>15261.251863404064</v>
      </c>
      <c r="S13" s="420">
        <f t="shared" si="4"/>
        <v>-738.74813659593565</v>
      </c>
      <c r="T13" s="422">
        <f>+[4]인천!$G$17</f>
        <v>14318.131256952167</v>
      </c>
      <c r="U13" s="421">
        <f>+[4]인천!$H$17</f>
        <v>13461.835092912694</v>
      </c>
      <c r="V13" s="420">
        <f t="shared" si="5"/>
        <v>-856.2961640394733</v>
      </c>
    </row>
    <row r="14" spans="1:22" ht="24" customHeight="1">
      <c r="D14" s="353" t="s">
        <v>20</v>
      </c>
      <c r="E14" s="422">
        <f>+[4]파주!$G$9</f>
        <v>100000</v>
      </c>
      <c r="F14" s="421">
        <f>+[4]파주!$H$9</f>
        <v>100000.00000000001</v>
      </c>
      <c r="G14" s="420">
        <f t="shared" si="0"/>
        <v>0</v>
      </c>
      <c r="H14" s="422">
        <f>+[4]파주!$G$10</f>
        <v>0</v>
      </c>
      <c r="I14" s="421">
        <f>+[4]파주!$H$10</f>
        <v>99049.852190271427</v>
      </c>
      <c r="J14" s="420">
        <f t="shared" si="1"/>
        <v>99049.852190271427</v>
      </c>
      <c r="K14" s="422">
        <f>+[4]파주!$G$12</f>
        <v>64300</v>
      </c>
      <c r="L14" s="421">
        <f>+[4]파주!$H$12</f>
        <v>62567.401458012588</v>
      </c>
      <c r="M14" s="420">
        <f t="shared" si="2"/>
        <v>-1732.5985419874123</v>
      </c>
      <c r="N14" s="422">
        <f>+[4]파주!$G$13</f>
        <v>48199.999999999993</v>
      </c>
      <c r="O14" s="421">
        <f>+[4]파주!$H$13</f>
        <v>46073.848266314715</v>
      </c>
      <c r="P14" s="420">
        <f t="shared" si="3"/>
        <v>-2126.1517336852776</v>
      </c>
      <c r="Q14" s="422">
        <f>+[4]파주!$G$16</f>
        <v>16333.333333333332</v>
      </c>
      <c r="R14" s="421">
        <f>+[4]파주!$H$16</f>
        <v>15770.514044635549</v>
      </c>
      <c r="S14" s="420">
        <f t="shared" si="4"/>
        <v>-562.81928869778312</v>
      </c>
      <c r="T14" s="422">
        <f>+[4]파주!$G$17</f>
        <v>12580.645161290322</v>
      </c>
      <c r="U14" s="421">
        <f>+[4]파주!$H$17</f>
        <v>11817.299685392167</v>
      </c>
      <c r="V14" s="420">
        <f t="shared" si="5"/>
        <v>-763.3454758981552</v>
      </c>
    </row>
    <row r="15" spans="1:22" ht="24" customHeight="1">
      <c r="D15" s="353" t="s">
        <v>108</v>
      </c>
      <c r="E15" s="422">
        <f>+[4]김포!$G$9</f>
        <v>100000</v>
      </c>
      <c r="F15" s="421">
        <f>+[4]김포!$H$9</f>
        <v>100000</v>
      </c>
      <c r="G15" s="420">
        <f t="shared" si="0"/>
        <v>0</v>
      </c>
      <c r="H15" s="422">
        <f>+[4]김포!$G$10</f>
        <v>0</v>
      </c>
      <c r="I15" s="421">
        <f>+[4]김포!$H$10</f>
        <v>0</v>
      </c>
      <c r="J15" s="420">
        <f t="shared" si="1"/>
        <v>0</v>
      </c>
      <c r="K15" s="422">
        <f>+[4]김포!$G$12</f>
        <v>63800</v>
      </c>
      <c r="L15" s="421">
        <f>+[4]김포!$H$12</f>
        <v>61995.13081414684</v>
      </c>
      <c r="M15" s="420">
        <f t="shared" si="2"/>
        <v>-1804.8691858531602</v>
      </c>
      <c r="N15" s="422">
        <f>+[4]김포!$G$13</f>
        <v>47600</v>
      </c>
      <c r="O15" s="421">
        <f>+[4]김포!$H$13</f>
        <v>45057.635134817647</v>
      </c>
      <c r="P15" s="420">
        <f t="shared" si="3"/>
        <v>-2542.3648651823532</v>
      </c>
      <c r="Q15" s="422">
        <f>+[4]김포!$G$16</f>
        <v>14600</v>
      </c>
      <c r="R15" s="421">
        <f>+[4]김포!$H$16</f>
        <v>14591.028085407173</v>
      </c>
      <c r="S15" s="420">
        <f t="shared" si="4"/>
        <v>-8.9719145928265789</v>
      </c>
      <c r="T15" s="422">
        <f>+[4]김포!$G$17</f>
        <v>14148.064457890967</v>
      </c>
      <c r="U15" s="421">
        <f>+[4]김포!$H$17</f>
        <v>14184.126146867004</v>
      </c>
      <c r="V15" s="420">
        <f t="shared" si="5"/>
        <v>36.061688976036748</v>
      </c>
    </row>
    <row r="16" spans="1:22" ht="24" customHeight="1">
      <c r="D16" s="408" t="s">
        <v>21</v>
      </c>
      <c r="E16" s="425">
        <f>+[4]부산!$G$9</f>
        <v>100000.00000000001</v>
      </c>
      <c r="F16" s="424">
        <f>+[4]부산!$H$9</f>
        <v>100000.00052458062</v>
      </c>
      <c r="G16" s="423">
        <f t="shared" si="0"/>
        <v>5.2458060963544995E-4</v>
      </c>
      <c r="H16" s="425">
        <f>+[4]부산!$G$10</f>
        <v>92900</v>
      </c>
      <c r="I16" s="424">
        <f>+[4]부산!$H$10</f>
        <v>93089.132342373574</v>
      </c>
      <c r="J16" s="423">
        <f t="shared" si="1"/>
        <v>189.13234237357392</v>
      </c>
      <c r="K16" s="425">
        <f>+[4]부산!$G$12</f>
        <v>0</v>
      </c>
      <c r="L16" s="424">
        <f>+[4]부산!$H$12</f>
        <v>0</v>
      </c>
      <c r="M16" s="423">
        <f t="shared" si="2"/>
        <v>0</v>
      </c>
      <c r="N16" s="425">
        <f>+[4]부산!$G$13</f>
        <v>36499.999999999993</v>
      </c>
      <c r="O16" s="424">
        <f>+[4]부산!$H$13</f>
        <v>35334.296537137794</v>
      </c>
      <c r="P16" s="423">
        <f t="shared" si="3"/>
        <v>-1165.7034628621986</v>
      </c>
      <c r="Q16" s="425">
        <f>+[4]부산!$G$16</f>
        <v>11711.806666666667</v>
      </c>
      <c r="R16" s="424">
        <f>+[4]부산!$H$16</f>
        <v>14511.753110107411</v>
      </c>
      <c r="S16" s="423">
        <f t="shared" si="4"/>
        <v>2799.9464434407437</v>
      </c>
      <c r="T16" s="425">
        <f>+[4]부산!$G$17</f>
        <v>18098.229077374239</v>
      </c>
      <c r="U16" s="424">
        <f>+[4]부산!$H$17</f>
        <v>19230.081642076086</v>
      </c>
      <c r="V16" s="423">
        <f t="shared" si="5"/>
        <v>1131.8525647018469</v>
      </c>
    </row>
    <row r="17" spans="4:25" ht="24" customHeight="1">
      <c r="D17" s="353" t="s">
        <v>22</v>
      </c>
      <c r="E17" s="422">
        <f>+[4]서부산!$G$9</f>
        <v>100000</v>
      </c>
      <c r="F17" s="421">
        <f>+[4]서부산!$H$9</f>
        <v>103046.08302030267</v>
      </c>
      <c r="G17" s="420">
        <f t="shared" si="0"/>
        <v>3046.0830203026708</v>
      </c>
      <c r="H17" s="422">
        <f>+[4]서부산!$G$10</f>
        <v>92100</v>
      </c>
      <c r="I17" s="421">
        <f>+[4]서부산!$H$10</f>
        <v>92100.004843749659</v>
      </c>
      <c r="J17" s="420">
        <f t="shared" si="1"/>
        <v>4.843749658903107E-3</v>
      </c>
      <c r="K17" s="422">
        <f>+[4]서부산!$G$12</f>
        <v>65000</v>
      </c>
      <c r="L17" s="421">
        <f>+[4]서부산!$H$12</f>
        <v>63115.854110100503</v>
      </c>
      <c r="M17" s="420">
        <f t="shared" si="2"/>
        <v>-1884.145889899497</v>
      </c>
      <c r="N17" s="422">
        <f>+[4]서부산!$G$13</f>
        <v>35300</v>
      </c>
      <c r="O17" s="421">
        <f>+[4]서부산!$H$13</f>
        <v>33341.047097269438</v>
      </c>
      <c r="P17" s="420">
        <f t="shared" si="3"/>
        <v>-1958.9529027305616</v>
      </c>
      <c r="Q17" s="422">
        <f>+[4]서부산!$G$16</f>
        <v>11333.333333333334</v>
      </c>
      <c r="R17" s="421">
        <f>+[4]서부산!$H$16</f>
        <v>11262.716290274007</v>
      </c>
      <c r="S17" s="420">
        <f t="shared" si="4"/>
        <v>-70.617043059326534</v>
      </c>
      <c r="T17" s="422">
        <f>+[4]서부산!$G$17</f>
        <v>17728.314895193165</v>
      </c>
      <c r="U17" s="421">
        <f>+[4]서부산!$H$17</f>
        <v>18288.465033255798</v>
      </c>
      <c r="V17" s="420">
        <f t="shared" si="5"/>
        <v>560.15013806263232</v>
      </c>
    </row>
    <row r="18" spans="4:25" ht="24" customHeight="1">
      <c r="D18" s="353" t="s">
        <v>23</v>
      </c>
      <c r="E18" s="422">
        <f>+[4]김해!$G$9</f>
        <v>100000</v>
      </c>
      <c r="F18" s="421">
        <f>+[4]김해!$H$9</f>
        <v>99999.999999999985</v>
      </c>
      <c r="G18" s="420">
        <f t="shared" si="0"/>
        <v>0</v>
      </c>
      <c r="H18" s="422">
        <f>+[4]김해!$G$10</f>
        <v>92100</v>
      </c>
      <c r="I18" s="421">
        <f>+[4]김해!$H$10</f>
        <v>92099.998867339455</v>
      </c>
      <c r="J18" s="420">
        <f t="shared" si="1"/>
        <v>-1.1326605454087257E-3</v>
      </c>
      <c r="K18" s="422">
        <f>+[4]김해!$G$12</f>
        <v>64000</v>
      </c>
      <c r="L18" s="421">
        <f>+[4]김해!$H$12</f>
        <v>62793.316630794536</v>
      </c>
      <c r="M18" s="420">
        <f t="shared" si="2"/>
        <v>-1206.6833692054643</v>
      </c>
      <c r="N18" s="422">
        <f>+[4]김해!$G$13</f>
        <v>35000</v>
      </c>
      <c r="O18" s="421">
        <f>+[4]김해!$H$13</f>
        <v>33676.900688126283</v>
      </c>
      <c r="P18" s="420">
        <f t="shared" si="3"/>
        <v>-1323.0993118737169</v>
      </c>
      <c r="Q18" s="422">
        <f>+[4]김해!$G$16</f>
        <v>9066.6666666666661</v>
      </c>
      <c r="R18" s="421">
        <f>+[4]김해!$H$16</f>
        <v>9106.2545799115542</v>
      </c>
      <c r="S18" s="420">
        <f t="shared" si="4"/>
        <v>39.587913244888114</v>
      </c>
      <c r="T18" s="422">
        <f>+[4]김해!$G$17</f>
        <v>15626.218829274856</v>
      </c>
      <c r="U18" s="421">
        <f>+[4]김해!$H$17</f>
        <v>16043.391405675411</v>
      </c>
      <c r="V18" s="420">
        <f t="shared" si="5"/>
        <v>417.17257640055504</v>
      </c>
    </row>
    <row r="19" spans="4:25" ht="24" customHeight="1">
      <c r="D19" s="353" t="s">
        <v>24</v>
      </c>
      <c r="E19" s="422">
        <f>+[4]정관!$G$9</f>
        <v>100000</v>
      </c>
      <c r="F19" s="421">
        <f>+[4]정관!$H$9</f>
        <v>100001.64672126735</v>
      </c>
      <c r="G19" s="420">
        <f t="shared" si="0"/>
        <v>1.6467212673451286</v>
      </c>
      <c r="H19" s="422">
        <f>+[4]정관!$G$10</f>
        <v>92100.000000000015</v>
      </c>
      <c r="I19" s="421">
        <f>+[4]정관!$H$10</f>
        <v>92100.000955539188</v>
      </c>
      <c r="J19" s="420">
        <f t="shared" si="1"/>
        <v>9.5553917344659567E-4</v>
      </c>
      <c r="K19" s="422">
        <f>+[4]정관!$G$12</f>
        <v>62000</v>
      </c>
      <c r="L19" s="421">
        <f>+[4]정관!$H$12</f>
        <v>61123.340371936174</v>
      </c>
      <c r="M19" s="420">
        <f t="shared" si="2"/>
        <v>-876.65962806382595</v>
      </c>
      <c r="N19" s="422">
        <f>+[4]정관!$G$13</f>
        <v>35500</v>
      </c>
      <c r="O19" s="421">
        <f>+[4]정관!$H$13</f>
        <v>35416.17169057524</v>
      </c>
      <c r="P19" s="420">
        <f t="shared" si="3"/>
        <v>-83.828309424759937</v>
      </c>
      <c r="Q19" s="422">
        <f>+[4]정관!$G$16</f>
        <v>11362.368828842131</v>
      </c>
      <c r="R19" s="421">
        <f>+[4]정관!$H$16</f>
        <v>11187.914396983393</v>
      </c>
      <c r="S19" s="420">
        <f t="shared" si="4"/>
        <v>-174.45443185873773</v>
      </c>
      <c r="T19" s="422">
        <f>+[4]정관!$G$17</f>
        <v>19360.102895055377</v>
      </c>
      <c r="U19" s="421">
        <f>+[4]정관!$H$17</f>
        <v>18492.69702080336</v>
      </c>
      <c r="V19" s="420">
        <f t="shared" si="5"/>
        <v>-867.40587425201738</v>
      </c>
    </row>
    <row r="20" spans="4:25" ht="24" customHeight="1">
      <c r="D20" s="353" t="s">
        <v>25</v>
      </c>
      <c r="E20" s="422">
        <f>+[4]양산!$G$9</f>
        <v>100000</v>
      </c>
      <c r="F20" s="421">
        <f>+[4]양산!$H$9</f>
        <v>99981.526793246827</v>
      </c>
      <c r="G20" s="420">
        <f t="shared" si="0"/>
        <v>-18.473206753173145</v>
      </c>
      <c r="H20" s="422">
        <f>+[4]양산!$G$10</f>
        <v>0</v>
      </c>
      <c r="I20" s="421">
        <f>+[4]양산!$H$10</f>
        <v>0</v>
      </c>
      <c r="J20" s="420">
        <f t="shared" si="1"/>
        <v>0</v>
      </c>
      <c r="K20" s="422">
        <f>+[4]양산!$G$12</f>
        <v>62199.999999999993</v>
      </c>
      <c r="L20" s="421">
        <f>+[4]양산!$H$12</f>
        <v>61308.640876293517</v>
      </c>
      <c r="M20" s="420">
        <f t="shared" si="2"/>
        <v>-891.35912370647566</v>
      </c>
      <c r="N20" s="422">
        <f>+[4]양산!$G$13</f>
        <v>36000</v>
      </c>
      <c r="O20" s="421">
        <f>+[4]양산!$H$13</f>
        <v>34731.645528822723</v>
      </c>
      <c r="P20" s="420">
        <f t="shared" si="3"/>
        <v>-1268.3544711772774</v>
      </c>
      <c r="Q20" s="422">
        <f>+[4]양산!$G$16</f>
        <v>9600</v>
      </c>
      <c r="R20" s="421">
        <f>+[4]양산!$H$16</f>
        <v>9435.0199409591678</v>
      </c>
      <c r="S20" s="420">
        <f t="shared" si="4"/>
        <v>-164.9800590408322</v>
      </c>
      <c r="T20" s="422">
        <f>+[4]양산!$G$17</f>
        <v>17915.867587156481</v>
      </c>
      <c r="U20" s="421">
        <f>+[4]양산!$H$17</f>
        <v>17118.406826255512</v>
      </c>
      <c r="V20" s="420">
        <f t="shared" si="5"/>
        <v>-797.46076090096903</v>
      </c>
    </row>
    <row r="21" spans="4:25" ht="24" customHeight="1">
      <c r="D21" s="353" t="s">
        <v>26</v>
      </c>
      <c r="E21" s="422">
        <f>+[4]창원!$G$9</f>
        <v>100000</v>
      </c>
      <c r="F21" s="421">
        <f>+[4]창원!$H$9</f>
        <v>100000.00180611107</v>
      </c>
      <c r="G21" s="420">
        <f t="shared" si="0"/>
        <v>1.8061110749840736E-3</v>
      </c>
      <c r="H21" s="422">
        <f>+[4]창원!$G$10</f>
        <v>0</v>
      </c>
      <c r="I21" s="421">
        <f>+[4]창원!$H$10</f>
        <v>0</v>
      </c>
      <c r="J21" s="420">
        <f t="shared" si="1"/>
        <v>0</v>
      </c>
      <c r="K21" s="422">
        <f>+[4]창원!$G$12</f>
        <v>64500</v>
      </c>
      <c r="L21" s="421">
        <f>+[4]창원!$H$12</f>
        <v>63034.547571713098</v>
      </c>
      <c r="M21" s="420">
        <f t="shared" si="2"/>
        <v>-1465.4524282869024</v>
      </c>
      <c r="N21" s="422">
        <f>+[4]창원!$G$13</f>
        <v>33000</v>
      </c>
      <c r="O21" s="421">
        <f>+[4]창원!$H$13</f>
        <v>31764.814734228268</v>
      </c>
      <c r="P21" s="420">
        <f t="shared" si="3"/>
        <v>-1235.1852657717318</v>
      </c>
      <c r="Q21" s="422">
        <f>+[4]창원!$G$16</f>
        <v>11000</v>
      </c>
      <c r="R21" s="421">
        <f>+[4]창원!$H$16</f>
        <v>11397.847492557821</v>
      </c>
      <c r="S21" s="420">
        <f t="shared" si="4"/>
        <v>397.84749255782117</v>
      </c>
      <c r="T21" s="422">
        <f>+[4]창원!$G$17</f>
        <v>17410.402573201889</v>
      </c>
      <c r="U21" s="421">
        <f>+[4]창원!$H$17</f>
        <v>16995.778331458594</v>
      </c>
      <c r="V21" s="420">
        <f t="shared" si="5"/>
        <v>-414.62424174329499</v>
      </c>
      <c r="Y21" s="426"/>
    </row>
    <row r="22" spans="4:25" ht="24" customHeight="1">
      <c r="D22" s="353" t="s">
        <v>133</v>
      </c>
      <c r="E22" s="422">
        <f>+[4]대구!$G$9</f>
        <v>100000</v>
      </c>
      <c r="F22" s="421">
        <f>+[4]대구!$H$9</f>
        <v>99999.999999999942</v>
      </c>
      <c r="G22" s="420">
        <f t="shared" si="0"/>
        <v>0</v>
      </c>
      <c r="H22" s="422">
        <f>+[4]대구!$G$10</f>
        <v>0</v>
      </c>
      <c r="I22" s="421">
        <f>+[4]대구!$H$10</f>
        <v>0</v>
      </c>
      <c r="J22" s="420">
        <f t="shared" si="1"/>
        <v>0</v>
      </c>
      <c r="K22" s="422">
        <f>+[4]대구!$G$12</f>
        <v>61400</v>
      </c>
      <c r="L22" s="421">
        <f>+[4]대구!$H$12</f>
        <v>60446.603743562184</v>
      </c>
      <c r="M22" s="420">
        <f t="shared" si="2"/>
        <v>-953.39625643781619</v>
      </c>
      <c r="N22" s="422">
        <f>+[4]대구!$G$13</f>
        <v>35300</v>
      </c>
      <c r="O22" s="421">
        <f>+[4]대구!$H$13</f>
        <v>34441.02476036</v>
      </c>
      <c r="P22" s="420">
        <f t="shared" si="3"/>
        <v>-858.97523963999993</v>
      </c>
      <c r="Q22" s="422">
        <f>+[4]대구!$G$16</f>
        <v>11133.333333333332</v>
      </c>
      <c r="R22" s="421">
        <f>+[4]대구!$H$16</f>
        <v>11133.302838761801</v>
      </c>
      <c r="S22" s="420">
        <f t="shared" si="4"/>
        <v>-3.0494571530653047E-2</v>
      </c>
      <c r="T22" s="422">
        <f>+[4]대구!$G$17</f>
        <v>14763.292547274748</v>
      </c>
      <c r="U22" s="421">
        <f>+[4]대구!$H$17</f>
        <v>14700.068708671244</v>
      </c>
      <c r="V22" s="420">
        <f t="shared" si="5"/>
        <v>-63.223838603504191</v>
      </c>
    </row>
    <row r="23" spans="4:25" ht="24" customHeight="1">
      <c r="D23" s="353" t="s">
        <v>132</v>
      </c>
      <c r="E23" s="422">
        <f>+[4]울산!$G$9</f>
        <v>100000</v>
      </c>
      <c r="F23" s="421">
        <f>+[4]울산!$H$9</f>
        <v>99999.999999999985</v>
      </c>
      <c r="G23" s="420">
        <f t="shared" si="0"/>
        <v>0</v>
      </c>
      <c r="H23" s="422">
        <f>+[4]울산!$G$10</f>
        <v>0</v>
      </c>
      <c r="I23" s="421">
        <f>+[4]울산!$H$10</f>
        <v>0</v>
      </c>
      <c r="J23" s="420">
        <f t="shared" si="1"/>
        <v>0</v>
      </c>
      <c r="K23" s="422">
        <f>+[4]울산!$G$12</f>
        <v>60200</v>
      </c>
      <c r="L23" s="421">
        <f>+[4]울산!$H$12</f>
        <v>59398.042181954574</v>
      </c>
      <c r="M23" s="420">
        <f t="shared" si="2"/>
        <v>-801.95781804542639</v>
      </c>
      <c r="N23" s="422">
        <f>+[4]울산!$G$13</f>
        <v>37000</v>
      </c>
      <c r="O23" s="421">
        <f>+[4]울산!$H$13</f>
        <v>35895.448014374626</v>
      </c>
      <c r="P23" s="420">
        <f t="shared" si="3"/>
        <v>-1104.5519856253741</v>
      </c>
      <c r="Q23" s="422">
        <f>+[4]울산!$G$16</f>
        <v>11533.333333333332</v>
      </c>
      <c r="R23" s="421">
        <f>+[4]울산!$H$16</f>
        <v>12365.340681761891</v>
      </c>
      <c r="S23" s="420">
        <f t="shared" si="4"/>
        <v>832.00734842855854</v>
      </c>
      <c r="T23" s="422">
        <f>+[4]울산!$G$17</f>
        <v>19459.84427141268</v>
      </c>
      <c r="U23" s="421">
        <f>+[4]울산!$H$17</f>
        <v>20039.882636282466</v>
      </c>
      <c r="V23" s="420">
        <f t="shared" si="5"/>
        <v>580.03836486978616</v>
      </c>
    </row>
    <row r="24" spans="4:25" ht="24" customHeight="1">
      <c r="D24" s="408" t="s">
        <v>27</v>
      </c>
      <c r="E24" s="425">
        <f>+[4]아산!$G$9</f>
        <v>100000</v>
      </c>
      <c r="F24" s="424">
        <f>+[4]아산!$H$9</f>
        <v>99821.590746654227</v>
      </c>
      <c r="G24" s="423">
        <f t="shared" si="0"/>
        <v>-178.40925334577332</v>
      </c>
      <c r="H24" s="425">
        <f>+[4]아산!$G$10</f>
        <v>86800</v>
      </c>
      <c r="I24" s="424">
        <f>+[4]아산!$H$10</f>
        <v>86600.01316930243</v>
      </c>
      <c r="J24" s="423">
        <f t="shared" si="1"/>
        <v>-199.98683069756953</v>
      </c>
      <c r="K24" s="425">
        <f>+[4]아산!$G$12</f>
        <v>64300</v>
      </c>
      <c r="L24" s="424">
        <f>+[4]아산!$H$12</f>
        <v>62526.024251580049</v>
      </c>
      <c r="M24" s="423">
        <f t="shared" si="2"/>
        <v>-1773.9757484199508</v>
      </c>
      <c r="N24" s="425">
        <f>+[4]아산!$G$13</f>
        <v>42900</v>
      </c>
      <c r="O24" s="424">
        <f>+[4]아산!$H$13</f>
        <v>41549.410943128714</v>
      </c>
      <c r="P24" s="423">
        <f t="shared" si="3"/>
        <v>-1350.5890568712857</v>
      </c>
      <c r="Q24" s="425">
        <f>+[4]아산!$G$16</f>
        <v>11400</v>
      </c>
      <c r="R24" s="424">
        <f>+[4]아산!$H$16</f>
        <v>10948.478810941309</v>
      </c>
      <c r="S24" s="423">
        <f t="shared" si="4"/>
        <v>-451.52118905869065</v>
      </c>
      <c r="T24" s="425">
        <f>+[4]아산!$G$17</f>
        <v>13225.806451612903</v>
      </c>
      <c r="U24" s="424">
        <f>+[4]아산!$H$17</f>
        <v>12715.193574142331</v>
      </c>
      <c r="V24" s="423">
        <f t="shared" si="5"/>
        <v>-510.61287747057213</v>
      </c>
    </row>
    <row r="25" spans="4:25" ht="24" customHeight="1">
      <c r="D25" s="353" t="s">
        <v>131</v>
      </c>
      <c r="E25" s="422">
        <f>+[4]전주!$G$9</f>
        <v>100000</v>
      </c>
      <c r="F25" s="421">
        <f>+[4]전주!$H$9</f>
        <v>99999.941674876667</v>
      </c>
      <c r="G25" s="420">
        <f t="shared" si="0"/>
        <v>-5.8325123332906514E-2</v>
      </c>
      <c r="H25" s="422">
        <f>+[4]전주!$G$10</f>
        <v>96800.000000000015</v>
      </c>
      <c r="I25" s="421">
        <f>+[4]전주!$H$10</f>
        <v>97493.261267400812</v>
      </c>
      <c r="J25" s="420">
        <f t="shared" si="1"/>
        <v>693.26126740079781</v>
      </c>
      <c r="K25" s="422">
        <f>+[4]전주!$G$12</f>
        <v>65000</v>
      </c>
      <c r="L25" s="421">
        <f>+[4]전주!$H$12</f>
        <v>63395.173977334249</v>
      </c>
      <c r="M25" s="420">
        <f t="shared" si="2"/>
        <v>-1604.8260226657512</v>
      </c>
      <c r="N25" s="422">
        <f>+[4]전주!$G$13</f>
        <v>36000</v>
      </c>
      <c r="O25" s="421">
        <f>+[4]전주!$H$13</f>
        <v>34900.514353702303</v>
      </c>
      <c r="P25" s="420">
        <f t="shared" si="3"/>
        <v>-1099.4856462976968</v>
      </c>
      <c r="Q25" s="422">
        <f>+[4]전주!$G$16</f>
        <v>13333.333333333334</v>
      </c>
      <c r="R25" s="421">
        <f>+[4]전주!$H$16</f>
        <v>14564.904488081884</v>
      </c>
      <c r="S25" s="420">
        <f t="shared" si="4"/>
        <v>1231.5711547485498</v>
      </c>
      <c r="T25" s="422">
        <f>+[4]전주!$G$17</f>
        <v>15310.021459274893</v>
      </c>
      <c r="U25" s="421">
        <f>+[4]전주!$H$17</f>
        <v>15420.579333085705</v>
      </c>
      <c r="V25" s="420">
        <f t="shared" si="5"/>
        <v>110.55787381081245</v>
      </c>
    </row>
    <row r="26" spans="4:25" ht="24" customHeight="1">
      <c r="D26" s="353" t="s">
        <v>130</v>
      </c>
      <c r="E26" s="422">
        <f>+[4]군산!$G$9</f>
        <v>100000</v>
      </c>
      <c r="F26" s="421">
        <f>+[4]군산!$H$9</f>
        <v>100000</v>
      </c>
      <c r="G26" s="420">
        <f t="shared" si="0"/>
        <v>0</v>
      </c>
      <c r="H26" s="422">
        <f>+[4]군산!$G$10</f>
        <v>94200</v>
      </c>
      <c r="I26" s="421">
        <f>+[4]군산!$H$10</f>
        <v>0</v>
      </c>
      <c r="J26" s="420">
        <f t="shared" si="1"/>
        <v>-94200</v>
      </c>
      <c r="K26" s="422">
        <f>+[4]군산!$G$12</f>
        <v>64900.000000000007</v>
      </c>
      <c r="L26" s="421">
        <f>+[4]군산!$H$12</f>
        <v>63505.19579699012</v>
      </c>
      <c r="M26" s="420">
        <f t="shared" si="2"/>
        <v>-1394.8042030098877</v>
      </c>
      <c r="N26" s="422">
        <f>+[4]군산!$G$13</f>
        <v>39300.000000000007</v>
      </c>
      <c r="O26" s="421">
        <f>+[4]군산!$H$13</f>
        <v>36407.295963871897</v>
      </c>
      <c r="P26" s="420">
        <f t="shared" si="3"/>
        <v>-2892.7040361281106</v>
      </c>
      <c r="Q26" s="422">
        <f>+[4]군산!$G$16</f>
        <v>14200</v>
      </c>
      <c r="R26" s="421">
        <f>+[4]군산!$H$16</f>
        <v>14741.112613239073</v>
      </c>
      <c r="S26" s="420">
        <f t="shared" si="4"/>
        <v>541.11261323907274</v>
      </c>
      <c r="T26" s="422">
        <f>+[4]군산!$G$17</f>
        <v>15212.903225806449</v>
      </c>
      <c r="U26" s="421">
        <f>+[4]군산!$H$17</f>
        <v>15426.235144860926</v>
      </c>
      <c r="V26" s="420">
        <f t="shared" si="5"/>
        <v>213.33191905447711</v>
      </c>
    </row>
    <row r="27" spans="4:25" ht="24" customHeight="1">
      <c r="D27" s="353" t="s">
        <v>129</v>
      </c>
      <c r="E27" s="422">
        <f>+[4]원주!$G$9</f>
        <v>100000</v>
      </c>
      <c r="F27" s="421">
        <f>+[4]원주!$H$9</f>
        <v>100000.00000000004</v>
      </c>
      <c r="G27" s="420">
        <f t="shared" si="0"/>
        <v>0</v>
      </c>
      <c r="H27" s="422">
        <f>+[4]원주!$G$10</f>
        <v>0</v>
      </c>
      <c r="I27" s="421">
        <f>+[4]원주!$H$10</f>
        <v>0</v>
      </c>
      <c r="J27" s="420">
        <f t="shared" si="1"/>
        <v>0</v>
      </c>
      <c r="K27" s="422">
        <f>+[4]원주!$G$12</f>
        <v>64000</v>
      </c>
      <c r="L27" s="421">
        <f>+[4]원주!$H$12</f>
        <v>62433.749114710234</v>
      </c>
      <c r="M27" s="420">
        <f t="shared" si="2"/>
        <v>-1566.2508852897663</v>
      </c>
      <c r="N27" s="422">
        <f>+[4]원주!$G$13</f>
        <v>49000</v>
      </c>
      <c r="O27" s="421">
        <f>+[4]원주!$H$13</f>
        <v>48280.62684744229</v>
      </c>
      <c r="P27" s="420">
        <f t="shared" si="3"/>
        <v>-719.37315255770955</v>
      </c>
      <c r="Q27" s="422">
        <f>+[4]원주!$G$16</f>
        <v>13666.666666666664</v>
      </c>
      <c r="R27" s="421">
        <f>+[4]원주!$H$16</f>
        <v>13544.149944825962</v>
      </c>
      <c r="S27" s="420">
        <f t="shared" si="4"/>
        <v>-122.5167218407023</v>
      </c>
      <c r="T27" s="422">
        <f>+[4]원주!$G$17</f>
        <v>13806.451612903225</v>
      </c>
      <c r="U27" s="421">
        <f>+[4]원주!$H$17</f>
        <v>13408.313803834186</v>
      </c>
      <c r="V27" s="420">
        <f t="shared" si="5"/>
        <v>-398.13780906903958</v>
      </c>
    </row>
    <row r="28" spans="4:25" ht="24" customHeight="1">
      <c r="D28" s="348" t="s">
        <v>128</v>
      </c>
      <c r="E28" s="419">
        <f>+[4]제주!$G$9</f>
        <v>117000</v>
      </c>
      <c r="F28" s="418">
        <f>+[4]제주!$H$9</f>
        <v>116999.99748547796</v>
      </c>
      <c r="G28" s="417">
        <f t="shared" si="0"/>
        <v>-2.5145220424747095E-3</v>
      </c>
      <c r="H28" s="419">
        <f>+[4]제주!$G$10</f>
        <v>117000</v>
      </c>
      <c r="I28" s="418">
        <f>+[4]제주!$H$10</f>
        <v>116999.99417356371</v>
      </c>
      <c r="J28" s="417">
        <f t="shared" si="1"/>
        <v>-5.8264362887712196E-3</v>
      </c>
      <c r="K28" s="419">
        <f>+[4]제주!$G$12</f>
        <v>0</v>
      </c>
      <c r="L28" s="418">
        <f>+[4]제주!$H$12</f>
        <v>0</v>
      </c>
      <c r="M28" s="417">
        <f t="shared" si="2"/>
        <v>0</v>
      </c>
      <c r="N28" s="419">
        <f>+[4]제주!$G$13</f>
        <v>0</v>
      </c>
      <c r="O28" s="418">
        <f>+[4]제주!$H$13</f>
        <v>0</v>
      </c>
      <c r="P28" s="417">
        <f t="shared" si="3"/>
        <v>0</v>
      </c>
      <c r="Q28" s="419">
        <f>+[4]제주!$G$16</f>
        <v>17666.666666666668</v>
      </c>
      <c r="R28" s="418">
        <f>+[4]제주!$H$16</f>
        <v>17802.711615472395</v>
      </c>
      <c r="S28" s="417">
        <f t="shared" si="4"/>
        <v>136.04494880572747</v>
      </c>
      <c r="T28" s="419">
        <f>+[4]제주!$G$17</f>
        <v>17544.784945306346</v>
      </c>
      <c r="U28" s="418">
        <f>+[4]제주!$H$17</f>
        <v>19139.496824216054</v>
      </c>
      <c r="V28" s="417">
        <f t="shared" si="5"/>
        <v>1594.7118789097076</v>
      </c>
    </row>
    <row r="29" spans="4:25" ht="24" customHeight="1"/>
    <row r="30" spans="4:25" ht="24" customHeight="1"/>
    <row r="31" spans="4:25" ht="24" customHeight="1"/>
    <row r="32" spans="4:25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EB6A-81D7-4E96-B8DE-9C67D6DAAE69}">
  <sheetPr>
    <tabColor theme="1" tint="0.249977111117893"/>
    <pageSetUpPr fitToPage="1"/>
  </sheetPr>
  <dimension ref="A1:V52"/>
  <sheetViews>
    <sheetView showGridLines="0" showZeros="0" view="pageBreakPreview" zoomScale="60" zoomScaleNormal="85" workbookViewId="0">
      <pane xSplit="4" ySplit="7" topLeftCell="E8" activePane="bottomRight" state="frozen"/>
      <selection pane="topRight"/>
      <selection pane="bottomLeft"/>
      <selection pane="bottomRight"/>
    </sheetView>
  </sheetViews>
  <sheetFormatPr defaultRowHeight="16.5"/>
  <cols>
    <col min="1" max="3" width="5.625" style="6" customWidth="1"/>
    <col min="4" max="4" width="9.875" style="6" customWidth="1"/>
    <col min="5" max="22" width="9.625" style="6" customWidth="1"/>
    <col min="23" max="16384" width="9" style="6"/>
  </cols>
  <sheetData>
    <row r="1" spans="1:22" ht="9.9499999999999993" customHeight="1"/>
    <row r="2" spans="1:22" ht="9.9499999999999993" hidden="1" customHeight="1"/>
    <row r="3" spans="1:22" ht="9.9499999999999993" customHeight="1"/>
    <row r="4" spans="1:22" ht="31.5">
      <c r="D4" s="398" t="s">
        <v>225</v>
      </c>
      <c r="F4" s="398"/>
      <c r="I4" s="398"/>
    </row>
    <row r="5" spans="1:22" ht="21.95" customHeight="1">
      <c r="V5" s="397" t="s">
        <v>161</v>
      </c>
    </row>
    <row r="6" spans="1:22" ht="24" customHeight="1" thickBot="1">
      <c r="A6" s="6" t="s">
        <v>141</v>
      </c>
      <c r="D6" s="763" t="s">
        <v>11</v>
      </c>
      <c r="E6" s="396" t="s">
        <v>160</v>
      </c>
      <c r="F6" s="395"/>
      <c r="G6" s="394"/>
      <c r="H6" s="396" t="s">
        <v>159</v>
      </c>
      <c r="I6" s="395"/>
      <c r="J6" s="394"/>
      <c r="K6" s="396" t="s">
        <v>158</v>
      </c>
      <c r="L6" s="395"/>
      <c r="M6" s="394"/>
      <c r="N6" s="396" t="s">
        <v>157</v>
      </c>
      <c r="O6" s="395"/>
      <c r="P6" s="394"/>
      <c r="Q6" s="396" t="s">
        <v>156</v>
      </c>
      <c r="R6" s="395"/>
      <c r="S6" s="394"/>
      <c r="T6" s="396" t="s">
        <v>155</v>
      </c>
      <c r="U6" s="395"/>
      <c r="V6" s="394"/>
    </row>
    <row r="7" spans="1:22" ht="24" customHeight="1">
      <c r="D7" s="764"/>
      <c r="E7" s="392" t="s">
        <v>36</v>
      </c>
      <c r="F7" s="391" t="s">
        <v>37</v>
      </c>
      <c r="G7" s="393" t="s">
        <v>28</v>
      </c>
      <c r="H7" s="392" t="s">
        <v>12</v>
      </c>
      <c r="I7" s="391" t="s">
        <v>13</v>
      </c>
      <c r="J7" s="393" t="s">
        <v>28</v>
      </c>
      <c r="K7" s="392" t="s">
        <v>12</v>
      </c>
      <c r="L7" s="391" t="s">
        <v>13</v>
      </c>
      <c r="M7" s="393" t="s">
        <v>28</v>
      </c>
      <c r="N7" s="392" t="s">
        <v>12</v>
      </c>
      <c r="O7" s="391" t="s">
        <v>13</v>
      </c>
      <c r="P7" s="393" t="s">
        <v>28</v>
      </c>
      <c r="Q7" s="392" t="s">
        <v>12</v>
      </c>
      <c r="R7" s="391" t="s">
        <v>13</v>
      </c>
      <c r="S7" s="393" t="s">
        <v>28</v>
      </c>
      <c r="T7" s="392" t="s">
        <v>12</v>
      </c>
      <c r="U7" s="391" t="s">
        <v>13</v>
      </c>
      <c r="V7" s="393" t="s">
        <v>28</v>
      </c>
    </row>
    <row r="8" spans="1:22" ht="24" customHeight="1">
      <c r="D8" s="388" t="s">
        <v>143</v>
      </c>
      <c r="E8" s="386">
        <f>+[4]합계!$E$9</f>
        <v>256.23635310002282</v>
      </c>
      <c r="F8" s="385">
        <f>+[4]합계!$F$9</f>
        <v>250.71594634959558</v>
      </c>
      <c r="G8" s="416">
        <f t="shared" ref="G8:G28" si="0">+F8-E8</f>
        <v>-5.5204067504272416</v>
      </c>
      <c r="H8" s="386">
        <f>+[4]합계!$E$15</f>
        <v>365.99209132285472</v>
      </c>
      <c r="I8" s="385">
        <f>+[4]합계!$F$15</f>
        <v>368.77855621973674</v>
      </c>
      <c r="J8" s="416">
        <f t="shared" ref="J8:J28" si="1">+I8-H8</f>
        <v>2.7864648968820234</v>
      </c>
      <c r="K8" s="478">
        <f>+([4]합계!$E$10*0.4+[4]합계!$E$11+[4]합계!$E$12+[4]합계!$E$13+[4]합계!$E$14)/[4]합계!$E$15</f>
        <v>0.24288030349502784</v>
      </c>
      <c r="L8" s="477">
        <f>+([4]합계!$F$10*0.4+[4]합계!$F$11+[4]합계!$F$12+[4]합계!$F$13+[4]합계!$F$14)/[4]합계!$F$15</f>
        <v>0.25335058963962837</v>
      </c>
      <c r="M8" s="476">
        <f t="shared" ref="M8:M28" si="2">+L8-K8</f>
        <v>1.0470286144600521E-2</v>
      </c>
      <c r="N8" s="386">
        <f>+[4]합계!$E$16</f>
        <v>822.8850899748187</v>
      </c>
      <c r="O8" s="385">
        <f>+[4]합계!$F$16</f>
        <v>811.07395024066011</v>
      </c>
      <c r="P8" s="416">
        <f t="shared" ref="P8:P28" si="3">+O8-N8</f>
        <v>-11.811139734158587</v>
      </c>
      <c r="Q8" s="386">
        <f>+[4]합계!$E$17</f>
        <v>899.43013994127</v>
      </c>
      <c r="R8" s="385">
        <f>+[4]합계!$F$17</f>
        <v>906.62499150185715</v>
      </c>
      <c r="S8" s="416">
        <f t="shared" ref="S8:S28" si="4">+R8-Q8</f>
        <v>7.1948515605871535</v>
      </c>
      <c r="T8" s="386">
        <f>+[4]합계!$E$19</f>
        <v>3.0957030082578019</v>
      </c>
      <c r="U8" s="385">
        <f>+[4]합계!$F$19</f>
        <v>2.8067450340106537</v>
      </c>
      <c r="V8" s="416">
        <f t="shared" ref="V8:V28" si="5">+U8-T8</f>
        <v>-0.2889579742471482</v>
      </c>
    </row>
    <row r="9" spans="1:22" ht="24" customHeight="1">
      <c r="D9" s="382" t="s">
        <v>16</v>
      </c>
      <c r="E9" s="381">
        <f>+[4]수도권!$E$9</f>
        <v>283.81145454545458</v>
      </c>
      <c r="F9" s="380">
        <f>+[4]수도권!$F$9</f>
        <v>273.05463385524143</v>
      </c>
      <c r="G9" s="415">
        <f t="shared" si="0"/>
        <v>-10.756820690213146</v>
      </c>
      <c r="H9" s="381">
        <f>+[4]수도권!$E$15</f>
        <v>371.12018181818183</v>
      </c>
      <c r="I9" s="380">
        <f>+[4]수도권!$F$15</f>
        <v>371.50004440263797</v>
      </c>
      <c r="J9" s="415">
        <f t="shared" si="1"/>
        <v>0.3798625844561343</v>
      </c>
      <c r="K9" s="475">
        <f>+([4]수도권!$E$10*0.4+[4]수도권!$E$11+[4]수도권!$E$12+[4]수도권!$E$13+[4]수도권!$E$14)/[4]수도권!$E$15</f>
        <v>0.22507190760552445</v>
      </c>
      <c r="L9" s="474">
        <f>+([4]수도권!$F$10*0.4+[4]수도권!$F$11+[4]수도권!$F$12+[4]수도권!$F$13+[4]수도권!$F$14)/[4]수도권!$F$15</f>
        <v>0.23453610097492075</v>
      </c>
      <c r="M9" s="473">
        <f t="shared" si="2"/>
        <v>9.464193369396301E-3</v>
      </c>
      <c r="N9" s="381">
        <f>+[4]수도권!$E$16</f>
        <v>859.67697245642614</v>
      </c>
      <c r="O9" s="380">
        <f>+[4]수도권!$F$16</f>
        <v>852.62639057126671</v>
      </c>
      <c r="P9" s="415">
        <f t="shared" si="3"/>
        <v>-7.0505818851594313</v>
      </c>
      <c r="Q9" s="381">
        <f>+[4]수도권!$E$17</f>
        <v>872.83427177795977</v>
      </c>
      <c r="R9" s="380">
        <f>+[4]수도권!$F$17</f>
        <v>886.09839912813038</v>
      </c>
      <c r="S9" s="415">
        <f t="shared" si="4"/>
        <v>13.264127350170611</v>
      </c>
      <c r="T9" s="381">
        <f>+[4]수도권!$E$19</f>
        <v>3.18</v>
      </c>
      <c r="U9" s="380">
        <f>+[4]수도권!$F$19</f>
        <v>2.892215084759477</v>
      </c>
      <c r="V9" s="415">
        <f t="shared" si="5"/>
        <v>-0.28778491524052319</v>
      </c>
    </row>
    <row r="10" spans="1:22" ht="24" customHeight="1">
      <c r="D10" s="377" t="s">
        <v>17</v>
      </c>
      <c r="E10" s="376">
        <f>+[4]영남권!$E$9</f>
        <v>230.10803378254275</v>
      </c>
      <c r="F10" s="375">
        <f>+[4]영남권!$F$9</f>
        <v>216.968066197615</v>
      </c>
      <c r="G10" s="414">
        <f t="shared" si="0"/>
        <v>-13.139967584927746</v>
      </c>
      <c r="H10" s="376">
        <f>+[4]영남권!$E$15</f>
        <v>363.27885592142866</v>
      </c>
      <c r="I10" s="375">
        <f>+[4]영남권!$F$15</f>
        <v>370.06202396638741</v>
      </c>
      <c r="J10" s="414">
        <f t="shared" si="1"/>
        <v>6.7831680449587566</v>
      </c>
      <c r="K10" s="472">
        <f>+([4]영남권!$E$10*0.4+[4]영남권!$E$11+[4]영남권!$E$12+[4]영남권!$E$13+[4]영남권!$E$14)/[4]영남권!$E$15</f>
        <v>0.26616480409753301</v>
      </c>
      <c r="L10" s="471">
        <f>+([4]영남권!$F$10*0.4+[4]영남권!$F$11+[4]영남권!$F$12+[4]영남권!$F$13+[4]영남권!$F$14)/[4]영남권!$F$15</f>
        <v>0.29652062955992731</v>
      </c>
      <c r="M10" s="470">
        <f t="shared" si="2"/>
        <v>3.0355825462394292E-2</v>
      </c>
      <c r="N10" s="376">
        <f>+[4]영남권!$E$16</f>
        <v>796.59631997939346</v>
      </c>
      <c r="O10" s="375">
        <f>+[4]영남권!$F$16</f>
        <v>807.264906479709</v>
      </c>
      <c r="P10" s="414">
        <f t="shared" si="3"/>
        <v>10.668586500315541</v>
      </c>
      <c r="Q10" s="376">
        <f>+[4]영남권!$E$17</f>
        <v>913.39436931571754</v>
      </c>
      <c r="R10" s="375">
        <f>+[4]영남권!$F$17</f>
        <v>891.33165104542184</v>
      </c>
      <c r="S10" s="414">
        <f t="shared" si="4"/>
        <v>-22.062718270295704</v>
      </c>
      <c r="T10" s="376">
        <f>+[4]영남권!$E$19</f>
        <v>3.2032703419469297</v>
      </c>
      <c r="U10" s="375">
        <f>+[4]영남권!$F$19</f>
        <v>2.818312988422877</v>
      </c>
      <c r="V10" s="414">
        <f t="shared" si="5"/>
        <v>-0.38495735352405269</v>
      </c>
    </row>
    <row r="11" spans="1:22" ht="24" customHeight="1">
      <c r="D11" s="372" t="s">
        <v>134</v>
      </c>
      <c r="E11" s="371">
        <f>+[4]중부권!$E$9</f>
        <v>261.92456140350879</v>
      </c>
      <c r="F11" s="370">
        <f>+[4]중부권!$F$9</f>
        <v>283.41660946766319</v>
      </c>
      <c r="G11" s="413">
        <f t="shared" si="0"/>
        <v>21.492048064154403</v>
      </c>
      <c r="H11" s="371">
        <f>+[4]중부권!$E$15</f>
        <v>362.21245614035092</v>
      </c>
      <c r="I11" s="370">
        <f>+[4]중부권!$F$15</f>
        <v>361.34017914166395</v>
      </c>
      <c r="J11" s="413">
        <f t="shared" si="1"/>
        <v>-0.87227699868697073</v>
      </c>
      <c r="K11" s="469">
        <f>+([4]중부권!$E$10*0.4+[4]중부권!$E$11+[4]중부권!$E$12+[4]중부권!$E$13+[4]중부권!$E$14)/[4]중부권!$E$15</f>
        <v>0.2254457619377209</v>
      </c>
      <c r="L11" s="468">
        <f>+([4]중부권!$F$10*0.4+[4]중부권!$F$11+[4]중부권!$F$12+[4]중부권!$F$13+[4]중부권!$F$14)/[4]중부권!$F$15</f>
        <v>0.19329915318671154</v>
      </c>
      <c r="M11" s="467">
        <f t="shared" si="2"/>
        <v>-3.2146608751009359E-2</v>
      </c>
      <c r="N11" s="371">
        <f>+[4]중부권!$E$16</f>
        <v>811.14824561403509</v>
      </c>
      <c r="O11" s="370">
        <f>+[4]중부권!$F$16</f>
        <v>747.05715603396834</v>
      </c>
      <c r="P11" s="413">
        <f t="shared" si="3"/>
        <v>-64.09108958006675</v>
      </c>
      <c r="Q11" s="371">
        <f>+[4]중부권!$E$17</f>
        <v>919.27473684210531</v>
      </c>
      <c r="R11" s="370">
        <f>+[4]중부권!$F$17</f>
        <v>974.61206442783475</v>
      </c>
      <c r="S11" s="413">
        <f t="shared" si="4"/>
        <v>55.33732758572944</v>
      </c>
      <c r="T11" s="371">
        <f>+[4]중부권!$E$19</f>
        <v>2.6905263157894739</v>
      </c>
      <c r="U11" s="370">
        <f>+[4]중부권!$F$19</f>
        <v>2.633987437274099</v>
      </c>
      <c r="V11" s="413">
        <f t="shared" si="5"/>
        <v>-5.6538878515374869E-2</v>
      </c>
    </row>
    <row r="12" spans="1:22" ht="24" customHeight="1">
      <c r="D12" s="412" t="s">
        <v>18</v>
      </c>
      <c r="E12" s="365">
        <f>+[4]안양!$E$9</f>
        <v>290</v>
      </c>
      <c r="F12" s="364">
        <f>+[4]안양!$F$9</f>
        <v>286.41233861297104</v>
      </c>
      <c r="G12" s="366">
        <f t="shared" si="0"/>
        <v>-3.5876613870289589</v>
      </c>
      <c r="H12" s="365">
        <f>+[4]안양!$E$15</f>
        <v>376</v>
      </c>
      <c r="I12" s="364">
        <f>+[4]안양!$F$15</f>
        <v>359.5822166983113</v>
      </c>
      <c r="J12" s="366">
        <f t="shared" si="1"/>
        <v>-16.417783301688701</v>
      </c>
      <c r="K12" s="466">
        <f>+([4]안양!$E$10*0.4+[4]안양!$E$11+[4]안양!$E$12+[4]안양!$E$13+[4]안양!$E$14)/[4]안양!$E$15</f>
        <v>0.22872340425531915</v>
      </c>
      <c r="L12" s="465">
        <f>+([4]안양!$F$10*0.4+[4]안양!$F$11+[4]안양!$F$12+[4]안양!$F$13+[4]안양!$F$14)/[4]안양!$F$15</f>
        <v>0.19900690936591139</v>
      </c>
      <c r="M12" s="464">
        <f t="shared" si="2"/>
        <v>-2.9716494889407752E-2</v>
      </c>
      <c r="N12" s="365">
        <f>+[4]안양!$E$16</f>
        <v>845</v>
      </c>
      <c r="O12" s="364">
        <f>+[4]안양!$F$16</f>
        <v>862.49725192365349</v>
      </c>
      <c r="P12" s="366">
        <f t="shared" si="3"/>
        <v>17.497251923653494</v>
      </c>
      <c r="Q12" s="365">
        <f>+[4]안양!$E$17</f>
        <v>875</v>
      </c>
      <c r="R12" s="364">
        <f>+[4]안양!$F$17</f>
        <v>887.49837613670388</v>
      </c>
      <c r="S12" s="366">
        <f t="shared" si="4"/>
        <v>12.498376136703882</v>
      </c>
      <c r="T12" s="463">
        <f>+[4]안양!$E$19</f>
        <v>3.38</v>
      </c>
      <c r="U12" s="462">
        <f>+[4]안양!$F$19</f>
        <v>2.9105483661436979</v>
      </c>
      <c r="V12" s="461">
        <f t="shared" si="5"/>
        <v>-0.46945163385630195</v>
      </c>
    </row>
    <row r="13" spans="1:22" ht="24" customHeight="1">
      <c r="D13" s="353" t="s">
        <v>19</v>
      </c>
      <c r="E13" s="351">
        <f>+[4]인천!$E$9</f>
        <v>281.05</v>
      </c>
      <c r="F13" s="350">
        <f>+[4]인천!$F$9</f>
        <v>261.20721089046651</v>
      </c>
      <c r="G13" s="352">
        <f t="shared" si="0"/>
        <v>-19.842789109533499</v>
      </c>
      <c r="H13" s="351">
        <f>+[4]인천!$E$15</f>
        <v>385</v>
      </c>
      <c r="I13" s="350">
        <f>+[4]인천!$F$15</f>
        <v>395.90574085722</v>
      </c>
      <c r="J13" s="352">
        <f t="shared" si="1"/>
        <v>10.905740857219996</v>
      </c>
      <c r="K13" s="454">
        <f>+([4]인천!$E$10*0.4+[4]인천!$E$11+[4]인천!$E$12+[4]인천!$E$13+[4]인천!$E$14)/[4]인천!$E$15</f>
        <v>0.23400000000000004</v>
      </c>
      <c r="L13" s="453">
        <f>+([4]인천!$F$10*0.4+[4]인천!$F$11+[4]인천!$F$12+[4]인천!$F$13+[4]인천!$F$14)/[4]인천!$F$15</f>
        <v>0.26182210005554207</v>
      </c>
      <c r="M13" s="452">
        <f t="shared" si="2"/>
        <v>2.7822100055542032E-2</v>
      </c>
      <c r="N13" s="351">
        <f>+[4]인천!$E$16</f>
        <v>903.10223234022885</v>
      </c>
      <c r="O13" s="350">
        <f>+[4]인천!$F$16</f>
        <v>913.88968760295916</v>
      </c>
      <c r="P13" s="352">
        <f t="shared" si="3"/>
        <v>10.787455262730305</v>
      </c>
      <c r="Q13" s="351">
        <f>+[4]인천!$E$17</f>
        <v>833.63282985251897</v>
      </c>
      <c r="R13" s="350">
        <f>+[4]인천!$F$17</f>
        <v>807.21747985742945</v>
      </c>
      <c r="S13" s="352">
        <f t="shared" si="4"/>
        <v>-26.415349995089514</v>
      </c>
      <c r="T13" s="451">
        <f>+[4]인천!$E$19</f>
        <v>3.33</v>
      </c>
      <c r="U13" s="450">
        <f>+[4]인천!$F$19</f>
        <v>2.8979138586875131</v>
      </c>
      <c r="V13" s="449">
        <f t="shared" si="5"/>
        <v>-0.43208614131248702</v>
      </c>
    </row>
    <row r="14" spans="1:22" ht="24" customHeight="1">
      <c r="D14" s="353" t="s">
        <v>20</v>
      </c>
      <c r="E14" s="351">
        <f>+[4]파주!$E$9</f>
        <v>290.89818181818185</v>
      </c>
      <c r="F14" s="350">
        <f>+[4]파주!$F$9</f>
        <v>284.6198125886657</v>
      </c>
      <c r="G14" s="352">
        <f t="shared" si="0"/>
        <v>-6.2783692295161586</v>
      </c>
      <c r="H14" s="351">
        <f>+[4]파주!$E$15</f>
        <v>363.32818181818186</v>
      </c>
      <c r="I14" s="350">
        <f>+[4]파주!$F$15</f>
        <v>361.86434256701261</v>
      </c>
      <c r="J14" s="352">
        <f t="shared" si="1"/>
        <v>-1.4638392511692473</v>
      </c>
      <c r="K14" s="454">
        <f>+([4]파주!$E$10*0.4+[4]파주!$E$11+[4]파주!$E$12+[4]파주!$E$13+[4]파주!$E$14)/[4]파주!$E$15</f>
        <v>0.19935145035417515</v>
      </c>
      <c r="L14" s="453">
        <f>+([4]파주!$F$10*0.4+[4]파주!$F$11+[4]파주!$F$12+[4]파주!$F$13+[4]파주!$F$14)/[4]파주!$F$15</f>
        <v>0.20977733607248797</v>
      </c>
      <c r="M14" s="452">
        <f t="shared" si="2"/>
        <v>1.0425885718312822E-2</v>
      </c>
      <c r="N14" s="351">
        <f>+[4]파주!$E$16</f>
        <v>864.60909090909104</v>
      </c>
      <c r="O14" s="350">
        <f>+[4]파주!$F$16</f>
        <v>795.92107690584635</v>
      </c>
      <c r="P14" s="352">
        <f t="shared" si="3"/>
        <v>-68.688014003244689</v>
      </c>
      <c r="Q14" s="351">
        <f>+[4]파주!$E$17</f>
        <v>862.3993181818181</v>
      </c>
      <c r="R14" s="350">
        <f>+[4]파주!$F$17</f>
        <v>987.50216717688375</v>
      </c>
      <c r="S14" s="352">
        <f t="shared" si="4"/>
        <v>125.10284899506564</v>
      </c>
      <c r="T14" s="451">
        <f>+[4]파주!$E$19</f>
        <v>2.87</v>
      </c>
      <c r="U14" s="450">
        <f>+[4]파주!$F$19</f>
        <v>2.9671500783991647</v>
      </c>
      <c r="V14" s="449">
        <f t="shared" si="5"/>
        <v>9.7150078399164563E-2</v>
      </c>
    </row>
    <row r="15" spans="1:22" ht="24" customHeight="1">
      <c r="D15" s="353" t="s">
        <v>108</v>
      </c>
      <c r="E15" s="351">
        <f>+[4]김포!$E$9</f>
        <v>263</v>
      </c>
      <c r="F15" s="350">
        <f>+[4]김포!$F$9</f>
        <v>248.67447346600332</v>
      </c>
      <c r="G15" s="352">
        <f t="shared" si="0"/>
        <v>-14.32552653399668</v>
      </c>
      <c r="H15" s="351">
        <f>+[4]김포!$E$15</f>
        <v>343</v>
      </c>
      <c r="I15" s="350">
        <f>+[4]김포!$F$15</f>
        <v>354.19198258706473</v>
      </c>
      <c r="J15" s="352">
        <f t="shared" si="1"/>
        <v>11.191982587064729</v>
      </c>
      <c r="K15" s="454">
        <f>+([4]김포!$E$10*0.4+[4]김포!$E$11+[4]김포!$E$12+[4]김포!$E$13+[4]김포!$E$14)/[4]김포!$E$15</f>
        <v>0.23323615160349853</v>
      </c>
      <c r="L15" s="453">
        <f>+([4]김포!$F$10*0.4+[4]김포!$F$11+[4]김포!$F$12+[4]김포!$F$13+[4]김포!$F$14)/[4]김포!$F$15</f>
        <v>0.29791049574399642</v>
      </c>
      <c r="M15" s="452">
        <f t="shared" si="2"/>
        <v>6.4674344140497886E-2</v>
      </c>
      <c r="N15" s="351">
        <f>+[4]김포!$E$16</f>
        <v>810</v>
      </c>
      <c r="O15" s="350">
        <f>+[4]김포!$F$16</f>
        <v>713.23548922056352</v>
      </c>
      <c r="P15" s="352">
        <f t="shared" si="3"/>
        <v>-96.764510779436478</v>
      </c>
      <c r="Q15" s="351">
        <f>+[4]김포!$E$17</f>
        <v>955</v>
      </c>
      <c r="R15" s="350">
        <f>+[4]김포!$F$17</f>
        <v>987.21434494195751</v>
      </c>
      <c r="S15" s="352">
        <f t="shared" si="4"/>
        <v>32.214344941957506</v>
      </c>
      <c r="T15" s="451">
        <f>+[4]김포!$E$19</f>
        <v>2.8</v>
      </c>
      <c r="U15" s="450">
        <f>+[4]김포!$F$19</f>
        <v>2.7323714759535664</v>
      </c>
      <c r="V15" s="449">
        <f t="shared" si="5"/>
        <v>-6.762852404643338E-2</v>
      </c>
    </row>
    <row r="16" spans="1:22" ht="24" customHeight="1">
      <c r="D16" s="408" t="s">
        <v>21</v>
      </c>
      <c r="E16" s="358">
        <f>+[4]부산!$E$9</f>
        <v>194.01760000000002</v>
      </c>
      <c r="F16" s="357">
        <f>+[4]부산!$F$9</f>
        <v>185.69816764892116</v>
      </c>
      <c r="G16" s="359">
        <f t="shared" si="0"/>
        <v>-8.3194323510788593</v>
      </c>
      <c r="H16" s="358">
        <f>+[4]부산!$E$15</f>
        <v>380.42666666666673</v>
      </c>
      <c r="I16" s="357">
        <f>+[4]부산!$F$15</f>
        <v>383.13113097267552</v>
      </c>
      <c r="J16" s="359">
        <f t="shared" si="1"/>
        <v>2.7044643060087878</v>
      </c>
      <c r="K16" s="460">
        <f>+([4]부산!$E$10*0.4+[4]부산!$E$11+[4]부산!$E$12+[4]부산!$E$13+[4]부산!$E$14)/[4]부산!$E$15</f>
        <v>0.24400000000000002</v>
      </c>
      <c r="L16" s="459">
        <f>+([4]부산!$F$10*0.4+[4]부산!$F$11+[4]부산!$F$12+[4]부산!$F$13+[4]부산!$F$14)/[4]부산!$F$15</f>
        <v>0.24964010081152077</v>
      </c>
      <c r="M16" s="458">
        <f t="shared" si="2"/>
        <v>5.6401008115207485E-3</v>
      </c>
      <c r="N16" s="358">
        <f>+[4]부산!$E$16</f>
        <v>820</v>
      </c>
      <c r="O16" s="357">
        <f>+[4]부산!$F$16</f>
        <v>907.77945545760053</v>
      </c>
      <c r="P16" s="359">
        <f t="shared" si="3"/>
        <v>87.779455457600534</v>
      </c>
      <c r="Q16" s="358">
        <f>+[4]부산!$E$17</f>
        <v>900</v>
      </c>
      <c r="R16" s="357">
        <f>+[4]부산!$F$17</f>
        <v>812.25707466757649</v>
      </c>
      <c r="S16" s="359">
        <f t="shared" si="4"/>
        <v>-87.742925332423511</v>
      </c>
      <c r="T16" s="457">
        <f>+[4]부산!$E$19</f>
        <v>3.4280246933333332</v>
      </c>
      <c r="U16" s="456">
        <f>+[4]부산!$F$19</f>
        <v>2.6736427840826065</v>
      </c>
      <c r="V16" s="455">
        <f t="shared" si="5"/>
        <v>-0.75438190925072668</v>
      </c>
    </row>
    <row r="17" spans="4:22" ht="24" customHeight="1">
      <c r="D17" s="353" t="s">
        <v>22</v>
      </c>
      <c r="E17" s="351">
        <f>+[4]서부산!$E$9</f>
        <v>249</v>
      </c>
      <c r="F17" s="350">
        <f>+[4]서부산!$F$9</f>
        <v>221.00462627969409</v>
      </c>
      <c r="G17" s="352">
        <f t="shared" si="0"/>
        <v>-27.995373720305906</v>
      </c>
      <c r="H17" s="351">
        <f>+[4]서부산!$E$15</f>
        <v>379</v>
      </c>
      <c r="I17" s="350">
        <f>+[4]서부산!$F$15</f>
        <v>355.69082894344518</v>
      </c>
      <c r="J17" s="352">
        <f t="shared" si="1"/>
        <v>-23.309171056554817</v>
      </c>
      <c r="K17" s="454">
        <f>+([4]서부산!$E$10*0.4+[4]서부산!$E$11+[4]서부산!$E$12+[4]서부산!$E$13+[4]서부산!$E$14)/[4]서부산!$E$15</f>
        <v>0.26860158311345644</v>
      </c>
      <c r="L17" s="453">
        <f>+([4]서부산!$F$10*0.4+[4]서부산!$F$11+[4]서부산!$F$12+[4]서부산!$F$13+[4]서부산!$F$14)/[4]서부산!$F$15</f>
        <v>0.27261992557810411</v>
      </c>
      <c r="M17" s="452">
        <f t="shared" si="2"/>
        <v>4.0183424646476618E-3</v>
      </c>
      <c r="N17" s="351">
        <f>+[4]서부산!$E$16</f>
        <v>817</v>
      </c>
      <c r="O17" s="350">
        <f>+[4]서부산!$F$16</f>
        <v>825.21618129410649</v>
      </c>
      <c r="P17" s="352">
        <f t="shared" si="3"/>
        <v>8.2161812941064909</v>
      </c>
      <c r="Q17" s="351">
        <f>+[4]서부산!$E$17</f>
        <v>906.05</v>
      </c>
      <c r="R17" s="350">
        <f>+[4]서부산!$F$17</f>
        <v>904.90015902991797</v>
      </c>
      <c r="S17" s="352">
        <f t="shared" si="4"/>
        <v>-1.1498409700819821</v>
      </c>
      <c r="T17" s="451">
        <f>+[4]서부산!$E$19</f>
        <v>3.2</v>
      </c>
      <c r="U17" s="450">
        <f>+[4]서부산!$F$19</f>
        <v>3.1409800218666133</v>
      </c>
      <c r="V17" s="449">
        <f t="shared" si="5"/>
        <v>-5.9019978133386886E-2</v>
      </c>
    </row>
    <row r="18" spans="4:22" ht="24" customHeight="1">
      <c r="D18" s="353" t="s">
        <v>23</v>
      </c>
      <c r="E18" s="351">
        <f>+[4]김해!$E$9</f>
        <v>159.80000000000001</v>
      </c>
      <c r="F18" s="350">
        <f>+[4]김해!$F$9</f>
        <v>136.36203990944918</v>
      </c>
      <c r="G18" s="352">
        <f t="shared" si="0"/>
        <v>-23.437960090550831</v>
      </c>
      <c r="H18" s="351">
        <f>+[4]김해!$E$15</f>
        <v>340</v>
      </c>
      <c r="I18" s="350">
        <f>+[4]김해!$F$15</f>
        <v>362.99993963276603</v>
      </c>
      <c r="J18" s="352">
        <f t="shared" si="1"/>
        <v>22.999939632766029</v>
      </c>
      <c r="K18" s="454">
        <f>+([4]김해!$E$10*0.4+[4]김해!$E$11+[4]김해!$E$12+[4]김해!$E$13+[4]김해!$E$14)/[4]김해!$E$15</f>
        <v>0.27200000000000002</v>
      </c>
      <c r="L18" s="453">
        <f>+([4]김해!$F$10*0.4+[4]김해!$F$11+[4]김해!$F$12+[4]김해!$F$13+[4]김해!$F$14)/[4]김해!$F$15</f>
        <v>0.32494978565978988</v>
      </c>
      <c r="M18" s="452">
        <f t="shared" si="2"/>
        <v>5.2949785659789861E-2</v>
      </c>
      <c r="N18" s="351">
        <f>+[4]김해!$E$16</f>
        <v>770</v>
      </c>
      <c r="O18" s="350">
        <f>+[4]김해!$F$16</f>
        <v>796.34442860736215</v>
      </c>
      <c r="P18" s="352">
        <f t="shared" si="3"/>
        <v>26.344428607362147</v>
      </c>
      <c r="Q18" s="351">
        <f>+[4]김해!$E$17</f>
        <v>950</v>
      </c>
      <c r="R18" s="350">
        <f>+[4]김해!$F$17</f>
        <v>877.81504150247406</v>
      </c>
      <c r="S18" s="352">
        <f t="shared" si="4"/>
        <v>-72.18495849752594</v>
      </c>
      <c r="T18" s="451">
        <f>+[4]김해!$E$19</f>
        <v>3.3</v>
      </c>
      <c r="U18" s="450">
        <f>+[4]김해!$F$19</f>
        <v>3.253085436404799</v>
      </c>
      <c r="V18" s="449">
        <f t="shared" si="5"/>
        <v>-4.6914563595200853E-2</v>
      </c>
    </row>
    <row r="19" spans="4:22" ht="24" customHeight="1">
      <c r="D19" s="353" t="s">
        <v>24</v>
      </c>
      <c r="E19" s="351">
        <f>+[4]정관!$E$9</f>
        <v>247.45660751695999</v>
      </c>
      <c r="F19" s="350">
        <f>+[4]정관!$F$9</f>
        <v>246.5402033712368</v>
      </c>
      <c r="G19" s="352">
        <f t="shared" si="0"/>
        <v>-0.91640414572319173</v>
      </c>
      <c r="H19" s="351">
        <f>+[4]정관!$E$15</f>
        <v>363.90677576023523</v>
      </c>
      <c r="I19" s="350">
        <f>+[4]정관!$F$15</f>
        <v>393.65525706208723</v>
      </c>
      <c r="J19" s="352">
        <f t="shared" si="1"/>
        <v>29.748481301851996</v>
      </c>
      <c r="K19" s="454">
        <f>+([4]정관!$E$10*0.4+[4]정관!$E$11+[4]정관!$E$12+[4]정관!$E$13+[4]정관!$E$14)/[4]정관!$E$15</f>
        <v>0.21200000000000005</v>
      </c>
      <c r="L19" s="453">
        <f>+([4]정관!$F$10*0.4+[4]정관!$F$11+[4]정관!$F$12+[4]정관!$F$13+[4]정관!$F$14)/[4]정관!$F$15</f>
        <v>0.25714807264334949</v>
      </c>
      <c r="M19" s="452">
        <f t="shared" si="2"/>
        <v>4.5148072643349441E-2</v>
      </c>
      <c r="N19" s="351">
        <f>+[4]정관!$E$16</f>
        <v>788.2894</v>
      </c>
      <c r="O19" s="350">
        <f>+[4]정관!$F$16</f>
        <v>798.42104596949423</v>
      </c>
      <c r="P19" s="352">
        <f t="shared" si="3"/>
        <v>10.13164596949423</v>
      </c>
      <c r="Q19" s="351">
        <f>+[4]정관!$E$17</f>
        <v>916.76077665689559</v>
      </c>
      <c r="R19" s="350">
        <f>+[4]정관!$F$17</f>
        <v>921.91514946941982</v>
      </c>
      <c r="S19" s="352">
        <f t="shared" si="4"/>
        <v>5.1543728125242296</v>
      </c>
      <c r="T19" s="451">
        <f>+[4]정관!$E$19</f>
        <v>3.0932075939620001</v>
      </c>
      <c r="U19" s="450">
        <f>+[4]정관!$F$19</f>
        <v>2.5817894137254491</v>
      </c>
      <c r="V19" s="449">
        <f t="shared" si="5"/>
        <v>-0.51141818023655095</v>
      </c>
    </row>
    <row r="20" spans="4:22" ht="24" customHeight="1">
      <c r="D20" s="353" t="s">
        <v>25</v>
      </c>
      <c r="E20" s="351">
        <f>+[4]양산!$E$9</f>
        <v>251.91088255979511</v>
      </c>
      <c r="F20" s="350">
        <f>+[4]양산!$F$9</f>
        <v>220.66067866815359</v>
      </c>
      <c r="G20" s="352">
        <f t="shared" si="0"/>
        <v>-31.250203891641519</v>
      </c>
      <c r="H20" s="351">
        <f>+[4]양산!$E$15</f>
        <v>358.96978922490632</v>
      </c>
      <c r="I20" s="350">
        <f>+[4]양산!$F$15</f>
        <v>358.81350326589126</v>
      </c>
      <c r="J20" s="352">
        <f t="shared" si="1"/>
        <v>-0.15628595901506515</v>
      </c>
      <c r="K20" s="454">
        <f>+([4]양산!$E$10*0.4+[4]양산!$E$11+[4]양산!$E$12+[4]양산!$E$13+[4]양산!$E$14)/[4]양산!$E$15</f>
        <v>0.29823932230139644</v>
      </c>
      <c r="L20" s="453">
        <f>+([4]양산!$F$10*0.4+[4]양산!$F$11+[4]양산!$F$12+[4]양산!$F$13+[4]양산!$F$14)/[4]양산!$F$15</f>
        <v>0.38502682686209394</v>
      </c>
      <c r="M20" s="452">
        <f t="shared" si="2"/>
        <v>8.6787504560697504E-2</v>
      </c>
      <c r="N20" s="351">
        <f>+[4]양산!$E$16</f>
        <v>777.4</v>
      </c>
      <c r="O20" s="350">
        <f>+[4]양산!$F$16</f>
        <v>743.55233391747606</v>
      </c>
      <c r="P20" s="352">
        <f t="shared" si="3"/>
        <v>-33.847666082523915</v>
      </c>
      <c r="Q20" s="351">
        <f>+[4]양산!$E$17</f>
        <v>879.88719000000003</v>
      </c>
      <c r="R20" s="350">
        <f>+[4]양산!$F$17</f>
        <v>864.62960012744929</v>
      </c>
      <c r="S20" s="352">
        <f t="shared" si="4"/>
        <v>-15.257589872550739</v>
      </c>
      <c r="T20" s="451">
        <f>+[4]양산!$E$19</f>
        <v>3.0420890417450366</v>
      </c>
      <c r="U20" s="450">
        <f>+[4]양산!$F$19</f>
        <v>2.2563485741596314</v>
      </c>
      <c r="V20" s="449">
        <f t="shared" si="5"/>
        <v>-0.78574046758540517</v>
      </c>
    </row>
    <row r="21" spans="4:22" ht="24" customHeight="1">
      <c r="D21" s="353" t="s">
        <v>26</v>
      </c>
      <c r="E21" s="351">
        <f>+[4]창원!$E$9</f>
        <v>255.89999999999995</v>
      </c>
      <c r="F21" s="350">
        <f>+[4]창원!$F$9</f>
        <v>222.14565158080552</v>
      </c>
      <c r="G21" s="352">
        <f t="shared" si="0"/>
        <v>-33.754348419194429</v>
      </c>
      <c r="H21" s="351">
        <f>+[4]창원!$E$15</f>
        <v>356.79999999999995</v>
      </c>
      <c r="I21" s="350">
        <f>+[4]창원!$F$15</f>
        <v>347.81121088107835</v>
      </c>
      <c r="J21" s="352">
        <f t="shared" si="1"/>
        <v>-8.988789118921602</v>
      </c>
      <c r="K21" s="454">
        <f>+([4]창원!$E$10*0.4+[4]창원!$E$11+[4]창원!$E$12+[4]창원!$E$13+[4]창원!$E$14)/[4]창원!$E$15</f>
        <v>0.2827914798206278</v>
      </c>
      <c r="L21" s="453">
        <f>+([4]창원!$F$10*0.4+[4]창원!$F$11+[4]창원!$F$12+[4]창원!$F$13+[4]창원!$F$14)/[4]창원!$F$15</f>
        <v>0.3613039354940164</v>
      </c>
      <c r="M21" s="452">
        <f t="shared" si="2"/>
        <v>7.8512455673388604E-2</v>
      </c>
      <c r="N21" s="351">
        <f>+[4]창원!$E$16</f>
        <v>843.09999999999991</v>
      </c>
      <c r="O21" s="350">
        <f>+[4]창원!$F$16</f>
        <v>800.72179425453373</v>
      </c>
      <c r="P21" s="352">
        <f t="shared" si="3"/>
        <v>-42.378205745466175</v>
      </c>
      <c r="Q21" s="351">
        <f>+[4]창원!$E$17</f>
        <v>885.9</v>
      </c>
      <c r="R21" s="350">
        <f>+[4]창원!$F$17</f>
        <v>920.61587225164499</v>
      </c>
      <c r="S21" s="352">
        <f t="shared" si="4"/>
        <v>34.71587225164501</v>
      </c>
      <c r="T21" s="451">
        <f>+[4]창원!$E$19</f>
        <v>3.08</v>
      </c>
      <c r="U21" s="450">
        <f>+[4]창원!$F$19</f>
        <v>2.5920799229658167</v>
      </c>
      <c r="V21" s="449">
        <f t="shared" si="5"/>
        <v>-0.48792007703418339</v>
      </c>
    </row>
    <row r="22" spans="4:22" ht="24" customHeight="1">
      <c r="D22" s="353" t="s">
        <v>133</v>
      </c>
      <c r="E22" s="351">
        <f>+[4]대구!$E$9</f>
        <v>241.49999999999997</v>
      </c>
      <c r="F22" s="350">
        <f>+[4]대구!$F$9</f>
        <v>244.29092954865121</v>
      </c>
      <c r="G22" s="352">
        <f t="shared" si="0"/>
        <v>2.7909295486512349</v>
      </c>
      <c r="H22" s="351">
        <f>+[4]대구!$E$15</f>
        <v>345</v>
      </c>
      <c r="I22" s="350">
        <f>+[4]대구!$F$15</f>
        <v>348.08014917103537</v>
      </c>
      <c r="J22" s="352">
        <f t="shared" si="1"/>
        <v>3.080149171035373</v>
      </c>
      <c r="K22" s="454">
        <f>+([4]대구!$E$10*0.4+[4]대구!$E$11+[4]대구!$E$12+[4]대구!$E$13+[4]대구!$E$14)/[4]대구!$E$15</f>
        <v>0.3</v>
      </c>
      <c r="L22" s="453">
        <f>+([4]대구!$F$10*0.4+[4]대구!$F$11+[4]대구!$F$12+[4]대구!$F$13+[4]대구!$F$14)/[4]대구!$F$15</f>
        <v>0.29817620990327004</v>
      </c>
      <c r="M22" s="452">
        <f t="shared" si="2"/>
        <v>-1.8237900967299492E-3</v>
      </c>
      <c r="N22" s="351">
        <f>+[4]대구!$E$16</f>
        <v>734.13912938816463</v>
      </c>
      <c r="O22" s="350">
        <f>+[4]대구!$F$16</f>
        <v>693.22720879682879</v>
      </c>
      <c r="P22" s="352">
        <f t="shared" si="3"/>
        <v>-40.911920591335843</v>
      </c>
      <c r="Q22" s="351">
        <f>+[4]대구!$E$17</f>
        <v>973.16117151454341</v>
      </c>
      <c r="R22" s="350">
        <f>+[4]대구!$F$17</f>
        <v>962.09223032007878</v>
      </c>
      <c r="S22" s="352">
        <f t="shared" si="4"/>
        <v>-11.068941194464628</v>
      </c>
      <c r="T22" s="451">
        <f>+[4]대구!$E$19</f>
        <v>3.105</v>
      </c>
      <c r="U22" s="450">
        <f>+[4]대구!$F$19</f>
        <v>2.8223287729616864</v>
      </c>
      <c r="V22" s="449">
        <f t="shared" si="5"/>
        <v>-0.2826712270383136</v>
      </c>
    </row>
    <row r="23" spans="4:22" ht="24" customHeight="1">
      <c r="D23" s="353" t="s">
        <v>132</v>
      </c>
      <c r="E23" s="351">
        <f>+[4]울산!$E$9</f>
        <v>254</v>
      </c>
      <c r="F23" s="350">
        <f>+[4]울산!$F$9</f>
        <v>246.64564161517461</v>
      </c>
      <c r="G23" s="352">
        <f t="shared" si="0"/>
        <v>-7.3543583848253888</v>
      </c>
      <c r="H23" s="351">
        <f>+[4]울산!$E$15</f>
        <v>362.9</v>
      </c>
      <c r="I23" s="350">
        <f>+[4]울산!$F$15</f>
        <v>380.96088662164101</v>
      </c>
      <c r="J23" s="352">
        <f t="shared" si="1"/>
        <v>18.060886621641032</v>
      </c>
      <c r="K23" s="454">
        <f>+([4]울산!$E$10*0.4+[4]울산!$E$11+[4]울산!$E$12+[4]울산!$E$13+[4]울산!$E$14)/[4]울산!$E$15</f>
        <v>0.30008266740148803</v>
      </c>
      <c r="L23" s="453">
        <f>+([4]울산!$F$10*0.4+[4]울산!$F$11+[4]울산!$F$12+[4]울산!$F$13+[4]울산!$F$14)/[4]울산!$F$15</f>
        <v>0.35256964618487019</v>
      </c>
      <c r="M23" s="452">
        <f t="shared" si="2"/>
        <v>5.2486978783382154E-2</v>
      </c>
      <c r="N23" s="351">
        <f>+[4]울산!$E$16</f>
        <v>799</v>
      </c>
      <c r="O23" s="350">
        <f>+[4]울산!$F$16</f>
        <v>788.17236671935621</v>
      </c>
      <c r="P23" s="352">
        <f t="shared" si="3"/>
        <v>-10.827633280643795</v>
      </c>
      <c r="Q23" s="351">
        <f>+[4]울산!$E$17</f>
        <v>901</v>
      </c>
      <c r="R23" s="350">
        <f>+[4]울산!$F$17</f>
        <v>874.04210375053879</v>
      </c>
      <c r="S23" s="352">
        <f t="shared" si="4"/>
        <v>-26.957896249461214</v>
      </c>
      <c r="T23" s="451">
        <f>+[4]울산!$E$19</f>
        <v>3.27</v>
      </c>
      <c r="U23" s="450">
        <f>+[4]울산!$F$19</f>
        <v>3.0480421037505399</v>
      </c>
      <c r="V23" s="449">
        <f t="shared" si="5"/>
        <v>-0.22195789624946016</v>
      </c>
    </row>
    <row r="24" spans="4:22" ht="24" customHeight="1">
      <c r="D24" s="408" t="s">
        <v>27</v>
      </c>
      <c r="E24" s="358">
        <f>+[4]아산!$E$9</f>
        <v>272.16799999999995</v>
      </c>
      <c r="F24" s="357">
        <f>+[4]아산!$F$9</f>
        <v>290.38147562184753</v>
      </c>
      <c r="G24" s="359">
        <f t="shared" si="0"/>
        <v>18.213475621847579</v>
      </c>
      <c r="H24" s="358">
        <f>+[4]아산!$E$15</f>
        <v>384.33199999999999</v>
      </c>
      <c r="I24" s="357">
        <f>+[4]아산!$F$15</f>
        <v>376.2922903823769</v>
      </c>
      <c r="J24" s="359">
        <f t="shared" si="1"/>
        <v>-8.0397096176230889</v>
      </c>
      <c r="K24" s="460">
        <f>+([4]아산!$E$10*0.4+[4]아산!$E$11+[4]아산!$E$12+[4]아산!$E$13+[4]아산!$E$14)/[4]아산!$E$15</f>
        <v>0.23866865106210258</v>
      </c>
      <c r="L24" s="459">
        <f>+([4]아산!$F$10*0.4+[4]아산!$F$11+[4]아산!$F$12+[4]아산!$F$13+[4]아산!$F$14)/[4]아산!$F$15</f>
        <v>0.21403853660824831</v>
      </c>
      <c r="M24" s="458">
        <f t="shared" si="2"/>
        <v>-2.4630114453854268E-2</v>
      </c>
      <c r="N24" s="358">
        <f>+[4]아산!$E$16</f>
        <v>870</v>
      </c>
      <c r="O24" s="357">
        <f>+[4]아산!$F$16</f>
        <v>786.08313794887238</v>
      </c>
      <c r="P24" s="359">
        <f t="shared" si="3"/>
        <v>-83.916862051127623</v>
      </c>
      <c r="Q24" s="358">
        <f>+[4]아산!$E$17</f>
        <v>867</v>
      </c>
      <c r="R24" s="357">
        <f>+[4]아산!$F$17</f>
        <v>948.12432642152089</v>
      </c>
      <c r="S24" s="359">
        <f t="shared" si="4"/>
        <v>81.124326421520891</v>
      </c>
      <c r="T24" s="457">
        <f>+[4]아산!$E$19</f>
        <v>2.8</v>
      </c>
      <c r="U24" s="456">
        <f>+[4]아산!$F$19</f>
        <v>3.1157067724274694</v>
      </c>
      <c r="V24" s="455">
        <f t="shared" si="5"/>
        <v>0.31570677242746958</v>
      </c>
    </row>
    <row r="25" spans="4:22" ht="24" customHeight="1">
      <c r="D25" s="353" t="s">
        <v>131</v>
      </c>
      <c r="E25" s="351">
        <f>+[4]전주!$E$9</f>
        <v>223.2</v>
      </c>
      <c r="F25" s="350">
        <f>+[4]전주!$F$9</f>
        <v>290.8451319226366</v>
      </c>
      <c r="G25" s="352">
        <f t="shared" si="0"/>
        <v>67.645131922636608</v>
      </c>
      <c r="H25" s="351">
        <f>+[4]전주!$E$15</f>
        <v>334.51</v>
      </c>
      <c r="I25" s="350">
        <f>+[4]전주!$F$15</f>
        <v>359.49286884043073</v>
      </c>
      <c r="J25" s="352">
        <f t="shared" si="1"/>
        <v>24.98286884043074</v>
      </c>
      <c r="K25" s="454">
        <f>+([4]전주!$E$10*0.4+[4]전주!$E$11+[4]전주!$E$12+[4]전주!$E$13+[4]전주!$E$14)/[4]전주!$E$15</f>
        <v>0.27603958028160591</v>
      </c>
      <c r="L25" s="453">
        <f>+([4]전주!$F$10*0.4+[4]전주!$F$11+[4]전주!$F$12+[4]전주!$F$13+[4]전주!$F$14)/[4]전주!$F$15</f>
        <v>0.16976195736172608</v>
      </c>
      <c r="M25" s="452">
        <f t="shared" si="2"/>
        <v>-0.10627762291987983</v>
      </c>
      <c r="N25" s="351">
        <f>+[4]전주!$E$16</f>
        <v>740.45</v>
      </c>
      <c r="O25" s="350">
        <f>+[4]전주!$F$16</f>
        <v>615.01775599448263</v>
      </c>
      <c r="P25" s="352">
        <f t="shared" si="3"/>
        <v>-125.43224400551742</v>
      </c>
      <c r="Q25" s="351">
        <f>+[4]전주!$E$17</f>
        <v>991.51</v>
      </c>
      <c r="R25" s="350">
        <f>+[4]전주!$F$17</f>
        <v>1095.1175417485988</v>
      </c>
      <c r="S25" s="352">
        <f t="shared" si="4"/>
        <v>103.60754174859881</v>
      </c>
      <c r="T25" s="451">
        <f>+[4]전주!$E$19</f>
        <v>2.25</v>
      </c>
      <c r="U25" s="450">
        <f>+[4]전주!$F$19</f>
        <v>1.943315821911777</v>
      </c>
      <c r="V25" s="449">
        <f t="shared" si="5"/>
        <v>-0.30668417808822301</v>
      </c>
    </row>
    <row r="26" spans="4:22" ht="24" customHeight="1">
      <c r="D26" s="353" t="s">
        <v>130</v>
      </c>
      <c r="E26" s="351">
        <f>+[4]군산!$E$9</f>
        <v>260.2</v>
      </c>
      <c r="F26" s="350">
        <f>+[4]군산!$F$9</f>
        <v>229.9105537413034</v>
      </c>
      <c r="G26" s="352">
        <f t="shared" si="0"/>
        <v>-30.289446258696586</v>
      </c>
      <c r="H26" s="351">
        <f>+[4]군산!$E$15</f>
        <v>348.9</v>
      </c>
      <c r="I26" s="350">
        <f>+[4]군산!$F$15</f>
        <v>327.55794263808031</v>
      </c>
      <c r="J26" s="352">
        <f t="shared" si="1"/>
        <v>-21.342057361919672</v>
      </c>
      <c r="K26" s="454">
        <f>+([4]군산!$E$10*0.4+[4]군산!$E$11+[4]군산!$E$12+[4]군산!$E$13+[4]군산!$E$14)/[4]군산!$E$15</f>
        <v>0.24958440813986812</v>
      </c>
      <c r="L26" s="453">
        <f>+([4]군산!$F$10*0.4+[4]군산!$F$11+[4]군산!$F$12+[4]군산!$F$13+[4]군산!$F$14)/[4]군산!$F$15</f>
        <v>0.29810722374901399</v>
      </c>
      <c r="M26" s="452">
        <f t="shared" si="2"/>
        <v>4.852281560914587E-2</v>
      </c>
      <c r="N26" s="351">
        <f>+[4]군산!$E$16</f>
        <v>810</v>
      </c>
      <c r="O26" s="350">
        <f>+[4]군산!$F$16</f>
        <v>878.00937100667284</v>
      </c>
      <c r="P26" s="352">
        <f t="shared" si="3"/>
        <v>68.009371006672836</v>
      </c>
      <c r="Q26" s="351">
        <f>+[4]군산!$E$17</f>
        <v>905</v>
      </c>
      <c r="R26" s="350">
        <f>+[4]군산!$F$17</f>
        <v>780.04969473235838</v>
      </c>
      <c r="S26" s="352">
        <f t="shared" si="4"/>
        <v>-124.95030526764162</v>
      </c>
      <c r="T26" s="451">
        <f>+[4]군산!$E$19</f>
        <v>2.79</v>
      </c>
      <c r="U26" s="450">
        <f>+[4]군산!$F$19</f>
        <v>2.5748473661791853</v>
      </c>
      <c r="V26" s="449">
        <f t="shared" si="5"/>
        <v>-0.21515263382081473</v>
      </c>
    </row>
    <row r="27" spans="4:22" ht="24" customHeight="1">
      <c r="D27" s="353" t="s">
        <v>129</v>
      </c>
      <c r="E27" s="351">
        <f>+[4]원주!$E$9</f>
        <v>267.5</v>
      </c>
      <c r="F27" s="350">
        <f>+[4]원주!$F$9</f>
        <v>279.99221724742057</v>
      </c>
      <c r="G27" s="352">
        <f t="shared" si="0"/>
        <v>12.492217247420569</v>
      </c>
      <c r="H27" s="351">
        <f>+[4]원주!$E$15</f>
        <v>353.4</v>
      </c>
      <c r="I27" s="350">
        <f>+[4]원주!$F$15</f>
        <v>376.46565699824788</v>
      </c>
      <c r="J27" s="352">
        <f t="shared" si="1"/>
        <v>23.065656998247903</v>
      </c>
      <c r="K27" s="454">
        <f>+([4]원주!$E$10*0.4+[4]원주!$E$11+[4]원주!$E$12+[4]원주!$E$13+[4]원주!$E$14)/[4]원주!$E$15</f>
        <v>0.24306734578381439</v>
      </c>
      <c r="L27" s="453">
        <f>+([4]원주!$F$10*0.4+[4]원주!$F$11+[4]원주!$F$12+[4]원주!$F$13+[4]원주!$F$14)/[4]원주!$F$15</f>
        <v>0.25626093099715685</v>
      </c>
      <c r="M27" s="452">
        <f t="shared" si="2"/>
        <v>1.3193585213342462E-2</v>
      </c>
      <c r="N27" s="351">
        <f>+[4]원주!$E$16</f>
        <v>837.86</v>
      </c>
      <c r="O27" s="350">
        <f>+[4]원주!$F$16</f>
        <v>726.81331516449291</v>
      </c>
      <c r="P27" s="352">
        <f t="shared" si="3"/>
        <v>-111.04668483550711</v>
      </c>
      <c r="Q27" s="351">
        <f>+[4]원주!$E$17</f>
        <v>921.01</v>
      </c>
      <c r="R27" s="350">
        <f>+[4]원주!$F$17</f>
        <v>962.72337940432135</v>
      </c>
      <c r="S27" s="352">
        <f t="shared" si="4"/>
        <v>41.713379404321358</v>
      </c>
      <c r="T27" s="451">
        <f>+[4]원주!$E$19</f>
        <v>2.9380000000000002</v>
      </c>
      <c r="U27" s="450">
        <f>+[4]원주!$F$19</f>
        <v>2.4944909480241391</v>
      </c>
      <c r="V27" s="449">
        <f t="shared" si="5"/>
        <v>-0.4435090519758611</v>
      </c>
    </row>
    <row r="28" spans="4:22" ht="24" customHeight="1">
      <c r="D28" s="348" t="s">
        <v>128</v>
      </c>
      <c r="E28" s="346">
        <f>+[4]제주!$E$9</f>
        <v>281.39999999999998</v>
      </c>
      <c r="F28" s="445">
        <f>+[4]제주!$F$9</f>
        <v>297.05749335571403</v>
      </c>
      <c r="G28" s="347">
        <f t="shared" si="0"/>
        <v>15.657493355714053</v>
      </c>
      <c r="H28" s="346">
        <f>+[4]제주!$E$15</f>
        <v>350</v>
      </c>
      <c r="I28" s="445">
        <f>+[4]제주!$F$15</f>
        <v>345.07302000279753</v>
      </c>
      <c r="J28" s="347">
        <f t="shared" si="1"/>
        <v>-4.9269799972024657</v>
      </c>
      <c r="K28" s="448">
        <f>+([4]제주!$E$10*0.4+[4]제주!$E$11+[4]제주!$E$12+[4]제주!$E$13+[4]제주!$E$14)/[4]제주!$E$15</f>
        <v>7.8399999999999997E-2</v>
      </c>
      <c r="L28" s="447">
        <f>+([4]제주!$F$10*0.4+[4]제주!$F$11+[4]제주!$F$12+[4]제주!$F$13+[4]제주!$F$14)/[4]제주!$F$15</f>
        <v>5.5658395601828566E-2</v>
      </c>
      <c r="M28" s="446">
        <f t="shared" si="2"/>
        <v>-2.2741604398171432E-2</v>
      </c>
      <c r="N28" s="346">
        <f>+[4]제주!$E$16</f>
        <v>708.9</v>
      </c>
      <c r="O28" s="445">
        <f>+[4]제주!$F$16</f>
        <v>813.34662190516133</v>
      </c>
      <c r="P28" s="347">
        <f t="shared" si="3"/>
        <v>104.44662190516135</v>
      </c>
      <c r="Q28" s="346">
        <f>+[4]제주!$E$17</f>
        <v>996.5</v>
      </c>
      <c r="R28" s="445">
        <f>+[4]제주!$F$17</f>
        <v>969.33627080710562</v>
      </c>
      <c r="S28" s="347">
        <f t="shared" si="4"/>
        <v>-27.16372919289438</v>
      </c>
      <c r="T28" s="444">
        <f>+[4]제주!$E$19</f>
        <v>2.7</v>
      </c>
      <c r="U28" s="443">
        <f>+[4]제주!$F$19</f>
        <v>2.8252035249685266</v>
      </c>
      <c r="V28" s="442">
        <f t="shared" si="5"/>
        <v>0.12520352496852638</v>
      </c>
    </row>
    <row r="29" spans="4:22" ht="24" customHeight="1"/>
    <row r="30" spans="4:22" ht="24" customHeight="1"/>
    <row r="31" spans="4:22" ht="24" customHeight="1"/>
    <row r="32" spans="4:22" ht="21.95" customHeight="1"/>
    <row r="33" ht="21.95" customHeight="1"/>
    <row r="34" ht="21.95" customHeight="1"/>
    <row r="35" ht="21.95" customHeight="1"/>
    <row r="36" ht="21.95" customHeight="1"/>
    <row r="37" ht="21.95" customHeight="1"/>
    <row r="38" ht="21.95" customHeight="1"/>
    <row r="39" ht="21.95" customHeight="1"/>
    <row r="40" ht="21.95" customHeight="1"/>
    <row r="41" ht="21.95" customHeight="1"/>
    <row r="42" ht="21.95" customHeight="1"/>
    <row r="43" ht="21.95" customHeight="1"/>
    <row r="44" ht="21.95" customHeight="1"/>
    <row r="45" ht="21.95" customHeight="1"/>
    <row r="46" ht="21.95" customHeight="1"/>
    <row r="47" ht="21.95" customHeight="1"/>
    <row r="48" ht="21.95" customHeight="1"/>
    <row r="49" ht="21.95" customHeight="1"/>
    <row r="50" ht="21.95" customHeight="1"/>
    <row r="51" ht="21.95" customHeight="1"/>
    <row r="52" ht="21.95" customHeight="1"/>
  </sheetData>
  <mergeCells count="1">
    <mergeCell ref="D6:D7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7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E0FFE-FB88-4FF5-8C6A-FD4B5458543F}">
  <sheetPr>
    <tabColor theme="1" tint="0.249977111117893"/>
    <pageSetUpPr fitToPage="1"/>
  </sheetPr>
  <dimension ref="D3:AT55"/>
  <sheetViews>
    <sheetView showGridLines="0" topLeftCell="A4" zoomScale="70" zoomScaleNormal="70" workbookViewId="0">
      <pane ySplit="6" topLeftCell="A13" activePane="bottomLeft" state="frozenSplit"/>
      <selection pane="bottomLeft"/>
    </sheetView>
  </sheetViews>
  <sheetFormatPr defaultRowHeight="16.5"/>
  <cols>
    <col min="1" max="3" width="5.625" style="6" customWidth="1"/>
    <col min="4" max="5" width="13" style="6" customWidth="1"/>
    <col min="6" max="15" width="15.75" style="6" customWidth="1"/>
    <col min="16" max="17" width="3.25" style="479" customWidth="1"/>
    <col min="18" max="18" width="9" style="6"/>
    <col min="19" max="30" width="10.25" style="6" hidden="1" customWidth="1"/>
    <col min="31" max="39" width="10.25" style="6" customWidth="1"/>
    <col min="40" max="16384" width="9" style="6"/>
  </cols>
  <sheetData>
    <row r="3" spans="4:17" ht="9.9499999999999993" customHeight="1"/>
    <row r="5" spans="4:17" ht="9.9499999999999993" customHeight="1"/>
    <row r="6" spans="4:17" ht="31.5">
      <c r="D6" s="398" t="s">
        <v>238</v>
      </c>
      <c r="F6" s="398"/>
      <c r="G6" s="398"/>
      <c r="H6" s="398"/>
      <c r="I6" s="398"/>
      <c r="J6" s="398"/>
      <c r="K6" s="398"/>
      <c r="L6" s="398"/>
      <c r="M6" s="398"/>
    </row>
    <row r="7" spans="4:17" ht="21.95" customHeight="1" thickBot="1">
      <c r="D7" s="480"/>
      <c r="O7" s="397" t="s">
        <v>162</v>
      </c>
    </row>
    <row r="8" spans="4:17" ht="25.5" customHeight="1" thickTop="1">
      <c r="D8" s="765" t="s">
        <v>11</v>
      </c>
      <c r="E8" s="766"/>
      <c r="F8" s="769" t="s">
        <v>239</v>
      </c>
      <c r="G8" s="770"/>
      <c r="H8" s="770"/>
      <c r="I8" s="770"/>
      <c r="J8" s="771"/>
      <c r="K8" s="742" t="s">
        <v>240</v>
      </c>
      <c r="L8" s="742"/>
      <c r="M8" s="742"/>
      <c r="N8" s="742"/>
      <c r="O8" s="745"/>
      <c r="P8" s="481"/>
      <c r="Q8" s="481"/>
    </row>
    <row r="9" spans="4:17" ht="25.5" customHeight="1">
      <c r="D9" s="767"/>
      <c r="E9" s="768"/>
      <c r="F9" s="482" t="s">
        <v>36</v>
      </c>
      <c r="G9" s="483" t="s">
        <v>37</v>
      </c>
      <c r="H9" s="484" t="s">
        <v>56</v>
      </c>
      <c r="I9" s="483" t="s">
        <v>39</v>
      </c>
      <c r="J9" s="485" t="s">
        <v>57</v>
      </c>
      <c r="K9" s="484" t="s">
        <v>36</v>
      </c>
      <c r="L9" s="483" t="s">
        <v>37</v>
      </c>
      <c r="M9" s="484" t="s">
        <v>56</v>
      </c>
      <c r="N9" s="483" t="s">
        <v>39</v>
      </c>
      <c r="O9" s="486" t="s">
        <v>57</v>
      </c>
      <c r="P9" s="481"/>
      <c r="Q9" s="481"/>
    </row>
    <row r="10" spans="4:17" ht="25.5" customHeight="1">
      <c r="D10" s="487" t="s">
        <v>89</v>
      </c>
      <c r="E10" s="488" t="s">
        <v>69</v>
      </c>
      <c r="F10" s="489">
        <f>+IFERROR(HLOOKUP($F$8,[11]손익!$G$5:$AI$63,2,),)</f>
        <v>11100</v>
      </c>
      <c r="G10" s="490">
        <f>+'[6]4월'!$G$8</f>
        <v>11123.664999999999</v>
      </c>
      <c r="H10" s="491">
        <f>+G10-F10</f>
        <v>23.664999999999054</v>
      </c>
      <c r="I10" s="490">
        <f>+IFERROR(HLOOKUP($F$8,[12]월별!$E$2:$T$53,2,),)</f>
        <v>8574.9830000000002</v>
      </c>
      <c r="J10" s="492">
        <f>+G10-I10</f>
        <v>2548.6819999999989</v>
      </c>
      <c r="K10" s="489">
        <f>+F10+[13]건자재!K10</f>
        <v>41300</v>
      </c>
      <c r="L10" s="490">
        <f>+G10+[13]건자재!L10</f>
        <v>45346.46</v>
      </c>
      <c r="M10" s="491">
        <f>+L10-K10</f>
        <v>4046.4599999999991</v>
      </c>
      <c r="N10" s="490">
        <f>+I10+[13]건자재!N10</f>
        <v>30310.545999999998</v>
      </c>
      <c r="O10" s="492">
        <f>+L10-N10</f>
        <v>15035.914000000001</v>
      </c>
      <c r="P10" s="493"/>
      <c r="Q10" s="493"/>
    </row>
    <row r="11" spans="4:17" ht="25.5" customHeight="1">
      <c r="D11" s="494" t="s">
        <v>53</v>
      </c>
      <c r="E11" s="495" t="s">
        <v>163</v>
      </c>
      <c r="F11" s="496">
        <f>+F12/F10*1000</f>
        <v>872522.52252252249</v>
      </c>
      <c r="G11" s="497">
        <f>+G12/G10*1000</f>
        <v>800210.93236806407</v>
      </c>
      <c r="H11" s="498">
        <f t="shared" ref="H11:H28" si="0">+G11-F11</f>
        <v>-72311.590154458419</v>
      </c>
      <c r="I11" s="497">
        <f>+I12/I10*1000</f>
        <v>853042.90795678552</v>
      </c>
      <c r="J11" s="499">
        <f t="shared" ref="J11:J28" si="1">+G11-I11</f>
        <v>-52831.975588721456</v>
      </c>
      <c r="K11" s="496">
        <f>+K12/K10*1000</f>
        <v>872397.09443099273</v>
      </c>
      <c r="L11" s="497">
        <f>+L12/L10*1000</f>
        <v>757596.27966549085</v>
      </c>
      <c r="M11" s="498">
        <f t="shared" ref="M11:M28" si="2">+L11-K11</f>
        <v>-114800.81476550188</v>
      </c>
      <c r="N11" s="497">
        <f>+N12/N10*1000</f>
        <v>880502.35531883861</v>
      </c>
      <c r="O11" s="499">
        <f t="shared" ref="O11:O28" si="3">+L11-N11</f>
        <v>-122906.07565334777</v>
      </c>
      <c r="P11" s="493"/>
      <c r="Q11" s="493"/>
    </row>
    <row r="12" spans="4:17" ht="25.5" customHeight="1">
      <c r="D12" s="500" t="s">
        <v>124</v>
      </c>
      <c r="E12" s="501" t="s">
        <v>163</v>
      </c>
      <c r="F12" s="502">
        <f>+IFERROR(HLOOKUP($F$8,[11]손익!$G$5:$AI$63,22,),)</f>
        <v>9685000</v>
      </c>
      <c r="G12" s="503">
        <f>+'[6]4월'!$G$9</f>
        <v>8901278.341</v>
      </c>
      <c r="H12" s="504">
        <f t="shared" si="0"/>
        <v>-783721.65899999999</v>
      </c>
      <c r="I12" s="503">
        <f>+IFERROR(HLOOKUP($F$8,[12]월별!$E$2:$T$53,5,),)</f>
        <v>7314828.4340000004</v>
      </c>
      <c r="J12" s="505">
        <f t="shared" si="1"/>
        <v>1586449.9069999997</v>
      </c>
      <c r="K12" s="502">
        <f>+F12+[13]건자재!K12</f>
        <v>36030000</v>
      </c>
      <c r="L12" s="503">
        <f>+G12+[13]건자재!L12</f>
        <v>34354309.391999997</v>
      </c>
      <c r="M12" s="504">
        <f t="shared" si="2"/>
        <v>-1675690.6080000028</v>
      </c>
      <c r="N12" s="503">
        <f>+I12+[13]건자재!N12</f>
        <v>26688507.144000001</v>
      </c>
      <c r="O12" s="505">
        <f t="shared" si="3"/>
        <v>7665802.2479999959</v>
      </c>
      <c r="P12" s="493"/>
      <c r="Q12" s="493"/>
    </row>
    <row r="13" spans="4:17" ht="25.5" customHeight="1">
      <c r="D13" s="500"/>
      <c r="E13" s="506" t="s">
        <v>164</v>
      </c>
      <c r="F13" s="507">
        <f>+IFERROR(HLOOKUP($F$8,[11]손익!$G$5:$AI$63,23,),)</f>
        <v>2460191.0049315076</v>
      </c>
      <c r="G13" s="508">
        <f>+'[6]4월'!$J$9</f>
        <v>1246225.8760000002</v>
      </c>
      <c r="H13" s="509">
        <f t="shared" si="0"/>
        <v>-1213965.1289315075</v>
      </c>
      <c r="I13" s="508">
        <f>+IFERROR(HLOOKUP($F$8,[12]월별!$E$2:$T$53,6,),)</f>
        <v>1507211.0580000002</v>
      </c>
      <c r="J13" s="510">
        <f t="shared" si="1"/>
        <v>-260985.18200000003</v>
      </c>
      <c r="K13" s="507">
        <f>+F13+[13]건자재!K13</f>
        <v>9178404.9030137025</v>
      </c>
      <c r="L13" s="508">
        <f>+G13+[13]건자재!L13</f>
        <v>4085538.3170000007</v>
      </c>
      <c r="M13" s="509">
        <f t="shared" si="2"/>
        <v>-5092866.5860137017</v>
      </c>
      <c r="N13" s="508">
        <f>+I13+[13]건자재!N13</f>
        <v>5067065.2760000005</v>
      </c>
      <c r="O13" s="510">
        <f t="shared" si="3"/>
        <v>-981526.9589999998</v>
      </c>
      <c r="P13" s="493"/>
      <c r="Q13" s="493"/>
    </row>
    <row r="14" spans="4:17" ht="25.5" customHeight="1">
      <c r="D14" s="500"/>
      <c r="E14" s="511" t="s">
        <v>165</v>
      </c>
      <c r="F14" s="512">
        <f>SUM(F12:F13)</f>
        <v>12145191.004931508</v>
      </c>
      <c r="G14" s="513">
        <f>SUM(G12:G13)</f>
        <v>10147504.217</v>
      </c>
      <c r="H14" s="170">
        <f t="shared" si="0"/>
        <v>-1997686.7879315075</v>
      </c>
      <c r="I14" s="513">
        <f>SUM(I12:I13)</f>
        <v>8822039.4920000006</v>
      </c>
      <c r="J14" s="514">
        <f t="shared" si="1"/>
        <v>1325464.7249999996</v>
      </c>
      <c r="K14" s="512">
        <f>SUM(K12:K13)</f>
        <v>45208404.903013706</v>
      </c>
      <c r="L14" s="513">
        <f>SUM(L12:L13)</f>
        <v>38439847.708999999</v>
      </c>
      <c r="M14" s="170">
        <f t="shared" si="2"/>
        <v>-6768557.1940137073</v>
      </c>
      <c r="N14" s="513">
        <f>SUM(N12:N13)</f>
        <v>31755572.420000002</v>
      </c>
      <c r="O14" s="514">
        <f t="shared" si="3"/>
        <v>6684275.2889999971</v>
      </c>
      <c r="P14" s="493"/>
      <c r="Q14" s="493"/>
    </row>
    <row r="15" spans="4:17" ht="25.5" customHeight="1">
      <c r="D15" s="487" t="s">
        <v>5</v>
      </c>
      <c r="E15" s="488" t="s">
        <v>163</v>
      </c>
      <c r="F15" s="489">
        <f>+IFERROR(HLOOKUP($F$8,[11]손익!$G$5:$AI$63,25,),)</f>
        <v>9452787.5</v>
      </c>
      <c r="G15" s="490">
        <f>+'[6]4월'!$G$11</f>
        <v>8774441.2469999995</v>
      </c>
      <c r="H15" s="491">
        <f t="shared" si="0"/>
        <v>-678346.25300000049</v>
      </c>
      <c r="I15" s="490">
        <f>+IFERROR(HLOOKUP($F$8,[12]월별!$E$2:$T$53,8,),)</f>
        <v>7182086.8200000003</v>
      </c>
      <c r="J15" s="492">
        <f t="shared" si="1"/>
        <v>1592354.4269999992</v>
      </c>
      <c r="K15" s="489">
        <f>+F15+[13]건자재!K15</f>
        <v>35166415</v>
      </c>
      <c r="L15" s="490">
        <f>+G15+[13]건자재!L15</f>
        <v>33980247.560999997</v>
      </c>
      <c r="M15" s="491">
        <f t="shared" si="2"/>
        <v>-1186167.439000003</v>
      </c>
      <c r="N15" s="490">
        <f>+I15+[13]건자재!N15</f>
        <v>26089130.177000001</v>
      </c>
      <c r="O15" s="492">
        <f t="shared" si="3"/>
        <v>7891117.3839999959</v>
      </c>
      <c r="P15" s="493"/>
      <c r="Q15" s="493"/>
    </row>
    <row r="16" spans="4:17" ht="25.5" customHeight="1">
      <c r="D16" s="500"/>
      <c r="E16" s="506" t="s">
        <v>164</v>
      </c>
      <c r="F16" s="507">
        <f>+IFERROR(HLOOKUP($F$8,[11]손익!$G$5:$AI$63,26,),)</f>
        <v>2364349.3439523894</v>
      </c>
      <c r="G16" s="508">
        <f>+'[6]4월'!$J$11</f>
        <v>1205319.1109999996</v>
      </c>
      <c r="H16" s="509">
        <f t="shared" si="0"/>
        <v>-1159030.2329523899</v>
      </c>
      <c r="I16" s="508">
        <f>+IFERROR(HLOOKUP($F$8,[12]월별!$E$2:$T$53,9,),)</f>
        <v>1476998.9679999985</v>
      </c>
      <c r="J16" s="510">
        <f t="shared" si="1"/>
        <v>-271679.85699999891</v>
      </c>
      <c r="K16" s="507">
        <f>+F16+[13]건자재!K16</f>
        <v>8820841.7832069881</v>
      </c>
      <c r="L16" s="508">
        <f>+G16+[13]건자재!L16</f>
        <v>3959440.1900000013</v>
      </c>
      <c r="M16" s="509">
        <f t="shared" si="2"/>
        <v>-4861401.5932069868</v>
      </c>
      <c r="N16" s="508">
        <f>+I16+[13]건자재!N16</f>
        <v>4969680.095999999</v>
      </c>
      <c r="O16" s="510">
        <f t="shared" si="3"/>
        <v>-1010239.9059999976</v>
      </c>
      <c r="P16" s="493"/>
      <c r="Q16" s="493"/>
    </row>
    <row r="17" spans="4:17" ht="25.5" customHeight="1">
      <c r="D17" s="494"/>
      <c r="E17" s="515" t="s">
        <v>166</v>
      </c>
      <c r="F17" s="516">
        <f>SUM(F15:F16)</f>
        <v>11817136.843952389</v>
      </c>
      <c r="G17" s="517">
        <f>SUM(G15:G16)</f>
        <v>9979760.3579999991</v>
      </c>
      <c r="H17" s="518">
        <f t="shared" si="0"/>
        <v>-1837376.4859523904</v>
      </c>
      <c r="I17" s="517">
        <f>SUM(I15:I16)</f>
        <v>8659085.7879999988</v>
      </c>
      <c r="J17" s="519">
        <f t="shared" si="1"/>
        <v>1320674.5700000003</v>
      </c>
      <c r="K17" s="516">
        <f>SUM(K15:K16)</f>
        <v>43987256.783206984</v>
      </c>
      <c r="L17" s="517">
        <f>SUM(L15:L16)</f>
        <v>37939687.751000002</v>
      </c>
      <c r="M17" s="518">
        <f t="shared" si="2"/>
        <v>-6047569.0322069824</v>
      </c>
      <c r="N17" s="517">
        <f>SUM(N15:N16)</f>
        <v>31058810.273000002</v>
      </c>
      <c r="O17" s="519">
        <f t="shared" si="3"/>
        <v>6880877.4780000001</v>
      </c>
      <c r="P17" s="493"/>
      <c r="Q17" s="493"/>
    </row>
    <row r="18" spans="4:17" ht="25.5" customHeight="1">
      <c r="D18" s="500" t="s">
        <v>15</v>
      </c>
      <c r="E18" s="501" t="s">
        <v>163</v>
      </c>
      <c r="F18" s="502">
        <f>+F12-F15</f>
        <v>232212.5</v>
      </c>
      <c r="G18" s="503">
        <f>+G12-G15</f>
        <v>126837.09400000051</v>
      </c>
      <c r="H18" s="504">
        <f t="shared" si="0"/>
        <v>-105375.40599999949</v>
      </c>
      <c r="I18" s="503">
        <f>+I12-I15</f>
        <v>132741.61400000006</v>
      </c>
      <c r="J18" s="505">
        <f t="shared" si="1"/>
        <v>-5904.519999999553</v>
      </c>
      <c r="K18" s="502">
        <f>+K12-K15</f>
        <v>863585</v>
      </c>
      <c r="L18" s="503">
        <f>+L12-L15</f>
        <v>374061.83100000024</v>
      </c>
      <c r="M18" s="504">
        <f t="shared" si="2"/>
        <v>-489523.16899999976</v>
      </c>
      <c r="N18" s="503">
        <f>+N12-N15</f>
        <v>599376.96700000018</v>
      </c>
      <c r="O18" s="505">
        <f t="shared" si="3"/>
        <v>-225315.13599999994</v>
      </c>
      <c r="P18" s="493"/>
      <c r="Q18" s="493"/>
    </row>
    <row r="19" spans="4:17" ht="25.5" customHeight="1">
      <c r="D19" s="500"/>
      <c r="E19" s="520" t="s">
        <v>9</v>
      </c>
      <c r="F19" s="521">
        <f>+F18/F12</f>
        <v>2.3976510067114095E-2</v>
      </c>
      <c r="G19" s="522">
        <f>+G18/G12</f>
        <v>1.4249312193258659E-2</v>
      </c>
      <c r="H19" s="523">
        <f t="shared" si="0"/>
        <v>-9.7271978738554359E-3</v>
      </c>
      <c r="I19" s="522">
        <f>+I18/I12</f>
        <v>1.8146921038230335E-2</v>
      </c>
      <c r="J19" s="524">
        <f t="shared" si="1"/>
        <v>-3.8976088449716763E-3</v>
      </c>
      <c r="K19" s="521">
        <f>+K18/K12</f>
        <v>2.3968498473494311E-2</v>
      </c>
      <c r="L19" s="522">
        <f>+L18/L12</f>
        <v>1.0888352512977807E-2</v>
      </c>
      <c r="M19" s="523">
        <f t="shared" si="2"/>
        <v>-1.3080145960516504E-2</v>
      </c>
      <c r="N19" s="522">
        <f>+N18/N12</f>
        <v>2.2458242559840955E-2</v>
      </c>
      <c r="O19" s="524">
        <f t="shared" si="3"/>
        <v>-1.1569890046863148E-2</v>
      </c>
      <c r="P19" s="493"/>
      <c r="Q19" s="493"/>
    </row>
    <row r="20" spans="4:17" ht="25.5" customHeight="1">
      <c r="D20" s="500"/>
      <c r="E20" s="525" t="s">
        <v>164</v>
      </c>
      <c r="F20" s="512">
        <f>+F13-F16</f>
        <v>95841.660979118198</v>
      </c>
      <c r="G20" s="513">
        <f>+G13-G16</f>
        <v>40906.765000000596</v>
      </c>
      <c r="H20" s="170">
        <f t="shared" si="0"/>
        <v>-54934.895979117602</v>
      </c>
      <c r="I20" s="513">
        <f>+I13-I16</f>
        <v>30212.090000001714</v>
      </c>
      <c r="J20" s="514">
        <f t="shared" si="1"/>
        <v>10694.674999998882</v>
      </c>
      <c r="K20" s="512">
        <f>+K13-K16</f>
        <v>357563.11980671436</v>
      </c>
      <c r="L20" s="513">
        <f>+L13-L16</f>
        <v>126098.1269999994</v>
      </c>
      <c r="M20" s="170">
        <f t="shared" si="2"/>
        <v>-231464.99280671496</v>
      </c>
      <c r="N20" s="513">
        <f>+N13-N16</f>
        <v>97385.180000001565</v>
      </c>
      <c r="O20" s="514">
        <f t="shared" si="3"/>
        <v>28712.946999997832</v>
      </c>
      <c r="P20" s="493"/>
      <c r="Q20" s="493"/>
    </row>
    <row r="21" spans="4:17" ht="25.5" customHeight="1">
      <c r="D21" s="500"/>
      <c r="E21" s="526" t="s">
        <v>9</v>
      </c>
      <c r="F21" s="527">
        <f>+F20/F13</f>
        <v>3.8957000000000588E-2</v>
      </c>
      <c r="G21" s="528">
        <f>+G20/G13</f>
        <v>3.2824519044090679E-2</v>
      </c>
      <c r="H21" s="529">
        <f t="shared" si="0"/>
        <v>-6.1324809559099094E-3</v>
      </c>
      <c r="I21" s="528">
        <f>+I20/I13</f>
        <v>2.0045029420160815E-2</v>
      </c>
      <c r="J21" s="530">
        <f t="shared" si="1"/>
        <v>1.2779489623929864E-2</v>
      </c>
      <c r="K21" s="527">
        <f>+K20/K13</f>
        <v>3.8957000000001039E-2</v>
      </c>
      <c r="L21" s="528">
        <f>+L20/L13</f>
        <v>3.0864507248727236E-2</v>
      </c>
      <c r="M21" s="529">
        <f t="shared" si="2"/>
        <v>-8.0924927512738033E-3</v>
      </c>
      <c r="N21" s="528">
        <f>+N20/N13</f>
        <v>1.9219247176716567E-2</v>
      </c>
      <c r="O21" s="530">
        <f t="shared" si="3"/>
        <v>1.1645260072010669E-2</v>
      </c>
      <c r="P21" s="493"/>
      <c r="Q21" s="493"/>
    </row>
    <row r="22" spans="4:17" ht="25.5" customHeight="1">
      <c r="D22" s="500"/>
      <c r="E22" s="511" t="s">
        <v>165</v>
      </c>
      <c r="F22" s="512">
        <f>SUM(F18,F20)</f>
        <v>328054.1609791182</v>
      </c>
      <c r="G22" s="513">
        <f>SUM(G18,G20)</f>
        <v>167743.8590000011</v>
      </c>
      <c r="H22" s="170">
        <f t="shared" si="0"/>
        <v>-160310.3019791171</v>
      </c>
      <c r="I22" s="513">
        <f>SUM(I18,I20)</f>
        <v>162953.70400000177</v>
      </c>
      <c r="J22" s="514">
        <f t="shared" si="1"/>
        <v>4790.1549999993294</v>
      </c>
      <c r="K22" s="512">
        <f>SUM(K18,K20)</f>
        <v>1221148.1198067144</v>
      </c>
      <c r="L22" s="513">
        <f>SUM(L18,L20)</f>
        <v>500159.95799999963</v>
      </c>
      <c r="M22" s="170">
        <f t="shared" si="2"/>
        <v>-720988.16180671472</v>
      </c>
      <c r="N22" s="513">
        <f>SUM(N18,N20)</f>
        <v>696762.14700000174</v>
      </c>
      <c r="O22" s="514">
        <f t="shared" si="3"/>
        <v>-196602.18900000211</v>
      </c>
      <c r="P22" s="493"/>
      <c r="Q22" s="493"/>
    </row>
    <row r="23" spans="4:17" ht="25.5" customHeight="1">
      <c r="D23" s="500"/>
      <c r="E23" s="531" t="s">
        <v>9</v>
      </c>
      <c r="F23" s="521">
        <f>+F22/F14</f>
        <v>2.7011033490203083E-2</v>
      </c>
      <c r="G23" s="522">
        <f>+G22/G14</f>
        <v>1.6530553268357524E-2</v>
      </c>
      <c r="H23" s="523">
        <f t="shared" si="0"/>
        <v>-1.048048022184556E-2</v>
      </c>
      <c r="I23" s="522">
        <f>+I22/I14</f>
        <v>1.847120545626342E-2</v>
      </c>
      <c r="J23" s="524">
        <f t="shared" si="1"/>
        <v>-1.9406521879058967E-3</v>
      </c>
      <c r="K23" s="521">
        <f>+K22/K14</f>
        <v>2.7011528551526259E-2</v>
      </c>
      <c r="L23" s="522">
        <f>+L22/L14</f>
        <v>1.3011496866125622E-2</v>
      </c>
      <c r="M23" s="523">
        <f t="shared" si="2"/>
        <v>-1.4000031685400637E-2</v>
      </c>
      <c r="N23" s="522">
        <f>+N22/N14</f>
        <v>2.1941413550497783E-2</v>
      </c>
      <c r="O23" s="524">
        <f t="shared" si="3"/>
        <v>-8.9299166843721609E-3</v>
      </c>
      <c r="P23" s="493"/>
      <c r="Q23" s="493"/>
    </row>
    <row r="24" spans="4:17" ht="25.5" customHeight="1">
      <c r="D24" s="487" t="s">
        <v>167</v>
      </c>
      <c r="E24" s="488" t="s">
        <v>168</v>
      </c>
      <c r="F24" s="489">
        <f>+IFERROR(HLOOKUP($F$8,[11]판매4!$G$4:$U$50,7,),)</f>
        <v>89090.290000000008</v>
      </c>
      <c r="G24" s="490">
        <f>+'[6]4월'!$M$19</f>
        <v>94794.214999999997</v>
      </c>
      <c r="H24" s="491">
        <f t="shared" si="0"/>
        <v>5703.9249999999884</v>
      </c>
      <c r="I24" s="490">
        <f>+IFERROR(HLOOKUP($F$8,[12]월별!$E$2:$T$53,17,),)</f>
        <v>90280.524999999994</v>
      </c>
      <c r="J24" s="492">
        <f t="shared" si="1"/>
        <v>4513.6900000000023</v>
      </c>
      <c r="K24" s="489">
        <f>+F24+[13]건자재!K24</f>
        <v>353185.14</v>
      </c>
      <c r="L24" s="490">
        <f>+G24+[13]건자재!L24</f>
        <v>378709.89199999999</v>
      </c>
      <c r="M24" s="491">
        <f t="shared" si="2"/>
        <v>25524.751999999979</v>
      </c>
      <c r="N24" s="490">
        <f>+I24+[13]건자재!N24</f>
        <v>355065.34299999999</v>
      </c>
      <c r="O24" s="492">
        <f t="shared" si="3"/>
        <v>23644.548999999999</v>
      </c>
      <c r="P24" s="493"/>
      <c r="Q24" s="493"/>
    </row>
    <row r="25" spans="4:17" ht="25.5" customHeight="1">
      <c r="D25" s="500"/>
      <c r="E25" s="506" t="s">
        <v>169</v>
      </c>
      <c r="F25" s="507">
        <f>+IFERROR(HLOOKUP($F$8,[11]판매4!$G$4:$U$50,31,),)+IFERROR(HLOOKUP($F$8,[11]판매4!$G$4:$U$50,34,),)</f>
        <v>33772.058000000005</v>
      </c>
      <c r="G25" s="508">
        <f>+'[6]4월'!$M$37+'[6]4월'!$M$40</f>
        <v>73221.19</v>
      </c>
      <c r="H25" s="509">
        <f t="shared" si="0"/>
        <v>39449.131999999998</v>
      </c>
      <c r="I25" s="508">
        <f>+IFERROR(HLOOKUP($F$8,[12]월별!$E$2:$T$53,35,),)+IFERROR(HLOOKUP($F$8,[12]월별!$E$2:$T$53,38,),)</f>
        <v>78855.846999999994</v>
      </c>
      <c r="J25" s="510">
        <f t="shared" si="1"/>
        <v>-5634.656999999992</v>
      </c>
      <c r="K25" s="507">
        <f>+F25+[13]건자재!K25</f>
        <v>158894.13199999998</v>
      </c>
      <c r="L25" s="508">
        <f>+G25+[13]건자재!L25</f>
        <v>228032.99799999999</v>
      </c>
      <c r="M25" s="509">
        <f t="shared" si="2"/>
        <v>69138.866000000009</v>
      </c>
      <c r="N25" s="508">
        <f>+I25+[13]건자재!N25</f>
        <v>199112.23599999998</v>
      </c>
      <c r="O25" s="510">
        <f t="shared" si="3"/>
        <v>28920.762000000017</v>
      </c>
      <c r="P25" s="493"/>
      <c r="Q25" s="493"/>
    </row>
    <row r="26" spans="4:17" ht="25.5" customHeight="1">
      <c r="D26" s="494"/>
      <c r="E26" s="515" t="s">
        <v>165</v>
      </c>
      <c r="F26" s="516">
        <f>SUM(F24:F25)</f>
        <v>122862.34800000001</v>
      </c>
      <c r="G26" s="517">
        <f>SUM(G24:G25)</f>
        <v>168015.405</v>
      </c>
      <c r="H26" s="518">
        <f t="shared" si="0"/>
        <v>45153.056999999986</v>
      </c>
      <c r="I26" s="517">
        <f>SUM(I24:I25)</f>
        <v>169136.37199999997</v>
      </c>
      <c r="J26" s="519">
        <f t="shared" si="1"/>
        <v>-1120.9669999999751</v>
      </c>
      <c r="K26" s="516">
        <f>SUM(K24:K25)</f>
        <v>512079.272</v>
      </c>
      <c r="L26" s="517">
        <f>SUM(L24:L25)</f>
        <v>606742.89</v>
      </c>
      <c r="M26" s="518">
        <f t="shared" si="2"/>
        <v>94663.618000000017</v>
      </c>
      <c r="N26" s="517">
        <f>SUM(N24:N25)</f>
        <v>554177.57899999991</v>
      </c>
      <c r="O26" s="519">
        <f t="shared" si="3"/>
        <v>52565.311000000103</v>
      </c>
      <c r="P26" s="493"/>
      <c r="Q26" s="493"/>
    </row>
    <row r="27" spans="4:17" ht="25.5" customHeight="1">
      <c r="D27" s="500" t="s">
        <v>7</v>
      </c>
      <c r="E27" s="531"/>
      <c r="F27" s="502">
        <f>+F22-F26</f>
        <v>205191.8129791182</v>
      </c>
      <c r="G27" s="503">
        <f>+G22-G26</f>
        <v>-271.54599999889615</v>
      </c>
      <c r="H27" s="504">
        <f t="shared" si="0"/>
        <v>-205463.3589791171</v>
      </c>
      <c r="I27" s="503">
        <f>+I22-I26</f>
        <v>-6182.6679999982007</v>
      </c>
      <c r="J27" s="505">
        <f t="shared" si="1"/>
        <v>5911.1219999993045</v>
      </c>
      <c r="K27" s="502">
        <f>+K22-K26</f>
        <v>709068.84780671436</v>
      </c>
      <c r="L27" s="503">
        <f>+L22-L26</f>
        <v>-106582.93200000038</v>
      </c>
      <c r="M27" s="504">
        <f t="shared" si="2"/>
        <v>-815651.77980671474</v>
      </c>
      <c r="N27" s="503">
        <f>+N22-N26</f>
        <v>142584.56800000183</v>
      </c>
      <c r="O27" s="505">
        <f t="shared" si="3"/>
        <v>-249167.50000000221</v>
      </c>
      <c r="P27" s="493"/>
      <c r="Q27" s="493"/>
    </row>
    <row r="28" spans="4:17" ht="25.5" customHeight="1" thickBot="1">
      <c r="D28" s="500"/>
      <c r="E28" s="532" t="s">
        <v>10</v>
      </c>
      <c r="F28" s="533">
        <f>+F27/F14</f>
        <v>1.6894902097118181E-2</v>
      </c>
      <c r="G28" s="534">
        <f>+G27/G14</f>
        <v>-2.6759880478194646E-5</v>
      </c>
      <c r="H28" s="535">
        <f t="shared" si="0"/>
        <v>-1.6921661977596376E-2</v>
      </c>
      <c r="I28" s="534">
        <f>+I27/I14</f>
        <v>-7.0082071221793621E-4</v>
      </c>
      <c r="J28" s="536">
        <f t="shared" si="1"/>
        <v>6.7406083173974151E-4</v>
      </c>
      <c r="K28" s="533">
        <f>+K27/K14</f>
        <v>1.5684447379373165E-2</v>
      </c>
      <c r="L28" s="534">
        <f>+L27/L14</f>
        <v>-2.772719933930589E-3</v>
      </c>
      <c r="M28" s="535">
        <f t="shared" si="2"/>
        <v>-1.8457167313303754E-2</v>
      </c>
      <c r="N28" s="534">
        <f>+N27/N14</f>
        <v>4.4900644873968809E-3</v>
      </c>
      <c r="O28" s="536">
        <f t="shared" si="3"/>
        <v>-7.2627844213274699E-3</v>
      </c>
      <c r="P28" s="493"/>
      <c r="Q28" s="493"/>
    </row>
    <row r="29" spans="4:17" ht="25.5" customHeight="1" thickTop="1">
      <c r="D29" s="772" t="s">
        <v>170</v>
      </c>
      <c r="E29" s="773"/>
      <c r="F29" s="152"/>
      <c r="G29" s="152"/>
      <c r="H29" s="152"/>
      <c r="I29" s="152"/>
      <c r="J29" s="152"/>
      <c r="K29" s="152"/>
      <c r="L29" s="152"/>
      <c r="M29" s="152"/>
      <c r="N29" s="71"/>
      <c r="O29" s="352"/>
      <c r="P29" s="493"/>
      <c r="Q29" s="493"/>
    </row>
    <row r="30" spans="4:17" ht="25.5" customHeight="1">
      <c r="D30" s="774"/>
      <c r="E30" s="775"/>
      <c r="F30" s="152"/>
      <c r="G30" s="152"/>
      <c r="H30" s="152"/>
      <c r="I30" s="152"/>
      <c r="J30" s="152"/>
      <c r="K30" s="152"/>
      <c r="L30" s="152"/>
      <c r="M30" s="152"/>
      <c r="N30" s="71"/>
      <c r="O30" s="352"/>
      <c r="P30" s="493"/>
      <c r="Q30" s="493"/>
    </row>
    <row r="31" spans="4:17" ht="25.5" customHeight="1">
      <c r="D31" s="774"/>
      <c r="E31" s="775"/>
      <c r="F31" s="152"/>
      <c r="G31" s="152"/>
      <c r="H31" s="152"/>
      <c r="I31" s="152"/>
      <c r="J31" s="152"/>
      <c r="K31" s="152"/>
      <c r="L31" s="152"/>
      <c r="M31" s="152"/>
      <c r="N31" s="71"/>
      <c r="O31" s="352"/>
      <c r="P31" s="493"/>
      <c r="Q31" s="493"/>
    </row>
    <row r="32" spans="4:17" ht="25.5" customHeight="1">
      <c r="D32" s="774"/>
      <c r="E32" s="775"/>
      <c r="F32" s="152"/>
      <c r="G32" s="152"/>
      <c r="H32" s="152"/>
      <c r="I32" s="152"/>
      <c r="J32" s="152"/>
      <c r="K32" s="152"/>
      <c r="L32" s="152"/>
      <c r="M32" s="152"/>
      <c r="N32" s="71"/>
      <c r="O32" s="352"/>
      <c r="P32" s="493"/>
      <c r="Q32" s="493"/>
    </row>
    <row r="33" spans="4:46" ht="25.5" customHeight="1">
      <c r="D33" s="774"/>
      <c r="E33" s="775"/>
      <c r="F33" s="152"/>
      <c r="G33" s="152"/>
      <c r="H33" s="152"/>
      <c r="I33" s="152"/>
      <c r="J33" s="152"/>
      <c r="K33" s="152"/>
      <c r="L33" s="152"/>
      <c r="M33" s="152"/>
      <c r="N33" s="71"/>
      <c r="O33" s="352"/>
      <c r="P33" s="493"/>
      <c r="Q33" s="493"/>
    </row>
    <row r="34" spans="4:46" ht="25.5" customHeight="1">
      <c r="D34" s="776"/>
      <c r="E34" s="777"/>
      <c r="F34" s="344"/>
      <c r="G34" s="344"/>
      <c r="H34" s="344"/>
      <c r="I34" s="344"/>
      <c r="J34" s="344"/>
      <c r="K34" s="344"/>
      <c r="L34" s="344"/>
      <c r="M34" s="344"/>
      <c r="N34" s="537"/>
      <c r="O34" s="347"/>
      <c r="R34" s="6" t="s">
        <v>171</v>
      </c>
    </row>
    <row r="35" spans="4:46" ht="21.95" customHeight="1"/>
    <row r="36" spans="4:46" ht="21.95" customHeight="1">
      <c r="F36" s="6">
        <f>+IFERROR(HLOOKUP($F$8,[11]손익!$G$5:$AJ$65,17,),)</f>
        <v>205191.81297911817</v>
      </c>
      <c r="G36" s="6">
        <f>+'[6]4월'!$M$41</f>
        <v>-271.54599999888342</v>
      </c>
      <c r="I36" s="6">
        <f>+IFERROR(HLOOKUP($F$8,[12]월별!$E$2:$T$53,39,),)</f>
        <v>-6182.6679999982007</v>
      </c>
      <c r="R36" s="538"/>
      <c r="S36" s="539" t="s">
        <v>172</v>
      </c>
      <c r="T36" s="539" t="s">
        <v>173</v>
      </c>
      <c r="U36" s="539" t="s">
        <v>174</v>
      </c>
      <c r="V36" s="539" t="s">
        <v>175</v>
      </c>
      <c r="W36" s="539" t="s">
        <v>176</v>
      </c>
      <c r="X36" s="539" t="s">
        <v>177</v>
      </c>
      <c r="Y36" s="539" t="s">
        <v>178</v>
      </c>
      <c r="Z36" s="539" t="s">
        <v>179</v>
      </c>
      <c r="AA36" s="539" t="s">
        <v>180</v>
      </c>
      <c r="AB36" s="539" t="s">
        <v>181</v>
      </c>
      <c r="AC36" s="539" t="s">
        <v>182</v>
      </c>
      <c r="AD36" s="539" t="s">
        <v>127</v>
      </c>
      <c r="AE36" s="539" t="s">
        <v>172</v>
      </c>
      <c r="AF36" s="539" t="s">
        <v>184</v>
      </c>
      <c r="AG36" s="539" t="s">
        <v>185</v>
      </c>
      <c r="AH36" s="539" t="s">
        <v>186</v>
      </c>
      <c r="AI36" s="539" t="s">
        <v>176</v>
      </c>
      <c r="AJ36" s="539" t="s">
        <v>177</v>
      </c>
      <c r="AK36" s="539" t="s">
        <v>178</v>
      </c>
      <c r="AL36" s="539" t="s">
        <v>187</v>
      </c>
      <c r="AM36" s="539" t="s">
        <v>180</v>
      </c>
      <c r="AN36" s="539" t="s">
        <v>181</v>
      </c>
      <c r="AO36" s="539" t="s">
        <v>188</v>
      </c>
      <c r="AP36" s="539" t="s">
        <v>183</v>
      </c>
      <c r="AQ36" s="539" t="s">
        <v>127</v>
      </c>
      <c r="AR36" s="539" t="s">
        <v>208</v>
      </c>
      <c r="AS36" s="539" t="s">
        <v>174</v>
      </c>
      <c r="AT36" s="539" t="s">
        <v>175</v>
      </c>
    </row>
    <row r="37" spans="4:46" ht="21.95" customHeight="1">
      <c r="F37" s="6" t="b">
        <f>+F27=F36</f>
        <v>1</v>
      </c>
      <c r="G37" s="6" t="b">
        <f>+G27=G36</f>
        <v>0</v>
      </c>
      <c r="I37" s="6" t="b">
        <f>+I27=I36</f>
        <v>1</v>
      </c>
      <c r="R37" s="540" t="s">
        <v>189</v>
      </c>
      <c r="S37" s="541" t="s">
        <v>172</v>
      </c>
      <c r="T37" s="541" t="s">
        <v>173</v>
      </c>
      <c r="U37" s="541">
        <v>3</v>
      </c>
      <c r="V37" s="541" t="s">
        <v>175</v>
      </c>
      <c r="W37" s="541" t="s">
        <v>176</v>
      </c>
      <c r="X37" s="541" t="s">
        <v>177</v>
      </c>
      <c r="Y37" s="541" t="s">
        <v>178</v>
      </c>
      <c r="Z37" s="541" t="str">
        <f t="shared" ref="Z37:AQ37" si="4">+Z36</f>
        <v>8월</v>
      </c>
      <c r="AA37" s="541" t="str">
        <f t="shared" si="4"/>
        <v>9월</v>
      </c>
      <c r="AB37" s="541" t="str">
        <f t="shared" si="4"/>
        <v>10월</v>
      </c>
      <c r="AC37" s="541" t="str">
        <f t="shared" si="4"/>
        <v>11월</v>
      </c>
      <c r="AD37" s="541" t="str">
        <f t="shared" si="4"/>
        <v>1월</v>
      </c>
      <c r="AE37" s="541" t="str">
        <f t="shared" si="4"/>
        <v>1월</v>
      </c>
      <c r="AF37" s="541" t="str">
        <f t="shared" si="4"/>
        <v>2월</v>
      </c>
      <c r="AG37" s="541" t="str">
        <f t="shared" si="4"/>
        <v>3월</v>
      </c>
      <c r="AH37" s="541" t="str">
        <f t="shared" si="4"/>
        <v>4월</v>
      </c>
      <c r="AI37" s="541" t="str">
        <f t="shared" si="4"/>
        <v>5월</v>
      </c>
      <c r="AJ37" s="541" t="str">
        <f t="shared" si="4"/>
        <v>6월</v>
      </c>
      <c r="AK37" s="541" t="str">
        <f t="shared" si="4"/>
        <v>7월</v>
      </c>
      <c r="AL37" s="541" t="str">
        <f t="shared" si="4"/>
        <v>8월</v>
      </c>
      <c r="AM37" s="541" t="str">
        <f t="shared" si="4"/>
        <v>9월</v>
      </c>
      <c r="AN37" s="541" t="str">
        <f t="shared" si="4"/>
        <v>10월</v>
      </c>
      <c r="AO37" s="541" t="str">
        <f t="shared" si="4"/>
        <v>11월</v>
      </c>
      <c r="AP37" s="541" t="str">
        <f t="shared" ref="AP37" si="5">+AP36</f>
        <v>12월</v>
      </c>
      <c r="AQ37" s="541" t="str">
        <f t="shared" si="4"/>
        <v>1월</v>
      </c>
      <c r="AR37" s="541" t="str">
        <f t="shared" ref="AR37:AS37" si="6">+AR36</f>
        <v>2월</v>
      </c>
      <c r="AS37" s="541" t="str">
        <f t="shared" si="6"/>
        <v>3월</v>
      </c>
      <c r="AT37" s="541" t="str">
        <f t="shared" ref="AT37" si="7">+AT36</f>
        <v>4월</v>
      </c>
    </row>
    <row r="38" spans="4:46" ht="21.95" customHeight="1">
      <c r="F38" s="542">
        <f>+F27-F36</f>
        <v>0</v>
      </c>
      <c r="G38" s="542">
        <f>+G27-G36</f>
        <v>-1.2732925824820995E-11</v>
      </c>
      <c r="I38" s="542">
        <f>+I27-I36</f>
        <v>0</v>
      </c>
      <c r="K38" s="542"/>
      <c r="L38" s="542"/>
      <c r="N38" s="86"/>
      <c r="R38" s="543" t="s">
        <v>190</v>
      </c>
      <c r="S38" s="362">
        <f>+IFERROR(HLOOKUP(S$36,[12]월별!$E$2:$S$67,42,),)</f>
        <v>920730.85338998202</v>
      </c>
      <c r="T38" s="362">
        <f>+IFERROR(HLOOKUP(T$36,[12]월별!$E$2:$S$67,42,),)</f>
        <v>886130.8859870329</v>
      </c>
      <c r="U38" s="362">
        <f>+IFERROR(HLOOKUP(U$36,[12]월별!$E$2:$S$67,42,),)</f>
        <v>873530.5235919673</v>
      </c>
      <c r="V38" s="362">
        <f>+IFERROR(HLOOKUP(V$36,[12]월별!$E$2:$S$67,42,),)</f>
        <v>853042.90795678552</v>
      </c>
      <c r="W38" s="362">
        <f>+IFERROR(HLOOKUP(W$36,[12]월별!$E$2:$S$67,42,),)</f>
        <v>811389.30758305453</v>
      </c>
      <c r="X38" s="362">
        <f>+IFERROR(HLOOKUP(X$36,[12]월별!$E$2:$S$67,42,),)</f>
        <v>785072.67759542307</v>
      </c>
      <c r="Y38" s="362">
        <f>+IFERROR(HLOOKUP(Y$36,[12]월별!$E$2:$S$67,42,),)</f>
        <v>751049.2097042331</v>
      </c>
      <c r="Z38" s="362">
        <f>+IFERROR(HLOOKUP(Z$36,[12]월별!$E$2:$S$67,42,),)</f>
        <v>846014.52770958561</v>
      </c>
      <c r="AA38" s="362">
        <f>+IFERROR(HLOOKUP(AA$36,[12]월별!$E$2:$S$67,42,),)</f>
        <v>879572.42936012533</v>
      </c>
      <c r="AB38" s="362">
        <f>+IFERROR(HLOOKUP(AB$36,[12]월별!$E$2:$S$67,42,),)</f>
        <v>818946.47731031897</v>
      </c>
      <c r="AC38" s="362">
        <f>+IFERROR(HLOOKUP(AC$36,[12]월별!$E$2:$S$67,42,),)</f>
        <v>798803.69146262086</v>
      </c>
      <c r="AD38" s="362">
        <f>+IFERROR(HLOOKUP(AD$36,[12]월별!$E$2:$S$67,42,),)</f>
        <v>920730.85338998202</v>
      </c>
      <c r="AE38" s="362">
        <f>+IFERROR(HLOOKUP(AE$36,[12]월별!$E$2:$S$67,42,),)</f>
        <v>920730.85338998202</v>
      </c>
      <c r="AF38" s="362">
        <f>+IFERROR(HLOOKUP(AF$36,[12]월별!$E$2:$S$67,42,),)</f>
        <v>886130.8859870329</v>
      </c>
      <c r="AG38" s="362">
        <f>+IFERROR(HLOOKUP(AG$36,[12]월별!$E$2:$S$67,42,),)</f>
        <v>873530.5235919673</v>
      </c>
      <c r="AH38" s="362">
        <f>+IFERROR(HLOOKUP(AH$36,[12]월별!$E$2:$S$67,42,),)</f>
        <v>853042.90795678552</v>
      </c>
      <c r="AI38" s="362">
        <f>+IFERROR(HLOOKUP(AI$36,[12]월별!$E$2:$S$67,42,),)</f>
        <v>811389.30758305453</v>
      </c>
      <c r="AJ38" s="362">
        <f>+IFERROR(HLOOKUP(AJ$36,[12]월별!$E$2:$S$67,42,),)</f>
        <v>785072.67759542307</v>
      </c>
      <c r="AK38" s="362">
        <f>+IFERROR(HLOOKUP(AK$36,[12]월별!$E$2:$S$67,42,),)</f>
        <v>751049.2097042331</v>
      </c>
      <c r="AL38" s="362">
        <f>+IFERROR(HLOOKUP(AL$36,[12]월별!$E$2:$S$67,42,),)</f>
        <v>846014.52770958561</v>
      </c>
      <c r="AM38" s="362">
        <f>+IFERROR(HLOOKUP(AM$36,[12]월별!$E$2:$S$67,42,),)</f>
        <v>879572.42936012533</v>
      </c>
      <c r="AN38" s="362">
        <f>+IFERROR(HLOOKUP(AN$36,[12]월별!$E$2:$S$67,42,),)</f>
        <v>818946.47731031897</v>
      </c>
      <c r="AO38" s="362">
        <f>+IFERROR(HLOOKUP(AO$36,[12]월별!$E$2:$S$67,42,),)</f>
        <v>798803.69146262086</v>
      </c>
      <c r="AP38" s="362">
        <f>+IFERROR(HLOOKUP(AP$36,[12]월별!$E$2:$S$67,42,),)</f>
        <v>752238.01942182856</v>
      </c>
      <c r="AQ38" s="362">
        <f>+IFERROR(HLOOKUP(AQ$36,[6]월별!$E$2:$S$67,43,),)</f>
        <v>756420.01123690419</v>
      </c>
      <c r="AR38" s="362">
        <f>+IFERROR(HLOOKUP(AR$36,[6]월별!$E$2:$S$67,43,),)</f>
        <v>744684.72993482568</v>
      </c>
      <c r="AS38" s="362">
        <f>+IFERROR(HLOOKUP(AS$36,[6]월별!$E$2:$S$67,43,),)</f>
        <v>736140.83983969816</v>
      </c>
      <c r="AT38" s="362">
        <f>+IFERROR(HLOOKUP(AT$36,[6]월별!$E$2:$S$67,43,),)</f>
        <v>800210.93236806407</v>
      </c>
    </row>
    <row r="39" spans="4:46" ht="21.95" customHeight="1">
      <c r="R39" s="544" t="s">
        <v>191</v>
      </c>
      <c r="S39" s="545">
        <f>+IFERROR(HLOOKUP(S$36,[12]월별!$E$2:$S$67,43,),)</f>
        <v>0</v>
      </c>
      <c r="T39" s="545">
        <f>+IFERROR(HLOOKUP(T$36,[12]월별!$E$2:$S$67,43,),)</f>
        <v>0</v>
      </c>
      <c r="U39" s="545">
        <f>+IFERROR(HLOOKUP(U$36,[12]월별!$E$2:$S$67,43,),)</f>
        <v>0</v>
      </c>
      <c r="V39" s="545">
        <f>+IFERROR(HLOOKUP(V$36,[12]월별!$E$2:$S$67,43,),)</f>
        <v>0</v>
      </c>
      <c r="W39" s="545">
        <f>+IFERROR(HLOOKUP(W$36,[12]월별!$E$2:$S$67,43,),)</f>
        <v>0</v>
      </c>
      <c r="X39" s="545">
        <f>+IFERROR(HLOOKUP(X$36,[12]월별!$E$2:$S$67,43,),)</f>
        <v>0</v>
      </c>
      <c r="Y39" s="545">
        <f>+IFERROR(HLOOKUP(Y$36,[12]월별!$E$2:$S$67,43,),)</f>
        <v>0</v>
      </c>
      <c r="Z39" s="545">
        <f>+IFERROR(HLOOKUP(Z$36,[12]월별!$E$2:$S$67,43,),)</f>
        <v>0</v>
      </c>
      <c r="AA39" s="545">
        <f>+IFERROR(HLOOKUP(AA$36,[12]월별!$E$2:$S$67,43,),)</f>
        <v>0</v>
      </c>
      <c r="AB39" s="545">
        <f>+IFERROR(HLOOKUP(AB$36,[12]월별!$E$2:$S$67,43,),)</f>
        <v>0</v>
      </c>
      <c r="AC39" s="545">
        <f>+IFERROR(HLOOKUP(AC$36,[12]월별!$E$2:$S$67,43,),)</f>
        <v>0</v>
      </c>
      <c r="AD39" s="545">
        <f>+IFERROR(HLOOKUP(AD$36,[12]월별!$E$2:$S$67,43,),)</f>
        <v>0</v>
      </c>
      <c r="AE39" s="545">
        <f>+IFERROR(HLOOKUP(AE$36,[12]월별!$E$2:$S$67,51,),)</f>
        <v>2.7823178707229314E-2</v>
      </c>
      <c r="AF39" s="545">
        <f>+IFERROR(HLOOKUP(AF$36,[12]월별!$E$2:$S$67,51,),)</f>
        <v>2.7130154457106714E-2</v>
      </c>
      <c r="AG39" s="545">
        <f>+IFERROR(HLOOKUP(AG$36,[12]월별!$E$2:$S$67,51,),)</f>
        <v>1.8797000201944851E-2</v>
      </c>
      <c r="AH39" s="545">
        <f>+IFERROR(HLOOKUP(AH$36,[12]월별!$E$2:$S$67,51,),)</f>
        <v>1.8146921038230335E-2</v>
      </c>
      <c r="AI39" s="545">
        <f>+IFERROR(HLOOKUP(AI$36,[12]월별!$E$2:$S$67,51,),)</f>
        <v>2.5679335587291203E-2</v>
      </c>
      <c r="AJ39" s="545">
        <f>+IFERROR(HLOOKUP(AJ$36,[12]월별!$E$2:$S$67,51,),)</f>
        <v>3.7059976070507129E-2</v>
      </c>
      <c r="AK39" s="545">
        <f>+IFERROR(HLOOKUP(AK$36,[12]월별!$E$2:$S$67,51,),)</f>
        <v>8.2866316338170258E-3</v>
      </c>
      <c r="AL39" s="545">
        <f>+IFERROR(HLOOKUP(AL$36,[12]월별!$E$2:$S$67,51,),)</f>
        <v>1.8929258347069412E-2</v>
      </c>
      <c r="AM39" s="545">
        <f>+IFERROR(HLOOKUP(AM$36,[12]월별!$E$2:$S$67,51,),)</f>
        <v>1.7296509360740942E-2</v>
      </c>
      <c r="AN39" s="545">
        <f>+IFERROR(HLOOKUP(AN$36,[12]월별!$E$2:$S$67,51,),)</f>
        <v>2.3542137855523892E-2</v>
      </c>
      <c r="AO39" s="545">
        <f>+IFERROR(HLOOKUP(AO$36,[12]월별!$E$2:$S$67,51,),)</f>
        <v>2.3726716491380119E-2</v>
      </c>
      <c r="AP39" s="545">
        <f>+IFERROR(HLOOKUP(AP$36,[12]월별!$E$2:$S$67,51,),)</f>
        <v>1.4154492203434744E-2</v>
      </c>
      <c r="AQ39" s="545">
        <f>+IFERROR(HLOOKUP(AQ$36,[6]월별!$E$2:$S$67,49,),)</f>
        <v>1.7727214453804725E-2</v>
      </c>
      <c r="AR39" s="545">
        <f>+IFERROR(HLOOKUP(AR$36,[6]월별!$E$2:$S$67,49,),)</f>
        <v>1.5585145342365754E-2</v>
      </c>
      <c r="AS39" s="545">
        <f>+IFERROR(HLOOKUP(AS$36,[6]월별!$E$2:$S$67,49,),)</f>
        <v>1.4844907762880278E-3</v>
      </c>
      <c r="AT39" s="545">
        <f>+IFERROR(HLOOKUP(AT$36,[6]월별!$E$2:$S$67,49,),)</f>
        <v>1.4249312193258659E-2</v>
      </c>
    </row>
    <row r="40" spans="4:46" ht="21.95" customHeight="1"/>
    <row r="41" spans="4:46" ht="21.95" customHeight="1"/>
    <row r="42" spans="4:46" ht="21.95" customHeight="1"/>
    <row r="43" spans="4:46" ht="21.95" customHeight="1"/>
    <row r="44" spans="4:46" ht="21.95" customHeight="1"/>
    <row r="45" spans="4:46" ht="21.95" customHeight="1"/>
    <row r="46" spans="4:46" ht="21.95" customHeight="1"/>
    <row r="47" spans="4:46" ht="21.95" customHeight="1"/>
    <row r="48" spans="4:46" ht="21.95" customHeight="1"/>
    <row r="49" ht="21.95" customHeight="1"/>
    <row r="50" ht="21.95" customHeight="1"/>
    <row r="51" ht="21.95" customHeight="1"/>
    <row r="52" ht="21.95" customHeight="1"/>
    <row r="53" ht="21.95" customHeight="1"/>
    <row r="54" ht="21.95" customHeight="1"/>
    <row r="55" ht="21.95" customHeight="1"/>
  </sheetData>
  <mergeCells count="4">
    <mergeCell ref="D8:E9"/>
    <mergeCell ref="F8:J8"/>
    <mergeCell ref="K8:O8"/>
    <mergeCell ref="D29:E34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71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247E0-05C7-4A89-AA8B-ED579709C73D}">
  <sheetPr>
    <tabColor theme="0" tint="-0.249977111117893"/>
    <pageSetUpPr fitToPage="1"/>
  </sheetPr>
  <dimension ref="A1:AZ53"/>
  <sheetViews>
    <sheetView showGridLines="0" showZeros="0" zoomScale="70" zoomScaleNormal="70" zoomScaleSheetLayoutView="40" workbookViewId="0">
      <pane xSplit="6" ySplit="7" topLeftCell="Y8" activePane="bottomRight" state="frozen"/>
      <selection activeCell="AY23" sqref="AY23"/>
      <selection pane="topRight" activeCell="AY23" sqref="AY23"/>
      <selection pane="bottomLeft" activeCell="AY23" sqref="AY23"/>
      <selection pane="bottomRight" activeCell="AY23" sqref="AY23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2" ht="22.5" customHeight="1">
      <c r="A1" s="546" t="s">
        <v>175</v>
      </c>
      <c r="AN1" s="6" t="s">
        <v>207</v>
      </c>
    </row>
    <row r="2" spans="1:52" ht="9.75" customHeight="1">
      <c r="AL2" s="6" t="s">
        <v>215</v>
      </c>
      <c r="AO2" s="6" t="s">
        <v>216</v>
      </c>
    </row>
    <row r="3" spans="1:52" ht="9.9499999999999993" customHeight="1"/>
    <row r="4" spans="1:52" ht="31.5">
      <c r="D4" s="398" t="s">
        <v>241</v>
      </c>
      <c r="F4" s="398"/>
      <c r="I4" s="398"/>
    </row>
    <row r="5" spans="1:52" ht="21.95" customHeight="1" thickBot="1">
      <c r="J5" s="479"/>
      <c r="AK5" s="479"/>
      <c r="AT5" s="479"/>
      <c r="AV5" s="397" t="s">
        <v>192</v>
      </c>
    </row>
    <row r="6" spans="1:52" ht="24" customHeight="1" thickTop="1">
      <c r="D6" s="547" t="s">
        <v>12</v>
      </c>
      <c r="E6" s="778" t="s">
        <v>11</v>
      </c>
      <c r="F6" s="779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2" ht="24" customHeight="1">
      <c r="D7" s="555"/>
      <c r="E7" s="780"/>
      <c r="F7" s="781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2" ht="28.5" customHeight="1">
      <c r="D8" s="493"/>
      <c r="E8" s="563" t="s">
        <v>89</v>
      </c>
      <c r="F8" s="564" t="s">
        <v>197</v>
      </c>
      <c r="G8" s="565">
        <f>+IFERROR(HLOOKUP($A$1,[14]물량!$G$5:$R$83,59,),)</f>
        <v>25419.693066666667</v>
      </c>
      <c r="H8" s="566">
        <f>+'[7]서부산크라샤(당월)'!$F$66</f>
        <v>10696</v>
      </c>
      <c r="I8" s="567">
        <f>H8-G8</f>
        <v>-14723.693066666667</v>
      </c>
      <c r="J8" s="568">
        <f>+IFERROR(HLOOKUP($A$1,[14]물량!$G$5:$R$83,62,),)</f>
        <v>17628.551612903226</v>
      </c>
      <c r="K8" s="566">
        <f>+'[7]서부산크라샤(당월)'!$I$66</f>
        <v>3832</v>
      </c>
      <c r="L8" s="569">
        <f>K8-J8</f>
        <v>-13796.551612903226</v>
      </c>
      <c r="M8" s="568">
        <f>+IFERROR(HLOOKUP($A$1,[14]물량!$G$5:$R$83,68,),)</f>
        <v>0</v>
      </c>
      <c r="N8" s="566">
        <f>+'[7]서부산크라샤(당월)'!$L$66</f>
        <v>0</v>
      </c>
      <c r="O8" s="569">
        <f>N8-M8</f>
        <v>0</v>
      </c>
      <c r="P8" s="568"/>
      <c r="Q8" s="566">
        <f>+'[7]서부산크라샤(당월)'!$U$66</f>
        <v>0</v>
      </c>
      <c r="R8" s="569">
        <f>Q8-P8</f>
        <v>0</v>
      </c>
      <c r="S8" s="568"/>
      <c r="T8" s="566">
        <f>+'[7]서부산크라샤(당월)'!$R$66</f>
        <v>0</v>
      </c>
      <c r="U8" s="569">
        <f>T8-S8</f>
        <v>0</v>
      </c>
      <c r="V8" s="570">
        <f>+G8+J8+M8+P8+S8</f>
        <v>43048.244679569892</v>
      </c>
      <c r="W8" s="566">
        <f>+H8+K8+N8+Q8+T8</f>
        <v>14528</v>
      </c>
      <c r="X8" s="571">
        <f>W8-V8</f>
        <v>-28520.244679569892</v>
      </c>
      <c r="Y8" s="565">
        <f>+IFERROR(HLOOKUP($A$1,[15]물량!$G$5:$R$109,59,),)</f>
        <v>0.1</v>
      </c>
      <c r="Z8" s="566">
        <f>+'[7]부산크라샤(당월)'!$F$66</f>
        <v>7000</v>
      </c>
      <c r="AA8" s="567">
        <f>Z8-Y8</f>
        <v>6999.9</v>
      </c>
      <c r="AB8" s="568">
        <f>+IFERROR(HLOOKUP($A$1,[15]물량!$G$5:$R$109,62,),)</f>
        <v>0</v>
      </c>
      <c r="AC8" s="566">
        <f>+'[7]부산크라샤(당월)'!$I$66</f>
        <v>7616</v>
      </c>
      <c r="AD8" s="569">
        <f>AC8-AB8</f>
        <v>7616</v>
      </c>
      <c r="AE8" s="568"/>
      <c r="AF8" s="566">
        <f>+'[7]부산크라샤(당월)'!$L$66</f>
        <v>0</v>
      </c>
      <c r="AG8" s="569">
        <f>AF8-AE8</f>
        <v>0</v>
      </c>
      <c r="AH8" s="570">
        <f>+Y8+AB8+AE8</f>
        <v>0.1</v>
      </c>
      <c r="AI8" s="566">
        <f>+Z8+AC8+AF8</f>
        <v>14616</v>
      </c>
      <c r="AJ8" s="571">
        <f>AI8-AH8</f>
        <v>14615.9</v>
      </c>
      <c r="AK8" s="569">
        <f>+IFERROR(HLOOKUP($A$1,[16]판매계획!$G$6:$R$92,7,),)</f>
        <v>5116.1584147817566</v>
      </c>
      <c r="AL8" s="566">
        <f>+'[17]부산모래장(손익)'!$E$38</f>
        <v>300</v>
      </c>
      <c r="AM8" s="698">
        <f>AL8-AK8</f>
        <v>-4816.1584147817566</v>
      </c>
      <c r="AN8" s="569">
        <f>+IFERROR(HLOOKUP($A$1,[16]판매계획!$G$6:$R$92,8,),)</f>
        <v>5830.0699300699307</v>
      </c>
      <c r="AO8" s="566">
        <f>+IFERROR(HLOOKUP($AN$6,'[17]부산모래장(손익)'!$C$35:$K$53,4,),)</f>
        <v>13447</v>
      </c>
      <c r="AP8" s="569">
        <f>AO8-AN8</f>
        <v>7616.9300699300693</v>
      </c>
      <c r="AQ8" s="570">
        <f>AK8+AN8</f>
        <v>10946.228344851686</v>
      </c>
      <c r="AR8" s="566">
        <f>AL8+AO8</f>
        <v>13747</v>
      </c>
      <c r="AS8" s="571">
        <f>AR8-AQ8</f>
        <v>2800.7716551483136</v>
      </c>
      <c r="AT8" s="570">
        <f>+V8+AH8+AQ8</f>
        <v>53994.573024421581</v>
      </c>
      <c r="AU8" s="566">
        <f>+W8+AI8+AR8</f>
        <v>42891</v>
      </c>
      <c r="AV8" s="571">
        <f>AU8-AT8</f>
        <v>-11103.573024421581</v>
      </c>
    </row>
    <row r="9" spans="1:52" ht="28.5" customHeight="1">
      <c r="D9" s="493"/>
      <c r="E9" s="572"/>
      <c r="F9" s="573" t="s">
        <v>10</v>
      </c>
      <c r="G9" s="574">
        <f>+G8/G$12</f>
        <v>0.69796560394223051</v>
      </c>
      <c r="H9" s="575">
        <f>+H8/H$12</f>
        <v>0.86761842959117452</v>
      </c>
      <c r="I9" s="576">
        <f>+H9-G9</f>
        <v>0.16965282564894402</v>
      </c>
      <c r="J9" s="577">
        <f>+J8/J$12</f>
        <v>0.71577703350071931</v>
      </c>
      <c r="K9" s="575">
        <f>+K8/K$12</f>
        <v>1</v>
      </c>
      <c r="L9" s="578">
        <f>+K9-J9</f>
        <v>0.28422296649928069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0.64204879464483611</v>
      </c>
      <c r="W9" s="575">
        <f>+W8/W$12</f>
        <v>0.63719298245614031</v>
      </c>
      <c r="X9" s="580">
        <f>+W9-V9</f>
        <v>-4.8558121886957961E-3</v>
      </c>
      <c r="Y9" s="574">
        <f>+Y8/Y$12</f>
        <v>1</v>
      </c>
      <c r="Z9" s="575">
        <f>+Z8/Z$12</f>
        <v>1</v>
      </c>
      <c r="AA9" s="576">
        <f>+Z9-Y9</f>
        <v>0</v>
      </c>
      <c r="AB9" s="577" t="e">
        <f>+AB8/AB$12</f>
        <v>#DIV/0!</v>
      </c>
      <c r="AC9" s="575">
        <f>+AC8/AC$12</f>
        <v>0.89642184557438798</v>
      </c>
      <c r="AD9" s="578" t="e">
        <f>+AC9-AB9</f>
        <v>#DIV/0!</v>
      </c>
      <c r="AE9" s="577" t="e">
        <f>+AE8/AE$12</f>
        <v>#DIV/0!</v>
      </c>
      <c r="AF9" s="575" t="e">
        <f>+AF8/AF$12</f>
        <v>#DIV/0!</v>
      </c>
      <c r="AG9" s="578" t="e">
        <f>+AF9-AE9</f>
        <v>#DIV/0!</v>
      </c>
      <c r="AH9" s="579">
        <f>+AH8/AH$12</f>
        <v>1</v>
      </c>
      <c r="AI9" s="575">
        <f>+AI8/AI$12</f>
        <v>0.94321115126484256</v>
      </c>
      <c r="AJ9" s="580">
        <f>+AI9-AH9</f>
        <v>-5.6788848735157438E-2</v>
      </c>
      <c r="AK9" s="578">
        <f>+AK8/AK$12</f>
        <v>0.71894948321476659</v>
      </c>
      <c r="AL9" s="575">
        <f>IFERROR(AL8/AL$12,)</f>
        <v>1</v>
      </c>
      <c r="AM9" s="699">
        <f>+AL9-AK9</f>
        <v>0.28105051678523341</v>
      </c>
      <c r="AN9" s="578">
        <f>+AN8/AN$12</f>
        <v>0.53832246400206629</v>
      </c>
      <c r="AO9" s="575">
        <f>+AO8/AO$12</f>
        <v>0.53554502369668244</v>
      </c>
      <c r="AP9" s="578">
        <f>+AO9-AN9</f>
        <v>-2.7774403053838492E-3</v>
      </c>
      <c r="AQ9" s="579">
        <f>+AQ8/AQ$12</f>
        <v>0.60994589696011969</v>
      </c>
      <c r="AR9" s="575">
        <f>+AR8/AR$12</f>
        <v>0.5410287693337007</v>
      </c>
      <c r="AS9" s="580">
        <f>+AR9-AQ9</f>
        <v>-6.8917127626418995E-2</v>
      </c>
      <c r="AT9" s="579">
        <f>+AT8/AT$12</f>
        <v>0.63527083086713387</v>
      </c>
      <c r="AU9" s="575">
        <f>+AU8/AU$12</f>
        <v>0.67327525311984926</v>
      </c>
      <c r="AV9" s="580">
        <f>+AU9-AT9</f>
        <v>3.8004422252715386E-2</v>
      </c>
    </row>
    <row r="10" spans="1:52" ht="28.5" customHeight="1">
      <c r="D10" s="581"/>
      <c r="E10" s="572"/>
      <c r="F10" s="582" t="s">
        <v>198</v>
      </c>
      <c r="G10" s="583">
        <f>+IFERROR(HLOOKUP($A$1,[14]물량!$G$5:$R$83,60,),)</f>
        <v>11000</v>
      </c>
      <c r="H10" s="584">
        <f>+'[7]서부산크라샤(당월)'!$F$59</f>
        <v>1632</v>
      </c>
      <c r="I10" s="585">
        <f>H10-G10</f>
        <v>-9368</v>
      </c>
      <c r="J10" s="586">
        <f>+IFERROR(HLOOKUP($A$1,[14]물량!$G$5:$R$83,63,),)</f>
        <v>7000</v>
      </c>
      <c r="K10" s="584">
        <f>+'[7]서부산크라샤(당월)'!$I$59</f>
        <v>0</v>
      </c>
      <c r="L10" s="587">
        <f>K10-J10</f>
        <v>-7000</v>
      </c>
      <c r="M10" s="586">
        <f>+IFERROR(HLOOKUP($A$1,[14]물량!$G$5:$R$83,69,),)</f>
        <v>6000</v>
      </c>
      <c r="N10" s="584">
        <f>+'[7]서부산크라샤(당월)'!$L$59</f>
        <v>4848</v>
      </c>
      <c r="O10" s="587">
        <f>N10-M10</f>
        <v>-1152</v>
      </c>
      <c r="P10" s="586"/>
      <c r="Q10" s="584">
        <f>+'[7]서부산크라샤(당월)'!$U$59</f>
        <v>896</v>
      </c>
      <c r="R10" s="587">
        <f>Q10-P10</f>
        <v>896</v>
      </c>
      <c r="S10" s="586"/>
      <c r="T10" s="584">
        <f>+'[7]서부산크라샤(당월)'!$R$59</f>
        <v>896</v>
      </c>
      <c r="U10" s="587">
        <f>T10-S10</f>
        <v>896</v>
      </c>
      <c r="V10" s="588">
        <f>+G10+J10+M10+P10+S10</f>
        <v>24000</v>
      </c>
      <c r="W10" s="584">
        <f>+H10+K10+N10+Q10+T10</f>
        <v>8272</v>
      </c>
      <c r="X10" s="589">
        <f>W10-V10</f>
        <v>-15728</v>
      </c>
      <c r="Y10" s="583">
        <f>+IFERROR(HLOOKUP($A$1,[15]물량!$G$5:$R$109,60,),)</f>
        <v>0</v>
      </c>
      <c r="Z10" s="584">
        <f>+'[7]부산크라샤(당월)'!$F$59</f>
        <v>0</v>
      </c>
      <c r="AA10" s="585">
        <f>Z10-Y10</f>
        <v>0</v>
      </c>
      <c r="AB10" s="586">
        <f>+IFERROR(HLOOKUP($A$1,[15]물량!$G$5:$R$109,63,),)</f>
        <v>0</v>
      </c>
      <c r="AC10" s="584">
        <f>+'[7]부산크라샤(당월)'!$I$59</f>
        <v>880</v>
      </c>
      <c r="AD10" s="587">
        <f>AC10-AB10</f>
        <v>880</v>
      </c>
      <c r="AE10" s="586">
        <f>+IFERROR(HLOOKUP($A$1,[15]물량!$G$5:$R$109,66,),)</f>
        <v>0</v>
      </c>
      <c r="AF10" s="584">
        <f>+'[7]부산크라샤(당월)'!$L$59</f>
        <v>0</v>
      </c>
      <c r="AG10" s="587">
        <f>AF10-AE10</f>
        <v>0</v>
      </c>
      <c r="AH10" s="588">
        <f>+Y10+AB10+AE10</f>
        <v>0</v>
      </c>
      <c r="AI10" s="584">
        <f>+Z10+AC10+AF10</f>
        <v>880</v>
      </c>
      <c r="AJ10" s="589">
        <f>AI10-AH10</f>
        <v>880</v>
      </c>
      <c r="AK10" s="587">
        <f>+IFERROR(HLOOKUP($A$1,[16]판매계획!$G$6:$R$92,2,),)</f>
        <v>2000</v>
      </c>
      <c r="AL10" s="584">
        <f>+'[17]부산모래장(손익)'!$E$37</f>
        <v>0</v>
      </c>
      <c r="AM10" s="700">
        <f>AL10-AK10</f>
        <v>-2000</v>
      </c>
      <c r="AN10" s="587">
        <f>+IFERROR(HLOOKUP($A$1,[16]판매계획!$G$6:$R$92,3,),)</f>
        <v>5000</v>
      </c>
      <c r="AO10" s="584">
        <f>+IFERROR(HLOOKUP($AN$6,'[17]부산모래장(손익)'!$C$35:$K$53,3,),)</f>
        <v>11662</v>
      </c>
      <c r="AP10" s="587">
        <f>AO10-AN10</f>
        <v>6662</v>
      </c>
      <c r="AQ10" s="588">
        <f>AK10+AN10</f>
        <v>7000</v>
      </c>
      <c r="AR10" s="584">
        <f>AL10+AO10</f>
        <v>11662</v>
      </c>
      <c r="AS10" s="589">
        <f>AR10-AQ10</f>
        <v>4662</v>
      </c>
      <c r="AT10" s="588">
        <f>+V10+AH10+AQ10</f>
        <v>31000</v>
      </c>
      <c r="AU10" s="584">
        <f>+W10+AI10+AR10</f>
        <v>20814</v>
      </c>
      <c r="AV10" s="589">
        <f>AU10-AT10</f>
        <v>-10186</v>
      </c>
    </row>
    <row r="11" spans="1:52" ht="28.5" customHeight="1">
      <c r="D11" s="581"/>
      <c r="E11" s="590"/>
      <c r="F11" s="591" t="s">
        <v>10</v>
      </c>
      <c r="G11" s="592">
        <f>+G10/G$12</f>
        <v>0.30203439605776944</v>
      </c>
      <c r="H11" s="593">
        <f>+H10/H$12</f>
        <v>0.13238157040882545</v>
      </c>
      <c r="I11" s="594">
        <f>+H11-G11</f>
        <v>-0.16965282564894399</v>
      </c>
      <c r="J11" s="595">
        <f>+J10/J$12</f>
        <v>0.28422296649928075</v>
      </c>
      <c r="K11" s="593">
        <f>+K10/K$12</f>
        <v>0</v>
      </c>
      <c r="L11" s="596">
        <f>+K11-J11</f>
        <v>-0.28422296649928075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0.35795120535516395</v>
      </c>
      <c r="W11" s="593">
        <f>+W10/W$12</f>
        <v>0.36280701754385963</v>
      </c>
      <c r="X11" s="598">
        <f>+W11-V11</f>
        <v>4.8558121886956851E-3</v>
      </c>
      <c r="Y11" s="592">
        <f>+Y10/Y$12</f>
        <v>0</v>
      </c>
      <c r="Z11" s="593">
        <f>+Z10/Z$12</f>
        <v>0</v>
      </c>
      <c r="AA11" s="594">
        <f>+Z11-Y11</f>
        <v>0</v>
      </c>
      <c r="AB11" s="595" t="e">
        <f>+AB10/AB$12</f>
        <v>#DIV/0!</v>
      </c>
      <c r="AC11" s="593">
        <f>+AC10/AC$12</f>
        <v>0.10357815442561205</v>
      </c>
      <c r="AD11" s="596" t="e">
        <f>+AC11-AB11</f>
        <v>#DIV/0!</v>
      </c>
      <c r="AE11" s="595" t="e">
        <f>+AE10/AE$12</f>
        <v>#DIV/0!</v>
      </c>
      <c r="AF11" s="593" t="e">
        <f>+AF10/AF$12</f>
        <v>#DIV/0!</v>
      </c>
      <c r="AG11" s="596" t="e">
        <f>+AF11-AE11</f>
        <v>#DIV/0!</v>
      </c>
      <c r="AH11" s="597">
        <f>+AH10/AH$12</f>
        <v>0</v>
      </c>
      <c r="AI11" s="593">
        <f>+AI10/AI$12</f>
        <v>5.6788848735157459E-2</v>
      </c>
      <c r="AJ11" s="598">
        <f>+AI11-AH11</f>
        <v>5.6788848735157459E-2</v>
      </c>
      <c r="AK11" s="596">
        <f>+AK10/AK$12</f>
        <v>0.28105051678523341</v>
      </c>
      <c r="AL11" s="593">
        <f>IFERROR(AL10/AL$12,)</f>
        <v>0</v>
      </c>
      <c r="AM11" s="701">
        <f>+AL11-AK11</f>
        <v>-0.28105051678523341</v>
      </c>
      <c r="AN11" s="596">
        <f>+AN10/AN$12</f>
        <v>0.46167753599793371</v>
      </c>
      <c r="AO11" s="593">
        <f>+AO10/AO$12</f>
        <v>0.46445497630331756</v>
      </c>
      <c r="AP11" s="596">
        <f>+AO11-AN11</f>
        <v>2.7774403053838492E-3</v>
      </c>
      <c r="AQ11" s="597">
        <f>+AQ10/AQ$12</f>
        <v>0.39005410303988031</v>
      </c>
      <c r="AR11" s="593">
        <f>+AR10/AR$12</f>
        <v>0.45897123066629936</v>
      </c>
      <c r="AS11" s="598">
        <f>+AR11-AQ11</f>
        <v>6.891712762641905E-2</v>
      </c>
      <c r="AT11" s="597">
        <f>+AT10/AT$12</f>
        <v>0.36472916913286613</v>
      </c>
      <c r="AU11" s="593">
        <f>+AU10/AU$12</f>
        <v>0.32672474688015068</v>
      </c>
      <c r="AV11" s="598">
        <f>+AU11-AT11</f>
        <v>-3.8004422252715442E-2</v>
      </c>
    </row>
    <row r="12" spans="1:52" ht="28.5" customHeight="1">
      <c r="D12" s="581"/>
      <c r="E12" s="599"/>
      <c r="F12" s="600" t="s">
        <v>166</v>
      </c>
      <c r="G12" s="601">
        <f>G8+G10</f>
        <v>36419.693066666667</v>
      </c>
      <c r="H12" s="602">
        <f>H8+H10</f>
        <v>12328</v>
      </c>
      <c r="I12" s="603">
        <f t="shared" ref="I12:I32" si="0">H12-G12</f>
        <v>-24091.693066666667</v>
      </c>
      <c r="J12" s="604">
        <f>J8+J10</f>
        <v>24628.551612903226</v>
      </c>
      <c r="K12" s="602">
        <f>K8+K10</f>
        <v>3832</v>
      </c>
      <c r="L12" s="605">
        <f t="shared" ref="L12:L32" si="1">K12-J12</f>
        <v>-20796.551612903226</v>
      </c>
      <c r="M12" s="604">
        <f>M8+M10</f>
        <v>6000</v>
      </c>
      <c r="N12" s="602">
        <f>N8+N10</f>
        <v>4848</v>
      </c>
      <c r="O12" s="605">
        <f t="shared" ref="O12:O32" si="2">N12-M12</f>
        <v>-1152</v>
      </c>
      <c r="P12" s="604"/>
      <c r="Q12" s="602">
        <f>Q8+Q10</f>
        <v>896</v>
      </c>
      <c r="R12" s="605">
        <f t="shared" ref="R12:R32" si="3">Q12-P12</f>
        <v>896</v>
      </c>
      <c r="S12" s="604"/>
      <c r="T12" s="602">
        <f>T8+T10</f>
        <v>896</v>
      </c>
      <c r="U12" s="605">
        <f t="shared" ref="U12:U32" si="4">T12-S12</f>
        <v>896</v>
      </c>
      <c r="V12" s="606">
        <f>V8+V10</f>
        <v>67048.244679569892</v>
      </c>
      <c r="W12" s="602">
        <f>W8+W10</f>
        <v>22800</v>
      </c>
      <c r="X12" s="607">
        <f t="shared" ref="X12:X32" si="5">W12-V12</f>
        <v>-44248.244679569892</v>
      </c>
      <c r="Y12" s="601">
        <f>Y8+Y10</f>
        <v>0.1</v>
      </c>
      <c r="Z12" s="602">
        <f>Z8+Z10</f>
        <v>7000</v>
      </c>
      <c r="AA12" s="603">
        <f t="shared" ref="AA12:AA32" si="6">Z12-Y12</f>
        <v>6999.9</v>
      </c>
      <c r="AB12" s="604">
        <f>AB8+AB10</f>
        <v>0</v>
      </c>
      <c r="AC12" s="602">
        <f>AC8+AC10</f>
        <v>8496</v>
      </c>
      <c r="AD12" s="605">
        <f t="shared" ref="AD12:AD32" si="7">AC12-AB12</f>
        <v>8496</v>
      </c>
      <c r="AE12" s="604">
        <f>AE8+AE10</f>
        <v>0</v>
      </c>
      <c r="AF12" s="602">
        <f>AF8+AF10</f>
        <v>0</v>
      </c>
      <c r="AG12" s="605">
        <f t="shared" ref="AG12:AG32" si="8">AF12-AE12</f>
        <v>0</v>
      </c>
      <c r="AH12" s="606">
        <f>AH8+AH10</f>
        <v>0.1</v>
      </c>
      <c r="AI12" s="602">
        <f>AI8+AI10</f>
        <v>15496</v>
      </c>
      <c r="AJ12" s="607">
        <f t="shared" ref="AJ12:AJ32" si="9">AI12-AH12</f>
        <v>15495.9</v>
      </c>
      <c r="AK12" s="605">
        <f>AK8+AK10</f>
        <v>7116.1584147817566</v>
      </c>
      <c r="AL12" s="602">
        <f>AL8+AL10</f>
        <v>300</v>
      </c>
      <c r="AM12" s="702">
        <f t="shared" ref="AM12:AM32" si="10">AL12-AK12</f>
        <v>-6816.1584147817566</v>
      </c>
      <c r="AN12" s="605">
        <f>AN8+AN10</f>
        <v>10830.069930069931</v>
      </c>
      <c r="AO12" s="602">
        <f>AO8+AO10</f>
        <v>25109</v>
      </c>
      <c r="AP12" s="605">
        <f t="shared" ref="AP12:AP32" si="11">AO12-AN12</f>
        <v>14278.930069930069</v>
      </c>
      <c r="AQ12" s="606">
        <f>AQ8+AQ10</f>
        <v>17946.228344851686</v>
      </c>
      <c r="AR12" s="602">
        <f>AR8+AR10</f>
        <v>25409</v>
      </c>
      <c r="AS12" s="607">
        <f t="shared" ref="AS12:AS32" si="12">AR12-AQ12</f>
        <v>7462.7716551483136</v>
      </c>
      <c r="AT12" s="606">
        <f>AT8+AT10</f>
        <v>84994.573024421581</v>
      </c>
      <c r="AU12" s="602">
        <f>AU8+AU10</f>
        <v>63705</v>
      </c>
      <c r="AV12" s="607">
        <f t="shared" ref="AV12:AV32" si="13">AU12-AT12</f>
        <v>-21289.573024421581</v>
      </c>
      <c r="AX12" s="84">
        <f>+'사업장별(당월)'!J32*1000</f>
        <v>84994.573024421581</v>
      </c>
      <c r="AY12" s="6">
        <f>+'사업장별(당월)'!K32*1000</f>
        <v>68025</v>
      </c>
      <c r="AZ12" s="6">
        <f>+AY12-AU12</f>
        <v>4320</v>
      </c>
    </row>
    <row r="13" spans="1:52" ht="28.5" customHeight="1">
      <c r="D13" s="581"/>
      <c r="E13" s="563" t="s">
        <v>124</v>
      </c>
      <c r="F13" s="564" t="s">
        <v>197</v>
      </c>
      <c r="G13" s="565">
        <f>+IFERROR(HLOOKUP($A$1,[14]매출!$G$5:$R$149,115,),)</f>
        <v>354029.29666666663</v>
      </c>
      <c r="H13" s="566">
        <f>+'[7]서부산크라샤(당월)'!$F$72</f>
        <v>176000</v>
      </c>
      <c r="I13" s="567">
        <f t="shared" si="0"/>
        <v>-178029.29666666663</v>
      </c>
      <c r="J13" s="568">
        <f>+IFERROR(HLOOKUP($A$1,[14]매출!$G$5:$R$149,118,),)</f>
        <v>349019.07580645161</v>
      </c>
      <c r="K13" s="566">
        <f>+'[7]서부산크라샤(당월)'!$I$72</f>
        <v>74912</v>
      </c>
      <c r="L13" s="569">
        <f t="shared" si="1"/>
        <v>-274107.07580645161</v>
      </c>
      <c r="M13" s="568">
        <f>+IFERROR(HLOOKUP($A$1,[14]매출!$G$5:$R$149,124,),)</f>
        <v>0</v>
      </c>
      <c r="N13" s="566">
        <f>+'[7]서부산크라샤(당월)'!$L$72</f>
        <v>0</v>
      </c>
      <c r="O13" s="569">
        <f t="shared" si="2"/>
        <v>0</v>
      </c>
      <c r="P13" s="568"/>
      <c r="Q13" s="566">
        <f>+'[7]서부산크라샤(당월)'!$U$72</f>
        <v>0</v>
      </c>
      <c r="R13" s="569">
        <f t="shared" si="3"/>
        <v>0</v>
      </c>
      <c r="S13" s="568"/>
      <c r="T13" s="566">
        <f>+'[7]서부산크라샤(당월)'!$R$72</f>
        <v>0</v>
      </c>
      <c r="U13" s="569">
        <f t="shared" si="4"/>
        <v>0</v>
      </c>
      <c r="V13" s="570">
        <f>+G13+J13+M13+P13+S13</f>
        <v>703048.37247311824</v>
      </c>
      <c r="W13" s="566">
        <f>+H13+K13+N13+Q13+T13</f>
        <v>250912</v>
      </c>
      <c r="X13" s="571">
        <f t="shared" si="5"/>
        <v>-452136.37247311824</v>
      </c>
      <c r="Y13" s="565">
        <f>+IFERROR(HLOOKUP($A$1,[15]매출!$G$5:$R$144,115,),)</f>
        <v>0</v>
      </c>
      <c r="Z13" s="566">
        <f>+'[7]부산크라샤(당월)'!$F$72</f>
        <v>122500</v>
      </c>
      <c r="AA13" s="567">
        <f t="shared" si="6"/>
        <v>122500</v>
      </c>
      <c r="AB13" s="568">
        <f>+IFERROR(HLOOKUP($A$1,[15]매출!$G$5:$R$144,118,),)</f>
        <v>0</v>
      </c>
      <c r="AC13" s="566">
        <f>+'[7]부산크라샤(당월)'!$I$72</f>
        <v>170088</v>
      </c>
      <c r="AD13" s="569">
        <f t="shared" si="7"/>
        <v>170088</v>
      </c>
      <c r="AE13" s="568"/>
      <c r="AF13" s="566">
        <f>+'[7]부산크라샤(당월)'!$L$72</f>
        <v>0</v>
      </c>
      <c r="AG13" s="569">
        <f t="shared" si="8"/>
        <v>0</v>
      </c>
      <c r="AH13" s="570">
        <f>+Y13+AB13+AE13</f>
        <v>0</v>
      </c>
      <c r="AI13" s="566">
        <f>+Z13+AC13+AF13</f>
        <v>292588</v>
      </c>
      <c r="AJ13" s="571">
        <f t="shared" si="9"/>
        <v>292588</v>
      </c>
      <c r="AK13" s="569">
        <f>+IFERROR(HLOOKUP($A$1,[16]판매계획!$G$6:$R$92,43,),)</f>
        <v>177432.6401351454</v>
      </c>
      <c r="AL13" s="566">
        <f>+'[17]부산모래장(손익)'!$E$41/1000</f>
        <v>11400</v>
      </c>
      <c r="AM13" s="698">
        <f t="shared" si="10"/>
        <v>-166032.6401351454</v>
      </c>
      <c r="AN13" s="711">
        <f>+IFERROR(HLOOKUP($A$1,[16]판매계획!$G$6:$R$92,44,),)</f>
        <v>348641.38139388664</v>
      </c>
      <c r="AO13" s="566">
        <f>+IFERROR(HLOOKUP($AN$6,'[17]부산모래장(손익)'!$C$35:$K$53,7,),)/1000</f>
        <v>402097.5</v>
      </c>
      <c r="AP13" s="569">
        <f t="shared" si="11"/>
        <v>53456.118606113363</v>
      </c>
      <c r="AQ13" s="570">
        <f>AK13+AN13</f>
        <v>526074.02152903203</v>
      </c>
      <c r="AR13" s="566">
        <f>AL13+AO13</f>
        <v>413497.5</v>
      </c>
      <c r="AS13" s="571">
        <f t="shared" si="12"/>
        <v>-112576.52152903203</v>
      </c>
      <c r="AT13" s="570">
        <f>+V13+AH13+AQ13</f>
        <v>1229122.3940021503</v>
      </c>
      <c r="AU13" s="566">
        <f>+W13+AI13+AR13</f>
        <v>956997.5</v>
      </c>
      <c r="AV13" s="571">
        <f t="shared" si="13"/>
        <v>-272124.89400215028</v>
      </c>
      <c r="AX13" s="84" t="b">
        <f>+AX12=AT12</f>
        <v>1</v>
      </c>
      <c r="AY13" s="6" t="b">
        <f>+AY12=AU12</f>
        <v>0</v>
      </c>
    </row>
    <row r="14" spans="1:52" ht="28.5" customHeight="1">
      <c r="D14" s="581"/>
      <c r="E14" s="590"/>
      <c r="F14" s="608" t="s">
        <v>199</v>
      </c>
      <c r="G14" s="609">
        <f>+G13/G8*1000</f>
        <v>13927.363156517105</v>
      </c>
      <c r="H14" s="610">
        <f>+H13/H8*1000</f>
        <v>16454.749439042633</v>
      </c>
      <c r="I14" s="611">
        <f t="shared" si="0"/>
        <v>2527.3862825255273</v>
      </c>
      <c r="J14" s="612">
        <f>+J13/J8*1000</f>
        <v>19798.51115794374</v>
      </c>
      <c r="K14" s="610">
        <f>+K13/K8*1000</f>
        <v>19549.060542797495</v>
      </c>
      <c r="L14" s="613">
        <f t="shared" si="1"/>
        <v>-249.45061514624467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16331.63855358719</v>
      </c>
      <c r="W14" s="610">
        <f>+W13/W8*1000</f>
        <v>17270.925110132157</v>
      </c>
      <c r="X14" s="615">
        <f t="shared" si="5"/>
        <v>939.28655654496652</v>
      </c>
      <c r="Y14" s="609">
        <f>+Y13/Y8*1000</f>
        <v>0</v>
      </c>
      <c r="Z14" s="610">
        <f>+Z13/Z8*1000</f>
        <v>17500</v>
      </c>
      <c r="AA14" s="611">
        <f t="shared" si="6"/>
        <v>17500</v>
      </c>
      <c r="AB14" s="612" t="e">
        <f>+AB13/AB8*1000</f>
        <v>#DIV/0!</v>
      </c>
      <c r="AC14" s="610">
        <f>+AC13/AC8*1000</f>
        <v>22332.983193277312</v>
      </c>
      <c r="AD14" s="613" t="e">
        <f t="shared" si="7"/>
        <v>#DIV/0!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0</v>
      </c>
      <c r="AI14" s="610">
        <f>+AI13/AI8*1000</f>
        <v>20018.33607006021</v>
      </c>
      <c r="AJ14" s="615">
        <f t="shared" si="9"/>
        <v>20018.33607006021</v>
      </c>
      <c r="AK14" s="613">
        <f>+AK13/AK8*1000</f>
        <v>34680.833889447546</v>
      </c>
      <c r="AL14" s="610">
        <f>IFERROR(AL13/AL8*1000,)</f>
        <v>38000</v>
      </c>
      <c r="AM14" s="703">
        <f t="shared" si="10"/>
        <v>3319.1661105524545</v>
      </c>
      <c r="AN14" s="613">
        <f>+AN13/AN8*1000</f>
        <v>59800.548805716426</v>
      </c>
      <c r="AO14" s="610">
        <f>+AO13/AO8*1000</f>
        <v>29902.394586153045</v>
      </c>
      <c r="AP14" s="613">
        <f t="shared" si="11"/>
        <v>-29898.154219563381</v>
      </c>
      <c r="AQ14" s="614">
        <f>+AQ13/AQ8*1000</f>
        <v>48059.843532905943</v>
      </c>
      <c r="AR14" s="610">
        <f>+AR13/AR8*1000</f>
        <v>30079.108169055064</v>
      </c>
      <c r="AS14" s="615">
        <f t="shared" si="12"/>
        <v>-17980.735363850879</v>
      </c>
      <c r="AT14" s="614">
        <f>+AT13/AT8*1000</f>
        <v>22763.813567823232</v>
      </c>
      <c r="AU14" s="610">
        <f>+AU13/AU8*1000</f>
        <v>22312.314937865754</v>
      </c>
      <c r="AV14" s="615">
        <f t="shared" si="13"/>
        <v>-451.49862995747753</v>
      </c>
    </row>
    <row r="15" spans="1:52" ht="28.5" customHeight="1">
      <c r="D15" s="581"/>
      <c r="E15" s="616"/>
      <c r="F15" s="617" t="s">
        <v>198</v>
      </c>
      <c r="G15" s="618">
        <f>+IFERROR(HLOOKUP($A$1,[14]매출!$G$5:$R$149,116,),)</f>
        <v>126500</v>
      </c>
      <c r="H15" s="619">
        <f>+'[7]서부산크라샤(당월)'!$F$71</f>
        <v>57776</v>
      </c>
      <c r="I15" s="620">
        <f t="shared" si="0"/>
        <v>-68724</v>
      </c>
      <c r="J15" s="621">
        <f>+IFERROR(HLOOKUP($A$1,[14]매출!$G$5:$R$149,119,),)</f>
        <v>105000</v>
      </c>
      <c r="K15" s="619">
        <f>+'[7]서부산크라샤(당월)'!$I$71</f>
        <v>0</v>
      </c>
      <c r="L15" s="622">
        <f t="shared" si="1"/>
        <v>-105000</v>
      </c>
      <c r="M15" s="621">
        <f>+IFERROR(HLOOKUP($A$1,[14]매출!$G$5:$R$149,125,),)</f>
        <v>54000</v>
      </c>
      <c r="N15" s="619">
        <f>+'[7]서부산크라샤(당월)'!$L$71</f>
        <v>41208</v>
      </c>
      <c r="O15" s="622">
        <f t="shared" si="2"/>
        <v>-12792</v>
      </c>
      <c r="P15" s="621"/>
      <c r="Q15" s="619">
        <f>+'[7]서부산크라샤(당월)'!$U$71</f>
        <v>9856</v>
      </c>
      <c r="R15" s="622">
        <f t="shared" si="3"/>
        <v>9856</v>
      </c>
      <c r="S15" s="621"/>
      <c r="T15" s="619">
        <f>+'[7]서부산크라샤(당월)'!$R$71</f>
        <v>8960</v>
      </c>
      <c r="U15" s="622">
        <f t="shared" si="4"/>
        <v>8960</v>
      </c>
      <c r="V15" s="623">
        <f>+G15+J15+M15+P15+S15</f>
        <v>285500</v>
      </c>
      <c r="W15" s="619">
        <f>+H15+K15+N15+Q15+T15</f>
        <v>117800</v>
      </c>
      <c r="X15" s="624">
        <f t="shared" si="5"/>
        <v>-167700</v>
      </c>
      <c r="Y15" s="618">
        <f>+IFERROR(HLOOKUP($A$1,[15]매출!$G$5:$R$144,116,),)</f>
        <v>0</v>
      </c>
      <c r="Z15" s="619">
        <f>+'[7]부산크라샤(당월)'!$F$71</f>
        <v>832</v>
      </c>
      <c r="AA15" s="620">
        <f t="shared" si="6"/>
        <v>832</v>
      </c>
      <c r="AB15" s="621">
        <f>+IFERROR(HLOOKUP($A$1,[15]매출!$G$5:$R$144,119,),)</f>
        <v>0</v>
      </c>
      <c r="AC15" s="619">
        <f>+'[7]부산크라샤(당월)'!$I$71</f>
        <v>15840</v>
      </c>
      <c r="AD15" s="622">
        <f t="shared" si="7"/>
        <v>15840</v>
      </c>
      <c r="AE15" s="621">
        <f>+IFERROR(HLOOKUP($A$1,[15]매출!$G$5:$R$144,122,),)</f>
        <v>0</v>
      </c>
      <c r="AF15" s="619">
        <f>+'[7]부산크라샤(당월)'!$L$71</f>
        <v>0</v>
      </c>
      <c r="AG15" s="622">
        <f t="shared" si="8"/>
        <v>0</v>
      </c>
      <c r="AH15" s="623">
        <f>+Y15+AB15+AE15</f>
        <v>0</v>
      </c>
      <c r="AI15" s="619">
        <f>+Z15+AC15+AF15</f>
        <v>16672</v>
      </c>
      <c r="AJ15" s="624">
        <f t="shared" si="9"/>
        <v>16672</v>
      </c>
      <c r="AK15" s="622">
        <f>+IFERROR(HLOOKUP($A$1,[16]판매계획!$G$6:$R$92,38,),)</f>
        <v>70000</v>
      </c>
      <c r="AL15" s="619">
        <f>+'[17]부산모래장(손익)'!$E$40/1000</f>
        <v>0</v>
      </c>
      <c r="AM15" s="704">
        <f t="shared" si="10"/>
        <v>-70000</v>
      </c>
      <c r="AN15" s="622">
        <f>+IFERROR(HLOOKUP($A$1,[16]판매계획!$G$6:$R$92,39,),)</f>
        <v>137500</v>
      </c>
      <c r="AO15" s="619">
        <f>+IFERROR(HLOOKUP($AN$6,'[17]부산모래장(손익)'!$C$35:$K$53,6,),)/1000</f>
        <v>335996.5</v>
      </c>
      <c r="AP15" s="622">
        <f t="shared" si="11"/>
        <v>198496.5</v>
      </c>
      <c r="AQ15" s="623">
        <f>AK15+AN15</f>
        <v>207500</v>
      </c>
      <c r="AR15" s="619">
        <f>AL15+AO15</f>
        <v>335996.5</v>
      </c>
      <c r="AS15" s="624">
        <f t="shared" si="12"/>
        <v>128496.5</v>
      </c>
      <c r="AT15" s="623">
        <f>+V15+AH15+AQ15</f>
        <v>493000</v>
      </c>
      <c r="AU15" s="619">
        <f>+W15+AI15+AR15</f>
        <v>470468.5</v>
      </c>
      <c r="AV15" s="624">
        <f t="shared" si="13"/>
        <v>-22531.5</v>
      </c>
    </row>
    <row r="16" spans="1:52" ht="28.5" customHeight="1">
      <c r="D16" s="479"/>
      <c r="E16" s="616"/>
      <c r="F16" s="608" t="s">
        <v>199</v>
      </c>
      <c r="G16" s="609">
        <f>IFERROR(G15/G10,)*1000</f>
        <v>11500</v>
      </c>
      <c r="H16" s="610">
        <f>IFERROR(H15/H10,)*1000</f>
        <v>35401.96078431372</v>
      </c>
      <c r="I16" s="611">
        <f t="shared" si="0"/>
        <v>23901.96078431372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10000</v>
      </c>
      <c r="U16" s="613">
        <f t="shared" si="4"/>
        <v>10000</v>
      </c>
      <c r="V16" s="614">
        <f>IFERROR(V15/V10,)*1000</f>
        <v>11895.833333333334</v>
      </c>
      <c r="W16" s="610">
        <f>IFERROR(W15/W10,)*1000</f>
        <v>14240.812379110252</v>
      </c>
      <c r="X16" s="615">
        <f t="shared" si="5"/>
        <v>2344.9790457769177</v>
      </c>
      <c r="Y16" s="609">
        <f>IFERROR(Y15/Y10,)*1000</f>
        <v>0</v>
      </c>
      <c r="Z16" s="610">
        <f>IFERROR(Z15/Z10,)*1000</f>
        <v>0</v>
      </c>
      <c r="AA16" s="611">
        <f t="shared" si="6"/>
        <v>0</v>
      </c>
      <c r="AB16" s="612">
        <f>IFERROR(AB15/AB10,)*1000</f>
        <v>0</v>
      </c>
      <c r="AC16" s="610">
        <f>IFERROR(AC15/AC10,)*1000</f>
        <v>18000</v>
      </c>
      <c r="AD16" s="613">
        <f t="shared" si="7"/>
        <v>18000</v>
      </c>
      <c r="AE16" s="612">
        <f>IFERROR(AE15/AE10,)*1000</f>
        <v>0</v>
      </c>
      <c r="AF16" s="610">
        <f>IFERROR(AF15/AF10,)*1000</f>
        <v>0</v>
      </c>
      <c r="AG16" s="613">
        <f t="shared" si="8"/>
        <v>0</v>
      </c>
      <c r="AH16" s="614">
        <f>IFERROR(AH15/AH10,)*1000</f>
        <v>0</v>
      </c>
      <c r="AI16" s="610">
        <f>IFERROR(AI15/AI10,)*1000</f>
        <v>18945.454545454544</v>
      </c>
      <c r="AJ16" s="615">
        <f t="shared" si="9"/>
        <v>18945.454545454544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28811.224489795917</v>
      </c>
      <c r="AP16" s="613">
        <f t="shared" si="11"/>
        <v>1311.2244897959172</v>
      </c>
      <c r="AQ16" s="614">
        <f>IFERROR(AQ15/AQ10,)*1000</f>
        <v>29642.857142857141</v>
      </c>
      <c r="AR16" s="610">
        <f>IFERROR(AR15/AR10,)*1000</f>
        <v>28811.224489795917</v>
      </c>
      <c r="AS16" s="615">
        <f t="shared" si="12"/>
        <v>-831.63265306122412</v>
      </c>
      <c r="AT16" s="614">
        <f>IFERROR(AT15/AT10,)*1000</f>
        <v>15903.225806451612</v>
      </c>
      <c r="AU16" s="610">
        <f>IFERROR(AU15/AU10,)*1000</f>
        <v>22603.464014605554</v>
      </c>
      <c r="AV16" s="615">
        <f t="shared" si="13"/>
        <v>6700.2382081539417</v>
      </c>
      <c r="AX16" s="84">
        <f>+AX17-AT17</f>
        <v>0</v>
      </c>
    </row>
    <row r="17" spans="4:51" ht="28.5" customHeight="1">
      <c r="D17" s="479"/>
      <c r="E17" s="616"/>
      <c r="F17" s="625" t="s">
        <v>166</v>
      </c>
      <c r="G17" s="618">
        <f>G13+G15</f>
        <v>480529.29666666663</v>
      </c>
      <c r="H17" s="619">
        <f>H13+H15</f>
        <v>233776</v>
      </c>
      <c r="I17" s="620">
        <f t="shared" si="0"/>
        <v>-246753.29666666663</v>
      </c>
      <c r="J17" s="621">
        <f>J13+J15</f>
        <v>454019.07580645161</v>
      </c>
      <c r="K17" s="619">
        <f>K13+K15</f>
        <v>74912</v>
      </c>
      <c r="L17" s="622">
        <f t="shared" si="1"/>
        <v>-379107.07580645161</v>
      </c>
      <c r="M17" s="621">
        <f>M13+M15</f>
        <v>54000</v>
      </c>
      <c r="N17" s="619">
        <f>N13+N15</f>
        <v>41208</v>
      </c>
      <c r="O17" s="622">
        <f t="shared" si="2"/>
        <v>-12792</v>
      </c>
      <c r="P17" s="621"/>
      <c r="Q17" s="619">
        <f>Q13+Q15</f>
        <v>9856</v>
      </c>
      <c r="R17" s="622">
        <f t="shared" si="3"/>
        <v>9856</v>
      </c>
      <c r="S17" s="621"/>
      <c r="T17" s="619">
        <f>T13+T15</f>
        <v>8960</v>
      </c>
      <c r="U17" s="622">
        <f t="shared" si="4"/>
        <v>8960</v>
      </c>
      <c r="V17" s="623">
        <f>V13+V15</f>
        <v>988548.37247311824</v>
      </c>
      <c r="W17" s="619">
        <f>W13+W15</f>
        <v>368712</v>
      </c>
      <c r="X17" s="624">
        <f t="shared" si="5"/>
        <v>-619836.37247311824</v>
      </c>
      <c r="Y17" s="618">
        <f>Y13+Y15</f>
        <v>0</v>
      </c>
      <c r="Z17" s="619">
        <f>Z13+Z15</f>
        <v>123332</v>
      </c>
      <c r="AA17" s="620">
        <f t="shared" si="6"/>
        <v>123332</v>
      </c>
      <c r="AB17" s="621">
        <f>AB13+AB15</f>
        <v>0</v>
      </c>
      <c r="AC17" s="619">
        <f>AC13+AC15</f>
        <v>185928</v>
      </c>
      <c r="AD17" s="622">
        <f t="shared" si="7"/>
        <v>185928</v>
      </c>
      <c r="AE17" s="621">
        <f>AE13+AE15</f>
        <v>0</v>
      </c>
      <c r="AF17" s="619">
        <f>AF13+AF15</f>
        <v>0</v>
      </c>
      <c r="AG17" s="622">
        <f t="shared" si="8"/>
        <v>0</v>
      </c>
      <c r="AH17" s="623">
        <f>AH13+AH15</f>
        <v>0</v>
      </c>
      <c r="AI17" s="619">
        <f>AI13+AI15</f>
        <v>309260</v>
      </c>
      <c r="AJ17" s="624">
        <f t="shared" si="9"/>
        <v>309260</v>
      </c>
      <c r="AK17" s="622">
        <f>AK13+AK15</f>
        <v>247432.6401351454</v>
      </c>
      <c r="AL17" s="619">
        <f>AL13+AL15</f>
        <v>11400</v>
      </c>
      <c r="AM17" s="704">
        <f t="shared" si="10"/>
        <v>-236032.6401351454</v>
      </c>
      <c r="AN17" s="622">
        <f>AN13+AN15</f>
        <v>486141.38139388664</v>
      </c>
      <c r="AO17" s="619">
        <f>AO13+AO15</f>
        <v>738094</v>
      </c>
      <c r="AP17" s="622">
        <f t="shared" si="11"/>
        <v>251952.61860611336</v>
      </c>
      <c r="AQ17" s="623">
        <f>AQ13+AQ15</f>
        <v>733574.02152903203</v>
      </c>
      <c r="AR17" s="619">
        <f>AR13+AR15</f>
        <v>749494</v>
      </c>
      <c r="AS17" s="624">
        <f t="shared" si="12"/>
        <v>15919.978470967966</v>
      </c>
      <c r="AT17" s="623">
        <f>AT13+AT15</f>
        <v>1722122.3940021503</v>
      </c>
      <c r="AU17" s="619">
        <f>AU13+AU15</f>
        <v>1427466</v>
      </c>
      <c r="AV17" s="624">
        <f t="shared" si="13"/>
        <v>-294656.39400215028</v>
      </c>
      <c r="AX17" s="84">
        <f>+'사업장별(당월)'!O32*1000</f>
        <v>1722122.3940021503</v>
      </c>
      <c r="AY17" s="6">
        <f>+'사업장별(당월)'!P32*1000</f>
        <v>1449066</v>
      </c>
    </row>
    <row r="18" spans="4:51" ht="28.5" customHeight="1">
      <c r="D18" s="479"/>
      <c r="E18" s="626" t="s">
        <v>7</v>
      </c>
      <c r="F18" s="627" t="s">
        <v>200</v>
      </c>
      <c r="G18" s="628">
        <f>+IFERROR(HLOOKUP($A$1,[14]손익!$G$5:$R$132,115,),)</f>
        <v>85530.032679488766</v>
      </c>
      <c r="H18" s="629">
        <f>+'[7]서부산크라샤(당월)'!$F$87</f>
        <v>60832.529766773921</v>
      </c>
      <c r="I18" s="630">
        <f t="shared" si="0"/>
        <v>-24697.502912714845</v>
      </c>
      <c r="J18" s="631">
        <f>+IFERROR(HLOOKUP($A$1,[14]손익!$G$5:$R$132,117,),)</f>
        <v>84319.61207887638</v>
      </c>
      <c r="K18" s="629">
        <f>+'[7]서부산크라샤(당월)'!$I$87</f>
        <v>32517.849190687848</v>
      </c>
      <c r="L18" s="632">
        <f t="shared" si="1"/>
        <v>-51801.762888188532</v>
      </c>
      <c r="M18" s="631">
        <f>+IFERROR(HLOOKUP($A$1,[14]손익!$G$5:$R$132,119,),)</f>
        <v>0</v>
      </c>
      <c r="N18" s="629">
        <f>+'[7]서부산크라샤(당월)'!$L$87</f>
        <v>0</v>
      </c>
      <c r="O18" s="632">
        <f t="shared" si="2"/>
        <v>0</v>
      </c>
      <c r="P18" s="631"/>
      <c r="Q18" s="629">
        <f>+'[7]서부산크라샤(당월)'!$U$87</f>
        <v>0</v>
      </c>
      <c r="R18" s="632">
        <f t="shared" si="3"/>
        <v>0</v>
      </c>
      <c r="S18" s="631"/>
      <c r="T18" s="629">
        <f>+'[7]서부산크라샤(당월)'!$R$87</f>
        <v>0</v>
      </c>
      <c r="U18" s="632">
        <f t="shared" si="4"/>
        <v>0</v>
      </c>
      <c r="V18" s="633">
        <f>+G18+J18+M18+P18+S18</f>
        <v>169849.64475836515</v>
      </c>
      <c r="W18" s="629">
        <f>+H18+K18+N18+Q18+T18</f>
        <v>93350.378957461769</v>
      </c>
      <c r="X18" s="634">
        <f t="shared" si="5"/>
        <v>-76499.265800903377</v>
      </c>
      <c r="Y18" s="628">
        <f>+IFERROR(HLOOKUP($A$1,[15]손익!$G$5:$R$147,115,),)</f>
        <v>-53630.714612691307</v>
      </c>
      <c r="Z18" s="629">
        <f>+'[7]부산크라샤(당월)'!$F$87</f>
        <v>-29278.309712690861</v>
      </c>
      <c r="AA18" s="630">
        <f t="shared" si="6"/>
        <v>24352.404900000445</v>
      </c>
      <c r="AB18" s="631">
        <f>+IFERROR(HLOOKUP($A$1,[15]손익!$G$5:$R$147,117,),)</f>
        <v>-53101.939899972698</v>
      </c>
      <c r="AC18" s="629">
        <f>+'[7]부산크라샤(당월)'!$I$87</f>
        <v>3849.6912727989011</v>
      </c>
      <c r="AD18" s="632">
        <f t="shared" si="7"/>
        <v>56951.631172771602</v>
      </c>
      <c r="AE18" s="631">
        <f>+IFERROR(HLOOKUP($A$1,[15]손익!$G$5:$R$147,119,),)</f>
        <v>0</v>
      </c>
      <c r="AF18" s="629">
        <f>+'[7]부산크라샤(당월)'!$L$87</f>
        <v>0</v>
      </c>
      <c r="AG18" s="632">
        <f t="shared" si="8"/>
        <v>0</v>
      </c>
      <c r="AH18" s="633">
        <f>+Y18+AB18+AE18</f>
        <v>-106732.65451266401</v>
      </c>
      <c r="AI18" s="629">
        <f>+Z18+AC18+AF18</f>
        <v>-25428.618439891961</v>
      </c>
      <c r="AJ18" s="634">
        <f t="shared" si="9"/>
        <v>81304.036072772054</v>
      </c>
      <c r="AK18" s="632">
        <f>+IFERROR(HLOOKUP($A$1,[16]판매계획!$G$42:$S$72,25,),)</f>
        <v>77095.898541820672</v>
      </c>
      <c r="AL18" s="629">
        <f>+'[17]부산모래장(손익)'!$E$55/1000</f>
        <v>2510.4720000000002</v>
      </c>
      <c r="AM18" s="705">
        <f t="shared" si="10"/>
        <v>-74585.426541820678</v>
      </c>
      <c r="AN18" s="632">
        <f>+IFERROR(HLOOKUP($A$1,[16]판매계획!$G$42:$S$72,26,),)</f>
        <v>151487.46333792058</v>
      </c>
      <c r="AO18" s="629">
        <f>+IFERROR(HLOOKUP($AN$6,'[17]부산모래장(손익)'!$C$35:$K$100,21,),)/1000</f>
        <v>-11550.69078654616</v>
      </c>
      <c r="AP18" s="632">
        <f t="shared" si="11"/>
        <v>-163038.15412446673</v>
      </c>
      <c r="AQ18" s="633">
        <f>AK18+AN18</f>
        <v>228583.36187974125</v>
      </c>
      <c r="AR18" s="629">
        <f>AL18+AO18</f>
        <v>-9040.2187865461601</v>
      </c>
      <c r="AS18" s="634">
        <f t="shared" si="12"/>
        <v>-237623.58066628739</v>
      </c>
      <c r="AT18" s="633">
        <f>+V18+AH18+AQ18</f>
        <v>291700.35212544235</v>
      </c>
      <c r="AU18" s="629">
        <f>+W18+AI18+AR18</f>
        <v>58881.541731023652</v>
      </c>
      <c r="AV18" s="634">
        <f t="shared" si="13"/>
        <v>-232818.81039441872</v>
      </c>
      <c r="AX18" s="84" t="b">
        <f>+AX17=AT17</f>
        <v>1</v>
      </c>
      <c r="AY18" s="6" t="b">
        <f>+AY17=AU17</f>
        <v>0</v>
      </c>
    </row>
    <row r="19" spans="4:51" ht="28.5" customHeight="1">
      <c r="D19" s="479"/>
      <c r="E19" s="635"/>
      <c r="F19" s="636" t="s">
        <v>201</v>
      </c>
      <c r="G19" s="637">
        <f>+IFERROR(HLOOKUP($A$1,[14]손익!$G$5:$R$132,116,),)</f>
        <v>30561.168908409261</v>
      </c>
      <c r="H19" s="638">
        <f>+'[7]서부산크라샤(당월)'!$F$86</f>
        <v>4465.2142343239238</v>
      </c>
      <c r="I19" s="639">
        <f t="shared" si="0"/>
        <v>-26095.954674085337</v>
      </c>
      <c r="J19" s="640">
        <f>+IFERROR(HLOOKUP($A$1,[14]손익!$G$5:$R$132,118,),)</f>
        <v>25366.978145319936</v>
      </c>
      <c r="K19" s="638">
        <f>+'[7]서부산크라샤(당월)'!$I$86</f>
        <v>0</v>
      </c>
      <c r="L19" s="641">
        <f t="shared" si="1"/>
        <v>-25366.978145319936</v>
      </c>
      <c r="M19" s="640">
        <f>+IFERROR(HLOOKUP($A$1,[14]손익!$G$5:$R$132,120,),)</f>
        <v>13045.874474735969</v>
      </c>
      <c r="N19" s="638">
        <f>+'[7]서부산크라샤(당월)'!$L$86</f>
        <v>-7761.5256000391837</v>
      </c>
      <c r="O19" s="641">
        <f t="shared" si="2"/>
        <v>-20807.400074775152</v>
      </c>
      <c r="P19" s="640"/>
      <c r="Q19" s="638">
        <f>+'[7]서부산크라샤(당월)'!$U$86</f>
        <v>189.15842705333404</v>
      </c>
      <c r="R19" s="641">
        <f t="shared" si="3"/>
        <v>189.15842705333404</v>
      </c>
      <c r="S19" s="640"/>
      <c r="T19" s="638">
        <f>+'[7]서부산크라샤(당월)'!$R$86</f>
        <v>-754.9388844969676</v>
      </c>
      <c r="U19" s="641">
        <f t="shared" si="4"/>
        <v>-754.9388844969676</v>
      </c>
      <c r="V19" s="642">
        <f>+G19+J19+M19+P19+S19</f>
        <v>68974.021528465164</v>
      </c>
      <c r="W19" s="638">
        <f>+H19+K19+N19+Q19+T19</f>
        <v>-3862.0918231588935</v>
      </c>
      <c r="X19" s="643">
        <f t="shared" si="5"/>
        <v>-72836.113351624052</v>
      </c>
      <c r="Y19" s="637">
        <f>+IFERROR(HLOOKUP($A$1,[15]손익!$G$5:$R$147,116,),)</f>
        <v>-35276.921393544908</v>
      </c>
      <c r="Z19" s="638">
        <f>+'[7]부산크라샤(당월)'!$F$86</f>
        <v>-546.61258322533672</v>
      </c>
      <c r="AA19" s="639">
        <f t="shared" si="6"/>
        <v>34730.30881031957</v>
      </c>
      <c r="AB19" s="640">
        <f>+IFERROR(HLOOKUP($A$1,[15]손익!$G$5:$R$147,118,),)</f>
        <v>-42739.347072948636</v>
      </c>
      <c r="AC19" s="638">
        <f>+'[7]부산크라샤(당월)'!$I$86</f>
        <v>-3248.0686968827044</v>
      </c>
      <c r="AD19" s="641">
        <f t="shared" si="7"/>
        <v>39491.278376065929</v>
      </c>
      <c r="AE19" s="640">
        <f>+IFERROR(HLOOKUP($A$1,[15]손익!$G$5:$R$147,120,),)</f>
        <v>-12211.242020842468</v>
      </c>
      <c r="AF19" s="638">
        <f>+'[7]부산크라샤(당월)'!$L$86</f>
        <v>0</v>
      </c>
      <c r="AG19" s="641">
        <f t="shared" si="8"/>
        <v>12211.242020842468</v>
      </c>
      <c r="AH19" s="642">
        <f>+Y19+AB19+AE19</f>
        <v>-90227.510487336025</v>
      </c>
      <c r="AI19" s="638">
        <f>+Z19+AC19+AF19</f>
        <v>-3794.6812801080414</v>
      </c>
      <c r="AJ19" s="643">
        <f t="shared" si="9"/>
        <v>86432.829207227987</v>
      </c>
      <c r="AK19" s="641">
        <f>+IFERROR(HLOOKUP($A$1,[16]판매계획!$G$42:$S$72,23,),)</f>
        <v>1268.9586679497013</v>
      </c>
      <c r="AL19" s="638">
        <f>+'[17]부산모래장(손익)'!$E$54/1000</f>
        <v>0</v>
      </c>
      <c r="AM19" s="706">
        <f t="shared" si="10"/>
        <v>-1268.9586679497013</v>
      </c>
      <c r="AN19" s="641">
        <f>+IFERROR(HLOOKUP($A$1,[16]판매계획!$G$42:$S$72,24,),)</f>
        <v>2492.5973834726278</v>
      </c>
      <c r="AO19" s="638">
        <f>+IFERROR(HLOOKUP($AN$6,'[17]부산모래장(손익)'!$C$35:$K$100,20,),)/1000</f>
        <v>-9651.8672134538429</v>
      </c>
      <c r="AP19" s="641">
        <f t="shared" si="11"/>
        <v>-12144.464596926471</v>
      </c>
      <c r="AQ19" s="642">
        <f>AK19+AN19</f>
        <v>3761.5560514223289</v>
      </c>
      <c r="AR19" s="638">
        <f>AL19+AO19</f>
        <v>-9651.8672134538429</v>
      </c>
      <c r="AS19" s="643">
        <f t="shared" si="12"/>
        <v>-13413.423264876172</v>
      </c>
      <c r="AT19" s="642">
        <f>+V19+AH19+AQ19</f>
        <v>-17491.932907448532</v>
      </c>
      <c r="AU19" s="638">
        <f>+W19+AI19+AR19</f>
        <v>-17308.640316720775</v>
      </c>
      <c r="AV19" s="643">
        <f t="shared" si="13"/>
        <v>183.29259072775676</v>
      </c>
    </row>
    <row r="20" spans="4:51" ht="28.5" customHeight="1">
      <c r="D20" s="479"/>
      <c r="E20" s="644"/>
      <c r="F20" s="645" t="s">
        <v>165</v>
      </c>
      <c r="G20" s="646">
        <f>G18+G19</f>
        <v>116091.20158789803</v>
      </c>
      <c r="H20" s="647">
        <f>H18+H19</f>
        <v>65297.744001097846</v>
      </c>
      <c r="I20" s="648">
        <f t="shared" si="0"/>
        <v>-50793.457586800185</v>
      </c>
      <c r="J20" s="649">
        <f>J18+J19</f>
        <v>109686.59022419632</v>
      </c>
      <c r="K20" s="647">
        <f>K18+K19</f>
        <v>32517.849190687848</v>
      </c>
      <c r="L20" s="650">
        <f t="shared" si="1"/>
        <v>-77168.741033508471</v>
      </c>
      <c r="M20" s="649">
        <f>M18+M19</f>
        <v>13045.874474735969</v>
      </c>
      <c r="N20" s="647">
        <f>N18+N19</f>
        <v>-7761.5256000391837</v>
      </c>
      <c r="O20" s="650">
        <f t="shared" si="2"/>
        <v>-20807.400074775152</v>
      </c>
      <c r="P20" s="649"/>
      <c r="Q20" s="647">
        <f>Q18+Q19</f>
        <v>189.15842705333404</v>
      </c>
      <c r="R20" s="650">
        <f t="shared" si="3"/>
        <v>189.15842705333404</v>
      </c>
      <c r="S20" s="649"/>
      <c r="T20" s="647">
        <f>T18+T19</f>
        <v>-754.9388844969676</v>
      </c>
      <c r="U20" s="650">
        <f t="shared" si="4"/>
        <v>-754.9388844969676</v>
      </c>
      <c r="V20" s="651">
        <f>V18+V19</f>
        <v>238823.66628683032</v>
      </c>
      <c r="W20" s="647">
        <f>W18+W19</f>
        <v>89488.287134302882</v>
      </c>
      <c r="X20" s="652">
        <f t="shared" si="5"/>
        <v>-149335.37915252743</v>
      </c>
      <c r="Y20" s="646">
        <f>Y18+Y19</f>
        <v>-88907.636006236222</v>
      </c>
      <c r="Z20" s="647">
        <f>Z18+Z19</f>
        <v>-29824.9222959162</v>
      </c>
      <c r="AA20" s="648">
        <f t="shared" si="6"/>
        <v>59082.713710320022</v>
      </c>
      <c r="AB20" s="649">
        <f>AB18+AB19</f>
        <v>-95841.286972921342</v>
      </c>
      <c r="AC20" s="647">
        <f>AC18+AC19</f>
        <v>601.62257591619664</v>
      </c>
      <c r="AD20" s="650">
        <f t="shared" si="7"/>
        <v>96442.909548837531</v>
      </c>
      <c r="AE20" s="649">
        <f>AE18+AE19</f>
        <v>-12211.242020842468</v>
      </c>
      <c r="AF20" s="647">
        <f>AF18+AF19</f>
        <v>0</v>
      </c>
      <c r="AG20" s="650">
        <f t="shared" si="8"/>
        <v>12211.242020842468</v>
      </c>
      <c r="AH20" s="651">
        <f>AH18+AH19</f>
        <v>-196960.16500000004</v>
      </c>
      <c r="AI20" s="647">
        <f>AI18+AI19</f>
        <v>-29223.299720000003</v>
      </c>
      <c r="AJ20" s="652">
        <f t="shared" si="9"/>
        <v>167736.86528000003</v>
      </c>
      <c r="AK20" s="650">
        <f>AK18+AK19</f>
        <v>78364.857209770373</v>
      </c>
      <c r="AL20" s="647">
        <f>AL18+AL19</f>
        <v>2510.4720000000002</v>
      </c>
      <c r="AM20" s="707">
        <f t="shared" si="10"/>
        <v>-75854.385209770378</v>
      </c>
      <c r="AN20" s="650">
        <f>AN18+AN19</f>
        <v>153980.06072139321</v>
      </c>
      <c r="AO20" s="647">
        <f>AO18+AO19</f>
        <v>-21202.558000000005</v>
      </c>
      <c r="AP20" s="650">
        <f t="shared" si="11"/>
        <v>-175182.61872139323</v>
      </c>
      <c r="AQ20" s="651">
        <f>AQ18+AQ19</f>
        <v>232344.91793116357</v>
      </c>
      <c r="AR20" s="647">
        <f>AR18+AR19</f>
        <v>-18692.086000000003</v>
      </c>
      <c r="AS20" s="652">
        <f t="shared" si="12"/>
        <v>-251037.00393116358</v>
      </c>
      <c r="AT20" s="651">
        <f>AT18+AT19</f>
        <v>274208.4192179938</v>
      </c>
      <c r="AU20" s="647">
        <f>AU18+AU19</f>
        <v>41572.901414302876</v>
      </c>
      <c r="AV20" s="652">
        <f t="shared" si="13"/>
        <v>-232635.51780369092</v>
      </c>
      <c r="AX20" s="84">
        <f>+'사업장별(당월)'!T32*1000</f>
        <v>274208.41921799391</v>
      </c>
      <c r="AY20" s="6">
        <f>'사업장별(당월)'!U32*1000</f>
        <v>57306.558775384954</v>
      </c>
    </row>
    <row r="21" spans="4:51" ht="28.5" customHeight="1">
      <c r="D21" s="479"/>
      <c r="E21" s="653" t="s">
        <v>197</v>
      </c>
      <c r="F21" s="654" t="s">
        <v>21</v>
      </c>
      <c r="G21" s="655">
        <f>+IFERROR(HLOOKUP($A$1,[14]물량!$G$5:$R$83,2,),)</f>
        <v>11160.626399999999</v>
      </c>
      <c r="H21" s="629">
        <f>+'[7]서부산크라샤(당월)'!$F$60</f>
        <v>1296</v>
      </c>
      <c r="I21" s="630">
        <f t="shared" si="0"/>
        <v>-9864.6263999999992</v>
      </c>
      <c r="J21" s="631">
        <f>+IFERROR(HLOOKUP($A$1,[14]물량!$G$5:$R$83,10,),)</f>
        <v>8108.1</v>
      </c>
      <c r="K21" s="629">
        <f>+'[7]서부산크라샤(당월)'!$I$60</f>
        <v>432</v>
      </c>
      <c r="L21" s="632">
        <f t="shared" si="1"/>
        <v>-7676.1</v>
      </c>
      <c r="M21" s="631"/>
      <c r="N21" s="629">
        <f>+'[7]서부산크라샤(당월)'!$L$60</f>
        <v>0</v>
      </c>
      <c r="O21" s="632">
        <f t="shared" si="2"/>
        <v>0</v>
      </c>
      <c r="P21" s="631"/>
      <c r="Q21" s="629">
        <f>+'[7]서부산크라샤(당월)'!$U$60</f>
        <v>0</v>
      </c>
      <c r="R21" s="632">
        <f t="shared" si="3"/>
        <v>0</v>
      </c>
      <c r="S21" s="631"/>
      <c r="T21" s="629">
        <f>+'[7]서부산크라샤(당월)'!$R$60</f>
        <v>0</v>
      </c>
      <c r="U21" s="632">
        <f t="shared" si="4"/>
        <v>0</v>
      </c>
      <c r="V21" s="633">
        <f t="shared" ref="V21:V26" si="14">+G21+J21+M21+P21+S21</f>
        <v>19268.7264</v>
      </c>
      <c r="W21" s="629">
        <f t="shared" ref="W21:W26" si="15">+H21+K21+N21+Q21+T21</f>
        <v>1728</v>
      </c>
      <c r="X21" s="634">
        <f t="shared" si="5"/>
        <v>-17540.7264</v>
      </c>
      <c r="Y21" s="655">
        <f>+IFERROR(HLOOKUP($A$1,[15]물량!$G$5:$R$97,2,),)</f>
        <v>0.1</v>
      </c>
      <c r="Z21" s="629">
        <f>+'[7]부산크라샤(당월)'!$F$60</f>
        <v>7000</v>
      </c>
      <c r="AA21" s="630">
        <f t="shared" si="6"/>
        <v>6999.9</v>
      </c>
      <c r="AB21" s="631">
        <f>+IFERROR(HLOOKUP($A$1,[15]물량!$G$5:$R$97,10,),)</f>
        <v>0</v>
      </c>
      <c r="AC21" s="629">
        <f>+'[7]부산크라샤(당월)'!$I$60</f>
        <v>6000</v>
      </c>
      <c r="AD21" s="632">
        <f t="shared" si="7"/>
        <v>6000</v>
      </c>
      <c r="AE21" s="631"/>
      <c r="AF21" s="629">
        <f>+'[7]부산크라샤(당월)'!$L$60</f>
        <v>0</v>
      </c>
      <c r="AG21" s="632">
        <f t="shared" si="8"/>
        <v>0</v>
      </c>
      <c r="AH21" s="633">
        <f t="shared" ref="AH21:AI32" si="16">+Y21+AB21+AE21</f>
        <v>0.1</v>
      </c>
      <c r="AI21" s="629">
        <f t="shared" si="16"/>
        <v>13000</v>
      </c>
      <c r="AJ21" s="634">
        <f t="shared" si="9"/>
        <v>12999.9</v>
      </c>
      <c r="AK21" s="632">
        <f>+IFERROR(HLOOKUP($A$1,[16]이송계획!$G$6:$R$318,2,),)</f>
        <v>264.33566433566432</v>
      </c>
      <c r="AL21" s="629" t="str">
        <f>+'[17]부산모래장(손익)'!$P$38</f>
        <v>(주)동양건재부문_EJ1_부산레미콘</v>
      </c>
      <c r="AM21" s="705" t="e">
        <f t="shared" si="10"/>
        <v>#VALUE!</v>
      </c>
      <c r="AN21" s="632">
        <f>+IFERROR(HLOOKUP($A$1,[16]이송계획!$G$6:$R$318,9,),)</f>
        <v>4361.5384615384619</v>
      </c>
      <c r="AO21" s="629" t="str">
        <f>+'[17]부산모래장(손익)'!$O$38</f>
        <v>부산</v>
      </c>
      <c r="AP21" s="632" t="e">
        <f t="shared" si="11"/>
        <v>#VALUE!</v>
      </c>
      <c r="AQ21" s="633">
        <f t="shared" ref="AQ21:AR26" si="17">AK21+AN21</f>
        <v>4625.8741258741265</v>
      </c>
      <c r="AR21" s="629" t="e">
        <f t="shared" si="17"/>
        <v>#VALUE!</v>
      </c>
      <c r="AS21" s="634" t="e">
        <f t="shared" si="12"/>
        <v>#VALUE!</v>
      </c>
      <c r="AT21" s="633">
        <f t="shared" ref="AT21:AT26" si="18">+V21+AH21+AQ21</f>
        <v>23894.700525874126</v>
      </c>
      <c r="AU21" s="629" t="e">
        <f t="shared" ref="AU21:AU26" si="19">+W21+AI21+AR21</f>
        <v>#VALUE!</v>
      </c>
      <c r="AV21" s="634" t="e">
        <f t="shared" si="13"/>
        <v>#VALUE!</v>
      </c>
      <c r="AX21" s="719" t="b">
        <f>+AX20=AT20</f>
        <v>1</v>
      </c>
      <c r="AY21" s="656" t="b">
        <f>+AY20=AU20</f>
        <v>0</v>
      </c>
    </row>
    <row r="22" spans="4:51" ht="28.5" customHeight="1">
      <c r="D22" s="479"/>
      <c r="E22" s="635" t="s">
        <v>0</v>
      </c>
      <c r="F22" s="657" t="s">
        <v>22</v>
      </c>
      <c r="G22" s="658">
        <f>+IFERROR(HLOOKUP($A$1,[14]물량!$G$5:$R$83,3,),)</f>
        <v>11988.466666666667</v>
      </c>
      <c r="H22" s="659">
        <f>+'[7]서부산크라샤(당월)'!$F$61</f>
        <v>9400</v>
      </c>
      <c r="I22" s="660">
        <f t="shared" si="0"/>
        <v>-2588.4666666666672</v>
      </c>
      <c r="J22" s="661">
        <f>+IFERROR(HLOOKUP($A$1,[14]물량!$G$5:$R$83,11,),)</f>
        <v>7782</v>
      </c>
      <c r="K22" s="659">
        <f>+'[7]서부산크라샤(당월)'!$I$61</f>
        <v>3400</v>
      </c>
      <c r="L22" s="662">
        <f t="shared" si="1"/>
        <v>-4382</v>
      </c>
      <c r="M22" s="661"/>
      <c r="N22" s="659">
        <f>+'[7]서부산크라샤(당월)'!$L$61</f>
        <v>0</v>
      </c>
      <c r="O22" s="662">
        <f t="shared" si="2"/>
        <v>0</v>
      </c>
      <c r="P22" s="661"/>
      <c r="Q22" s="659">
        <f>+'[7]서부산크라샤(당월)'!$U$61</f>
        <v>0</v>
      </c>
      <c r="R22" s="662">
        <f t="shared" si="3"/>
        <v>0</v>
      </c>
      <c r="S22" s="661"/>
      <c r="T22" s="659">
        <f>+'[7]서부산크라샤(당월)'!$R$61</f>
        <v>0</v>
      </c>
      <c r="U22" s="662">
        <f t="shared" si="4"/>
        <v>0</v>
      </c>
      <c r="V22" s="663">
        <f t="shared" si="14"/>
        <v>19770.466666666667</v>
      </c>
      <c r="W22" s="659">
        <f t="shared" si="15"/>
        <v>12800</v>
      </c>
      <c r="X22" s="664">
        <f t="shared" si="5"/>
        <v>-6970.4666666666672</v>
      </c>
      <c r="Y22" s="658">
        <f>+IFERROR(HLOOKUP($A$1,[15]물량!$G$5:$R$97,3,),)</f>
        <v>0</v>
      </c>
      <c r="Z22" s="659">
        <f>+'[7]부산크라샤(당월)'!$F$61</f>
        <v>0</v>
      </c>
      <c r="AA22" s="660">
        <f t="shared" si="6"/>
        <v>0</v>
      </c>
      <c r="AB22" s="661">
        <f>+IFERROR(HLOOKUP($A$1,[15]물량!$G$5:$R$97,11,),)</f>
        <v>0</v>
      </c>
      <c r="AC22" s="659">
        <f>+'[7]부산크라샤(당월)'!$I$61</f>
        <v>1600</v>
      </c>
      <c r="AD22" s="662">
        <f t="shared" si="7"/>
        <v>1600</v>
      </c>
      <c r="AE22" s="661"/>
      <c r="AF22" s="659">
        <f>+'[7]부산크라샤(당월)'!$L$61</f>
        <v>0</v>
      </c>
      <c r="AG22" s="662">
        <f t="shared" si="8"/>
        <v>0</v>
      </c>
      <c r="AH22" s="663">
        <f t="shared" si="16"/>
        <v>0</v>
      </c>
      <c r="AI22" s="659">
        <f t="shared" si="16"/>
        <v>1600</v>
      </c>
      <c r="AJ22" s="664">
        <f t="shared" si="9"/>
        <v>1600</v>
      </c>
      <c r="AK22" s="662">
        <f>+IFERROR(HLOOKUP($A$1,[16]이송계획!$G$6:$R$318,3,),)</f>
        <v>0</v>
      </c>
      <c r="AL22" s="659" t="str">
        <f>+'[17]부산모래장(손익)'!$P$39</f>
        <v>(주)동양건재부문_EK1_서부산레미콘</v>
      </c>
      <c r="AM22" s="708" t="e">
        <f t="shared" si="10"/>
        <v>#VALUE!</v>
      </c>
      <c r="AN22" s="662">
        <f>+IFERROR(HLOOKUP($A$1,[16]이송계획!$G$6:$R$318,10,),)</f>
        <v>0</v>
      </c>
      <c r="AO22" s="659" t="str">
        <f>+'[17]부산모래장(손익)'!$O$39</f>
        <v>서부산</v>
      </c>
      <c r="AP22" s="662" t="e">
        <f t="shared" si="11"/>
        <v>#VALUE!</v>
      </c>
      <c r="AQ22" s="663">
        <f t="shared" si="17"/>
        <v>0</v>
      </c>
      <c r="AR22" s="659" t="e">
        <f t="shared" si="17"/>
        <v>#VALUE!</v>
      </c>
      <c r="AS22" s="664" t="e">
        <f t="shared" si="12"/>
        <v>#VALUE!</v>
      </c>
      <c r="AT22" s="663">
        <f t="shared" si="18"/>
        <v>19770.466666666667</v>
      </c>
      <c r="AU22" s="659" t="e">
        <f t="shared" si="19"/>
        <v>#VALUE!</v>
      </c>
      <c r="AV22" s="664" t="e">
        <f t="shared" si="13"/>
        <v>#VALUE!</v>
      </c>
      <c r="AX22" s="86">
        <f>+AT20-AX20</f>
        <v>0</v>
      </c>
      <c r="AY22" s="86">
        <f>+AU20-AY20</f>
        <v>-15733.657361082078</v>
      </c>
    </row>
    <row r="23" spans="4:51" ht="28.5" customHeight="1">
      <c r="D23" s="479"/>
      <c r="E23" s="635"/>
      <c r="F23" s="657" t="s">
        <v>23</v>
      </c>
      <c r="G23" s="658">
        <f>+IFERROR(HLOOKUP($A$1,[14]물량!$G$5:$R$83,4,),)</f>
        <v>1540</v>
      </c>
      <c r="H23" s="659">
        <f>+'[7]서부산크라샤(당월)'!$F$62</f>
        <v>0</v>
      </c>
      <c r="I23" s="660">
        <f t="shared" si="0"/>
        <v>-1540</v>
      </c>
      <c r="J23" s="661">
        <f>+IFERROR(HLOOKUP($A$1,[14]물량!$G$5:$R$83,12,),)</f>
        <v>1330</v>
      </c>
      <c r="K23" s="659">
        <f>+'[7]서부산크라샤(당월)'!$I$62</f>
        <v>0</v>
      </c>
      <c r="L23" s="662">
        <f t="shared" si="1"/>
        <v>-1330</v>
      </c>
      <c r="M23" s="661"/>
      <c r="N23" s="659">
        <f>+'[7]서부산크라샤(당월)'!$L$62</f>
        <v>0</v>
      </c>
      <c r="O23" s="662">
        <f t="shared" si="2"/>
        <v>0</v>
      </c>
      <c r="P23" s="661"/>
      <c r="Q23" s="659">
        <f>+'[7]서부산크라샤(당월)'!$U$62</f>
        <v>0</v>
      </c>
      <c r="R23" s="662">
        <f t="shared" si="3"/>
        <v>0</v>
      </c>
      <c r="S23" s="661"/>
      <c r="T23" s="659">
        <f>+'[7]서부산크라샤(당월)'!$R$62</f>
        <v>0</v>
      </c>
      <c r="U23" s="662">
        <f t="shared" si="4"/>
        <v>0</v>
      </c>
      <c r="V23" s="663">
        <f t="shared" si="14"/>
        <v>2870</v>
      </c>
      <c r="W23" s="659">
        <f t="shared" si="15"/>
        <v>0</v>
      </c>
      <c r="X23" s="664">
        <f t="shared" si="5"/>
        <v>-2870</v>
      </c>
      <c r="Y23" s="658">
        <f>+IFERROR(HLOOKUP($A$1,[15]물량!$G$5:$R$97,4,),)</f>
        <v>0</v>
      </c>
      <c r="Z23" s="659">
        <f>+'[7]부산크라샤(당월)'!$F$62</f>
        <v>0</v>
      </c>
      <c r="AA23" s="660">
        <f t="shared" si="6"/>
        <v>0</v>
      </c>
      <c r="AB23" s="661">
        <f>+IFERROR(HLOOKUP($A$1,[15]물량!$G$5:$R$97,12,),)</f>
        <v>0</v>
      </c>
      <c r="AC23" s="659">
        <f>+'[7]부산크라샤(당월)'!$I$62</f>
        <v>0</v>
      </c>
      <c r="AD23" s="662">
        <f t="shared" si="7"/>
        <v>0</v>
      </c>
      <c r="AE23" s="661"/>
      <c r="AF23" s="659">
        <f>+'[7]부산크라샤(당월)'!$L$62</f>
        <v>0</v>
      </c>
      <c r="AG23" s="662">
        <f t="shared" si="8"/>
        <v>0</v>
      </c>
      <c r="AH23" s="663">
        <f t="shared" si="16"/>
        <v>0</v>
      </c>
      <c r="AI23" s="659">
        <f t="shared" si="16"/>
        <v>0</v>
      </c>
      <c r="AJ23" s="664">
        <f t="shared" si="9"/>
        <v>0</v>
      </c>
      <c r="AK23" s="662">
        <f>+IFERROR(HLOOKUP($A$1,[16]이송계획!$G$6:$R$318,4,),)</f>
        <v>0</v>
      </c>
      <c r="AL23" s="659" t="str">
        <f>+'[17]부산모래장(손익)'!$P$40</f>
        <v>(주)동양건재부문_EL1_김해레미콘</v>
      </c>
      <c r="AM23" s="708" t="e">
        <f t="shared" si="10"/>
        <v>#VALUE!</v>
      </c>
      <c r="AN23" s="662">
        <f>+IFERROR(HLOOKUP($A$1,[16]이송계획!$G$6:$R$318,11,),)</f>
        <v>1468.5314685314686</v>
      </c>
      <c r="AO23" s="659" t="str">
        <f>+'[17]부산모래장(손익)'!$O$40</f>
        <v>김해</v>
      </c>
      <c r="AP23" s="662" t="e">
        <f t="shared" si="11"/>
        <v>#VALUE!</v>
      </c>
      <c r="AQ23" s="663">
        <f t="shared" si="17"/>
        <v>1468.5314685314686</v>
      </c>
      <c r="AR23" s="659" t="e">
        <f t="shared" si="17"/>
        <v>#VALUE!</v>
      </c>
      <c r="AS23" s="664" t="e">
        <f t="shared" si="12"/>
        <v>#VALUE!</v>
      </c>
      <c r="AT23" s="663">
        <f t="shared" si="18"/>
        <v>4338.5314685314688</v>
      </c>
      <c r="AU23" s="659" t="e">
        <f t="shared" si="19"/>
        <v>#VALUE!</v>
      </c>
      <c r="AV23" s="664" t="e">
        <f t="shared" si="13"/>
        <v>#VALUE!</v>
      </c>
    </row>
    <row r="24" spans="4:51" ht="28.5" customHeight="1">
      <c r="D24" s="479"/>
      <c r="E24" s="635"/>
      <c r="F24" s="657" t="s">
        <v>24</v>
      </c>
      <c r="G24" s="658">
        <f>+IFERROR(HLOOKUP($A$1,[14]물량!$G$5:$R$83,5,),)</f>
        <v>0</v>
      </c>
      <c r="H24" s="659">
        <f>+'[7]서부산크라샤(당월)'!$F$63</f>
        <v>0</v>
      </c>
      <c r="I24" s="660">
        <f t="shared" si="0"/>
        <v>0</v>
      </c>
      <c r="J24" s="661">
        <f>+IFERROR(HLOOKUP($A$1,[14]물량!$G$5:$R$83,13,),)</f>
        <v>0</v>
      </c>
      <c r="K24" s="659">
        <f>+'[7]서부산크라샤(당월)'!$I$63</f>
        <v>0</v>
      </c>
      <c r="L24" s="662">
        <f t="shared" si="1"/>
        <v>0</v>
      </c>
      <c r="M24" s="661"/>
      <c r="N24" s="659">
        <f>+'[7]서부산크라샤(당월)'!$L$63</f>
        <v>0</v>
      </c>
      <c r="O24" s="662">
        <f t="shared" si="2"/>
        <v>0</v>
      </c>
      <c r="P24" s="661"/>
      <c r="Q24" s="659">
        <f>+'[7]서부산크라샤(당월)'!$U$63</f>
        <v>0</v>
      </c>
      <c r="R24" s="662">
        <f t="shared" si="3"/>
        <v>0</v>
      </c>
      <c r="S24" s="661"/>
      <c r="T24" s="659">
        <f>+'[7]서부산크라샤(당월)'!$R$63</f>
        <v>0</v>
      </c>
      <c r="U24" s="662">
        <f t="shared" si="4"/>
        <v>0</v>
      </c>
      <c r="V24" s="663">
        <f t="shared" si="14"/>
        <v>0</v>
      </c>
      <c r="W24" s="659">
        <f t="shared" si="15"/>
        <v>0</v>
      </c>
      <c r="X24" s="664">
        <f t="shared" si="5"/>
        <v>0</v>
      </c>
      <c r="Y24" s="658">
        <f>+IFERROR(HLOOKUP($A$1,[15]물량!$G$5:$R$97,5,),)</f>
        <v>0</v>
      </c>
      <c r="Z24" s="659">
        <f>+'[7]부산크라샤(당월)'!$F$63</f>
        <v>0</v>
      </c>
      <c r="AA24" s="660">
        <f t="shared" si="6"/>
        <v>0</v>
      </c>
      <c r="AB24" s="661">
        <f>+IFERROR(HLOOKUP($A$1,[15]물량!$G$5:$R$97,13,),)</f>
        <v>0</v>
      </c>
      <c r="AC24" s="659">
        <f>+'[7]부산크라샤(당월)'!$I$63</f>
        <v>16</v>
      </c>
      <c r="AD24" s="662">
        <f t="shared" si="7"/>
        <v>16</v>
      </c>
      <c r="AE24" s="661"/>
      <c r="AF24" s="659">
        <f>+'[7]부산크라샤(당월)'!$L$63</f>
        <v>0</v>
      </c>
      <c r="AG24" s="662">
        <f t="shared" si="8"/>
        <v>0</v>
      </c>
      <c r="AH24" s="663">
        <f t="shared" si="16"/>
        <v>0</v>
      </c>
      <c r="AI24" s="659">
        <f t="shared" si="16"/>
        <v>16</v>
      </c>
      <c r="AJ24" s="664">
        <f t="shared" si="9"/>
        <v>16</v>
      </c>
      <c r="AK24" s="662">
        <f>+IFERROR(HLOOKUP($A$1,[16]이송계획!$G$6:$R$318,5,),)</f>
        <v>4851.822750446092</v>
      </c>
      <c r="AL24" s="659" t="str">
        <f>+'[17]부산모래장(손익)'!$P$41</f>
        <v>(주)동양건재부문_EM1_정관레미콘</v>
      </c>
      <c r="AM24" s="708" t="e">
        <f t="shared" si="10"/>
        <v>#VALUE!</v>
      </c>
      <c r="AN24" s="662">
        <f>+IFERROR(HLOOKUP($A$1,[16]이송계획!$G$6:$R$318,12,),)</f>
        <v>0</v>
      </c>
      <c r="AO24" s="659" t="str">
        <f>+'[17]부산모래장(손익)'!$O$41</f>
        <v>정관</v>
      </c>
      <c r="AP24" s="662" t="e">
        <f t="shared" si="11"/>
        <v>#VALUE!</v>
      </c>
      <c r="AQ24" s="663">
        <f t="shared" si="17"/>
        <v>4851.822750446092</v>
      </c>
      <c r="AR24" s="659" t="e">
        <f t="shared" si="17"/>
        <v>#VALUE!</v>
      </c>
      <c r="AS24" s="664" t="e">
        <f t="shared" si="12"/>
        <v>#VALUE!</v>
      </c>
      <c r="AT24" s="663">
        <f t="shared" si="18"/>
        <v>4851.822750446092</v>
      </c>
      <c r="AU24" s="659" t="e">
        <f t="shared" si="19"/>
        <v>#VALUE!</v>
      </c>
      <c r="AV24" s="664" t="e">
        <f t="shared" si="13"/>
        <v>#VALUE!</v>
      </c>
    </row>
    <row r="25" spans="4:51" ht="28.5" customHeight="1">
      <c r="D25" s="479"/>
      <c r="E25" s="635"/>
      <c r="F25" s="657" t="s">
        <v>25</v>
      </c>
      <c r="G25" s="658">
        <f>+IFERROR(HLOOKUP($A$1,[14]물량!$G$5:$R$83,6,),)</f>
        <v>0</v>
      </c>
      <c r="H25" s="659">
        <f>+'[7]서부산크라샤(당월)'!$F$64</f>
        <v>0</v>
      </c>
      <c r="I25" s="660">
        <f t="shared" si="0"/>
        <v>0</v>
      </c>
      <c r="J25" s="661">
        <f>+IFERROR(HLOOKUP($A$1,[14]물량!$G$5:$R$83,14,),)</f>
        <v>0</v>
      </c>
      <c r="K25" s="659">
        <f>+'[7]서부산크라샤(당월)'!$I$64</f>
        <v>0</v>
      </c>
      <c r="L25" s="662">
        <f t="shared" si="1"/>
        <v>0</v>
      </c>
      <c r="M25" s="661"/>
      <c r="N25" s="659">
        <f>+'[7]서부산크라샤(당월)'!$L$64</f>
        <v>0</v>
      </c>
      <c r="O25" s="662">
        <f t="shared" si="2"/>
        <v>0</v>
      </c>
      <c r="P25" s="661"/>
      <c r="Q25" s="659">
        <f>+'[7]서부산크라샤(당월)'!$U$64</f>
        <v>0</v>
      </c>
      <c r="R25" s="662">
        <f t="shared" si="3"/>
        <v>0</v>
      </c>
      <c r="S25" s="661"/>
      <c r="T25" s="659">
        <f>+'[7]서부산크라샤(당월)'!$R$64</f>
        <v>0</v>
      </c>
      <c r="U25" s="662">
        <f t="shared" si="4"/>
        <v>0</v>
      </c>
      <c r="V25" s="663">
        <f t="shared" si="14"/>
        <v>0</v>
      </c>
      <c r="W25" s="659">
        <f t="shared" si="15"/>
        <v>0</v>
      </c>
      <c r="X25" s="664">
        <f t="shared" si="5"/>
        <v>0</v>
      </c>
      <c r="Y25" s="658">
        <f>+IFERROR(HLOOKUP($A$1,[15]물량!$G$5:$R$97,6,),)</f>
        <v>0</v>
      </c>
      <c r="Z25" s="659">
        <f>+'[7]부산크라샤(당월)'!$F$64</f>
        <v>0</v>
      </c>
      <c r="AA25" s="660">
        <f t="shared" si="6"/>
        <v>0</v>
      </c>
      <c r="AB25" s="661">
        <f>+IFERROR(HLOOKUP($A$1,[15]물량!$G$5:$R$97,14,),)</f>
        <v>0</v>
      </c>
      <c r="AC25" s="659">
        <f>+'[7]부산크라샤(당월)'!$I$64</f>
        <v>0</v>
      </c>
      <c r="AD25" s="662">
        <f t="shared" si="7"/>
        <v>0</v>
      </c>
      <c r="AE25" s="661"/>
      <c r="AF25" s="659">
        <f>+'[7]부산크라샤(당월)'!$L$64</f>
        <v>0</v>
      </c>
      <c r="AG25" s="662">
        <f t="shared" si="8"/>
        <v>0</v>
      </c>
      <c r="AH25" s="663">
        <f t="shared" si="16"/>
        <v>0</v>
      </c>
      <c r="AI25" s="659">
        <f t="shared" si="16"/>
        <v>0</v>
      </c>
      <c r="AJ25" s="664">
        <f t="shared" si="9"/>
        <v>0</v>
      </c>
      <c r="AK25" s="662">
        <f>+IFERROR(HLOOKUP($A$1,[16]이송계획!$G$6:$R$318,6,),)</f>
        <v>0</v>
      </c>
      <c r="AL25" s="659" t="str">
        <f>+'[17]부산모래장(손익)'!$P$42</f>
        <v>(주)동양건재부문_EN1_양산레미콘</v>
      </c>
      <c r="AM25" s="708" t="e">
        <f t="shared" si="10"/>
        <v>#VALUE!</v>
      </c>
      <c r="AN25" s="662">
        <f>+IFERROR(HLOOKUP($A$1,[16]이송계획!$G$6:$R$318,13,),)</f>
        <v>0</v>
      </c>
      <c r="AO25" s="659" t="str">
        <f>+'[17]부산모래장(손익)'!$O$42</f>
        <v>양산</v>
      </c>
      <c r="AP25" s="662" t="e">
        <f t="shared" si="11"/>
        <v>#VALUE!</v>
      </c>
      <c r="AQ25" s="663">
        <f t="shared" si="17"/>
        <v>0</v>
      </c>
      <c r="AR25" s="659" t="e">
        <f t="shared" si="17"/>
        <v>#VALUE!</v>
      </c>
      <c r="AS25" s="664" t="e">
        <f t="shared" si="12"/>
        <v>#VALUE!</v>
      </c>
      <c r="AT25" s="663">
        <f t="shared" si="18"/>
        <v>0</v>
      </c>
      <c r="AU25" s="659" t="e">
        <f t="shared" si="19"/>
        <v>#VALUE!</v>
      </c>
      <c r="AV25" s="664" t="e">
        <f t="shared" si="13"/>
        <v>#VALUE!</v>
      </c>
    </row>
    <row r="26" spans="4:51" ht="28.5" customHeight="1">
      <c r="D26" s="479"/>
      <c r="E26" s="635"/>
      <c r="F26" s="657" t="s">
        <v>26</v>
      </c>
      <c r="G26" s="658">
        <f>+IFERROR(HLOOKUP($A$1,[14]물량!$G$5:$R$83,7,),)</f>
        <v>730.6</v>
      </c>
      <c r="H26" s="659">
        <f>+'[7]서부산크라샤(당월)'!$F$65</f>
        <v>0</v>
      </c>
      <c r="I26" s="660">
        <f t="shared" si="0"/>
        <v>-730.6</v>
      </c>
      <c r="J26" s="661">
        <f>+IFERROR(HLOOKUP($A$1,[14]물량!$G$5:$R$83,15,),)</f>
        <v>408.45161290322579</v>
      </c>
      <c r="K26" s="659">
        <f>+'[7]서부산크라샤(당월)'!$I$65</f>
        <v>0</v>
      </c>
      <c r="L26" s="662">
        <f t="shared" si="1"/>
        <v>-408.45161290322579</v>
      </c>
      <c r="M26" s="661"/>
      <c r="N26" s="659">
        <f>+'[7]서부산크라샤(당월)'!$L$65</f>
        <v>0</v>
      </c>
      <c r="O26" s="662">
        <f t="shared" si="2"/>
        <v>0</v>
      </c>
      <c r="P26" s="661"/>
      <c r="Q26" s="659">
        <f>+'[7]서부산크라샤(당월)'!$U$65</f>
        <v>0</v>
      </c>
      <c r="R26" s="662">
        <f t="shared" si="3"/>
        <v>0</v>
      </c>
      <c r="S26" s="661"/>
      <c r="T26" s="659">
        <f>+'[7]서부산크라샤(당월)'!$R$65</f>
        <v>0</v>
      </c>
      <c r="U26" s="662">
        <f t="shared" si="4"/>
        <v>0</v>
      </c>
      <c r="V26" s="663">
        <f t="shared" si="14"/>
        <v>1139.0516129032258</v>
      </c>
      <c r="W26" s="638">
        <f t="shared" si="15"/>
        <v>0</v>
      </c>
      <c r="X26" s="665">
        <f t="shared" si="5"/>
        <v>-1139.0516129032258</v>
      </c>
      <c r="Y26" s="658">
        <f>+IFERROR(HLOOKUP($A$1,[15]물량!$G$5:$R$97,7,),)</f>
        <v>0</v>
      </c>
      <c r="Z26" s="659">
        <f>+'[7]부산크라샤(당월)'!$F$65</f>
        <v>0</v>
      </c>
      <c r="AA26" s="660">
        <f t="shared" si="6"/>
        <v>0</v>
      </c>
      <c r="AB26" s="661">
        <f>+IFERROR(HLOOKUP($A$1,[15]물량!$G$5:$R$97,15,),)</f>
        <v>0</v>
      </c>
      <c r="AC26" s="659">
        <f>+'[7]부산크라샤(당월)'!$I$65</f>
        <v>0</v>
      </c>
      <c r="AD26" s="662">
        <f t="shared" si="7"/>
        <v>0</v>
      </c>
      <c r="AE26" s="661"/>
      <c r="AF26" s="659">
        <f>+'[7]부산크라샤(당월)'!$L$65</f>
        <v>0</v>
      </c>
      <c r="AG26" s="662">
        <f t="shared" si="8"/>
        <v>0</v>
      </c>
      <c r="AH26" s="663">
        <f t="shared" si="16"/>
        <v>0</v>
      </c>
      <c r="AI26" s="638">
        <f t="shared" si="16"/>
        <v>0</v>
      </c>
      <c r="AJ26" s="665">
        <f t="shared" si="9"/>
        <v>0</v>
      </c>
      <c r="AK26" s="662">
        <f>+IFERROR(HLOOKUP($A$1,[16]이송계획!$G$6:$R$318,7,),)</f>
        <v>0</v>
      </c>
      <c r="AL26" s="659" t="str">
        <f>+'[17]부산모래장(손익)'!$P$43</f>
        <v>(주)동양건재부문_EH1_창원레미콘</v>
      </c>
      <c r="AM26" s="708" t="e">
        <f t="shared" si="10"/>
        <v>#VALUE!</v>
      </c>
      <c r="AN26" s="662">
        <f>+IFERROR(HLOOKUP($A$1,[16]이송계획!$G$6:$R$318,14,),)</f>
        <v>0</v>
      </c>
      <c r="AO26" s="659" t="str">
        <f>+'[17]부산모래장(손익)'!$O$43</f>
        <v>창원</v>
      </c>
      <c r="AP26" s="662" t="e">
        <f t="shared" si="11"/>
        <v>#VALUE!</v>
      </c>
      <c r="AQ26" s="663">
        <f t="shared" si="17"/>
        <v>0</v>
      </c>
      <c r="AR26" s="638" t="e">
        <f t="shared" si="17"/>
        <v>#VALUE!</v>
      </c>
      <c r="AS26" s="665" t="e">
        <f t="shared" si="12"/>
        <v>#VALUE!</v>
      </c>
      <c r="AT26" s="663">
        <f t="shared" si="18"/>
        <v>1139.0516129032258</v>
      </c>
      <c r="AU26" s="638" t="e">
        <f t="shared" si="19"/>
        <v>#VALUE!</v>
      </c>
      <c r="AV26" s="664" t="e">
        <f t="shared" si="13"/>
        <v>#VALUE!</v>
      </c>
    </row>
    <row r="27" spans="4:51" ht="28.5" customHeight="1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20">IFERROR(H35/H21,)*1000</f>
        <v>0</v>
      </c>
      <c r="I27" s="668">
        <f t="shared" si="0"/>
        <v>-12500</v>
      </c>
      <c r="J27" s="669">
        <f>+IFERROR(HLOOKUP($A$1,[14]매출!$G$5:$R$170,10,),)</f>
        <v>18500</v>
      </c>
      <c r="K27" s="667">
        <f t="shared" ref="K27:K32" si="21">IFERROR(K35/K21,)*1000</f>
        <v>0</v>
      </c>
      <c r="L27" s="170">
        <f t="shared" si="1"/>
        <v>-18500</v>
      </c>
      <c r="M27" s="669"/>
      <c r="N27" s="667">
        <f t="shared" ref="N27:N32" si="22">IFERROR(N35/N21,)*1000</f>
        <v>0</v>
      </c>
      <c r="O27" s="170">
        <f t="shared" si="2"/>
        <v>0</v>
      </c>
      <c r="P27" s="669"/>
      <c r="Q27" s="667">
        <f t="shared" ref="Q27:Q32" si="23">IFERROR(Q35/Q21,)*1000</f>
        <v>0</v>
      </c>
      <c r="R27" s="170">
        <f t="shared" si="3"/>
        <v>0</v>
      </c>
      <c r="S27" s="669"/>
      <c r="T27" s="667">
        <f t="shared" ref="T27:T32" si="24">IFERROR(T35/T21,)*1000</f>
        <v>0</v>
      </c>
      <c r="U27" s="170">
        <f t="shared" si="4"/>
        <v>0</v>
      </c>
      <c r="V27" s="670">
        <f>+IFERROR(HLOOKUP($A$1,[14]매출!$G$5:$R$170,50,),)</f>
        <v>15024.743929105765</v>
      </c>
      <c r="W27" s="671">
        <f t="shared" ref="W27:W32" si="25">IFERROR(W35/W21,)*1000</f>
        <v>0</v>
      </c>
      <c r="X27" s="672">
        <f t="shared" si="5"/>
        <v>-15024.743929105765</v>
      </c>
      <c r="Y27" s="169">
        <f>+IFERROR(HLOOKUP($A$1,[15]매출!$G$5:$R$164,2,),)</f>
        <v>0</v>
      </c>
      <c r="Z27" s="667">
        <f t="shared" ref="Z27:Z32" si="26">IFERROR(Z35/Z21,)*1000</f>
        <v>17500</v>
      </c>
      <c r="AA27" s="668">
        <f t="shared" si="6"/>
        <v>17500</v>
      </c>
      <c r="AB27" s="669">
        <f>+IFERROR(HLOOKUP($A$1,[15]매출!$G$5:$R$164,10,),)</f>
        <v>0</v>
      </c>
      <c r="AC27" s="667">
        <f t="shared" ref="AC27:AC32" si="27">IFERROR(AC35/AC21,)*1000</f>
        <v>23500</v>
      </c>
      <c r="AD27" s="170">
        <f t="shared" si="7"/>
        <v>23500</v>
      </c>
      <c r="AE27" s="669"/>
      <c r="AF27" s="667">
        <f t="shared" ref="AF27:AF32" si="28">IFERROR(AF35/AF21,)*1000</f>
        <v>0</v>
      </c>
      <c r="AG27" s="170">
        <f t="shared" si="8"/>
        <v>0</v>
      </c>
      <c r="AH27" s="670">
        <f>+IFERROR(HLOOKUP($A$1,[15]매출!$G$5:$R$164,50,),)</f>
        <v>0</v>
      </c>
      <c r="AI27" s="671">
        <f t="shared" si="16"/>
        <v>41000</v>
      </c>
      <c r="AJ27" s="672">
        <f t="shared" si="9"/>
        <v>41000</v>
      </c>
      <c r="AK27" s="170">
        <f>+IFERROR(HLOOKUP($A$1,[16]이송계획!$G$6:$R$318,34,),)</f>
        <v>38000</v>
      </c>
      <c r="AL27" s="667">
        <f>+'[17]부산모래장(손익)'!$P$46</f>
        <v>0</v>
      </c>
      <c r="AM27" s="251">
        <f t="shared" si="10"/>
        <v>-38000</v>
      </c>
      <c r="AN27" s="170">
        <f>+IFERROR(HLOOKUP($A$1,[16]이송계획!$G$6:$R$318,41,),)</f>
        <v>30500</v>
      </c>
      <c r="AO27" s="667">
        <f>+IFERROR(INDEX('[17]부산모래장(손익)'!$O$46:$S$51,MATCH($F27,'[17]부산모래장(손익)'!$M$46:$M$51,),MATCH($AN$6,'[17]부산모래장(손익)'!$O$37:$S$37,)),)</f>
        <v>0</v>
      </c>
      <c r="AP27" s="170">
        <f t="shared" si="11"/>
        <v>-30500</v>
      </c>
      <c r="AQ27" s="670">
        <f t="shared" ref="AQ27:AR32" si="29">IFERROR(AQ35/AQ21,)*1000</f>
        <v>2171.4285714285706</v>
      </c>
      <c r="AR27" s="671">
        <f t="shared" si="29"/>
        <v>0</v>
      </c>
      <c r="AS27" s="672">
        <f t="shared" si="12"/>
        <v>-2171.4285714285706</v>
      </c>
      <c r="AT27" s="512">
        <f t="shared" ref="AT27:AU32" si="30">IFERROR(AT35/AT21,)*1000</f>
        <v>12536.354448987047</v>
      </c>
      <c r="AU27" s="667">
        <f t="shared" si="30"/>
        <v>0</v>
      </c>
      <c r="AV27" s="514">
        <f t="shared" si="13"/>
        <v>-12536.354448987047</v>
      </c>
    </row>
    <row r="28" spans="4:51" ht="28.5" customHeight="1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20"/>
        <v>0</v>
      </c>
      <c r="I28" s="675">
        <f t="shared" si="0"/>
        <v>-16000</v>
      </c>
      <c r="J28" s="676">
        <f>+IFERROR(HLOOKUP($A$1,[14]매출!$G$5:$R$170,11,),)</f>
        <v>22000</v>
      </c>
      <c r="K28" s="674">
        <f t="shared" si="21"/>
        <v>0</v>
      </c>
      <c r="L28" s="504">
        <f t="shared" si="1"/>
        <v>-22000</v>
      </c>
      <c r="M28" s="676"/>
      <c r="N28" s="674">
        <f t="shared" si="22"/>
        <v>0</v>
      </c>
      <c r="O28" s="504">
        <f t="shared" si="2"/>
        <v>0</v>
      </c>
      <c r="P28" s="676"/>
      <c r="Q28" s="674">
        <f t="shared" si="23"/>
        <v>0</v>
      </c>
      <c r="R28" s="504">
        <f t="shared" si="3"/>
        <v>0</v>
      </c>
      <c r="S28" s="676"/>
      <c r="T28" s="674">
        <f t="shared" si="24"/>
        <v>0</v>
      </c>
      <c r="U28" s="504">
        <f t="shared" si="4"/>
        <v>0</v>
      </c>
      <c r="V28" s="677">
        <f>+IFERROR(HLOOKUP($A$1,[14]매출!$G$5:$R$170,51,),)</f>
        <v>18361.704495257236</v>
      </c>
      <c r="W28" s="678">
        <f t="shared" si="25"/>
        <v>0</v>
      </c>
      <c r="X28" s="679">
        <f t="shared" si="5"/>
        <v>-18361.704495257236</v>
      </c>
      <c r="Y28" s="673">
        <f>+IFERROR(HLOOKUP($A$1,[15]매출!$G$5:$R$164,3,),)</f>
        <v>0</v>
      </c>
      <c r="Z28" s="674">
        <f t="shared" si="26"/>
        <v>0</v>
      </c>
      <c r="AA28" s="675">
        <f t="shared" si="6"/>
        <v>0</v>
      </c>
      <c r="AB28" s="676">
        <f>+IFERROR(HLOOKUP($A$1,[15]매출!$G$5:$R$164,11,),)</f>
        <v>0</v>
      </c>
      <c r="AC28" s="674">
        <f t="shared" si="27"/>
        <v>18000</v>
      </c>
      <c r="AD28" s="504">
        <f t="shared" si="7"/>
        <v>18000</v>
      </c>
      <c r="AE28" s="676"/>
      <c r="AF28" s="674">
        <f t="shared" si="28"/>
        <v>0</v>
      </c>
      <c r="AG28" s="504">
        <f t="shared" si="8"/>
        <v>0</v>
      </c>
      <c r="AH28" s="677">
        <f>+IFERROR(HLOOKUP($A$1,[15]매출!$G$5:$R$164,51,),)</f>
        <v>0</v>
      </c>
      <c r="AI28" s="678">
        <f t="shared" si="16"/>
        <v>18000</v>
      </c>
      <c r="AJ28" s="679">
        <f t="shared" si="9"/>
        <v>18000</v>
      </c>
      <c r="AK28" s="504">
        <f>+IFERROR(HLOOKUP($A$1,[16]이송계획!$G$6:$R$318,35,),)</f>
        <v>0</v>
      </c>
      <c r="AL28" s="674">
        <f>+'[17]부산모래장(손익)'!$P$47</f>
        <v>0</v>
      </c>
      <c r="AM28" s="709">
        <f t="shared" si="10"/>
        <v>0</v>
      </c>
      <c r="AN28" s="504">
        <f>+IFERROR(HLOOKUP($A$1,[16]이송계획!$G$6:$R$318,42,),)</f>
        <v>26500</v>
      </c>
      <c r="AO28" s="674">
        <f>+IFERROR(INDEX('[17]부산모래장(손익)'!$O$46:$S$51,MATCH($F28,'[17]부산모래장(손익)'!$M$46:$M$51,),MATCH($AN$6,'[17]부산모래장(손익)'!$O$37:$S$37,)),)</f>
        <v>0</v>
      </c>
      <c r="AP28" s="504">
        <f t="shared" si="11"/>
        <v>-26500</v>
      </c>
      <c r="AQ28" s="677">
        <f t="shared" si="29"/>
        <v>0</v>
      </c>
      <c r="AR28" s="678">
        <f t="shared" si="29"/>
        <v>0</v>
      </c>
      <c r="AS28" s="679">
        <f t="shared" si="12"/>
        <v>0</v>
      </c>
      <c r="AT28" s="502">
        <f t="shared" ref="AT28" si="31">IFERROR(AT36/AT22,)*1000</f>
        <v>27336.335348776731</v>
      </c>
      <c r="AU28" s="674">
        <f t="shared" si="30"/>
        <v>0</v>
      </c>
      <c r="AV28" s="505">
        <f t="shared" si="13"/>
        <v>-27336.335348776731</v>
      </c>
    </row>
    <row r="29" spans="4:51" ht="28.5" customHeight="1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20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21"/>
        <v>0</v>
      </c>
      <c r="L29" s="504">
        <f t="shared" si="1"/>
        <v>-16000</v>
      </c>
      <c r="M29" s="676"/>
      <c r="N29" s="674">
        <f t="shared" si="22"/>
        <v>0</v>
      </c>
      <c r="O29" s="504">
        <f t="shared" si="2"/>
        <v>0</v>
      </c>
      <c r="P29" s="676"/>
      <c r="Q29" s="674">
        <f t="shared" si="23"/>
        <v>0</v>
      </c>
      <c r="R29" s="504">
        <f t="shared" si="3"/>
        <v>0</v>
      </c>
      <c r="S29" s="676"/>
      <c r="T29" s="674">
        <f t="shared" si="24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5"/>
        <v>0</v>
      </c>
      <c r="X29" s="679">
        <f t="shared" si="5"/>
        <v>-12780.48780487805</v>
      </c>
      <c r="Y29" s="673">
        <f>+IFERROR(HLOOKUP($A$1,[15]매출!$G$5:$R$164,4,),)</f>
        <v>0</v>
      </c>
      <c r="Z29" s="674">
        <f t="shared" si="26"/>
        <v>0</v>
      </c>
      <c r="AA29" s="675">
        <f t="shared" si="6"/>
        <v>0</v>
      </c>
      <c r="AB29" s="676">
        <f>+IFERROR(HLOOKUP($A$1,[15]매출!$G$5:$R$164,12,),)</f>
        <v>0</v>
      </c>
      <c r="AC29" s="674">
        <f t="shared" si="27"/>
        <v>0</v>
      </c>
      <c r="AD29" s="504">
        <f t="shared" si="7"/>
        <v>0</v>
      </c>
      <c r="AE29" s="676"/>
      <c r="AF29" s="674">
        <f t="shared" si="28"/>
        <v>0</v>
      </c>
      <c r="AG29" s="504">
        <f t="shared" si="8"/>
        <v>0</v>
      </c>
      <c r="AH29" s="680">
        <f>+IFERROR(HLOOKUP($A$1,[15]매출!$G$5:$R$164,52,),)</f>
        <v>0</v>
      </c>
      <c r="AI29" s="681">
        <f t="shared" si="16"/>
        <v>0</v>
      </c>
      <c r="AJ29" s="679">
        <f t="shared" si="9"/>
        <v>0</v>
      </c>
      <c r="AK29" s="504">
        <f>+IFERROR(HLOOKUP($A$1,[16]이송계획!$G$6:$R$318,36,),)</f>
        <v>0</v>
      </c>
      <c r="AL29" s="674">
        <f>+'[17]부산모래장(손익)'!$P$48</f>
        <v>0</v>
      </c>
      <c r="AM29" s="709">
        <f t="shared" si="10"/>
        <v>0</v>
      </c>
      <c r="AN29" s="504">
        <f>+IFERROR(HLOOKUP($A$1,[16]이송계획!$G$6:$R$318,43,),)</f>
        <v>26000</v>
      </c>
      <c r="AO29" s="674">
        <f>+IFERROR(INDEX('[17]부산모래장(손익)'!$O$46:$S$51,MATCH($F29,'[17]부산모래장(손익)'!$M$46:$M$51,),MATCH($AN$6,'[17]부산모래장(손익)'!$O$37:$S$37,)),)</f>
        <v>0</v>
      </c>
      <c r="AP29" s="504">
        <f t="shared" si="11"/>
        <v>-26000</v>
      </c>
      <c r="AQ29" s="680">
        <f t="shared" si="29"/>
        <v>90585.000000000015</v>
      </c>
      <c r="AR29" s="681">
        <f t="shared" si="29"/>
        <v>0</v>
      </c>
      <c r="AS29" s="679">
        <f t="shared" si="12"/>
        <v>-90585.000000000015</v>
      </c>
      <c r="AT29" s="502">
        <f t="shared" ref="AT29" si="32">IFERROR(AT37/AT23,)*1000</f>
        <v>39116.213471736439</v>
      </c>
      <c r="AU29" s="674">
        <f>IFERROR(AU37/AU23,)*1000</f>
        <v>0</v>
      </c>
      <c r="AV29" s="505">
        <f t="shared" si="13"/>
        <v>-39116.213471736439</v>
      </c>
    </row>
    <row r="30" spans="4:51" ht="28.5" customHeight="1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20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21"/>
        <v>0</v>
      </c>
      <c r="L30" s="504">
        <f t="shared" si="1"/>
        <v>0</v>
      </c>
      <c r="M30" s="676"/>
      <c r="N30" s="674">
        <f t="shared" si="22"/>
        <v>0</v>
      </c>
      <c r="O30" s="504">
        <f t="shared" si="2"/>
        <v>0</v>
      </c>
      <c r="P30" s="676"/>
      <c r="Q30" s="674">
        <f t="shared" si="23"/>
        <v>0</v>
      </c>
      <c r="R30" s="504">
        <f t="shared" si="3"/>
        <v>0</v>
      </c>
      <c r="S30" s="676"/>
      <c r="T30" s="674">
        <f t="shared" si="24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5"/>
        <v>0</v>
      </c>
      <c r="X30" s="682">
        <f t="shared" si="5"/>
        <v>0</v>
      </c>
      <c r="Y30" s="673">
        <f>+IFERROR(HLOOKUP($A$1,[15]매출!$G$5:$R$164,5,),)</f>
        <v>0</v>
      </c>
      <c r="Z30" s="674">
        <f t="shared" si="26"/>
        <v>0</v>
      </c>
      <c r="AA30" s="675">
        <f t="shared" si="6"/>
        <v>0</v>
      </c>
      <c r="AB30" s="676">
        <f>+IFERROR(HLOOKUP($A$1,[15]매출!$G$5:$R$164,13,),)</f>
        <v>0</v>
      </c>
      <c r="AC30" s="674">
        <f t="shared" si="27"/>
        <v>18000</v>
      </c>
      <c r="AD30" s="504">
        <f t="shared" si="7"/>
        <v>18000</v>
      </c>
      <c r="AE30" s="676"/>
      <c r="AF30" s="674">
        <f t="shared" si="28"/>
        <v>0</v>
      </c>
      <c r="AG30" s="504">
        <f t="shared" si="8"/>
        <v>0</v>
      </c>
      <c r="AH30" s="680">
        <f>+IFERROR(HLOOKUP($A$1,[15]매출!$G$5:$R$164,53,),)</f>
        <v>0</v>
      </c>
      <c r="AI30" s="54">
        <f t="shared" si="16"/>
        <v>18000</v>
      </c>
      <c r="AJ30" s="682">
        <f t="shared" si="9"/>
        <v>18000</v>
      </c>
      <c r="AK30" s="504">
        <f>+IFERROR(HLOOKUP($A$1,[16]이송계획!$G$6:$R$318,37,),)</f>
        <v>34500</v>
      </c>
      <c r="AL30" s="674">
        <f>+'[17]부산모래장(손익)'!$P$49</f>
        <v>0</v>
      </c>
      <c r="AM30" s="709">
        <f t="shared" si="10"/>
        <v>-34500</v>
      </c>
      <c r="AN30" s="504">
        <f>+IFERROR(HLOOKUP($A$1,[16]이송계획!$G$6:$R$318,44,),)</f>
        <v>26000</v>
      </c>
      <c r="AO30" s="674">
        <f>+IFERROR(INDEX('[17]부산모래장(손익)'!$O$46:$S$51,MATCH($F30,'[17]부산모래장(손익)'!$M$46:$M$51,),MATCH($AN$6,'[17]부산모래장(손익)'!$O$37:$S$37,)),)</f>
        <v>0</v>
      </c>
      <c r="AP30" s="504">
        <f t="shared" si="11"/>
        <v>-26000</v>
      </c>
      <c r="AQ30" s="680">
        <f t="shared" si="29"/>
        <v>34499.999999999993</v>
      </c>
      <c r="AR30" s="54">
        <f t="shared" si="29"/>
        <v>0</v>
      </c>
      <c r="AS30" s="682">
        <f t="shared" si="12"/>
        <v>-34499.999999999993</v>
      </c>
      <c r="AT30" s="502">
        <f t="shared" ref="AT30" si="33">IFERROR(AT38/AT24,)*1000</f>
        <v>34499.999999999993</v>
      </c>
      <c r="AU30" s="674">
        <f t="shared" si="30"/>
        <v>0</v>
      </c>
      <c r="AV30" s="505">
        <f t="shared" si="13"/>
        <v>-34499.999999999993</v>
      </c>
    </row>
    <row r="31" spans="4:51" ht="28.5" customHeight="1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20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21"/>
        <v>0</v>
      </c>
      <c r="L31" s="504">
        <f t="shared" si="1"/>
        <v>0</v>
      </c>
      <c r="M31" s="676"/>
      <c r="N31" s="674">
        <f t="shared" si="22"/>
        <v>0</v>
      </c>
      <c r="O31" s="504">
        <f t="shared" si="2"/>
        <v>0</v>
      </c>
      <c r="P31" s="676"/>
      <c r="Q31" s="674">
        <f t="shared" si="23"/>
        <v>0</v>
      </c>
      <c r="R31" s="504">
        <f t="shared" si="3"/>
        <v>0</v>
      </c>
      <c r="S31" s="676"/>
      <c r="T31" s="674">
        <f t="shared" si="24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5"/>
        <v>0</v>
      </c>
      <c r="X31" s="682">
        <f t="shared" si="5"/>
        <v>0</v>
      </c>
      <c r="Y31" s="673">
        <f>+IFERROR(HLOOKUP($A$1,[15]매출!$G$5:$R$164,6,),)</f>
        <v>0</v>
      </c>
      <c r="Z31" s="674">
        <f t="shared" si="26"/>
        <v>0</v>
      </c>
      <c r="AA31" s="675">
        <f t="shared" si="6"/>
        <v>0</v>
      </c>
      <c r="AB31" s="676">
        <f>+IFERROR(HLOOKUP($A$1,[15]매출!$G$5:$R$164,14,),)</f>
        <v>0</v>
      </c>
      <c r="AC31" s="674">
        <f t="shared" si="27"/>
        <v>0</v>
      </c>
      <c r="AD31" s="504">
        <f t="shared" si="7"/>
        <v>0</v>
      </c>
      <c r="AE31" s="676"/>
      <c r="AF31" s="674">
        <f t="shared" si="28"/>
        <v>0</v>
      </c>
      <c r="AG31" s="504">
        <f t="shared" si="8"/>
        <v>0</v>
      </c>
      <c r="AH31" s="680">
        <f>+IFERROR(HLOOKUP($A$1,[15]매출!$G$5:$R$164,54,),)</f>
        <v>0</v>
      </c>
      <c r="AI31" s="54">
        <f t="shared" si="16"/>
        <v>0</v>
      </c>
      <c r="AJ31" s="682">
        <f t="shared" si="9"/>
        <v>0</v>
      </c>
      <c r="AK31" s="504">
        <f>+IFERROR(HLOOKUP($A$1,[16]이송계획!$G$6:$R$318,38,),)</f>
        <v>0</v>
      </c>
      <c r="AL31" s="674">
        <f>+'[17]부산모래장(손익)'!$P$50</f>
        <v>0</v>
      </c>
      <c r="AM31" s="709">
        <f t="shared" si="10"/>
        <v>0</v>
      </c>
      <c r="AN31" s="504">
        <f>+IFERROR(HLOOKUP($A$1,[16]이송계획!$G$6:$R$318,45,),)</f>
        <v>26000</v>
      </c>
      <c r="AO31" s="674">
        <f>+IFERROR(INDEX('[17]부산모래장(손익)'!$O$46:$S$51,MATCH($F31,'[17]부산모래장(손익)'!$M$46:$M$51,),MATCH($AN$6,'[17]부산모래장(손익)'!$O$37:$S$37,)),)</f>
        <v>0</v>
      </c>
      <c r="AP31" s="504">
        <f t="shared" si="11"/>
        <v>-26000</v>
      </c>
      <c r="AQ31" s="680">
        <f t="shared" si="29"/>
        <v>0</v>
      </c>
      <c r="AR31" s="54">
        <f t="shared" si="29"/>
        <v>0</v>
      </c>
      <c r="AS31" s="682">
        <f t="shared" si="12"/>
        <v>0</v>
      </c>
      <c r="AT31" s="502">
        <f t="shared" ref="AT31" si="34">IFERROR(AT39/AT25,)*1000</f>
        <v>0</v>
      </c>
      <c r="AU31" s="674">
        <f t="shared" si="30"/>
        <v>0</v>
      </c>
      <c r="AV31" s="505">
        <f t="shared" si="13"/>
        <v>0</v>
      </c>
    </row>
    <row r="32" spans="4:51" ht="28.5" customHeight="1" thickBot="1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20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21"/>
        <v>0</v>
      </c>
      <c r="L32" s="498">
        <f t="shared" si="1"/>
        <v>-16000</v>
      </c>
      <c r="M32" s="688"/>
      <c r="N32" s="686">
        <f t="shared" si="22"/>
        <v>0</v>
      </c>
      <c r="O32" s="498">
        <f t="shared" si="2"/>
        <v>0</v>
      </c>
      <c r="P32" s="688"/>
      <c r="Q32" s="686">
        <f t="shared" si="23"/>
        <v>0</v>
      </c>
      <c r="R32" s="498">
        <f t="shared" si="3"/>
        <v>0</v>
      </c>
      <c r="S32" s="688"/>
      <c r="T32" s="686">
        <f t="shared" si="24"/>
        <v>0</v>
      </c>
      <c r="U32" s="498">
        <f t="shared" si="4"/>
        <v>0</v>
      </c>
      <c r="V32" s="689">
        <f>+IFERROR(HLOOKUP($A$1,[14]매출!$G$5:$R$170,55,),)</f>
        <v>12151.535233046168</v>
      </c>
      <c r="W32" s="690">
        <f t="shared" si="25"/>
        <v>0</v>
      </c>
      <c r="X32" s="691">
        <f t="shared" si="5"/>
        <v>-12151.535233046168</v>
      </c>
      <c r="Y32" s="685">
        <f>+IFERROR(HLOOKUP($A$1,[15]매출!$G$5:$R$164,7,),)</f>
        <v>0</v>
      </c>
      <c r="Z32" s="686">
        <f t="shared" si="26"/>
        <v>0</v>
      </c>
      <c r="AA32" s="687">
        <f t="shared" si="6"/>
        <v>0</v>
      </c>
      <c r="AB32" s="688">
        <f>+IFERROR(HLOOKUP($A$1,[15]매출!$G$5:$R$164,15,),)</f>
        <v>0</v>
      </c>
      <c r="AC32" s="686">
        <f t="shared" si="27"/>
        <v>0</v>
      </c>
      <c r="AD32" s="498">
        <f t="shared" si="7"/>
        <v>0</v>
      </c>
      <c r="AE32" s="688"/>
      <c r="AF32" s="686">
        <f t="shared" si="28"/>
        <v>0</v>
      </c>
      <c r="AG32" s="498">
        <f t="shared" si="8"/>
        <v>0</v>
      </c>
      <c r="AH32" s="689">
        <f>+IFERROR(HLOOKUP($A$1,[15]매출!$G$5:$R$164,55,),)</f>
        <v>0</v>
      </c>
      <c r="AI32" s="690">
        <f t="shared" si="16"/>
        <v>0</v>
      </c>
      <c r="AJ32" s="691">
        <f t="shared" si="9"/>
        <v>0</v>
      </c>
      <c r="AK32" s="498">
        <f>+IFERROR(HLOOKUP($A$1,[16]이송계획!$G$6:$R$318,39,),)</f>
        <v>0</v>
      </c>
      <c r="AL32" s="686">
        <f>+'[17]부산모래장(손익)'!$P$51</f>
        <v>0</v>
      </c>
      <c r="AM32" s="710">
        <f t="shared" si="10"/>
        <v>0</v>
      </c>
      <c r="AN32" s="498">
        <f>+IFERROR(HLOOKUP($A$1,[16]이송계획!$G$6:$R$318,46,),)</f>
        <v>0</v>
      </c>
      <c r="AO32" s="686">
        <f>+IFERROR(INDEX('[17]부산모래장(손익)'!$O$46:$S$51,MATCH($F32,'[17]부산모래장(손익)'!$M$46:$M$51,),MATCH($AN$6,'[17]부산모래장(손익)'!$O$37:$S$37,)),)</f>
        <v>0</v>
      </c>
      <c r="AP32" s="498">
        <f t="shared" si="11"/>
        <v>0</v>
      </c>
      <c r="AQ32" s="689">
        <f t="shared" si="29"/>
        <v>0</v>
      </c>
      <c r="AR32" s="690">
        <f t="shared" si="29"/>
        <v>0</v>
      </c>
      <c r="AS32" s="691">
        <f t="shared" si="12"/>
        <v>0</v>
      </c>
      <c r="AT32" s="692">
        <f t="shared" ref="AT32" si="35">IFERROR(AT40/AT26,)*1000</f>
        <v>12151.535233046168</v>
      </c>
      <c r="AU32" s="693">
        <f t="shared" si="30"/>
        <v>0</v>
      </c>
      <c r="AV32" s="694">
        <f t="shared" si="13"/>
        <v>-12151.535233046168</v>
      </c>
    </row>
    <row r="33" spans="5:50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>
      <c r="J34" s="479"/>
      <c r="M34" s="479"/>
      <c r="AB34" s="479"/>
      <c r="AK34" s="479"/>
      <c r="AT34" s="479"/>
    </row>
    <row r="35" spans="5:50" ht="21.95" customHeight="1">
      <c r="E35" s="25" t="s">
        <v>197</v>
      </c>
      <c r="F35" s="696" t="s">
        <v>21</v>
      </c>
      <c r="G35" s="6">
        <f>+IFERROR(HLOOKUP($A$1,[14]매출!$G$5:$R$149,58,),)</f>
        <v>139507.82999999999</v>
      </c>
      <c r="H35" s="6">
        <f>+IFERROR(VLOOKUP($F35,'[17]서부산(손익)'!$O$16:$X$29,3,),)/1000</f>
        <v>0</v>
      </c>
      <c r="I35" s="6">
        <f t="shared" ref="I35:I41" si="36">+H35-G35</f>
        <v>-139507.82999999999</v>
      </c>
      <c r="J35" s="6">
        <f>+IFERROR(HLOOKUP($A$1,[14]매출!$G$5:$R$149,66,),)</f>
        <v>149999.85</v>
      </c>
      <c r="K35" s="6">
        <f>+IFERROR(VLOOKUP($F35,'[17]서부산(손익)'!$O$16:$X$29,4,),)/1000</f>
        <v>0</v>
      </c>
      <c r="L35" s="6">
        <f>+K35-J35</f>
        <v>-149999.85</v>
      </c>
      <c r="M35" s="479"/>
      <c r="O35" s="6">
        <f>+N35-M35</f>
        <v>0</v>
      </c>
      <c r="V35" s="6">
        <f t="shared" ref="V35:W41" si="37">SUM(G35,J35,M35)</f>
        <v>289507.68</v>
      </c>
      <c r="W35" s="6">
        <f t="shared" si="37"/>
        <v>0</v>
      </c>
      <c r="X35" s="6">
        <f t="shared" ref="X35:X41" si="38">+W35-V35</f>
        <v>-289507.68</v>
      </c>
      <c r="Y35" s="6">
        <f>+IFERROR(HLOOKUP($A$1,[15]매출!$G$5:$R$170,58,),)</f>
        <v>0</v>
      </c>
      <c r="Z35" s="6">
        <f>+IFERROR(VLOOKUP($F35,'[17]부산크라샤(손익)'!$L$16:$R$29,3,),)/1000</f>
        <v>122500</v>
      </c>
      <c r="AA35" s="6">
        <f t="shared" ref="AA35:AA41" si="39">+Z35-Y35</f>
        <v>122500</v>
      </c>
      <c r="AB35" s="479">
        <f>+IFERROR(HLOOKUP($A$1,[15]매출!$G$5:$R$170,66,),)</f>
        <v>0</v>
      </c>
      <c r="AC35" s="6">
        <f>+IFERROR(VLOOKUP($F35,'[17]부산크라샤(손익)'!$L$16:$R$29,4,),)/1000</f>
        <v>141000</v>
      </c>
      <c r="AD35" s="6">
        <f>+AC35-AB35</f>
        <v>141000</v>
      </c>
      <c r="AG35" s="6">
        <f>+AF35-AE35</f>
        <v>0</v>
      </c>
      <c r="AH35" s="6">
        <f>SUM(Y35,AB35)</f>
        <v>0</v>
      </c>
      <c r="AI35" s="6">
        <f t="shared" ref="AI35:AI41" si="40">SUM(Z35,AC35)</f>
        <v>263500</v>
      </c>
      <c r="AJ35" s="6">
        <f t="shared" ref="AJ35:AJ41" si="41">+AI35-AH35</f>
        <v>263500</v>
      </c>
      <c r="AK35" s="697">
        <f>+IFERROR(HLOOKUP($A$1,[16]이송계획!$G$70:$R$100,2,),)</f>
        <v>10044.755244755244</v>
      </c>
      <c r="AL35" s="6" t="e">
        <f>+'[17]부산모래장(손익)'!$P16/1000</f>
        <v>#VALUE!</v>
      </c>
      <c r="AN35" s="697">
        <f>+IFERROR(HLOOKUP($A$1,[16]이송계획!$G$70:$R$100,9,),)</f>
        <v>0</v>
      </c>
      <c r="AO35" s="6">
        <f>+IFERROR(INDEX('[17]부산모래장(손익)'!$O$16:$S$21,MATCH($F35,'[17]부산모래장(손익)'!$M$16:$M$21,),MATCH($AN$6,'[17]부산모래장(손익)'!$O$15:$S$15,)),)/1000</f>
        <v>0</v>
      </c>
      <c r="AQ35" s="6">
        <f>+AK35+AN35</f>
        <v>10044.755244755244</v>
      </c>
      <c r="AR35" s="6" t="e">
        <f t="shared" ref="AR35:AR41" si="42">+AL35+AO35</f>
        <v>#VALUE!</v>
      </c>
      <c r="AT35" s="479">
        <f t="shared" ref="AT35:AT40" si="43">+V35+AH35+AQ35</f>
        <v>299552.43524475524</v>
      </c>
      <c r="AU35" s="479" t="e">
        <f t="shared" ref="AU35:AU40" si="44">+W35+AI35+AR35</f>
        <v>#VALUE!</v>
      </c>
      <c r="AV35" s="6" t="e">
        <f t="shared" ref="AV35:AV41" si="45">+AU35-AT35</f>
        <v>#VALUE!</v>
      </c>
      <c r="AX35" s="84">
        <f>+IFERROR(INDEX('[17]부산모래장(손익)'!$O$16:$U$21,MATCH($F35,'[17]부산모래장(손익)'!$M$16:$M$21,),MATCH($AL$2,'[17]부산모래장(손익)'!$O$15:$S$15,)),)</f>
        <v>0</v>
      </c>
    </row>
    <row r="36" spans="5:50" ht="21.95" customHeight="1">
      <c r="E36" s="25" t="s">
        <v>124</v>
      </c>
      <c r="F36" s="696" t="s">
        <v>22</v>
      </c>
      <c r="G36" s="6">
        <f>+IFERROR(HLOOKUP($A$1,[14]매출!$G$5:$R$149,59,),)</f>
        <v>191815.46666666667</v>
      </c>
      <c r="H36" s="6">
        <f>+IFERROR(VLOOKUP($F36,'[17]서부산(손익)'!$O$16:$X$29,3,),)/1000</f>
        <v>0</v>
      </c>
      <c r="I36" s="6">
        <f t="shared" si="36"/>
        <v>-191815.46666666667</v>
      </c>
      <c r="J36" s="6">
        <f>+IFERROR(HLOOKUP($A$1,[14]매출!$G$5:$R$149,67,),)</f>
        <v>171204</v>
      </c>
      <c r="K36" s="6">
        <f>+IFERROR(VLOOKUP($F36,'[17]서부산(손익)'!$O$16:$X$29,4,),)/1000</f>
        <v>0</v>
      </c>
      <c r="L36" s="6">
        <f t="shared" ref="L36:L41" si="46">+K36-J36</f>
        <v>-171204</v>
      </c>
      <c r="O36" s="6">
        <f t="shared" ref="O36:O41" si="47">+N36-M36</f>
        <v>0</v>
      </c>
      <c r="V36" s="6">
        <f t="shared" si="37"/>
        <v>363019.46666666667</v>
      </c>
      <c r="W36" s="6">
        <f t="shared" si="37"/>
        <v>0</v>
      </c>
      <c r="X36" s="6">
        <f t="shared" si="38"/>
        <v>-363019.46666666667</v>
      </c>
      <c r="Y36" s="6">
        <f>+IFERROR(HLOOKUP($A$1,[15]매출!$G$5:$R$170,59,),)</f>
        <v>0</v>
      </c>
      <c r="Z36" s="6">
        <f>+IFERROR(VLOOKUP($F36,'[17]부산크라샤(손익)'!$L$16:$R$29,3,),)/1000</f>
        <v>0</v>
      </c>
      <c r="AA36" s="6">
        <f t="shared" si="39"/>
        <v>0</v>
      </c>
      <c r="AB36" s="479">
        <f>+IFERROR(HLOOKUP($A$1,[15]매출!$G$5:$R$170,67,),)</f>
        <v>0</v>
      </c>
      <c r="AC36" s="6">
        <f>+IFERROR(VLOOKUP($F36,'[17]부산크라샤(손익)'!$L$16:$R$29,4,),)/1000</f>
        <v>28800</v>
      </c>
      <c r="AD36" s="6">
        <f t="shared" ref="AD36:AD41" si="48">+AC36-AB36</f>
        <v>28800</v>
      </c>
      <c r="AG36" s="6">
        <f t="shared" ref="AG36:AG41" si="49">+AF36-AE36</f>
        <v>0</v>
      </c>
      <c r="AH36" s="6">
        <f t="shared" ref="AH36:AH41" si="50">SUM(Y36,AB36)</f>
        <v>0</v>
      </c>
      <c r="AI36" s="6">
        <f t="shared" si="40"/>
        <v>28800</v>
      </c>
      <c r="AJ36" s="6">
        <f>+AI36-AH36</f>
        <v>28800</v>
      </c>
      <c r="AK36" s="697">
        <f>+IFERROR(HLOOKUP($A$1,[16]이송계획!$G$70:$R$100,3,),)</f>
        <v>0</v>
      </c>
      <c r="AL36" s="6" t="e">
        <f>+'[17]부산모래장(손익)'!$P17/1000</f>
        <v>#VALUE!</v>
      </c>
      <c r="AN36" s="697">
        <f>+IFERROR(HLOOKUP($A$1,[16]이송계획!$G$70:$R$100,10,),)</f>
        <v>177432.64013514537</v>
      </c>
      <c r="AO36" s="6">
        <f>+IFERROR(INDEX('[17]부산모래장(손익)'!$O$16:$S$21,MATCH($F36,'[17]부산모래장(손익)'!$M$16:$M$21,),MATCH($AN$6,'[17]부산모래장(손익)'!$O$15:$S$15,)),)/1000</f>
        <v>0</v>
      </c>
      <c r="AQ36" s="6">
        <f t="shared" ref="AQ36:AQ41" si="51">+AK36+AN36</f>
        <v>177432.64013514537</v>
      </c>
      <c r="AR36" s="6" t="e">
        <f t="shared" si="42"/>
        <v>#VALUE!</v>
      </c>
      <c r="AT36" s="6">
        <f t="shared" si="43"/>
        <v>540452.10680181207</v>
      </c>
      <c r="AU36" s="6" t="e">
        <f t="shared" si="44"/>
        <v>#VALUE!</v>
      </c>
      <c r="AV36" s="6" t="e">
        <f t="shared" si="45"/>
        <v>#VALUE!</v>
      </c>
      <c r="AX36" s="84">
        <f>+IFERROR(INDEX('[17]부산모래장(손익)'!$O$16:$U$21,MATCH($F36,'[17]부산모래장(손익)'!$M$16:$M$21,),MATCH($AL$2,'[17]부산모래장(손익)'!$O$15:$S$15,)),)</f>
        <v>0</v>
      </c>
    </row>
    <row r="37" spans="5:50" ht="21.95" customHeight="1">
      <c r="F37" s="696" t="s">
        <v>23</v>
      </c>
      <c r="G37" s="6">
        <f>+IFERROR(HLOOKUP($A$1,[14]매출!$G$5:$R$149,60,),)</f>
        <v>15400</v>
      </c>
      <c r="H37" s="6">
        <f>+IFERROR(VLOOKUP($F37,'[17]서부산(손익)'!$O$16:$X$29,3,),)/1000</f>
        <v>0</v>
      </c>
      <c r="I37" s="6">
        <f t="shared" si="36"/>
        <v>-15400</v>
      </c>
      <c r="J37" s="6">
        <f>+IFERROR(HLOOKUP($A$1,[14]매출!$G$5:$R$149,68,),)</f>
        <v>21280</v>
      </c>
      <c r="K37" s="6">
        <f>+IFERROR(VLOOKUP($F37,'[17]서부산(손익)'!$O$16:$X$29,4,),)/1000</f>
        <v>0</v>
      </c>
      <c r="L37" s="6">
        <f t="shared" si="46"/>
        <v>-21280</v>
      </c>
      <c r="O37" s="6">
        <f t="shared" si="47"/>
        <v>0</v>
      </c>
      <c r="V37" s="6">
        <f t="shared" si="37"/>
        <v>36680</v>
      </c>
      <c r="W37" s="6">
        <f t="shared" si="37"/>
        <v>0</v>
      </c>
      <c r="X37" s="6">
        <f t="shared" si="38"/>
        <v>-36680</v>
      </c>
      <c r="Y37" s="6">
        <f>+IFERROR(HLOOKUP($A$1,[15]매출!$G$5:$R$170,60,),)</f>
        <v>0</v>
      </c>
      <c r="Z37" s="6">
        <f>+IFERROR(VLOOKUP($F37,'[17]부산크라샤(손익)'!$L$16:$R$29,3,),)/1000</f>
        <v>0</v>
      </c>
      <c r="AA37" s="6">
        <f t="shared" si="39"/>
        <v>0</v>
      </c>
      <c r="AB37" s="479">
        <f>+IFERROR(HLOOKUP($A$1,[15]매출!$G$5:$R$170,68,),)</f>
        <v>0</v>
      </c>
      <c r="AC37" s="6">
        <f>+IFERROR(VLOOKUP($F37,'[17]부산크라샤(손익)'!$L$16:$R$29,4,),)/1000</f>
        <v>0</v>
      </c>
      <c r="AD37" s="6">
        <f t="shared" si="48"/>
        <v>0</v>
      </c>
      <c r="AG37" s="6">
        <f t="shared" si="49"/>
        <v>0</v>
      </c>
      <c r="AH37" s="6">
        <f t="shared" si="50"/>
        <v>0</v>
      </c>
      <c r="AI37" s="6">
        <f t="shared" si="40"/>
        <v>0</v>
      </c>
      <c r="AJ37" s="6">
        <f t="shared" si="41"/>
        <v>0</v>
      </c>
      <c r="AK37" s="697">
        <f>+IFERROR(HLOOKUP($A$1,[16]이송계획!$G$70:$R$100,4,),)</f>
        <v>0</v>
      </c>
      <c r="AL37" s="6" t="e">
        <f>+'[17]부산모래장(손익)'!$P18/1000</f>
        <v>#VALUE!</v>
      </c>
      <c r="AN37" s="697">
        <f>+IFERROR(HLOOKUP($A$1,[16]이송계획!$G$70:$R$100,11,),)</f>
        <v>133026.92307692309</v>
      </c>
      <c r="AO37" s="6">
        <f>+IFERROR(INDEX('[17]부산모래장(손익)'!$O$16:$S$21,MATCH($F37,'[17]부산모래장(손익)'!$M$16:$M$21,),MATCH($AN$6,'[17]부산모래장(손익)'!$O$15:$S$15,)),)/1000</f>
        <v>0</v>
      </c>
      <c r="AQ37" s="6">
        <f t="shared" si="51"/>
        <v>133026.92307692309</v>
      </c>
      <c r="AR37" s="6" t="e">
        <f t="shared" si="42"/>
        <v>#VALUE!</v>
      </c>
      <c r="AT37" s="6">
        <f t="shared" si="43"/>
        <v>169706.92307692309</v>
      </c>
      <c r="AU37" s="6" t="e">
        <f t="shared" si="44"/>
        <v>#VALUE!</v>
      </c>
      <c r="AV37" s="6" t="e">
        <f t="shared" si="45"/>
        <v>#VALUE!</v>
      </c>
      <c r="AX37" s="84">
        <f>+IFERROR(INDEX('[17]부산모래장(손익)'!$O$16:$U$21,MATCH($F37,'[17]부산모래장(손익)'!$M$16:$M$21,),MATCH($AL$2,'[17]부산모래장(손익)'!$O$15:$S$15,)),)</f>
        <v>0</v>
      </c>
    </row>
    <row r="38" spans="5:50" ht="21.95" customHeight="1">
      <c r="F38" s="696" t="s">
        <v>24</v>
      </c>
      <c r="G38" s="6">
        <f>+IFERROR(HLOOKUP($A$1,[14]매출!$G$5:$R$149,61,),)</f>
        <v>0</v>
      </c>
      <c r="H38" s="6">
        <f>+IFERROR(VLOOKUP($F38,'[17]서부산(손익)'!$O$16:$X$29,3,),)/1000</f>
        <v>0</v>
      </c>
      <c r="I38" s="6">
        <f t="shared" si="36"/>
        <v>0</v>
      </c>
      <c r="J38" s="6">
        <f>+IFERROR(HLOOKUP($A$1,[14]매출!$G$5:$R$149,69,),)</f>
        <v>0</v>
      </c>
      <c r="K38" s="6">
        <f>+IFERROR(VLOOKUP($F38,'[17]서부산(손익)'!$O$16:$X$29,4,),)/1000</f>
        <v>0</v>
      </c>
      <c r="L38" s="6">
        <f t="shared" si="46"/>
        <v>0</v>
      </c>
      <c r="O38" s="6">
        <f t="shared" si="47"/>
        <v>0</v>
      </c>
      <c r="V38" s="6">
        <f t="shared" si="37"/>
        <v>0</v>
      </c>
      <c r="W38" s="6">
        <f t="shared" si="37"/>
        <v>0</v>
      </c>
      <c r="X38" s="6">
        <f t="shared" si="38"/>
        <v>0</v>
      </c>
      <c r="Y38" s="6">
        <f>+IFERROR(HLOOKUP($A$1,[15]매출!$G$5:$R$170,61,),)</f>
        <v>0</v>
      </c>
      <c r="Z38" s="6">
        <f>+IFERROR(VLOOKUP($F38,'[17]부산크라샤(손익)'!$L$16:$R$29,3,),)/1000</f>
        <v>0</v>
      </c>
      <c r="AA38" s="6">
        <f t="shared" si="39"/>
        <v>0</v>
      </c>
      <c r="AB38" s="479">
        <f>+IFERROR(HLOOKUP($A$1,[15]매출!$G$5:$R$170,69,),)</f>
        <v>0</v>
      </c>
      <c r="AC38" s="6">
        <f>+IFERROR(VLOOKUP($F38,'[17]부산크라샤(손익)'!$L$16:$R$29,4,),)/1000</f>
        <v>288</v>
      </c>
      <c r="AD38" s="6">
        <f t="shared" si="48"/>
        <v>288</v>
      </c>
      <c r="AG38" s="6">
        <f t="shared" si="49"/>
        <v>0</v>
      </c>
      <c r="AH38" s="6">
        <f t="shared" si="50"/>
        <v>0</v>
      </c>
      <c r="AI38" s="6">
        <f t="shared" si="40"/>
        <v>288</v>
      </c>
      <c r="AJ38" s="6">
        <f t="shared" si="41"/>
        <v>288</v>
      </c>
      <c r="AK38" s="697">
        <f>+IFERROR(HLOOKUP($A$1,[16]이송계획!$G$70:$R$100,5,),)</f>
        <v>167387.88489039015</v>
      </c>
      <c r="AL38" s="6" t="e">
        <f>+'[17]부산모래장(손익)'!$P19/1000</f>
        <v>#VALUE!</v>
      </c>
      <c r="AN38" s="697">
        <f>+IFERROR(HLOOKUP($A$1,[16]이송계획!$G$70:$R$100,12,),)</f>
        <v>0</v>
      </c>
      <c r="AO38" s="6">
        <f>+IFERROR(INDEX('[17]부산모래장(손익)'!$O$16:$S$21,MATCH($F38,'[17]부산모래장(손익)'!$M$16:$M$21,),MATCH($AN$6,'[17]부산모래장(손익)'!$O$15:$S$15,)),)/1000</f>
        <v>0</v>
      </c>
      <c r="AQ38" s="6">
        <f t="shared" si="51"/>
        <v>167387.88489039015</v>
      </c>
      <c r="AR38" s="6" t="e">
        <f t="shared" si="42"/>
        <v>#VALUE!</v>
      </c>
      <c r="AT38" s="6">
        <f t="shared" si="43"/>
        <v>167387.88489039015</v>
      </c>
      <c r="AU38" s="6" t="e">
        <f t="shared" si="44"/>
        <v>#VALUE!</v>
      </c>
      <c r="AV38" s="6" t="e">
        <f t="shared" si="45"/>
        <v>#VALUE!</v>
      </c>
      <c r="AX38" s="84">
        <f>+IFERROR(INDEX('[17]부산모래장(손익)'!$O$16:$U$21,MATCH($F38,'[17]부산모래장(손익)'!$M$16:$M$21,),MATCH($AL$2,'[17]부산모래장(손익)'!$O$15:$S$15,)),)</f>
        <v>0</v>
      </c>
    </row>
    <row r="39" spans="5:50" ht="21.95" customHeight="1">
      <c r="F39" s="696" t="s">
        <v>25</v>
      </c>
      <c r="G39" s="6">
        <f>+IFERROR(HLOOKUP($A$1,[14]매출!$G$5:$R$149,62,),)</f>
        <v>0</v>
      </c>
      <c r="H39" s="6">
        <f>+IFERROR(VLOOKUP($F39,'[17]서부산(손익)'!$O$16:$X$29,3,),)/1000</f>
        <v>0</v>
      </c>
      <c r="I39" s="6">
        <f t="shared" si="36"/>
        <v>0</v>
      </c>
      <c r="J39" s="6">
        <f>+IFERROR(HLOOKUP($A$1,[14]매출!$G$5:$R$149,70,),)</f>
        <v>0</v>
      </c>
      <c r="K39" s="6">
        <f>+IFERROR(VLOOKUP($F39,'[17]서부산(손익)'!$O$16:$X$29,4,),)/1000</f>
        <v>0</v>
      </c>
      <c r="L39" s="6">
        <f t="shared" si="46"/>
        <v>0</v>
      </c>
      <c r="O39" s="6">
        <f t="shared" si="47"/>
        <v>0</v>
      </c>
      <c r="V39" s="6">
        <f t="shared" si="37"/>
        <v>0</v>
      </c>
      <c r="W39" s="6">
        <f t="shared" si="37"/>
        <v>0</v>
      </c>
      <c r="X39" s="6">
        <f t="shared" si="38"/>
        <v>0</v>
      </c>
      <c r="Y39" s="6">
        <f>+IFERROR(HLOOKUP($A$1,[15]매출!$G$5:$R$170,62,),)</f>
        <v>0</v>
      </c>
      <c r="Z39" s="6">
        <f>+IFERROR(VLOOKUP($F39,'[17]부산크라샤(손익)'!$L$16:$R$29,3,),)/1000</f>
        <v>0</v>
      </c>
      <c r="AA39" s="6">
        <f t="shared" si="39"/>
        <v>0</v>
      </c>
      <c r="AB39" s="479">
        <f>+IFERROR(HLOOKUP($A$1,[15]매출!$G$5:$R$170,70,),)</f>
        <v>0</v>
      </c>
      <c r="AC39" s="6">
        <f>+IFERROR(VLOOKUP($F39,'[17]부산크라샤(손익)'!$L$16:$R$29,4,),)/1000</f>
        <v>0</v>
      </c>
      <c r="AD39" s="6">
        <f t="shared" si="48"/>
        <v>0</v>
      </c>
      <c r="AG39" s="6">
        <f t="shared" si="49"/>
        <v>0</v>
      </c>
      <c r="AH39" s="6">
        <f t="shared" si="50"/>
        <v>0</v>
      </c>
      <c r="AI39" s="6">
        <f t="shared" si="40"/>
        <v>0</v>
      </c>
      <c r="AJ39" s="6">
        <f t="shared" si="41"/>
        <v>0</v>
      </c>
      <c r="AK39" s="697">
        <f>+IFERROR(HLOOKUP($A$1,[16]이송계획!$G$70:$R$100,6,),)</f>
        <v>0</v>
      </c>
      <c r="AL39" s="6" t="e">
        <f>+'[17]부산모래장(손익)'!$P20/1000</f>
        <v>#VALUE!</v>
      </c>
      <c r="AN39" s="697">
        <f>+IFERROR(HLOOKUP($A$1,[16]이송계획!$G$70:$R$100,13,),)</f>
        <v>38181.818181818177</v>
      </c>
      <c r="AO39" s="6">
        <f>+IFERROR(INDEX('[17]부산모래장(손익)'!$O$16:$S$21,MATCH($F39,'[17]부산모래장(손익)'!$M$16:$M$21,),MATCH($AN$6,'[17]부산모래장(손익)'!$O$15:$S$15,)),)/1000</f>
        <v>0</v>
      </c>
      <c r="AQ39" s="6">
        <f t="shared" si="51"/>
        <v>38181.818181818177</v>
      </c>
      <c r="AR39" s="6" t="e">
        <f t="shared" si="42"/>
        <v>#VALUE!</v>
      </c>
      <c r="AT39" s="6">
        <f t="shared" si="43"/>
        <v>38181.818181818177</v>
      </c>
      <c r="AU39" s="6" t="e">
        <f t="shared" si="44"/>
        <v>#VALUE!</v>
      </c>
      <c r="AV39" s="6" t="e">
        <f t="shared" si="45"/>
        <v>#VALUE!</v>
      </c>
      <c r="AX39" s="84">
        <f>+IFERROR(INDEX('[17]부산모래장(손익)'!$O$16:$U$21,MATCH($F39,'[17]부산모래장(손익)'!$M$16:$M$21,),MATCH($AL$2,'[17]부산모래장(손익)'!$O$15:$S$15,)),)</f>
        <v>0</v>
      </c>
    </row>
    <row r="40" spans="5:50" ht="21.95" customHeight="1">
      <c r="F40" s="696" t="s">
        <v>26</v>
      </c>
      <c r="G40" s="6">
        <f>+IFERROR(HLOOKUP($A$1,[14]매출!$G$5:$R$149,63,),)</f>
        <v>7306</v>
      </c>
      <c r="H40" s="6">
        <f>+IFERROR(VLOOKUP($F40,'[17]서부산(손익)'!$O$16:$X$29,3,),)/1000</f>
        <v>0</v>
      </c>
      <c r="I40" s="6">
        <f t="shared" si="36"/>
        <v>-7306</v>
      </c>
      <c r="J40" s="6">
        <f>+IFERROR(HLOOKUP($A$1,[14]매출!$G$5:$R$149,71,),)</f>
        <v>6535.2258064516127</v>
      </c>
      <c r="K40" s="6">
        <f>+IFERROR(VLOOKUP($F40,'[17]서부산(손익)'!$O$16:$X$29,4,),)/1000</f>
        <v>0</v>
      </c>
      <c r="L40" s="6">
        <f t="shared" si="46"/>
        <v>-6535.2258064516127</v>
      </c>
      <c r="O40" s="6">
        <f t="shared" si="47"/>
        <v>0</v>
      </c>
      <c r="V40" s="6">
        <f t="shared" si="37"/>
        <v>13841.225806451614</v>
      </c>
      <c r="W40" s="6">
        <f t="shared" si="37"/>
        <v>0</v>
      </c>
      <c r="X40" s="6">
        <f t="shared" si="38"/>
        <v>-13841.225806451614</v>
      </c>
      <c r="Y40" s="6">
        <f>+IFERROR(HLOOKUP($A$1,[15]매출!$G$5:$R$170,63,),)</f>
        <v>0</v>
      </c>
      <c r="Z40" s="6">
        <f>+IFERROR(VLOOKUP($F40,'[17]부산크라샤(손익)'!$L$16:$R$29,3,),)/1000</f>
        <v>0</v>
      </c>
      <c r="AA40" s="6">
        <f t="shared" si="39"/>
        <v>0</v>
      </c>
      <c r="AB40" s="479">
        <f>+IFERROR(HLOOKUP($A$1,[15]매출!$G$5:$R$170,71,),)</f>
        <v>0</v>
      </c>
      <c r="AC40" s="6">
        <f>+IFERROR(VLOOKUP($F40,'[17]부산크라샤(손익)'!$L$16:$R$29,4,),)/1000</f>
        <v>0</v>
      </c>
      <c r="AD40" s="6">
        <f t="shared" si="48"/>
        <v>0</v>
      </c>
      <c r="AG40" s="6">
        <f t="shared" si="49"/>
        <v>0</v>
      </c>
      <c r="AH40" s="6">
        <f t="shared" si="50"/>
        <v>0</v>
      </c>
      <c r="AI40" s="6">
        <f t="shared" si="40"/>
        <v>0</v>
      </c>
      <c r="AJ40" s="6">
        <f t="shared" si="41"/>
        <v>0</v>
      </c>
      <c r="AK40" s="697">
        <f>+IFERROR(HLOOKUP($A$1,[16]이송계획!$G$70:$R$100,7,),)</f>
        <v>0</v>
      </c>
      <c r="AL40" s="6" t="e">
        <f>+'[17]부산모래장(손익)'!$P21/1000</f>
        <v>#VALUE!</v>
      </c>
      <c r="AN40" s="697">
        <f>+IFERROR(HLOOKUP($A$1,[16]이송계획!$G$70:$R$100,14,),)</f>
        <v>0</v>
      </c>
      <c r="AO40" s="6">
        <f>+IFERROR(INDEX('[17]부산모래장(손익)'!$O$16:$S$21,MATCH($F40,'[17]부산모래장(손익)'!$M$16:$M$21,),MATCH($AN$6,'[17]부산모래장(손익)'!$O$15:$S$15,)),)/1000</f>
        <v>0</v>
      </c>
      <c r="AQ40" s="6">
        <f t="shared" si="51"/>
        <v>0</v>
      </c>
      <c r="AR40" s="6" t="e">
        <f t="shared" si="42"/>
        <v>#VALUE!</v>
      </c>
      <c r="AT40" s="6">
        <f t="shared" si="43"/>
        <v>13841.225806451614</v>
      </c>
      <c r="AU40" s="6" t="e">
        <f t="shared" si="44"/>
        <v>#VALUE!</v>
      </c>
      <c r="AV40" s="6" t="e">
        <f t="shared" si="45"/>
        <v>#VALUE!</v>
      </c>
    </row>
    <row r="41" spans="5:50" ht="21.95" customHeight="1">
      <c r="F41" s="696" t="s">
        <v>8</v>
      </c>
      <c r="G41" s="6">
        <f>SUM(G35:G40)</f>
        <v>354029.29666666663</v>
      </c>
      <c r="H41" s="6">
        <f>SUM(H35:H40)</f>
        <v>0</v>
      </c>
      <c r="I41" s="6">
        <f t="shared" si="36"/>
        <v>-354029.29666666663</v>
      </c>
      <c r="J41" s="6">
        <f>SUM(J35:J40)</f>
        <v>349019.07580645161</v>
      </c>
      <c r="K41" s="479">
        <f>SUM(K35:K40)</f>
        <v>0</v>
      </c>
      <c r="L41" s="6">
        <f t="shared" si="46"/>
        <v>-349019.07580645161</v>
      </c>
      <c r="N41" s="479"/>
      <c r="O41" s="6">
        <f t="shared" si="47"/>
        <v>0</v>
      </c>
      <c r="V41" s="6">
        <f t="shared" si="37"/>
        <v>703048.37247311824</v>
      </c>
      <c r="W41" s="6">
        <f t="shared" si="37"/>
        <v>0</v>
      </c>
      <c r="X41" s="6">
        <f t="shared" si="38"/>
        <v>-703048.37247311824</v>
      </c>
      <c r="Y41" s="6">
        <f>SUM(Y35:Y40)</f>
        <v>0</v>
      </c>
      <c r="Z41" s="6">
        <f>SUM(Z35:Z40)</f>
        <v>122500</v>
      </c>
      <c r="AA41" s="6">
        <f t="shared" si="39"/>
        <v>122500</v>
      </c>
      <c r="AB41" s="479">
        <f>SUM(AB35:AB40)</f>
        <v>0</v>
      </c>
      <c r="AC41" s="479">
        <f>SUM(AC35:AC40)</f>
        <v>170088</v>
      </c>
      <c r="AD41" s="6">
        <f t="shared" si="48"/>
        <v>170088</v>
      </c>
      <c r="AF41" s="479"/>
      <c r="AG41" s="6">
        <f t="shared" si="49"/>
        <v>0</v>
      </c>
      <c r="AH41" s="6">
        <f t="shared" si="50"/>
        <v>0</v>
      </c>
      <c r="AI41" s="6">
        <f t="shared" si="40"/>
        <v>292588</v>
      </c>
      <c r="AJ41" s="6">
        <f t="shared" si="41"/>
        <v>292588</v>
      </c>
      <c r="AK41" s="6">
        <f>SUM(AK35:AK40)</f>
        <v>177432.6401351454</v>
      </c>
      <c r="AL41" s="6" t="e">
        <f>SUM(AL35:AL40)</f>
        <v>#VALUE!</v>
      </c>
      <c r="AN41" s="6">
        <f>SUM(AN35:AN40)</f>
        <v>348641.38139388664</v>
      </c>
      <c r="AO41" s="6">
        <f>SUM(AO35:AO40)</f>
        <v>0</v>
      </c>
      <c r="AQ41" s="6">
        <f t="shared" si="51"/>
        <v>526074.02152903203</v>
      </c>
      <c r="AR41" s="6" t="e">
        <f t="shared" si="42"/>
        <v>#VALUE!</v>
      </c>
      <c r="AT41" s="6">
        <f>SUM(AT35:AT40)</f>
        <v>1229122.3940021503</v>
      </c>
      <c r="AU41" s="6" t="e">
        <f>SUM(AU35:AU40)</f>
        <v>#VALUE!</v>
      </c>
      <c r="AV41" s="6" t="e">
        <f t="shared" si="45"/>
        <v>#VALUE!</v>
      </c>
    </row>
    <row r="42" spans="5:50" ht="21.95" customHeight="1">
      <c r="G42" s="6" t="b">
        <f>+G41=G13</f>
        <v>1</v>
      </c>
      <c r="H42" s="6" t="b">
        <f>+H41=H13</f>
        <v>0</v>
      </c>
      <c r="J42" s="6" t="b">
        <f>+J41=J13</f>
        <v>1</v>
      </c>
      <c r="K42" s="6" t="b">
        <f>+K41=K13</f>
        <v>0</v>
      </c>
      <c r="V42" s="6" t="b">
        <f>+V41=V13</f>
        <v>1</v>
      </c>
      <c r="W42" s="6" t="b">
        <f>+W41=W13</f>
        <v>0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e">
        <f>+AL41=AL13</f>
        <v>#VALUE!</v>
      </c>
      <c r="AN42" s="6" t="b">
        <f>+AN41=AN13</f>
        <v>1</v>
      </c>
      <c r="AO42" s="6" t="b">
        <f>+AO41=AO13</f>
        <v>0</v>
      </c>
      <c r="AQ42" s="6" t="b">
        <f>+AQ41=AQ13</f>
        <v>1</v>
      </c>
      <c r="AR42" s="6" t="e">
        <f>+AR41=AR13</f>
        <v>#VALUE!</v>
      </c>
      <c r="AT42" s="6" t="b">
        <f>+AT41=AT13</f>
        <v>1</v>
      </c>
      <c r="AU42" s="6" t="e">
        <f>+AU41=AU13</f>
        <v>#VALUE!</v>
      </c>
    </row>
    <row r="43" spans="5:50" ht="21.95" customHeight="1"/>
    <row r="44" spans="5:50" ht="21.95" customHeight="1"/>
    <row r="45" spans="5:50" ht="21.95" customHeight="1"/>
    <row r="46" spans="5:50" ht="21.95" customHeight="1"/>
    <row r="47" spans="5:50" ht="21.95" customHeight="1"/>
    <row r="48" spans="5:5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61A1C-AEC7-48B1-98DC-90DE484623CE}">
  <sheetPr>
    <tabColor theme="0" tint="-0.249977111117893"/>
    <pageSetUpPr fitToPage="1"/>
  </sheetPr>
  <dimension ref="A1:BG53"/>
  <sheetViews>
    <sheetView showGridLines="0" showZeros="0" zoomScale="70" zoomScaleNormal="70" zoomScaleSheetLayoutView="40" workbookViewId="0">
      <pane xSplit="6" ySplit="7" topLeftCell="G8" activePane="bottomRight" state="frozen"/>
      <selection activeCell="AY23" sqref="AY23"/>
      <selection pane="topRight" activeCell="AY23" sqref="AY23"/>
      <selection pane="bottomLeft" activeCell="AY23" sqref="AY23"/>
      <selection pane="bottomRight" activeCell="AY23" sqref="AY23"/>
    </sheetView>
  </sheetViews>
  <sheetFormatPr defaultRowHeight="16.5"/>
  <cols>
    <col min="1" max="3" width="5.625" style="6" customWidth="1"/>
    <col min="4" max="4" width="3.125" style="6" customWidth="1"/>
    <col min="5" max="6" width="8.625" style="6" customWidth="1"/>
    <col min="7" max="46" width="9.875" style="6" customWidth="1"/>
    <col min="47" max="47" width="11.375" style="6" bestFit="1" customWidth="1"/>
    <col min="48" max="48" width="9.875" style="6" customWidth="1"/>
    <col min="49" max="49" width="9" style="6"/>
    <col min="50" max="50" width="14.25" style="84" customWidth="1"/>
    <col min="51" max="51" width="14.25" style="6" customWidth="1"/>
    <col min="52" max="16384" width="9" style="6"/>
  </cols>
  <sheetData>
    <row r="1" spans="1:58" ht="22.5" customHeight="1">
      <c r="A1" s="546" t="s">
        <v>186</v>
      </c>
      <c r="AN1" s="6" t="s">
        <v>207</v>
      </c>
    </row>
    <row r="2" spans="1:58" ht="9.75" customHeight="1">
      <c r="AL2" s="6" t="s">
        <v>215</v>
      </c>
      <c r="AO2" s="6" t="s">
        <v>216</v>
      </c>
    </row>
    <row r="3" spans="1:58" ht="9.9499999999999993" customHeight="1"/>
    <row r="4" spans="1:58" ht="31.5">
      <c r="D4" s="398" t="s">
        <v>242</v>
      </c>
      <c r="F4" s="398"/>
      <c r="I4" s="398"/>
      <c r="V4" s="6">
        <f>+'[13]골재사업소(누계)'!$V$20+'골재사업소(당월)'!V20</f>
        <v>657820.97189756599</v>
      </c>
      <c r="AH4" s="6">
        <f>+'[13]골재사업소(누계)'!$AH$20+'골재사업소(당월)'!AH20</f>
        <v>-448912.87025917094</v>
      </c>
      <c r="AQ4" s="6">
        <f>+'[13]골재사업소(누계)'!$AQ$20+'골재사업소(당월)'!AQ20</f>
        <v>426528.54977175465</v>
      </c>
    </row>
    <row r="5" spans="1:58" ht="21.95" customHeight="1" thickBot="1">
      <c r="J5" s="479"/>
      <c r="AK5" s="479"/>
      <c r="AT5" s="479"/>
      <c r="AV5" s="397" t="s">
        <v>192</v>
      </c>
    </row>
    <row r="6" spans="1:58" ht="24" customHeight="1" thickTop="1">
      <c r="D6" s="547" t="s">
        <v>12</v>
      </c>
      <c r="E6" s="778" t="s">
        <v>11</v>
      </c>
      <c r="F6" s="779"/>
      <c r="G6" s="548" t="s">
        <v>209</v>
      </c>
      <c r="H6" s="549"/>
      <c r="I6" s="549"/>
      <c r="J6" s="549" t="s">
        <v>210</v>
      </c>
      <c r="K6" s="549"/>
      <c r="L6" s="550"/>
      <c r="M6" s="549" t="s">
        <v>211</v>
      </c>
      <c r="N6" s="549"/>
      <c r="O6" s="550"/>
      <c r="P6" s="549" t="s">
        <v>212</v>
      </c>
      <c r="Q6" s="549"/>
      <c r="R6" s="550"/>
      <c r="S6" s="549" t="s">
        <v>213</v>
      </c>
      <c r="T6" s="549"/>
      <c r="U6" s="550"/>
      <c r="V6" s="551" t="s">
        <v>193</v>
      </c>
      <c r="W6" s="552"/>
      <c r="X6" s="553"/>
      <c r="Y6" s="548" t="s">
        <v>194</v>
      </c>
      <c r="Z6" s="549"/>
      <c r="AA6" s="549"/>
      <c r="AB6" s="549" t="s">
        <v>202</v>
      </c>
      <c r="AC6" s="549"/>
      <c r="AD6" s="550"/>
      <c r="AE6" s="549" t="s">
        <v>203</v>
      </c>
      <c r="AF6" s="549"/>
      <c r="AG6" s="550"/>
      <c r="AH6" s="551" t="s">
        <v>195</v>
      </c>
      <c r="AI6" s="552"/>
      <c r="AJ6" s="553"/>
      <c r="AK6" s="554" t="s">
        <v>204</v>
      </c>
      <c r="AL6" s="549"/>
      <c r="AM6" s="549"/>
      <c r="AN6" s="554" t="s">
        <v>205</v>
      </c>
      <c r="AO6" s="549"/>
      <c r="AP6" s="550"/>
      <c r="AQ6" s="551" t="s">
        <v>206</v>
      </c>
      <c r="AR6" s="552"/>
      <c r="AS6" s="553"/>
      <c r="AT6" s="551" t="s">
        <v>196</v>
      </c>
      <c r="AU6" s="552"/>
      <c r="AV6" s="553"/>
    </row>
    <row r="7" spans="1:58" ht="24" customHeight="1">
      <c r="D7" s="555"/>
      <c r="E7" s="780"/>
      <c r="F7" s="781"/>
      <c r="G7" s="556" t="s">
        <v>36</v>
      </c>
      <c r="H7" s="557" t="s">
        <v>37</v>
      </c>
      <c r="I7" s="558" t="s">
        <v>28</v>
      </c>
      <c r="J7" s="559" t="s">
        <v>12</v>
      </c>
      <c r="K7" s="557" t="s">
        <v>13</v>
      </c>
      <c r="L7" s="560" t="s">
        <v>28</v>
      </c>
      <c r="M7" s="559" t="s">
        <v>12</v>
      </c>
      <c r="N7" s="557" t="s">
        <v>13</v>
      </c>
      <c r="O7" s="560" t="s">
        <v>28</v>
      </c>
      <c r="P7" s="559" t="s">
        <v>12</v>
      </c>
      <c r="Q7" s="557" t="s">
        <v>13</v>
      </c>
      <c r="R7" s="560" t="s">
        <v>28</v>
      </c>
      <c r="S7" s="559" t="s">
        <v>12</v>
      </c>
      <c r="T7" s="557" t="s">
        <v>13</v>
      </c>
      <c r="U7" s="560" t="s">
        <v>28</v>
      </c>
      <c r="V7" s="561" t="s">
        <v>12</v>
      </c>
      <c r="W7" s="557" t="s">
        <v>13</v>
      </c>
      <c r="X7" s="562" t="s">
        <v>28</v>
      </c>
      <c r="Y7" s="556" t="s">
        <v>36</v>
      </c>
      <c r="Z7" s="557" t="s">
        <v>37</v>
      </c>
      <c r="AA7" s="558" t="s">
        <v>28</v>
      </c>
      <c r="AB7" s="559" t="s">
        <v>12</v>
      </c>
      <c r="AC7" s="557" t="s">
        <v>13</v>
      </c>
      <c r="AD7" s="560" t="s">
        <v>28</v>
      </c>
      <c r="AE7" s="559" t="s">
        <v>12</v>
      </c>
      <c r="AF7" s="557" t="s">
        <v>13</v>
      </c>
      <c r="AG7" s="560" t="s">
        <v>28</v>
      </c>
      <c r="AH7" s="561" t="s">
        <v>12</v>
      </c>
      <c r="AI7" s="557" t="s">
        <v>13</v>
      </c>
      <c r="AJ7" s="562" t="s">
        <v>28</v>
      </c>
      <c r="AK7" s="560" t="s">
        <v>12</v>
      </c>
      <c r="AL7" s="557" t="s">
        <v>13</v>
      </c>
      <c r="AM7" s="557" t="s">
        <v>28</v>
      </c>
      <c r="AN7" s="560" t="s">
        <v>12</v>
      </c>
      <c r="AO7" s="557" t="s">
        <v>13</v>
      </c>
      <c r="AP7" s="560" t="s">
        <v>28</v>
      </c>
      <c r="AQ7" s="561" t="s">
        <v>12</v>
      </c>
      <c r="AR7" s="557" t="s">
        <v>13</v>
      </c>
      <c r="AS7" s="562" t="s">
        <v>28</v>
      </c>
      <c r="AT7" s="561" t="s">
        <v>12</v>
      </c>
      <c r="AU7" s="557" t="s">
        <v>13</v>
      </c>
      <c r="AV7" s="562" t="s">
        <v>28</v>
      </c>
    </row>
    <row r="8" spans="1:58" ht="28.5" customHeight="1">
      <c r="D8" s="493"/>
      <c r="E8" s="563" t="s">
        <v>89</v>
      </c>
      <c r="F8" s="564" t="s">
        <v>197</v>
      </c>
      <c r="G8" s="565">
        <f>+'골재사업소(당월)'!G8+'[13]골재사업소(누계)'!G8</f>
        <v>76933.319466666668</v>
      </c>
      <c r="H8" s="566">
        <f>+'골재사업소(당월)'!H8+'[13]골재사업소(누계)'!H8</f>
        <v>34002</v>
      </c>
      <c r="I8" s="567">
        <f>H8-G8</f>
        <v>-42931.319466666668</v>
      </c>
      <c r="J8" s="568">
        <f>+'골재사업소(당월)'!J8+'[13]골재사업소(누계)'!J8</f>
        <v>49050.542756989249</v>
      </c>
      <c r="K8" s="566">
        <f>+'골재사업소(당월)'!K8+'[13]골재사업소(누계)'!K8</f>
        <v>14668</v>
      </c>
      <c r="L8" s="569">
        <f>K8-J8</f>
        <v>-34382.542756989249</v>
      </c>
      <c r="M8" s="568">
        <f>+'골재사업소(당월)'!M8+'[13]골재사업소(누계)'!M8</f>
        <v>0</v>
      </c>
      <c r="N8" s="566">
        <f>+'골재사업소(당월)'!N8+'[13]골재사업소(누계)'!N8</f>
        <v>0</v>
      </c>
      <c r="O8" s="569">
        <f>N8-M8</f>
        <v>0</v>
      </c>
      <c r="P8" s="568"/>
      <c r="Q8" s="566">
        <f>+'[18]서부산크라샤(당월)'!$U$66</f>
        <v>0</v>
      </c>
      <c r="R8" s="569">
        <f>Q8-P8</f>
        <v>0</v>
      </c>
      <c r="S8" s="568">
        <f>+'골재사업소(당월)'!S8+'[13]골재사업소(누계)'!S8</f>
        <v>0</v>
      </c>
      <c r="T8" s="566">
        <f>+'골재사업소(당월)'!T8+'[13]골재사업소(누계)'!T8</f>
        <v>0</v>
      </c>
      <c r="U8" s="569">
        <f>T8-S8</f>
        <v>0</v>
      </c>
      <c r="V8" s="570">
        <f>+G8+J8+M8+P8+S8</f>
        <v>125983.86222365592</v>
      </c>
      <c r="W8" s="566">
        <f>+H8+K8+N8+Q8+T8</f>
        <v>48670</v>
      </c>
      <c r="X8" s="571">
        <f>W8-V8</f>
        <v>-77313.862223655917</v>
      </c>
      <c r="Y8" s="565">
        <f>+'골재사업소(당월)'!Y8+'[13]골재사업소(누계)'!Y8</f>
        <v>13531.659466666668</v>
      </c>
      <c r="Z8" s="566">
        <f>+'골재사업소(당월)'!Z8+'[13]골재사업소(누계)'!Z8</f>
        <v>29388</v>
      </c>
      <c r="AA8" s="567">
        <f>Z8-Y8</f>
        <v>15856.340533333332</v>
      </c>
      <c r="AB8" s="568">
        <f>+'골재사업소(당월)'!AB8+'[13]골재사업소(누계)'!AB8</f>
        <v>14155.182699999999</v>
      </c>
      <c r="AC8" s="566">
        <f>+'골재사업소(당월)'!AC8+'[13]골재사업소(누계)'!AC8</f>
        <v>24772</v>
      </c>
      <c r="AD8" s="569">
        <f>AC8-AB8</f>
        <v>10616.817300000001</v>
      </c>
      <c r="AE8" s="568">
        <f>+'골재사업소(당월)'!AE8+'[13]골재사업소(누계)'!AE8</f>
        <v>0</v>
      </c>
      <c r="AF8" s="566">
        <f>+'골재사업소(당월)'!AF8+'[13]골재사업소(누계)'!AF8</f>
        <v>0</v>
      </c>
      <c r="AG8" s="569">
        <f>AF8-AE8</f>
        <v>0</v>
      </c>
      <c r="AH8" s="570">
        <f>+Y8+AB8+AE8</f>
        <v>27686.842166666669</v>
      </c>
      <c r="AI8" s="566">
        <f>+Z8+AC8+AF8</f>
        <v>54160</v>
      </c>
      <c r="AJ8" s="571">
        <f>AI8-AH8</f>
        <v>26473.157833333331</v>
      </c>
      <c r="AK8" s="569">
        <f>+'골재사업소(당월)'!AK8+'[13]골재사업소(누계)'!AK8</f>
        <v>15037.847793974735</v>
      </c>
      <c r="AL8" s="566">
        <f>+'골재사업소(당월)'!AL8+'[13]골재사업소(누계)'!AL8</f>
        <v>1100</v>
      </c>
      <c r="AM8" s="698">
        <f>AL8-AK8</f>
        <v>-13937.847793974735</v>
      </c>
      <c r="AN8" s="569">
        <f>+'골재사업소(당월)'!AN8+'[13]골재사업소(누계)'!AN8</f>
        <v>29752.736621495176</v>
      </c>
      <c r="AO8" s="566">
        <f>+'골재사업소(당월)'!AO8+'[13]골재사업소(누계)'!AO8</f>
        <v>44351</v>
      </c>
      <c r="AP8" s="569">
        <f>AO8-AN8</f>
        <v>14598.263378504824</v>
      </c>
      <c r="AQ8" s="570">
        <f>AK8+AN8</f>
        <v>44790.584415469915</v>
      </c>
      <c r="AR8" s="566">
        <f>AL8+AO8</f>
        <v>45451</v>
      </c>
      <c r="AS8" s="571">
        <f>AR8-AQ8</f>
        <v>660.41558453008474</v>
      </c>
      <c r="AT8" s="570">
        <f>+V8+AH8+AQ8</f>
        <v>198461.28880579252</v>
      </c>
      <c r="AU8" s="566">
        <f>+W8+AI8+AR8</f>
        <v>148281</v>
      </c>
      <c r="AV8" s="571">
        <f>AU8-AT8</f>
        <v>-50180.288805792516</v>
      </c>
    </row>
    <row r="9" spans="1:58" ht="28.5" customHeight="1">
      <c r="D9" s="493"/>
      <c r="E9" s="572"/>
      <c r="F9" s="573" t="s">
        <v>10</v>
      </c>
      <c r="G9" s="574">
        <f>+G8/G$12</f>
        <v>0.66937350999401979</v>
      </c>
      <c r="H9" s="575">
        <f>+H8/H$12</f>
        <v>0.85668934240362815</v>
      </c>
      <c r="I9" s="576">
        <f>+H9-G9</f>
        <v>0.18731583240960836</v>
      </c>
      <c r="J9" s="577">
        <f>+J8/J$12</f>
        <v>0.63660217049593559</v>
      </c>
      <c r="K9" s="575">
        <f>+K8/K$12</f>
        <v>1</v>
      </c>
      <c r="L9" s="578">
        <f>+K9-J9</f>
        <v>0.36339782950406441</v>
      </c>
      <c r="M9" s="577">
        <f>+M8/M$12</f>
        <v>0</v>
      </c>
      <c r="N9" s="575">
        <f>+N8/N$12</f>
        <v>0</v>
      </c>
      <c r="O9" s="578">
        <f>+N9-M9</f>
        <v>0</v>
      </c>
      <c r="P9" s="577"/>
      <c r="Q9" s="575">
        <f>+Q8/Q$12</f>
        <v>0</v>
      </c>
      <c r="R9" s="578">
        <f>+Q9-P9</f>
        <v>0</v>
      </c>
      <c r="S9" s="577"/>
      <c r="T9" s="575">
        <f>+T8/T$12</f>
        <v>0</v>
      </c>
      <c r="U9" s="578">
        <f>+T9-S9</f>
        <v>0</v>
      </c>
      <c r="V9" s="579">
        <f>+V8/V$12</f>
        <v>0.59151834748568577</v>
      </c>
      <c r="W9" s="575">
        <f>+W8/W$12</f>
        <v>0.71232034657377863</v>
      </c>
      <c r="X9" s="580">
        <f>+W9-V9</f>
        <v>0.12080199908809286</v>
      </c>
      <c r="Y9" s="574">
        <f>+Y8/Y$12</f>
        <v>0.62845409048081669</v>
      </c>
      <c r="Z9" s="575">
        <f>+Z8/Z$12</f>
        <v>0.93247874095697425</v>
      </c>
      <c r="AA9" s="576">
        <f>+Z9-Y9</f>
        <v>0.30402465047615757</v>
      </c>
      <c r="AB9" s="577">
        <f>+AB8/AB$12</f>
        <v>0.66911181532835451</v>
      </c>
      <c r="AC9" s="575">
        <f>+AC8/AC$12</f>
        <v>0.68895316497941927</v>
      </c>
      <c r="AD9" s="578">
        <f>+AC9-AB9</f>
        <v>1.9841349651064766E-2</v>
      </c>
      <c r="AE9" s="577">
        <f>+AE8/AE$12</f>
        <v>0</v>
      </c>
      <c r="AF9" s="575" t="e">
        <f>+AF8/AF$12</f>
        <v>#DIV/0!</v>
      </c>
      <c r="AG9" s="578" t="e">
        <f>+AF9-AE9</f>
        <v>#DIV/0!</v>
      </c>
      <c r="AH9" s="579">
        <f>+AH8/AH$12</f>
        <v>0.59303308773439467</v>
      </c>
      <c r="AI9" s="575">
        <f>+AI8/AI$12</f>
        <v>0.80270334360920081</v>
      </c>
      <c r="AJ9" s="580">
        <f>+AI9-AH9</f>
        <v>0.20967025587480614</v>
      </c>
      <c r="AK9" s="578">
        <f>+AK8/AK$12</f>
        <v>0.62559044066100145</v>
      </c>
      <c r="AL9" s="575">
        <f>IFERROR(AL8/AL$12,)</f>
        <v>1</v>
      </c>
      <c r="AM9" s="699">
        <f>+AL9-AK9</f>
        <v>0.37440955933899855</v>
      </c>
      <c r="AN9" s="578">
        <f>+AN8/AN$12</f>
        <v>0.66482496641791167</v>
      </c>
      <c r="AO9" s="575">
        <f>+AO8/AO$12</f>
        <v>0.47530301893667415</v>
      </c>
      <c r="AP9" s="578">
        <f>+AO9-AN9</f>
        <v>-0.18952194748123752</v>
      </c>
      <c r="AQ9" s="579">
        <f>+AQ8/AQ$12</f>
        <v>0.6511150442472069</v>
      </c>
      <c r="AR9" s="575">
        <f>+AR8/AR$12</f>
        <v>0.48141636038173519</v>
      </c>
      <c r="AS9" s="580">
        <f>+AR9-AQ9</f>
        <v>-0.16969868386547171</v>
      </c>
      <c r="AT9" s="579">
        <f>+AT8/AT$12</f>
        <v>0.60421515584789542</v>
      </c>
      <c r="AU9" s="575">
        <f>+AU8/AU$12</f>
        <v>0.64411469577644664</v>
      </c>
      <c r="AV9" s="580">
        <f>+AU9-AT9</f>
        <v>3.989953992855122E-2</v>
      </c>
    </row>
    <row r="10" spans="1:58" ht="28.5" customHeight="1">
      <c r="D10" s="581"/>
      <c r="E10" s="572"/>
      <c r="F10" s="582" t="s">
        <v>198</v>
      </c>
      <c r="G10" s="583">
        <f>+'골재사업소(당월)'!G10+'[13]골재사업소(누계)'!G10</f>
        <v>38000</v>
      </c>
      <c r="H10" s="584">
        <f>+'골재사업소(당월)'!H10+'[13]골재사업소(누계)'!H10</f>
        <v>5688</v>
      </c>
      <c r="I10" s="585">
        <f>H10-G10</f>
        <v>-32312</v>
      </c>
      <c r="J10" s="586">
        <f>+'골재사업소(당월)'!J10+'[13]골재사업소(누계)'!J10</f>
        <v>28000</v>
      </c>
      <c r="K10" s="584">
        <f>+'골재사업소(당월)'!K10+'[13]골재사업소(누계)'!K10</f>
        <v>0</v>
      </c>
      <c r="L10" s="587">
        <f>K10-J10</f>
        <v>-28000</v>
      </c>
      <c r="M10" s="586">
        <f>+'골재사업소(당월)'!M10+'[13]골재사업소(누계)'!M10</f>
        <v>21000</v>
      </c>
      <c r="N10" s="584">
        <f>+'골재사업소(당월)'!N10+'[13]골재사업소(누계)'!N10</f>
        <v>10720</v>
      </c>
      <c r="O10" s="587">
        <f>N10-M10</f>
        <v>-10280</v>
      </c>
      <c r="P10" s="586"/>
      <c r="Q10" s="584">
        <f>+'[18]서부산크라샤(당월)'!$U$59</f>
        <v>976</v>
      </c>
      <c r="R10" s="587">
        <f>Q10-P10</f>
        <v>976</v>
      </c>
      <c r="S10" s="586">
        <f>+'골재사업소(당월)'!S10+'[13]골재사업소(누계)'!S10</f>
        <v>0</v>
      </c>
      <c r="T10" s="584">
        <f>+'골재사업소(당월)'!T10+'[13]골재사업소(누계)'!T10</f>
        <v>2272</v>
      </c>
      <c r="U10" s="587">
        <f>T10-S10</f>
        <v>2272</v>
      </c>
      <c r="V10" s="588">
        <f>+G10+J10+M10+P10+S10</f>
        <v>87000</v>
      </c>
      <c r="W10" s="584">
        <f>+H10+K10+N10+Q10+T10</f>
        <v>19656</v>
      </c>
      <c r="X10" s="589">
        <f>W10-V10</f>
        <v>-67344</v>
      </c>
      <c r="Y10" s="583">
        <f>+'골재사업소(당월)'!Y10+'[13]골재사업소(누계)'!Y10</f>
        <v>8000</v>
      </c>
      <c r="Z10" s="584">
        <f>+'골재사업소(당월)'!Z10+'[13]골재사업소(누계)'!Z10</f>
        <v>2128</v>
      </c>
      <c r="AA10" s="585">
        <f>Z10-Y10</f>
        <v>-5872</v>
      </c>
      <c r="AB10" s="586">
        <f>+'골재사업소(당월)'!AB10+'[13]골재사업소(누계)'!AB10</f>
        <v>7000</v>
      </c>
      <c r="AC10" s="584">
        <f>+'골재사업소(당월)'!AC10+'[13]골재사업소(누계)'!AC10</f>
        <v>11184</v>
      </c>
      <c r="AD10" s="587">
        <f>AC10-AB10</f>
        <v>4184</v>
      </c>
      <c r="AE10" s="586">
        <f>+'골재사업소(당월)'!AE10+'[13]골재사업소(누계)'!AE10</f>
        <v>4000</v>
      </c>
      <c r="AF10" s="584">
        <f>+'골재사업소(당월)'!AF10+'[13]골재사업소(누계)'!AF10</f>
        <v>0</v>
      </c>
      <c r="AG10" s="587">
        <f>AF10-AE10</f>
        <v>-4000</v>
      </c>
      <c r="AH10" s="588">
        <f>+Y10+AB10+AE10</f>
        <v>19000</v>
      </c>
      <c r="AI10" s="584">
        <f>+Z10+AC10+AF10</f>
        <v>13312</v>
      </c>
      <c r="AJ10" s="589">
        <f>AI10-AH10</f>
        <v>-5688</v>
      </c>
      <c r="AK10" s="587">
        <f>+'골재사업소(당월)'!AK10+'[13]골재사업소(누계)'!AK10</f>
        <v>9000</v>
      </c>
      <c r="AL10" s="584">
        <f>+'골재사업소(당월)'!AL10+'[13]골재사업소(누계)'!AL10</f>
        <v>0</v>
      </c>
      <c r="AM10" s="700">
        <f>AL10-AK10</f>
        <v>-9000</v>
      </c>
      <c r="AN10" s="587">
        <f>+'골재사업소(당월)'!AN10+'[13]골재사업소(누계)'!AN10</f>
        <v>15000</v>
      </c>
      <c r="AO10" s="584">
        <f>+'골재사업소(당월)'!AO10+'[13]골재사업소(누계)'!AO10</f>
        <v>48960</v>
      </c>
      <c r="AP10" s="587">
        <f>AO10-AN10</f>
        <v>33960</v>
      </c>
      <c r="AQ10" s="588">
        <f>AK10+AN10</f>
        <v>24000</v>
      </c>
      <c r="AR10" s="584">
        <f>AL10+AO10</f>
        <v>48960</v>
      </c>
      <c r="AS10" s="589">
        <f>AR10-AQ10</f>
        <v>24960</v>
      </c>
      <c r="AT10" s="588">
        <f>+V10+AH10+AQ10</f>
        <v>130000</v>
      </c>
      <c r="AU10" s="584">
        <f>+W10+AI10+AR10</f>
        <v>81928</v>
      </c>
      <c r="AV10" s="589">
        <f>AU10-AT10</f>
        <v>-48072</v>
      </c>
    </row>
    <row r="11" spans="1:58" ht="28.5" customHeight="1">
      <c r="D11" s="581"/>
      <c r="E11" s="590"/>
      <c r="F11" s="591" t="s">
        <v>10</v>
      </c>
      <c r="G11" s="592">
        <f>+G10/G$12</f>
        <v>0.33062649000598021</v>
      </c>
      <c r="H11" s="593">
        <f>+H10/H$12</f>
        <v>0.14331065759637188</v>
      </c>
      <c r="I11" s="594">
        <f>+H11-G11</f>
        <v>-0.18731583240960833</v>
      </c>
      <c r="J11" s="595">
        <f>+J10/J$12</f>
        <v>0.36339782950406435</v>
      </c>
      <c r="K11" s="593">
        <f>+K10/K$12</f>
        <v>0</v>
      </c>
      <c r="L11" s="596">
        <f>+K11-J11</f>
        <v>-0.36339782950406435</v>
      </c>
      <c r="M11" s="595">
        <f>+M10/M$12</f>
        <v>1</v>
      </c>
      <c r="N11" s="593">
        <f>+N10/N$12</f>
        <v>1</v>
      </c>
      <c r="O11" s="596">
        <f>+N11-M11</f>
        <v>0</v>
      </c>
      <c r="P11" s="595"/>
      <c r="Q11" s="593">
        <f>+Q10/Q$12</f>
        <v>1</v>
      </c>
      <c r="R11" s="596">
        <f>+Q11-P11</f>
        <v>1</v>
      </c>
      <c r="S11" s="595"/>
      <c r="T11" s="593">
        <f>+T10/T$12</f>
        <v>1</v>
      </c>
      <c r="U11" s="596">
        <f>+T11-S11</f>
        <v>1</v>
      </c>
      <c r="V11" s="597">
        <f>+V10/V$12</f>
        <v>0.40848165251431429</v>
      </c>
      <c r="W11" s="593">
        <f>+W10/W$12</f>
        <v>0.28767965342622137</v>
      </c>
      <c r="X11" s="598">
        <f>+W11-V11</f>
        <v>-0.12080199908809292</v>
      </c>
      <c r="Y11" s="592">
        <f>+Y10/Y$12</f>
        <v>0.37154590951918326</v>
      </c>
      <c r="Z11" s="593">
        <f>+Z10/Z$12</f>
        <v>6.7521259043025764E-2</v>
      </c>
      <c r="AA11" s="594">
        <f>+Z11-Y11</f>
        <v>-0.30402465047615751</v>
      </c>
      <c r="AB11" s="595">
        <f>+AB10/AB$12</f>
        <v>0.33088818467164555</v>
      </c>
      <c r="AC11" s="593">
        <f>+AC10/AC$12</f>
        <v>0.31104683502058073</v>
      </c>
      <c r="AD11" s="596">
        <f>+AC11-AB11</f>
        <v>-1.9841349651064821E-2</v>
      </c>
      <c r="AE11" s="595">
        <f>+AE10/AE$12</f>
        <v>1</v>
      </c>
      <c r="AF11" s="593" t="e">
        <f>+AF10/AF$12</f>
        <v>#DIV/0!</v>
      </c>
      <c r="AG11" s="596" t="e">
        <f>+AF11-AE11</f>
        <v>#DIV/0!</v>
      </c>
      <c r="AH11" s="597">
        <f>+AH10/AH$12</f>
        <v>0.40696691226560539</v>
      </c>
      <c r="AI11" s="593">
        <f>+AI10/AI$12</f>
        <v>0.19729665639079916</v>
      </c>
      <c r="AJ11" s="598">
        <f>+AI11-AH11</f>
        <v>-0.20967025587480623</v>
      </c>
      <c r="AK11" s="596">
        <f>+AK10/AK$12</f>
        <v>0.37440955933899861</v>
      </c>
      <c r="AL11" s="593">
        <f>IFERROR(AL10/AL$12,)</f>
        <v>0</v>
      </c>
      <c r="AM11" s="701">
        <f>+AL11-AK11</f>
        <v>-0.37440955933899861</v>
      </c>
      <c r="AN11" s="596">
        <f>+AN10/AN$12</f>
        <v>0.33517503358208833</v>
      </c>
      <c r="AO11" s="593">
        <f>+AO10/AO$12</f>
        <v>0.52469698106332585</v>
      </c>
      <c r="AP11" s="596">
        <f>+AO11-AN11</f>
        <v>0.18952194748123752</v>
      </c>
      <c r="AQ11" s="597">
        <f>+AQ10/AQ$12</f>
        <v>0.3488849557527931</v>
      </c>
      <c r="AR11" s="593">
        <f>+AR10/AR$12</f>
        <v>0.51858363961826481</v>
      </c>
      <c r="AS11" s="598">
        <f>+AR11-AQ11</f>
        <v>0.16969868386547171</v>
      </c>
      <c r="AT11" s="597">
        <f>+AT10/AT$12</f>
        <v>0.39578484415210458</v>
      </c>
      <c r="AU11" s="593">
        <f>+AU10/AU$12</f>
        <v>0.35588530422355336</v>
      </c>
      <c r="AV11" s="598">
        <f>+AU11-AT11</f>
        <v>-3.989953992855122E-2</v>
      </c>
    </row>
    <row r="12" spans="1:58" ht="28.5" customHeight="1">
      <c r="D12" s="581"/>
      <c r="E12" s="599"/>
      <c r="F12" s="600" t="s">
        <v>166</v>
      </c>
      <c r="G12" s="601">
        <f>G8+G10</f>
        <v>114933.31946666667</v>
      </c>
      <c r="H12" s="602">
        <f>H8+H10</f>
        <v>39690</v>
      </c>
      <c r="I12" s="603">
        <f t="shared" ref="I12:I32" si="0">H12-G12</f>
        <v>-75243.319466666668</v>
      </c>
      <c r="J12" s="604">
        <f>J8+J10</f>
        <v>77050.542756989249</v>
      </c>
      <c r="K12" s="602">
        <f>K8+K10</f>
        <v>14668</v>
      </c>
      <c r="L12" s="605">
        <f t="shared" ref="L12:L32" si="1">K12-J12</f>
        <v>-62382.542756989249</v>
      </c>
      <c r="M12" s="604">
        <f>M8+M10</f>
        <v>21000</v>
      </c>
      <c r="N12" s="602">
        <f>N8+N10</f>
        <v>10720</v>
      </c>
      <c r="O12" s="605">
        <f t="shared" ref="O12:O32" si="2">N12-M12</f>
        <v>-10280</v>
      </c>
      <c r="P12" s="604"/>
      <c r="Q12" s="602">
        <f>Q8+Q10</f>
        <v>976</v>
      </c>
      <c r="R12" s="605">
        <f t="shared" ref="R12:R32" si="3">Q12-P12</f>
        <v>976</v>
      </c>
      <c r="S12" s="604"/>
      <c r="T12" s="602">
        <f>T8+T10</f>
        <v>2272</v>
      </c>
      <c r="U12" s="605">
        <f t="shared" ref="U12:U32" si="4">T12-S12</f>
        <v>2272</v>
      </c>
      <c r="V12" s="606">
        <f>V8+V10</f>
        <v>212983.86222365592</v>
      </c>
      <c r="W12" s="602">
        <f>W8+W10</f>
        <v>68326</v>
      </c>
      <c r="X12" s="607">
        <f t="shared" ref="X12:X32" si="5">W12-V12</f>
        <v>-144657.86222365592</v>
      </c>
      <c r="Y12" s="601">
        <f>Y8+Y10</f>
        <v>21531.659466666668</v>
      </c>
      <c r="Z12" s="602">
        <f>Z8+Z10</f>
        <v>31516</v>
      </c>
      <c r="AA12" s="603">
        <f t="shared" ref="AA12:AA32" si="6">Z12-Y12</f>
        <v>9984.3405333333321</v>
      </c>
      <c r="AB12" s="604">
        <f>AB8+AB10</f>
        <v>21155.182699999998</v>
      </c>
      <c r="AC12" s="602">
        <f>AC8+AC10</f>
        <v>35956</v>
      </c>
      <c r="AD12" s="605">
        <f t="shared" ref="AD12:AD32" si="7">AC12-AB12</f>
        <v>14800.817300000002</v>
      </c>
      <c r="AE12" s="604">
        <f>AE8+AE10</f>
        <v>4000</v>
      </c>
      <c r="AF12" s="602">
        <f>AF8+AF10</f>
        <v>0</v>
      </c>
      <c r="AG12" s="605">
        <f t="shared" ref="AG12:AG32" si="8">AF12-AE12</f>
        <v>-4000</v>
      </c>
      <c r="AH12" s="606">
        <f>AH8+AH10</f>
        <v>46686.842166666669</v>
      </c>
      <c r="AI12" s="602">
        <f>AI8+AI10</f>
        <v>67472</v>
      </c>
      <c r="AJ12" s="607">
        <f t="shared" ref="AJ12:AJ32" si="9">AI12-AH12</f>
        <v>20785.157833333331</v>
      </c>
      <c r="AK12" s="605">
        <f>AK8+AK10</f>
        <v>24037.847793974735</v>
      </c>
      <c r="AL12" s="602">
        <f>AL8+AL10</f>
        <v>1100</v>
      </c>
      <c r="AM12" s="702">
        <f t="shared" ref="AM12:AM32" si="10">AL12-AK12</f>
        <v>-22937.847793974735</v>
      </c>
      <c r="AN12" s="605">
        <f>AN8+AN10</f>
        <v>44752.736621495176</v>
      </c>
      <c r="AO12" s="602">
        <f>AO8+AO10</f>
        <v>93311</v>
      </c>
      <c r="AP12" s="605">
        <f t="shared" ref="AP12:AP32" si="11">AO12-AN12</f>
        <v>48558.263378504824</v>
      </c>
      <c r="AQ12" s="606">
        <f>AQ8+AQ10</f>
        <v>68790.584415469915</v>
      </c>
      <c r="AR12" s="602">
        <f>AR8+AR10</f>
        <v>94411</v>
      </c>
      <c r="AS12" s="607">
        <f t="shared" ref="AS12:AS32" si="12">AR12-AQ12</f>
        <v>25620.415584530085</v>
      </c>
      <c r="AT12" s="606">
        <f>AT8+AT10</f>
        <v>328461.28880579252</v>
      </c>
      <c r="AU12" s="602">
        <f>AU8+AU10</f>
        <v>230209</v>
      </c>
      <c r="AV12" s="607">
        <f t="shared" ref="AV12:AV32" si="13">AU12-AT12</f>
        <v>-98252.288805792516</v>
      </c>
      <c r="AX12" s="84">
        <f>+'골재사업소(당월)'!AX12+'[13]골재사업소(누계)'!AX12</f>
        <v>328461.28880579246</v>
      </c>
      <c r="AY12" s="6">
        <f>+'골재사업소(당월)'!AY12+'[13]골재사업소(누계)'!AY12</f>
        <v>235425</v>
      </c>
      <c r="AZ12" s="6">
        <f>+AY12-AU12</f>
        <v>5216</v>
      </c>
    </row>
    <row r="13" spans="1:58" ht="28.5" customHeight="1">
      <c r="D13" s="581"/>
      <c r="E13" s="563" t="s">
        <v>124</v>
      </c>
      <c r="F13" s="564" t="s">
        <v>197</v>
      </c>
      <c r="G13" s="565">
        <f>+'골재사업소(당월)'!G13+'[13]골재사업소(누계)'!G13</f>
        <v>1088443.7933333332</v>
      </c>
      <c r="H13" s="566">
        <f>+'골재사업소(당월)'!H13+'[13]골재사업소(누계)'!H13</f>
        <v>514098</v>
      </c>
      <c r="I13" s="567">
        <f t="shared" si="0"/>
        <v>-574345.79333333322</v>
      </c>
      <c r="J13" s="568">
        <f>+'골재사업소(당월)'!J13+'[13]골재사업소(누계)'!J13</f>
        <v>987494.47111182788</v>
      </c>
      <c r="K13" s="566">
        <f>+'골재사업소(당월)'!K13+'[13]골재사업소(누계)'!K13</f>
        <v>268952</v>
      </c>
      <c r="L13" s="569">
        <f t="shared" si="1"/>
        <v>-718542.47111182788</v>
      </c>
      <c r="M13" s="568">
        <f>+'골재사업소(당월)'!M13+'[13]골재사업소(누계)'!M13</f>
        <v>0</v>
      </c>
      <c r="N13" s="566">
        <f>+'골재사업소(당월)'!N13+'[13]골재사업소(누계)'!N13</f>
        <v>0</v>
      </c>
      <c r="O13" s="569">
        <f t="shared" si="2"/>
        <v>0</v>
      </c>
      <c r="P13" s="568"/>
      <c r="Q13" s="566">
        <f>+'[18]서부산크라샤(당월)'!$U$72</f>
        <v>0</v>
      </c>
      <c r="R13" s="569">
        <f t="shared" si="3"/>
        <v>0</v>
      </c>
      <c r="S13" s="568">
        <f>+'골재사업소(당월)'!S13+'[13]골재사업소(누계)'!S13</f>
        <v>0</v>
      </c>
      <c r="T13" s="566">
        <f>+'골재사업소(당월)'!T13+'[13]골재사업소(누계)'!T13</f>
        <v>0</v>
      </c>
      <c r="U13" s="569">
        <f t="shared" si="4"/>
        <v>0</v>
      </c>
      <c r="V13" s="570">
        <f>+G13+J13+M13+P13+S13</f>
        <v>2075938.264445161</v>
      </c>
      <c r="W13" s="566">
        <f>+H13+K13+N13+Q13+T13</f>
        <v>783050</v>
      </c>
      <c r="X13" s="571">
        <f t="shared" si="5"/>
        <v>-1292888.264445161</v>
      </c>
      <c r="Y13" s="565">
        <f>+'골재사업소(당월)'!Y13+'[13]골재사업소(누계)'!Y13</f>
        <v>236800.5406666667</v>
      </c>
      <c r="Z13" s="566">
        <f>+'골재사업소(당월)'!Z13+'[13]골재사업소(누계)'!Z13</f>
        <v>482170</v>
      </c>
      <c r="AA13" s="567">
        <f t="shared" si="6"/>
        <v>245369.4593333333</v>
      </c>
      <c r="AB13" s="568">
        <f>+'골재사업소(당월)'!AB13+'[13]골재사업소(누계)'!AB13</f>
        <v>331246.51544999995</v>
      </c>
      <c r="AC13" s="566">
        <f>+'골재사업소(당월)'!AC13+'[13]골재사업소(누계)'!AC13</f>
        <v>543158</v>
      </c>
      <c r="AD13" s="569">
        <f t="shared" si="7"/>
        <v>211911.48455000005</v>
      </c>
      <c r="AE13" s="568">
        <f>+'골재사업소(당월)'!AE13+'[13]골재사업소(누계)'!AE13</f>
        <v>0</v>
      </c>
      <c r="AF13" s="566">
        <f>+'골재사업소(당월)'!AF13+'[13]골재사업소(누계)'!AF13</f>
        <v>0</v>
      </c>
      <c r="AG13" s="569">
        <f t="shared" si="8"/>
        <v>0</v>
      </c>
      <c r="AH13" s="570">
        <f>+Y13+AB13+AE13</f>
        <v>568047.05611666664</v>
      </c>
      <c r="AI13" s="566">
        <f>+Z13+AC13+AF13</f>
        <v>1025328</v>
      </c>
      <c r="AJ13" s="571">
        <f t="shared" si="9"/>
        <v>457280.94388333336</v>
      </c>
      <c r="AK13" s="569">
        <f>+'골재사업소(당월)'!AK13+'[13]골재사업소(누계)'!AK13</f>
        <v>354911.64263341844</v>
      </c>
      <c r="AL13" s="566">
        <f>+'골재사업소(당월)'!AL13+'[13]골재사업소(누계)'!AL13</f>
        <v>41800</v>
      </c>
      <c r="AM13" s="698">
        <f t="shared" si="10"/>
        <v>-313111.64263341844</v>
      </c>
      <c r="AN13" s="711">
        <f>+'골재사업소(당월)'!AN13+'[13]골재사업소(누계)'!AN13</f>
        <v>1188544.1290580272</v>
      </c>
      <c r="AO13" s="566">
        <f>+'골재사업소(당월)'!AO13+'[13]골재사업소(누계)'!AO13</f>
        <v>1327432.5</v>
      </c>
      <c r="AP13" s="569">
        <f t="shared" si="11"/>
        <v>138888.37094197283</v>
      </c>
      <c r="AQ13" s="570">
        <f>AK13+AN13</f>
        <v>1543455.7716914457</v>
      </c>
      <c r="AR13" s="566">
        <f>AL13+AO13</f>
        <v>1369232.5</v>
      </c>
      <c r="AS13" s="571">
        <f t="shared" si="12"/>
        <v>-174223.27169144573</v>
      </c>
      <c r="AT13" s="570">
        <f>+V13+AH13+AQ13</f>
        <v>4187441.0922532734</v>
      </c>
      <c r="AU13" s="566">
        <f>+W13+AI13+AR13</f>
        <v>3177610.5</v>
      </c>
      <c r="AV13" s="571">
        <f t="shared" si="13"/>
        <v>-1009830.5922532734</v>
      </c>
      <c r="AX13" s="84" t="b">
        <f>+AX12=AT12</f>
        <v>0</v>
      </c>
      <c r="AY13" s="6" t="b">
        <f>+AY12=AU12</f>
        <v>0</v>
      </c>
    </row>
    <row r="14" spans="1:58" ht="28.5" customHeight="1">
      <c r="D14" s="581"/>
      <c r="E14" s="590"/>
      <c r="F14" s="608" t="s">
        <v>199</v>
      </c>
      <c r="G14" s="609">
        <f>+G13/G8*1000</f>
        <v>14147.885478994955</v>
      </c>
      <c r="H14" s="610">
        <f>+H13/H8*1000</f>
        <v>15119.640021175226</v>
      </c>
      <c r="I14" s="611">
        <f t="shared" si="0"/>
        <v>971.75454218027153</v>
      </c>
      <c r="J14" s="612">
        <f>+J13/J8*1000</f>
        <v>20132.182349218125</v>
      </c>
      <c r="K14" s="610">
        <f>+K13/K8*1000</f>
        <v>18335.969457322062</v>
      </c>
      <c r="L14" s="613">
        <f t="shared" si="1"/>
        <v>-1796.2128918960625</v>
      </c>
      <c r="M14" s="612" t="e">
        <f>+M13/M8*1000</f>
        <v>#DIV/0!</v>
      </c>
      <c r="N14" s="610" t="e">
        <f>+N13/N8*1000</f>
        <v>#DIV/0!</v>
      </c>
      <c r="O14" s="613" t="e">
        <f t="shared" si="2"/>
        <v>#DIV/0!</v>
      </c>
      <c r="P14" s="612"/>
      <c r="Q14" s="610" t="e">
        <f>+Q13/Q8*1000</f>
        <v>#DIV/0!</v>
      </c>
      <c r="R14" s="613" t="e">
        <f t="shared" si="3"/>
        <v>#DIV/0!</v>
      </c>
      <c r="S14" s="612"/>
      <c r="T14" s="610" t="e">
        <f>+T13/T8*1000</f>
        <v>#DIV/0!</v>
      </c>
      <c r="U14" s="613" t="e">
        <f t="shared" si="4"/>
        <v>#DIV/0!</v>
      </c>
      <c r="V14" s="614">
        <f>+V13/V8*1000</f>
        <v>16477.810949784987</v>
      </c>
      <c r="W14" s="610">
        <f>+W13/W8*1000</f>
        <v>16088.966509143209</v>
      </c>
      <c r="X14" s="615">
        <f t="shared" si="5"/>
        <v>-388.84444064177842</v>
      </c>
      <c r="Y14" s="609">
        <f>+Y13/Y8*1000</f>
        <v>17499.741347318959</v>
      </c>
      <c r="Z14" s="610">
        <f>+Z13/Z8*1000</f>
        <v>16407.036885803729</v>
      </c>
      <c r="AA14" s="611">
        <f t="shared" si="6"/>
        <v>-1092.7044615152299</v>
      </c>
      <c r="AB14" s="612">
        <f>+AB13/AB8*1000</f>
        <v>23401.07665653796</v>
      </c>
      <c r="AC14" s="610">
        <f>+AC13/AC8*1000</f>
        <v>21926.287744227353</v>
      </c>
      <c r="AD14" s="613">
        <f t="shared" si="7"/>
        <v>-1474.788912310607</v>
      </c>
      <c r="AE14" s="612" t="e">
        <f>+AE13/AE8*1000</f>
        <v>#DIV/0!</v>
      </c>
      <c r="AF14" s="610" t="e">
        <f>+AF13/AF8*1000</f>
        <v>#DIV/0!</v>
      </c>
      <c r="AG14" s="613" t="e">
        <f t="shared" si="8"/>
        <v>#DIV/0!</v>
      </c>
      <c r="AH14" s="614">
        <f>+AH13/AH8*1000</f>
        <v>20516.859694478338</v>
      </c>
      <c r="AI14" s="610">
        <f>+AI13/AI8*1000</f>
        <v>18931.462333825704</v>
      </c>
      <c r="AJ14" s="615">
        <f t="shared" si="9"/>
        <v>-1585.3973606526342</v>
      </c>
      <c r="AK14" s="613">
        <f>+AK13/AK8*1000</f>
        <v>23601.225886567496</v>
      </c>
      <c r="AL14" s="610">
        <f>IFERROR(AL13/AL8*1000,)</f>
        <v>38000</v>
      </c>
      <c r="AM14" s="703">
        <f t="shared" si="10"/>
        <v>14398.774113432504</v>
      </c>
      <c r="AN14" s="613">
        <f>+AN13/AN8*1000</f>
        <v>39947.388510116107</v>
      </c>
      <c r="AO14" s="610">
        <f>+AO13/AO8*1000</f>
        <v>29930.15941015986</v>
      </c>
      <c r="AP14" s="613">
        <f t="shared" si="11"/>
        <v>-10017.229099956247</v>
      </c>
      <c r="AQ14" s="614">
        <f>+AQ13/AQ8*1000</f>
        <v>34459.380064671852</v>
      </c>
      <c r="AR14" s="610">
        <f>+AR13/AR8*1000</f>
        <v>30125.464786253327</v>
      </c>
      <c r="AS14" s="615">
        <f t="shared" si="12"/>
        <v>-4333.9152784185244</v>
      </c>
      <c r="AT14" s="614">
        <f>+AT13/AT8*1000</f>
        <v>21099.535921843988</v>
      </c>
      <c r="AU14" s="610">
        <f>+AU13/AU8*1000</f>
        <v>21429.653832925324</v>
      </c>
      <c r="AV14" s="615">
        <f t="shared" si="13"/>
        <v>330.11791108133548</v>
      </c>
    </row>
    <row r="15" spans="1:58" ht="28.5" customHeight="1">
      <c r="D15" s="581"/>
      <c r="E15" s="717"/>
      <c r="F15" s="617" t="s">
        <v>198</v>
      </c>
      <c r="G15" s="618">
        <f>+'골재사업소(당월)'!G15+'[13]골재사업소(누계)'!G15</f>
        <v>437000</v>
      </c>
      <c r="H15" s="619">
        <f>+'골재사업소(당월)'!H15+'[13]골재사업소(누계)'!H15</f>
        <v>104420</v>
      </c>
      <c r="I15" s="620">
        <f t="shared" si="0"/>
        <v>-332580</v>
      </c>
      <c r="J15" s="621">
        <f>+'골재사업소(당월)'!J15+'[13]골재사업소(누계)'!J15</f>
        <v>420000</v>
      </c>
      <c r="K15" s="619">
        <f>+'골재사업소(당월)'!K15+'[13]골재사업소(누계)'!K15</f>
        <v>0</v>
      </c>
      <c r="L15" s="622">
        <f t="shared" si="1"/>
        <v>-420000</v>
      </c>
      <c r="M15" s="621">
        <f>+'골재사업소(당월)'!M15+'[13]골재사업소(누계)'!M15</f>
        <v>189000</v>
      </c>
      <c r="N15" s="619">
        <f>+'골재사업소(당월)'!N15+'[13]골재사업소(누계)'!N15</f>
        <v>91120</v>
      </c>
      <c r="O15" s="622">
        <f t="shared" si="2"/>
        <v>-97880</v>
      </c>
      <c r="P15" s="621"/>
      <c r="Q15" s="619">
        <f>+'[18]서부산크라샤(당월)'!$U$71</f>
        <v>10736</v>
      </c>
      <c r="R15" s="622">
        <f t="shared" si="3"/>
        <v>10736</v>
      </c>
      <c r="S15" s="621">
        <f>+'골재사업소(당월)'!S15+'[13]골재사업소(누계)'!S15</f>
        <v>0</v>
      </c>
      <c r="T15" s="619">
        <f>+'골재사업소(당월)'!T15+'[13]골재사업소(누계)'!T15</f>
        <v>21344</v>
      </c>
      <c r="U15" s="622">
        <f t="shared" si="4"/>
        <v>21344</v>
      </c>
      <c r="V15" s="623">
        <f>+G15+J15+M15+P15+S15</f>
        <v>1046000</v>
      </c>
      <c r="W15" s="619">
        <f>+H15+K15+N15+Q15+T15</f>
        <v>227620</v>
      </c>
      <c r="X15" s="624">
        <f t="shared" si="5"/>
        <v>-818380</v>
      </c>
      <c r="Y15" s="618">
        <f>+'골재사업소(당월)'!Y15+'[13]골재사업소(누계)'!Y15</f>
        <v>104000</v>
      </c>
      <c r="Z15" s="619">
        <f>+'골재사업소(당월)'!Z15+'[13]골재사업소(누계)'!Z15</f>
        <v>28496</v>
      </c>
      <c r="AA15" s="620">
        <f t="shared" si="6"/>
        <v>-75504</v>
      </c>
      <c r="AB15" s="621">
        <f>+'골재사업소(당월)'!AB15+'[13]골재사업소(누계)'!AB15</f>
        <v>126000</v>
      </c>
      <c r="AC15" s="619">
        <f>+'골재사업소(당월)'!AC15+'[13]골재사업소(누계)'!AC15</f>
        <v>201632</v>
      </c>
      <c r="AD15" s="622">
        <f t="shared" si="7"/>
        <v>75632</v>
      </c>
      <c r="AE15" s="621">
        <f>+'골재사업소(당월)'!AE15+'[13]골재사업소(누계)'!AE15</f>
        <v>36000</v>
      </c>
      <c r="AF15" s="619">
        <f>+'골재사업소(당월)'!AF15+'[13]골재사업소(누계)'!AF15</f>
        <v>0</v>
      </c>
      <c r="AG15" s="622">
        <f t="shared" si="8"/>
        <v>-36000</v>
      </c>
      <c r="AH15" s="623">
        <f>+Y15+AB15+AE15</f>
        <v>266000</v>
      </c>
      <c r="AI15" s="619">
        <f>+Z15+AC15+AF15</f>
        <v>230128</v>
      </c>
      <c r="AJ15" s="624">
        <f t="shared" si="9"/>
        <v>-35872</v>
      </c>
      <c r="AK15" s="622">
        <f>+'골재사업소(당월)'!AK15+'[13]골재사업소(누계)'!AK15</f>
        <v>315000</v>
      </c>
      <c r="AL15" s="619">
        <f>+'골재사업소(당월)'!AL15+'[13]골재사업소(누계)'!AL15</f>
        <v>0</v>
      </c>
      <c r="AM15" s="704">
        <f t="shared" si="10"/>
        <v>-315000</v>
      </c>
      <c r="AN15" s="622">
        <f>+'골재사업소(당월)'!AN15+'[13]골재사업소(누계)'!AN15</f>
        <v>412500</v>
      </c>
      <c r="AO15" s="619">
        <f>+'골재사업소(당월)'!AO15+'[13]골재사업소(누계)'!AO15</f>
        <v>1360000</v>
      </c>
      <c r="AP15" s="622">
        <f t="shared" si="11"/>
        <v>947500</v>
      </c>
      <c r="AQ15" s="623">
        <f>AK15+AN15</f>
        <v>727500</v>
      </c>
      <c r="AR15" s="619">
        <f>AL15+AO15</f>
        <v>1360000</v>
      </c>
      <c r="AS15" s="624">
        <f t="shared" si="12"/>
        <v>632500</v>
      </c>
      <c r="AT15" s="623">
        <f>+V15+AH15+AQ15</f>
        <v>2039500</v>
      </c>
      <c r="AU15" s="619">
        <f>+W15+AI15+AR15</f>
        <v>1817748</v>
      </c>
      <c r="AV15" s="624">
        <f t="shared" si="13"/>
        <v>-221752</v>
      </c>
    </row>
    <row r="16" spans="1:58" ht="28.5" customHeight="1">
      <c r="D16" s="479"/>
      <c r="E16" s="717"/>
      <c r="F16" s="608" t="s">
        <v>199</v>
      </c>
      <c r="G16" s="609">
        <f>IFERROR(G15/G10,)*1000</f>
        <v>11500</v>
      </c>
      <c r="H16" s="610">
        <f>IFERROR(H15/H10,)*1000</f>
        <v>18357.946554149083</v>
      </c>
      <c r="I16" s="611">
        <f t="shared" si="0"/>
        <v>6857.9465541490827</v>
      </c>
      <c r="J16" s="612">
        <f>IFERROR(J15/J10,)*1000</f>
        <v>15000</v>
      </c>
      <c r="K16" s="610">
        <f>IFERROR(K15/K10,)*1000</f>
        <v>0</v>
      </c>
      <c r="L16" s="613">
        <f t="shared" si="1"/>
        <v>-15000</v>
      </c>
      <c r="M16" s="612">
        <f>IFERROR(M15/M10,)*1000</f>
        <v>9000</v>
      </c>
      <c r="N16" s="610">
        <f>IFERROR(N15/N10,)*1000</f>
        <v>8500</v>
      </c>
      <c r="O16" s="613">
        <f t="shared" si="2"/>
        <v>-500</v>
      </c>
      <c r="P16" s="612"/>
      <c r="Q16" s="610">
        <f>IFERROR(Q15/Q10,)*1000</f>
        <v>11000</v>
      </c>
      <c r="R16" s="613">
        <f t="shared" si="3"/>
        <v>11000</v>
      </c>
      <c r="S16" s="612"/>
      <c r="T16" s="610">
        <f>IFERROR(T15/T10,)*1000</f>
        <v>9394.3661971830988</v>
      </c>
      <c r="U16" s="613">
        <f t="shared" si="4"/>
        <v>9394.3661971830988</v>
      </c>
      <c r="V16" s="614">
        <f>IFERROR(V15/V10,)*1000</f>
        <v>12022.988505747126</v>
      </c>
      <c r="W16" s="610">
        <f>IFERROR(W15/W10,)*1000</f>
        <v>11580.179080179081</v>
      </c>
      <c r="X16" s="615">
        <f t="shared" si="5"/>
        <v>-442.80942556804439</v>
      </c>
      <c r="Y16" s="609">
        <f>IFERROR(Y15/Y10,)*1000</f>
        <v>13000</v>
      </c>
      <c r="Z16" s="610">
        <f>IFERROR(Z15/Z10,)*1000</f>
        <v>13390.977443609023</v>
      </c>
      <c r="AA16" s="611">
        <f t="shared" si="6"/>
        <v>390.97744360902288</v>
      </c>
      <c r="AB16" s="612">
        <f>IFERROR(AB15/AB10,)*1000</f>
        <v>18000</v>
      </c>
      <c r="AC16" s="610">
        <f>IFERROR(AC15/AC10,)*1000</f>
        <v>18028.612303290414</v>
      </c>
      <c r="AD16" s="613">
        <f t="shared" si="7"/>
        <v>28.612303290414275</v>
      </c>
      <c r="AE16" s="612">
        <f>IFERROR(AE15/AE10,)*1000</f>
        <v>9000</v>
      </c>
      <c r="AF16" s="610">
        <f>IFERROR(AF15/AF10,)*1000</f>
        <v>0</v>
      </c>
      <c r="AG16" s="613">
        <f t="shared" si="8"/>
        <v>-9000</v>
      </c>
      <c r="AH16" s="614">
        <f>IFERROR(AH15/AH10,)*1000</f>
        <v>14000</v>
      </c>
      <c r="AI16" s="610">
        <f>IFERROR(AI15/AI10,)*1000</f>
        <v>17287.259615384617</v>
      </c>
      <c r="AJ16" s="615">
        <f t="shared" si="9"/>
        <v>3287.2596153846171</v>
      </c>
      <c r="AK16" s="613">
        <f>IFERROR(AK15/AK10,)*1000</f>
        <v>35000</v>
      </c>
      <c r="AL16" s="610">
        <f>IFERROR(AL15/AL10,)*1000</f>
        <v>0</v>
      </c>
      <c r="AM16" s="703">
        <f t="shared" si="10"/>
        <v>-35000</v>
      </c>
      <c r="AN16" s="613">
        <f>IFERROR(AN15/AN10,)*1000</f>
        <v>27500</v>
      </c>
      <c r="AO16" s="610">
        <f>IFERROR(AO15/AO10,)*1000</f>
        <v>27777.777777777777</v>
      </c>
      <c r="AP16" s="613">
        <f t="shared" si="11"/>
        <v>277.77777777777737</v>
      </c>
      <c r="AQ16" s="614">
        <f>IFERROR(AQ15/AQ10,)*1000</f>
        <v>30312.5</v>
      </c>
      <c r="AR16" s="610">
        <f>IFERROR(AR15/AR10,)*1000</f>
        <v>27777.777777777777</v>
      </c>
      <c r="AS16" s="615">
        <f t="shared" si="12"/>
        <v>-2534.7222222222226</v>
      </c>
      <c r="AT16" s="614">
        <f>IFERROR(AT15/AT10,)*1000</f>
        <v>15688.461538461539</v>
      </c>
      <c r="AU16" s="610">
        <f>IFERROR(AU15/AU10,)*1000</f>
        <v>22187.139927741431</v>
      </c>
      <c r="AV16" s="615">
        <f t="shared" si="13"/>
        <v>6498.6783892798921</v>
      </c>
      <c r="AX16" s="84">
        <f>+AX17-AT17</f>
        <v>0</v>
      </c>
      <c r="BD16" s="6" t="s">
        <v>217</v>
      </c>
      <c r="BE16" s="6" t="s">
        <v>218</v>
      </c>
      <c r="BF16" s="6" t="s">
        <v>219</v>
      </c>
    </row>
    <row r="17" spans="4:59" ht="28.5" customHeight="1">
      <c r="D17" s="479"/>
      <c r="E17" s="717"/>
      <c r="F17" s="625" t="s">
        <v>166</v>
      </c>
      <c r="G17" s="618">
        <f>G13+G15</f>
        <v>1525443.7933333332</v>
      </c>
      <c r="H17" s="619">
        <f>H13+H15</f>
        <v>618518</v>
      </c>
      <c r="I17" s="620">
        <f t="shared" si="0"/>
        <v>-906925.79333333322</v>
      </c>
      <c r="J17" s="621">
        <f>J13+J15</f>
        <v>1407494.471111828</v>
      </c>
      <c r="K17" s="619">
        <f>K13+K15</f>
        <v>268952</v>
      </c>
      <c r="L17" s="622">
        <f t="shared" si="1"/>
        <v>-1138542.471111828</v>
      </c>
      <c r="M17" s="621">
        <f>M13+M15</f>
        <v>189000</v>
      </c>
      <c r="N17" s="619">
        <f>N13+N15</f>
        <v>91120</v>
      </c>
      <c r="O17" s="622">
        <f t="shared" si="2"/>
        <v>-97880</v>
      </c>
      <c r="P17" s="621"/>
      <c r="Q17" s="619">
        <f>Q13+Q15</f>
        <v>10736</v>
      </c>
      <c r="R17" s="622">
        <f t="shared" si="3"/>
        <v>10736</v>
      </c>
      <c r="S17" s="621"/>
      <c r="T17" s="619">
        <f>T13+T15</f>
        <v>21344</v>
      </c>
      <c r="U17" s="622">
        <f t="shared" si="4"/>
        <v>21344</v>
      </c>
      <c r="V17" s="623">
        <f>V13+V15</f>
        <v>3121938.264445161</v>
      </c>
      <c r="W17" s="619">
        <f>W13+W15</f>
        <v>1010670</v>
      </c>
      <c r="X17" s="624">
        <f t="shared" si="5"/>
        <v>-2111268.264445161</v>
      </c>
      <c r="Y17" s="618">
        <f>Y13+Y15</f>
        <v>340800.5406666667</v>
      </c>
      <c r="Z17" s="619">
        <f>Z13+Z15</f>
        <v>510666</v>
      </c>
      <c r="AA17" s="620">
        <f t="shared" si="6"/>
        <v>169865.4593333333</v>
      </c>
      <c r="AB17" s="621">
        <f>AB13+AB15</f>
        <v>457246.51544999995</v>
      </c>
      <c r="AC17" s="619">
        <f>AC13+AC15</f>
        <v>744790</v>
      </c>
      <c r="AD17" s="622">
        <f t="shared" si="7"/>
        <v>287543.48455000005</v>
      </c>
      <c r="AE17" s="621">
        <f>AE13+AE15</f>
        <v>36000</v>
      </c>
      <c r="AF17" s="619">
        <f>AF13+AF15</f>
        <v>0</v>
      </c>
      <c r="AG17" s="622">
        <f t="shared" si="8"/>
        <v>-36000</v>
      </c>
      <c r="AH17" s="623">
        <f>AH13+AH15</f>
        <v>834047.05611666664</v>
      </c>
      <c r="AI17" s="619">
        <f>AI13+AI15</f>
        <v>1255456</v>
      </c>
      <c r="AJ17" s="624">
        <f t="shared" si="9"/>
        <v>421408.94388333336</v>
      </c>
      <c r="AK17" s="622">
        <f>AK13+AK15</f>
        <v>669911.64263341844</v>
      </c>
      <c r="AL17" s="619">
        <f>AL13+AL15</f>
        <v>41800</v>
      </c>
      <c r="AM17" s="704">
        <f t="shared" si="10"/>
        <v>-628111.64263341844</v>
      </c>
      <c r="AN17" s="622">
        <f>AN13+AN15</f>
        <v>1601044.1290580272</v>
      </c>
      <c r="AO17" s="619">
        <f>AO13+AO15</f>
        <v>2687432.5</v>
      </c>
      <c r="AP17" s="622">
        <f t="shared" si="11"/>
        <v>1086388.3709419728</v>
      </c>
      <c r="AQ17" s="623">
        <f>AQ13+AQ15</f>
        <v>2270955.7716914457</v>
      </c>
      <c r="AR17" s="619">
        <f>AR13+AR15</f>
        <v>2729232.5</v>
      </c>
      <c r="AS17" s="624">
        <f t="shared" si="12"/>
        <v>458276.72830855427</v>
      </c>
      <c r="AT17" s="623">
        <f>AT13+AT15</f>
        <v>6226941.0922532734</v>
      </c>
      <c r="AU17" s="619">
        <f>AU13+AU15</f>
        <v>4995358.5</v>
      </c>
      <c r="AV17" s="624">
        <f t="shared" si="13"/>
        <v>-1231582.5922532734</v>
      </c>
      <c r="AX17" s="84">
        <f>+'골재사업소(당월)'!AX17+'[13]골재사업소(누계)'!AX17</f>
        <v>6226941.0922532734</v>
      </c>
      <c r="AY17" s="6">
        <f>+'골재사업소(당월)'!AY17+'[13]골재사업소(누계)'!AY17</f>
        <v>5026814.5</v>
      </c>
      <c r="BD17" s="6">
        <f>SUM([16]손익계획!$G$25:$I$25)</f>
        <v>194183.63184059103</v>
      </c>
      <c r="BE17" s="6">
        <f>SUM([15]손익요약!$G$26:$I$26)</f>
        <v>-251952.70525917091</v>
      </c>
      <c r="BF17" s="6">
        <f>SUM([14]손익!$G$113:$I$113)</f>
        <v>418997.30561073561</v>
      </c>
      <c r="BG17" s="6">
        <f>SUM(BD17:BF17)</f>
        <v>361228.23219215573</v>
      </c>
    </row>
    <row r="18" spans="4:59" ht="28.5" customHeight="1">
      <c r="D18" s="479"/>
      <c r="E18" s="626" t="s">
        <v>7</v>
      </c>
      <c r="F18" s="627" t="s">
        <v>200</v>
      </c>
      <c r="G18" s="628">
        <f>+'골재사업소(당월)'!G18+'[13]골재사업소(누계)'!G18</f>
        <v>231556.29510094452</v>
      </c>
      <c r="H18" s="629">
        <f>+'골재사업소(당월)'!H18+'[13]골재사업소(누계)'!H18</f>
        <v>165031.1472121703</v>
      </c>
      <c r="I18" s="630">
        <f t="shared" si="0"/>
        <v>-66525.147888774227</v>
      </c>
      <c r="J18" s="631">
        <f>+'골재사업소(당월)'!J18+'[13]골재사업소(누계)'!J18</f>
        <v>215932.30432518647</v>
      </c>
      <c r="K18" s="629">
        <f>+'골재사업소(당월)'!K18+'[13]골재사업소(누계)'!K18</f>
        <v>114852.02160246993</v>
      </c>
      <c r="L18" s="632">
        <f t="shared" si="1"/>
        <v>-101080.28272271654</v>
      </c>
      <c r="M18" s="631">
        <f>+'골재사업소(당월)'!M18+'[13]골재사업소(누계)'!M18</f>
        <v>0</v>
      </c>
      <c r="N18" s="629">
        <f>+'골재사업소(당월)'!N18+'[13]골재사업소(누계)'!N18</f>
        <v>0</v>
      </c>
      <c r="O18" s="632">
        <f t="shared" si="2"/>
        <v>0</v>
      </c>
      <c r="P18" s="631"/>
      <c r="Q18" s="629">
        <f>+'[18]서부산크라샤(당월)'!$U$87</f>
        <v>0</v>
      </c>
      <c r="R18" s="632">
        <f t="shared" si="3"/>
        <v>0</v>
      </c>
      <c r="S18" s="631">
        <f>+'골재사업소(당월)'!S18+'[13]골재사업소(누계)'!S18</f>
        <v>0</v>
      </c>
      <c r="T18" s="629">
        <f>+'골재사업소(당월)'!T18+'[13]골재사업소(누계)'!T18</f>
        <v>0</v>
      </c>
      <c r="U18" s="632">
        <f t="shared" si="4"/>
        <v>0</v>
      </c>
      <c r="V18" s="633">
        <f>+G18+J18+M18+P18+S18</f>
        <v>447488.599426131</v>
      </c>
      <c r="W18" s="629">
        <f>+H18+K18+N18+Q18+T18</f>
        <v>279883.16881464026</v>
      </c>
      <c r="X18" s="634">
        <f t="shared" si="5"/>
        <v>-167605.43061149074</v>
      </c>
      <c r="Y18" s="628">
        <f>+'골재사업소(당월)'!Y18+'[13]골재사업소(누계)'!Y18</f>
        <v>-123413.47001666389</v>
      </c>
      <c r="Z18" s="629">
        <f>+'골재사업소(당월)'!Z18+'[13]골재사업소(누계)'!Z18</f>
        <v>-489272.4686469009</v>
      </c>
      <c r="AA18" s="630">
        <f t="shared" si="6"/>
        <v>-365858.99863023701</v>
      </c>
      <c r="AB18" s="631">
        <f>+'골재사업소(당월)'!AB18+'[13]골재사업소(누계)'!AB18</f>
        <v>-133954.8531743284</v>
      </c>
      <c r="AC18" s="629">
        <f>+'골재사업소(당월)'!AC18+'[13]골재사업소(누계)'!AC18</f>
        <v>-32286.688024575615</v>
      </c>
      <c r="AD18" s="632">
        <f t="shared" si="7"/>
        <v>101668.16514975278</v>
      </c>
      <c r="AE18" s="631">
        <f>+'골재사업소(당월)'!AE18+'[13]골재사업소(누계)'!AE18</f>
        <v>0</v>
      </c>
      <c r="AF18" s="629">
        <f>+'골재사업소(당월)'!AF18+'[13]골재사업소(누계)'!AF18</f>
        <v>0</v>
      </c>
      <c r="AG18" s="632">
        <f t="shared" si="8"/>
        <v>0</v>
      </c>
      <c r="AH18" s="633">
        <f>+Y18+AB18+AE18</f>
        <v>-257368.32319099229</v>
      </c>
      <c r="AI18" s="629">
        <f>+Z18+AC18+AF18</f>
        <v>-521559.15667147649</v>
      </c>
      <c r="AJ18" s="634">
        <f t="shared" si="9"/>
        <v>-264190.8334804842</v>
      </c>
      <c r="AK18" s="632">
        <f>+'골재사업소(당월)'!AK18+'[13]골재사업소(누계)'!AK18</f>
        <v>145121.02455764165</v>
      </c>
      <c r="AL18" s="629">
        <f>+'골재사업소(당월)'!AL18+'[13]골재사업소(누계)'!AL18</f>
        <v>8839.2209999999995</v>
      </c>
      <c r="AM18" s="705">
        <f t="shared" si="10"/>
        <v>-136281.80355764166</v>
      </c>
      <c r="AN18" s="632">
        <f>+'골재사업소(당월)'!AN18+'[13]골재사업소(누계)'!AN18</f>
        <v>277902.50126177398</v>
      </c>
      <c r="AO18" s="629">
        <f>+'골재사업소(당월)'!AO18+'[13]골재사업소(누계)'!AO18</f>
        <v>19935.68339423844</v>
      </c>
      <c r="AP18" s="632">
        <f t="shared" si="11"/>
        <v>-257966.81786753554</v>
      </c>
      <c r="AQ18" s="633">
        <f>AK18+AN18</f>
        <v>423023.52581941563</v>
      </c>
      <c r="AR18" s="629">
        <f>AL18+AO18</f>
        <v>28774.904394238438</v>
      </c>
      <c r="AS18" s="634">
        <f t="shared" si="12"/>
        <v>-394248.6214251772</v>
      </c>
      <c r="AT18" s="633">
        <f>+V18+AH18+AQ18</f>
        <v>613143.80205455434</v>
      </c>
      <c r="AU18" s="629">
        <f>+W18+AI18+AR18</f>
        <v>-212901.0834625978</v>
      </c>
      <c r="AV18" s="634">
        <f t="shared" si="13"/>
        <v>-826044.88551715214</v>
      </c>
      <c r="AX18" s="84" t="b">
        <f>+AX17=AT17</f>
        <v>1</v>
      </c>
      <c r="AY18" s="6" t="b">
        <f>+AY17=AU17</f>
        <v>0</v>
      </c>
    </row>
    <row r="19" spans="4:59" ht="28.5" customHeight="1">
      <c r="D19" s="479"/>
      <c r="E19" s="635"/>
      <c r="F19" s="636" t="s">
        <v>201</v>
      </c>
      <c r="G19" s="637">
        <f>+'골재사업소(당월)'!G19+'[13]골재사업소(누계)'!G19</f>
        <v>90018.320351003029</v>
      </c>
      <c r="H19" s="638">
        <f>+'골재사업소(당월)'!H19+'[13]골재사업소(누계)'!H19</f>
        <v>-113763.50376796808</v>
      </c>
      <c r="I19" s="639">
        <f t="shared" si="0"/>
        <v>-203781.82411897113</v>
      </c>
      <c r="J19" s="640">
        <f>+'골재사업소(당월)'!J19+'[13]골재사업소(누계)'!J19</f>
        <v>82697.81779558312</v>
      </c>
      <c r="K19" s="638">
        <f>+'골재사업소(당월)'!K19+'[13]골재사업소(누계)'!K19</f>
        <v>0</v>
      </c>
      <c r="L19" s="641">
        <f t="shared" si="1"/>
        <v>-82697.81779558312</v>
      </c>
      <c r="M19" s="640">
        <f>+'골재사업소(당월)'!M19+'[13]골재사업소(누계)'!M19</f>
        <v>37616.234324848767</v>
      </c>
      <c r="N19" s="638">
        <f>+'골재사업소(당월)'!N19+'[13]골재사업소(누계)'!N19</f>
        <v>-25954.326568941753</v>
      </c>
      <c r="O19" s="641">
        <f t="shared" si="2"/>
        <v>-63570.56089379052</v>
      </c>
      <c r="P19" s="640"/>
      <c r="Q19" s="638">
        <f>+'[18]서부산크라샤(당월)'!$U$86</f>
        <v>2159.3171375203683</v>
      </c>
      <c r="R19" s="641">
        <f t="shared" si="3"/>
        <v>2159.3171375203683</v>
      </c>
      <c r="S19" s="640">
        <f>+'골재사업소(당월)'!S19+'[13]골재사업소(누계)'!S19</f>
        <v>0</v>
      </c>
      <c r="T19" s="638">
        <f>+'골재사업소(당월)'!T19+'[13]골재사업소(누계)'!T19</f>
        <v>-3625.6542718788501</v>
      </c>
      <c r="U19" s="641">
        <f t="shared" si="4"/>
        <v>-3625.6542718788501</v>
      </c>
      <c r="V19" s="642">
        <f>+G19+J19+M19+P19+S19</f>
        <v>210332.37247143491</v>
      </c>
      <c r="W19" s="638">
        <f>+H19+K19+N19+Q19+T19</f>
        <v>-141184.1674712683</v>
      </c>
      <c r="X19" s="643">
        <f t="shared" si="5"/>
        <v>-351516.53994270321</v>
      </c>
      <c r="Y19" s="637">
        <f>+'골재사업소(당월)'!Y19+'[13]골재사업소(누계)'!Y19</f>
        <v>-74889.597349964577</v>
      </c>
      <c r="Z19" s="638">
        <f>+'골재사업소(당월)'!Z19+'[13]골재사업소(누계)'!Z19</f>
        <v>-23157.516432379423</v>
      </c>
      <c r="AA19" s="639">
        <f t="shared" si="6"/>
        <v>51732.080917585154</v>
      </c>
      <c r="AB19" s="640">
        <f>+'골재사업소(당월)'!AB19+'[13]골재사업소(누계)'!AB19</f>
        <v>-90731.627558610926</v>
      </c>
      <c r="AC19" s="638">
        <f>+'골재사업소(당월)'!AC19+'[13]골재사업소(누계)'!AC19</f>
        <v>-61393.52397614417</v>
      </c>
      <c r="AD19" s="641">
        <f t="shared" si="7"/>
        <v>29338.103582466756</v>
      </c>
      <c r="AE19" s="640">
        <f>+'골재사업소(당월)'!AE19+'[13]골재사업소(누계)'!AE19</f>
        <v>-25923.322159603125</v>
      </c>
      <c r="AF19" s="638">
        <f>+'골재사업소(당월)'!AF19+'[13]골재사업소(누계)'!AF19</f>
        <v>0</v>
      </c>
      <c r="AG19" s="641">
        <f t="shared" si="8"/>
        <v>25923.322159603125</v>
      </c>
      <c r="AH19" s="642">
        <f>+Y19+AB19+AE19</f>
        <v>-191544.54706817862</v>
      </c>
      <c r="AI19" s="638">
        <f>+Z19+AC19+AF19</f>
        <v>-84551.040408523593</v>
      </c>
      <c r="AJ19" s="643">
        <f t="shared" si="9"/>
        <v>106993.50665965503</v>
      </c>
      <c r="AK19" s="641">
        <f>+'골재사업소(당월)'!AK19+'[13]골재사업소(누계)'!AK19</f>
        <v>8765.5995411696658</v>
      </c>
      <c r="AL19" s="638">
        <f>+'골재사업소(당월)'!AL19+'[13]골재사업소(누계)'!AL19</f>
        <v>0</v>
      </c>
      <c r="AM19" s="706">
        <f t="shared" si="10"/>
        <v>-8765.5995411696658</v>
      </c>
      <c r="AN19" s="641">
        <f>+'골재사업소(당월)'!AN19+'[13]골재사업소(누계)'!AN19</f>
        <v>-5260.5755888306248</v>
      </c>
      <c r="AO19" s="638">
        <f>+'골재사업소(당월)'!AO19+'[13]골재사업소(누계)'!AO19</f>
        <v>-25025.028394238449</v>
      </c>
      <c r="AP19" s="641">
        <f t="shared" si="11"/>
        <v>-19764.452805407826</v>
      </c>
      <c r="AQ19" s="642">
        <f>AK19+AN19</f>
        <v>3505.023952339041</v>
      </c>
      <c r="AR19" s="638">
        <f>AL19+AO19</f>
        <v>-25025.028394238449</v>
      </c>
      <c r="AS19" s="643">
        <f t="shared" si="12"/>
        <v>-28530.05234657749</v>
      </c>
      <c r="AT19" s="642">
        <f>+V19+AH19+AQ19</f>
        <v>22292.849355595325</v>
      </c>
      <c r="AU19" s="638">
        <f>+W19+AI19+AR19</f>
        <v>-250760.23627403035</v>
      </c>
      <c r="AV19" s="643">
        <f t="shared" si="13"/>
        <v>-273053.08562962565</v>
      </c>
    </row>
    <row r="20" spans="4:59" ht="28.5" customHeight="1">
      <c r="D20" s="479"/>
      <c r="E20" s="718"/>
      <c r="F20" s="645" t="s">
        <v>165</v>
      </c>
      <c r="G20" s="646">
        <f>G18+G19</f>
        <v>321574.61545194755</v>
      </c>
      <c r="H20" s="647">
        <f>H18+H19</f>
        <v>51267.643444202215</v>
      </c>
      <c r="I20" s="648">
        <f t="shared" si="0"/>
        <v>-270306.97200774535</v>
      </c>
      <c r="J20" s="649">
        <f>J18+J19</f>
        <v>298630.12212076958</v>
      </c>
      <c r="K20" s="647">
        <f>K18+K19</f>
        <v>114852.02160246993</v>
      </c>
      <c r="L20" s="650">
        <f t="shared" si="1"/>
        <v>-183778.10051829965</v>
      </c>
      <c r="M20" s="649">
        <f>M18+M19</f>
        <v>37616.234324848767</v>
      </c>
      <c r="N20" s="647">
        <f>N18+N19</f>
        <v>-25954.326568941753</v>
      </c>
      <c r="O20" s="650">
        <f t="shared" si="2"/>
        <v>-63570.56089379052</v>
      </c>
      <c r="P20" s="649"/>
      <c r="Q20" s="647">
        <f>Q18+Q19</f>
        <v>2159.3171375203683</v>
      </c>
      <c r="R20" s="650">
        <f t="shared" si="3"/>
        <v>2159.3171375203683</v>
      </c>
      <c r="S20" s="649"/>
      <c r="T20" s="647">
        <f>T18+T19</f>
        <v>-3625.6542718788501</v>
      </c>
      <c r="U20" s="650">
        <f t="shared" si="4"/>
        <v>-3625.6542718788501</v>
      </c>
      <c r="V20" s="651">
        <f>V18+V19</f>
        <v>657820.97189756588</v>
      </c>
      <c r="W20" s="647">
        <f>W18+W19</f>
        <v>138699.00134337196</v>
      </c>
      <c r="X20" s="652">
        <f t="shared" si="5"/>
        <v>-519121.97055419395</v>
      </c>
      <c r="Y20" s="646">
        <f>Y18+Y19</f>
        <v>-198303.06736662847</v>
      </c>
      <c r="Z20" s="647">
        <f>Z18+Z19</f>
        <v>-512429.98507928033</v>
      </c>
      <c r="AA20" s="648">
        <f t="shared" si="6"/>
        <v>-314126.91771265189</v>
      </c>
      <c r="AB20" s="649">
        <f>AB18+AB19</f>
        <v>-224686.48073293932</v>
      </c>
      <c r="AC20" s="647">
        <f>AC18+AC19</f>
        <v>-93680.212000719781</v>
      </c>
      <c r="AD20" s="650">
        <f t="shared" si="7"/>
        <v>131006.26873221954</v>
      </c>
      <c r="AE20" s="649">
        <f>AE18+AE19</f>
        <v>-25923.322159603125</v>
      </c>
      <c r="AF20" s="647">
        <f>AF18+AF19</f>
        <v>0</v>
      </c>
      <c r="AG20" s="650">
        <f t="shared" si="8"/>
        <v>25923.322159603125</v>
      </c>
      <c r="AH20" s="651">
        <f>AH18+AH19</f>
        <v>-448912.87025917089</v>
      </c>
      <c r="AI20" s="647">
        <f>AI18+AI19</f>
        <v>-606110.19708000007</v>
      </c>
      <c r="AJ20" s="652">
        <f t="shared" si="9"/>
        <v>-157197.32682082918</v>
      </c>
      <c r="AK20" s="650">
        <f>AK18+AK19</f>
        <v>153886.62409881133</v>
      </c>
      <c r="AL20" s="647">
        <f>AL18+AL19</f>
        <v>8839.2209999999995</v>
      </c>
      <c r="AM20" s="707">
        <f t="shared" si="10"/>
        <v>-145047.40309881134</v>
      </c>
      <c r="AN20" s="650">
        <f>AN18+AN19</f>
        <v>272641.92567294335</v>
      </c>
      <c r="AO20" s="647">
        <f>AO18+AO19</f>
        <v>-5089.3450000000084</v>
      </c>
      <c r="AP20" s="650">
        <f t="shared" si="11"/>
        <v>-277731.27067294338</v>
      </c>
      <c r="AQ20" s="651">
        <f>AQ18+AQ19</f>
        <v>426528.54977175465</v>
      </c>
      <c r="AR20" s="647">
        <f>AR18+AR19</f>
        <v>3749.8759999999893</v>
      </c>
      <c r="AS20" s="652">
        <f t="shared" si="12"/>
        <v>-422778.67377175466</v>
      </c>
      <c r="AT20" s="651">
        <f>AT18+AT19</f>
        <v>635436.65141014964</v>
      </c>
      <c r="AU20" s="647">
        <f>AU18+AU19</f>
        <v>-463661.31973662815</v>
      </c>
      <c r="AV20" s="652">
        <f t="shared" si="13"/>
        <v>-1099097.9711467777</v>
      </c>
      <c r="AX20" s="84">
        <f>+'골재사업소(당월)'!AX20+'[13]골재사업소(누계)'!AX20</f>
        <v>635436.65141014964</v>
      </c>
      <c r="AY20" s="6">
        <f>+'골재사업소(당월)'!AY20+'[13]골재사업소(누계)'!AY20</f>
        <v>-447738.50321705814</v>
      </c>
    </row>
    <row r="21" spans="4:59" ht="28.5" customHeight="1">
      <c r="D21" s="479"/>
      <c r="E21" s="653" t="s">
        <v>197</v>
      </c>
      <c r="F21" s="654" t="s">
        <v>21</v>
      </c>
      <c r="G21" s="655">
        <f>+'골재사업소(당월)'!G21+'[13]골재사업소(누계)'!G21</f>
        <v>27919.919466666666</v>
      </c>
      <c r="H21" s="629">
        <f>+'골재사업소(당월)'!H21+'[13]골재사업소(누계)'!H21</f>
        <v>14208</v>
      </c>
      <c r="I21" s="630">
        <f t="shared" si="0"/>
        <v>-13711.919466666666</v>
      </c>
      <c r="J21" s="631">
        <f>+'골재사업소(당월)'!J21+'[13]골재사업소(누계)'!J21</f>
        <v>16216.7148</v>
      </c>
      <c r="K21" s="629">
        <f>+'골재사업소(당월)'!K21+'[13]골재사업소(누계)'!K21</f>
        <v>7824</v>
      </c>
      <c r="L21" s="632">
        <f t="shared" si="1"/>
        <v>-8392.7147999999997</v>
      </c>
      <c r="M21" s="631">
        <f>+'골재사업소(당월)'!M21+'[13]골재사업소(누계)'!M21</f>
        <v>0</v>
      </c>
      <c r="N21" s="629">
        <f>+'골재사업소(당월)'!N21+'[13]골재사업소(누계)'!N21</f>
        <v>0</v>
      </c>
      <c r="O21" s="632">
        <f t="shared" si="2"/>
        <v>0</v>
      </c>
      <c r="P21" s="631"/>
      <c r="Q21" s="629">
        <f>+'[18]서부산크라샤(당월)'!$U$60</f>
        <v>0</v>
      </c>
      <c r="R21" s="632">
        <f t="shared" si="3"/>
        <v>0</v>
      </c>
      <c r="S21" s="631">
        <f>+'골재사업소(당월)'!S21+'[13]골재사업소(누계)'!S21</f>
        <v>0</v>
      </c>
      <c r="T21" s="629">
        <f>+'골재사업소(당월)'!T21+'[13]골재사업소(누계)'!T21</f>
        <v>0</v>
      </c>
      <c r="U21" s="632">
        <f t="shared" si="4"/>
        <v>0</v>
      </c>
      <c r="V21" s="633">
        <f t="shared" ref="V21:W26" si="14">+G21+J21+M21+P21+S21</f>
        <v>44136.634266666668</v>
      </c>
      <c r="W21" s="629">
        <f t="shared" si="14"/>
        <v>22032</v>
      </c>
      <c r="X21" s="634">
        <f t="shared" si="5"/>
        <v>-22104.634266666668</v>
      </c>
      <c r="Y21" s="655">
        <f>+'골재사업소(당월)'!Y21+'[13]골재사업소(누계)'!Y21</f>
        <v>13531.659466666668</v>
      </c>
      <c r="Z21" s="629">
        <f>+'골재사업소(당월)'!Z21+'[13]골재사업소(누계)'!Z21</f>
        <v>23548</v>
      </c>
      <c r="AA21" s="630">
        <f t="shared" si="6"/>
        <v>10016.340533333332</v>
      </c>
      <c r="AB21" s="631">
        <f>+'골재사업소(당월)'!AB21+'[13]골재사업소(누계)'!AB21</f>
        <v>13900.5867</v>
      </c>
      <c r="AC21" s="629">
        <f>+'골재사업소(당월)'!AC21+'[13]골재사업소(누계)'!AC21</f>
        <v>17684</v>
      </c>
      <c r="AD21" s="632">
        <f t="shared" si="7"/>
        <v>3783.4133000000002</v>
      </c>
      <c r="AE21" s="631">
        <f>+'골재사업소(당월)'!AE21+'[13]골재사업소(누계)'!AE21</f>
        <v>0</v>
      </c>
      <c r="AF21" s="629">
        <f>+'골재사업소(당월)'!AF21+'[13]골재사업소(누계)'!AF21</f>
        <v>0</v>
      </c>
      <c r="AG21" s="632">
        <f t="shared" si="8"/>
        <v>0</v>
      </c>
      <c r="AH21" s="633">
        <f t="shared" ref="AH21:AI32" si="15">+Y21+AB21+AE21</f>
        <v>27432.246166666668</v>
      </c>
      <c r="AI21" s="629">
        <f t="shared" si="15"/>
        <v>41232</v>
      </c>
      <c r="AJ21" s="634">
        <f t="shared" si="9"/>
        <v>13799.753833333332</v>
      </c>
      <c r="AK21" s="632">
        <f>+'골재사업소(당월)'!AK21+'[13]골재사업소(누계)'!AK21</f>
        <v>981.81818181818176</v>
      </c>
      <c r="AL21" s="629" t="e">
        <f>+'골재사업소(당월)'!AL21+'[13]골재사업소(누계)'!AL21</f>
        <v>#VALUE!</v>
      </c>
      <c r="AM21" s="705" t="e">
        <f t="shared" si="10"/>
        <v>#VALUE!</v>
      </c>
      <c r="AN21" s="632">
        <f>+'골재사업소(당월)'!AN21+'[13]골재사업소(누계)'!AN21</f>
        <v>16200</v>
      </c>
      <c r="AO21" s="629" t="e">
        <f>+'골재사업소(당월)'!AO21+'[13]골재사업소(누계)'!AO21</f>
        <v>#VALUE!</v>
      </c>
      <c r="AP21" s="632" t="e">
        <f t="shared" si="11"/>
        <v>#VALUE!</v>
      </c>
      <c r="AQ21" s="633">
        <f t="shared" ref="AQ21:AR26" si="16">AK21+AN21</f>
        <v>17181.81818181818</v>
      </c>
      <c r="AR21" s="629" t="e">
        <f t="shared" si="16"/>
        <v>#VALUE!</v>
      </c>
      <c r="AS21" s="634" t="e">
        <f t="shared" si="12"/>
        <v>#VALUE!</v>
      </c>
      <c r="AT21" s="633">
        <f t="shared" ref="AT21:AU26" si="17">+V21+AH21+AQ21</f>
        <v>88750.698615151516</v>
      </c>
      <c r="AU21" s="629" t="e">
        <f t="shared" si="17"/>
        <v>#VALUE!</v>
      </c>
      <c r="AV21" s="634" t="e">
        <f t="shared" si="13"/>
        <v>#VALUE!</v>
      </c>
      <c r="AX21" s="719" t="b">
        <f>+AX20=AT20</f>
        <v>1</v>
      </c>
      <c r="AY21" s="656" t="b">
        <f>+AY20=AU20</f>
        <v>0</v>
      </c>
    </row>
    <row r="22" spans="4:59" ht="28.5" customHeight="1">
      <c r="D22" s="479"/>
      <c r="E22" s="635" t="s">
        <v>0</v>
      </c>
      <c r="F22" s="657" t="s">
        <v>22</v>
      </c>
      <c r="G22" s="658">
        <f>+'골재사업소(당월)'!G22+'[13]골재사업소(누계)'!G22</f>
        <v>41551.800000000003</v>
      </c>
      <c r="H22" s="659">
        <f>+'골재사업소(당월)'!H22+'[13]골재사업소(누계)'!H22</f>
        <v>19794</v>
      </c>
      <c r="I22" s="660">
        <f t="shared" si="0"/>
        <v>-21757.800000000003</v>
      </c>
      <c r="J22" s="661">
        <f>+'골재사업소(당월)'!J22+'[13]골재사업소(누계)'!J22</f>
        <v>27024</v>
      </c>
      <c r="K22" s="659">
        <f>+'골재사업소(당월)'!K22+'[13]골재사업소(누계)'!K22</f>
        <v>6844</v>
      </c>
      <c r="L22" s="662">
        <f t="shared" si="1"/>
        <v>-20180</v>
      </c>
      <c r="M22" s="661">
        <f>+'골재사업소(당월)'!M22+'[13]골재사업소(누계)'!M22</f>
        <v>0</v>
      </c>
      <c r="N22" s="659">
        <f>+'골재사업소(당월)'!N22+'[13]골재사업소(누계)'!N22</f>
        <v>0</v>
      </c>
      <c r="O22" s="662">
        <f t="shared" si="2"/>
        <v>0</v>
      </c>
      <c r="P22" s="661"/>
      <c r="Q22" s="659">
        <f>+'[18]서부산크라샤(당월)'!$U$61</f>
        <v>0</v>
      </c>
      <c r="R22" s="662">
        <f t="shared" si="3"/>
        <v>0</v>
      </c>
      <c r="S22" s="661">
        <f>+'골재사업소(당월)'!S22+'[13]골재사업소(누계)'!S22</f>
        <v>0</v>
      </c>
      <c r="T22" s="659">
        <f>+'골재사업소(당월)'!T22+'[13]골재사업소(누계)'!T22</f>
        <v>0</v>
      </c>
      <c r="U22" s="662">
        <f t="shared" si="4"/>
        <v>0</v>
      </c>
      <c r="V22" s="663">
        <f t="shared" si="14"/>
        <v>68575.8</v>
      </c>
      <c r="W22" s="659">
        <f t="shared" si="14"/>
        <v>26638</v>
      </c>
      <c r="X22" s="664">
        <f t="shared" si="5"/>
        <v>-41937.800000000003</v>
      </c>
      <c r="Y22" s="658">
        <f>+'골재사업소(당월)'!Y22+'[13]골재사업소(누계)'!Y22</f>
        <v>0</v>
      </c>
      <c r="Z22" s="659">
        <f>+'골재사업소(당월)'!Z22+'[13]골재사업소(누계)'!Z22</f>
        <v>5840</v>
      </c>
      <c r="AA22" s="660">
        <f t="shared" si="6"/>
        <v>5840</v>
      </c>
      <c r="AB22" s="661">
        <f>+'골재사업소(당월)'!AB22+'[13]골재사업소(누계)'!AB22</f>
        <v>0</v>
      </c>
      <c r="AC22" s="659">
        <f>+'골재사업소(당월)'!AC22+'[13]골재사업소(누계)'!AC22</f>
        <v>5136</v>
      </c>
      <c r="AD22" s="662">
        <f t="shared" si="7"/>
        <v>5136</v>
      </c>
      <c r="AE22" s="661">
        <f>+'골재사업소(당월)'!AE22+'[13]골재사업소(누계)'!AE22</f>
        <v>0</v>
      </c>
      <c r="AF22" s="659">
        <f>+'골재사업소(당월)'!AF22+'[13]골재사업소(누계)'!AF22</f>
        <v>0</v>
      </c>
      <c r="AG22" s="662">
        <f t="shared" si="8"/>
        <v>0</v>
      </c>
      <c r="AH22" s="663">
        <f t="shared" si="15"/>
        <v>0</v>
      </c>
      <c r="AI22" s="659">
        <f t="shared" si="15"/>
        <v>10976</v>
      </c>
      <c r="AJ22" s="664">
        <f t="shared" si="9"/>
        <v>10976</v>
      </c>
      <c r="AK22" s="662">
        <f>+'골재사업소(당월)'!AK22+'[13]골재사업소(누계)'!AK22</f>
        <v>0</v>
      </c>
      <c r="AL22" s="659" t="e">
        <f>+'골재사업소(당월)'!AL22+'[13]골재사업소(누계)'!AL22</f>
        <v>#VALUE!</v>
      </c>
      <c r="AM22" s="708" t="e">
        <f t="shared" si="10"/>
        <v>#VALUE!</v>
      </c>
      <c r="AN22" s="662">
        <f>+'골재사업소(당월)'!AN22+'[13]골재사업소(누계)'!AN22</f>
        <v>4067.8321678321677</v>
      </c>
      <c r="AO22" s="659" t="e">
        <f>+'골재사업소(당월)'!AO22+'[13]골재사업소(누계)'!AO22</f>
        <v>#VALUE!</v>
      </c>
      <c r="AP22" s="662" t="e">
        <f t="shared" si="11"/>
        <v>#VALUE!</v>
      </c>
      <c r="AQ22" s="663">
        <f t="shared" si="16"/>
        <v>4067.8321678321677</v>
      </c>
      <c r="AR22" s="659" t="e">
        <f t="shared" si="16"/>
        <v>#VALUE!</v>
      </c>
      <c r="AS22" s="664" t="e">
        <f t="shared" si="12"/>
        <v>#VALUE!</v>
      </c>
      <c r="AT22" s="663">
        <f t="shared" si="17"/>
        <v>72643.632167832169</v>
      </c>
      <c r="AU22" s="659" t="e">
        <f t="shared" si="17"/>
        <v>#VALUE!</v>
      </c>
      <c r="AV22" s="664" t="e">
        <f t="shared" si="13"/>
        <v>#VALUE!</v>
      </c>
      <c r="AX22" s="86">
        <f>+AT20-AX20</f>
        <v>0</v>
      </c>
      <c r="AY22" s="86">
        <f>+AU20-AY20</f>
        <v>-15922.816519570013</v>
      </c>
    </row>
    <row r="23" spans="4:59" ht="28.5" customHeight="1">
      <c r="D23" s="479"/>
      <c r="E23" s="635"/>
      <c r="F23" s="657" t="s">
        <v>23</v>
      </c>
      <c r="G23" s="658">
        <f>+'골재사업소(당월)'!G23+'[13]골재사업소(누계)'!G23</f>
        <v>5338.666666666667</v>
      </c>
      <c r="H23" s="659">
        <f>+'골재사업소(당월)'!H23+'[13]골재사업소(누계)'!H23</f>
        <v>0</v>
      </c>
      <c r="I23" s="660">
        <f t="shared" si="0"/>
        <v>-5338.666666666667</v>
      </c>
      <c r="J23" s="661">
        <f>+'골재사업소(당월)'!J23+'[13]골재사업소(누계)'!J23</f>
        <v>4610.666666666667</v>
      </c>
      <c r="K23" s="659">
        <f>+'골재사업소(당월)'!K23+'[13]골재사업소(누계)'!K23</f>
        <v>0</v>
      </c>
      <c r="L23" s="662">
        <f t="shared" si="1"/>
        <v>-4610.666666666667</v>
      </c>
      <c r="M23" s="661">
        <f>+'골재사업소(당월)'!M23+'[13]골재사업소(누계)'!M23</f>
        <v>0</v>
      </c>
      <c r="N23" s="659">
        <f>+'골재사업소(당월)'!N23+'[13]골재사업소(누계)'!N23</f>
        <v>0</v>
      </c>
      <c r="O23" s="662">
        <f t="shared" si="2"/>
        <v>0</v>
      </c>
      <c r="P23" s="661"/>
      <c r="Q23" s="659">
        <f>+'[18]서부산크라샤(당월)'!$U$62</f>
        <v>0</v>
      </c>
      <c r="R23" s="662">
        <f t="shared" si="3"/>
        <v>0</v>
      </c>
      <c r="S23" s="661">
        <f>+'골재사업소(당월)'!S23+'[13]골재사업소(누계)'!S23</f>
        <v>0</v>
      </c>
      <c r="T23" s="659">
        <f>+'골재사업소(당월)'!T23+'[13]골재사업소(누계)'!T23</f>
        <v>0</v>
      </c>
      <c r="U23" s="662">
        <f t="shared" si="4"/>
        <v>0</v>
      </c>
      <c r="V23" s="663">
        <f t="shared" si="14"/>
        <v>9949.3333333333339</v>
      </c>
      <c r="W23" s="659">
        <f t="shared" si="14"/>
        <v>0</v>
      </c>
      <c r="X23" s="664">
        <f t="shared" si="5"/>
        <v>-9949.3333333333339</v>
      </c>
      <c r="Y23" s="658">
        <f>+'골재사업소(당월)'!Y23+'[13]골재사업소(누계)'!Y23</f>
        <v>0</v>
      </c>
      <c r="Z23" s="659">
        <f>+'골재사업소(당월)'!Z23+'[13]골재사업소(누계)'!Z23</f>
        <v>0</v>
      </c>
      <c r="AA23" s="660">
        <f t="shared" si="6"/>
        <v>0</v>
      </c>
      <c r="AB23" s="661">
        <f>+'골재사업소(당월)'!AB23+'[13]골재사업소(누계)'!AB23</f>
        <v>0</v>
      </c>
      <c r="AC23" s="659">
        <f>+'골재사업소(당월)'!AC23+'[13]골재사업소(누계)'!AC23</f>
        <v>0</v>
      </c>
      <c r="AD23" s="662">
        <f t="shared" si="7"/>
        <v>0</v>
      </c>
      <c r="AE23" s="661">
        <f>+'골재사업소(당월)'!AE23+'[13]골재사업소(누계)'!AE23</f>
        <v>0</v>
      </c>
      <c r="AF23" s="659">
        <f>+'골재사업소(당월)'!AF23+'[13]골재사업소(누계)'!AF23</f>
        <v>0</v>
      </c>
      <c r="AG23" s="662">
        <f t="shared" si="8"/>
        <v>0</v>
      </c>
      <c r="AH23" s="663">
        <f t="shared" si="15"/>
        <v>0</v>
      </c>
      <c r="AI23" s="659">
        <f t="shared" si="15"/>
        <v>0</v>
      </c>
      <c r="AJ23" s="664">
        <f t="shared" si="9"/>
        <v>0</v>
      </c>
      <c r="AK23" s="662">
        <f>+'골재사업소(당월)'!AK23+'[13]골재사업소(누계)'!AK23</f>
        <v>0</v>
      </c>
      <c r="AL23" s="659" t="e">
        <f>+'골재사업소(당월)'!AL23+'[13]골재사업소(누계)'!AL23</f>
        <v>#VALUE!</v>
      </c>
      <c r="AM23" s="708" t="e">
        <f t="shared" si="10"/>
        <v>#VALUE!</v>
      </c>
      <c r="AN23" s="662">
        <f>+'골재사업소(당월)'!AN23+'[13]골재사업소(누계)'!AN23</f>
        <v>4556.643356643357</v>
      </c>
      <c r="AO23" s="659" t="e">
        <f>+'골재사업소(당월)'!AO23+'[13]골재사업소(누계)'!AO23</f>
        <v>#VALUE!</v>
      </c>
      <c r="AP23" s="662" t="e">
        <f t="shared" si="11"/>
        <v>#VALUE!</v>
      </c>
      <c r="AQ23" s="663">
        <f t="shared" si="16"/>
        <v>4556.643356643357</v>
      </c>
      <c r="AR23" s="659" t="e">
        <f t="shared" si="16"/>
        <v>#VALUE!</v>
      </c>
      <c r="AS23" s="664" t="e">
        <f t="shared" si="12"/>
        <v>#VALUE!</v>
      </c>
      <c r="AT23" s="663">
        <f t="shared" si="17"/>
        <v>14505.976689976691</v>
      </c>
      <c r="AU23" s="659" t="e">
        <f t="shared" si="17"/>
        <v>#VALUE!</v>
      </c>
      <c r="AV23" s="664" t="e">
        <f t="shared" si="13"/>
        <v>#VALUE!</v>
      </c>
    </row>
    <row r="24" spans="4:59" ht="28.5" customHeight="1">
      <c r="D24" s="479"/>
      <c r="E24" s="635"/>
      <c r="F24" s="657" t="s">
        <v>24</v>
      </c>
      <c r="G24" s="658">
        <f>+'골재사업소(당월)'!G24+'[13]골재사업소(누계)'!G24</f>
        <v>0</v>
      </c>
      <c r="H24" s="659">
        <f>+'골재사업소(당월)'!H24+'[13]골재사업소(누계)'!H24</f>
        <v>0</v>
      </c>
      <c r="I24" s="660">
        <f t="shared" si="0"/>
        <v>0</v>
      </c>
      <c r="J24" s="661">
        <f>+'골재사업소(당월)'!J24+'[13]골재사업소(누계)'!J24</f>
        <v>0</v>
      </c>
      <c r="K24" s="659">
        <f>+'골재사업소(당월)'!K24+'[13]골재사업소(누계)'!K24</f>
        <v>0</v>
      </c>
      <c r="L24" s="662">
        <f t="shared" si="1"/>
        <v>0</v>
      </c>
      <c r="M24" s="661">
        <f>+'골재사업소(당월)'!M24+'[13]골재사업소(누계)'!M24</f>
        <v>0</v>
      </c>
      <c r="N24" s="659">
        <f>+'골재사업소(당월)'!N24+'[13]골재사업소(누계)'!N24</f>
        <v>0</v>
      </c>
      <c r="O24" s="662">
        <f t="shared" si="2"/>
        <v>0</v>
      </c>
      <c r="P24" s="661"/>
      <c r="Q24" s="659">
        <f>+'[18]서부산크라샤(당월)'!$U$63</f>
        <v>0</v>
      </c>
      <c r="R24" s="662">
        <f t="shared" si="3"/>
        <v>0</v>
      </c>
      <c r="S24" s="661">
        <f>+'골재사업소(당월)'!S24+'[13]골재사업소(누계)'!S24</f>
        <v>0</v>
      </c>
      <c r="T24" s="659">
        <f>+'골재사업소(당월)'!T24+'[13]골재사업소(누계)'!T24</f>
        <v>0</v>
      </c>
      <c r="U24" s="662">
        <f t="shared" si="4"/>
        <v>0</v>
      </c>
      <c r="V24" s="663">
        <f t="shared" si="14"/>
        <v>0</v>
      </c>
      <c r="W24" s="659">
        <f t="shared" si="14"/>
        <v>0</v>
      </c>
      <c r="X24" s="664">
        <f t="shared" si="5"/>
        <v>0</v>
      </c>
      <c r="Y24" s="658">
        <f>+'골재사업소(당월)'!Y24+'[13]골재사업소(누계)'!Y24</f>
        <v>0</v>
      </c>
      <c r="Z24" s="659">
        <f>+'골재사업소(당월)'!Z24+'[13]골재사업소(누계)'!Z24</f>
        <v>0</v>
      </c>
      <c r="AA24" s="660">
        <f t="shared" si="6"/>
        <v>0</v>
      </c>
      <c r="AB24" s="661">
        <f>+'골재사업소(당월)'!AB24+'[13]골재사업소(누계)'!AB24</f>
        <v>254.596</v>
      </c>
      <c r="AC24" s="659">
        <f>+'골재사업소(당월)'!AC24+'[13]골재사업소(누계)'!AC24</f>
        <v>1952</v>
      </c>
      <c r="AD24" s="662">
        <f t="shared" si="7"/>
        <v>1697.404</v>
      </c>
      <c r="AE24" s="661">
        <f>+'골재사업소(당월)'!AE24+'[13]골재사업소(누계)'!AE24</f>
        <v>0</v>
      </c>
      <c r="AF24" s="659">
        <f>+'골재사업소(당월)'!AF24+'[13]골재사업소(누계)'!AF24</f>
        <v>0</v>
      </c>
      <c r="AG24" s="662">
        <f t="shared" si="8"/>
        <v>0</v>
      </c>
      <c r="AH24" s="663">
        <f t="shared" si="15"/>
        <v>254.596</v>
      </c>
      <c r="AI24" s="659">
        <f t="shared" si="15"/>
        <v>1952</v>
      </c>
      <c r="AJ24" s="664">
        <f t="shared" si="9"/>
        <v>1697.404</v>
      </c>
      <c r="AK24" s="662">
        <f>+'골재사업소(당월)'!AK24+'[13]골재사업소(누계)'!AK24</f>
        <v>14056.029612156553</v>
      </c>
      <c r="AL24" s="659" t="e">
        <f>+'골재사업소(당월)'!AL24+'[13]골재사업소(누계)'!AL24</f>
        <v>#VALUE!</v>
      </c>
      <c r="AM24" s="708" t="e">
        <f t="shared" si="10"/>
        <v>#VALUE!</v>
      </c>
      <c r="AN24" s="662">
        <f>+'골재사업소(당월)'!AN24+'[13]골재사업소(누계)'!AN24</f>
        <v>4356.2387193972736</v>
      </c>
      <c r="AO24" s="659" t="e">
        <f>+'골재사업소(당월)'!AO24+'[13]골재사업소(누계)'!AO24</f>
        <v>#VALUE!</v>
      </c>
      <c r="AP24" s="662" t="e">
        <f t="shared" si="11"/>
        <v>#VALUE!</v>
      </c>
      <c r="AQ24" s="663">
        <f t="shared" si="16"/>
        <v>18412.268331553827</v>
      </c>
      <c r="AR24" s="659" t="e">
        <f t="shared" si="16"/>
        <v>#VALUE!</v>
      </c>
      <c r="AS24" s="664" t="e">
        <f t="shared" si="12"/>
        <v>#VALUE!</v>
      </c>
      <c r="AT24" s="663">
        <f t="shared" si="17"/>
        <v>18666.864331553828</v>
      </c>
      <c r="AU24" s="659" t="e">
        <f t="shared" si="17"/>
        <v>#VALUE!</v>
      </c>
      <c r="AV24" s="664" t="e">
        <f t="shared" si="13"/>
        <v>#VALUE!</v>
      </c>
    </row>
    <row r="25" spans="4:59" ht="28.5" customHeight="1">
      <c r="D25" s="479"/>
      <c r="E25" s="635"/>
      <c r="F25" s="657" t="s">
        <v>25</v>
      </c>
      <c r="G25" s="658">
        <f>+'골재사업소(당월)'!G25+'[13]골재사업소(누계)'!G25</f>
        <v>0</v>
      </c>
      <c r="H25" s="659">
        <f>+'골재사업소(당월)'!H25+'[13]골재사업소(누계)'!H25</f>
        <v>0</v>
      </c>
      <c r="I25" s="660">
        <f t="shared" si="0"/>
        <v>0</v>
      </c>
      <c r="J25" s="661">
        <f>+'골재사업소(당월)'!J25+'[13]골재사업소(누계)'!J25</f>
        <v>0</v>
      </c>
      <c r="K25" s="659">
        <f>+'골재사업소(당월)'!K25+'[13]골재사업소(누계)'!K25</f>
        <v>0</v>
      </c>
      <c r="L25" s="662">
        <f t="shared" si="1"/>
        <v>0</v>
      </c>
      <c r="M25" s="661">
        <f>+'골재사업소(당월)'!M25+'[13]골재사업소(누계)'!M25</f>
        <v>0</v>
      </c>
      <c r="N25" s="659">
        <f>+'골재사업소(당월)'!N25+'[13]골재사업소(누계)'!N25</f>
        <v>0</v>
      </c>
      <c r="O25" s="662">
        <f t="shared" si="2"/>
        <v>0</v>
      </c>
      <c r="P25" s="661"/>
      <c r="Q25" s="659">
        <f>+'[18]서부산크라샤(당월)'!$U$64</f>
        <v>0</v>
      </c>
      <c r="R25" s="662">
        <f t="shared" si="3"/>
        <v>0</v>
      </c>
      <c r="S25" s="661">
        <f>+'골재사업소(당월)'!S25+'[13]골재사업소(누계)'!S25</f>
        <v>0</v>
      </c>
      <c r="T25" s="659">
        <f>+'골재사업소(당월)'!T25+'[13]골재사업소(누계)'!T25</f>
        <v>0</v>
      </c>
      <c r="U25" s="662">
        <f t="shared" si="4"/>
        <v>0</v>
      </c>
      <c r="V25" s="663">
        <f t="shared" si="14"/>
        <v>0</v>
      </c>
      <c r="W25" s="659">
        <f t="shared" si="14"/>
        <v>0</v>
      </c>
      <c r="X25" s="664">
        <f t="shared" si="5"/>
        <v>0</v>
      </c>
      <c r="Y25" s="658">
        <f>+'골재사업소(당월)'!Y25+'[13]골재사업소(누계)'!Y25</f>
        <v>0</v>
      </c>
      <c r="Z25" s="659">
        <f>+'골재사업소(당월)'!Z25+'[13]골재사업소(누계)'!Z25</f>
        <v>0</v>
      </c>
      <c r="AA25" s="660">
        <f t="shared" si="6"/>
        <v>0</v>
      </c>
      <c r="AB25" s="661">
        <f>+'골재사업소(당월)'!AB25+'[13]골재사업소(누계)'!AB25</f>
        <v>0</v>
      </c>
      <c r="AC25" s="659">
        <f>+'골재사업소(당월)'!AC25+'[13]골재사업소(누계)'!AC25</f>
        <v>0</v>
      </c>
      <c r="AD25" s="662">
        <f t="shared" si="7"/>
        <v>0</v>
      </c>
      <c r="AE25" s="661">
        <f>+'골재사업소(당월)'!AE25+'[13]골재사업소(누계)'!AE25</f>
        <v>0</v>
      </c>
      <c r="AF25" s="659">
        <f>+'골재사업소(당월)'!AF25+'[13]골재사업소(누계)'!AF25</f>
        <v>0</v>
      </c>
      <c r="AG25" s="662">
        <f t="shared" si="8"/>
        <v>0</v>
      </c>
      <c r="AH25" s="663">
        <f t="shared" si="15"/>
        <v>0</v>
      </c>
      <c r="AI25" s="659">
        <f t="shared" si="15"/>
        <v>0</v>
      </c>
      <c r="AJ25" s="664">
        <f t="shared" si="9"/>
        <v>0</v>
      </c>
      <c r="AK25" s="662">
        <f>+'골재사업소(당월)'!AK25+'[13]골재사업소(누계)'!AK25</f>
        <v>0</v>
      </c>
      <c r="AL25" s="659" t="e">
        <f>+'골재사업소(당월)'!AL25+'[13]골재사업소(누계)'!AL25</f>
        <v>#VALUE!</v>
      </c>
      <c r="AM25" s="708" t="e">
        <f t="shared" si="10"/>
        <v>#VALUE!</v>
      </c>
      <c r="AN25" s="662">
        <f>+'골재사업소(당월)'!AN25+'[13]골재사업소(누계)'!AN25</f>
        <v>572.02237762237758</v>
      </c>
      <c r="AO25" s="659" t="e">
        <f>+'골재사업소(당월)'!AO25+'[13]골재사업소(누계)'!AO25</f>
        <v>#VALUE!</v>
      </c>
      <c r="AP25" s="662" t="e">
        <f t="shared" si="11"/>
        <v>#VALUE!</v>
      </c>
      <c r="AQ25" s="663">
        <f t="shared" si="16"/>
        <v>572.02237762237758</v>
      </c>
      <c r="AR25" s="659" t="e">
        <f t="shared" si="16"/>
        <v>#VALUE!</v>
      </c>
      <c r="AS25" s="664" t="e">
        <f t="shared" si="12"/>
        <v>#VALUE!</v>
      </c>
      <c r="AT25" s="663">
        <f t="shared" si="17"/>
        <v>572.02237762237758</v>
      </c>
      <c r="AU25" s="659" t="e">
        <f t="shared" si="17"/>
        <v>#VALUE!</v>
      </c>
      <c r="AV25" s="664" t="e">
        <f t="shared" si="13"/>
        <v>#VALUE!</v>
      </c>
    </row>
    <row r="26" spans="4:59" ht="28.5" customHeight="1">
      <c r="D26" s="479"/>
      <c r="E26" s="635"/>
      <c r="F26" s="657" t="s">
        <v>26</v>
      </c>
      <c r="G26" s="658">
        <f>+'골재사업소(당월)'!G26+'[13]골재사업소(누계)'!G26</f>
        <v>2122.9333333333334</v>
      </c>
      <c r="H26" s="659">
        <f>+'골재사업소(당월)'!H26+'[13]골재사업소(누계)'!H26</f>
        <v>0</v>
      </c>
      <c r="I26" s="660">
        <f t="shared" si="0"/>
        <v>-2122.9333333333334</v>
      </c>
      <c r="J26" s="661">
        <f>+'골재사업소(당월)'!J26+'[13]골재사업소(누계)'!J26</f>
        <v>1199.1612903225807</v>
      </c>
      <c r="K26" s="659">
        <f>+'골재사업소(당월)'!K26+'[13]골재사업소(누계)'!K26</f>
        <v>0</v>
      </c>
      <c r="L26" s="662">
        <f t="shared" si="1"/>
        <v>-1199.1612903225807</v>
      </c>
      <c r="M26" s="661">
        <f>+'골재사업소(당월)'!M26+'[13]골재사업소(누계)'!M26</f>
        <v>0</v>
      </c>
      <c r="N26" s="659">
        <f>+'골재사업소(당월)'!N26+'[13]골재사업소(누계)'!N26</f>
        <v>0</v>
      </c>
      <c r="O26" s="662">
        <f t="shared" si="2"/>
        <v>0</v>
      </c>
      <c r="P26" s="661"/>
      <c r="Q26" s="659">
        <f>+'[18]서부산크라샤(당월)'!$U$65</f>
        <v>0</v>
      </c>
      <c r="R26" s="662">
        <f t="shared" si="3"/>
        <v>0</v>
      </c>
      <c r="S26" s="661">
        <f>+'골재사업소(당월)'!S26+'[13]골재사업소(누계)'!S26</f>
        <v>0</v>
      </c>
      <c r="T26" s="659">
        <f>+'골재사업소(당월)'!T26+'[13]골재사업소(누계)'!T26</f>
        <v>0</v>
      </c>
      <c r="U26" s="662">
        <f t="shared" si="4"/>
        <v>0</v>
      </c>
      <c r="V26" s="663">
        <f t="shared" si="14"/>
        <v>3322.0946236559139</v>
      </c>
      <c r="W26" s="638">
        <f t="shared" si="14"/>
        <v>0</v>
      </c>
      <c r="X26" s="665">
        <f t="shared" si="5"/>
        <v>-3322.0946236559139</v>
      </c>
      <c r="Y26" s="658">
        <f>+'골재사업소(당월)'!Y26+'[13]골재사업소(누계)'!Y26</f>
        <v>0</v>
      </c>
      <c r="Z26" s="659">
        <f>+'골재사업소(당월)'!Z26+'[13]골재사업소(누계)'!Z26</f>
        <v>0</v>
      </c>
      <c r="AA26" s="660">
        <f t="shared" si="6"/>
        <v>0</v>
      </c>
      <c r="AB26" s="661">
        <f>+'골재사업소(당월)'!AB26+'[13]골재사업소(누계)'!AB26</f>
        <v>0</v>
      </c>
      <c r="AC26" s="659">
        <f>+'골재사업소(당월)'!AC26+'[13]골재사업소(누계)'!AC26</f>
        <v>0</v>
      </c>
      <c r="AD26" s="662">
        <f t="shared" si="7"/>
        <v>0</v>
      </c>
      <c r="AE26" s="661">
        <f>+'골재사업소(당월)'!AE26+'[13]골재사업소(누계)'!AE26</f>
        <v>0</v>
      </c>
      <c r="AF26" s="659">
        <f>+'골재사업소(당월)'!AF26+'[13]골재사업소(누계)'!AF26</f>
        <v>0</v>
      </c>
      <c r="AG26" s="662">
        <f t="shared" si="8"/>
        <v>0</v>
      </c>
      <c r="AH26" s="663">
        <f t="shared" si="15"/>
        <v>0</v>
      </c>
      <c r="AI26" s="638">
        <f t="shared" si="15"/>
        <v>0</v>
      </c>
      <c r="AJ26" s="665">
        <f t="shared" si="9"/>
        <v>0</v>
      </c>
      <c r="AK26" s="662">
        <f>+'골재사업소(당월)'!AK26+'[13]골재사업소(누계)'!AK26</f>
        <v>0</v>
      </c>
      <c r="AL26" s="659" t="e">
        <f>+'골재사업소(당월)'!AL26+'[13]골재사업소(누계)'!AL26</f>
        <v>#VALUE!</v>
      </c>
      <c r="AM26" s="708" t="e">
        <f t="shared" si="10"/>
        <v>#VALUE!</v>
      </c>
      <c r="AN26" s="662">
        <f>+'골재사업소(당월)'!AN26+'[13]골재사업소(누계)'!AN26</f>
        <v>0</v>
      </c>
      <c r="AO26" s="659" t="e">
        <f>+'골재사업소(당월)'!AO26+'[13]골재사업소(누계)'!AO26</f>
        <v>#VALUE!</v>
      </c>
      <c r="AP26" s="662" t="e">
        <f t="shared" si="11"/>
        <v>#VALUE!</v>
      </c>
      <c r="AQ26" s="663">
        <f t="shared" si="16"/>
        <v>0</v>
      </c>
      <c r="AR26" s="638" t="e">
        <f t="shared" si="16"/>
        <v>#VALUE!</v>
      </c>
      <c r="AS26" s="665" t="e">
        <f t="shared" si="12"/>
        <v>#VALUE!</v>
      </c>
      <c r="AT26" s="663">
        <f t="shared" si="17"/>
        <v>3322.0946236559139</v>
      </c>
      <c r="AU26" s="638" t="e">
        <f t="shared" si="17"/>
        <v>#VALUE!</v>
      </c>
      <c r="AV26" s="664" t="e">
        <f t="shared" si="13"/>
        <v>#VALUE!</v>
      </c>
    </row>
    <row r="27" spans="4:59" ht="28.5" customHeight="1">
      <c r="D27" s="479"/>
      <c r="E27" s="666" t="s">
        <v>197</v>
      </c>
      <c r="F27" s="617" t="s">
        <v>21</v>
      </c>
      <c r="G27" s="169">
        <f>+IFERROR(HLOOKUP($A$1,[14]매출!$G$5:$R$170,2,),)</f>
        <v>12500</v>
      </c>
      <c r="H27" s="667">
        <f t="shared" ref="H27:H32" si="18">IFERROR(H35/H21,)*1000</f>
        <v>11359.797297297297</v>
      </c>
      <c r="I27" s="668">
        <f t="shared" si="0"/>
        <v>-1140.2027027027034</v>
      </c>
      <c r="J27" s="669">
        <f>+IFERROR(HLOOKUP($A$1,[14]매출!$G$5:$R$170,10,),)</f>
        <v>18500</v>
      </c>
      <c r="K27" s="667">
        <f t="shared" ref="K27:K32" si="19">IFERROR(K35/K21,)*1000</f>
        <v>15116.564417177913</v>
      </c>
      <c r="L27" s="170">
        <f t="shared" si="1"/>
        <v>-3383.4355828220869</v>
      </c>
      <c r="M27" s="669"/>
      <c r="N27" s="667">
        <f t="shared" ref="N27:N32" si="20">IFERROR(N35/N21,)*1000</f>
        <v>0</v>
      </c>
      <c r="O27" s="170">
        <f t="shared" si="2"/>
        <v>0</v>
      </c>
      <c r="P27" s="669"/>
      <c r="Q27" s="667">
        <f t="shared" ref="Q27:Q32" si="21">IFERROR(Q35/Q21,)*1000</f>
        <v>0</v>
      </c>
      <c r="R27" s="170">
        <f t="shared" si="3"/>
        <v>0</v>
      </c>
      <c r="S27" s="669"/>
      <c r="T27" s="667">
        <f t="shared" ref="T27:T32" si="22">IFERROR(T35/T21,)*1000</f>
        <v>0</v>
      </c>
      <c r="U27" s="170">
        <f t="shared" si="4"/>
        <v>0</v>
      </c>
      <c r="V27" s="670">
        <f>+IFERROR(HLOOKUP($A$1,[14]매출!$G$5:$R$170,50,),)</f>
        <v>15024.743929105765</v>
      </c>
      <c r="W27" s="671">
        <f t="shared" ref="W27:W32" si="23">IFERROR(W35/W21,)*1000</f>
        <v>12693.899782135077</v>
      </c>
      <c r="X27" s="672">
        <f t="shared" si="5"/>
        <v>-2330.8441469706886</v>
      </c>
      <c r="Y27" s="169">
        <f>+IFERROR(HLOOKUP($A$1,[15]매출!$G$5:$R$164,2,),)</f>
        <v>0</v>
      </c>
      <c r="Z27" s="667">
        <f t="shared" ref="Z27:Z32" si="24">IFERROR(Z35/Z21,)*1000</f>
        <v>17500</v>
      </c>
      <c r="AA27" s="668">
        <f t="shared" si="6"/>
        <v>17500</v>
      </c>
      <c r="AB27" s="669">
        <f>+IFERROR(HLOOKUP($A$1,[15]매출!$G$5:$R$164,10,),)</f>
        <v>0</v>
      </c>
      <c r="AC27" s="667">
        <f t="shared" ref="AC27:AC32" si="25">IFERROR(AC35/AC21,)*1000</f>
        <v>23500</v>
      </c>
      <c r="AD27" s="170">
        <f t="shared" si="7"/>
        <v>23500</v>
      </c>
      <c r="AE27" s="669"/>
      <c r="AF27" s="667">
        <f t="shared" ref="AF27:AF32" si="26">IFERROR(AF35/AF21,)*1000</f>
        <v>0</v>
      </c>
      <c r="AG27" s="170">
        <f t="shared" si="8"/>
        <v>0</v>
      </c>
      <c r="AH27" s="670">
        <f>+IFERROR(HLOOKUP($A$1,[15]매출!$G$5:$R$164,50,),)</f>
        <v>0</v>
      </c>
      <c r="AI27" s="671">
        <f t="shared" si="15"/>
        <v>41000</v>
      </c>
      <c r="AJ27" s="672">
        <f t="shared" si="9"/>
        <v>41000</v>
      </c>
      <c r="AK27" s="170">
        <f>+IFERROR(HLOOKUP($A$1,[16]이송계획!$G$6:$R$318,34,),)</f>
        <v>38000</v>
      </c>
      <c r="AL27" s="667">
        <f>+'[19]부산모래장(손익)'!$P$46</f>
        <v>0</v>
      </c>
      <c r="AM27" s="251">
        <f t="shared" si="10"/>
        <v>-38000</v>
      </c>
      <c r="AN27" s="170">
        <f>+IFERROR(HLOOKUP($A$1,[16]이송계획!$G$6:$R$318,41,),)</f>
        <v>30500</v>
      </c>
      <c r="AO27" s="667">
        <f>+'[19]부산모래장(손익)'!$O$46</f>
        <v>0</v>
      </c>
      <c r="AP27" s="170">
        <f t="shared" si="11"/>
        <v>-30500</v>
      </c>
      <c r="AQ27" s="670">
        <f t="shared" ref="AQ27:AR32" si="27">IFERROR(AQ35/AQ21,)*1000</f>
        <v>2171.4285714285716</v>
      </c>
      <c r="AR27" s="671">
        <f t="shared" si="27"/>
        <v>0</v>
      </c>
      <c r="AS27" s="672">
        <f t="shared" si="12"/>
        <v>-2171.4285714285716</v>
      </c>
      <c r="AT27" s="512">
        <f t="shared" ref="AT27:AU32" si="28">IFERROR(AT35/AT21,)*1000</f>
        <v>14081.935755553906</v>
      </c>
      <c r="AU27" s="667">
        <f t="shared" si="28"/>
        <v>0</v>
      </c>
      <c r="AV27" s="514">
        <f t="shared" si="13"/>
        <v>-14081.935755553906</v>
      </c>
    </row>
    <row r="28" spans="4:59" ht="28.5" customHeight="1">
      <c r="D28" s="479"/>
      <c r="E28" s="635" t="s">
        <v>199</v>
      </c>
      <c r="F28" s="657" t="s">
        <v>22</v>
      </c>
      <c r="G28" s="673">
        <f>+IFERROR(HLOOKUP($A$1,[14]매출!$G$5:$R$170,3,),)</f>
        <v>16000</v>
      </c>
      <c r="H28" s="674">
        <f t="shared" si="18"/>
        <v>8926.8465191472169</v>
      </c>
      <c r="I28" s="675">
        <f t="shared" si="0"/>
        <v>-7073.1534808527831</v>
      </c>
      <c r="J28" s="676">
        <f>+IFERROR(HLOOKUP($A$1,[14]매출!$G$5:$R$170,11,),)</f>
        <v>22000</v>
      </c>
      <c r="K28" s="674">
        <f t="shared" si="19"/>
        <v>11070.718877849211</v>
      </c>
      <c r="L28" s="504">
        <f t="shared" si="1"/>
        <v>-10929.281122150789</v>
      </c>
      <c r="M28" s="676"/>
      <c r="N28" s="674">
        <f t="shared" si="20"/>
        <v>0</v>
      </c>
      <c r="O28" s="504">
        <f t="shared" si="2"/>
        <v>0</v>
      </c>
      <c r="P28" s="676"/>
      <c r="Q28" s="674">
        <f t="shared" si="21"/>
        <v>0</v>
      </c>
      <c r="R28" s="504">
        <f t="shared" si="3"/>
        <v>0</v>
      </c>
      <c r="S28" s="676"/>
      <c r="T28" s="674">
        <f t="shared" si="22"/>
        <v>0</v>
      </c>
      <c r="U28" s="504">
        <f t="shared" si="4"/>
        <v>0</v>
      </c>
      <c r="V28" s="677">
        <f>+IFERROR(HLOOKUP($A$1,[14]매출!$G$5:$R$170,51,),)</f>
        <v>18361.704495257236</v>
      </c>
      <c r="W28" s="678">
        <f t="shared" si="23"/>
        <v>9477.6634882498693</v>
      </c>
      <c r="X28" s="679">
        <f t="shared" si="5"/>
        <v>-8884.0410070073667</v>
      </c>
      <c r="Y28" s="673">
        <f>+IFERROR(HLOOKUP($A$1,[15]매출!$G$5:$R$164,3,),)</f>
        <v>0</v>
      </c>
      <c r="Z28" s="674">
        <f t="shared" si="24"/>
        <v>12000</v>
      </c>
      <c r="AA28" s="675">
        <f t="shared" si="6"/>
        <v>12000</v>
      </c>
      <c r="AB28" s="676">
        <f>+IFERROR(HLOOKUP($A$1,[15]매출!$G$5:$R$164,11,),)</f>
        <v>0</v>
      </c>
      <c r="AC28" s="674">
        <f t="shared" si="25"/>
        <v>18000</v>
      </c>
      <c r="AD28" s="504">
        <f t="shared" si="7"/>
        <v>18000</v>
      </c>
      <c r="AE28" s="676"/>
      <c r="AF28" s="674">
        <f t="shared" si="26"/>
        <v>0</v>
      </c>
      <c r="AG28" s="504">
        <f t="shared" si="8"/>
        <v>0</v>
      </c>
      <c r="AH28" s="677">
        <f>+IFERROR(HLOOKUP($A$1,[15]매출!$G$5:$R$164,51,),)</f>
        <v>0</v>
      </c>
      <c r="AI28" s="678">
        <f t="shared" si="15"/>
        <v>30000</v>
      </c>
      <c r="AJ28" s="679">
        <f t="shared" si="9"/>
        <v>30000</v>
      </c>
      <c r="AK28" s="504">
        <f>+IFERROR(HLOOKUP($A$1,[16]이송계획!$G$6:$R$318,35,),)</f>
        <v>0</v>
      </c>
      <c r="AL28" s="674">
        <f>+'[19]부산모래장(손익)'!$P$47</f>
        <v>0</v>
      </c>
      <c r="AM28" s="709">
        <f t="shared" si="10"/>
        <v>0</v>
      </c>
      <c r="AN28" s="504">
        <f>+IFERROR(HLOOKUP($A$1,[16]이송계획!$G$6:$R$318,42,),)</f>
        <v>26500</v>
      </c>
      <c r="AO28" s="674">
        <f>+'[19]부산모래장(손익)'!$O$47</f>
        <v>30000</v>
      </c>
      <c r="AP28" s="504">
        <f t="shared" si="11"/>
        <v>3500</v>
      </c>
      <c r="AQ28" s="677">
        <f t="shared" si="27"/>
        <v>87248.349486984429</v>
      </c>
      <c r="AR28" s="678">
        <f t="shared" si="27"/>
        <v>0</v>
      </c>
      <c r="AS28" s="679">
        <f t="shared" si="12"/>
        <v>-87248.349486984429</v>
      </c>
      <c r="AT28" s="502">
        <f t="shared" si="28"/>
        <v>22221.747377717766</v>
      </c>
      <c r="AU28" s="674">
        <f t="shared" si="28"/>
        <v>0</v>
      </c>
      <c r="AV28" s="505">
        <f t="shared" si="13"/>
        <v>-22221.747377717766</v>
      </c>
    </row>
    <row r="29" spans="4:59" ht="28.5" customHeight="1">
      <c r="D29" s="479"/>
      <c r="E29" s="635"/>
      <c r="F29" s="657" t="s">
        <v>23</v>
      </c>
      <c r="G29" s="673">
        <f>+IFERROR(HLOOKUP($A$1,[14]매출!$G$5:$R$170,4,),)</f>
        <v>10000</v>
      </c>
      <c r="H29" s="674">
        <f t="shared" si="18"/>
        <v>0</v>
      </c>
      <c r="I29" s="675">
        <f t="shared" si="0"/>
        <v>-10000</v>
      </c>
      <c r="J29" s="676">
        <f>+IFERROR(HLOOKUP($A$1,[14]매출!$G$5:$R$170,12,),)</f>
        <v>16000</v>
      </c>
      <c r="K29" s="674">
        <f t="shared" si="19"/>
        <v>0</v>
      </c>
      <c r="L29" s="504">
        <f t="shared" si="1"/>
        <v>-16000</v>
      </c>
      <c r="M29" s="676"/>
      <c r="N29" s="674">
        <f t="shared" si="20"/>
        <v>0</v>
      </c>
      <c r="O29" s="504">
        <f t="shared" si="2"/>
        <v>0</v>
      </c>
      <c r="P29" s="676"/>
      <c r="Q29" s="674">
        <f t="shared" si="21"/>
        <v>0</v>
      </c>
      <c r="R29" s="504">
        <f t="shared" si="3"/>
        <v>0</v>
      </c>
      <c r="S29" s="676"/>
      <c r="T29" s="674">
        <f t="shared" si="22"/>
        <v>0</v>
      </c>
      <c r="U29" s="504">
        <f t="shared" si="4"/>
        <v>0</v>
      </c>
      <c r="V29" s="680">
        <f>+IFERROR(HLOOKUP($A$1,[14]매출!$G$5:$R$170,52,),)</f>
        <v>12780.48780487805</v>
      </c>
      <c r="W29" s="681">
        <f t="shared" si="23"/>
        <v>0</v>
      </c>
      <c r="X29" s="679">
        <f t="shared" si="5"/>
        <v>-12780.48780487805</v>
      </c>
      <c r="Y29" s="673">
        <f>+IFERROR(HLOOKUP($A$1,[15]매출!$G$5:$R$164,4,),)</f>
        <v>0</v>
      </c>
      <c r="Z29" s="674">
        <f t="shared" si="24"/>
        <v>0</v>
      </c>
      <c r="AA29" s="675">
        <f t="shared" si="6"/>
        <v>0</v>
      </c>
      <c r="AB29" s="676">
        <f>+IFERROR(HLOOKUP($A$1,[15]매출!$G$5:$R$164,12,),)</f>
        <v>0</v>
      </c>
      <c r="AC29" s="674">
        <f t="shared" si="25"/>
        <v>0</v>
      </c>
      <c r="AD29" s="504">
        <f t="shared" si="7"/>
        <v>0</v>
      </c>
      <c r="AE29" s="676"/>
      <c r="AF29" s="674">
        <f t="shared" si="26"/>
        <v>0</v>
      </c>
      <c r="AG29" s="504">
        <f t="shared" si="8"/>
        <v>0</v>
      </c>
      <c r="AH29" s="680">
        <f>+IFERROR(HLOOKUP($A$1,[15]매출!$G$5:$R$164,52,),)</f>
        <v>0</v>
      </c>
      <c r="AI29" s="681">
        <f t="shared" si="15"/>
        <v>0</v>
      </c>
      <c r="AJ29" s="679">
        <f t="shared" si="9"/>
        <v>0</v>
      </c>
      <c r="AK29" s="504">
        <f>+IFERROR(HLOOKUP($A$1,[16]이송계획!$G$6:$R$318,36,),)</f>
        <v>0</v>
      </c>
      <c r="AL29" s="674">
        <f>+'[19]부산모래장(손익)'!$P$48</f>
        <v>0</v>
      </c>
      <c r="AM29" s="709">
        <f t="shared" si="10"/>
        <v>0</v>
      </c>
      <c r="AN29" s="504">
        <f>+IFERROR(HLOOKUP($A$1,[16]이송계획!$G$6:$R$318,43,),)</f>
        <v>26000</v>
      </c>
      <c r="AO29" s="674">
        <f>+'[19]부산모래장(손익)'!$O$48</f>
        <v>30000</v>
      </c>
      <c r="AP29" s="504">
        <f t="shared" si="11"/>
        <v>4000</v>
      </c>
      <c r="AQ29" s="680">
        <f t="shared" si="27"/>
        <v>108435.08287292816</v>
      </c>
      <c r="AR29" s="681">
        <f t="shared" si="27"/>
        <v>0</v>
      </c>
      <c r="AS29" s="679">
        <f t="shared" si="12"/>
        <v>-108435.08287292816</v>
      </c>
      <c r="AT29" s="502">
        <f t="shared" si="28"/>
        <v>42827.680383810934</v>
      </c>
      <c r="AU29" s="674">
        <f>IFERROR(AU37/AU23,)*1000</f>
        <v>0</v>
      </c>
      <c r="AV29" s="505">
        <f t="shared" si="13"/>
        <v>-42827.680383810934</v>
      </c>
    </row>
    <row r="30" spans="4:59" ht="28.5" customHeight="1">
      <c r="D30" s="479"/>
      <c r="E30" s="635"/>
      <c r="F30" s="657" t="s">
        <v>24</v>
      </c>
      <c r="G30" s="673">
        <f>+IFERROR(HLOOKUP($A$1,[14]매출!$G$5:$R$170,5,),)</f>
        <v>0</v>
      </c>
      <c r="H30" s="674">
        <f t="shared" si="18"/>
        <v>0</v>
      </c>
      <c r="I30" s="675">
        <f t="shared" si="0"/>
        <v>0</v>
      </c>
      <c r="J30" s="676">
        <f>+IFERROR(HLOOKUP($A$1,[14]매출!$G$5:$R$170,13,),)</f>
        <v>0</v>
      </c>
      <c r="K30" s="674">
        <f t="shared" si="19"/>
        <v>0</v>
      </c>
      <c r="L30" s="504">
        <f t="shared" si="1"/>
        <v>0</v>
      </c>
      <c r="M30" s="676"/>
      <c r="N30" s="674">
        <f t="shared" si="20"/>
        <v>0</v>
      </c>
      <c r="O30" s="504">
        <f t="shared" si="2"/>
        <v>0</v>
      </c>
      <c r="P30" s="676"/>
      <c r="Q30" s="674">
        <f t="shared" si="21"/>
        <v>0</v>
      </c>
      <c r="R30" s="504">
        <f t="shared" si="3"/>
        <v>0</v>
      </c>
      <c r="S30" s="676"/>
      <c r="T30" s="674">
        <f t="shared" si="22"/>
        <v>0</v>
      </c>
      <c r="U30" s="504">
        <f t="shared" si="4"/>
        <v>0</v>
      </c>
      <c r="V30" s="680">
        <f>+IFERROR(HLOOKUP($A$1,[14]매출!$G$5:$R$170,53,),)</f>
        <v>0</v>
      </c>
      <c r="W30" s="54">
        <f t="shared" si="23"/>
        <v>0</v>
      </c>
      <c r="X30" s="682">
        <f t="shared" si="5"/>
        <v>0</v>
      </c>
      <c r="Y30" s="673">
        <f>+IFERROR(HLOOKUP($A$1,[15]매출!$G$5:$R$164,5,),)</f>
        <v>0</v>
      </c>
      <c r="Z30" s="674">
        <f t="shared" si="24"/>
        <v>0</v>
      </c>
      <c r="AA30" s="675">
        <f t="shared" si="6"/>
        <v>0</v>
      </c>
      <c r="AB30" s="676">
        <f>+IFERROR(HLOOKUP($A$1,[15]매출!$G$5:$R$164,13,),)</f>
        <v>0</v>
      </c>
      <c r="AC30" s="674">
        <f t="shared" si="25"/>
        <v>18000</v>
      </c>
      <c r="AD30" s="504">
        <f t="shared" si="7"/>
        <v>18000</v>
      </c>
      <c r="AE30" s="676"/>
      <c r="AF30" s="674">
        <f t="shared" si="26"/>
        <v>0</v>
      </c>
      <c r="AG30" s="504">
        <f t="shared" si="8"/>
        <v>0</v>
      </c>
      <c r="AH30" s="680">
        <f>+IFERROR(HLOOKUP($A$1,[15]매출!$G$5:$R$164,53,),)</f>
        <v>0</v>
      </c>
      <c r="AI30" s="54">
        <f t="shared" si="15"/>
        <v>18000</v>
      </c>
      <c r="AJ30" s="682">
        <f t="shared" si="9"/>
        <v>18000</v>
      </c>
      <c r="AK30" s="504">
        <f>+IFERROR(HLOOKUP($A$1,[16]이송계획!$G$6:$R$318,37,),)</f>
        <v>34500</v>
      </c>
      <c r="AL30" s="674">
        <f>+'[19]부산모래장(손익)'!$P$49</f>
        <v>0</v>
      </c>
      <c r="AM30" s="709">
        <f t="shared" si="10"/>
        <v>-34500</v>
      </c>
      <c r="AN30" s="504">
        <f>+IFERROR(HLOOKUP($A$1,[16]이송계획!$G$6:$R$318,44,),)</f>
        <v>26000</v>
      </c>
      <c r="AO30" s="674">
        <f>+'[19]부산모래장(손익)'!$O$49</f>
        <v>30000</v>
      </c>
      <c r="AP30" s="504">
        <f t="shared" si="11"/>
        <v>4000</v>
      </c>
      <c r="AQ30" s="680">
        <f t="shared" si="27"/>
        <v>23104.16601103163</v>
      </c>
      <c r="AR30" s="54">
        <f t="shared" si="27"/>
        <v>0</v>
      </c>
      <c r="AS30" s="682">
        <f t="shared" si="12"/>
        <v>-23104.16601103163</v>
      </c>
      <c r="AT30" s="502">
        <f t="shared" si="28"/>
        <v>23034.550663394049</v>
      </c>
      <c r="AU30" s="674">
        <f t="shared" si="28"/>
        <v>0</v>
      </c>
      <c r="AV30" s="505">
        <f t="shared" si="13"/>
        <v>-23034.550663394049</v>
      </c>
    </row>
    <row r="31" spans="4:59" ht="28.5" customHeight="1">
      <c r="D31" s="479"/>
      <c r="E31" s="635"/>
      <c r="F31" s="657" t="s">
        <v>25</v>
      </c>
      <c r="G31" s="673">
        <f>+IFERROR(HLOOKUP($A$1,[14]매출!$G$5:$R$170,6,),)</f>
        <v>0</v>
      </c>
      <c r="H31" s="674">
        <f t="shared" si="18"/>
        <v>0</v>
      </c>
      <c r="I31" s="675">
        <f t="shared" si="0"/>
        <v>0</v>
      </c>
      <c r="J31" s="676">
        <f>+IFERROR(HLOOKUP($A$1,[14]매출!$G$5:$R$170,14,),)</f>
        <v>0</v>
      </c>
      <c r="K31" s="674">
        <f t="shared" si="19"/>
        <v>0</v>
      </c>
      <c r="L31" s="504">
        <f t="shared" si="1"/>
        <v>0</v>
      </c>
      <c r="M31" s="676"/>
      <c r="N31" s="674">
        <f t="shared" si="20"/>
        <v>0</v>
      </c>
      <c r="O31" s="504">
        <f t="shared" si="2"/>
        <v>0</v>
      </c>
      <c r="P31" s="676"/>
      <c r="Q31" s="674">
        <f t="shared" si="21"/>
        <v>0</v>
      </c>
      <c r="R31" s="504">
        <f t="shared" si="3"/>
        <v>0</v>
      </c>
      <c r="S31" s="676"/>
      <c r="T31" s="674">
        <f t="shared" si="22"/>
        <v>0</v>
      </c>
      <c r="U31" s="504">
        <f t="shared" si="4"/>
        <v>0</v>
      </c>
      <c r="V31" s="680">
        <f>+IFERROR(HLOOKUP($A$1,[14]매출!$G$5:$R$170,54,),)</f>
        <v>0</v>
      </c>
      <c r="W31" s="54">
        <f t="shared" si="23"/>
        <v>0</v>
      </c>
      <c r="X31" s="682">
        <f t="shared" si="5"/>
        <v>0</v>
      </c>
      <c r="Y31" s="673">
        <f>+IFERROR(HLOOKUP($A$1,[15]매출!$G$5:$R$164,6,),)</f>
        <v>0</v>
      </c>
      <c r="Z31" s="674">
        <f t="shared" si="24"/>
        <v>0</v>
      </c>
      <c r="AA31" s="675">
        <f t="shared" si="6"/>
        <v>0</v>
      </c>
      <c r="AB31" s="676">
        <f>+IFERROR(HLOOKUP($A$1,[15]매출!$G$5:$R$164,14,),)</f>
        <v>0</v>
      </c>
      <c r="AC31" s="674">
        <f t="shared" si="25"/>
        <v>0</v>
      </c>
      <c r="AD31" s="504">
        <f t="shared" si="7"/>
        <v>0</v>
      </c>
      <c r="AE31" s="676"/>
      <c r="AF31" s="674">
        <f t="shared" si="26"/>
        <v>0</v>
      </c>
      <c r="AG31" s="504">
        <f t="shared" si="8"/>
        <v>0</v>
      </c>
      <c r="AH31" s="680">
        <f>+IFERROR(HLOOKUP($A$1,[15]매출!$G$5:$R$164,54,),)</f>
        <v>0</v>
      </c>
      <c r="AI31" s="54">
        <f t="shared" si="15"/>
        <v>0</v>
      </c>
      <c r="AJ31" s="682">
        <f t="shared" si="9"/>
        <v>0</v>
      </c>
      <c r="AK31" s="504">
        <f>+IFERROR(HLOOKUP($A$1,[16]이송계획!$G$6:$R$318,38,),)</f>
        <v>0</v>
      </c>
      <c r="AL31" s="674">
        <f>+'[19]부산모래장(손익)'!$P$50</f>
        <v>0</v>
      </c>
      <c r="AM31" s="709">
        <f t="shared" si="10"/>
        <v>0</v>
      </c>
      <c r="AN31" s="504">
        <f>+IFERROR(HLOOKUP($A$1,[16]이송계획!$G$6:$R$318,45,),)</f>
        <v>26000</v>
      </c>
      <c r="AO31" s="674">
        <f>+'[19]부산모래장(손익)'!$O$50</f>
        <v>0</v>
      </c>
      <c r="AP31" s="504">
        <f t="shared" si="11"/>
        <v>-26000</v>
      </c>
      <c r="AQ31" s="680">
        <f t="shared" si="27"/>
        <v>207112.04999559899</v>
      </c>
      <c r="AR31" s="54">
        <f t="shared" si="27"/>
        <v>0</v>
      </c>
      <c r="AS31" s="682">
        <f t="shared" si="12"/>
        <v>-207112.04999559899</v>
      </c>
      <c r="AT31" s="502">
        <f t="shared" si="28"/>
        <v>207112.04999559899</v>
      </c>
      <c r="AU31" s="674">
        <f t="shared" si="28"/>
        <v>0</v>
      </c>
      <c r="AV31" s="505">
        <f t="shared" si="13"/>
        <v>-207112.04999559899</v>
      </c>
    </row>
    <row r="32" spans="4:59" ht="28.5" customHeight="1" thickBot="1">
      <c r="D32" s="479"/>
      <c r="E32" s="683"/>
      <c r="F32" s="684" t="s">
        <v>26</v>
      </c>
      <c r="G32" s="685">
        <f>+IFERROR(HLOOKUP($A$1,[14]매출!$G$5:$R$170,7,),)</f>
        <v>10000</v>
      </c>
      <c r="H32" s="686">
        <f t="shared" si="18"/>
        <v>0</v>
      </c>
      <c r="I32" s="687">
        <f t="shared" si="0"/>
        <v>-10000</v>
      </c>
      <c r="J32" s="688">
        <f>+IFERROR(HLOOKUP($A$1,[14]매출!$G$5:$R$170,15,),)</f>
        <v>16000</v>
      </c>
      <c r="K32" s="686">
        <f t="shared" si="19"/>
        <v>0</v>
      </c>
      <c r="L32" s="498">
        <f t="shared" si="1"/>
        <v>-16000</v>
      </c>
      <c r="M32" s="688"/>
      <c r="N32" s="686">
        <f t="shared" si="20"/>
        <v>0</v>
      </c>
      <c r="O32" s="498">
        <f t="shared" si="2"/>
        <v>0</v>
      </c>
      <c r="P32" s="688"/>
      <c r="Q32" s="686">
        <f t="shared" si="21"/>
        <v>0</v>
      </c>
      <c r="R32" s="498">
        <f t="shared" si="3"/>
        <v>0</v>
      </c>
      <c r="S32" s="688"/>
      <c r="T32" s="686">
        <f t="shared" si="22"/>
        <v>0</v>
      </c>
      <c r="U32" s="498">
        <f t="shared" si="4"/>
        <v>0</v>
      </c>
      <c r="V32" s="689">
        <f>+IFERROR(HLOOKUP($A$1,[14]매출!$G$5:$R$170,55,),)</f>
        <v>12151.535233046168</v>
      </c>
      <c r="W32" s="690">
        <f t="shared" si="23"/>
        <v>0</v>
      </c>
      <c r="X32" s="691">
        <f t="shared" si="5"/>
        <v>-12151.535233046168</v>
      </c>
      <c r="Y32" s="685">
        <f>+IFERROR(HLOOKUP($A$1,[15]매출!$G$5:$R$164,7,),)</f>
        <v>0</v>
      </c>
      <c r="Z32" s="686">
        <f t="shared" si="24"/>
        <v>0</v>
      </c>
      <c r="AA32" s="687">
        <f t="shared" si="6"/>
        <v>0</v>
      </c>
      <c r="AB32" s="688">
        <f>+IFERROR(HLOOKUP($A$1,[15]매출!$G$5:$R$164,15,),)</f>
        <v>0</v>
      </c>
      <c r="AC32" s="686">
        <f t="shared" si="25"/>
        <v>0</v>
      </c>
      <c r="AD32" s="498">
        <f t="shared" si="7"/>
        <v>0</v>
      </c>
      <c r="AE32" s="688"/>
      <c r="AF32" s="686">
        <f t="shared" si="26"/>
        <v>0</v>
      </c>
      <c r="AG32" s="498">
        <f t="shared" si="8"/>
        <v>0</v>
      </c>
      <c r="AH32" s="689">
        <f>+IFERROR(HLOOKUP($A$1,[15]매출!$G$5:$R$164,55,),)</f>
        <v>0</v>
      </c>
      <c r="AI32" s="690">
        <f t="shared" si="15"/>
        <v>0</v>
      </c>
      <c r="AJ32" s="691">
        <f t="shared" si="9"/>
        <v>0</v>
      </c>
      <c r="AK32" s="498">
        <f>+IFERROR(HLOOKUP($A$1,[16]이송계획!$G$6:$R$318,39,),)</f>
        <v>0</v>
      </c>
      <c r="AL32" s="686">
        <f>+'[19]부산모래장(손익)'!$P$51</f>
        <v>0</v>
      </c>
      <c r="AM32" s="710">
        <f t="shared" si="10"/>
        <v>0</v>
      </c>
      <c r="AN32" s="498">
        <f>+IFERROR(HLOOKUP($A$1,[16]이송계획!$G$6:$R$318,46,),)</f>
        <v>0</v>
      </c>
      <c r="AO32" s="686">
        <f>+'[19]부산모래장(손익)'!$O$51</f>
        <v>0</v>
      </c>
      <c r="AP32" s="498">
        <f t="shared" si="11"/>
        <v>0</v>
      </c>
      <c r="AQ32" s="689">
        <f t="shared" si="27"/>
        <v>0</v>
      </c>
      <c r="AR32" s="690">
        <f t="shared" si="27"/>
        <v>0</v>
      </c>
      <c r="AS32" s="691">
        <f t="shared" si="12"/>
        <v>0</v>
      </c>
      <c r="AT32" s="692">
        <f t="shared" si="28"/>
        <v>46259.40501168005</v>
      </c>
      <c r="AU32" s="693">
        <f t="shared" si="28"/>
        <v>0</v>
      </c>
      <c r="AV32" s="694">
        <f t="shared" si="13"/>
        <v>-46259.40501168005</v>
      </c>
    </row>
    <row r="33" spans="5:50" ht="21.95" customHeight="1" thickTop="1">
      <c r="G33" s="695"/>
      <c r="H33" s="695"/>
      <c r="I33" s="695"/>
      <c r="J33" s="479"/>
      <c r="M33" s="479"/>
      <c r="Y33" s="695"/>
      <c r="Z33" s="695"/>
      <c r="AA33" s="695"/>
      <c r="AB33" s="479"/>
      <c r="AK33" s="479"/>
      <c r="AT33" s="479"/>
    </row>
    <row r="34" spans="5:50" ht="21.95" customHeight="1">
      <c r="J34" s="479"/>
      <c r="M34" s="479"/>
      <c r="AB34" s="479"/>
      <c r="AK34" s="479"/>
      <c r="AT34" s="479"/>
    </row>
    <row r="35" spans="5:50" ht="21.95" customHeight="1">
      <c r="E35" s="25" t="s">
        <v>197</v>
      </c>
      <c r="F35" s="696" t="s">
        <v>21</v>
      </c>
      <c r="G35" s="6">
        <f>+'골재사업소(당월)'!G35+'[13]골재사업소(누계)'!G35</f>
        <v>348998.99333333329</v>
      </c>
      <c r="H35" s="6">
        <f>+'골재사업소(당월)'!H35+'[13]골재사업소(누계)'!H35</f>
        <v>161400</v>
      </c>
      <c r="I35" s="6">
        <f t="shared" ref="I35:I41" si="29">+H35-G35</f>
        <v>-187598.99333333329</v>
      </c>
      <c r="J35" s="6">
        <f>+'골재사업소(당월)'!J35+'[13]골재사업소(누계)'!J35</f>
        <v>300009.22379999998</v>
      </c>
      <c r="K35" s="6">
        <f>+'골재사업소(당월)'!K35+'[13]골재사업소(누계)'!K35</f>
        <v>118272</v>
      </c>
      <c r="L35" s="6">
        <f>+K35-J35</f>
        <v>-181737.22379999998</v>
      </c>
      <c r="M35" s="479"/>
      <c r="O35" s="6">
        <f>+N35-M35</f>
        <v>0</v>
      </c>
      <c r="V35" s="6">
        <f t="shared" ref="V35:W41" si="30">SUM(G35,J35,M35)</f>
        <v>649008.21713333321</v>
      </c>
      <c r="W35" s="6">
        <f t="shared" si="30"/>
        <v>279672</v>
      </c>
      <c r="X35" s="6">
        <f t="shared" ref="X35:X41" si="31">+W35-V35</f>
        <v>-369336.21713333321</v>
      </c>
      <c r="Y35" s="6">
        <f>+'골재사업소(당월)'!Y35+'[13]골재사업소(누계)'!Y35</f>
        <v>236800.5406666667</v>
      </c>
      <c r="Z35" s="6">
        <f>+'골재사업소(당월)'!Z35+'[13]골재사업소(누계)'!Z35</f>
        <v>412090</v>
      </c>
      <c r="AA35" s="6">
        <f t="shared" ref="AA35:AA41" si="32">+Z35-Y35</f>
        <v>175289.4593333333</v>
      </c>
      <c r="AB35" s="479">
        <f>+'골재사업소(당월)'!AB35+'[13]골재사업소(누계)'!AB35</f>
        <v>326663.78744999995</v>
      </c>
      <c r="AC35" s="6">
        <f>+'골재사업소(당월)'!AC35+'[13]골재사업소(누계)'!AC35</f>
        <v>415574</v>
      </c>
      <c r="AD35" s="6">
        <f>+AC35-AB35</f>
        <v>88910.212550000055</v>
      </c>
      <c r="AE35" s="6">
        <f>+'골재사업소(당월)'!AE35+'[13]골재사업소(누계)'!AE35</f>
        <v>0</v>
      </c>
      <c r="AF35" s="6">
        <f>+'골재사업소(당월)'!AF35+'[13]골재사업소(누계)'!AF35</f>
        <v>0</v>
      </c>
      <c r="AG35" s="6">
        <f>+AF35-AE35</f>
        <v>0</v>
      </c>
      <c r="AH35" s="6">
        <f>SUM(Y35,AB35)</f>
        <v>563464.32811666664</v>
      </c>
      <c r="AI35" s="6">
        <f t="shared" ref="AI35:AI41" si="33">SUM(Z35,AC35)</f>
        <v>827664</v>
      </c>
      <c r="AJ35" s="6">
        <f t="shared" ref="AJ35:AJ41" si="34">+AI35-AH35</f>
        <v>264199.67188333336</v>
      </c>
      <c r="AK35" s="697">
        <f>+'골재사업소(당월)'!AK35+'[13]골재사업소(누계)'!AK35</f>
        <v>37309.090909090912</v>
      </c>
      <c r="AL35" s="6" t="e">
        <f>+'골재사업소(당월)'!AL35+'[13]골재사업소(누계)'!AL35</f>
        <v>#VALUE!</v>
      </c>
      <c r="AN35" s="697">
        <f>+'골재사업소(당월)'!AN35+'[13]골재사업소(누계)'!AN35</f>
        <v>0</v>
      </c>
      <c r="AO35" s="6">
        <f>+'골재사업소(당월)'!AO35+'[13]골재사업소(누계)'!AO35</f>
        <v>337815</v>
      </c>
      <c r="AQ35" s="6">
        <f>+AK35+AN35</f>
        <v>37309.090909090912</v>
      </c>
      <c r="AR35" s="6" t="e">
        <f t="shared" ref="AR35:AR41" si="35">+AL35+AO35</f>
        <v>#VALUE!</v>
      </c>
      <c r="AT35" s="479">
        <f t="shared" ref="AT35:AU40" si="36">+V35+AH35+AQ35</f>
        <v>1249781.6361590908</v>
      </c>
      <c r="AU35" s="479" t="e">
        <f t="shared" si="36"/>
        <v>#VALUE!</v>
      </c>
      <c r="AV35" s="6" t="e">
        <f t="shared" ref="AV35:AV41" si="37">+AU35-AT35</f>
        <v>#VALUE!</v>
      </c>
      <c r="AX35" s="84">
        <f>+IFERROR(INDEX('[19]부산모래장(손익)'!$O$16:$U$21,MATCH($F35,'[19]부산모래장(손익)'!$M$16:$M$21,),MATCH($AL$2,'[19]부산모래장(손익)'!$O$15:$S$15,)),)</f>
        <v>0</v>
      </c>
    </row>
    <row r="36" spans="5:50" ht="21.95" customHeight="1">
      <c r="E36" s="25" t="s">
        <v>124</v>
      </c>
      <c r="F36" s="696" t="s">
        <v>22</v>
      </c>
      <c r="G36" s="6">
        <f>+'골재사업소(당월)'!G36+'[13]골재사업소(누계)'!G36</f>
        <v>664828.80000000005</v>
      </c>
      <c r="H36" s="6">
        <f>+'골재사업소(당월)'!H36+'[13]골재사업소(누계)'!H36</f>
        <v>176698</v>
      </c>
      <c r="I36" s="6">
        <f t="shared" si="29"/>
        <v>-488130.80000000005</v>
      </c>
      <c r="J36" s="6">
        <f>+'골재사업소(당월)'!J36+'[13]골재사업소(누계)'!J36</f>
        <v>594528</v>
      </c>
      <c r="K36" s="6">
        <f>+'골재사업소(당월)'!K36+'[13]골재사업소(누계)'!K36</f>
        <v>75768</v>
      </c>
      <c r="L36" s="6">
        <f t="shared" ref="L36:L41" si="38">+K36-J36</f>
        <v>-518760</v>
      </c>
      <c r="O36" s="6">
        <f t="shared" ref="O36:O41" si="39">+N36-M36</f>
        <v>0</v>
      </c>
      <c r="V36" s="6">
        <f t="shared" si="30"/>
        <v>1259356.8</v>
      </c>
      <c r="W36" s="6">
        <f t="shared" si="30"/>
        <v>252466</v>
      </c>
      <c r="X36" s="6">
        <f t="shared" si="31"/>
        <v>-1006890.8</v>
      </c>
      <c r="Y36" s="6">
        <f>+'골재사업소(당월)'!Y36+'[13]골재사업소(누계)'!Y36</f>
        <v>0</v>
      </c>
      <c r="Z36" s="6">
        <f>+'골재사업소(당월)'!Z36+'[13]골재사업소(누계)'!Z36</f>
        <v>70080</v>
      </c>
      <c r="AA36" s="6">
        <f t="shared" si="32"/>
        <v>70080</v>
      </c>
      <c r="AB36" s="479">
        <f>+'골재사업소(당월)'!AB36+'[13]골재사업소(누계)'!AB36</f>
        <v>0</v>
      </c>
      <c r="AC36" s="6">
        <f>+'골재사업소(당월)'!AC36+'[13]골재사업소(누계)'!AC36</f>
        <v>92448</v>
      </c>
      <c r="AD36" s="6">
        <f t="shared" ref="AD36:AD41" si="40">+AC36-AB36</f>
        <v>92448</v>
      </c>
      <c r="AE36" s="6">
        <f>+'골재사업소(당월)'!AE36+'[13]골재사업소(누계)'!AE36</f>
        <v>0</v>
      </c>
      <c r="AF36" s="6">
        <f>+'골재사업소(당월)'!AF36+'[13]골재사업소(누계)'!AF36</f>
        <v>0</v>
      </c>
      <c r="AG36" s="6">
        <f t="shared" ref="AG36:AG41" si="41">+AF36-AE36</f>
        <v>0</v>
      </c>
      <c r="AH36" s="6">
        <f t="shared" ref="AH36:AH41" si="42">SUM(Y36,AB36)</f>
        <v>0</v>
      </c>
      <c r="AI36" s="6">
        <f t="shared" si="33"/>
        <v>162528</v>
      </c>
      <c r="AJ36" s="6">
        <f>+AI36-AH36</f>
        <v>162528</v>
      </c>
      <c r="AK36" s="697">
        <f>+'골재사업소(당월)'!AK36+'[13]골재사업소(누계)'!AK36</f>
        <v>0</v>
      </c>
      <c r="AL36" s="6" t="e">
        <f>+'골재사업소(당월)'!AL36+'[13]골재사업소(누계)'!AL36</f>
        <v>#VALUE!</v>
      </c>
      <c r="AN36" s="697">
        <f>+'골재사업소(당월)'!AN36+'[13]골재사업소(누계)'!AN36</f>
        <v>354911.64263341844</v>
      </c>
      <c r="AO36" s="6">
        <f>+'골재사업소(당월)'!AO36+'[13]골재사업소(누계)'!AO36</f>
        <v>221040</v>
      </c>
      <c r="AQ36" s="6">
        <f t="shared" ref="AQ36:AQ41" si="43">+AK36+AN36</f>
        <v>354911.64263341844</v>
      </c>
      <c r="AR36" s="6" t="e">
        <f t="shared" si="35"/>
        <v>#VALUE!</v>
      </c>
      <c r="AT36" s="6">
        <f t="shared" si="36"/>
        <v>1614268.4426334184</v>
      </c>
      <c r="AU36" s="6" t="e">
        <f t="shared" si="36"/>
        <v>#VALUE!</v>
      </c>
      <c r="AV36" s="6" t="e">
        <f t="shared" si="37"/>
        <v>#VALUE!</v>
      </c>
      <c r="AX36" s="84">
        <f>+IFERROR(INDEX('[19]부산모래장(손익)'!$O$16:$U$21,MATCH($F36,'[19]부산모래장(손익)'!$M$16:$M$21,),MATCH($AL$2,'[19]부산모래장(손익)'!$O$15:$S$15,)),)</f>
        <v>0</v>
      </c>
    </row>
    <row r="37" spans="5:50" ht="21.95" customHeight="1">
      <c r="F37" s="696" t="s">
        <v>23</v>
      </c>
      <c r="G37" s="6">
        <f>+'골재사업소(당월)'!G37+'[13]골재사업소(누계)'!G37</f>
        <v>53386.666666666672</v>
      </c>
      <c r="H37" s="6">
        <f>+'골재사업소(당월)'!H37+'[13]골재사업소(누계)'!H37</f>
        <v>0</v>
      </c>
      <c r="I37" s="6">
        <f t="shared" si="29"/>
        <v>-53386.666666666672</v>
      </c>
      <c r="J37" s="6">
        <f>+'골재사업소(당월)'!J37+'[13]골재사업소(누계)'!J37</f>
        <v>73770.666666666672</v>
      </c>
      <c r="K37" s="6">
        <f>+'골재사업소(당월)'!K37+'[13]골재사업소(누계)'!K37</f>
        <v>0</v>
      </c>
      <c r="L37" s="6">
        <f t="shared" si="38"/>
        <v>-73770.666666666672</v>
      </c>
      <c r="O37" s="6">
        <f t="shared" si="39"/>
        <v>0</v>
      </c>
      <c r="V37" s="6">
        <f t="shared" si="30"/>
        <v>127157.33333333334</v>
      </c>
      <c r="W37" s="6">
        <f t="shared" si="30"/>
        <v>0</v>
      </c>
      <c r="X37" s="6">
        <f t="shared" si="31"/>
        <v>-127157.33333333334</v>
      </c>
      <c r="Y37" s="6">
        <f>+'골재사업소(당월)'!Y37+'[13]골재사업소(누계)'!Y37</f>
        <v>0</v>
      </c>
      <c r="Z37" s="6">
        <f>+'골재사업소(당월)'!Z37+'[13]골재사업소(누계)'!Z37</f>
        <v>0</v>
      </c>
      <c r="AA37" s="6">
        <f t="shared" si="32"/>
        <v>0</v>
      </c>
      <c r="AB37" s="479">
        <f>+'골재사업소(당월)'!AB37+'[13]골재사업소(누계)'!AB37</f>
        <v>0</v>
      </c>
      <c r="AC37" s="6">
        <f>+'골재사업소(당월)'!AC37+'[13]골재사업소(누계)'!AC37</f>
        <v>0</v>
      </c>
      <c r="AD37" s="6">
        <f t="shared" si="40"/>
        <v>0</v>
      </c>
      <c r="AE37" s="6">
        <f>+'골재사업소(당월)'!AE37+'[13]골재사업소(누계)'!AE37</f>
        <v>0</v>
      </c>
      <c r="AF37" s="6">
        <f>+'골재사업소(당월)'!AF37+'[13]골재사업소(누계)'!AF37</f>
        <v>0</v>
      </c>
      <c r="AG37" s="6">
        <f t="shared" si="41"/>
        <v>0</v>
      </c>
      <c r="AH37" s="6">
        <f t="shared" si="42"/>
        <v>0</v>
      </c>
      <c r="AI37" s="6">
        <f t="shared" si="33"/>
        <v>0</v>
      </c>
      <c r="AJ37" s="6">
        <f t="shared" si="34"/>
        <v>0</v>
      </c>
      <c r="AK37" s="697">
        <f>+'골재사업소(당월)'!AK37+'[13]골재사업소(누계)'!AK37</f>
        <v>0</v>
      </c>
      <c r="AL37" s="6" t="e">
        <f>+'골재사업소(당월)'!AL37+'[13]골재사업소(누계)'!AL37</f>
        <v>#VALUE!</v>
      </c>
      <c r="AN37" s="697">
        <f>+'골재사업소(당월)'!AN37+'[13]골재사업소(누계)'!AN37</f>
        <v>494100</v>
      </c>
      <c r="AO37" s="6">
        <f>+'골재사업소(당월)'!AO37+'[13]골재사업소(누계)'!AO37</f>
        <v>108120</v>
      </c>
      <c r="AQ37" s="6">
        <f t="shared" si="43"/>
        <v>494100</v>
      </c>
      <c r="AR37" s="6" t="e">
        <f t="shared" si="35"/>
        <v>#VALUE!</v>
      </c>
      <c r="AT37" s="6">
        <f t="shared" si="36"/>
        <v>621257.33333333337</v>
      </c>
      <c r="AU37" s="6" t="e">
        <f t="shared" si="36"/>
        <v>#VALUE!</v>
      </c>
      <c r="AV37" s="6" t="e">
        <f t="shared" si="37"/>
        <v>#VALUE!</v>
      </c>
      <c r="AX37" s="84">
        <f>+IFERROR(INDEX('[19]부산모래장(손익)'!$O$16:$U$21,MATCH($F37,'[19]부산모래장(손익)'!$M$16:$M$21,),MATCH($AL$2,'[19]부산모래장(손익)'!$O$15:$S$15,)),)</f>
        <v>0</v>
      </c>
    </row>
    <row r="38" spans="5:50" ht="21.95" customHeight="1">
      <c r="F38" s="696" t="s">
        <v>24</v>
      </c>
      <c r="G38" s="6">
        <f>+'골재사업소(당월)'!G38+'[13]골재사업소(누계)'!G38</f>
        <v>0</v>
      </c>
      <c r="H38" s="6">
        <f>+'골재사업소(당월)'!H38+'[13]골재사업소(누계)'!H38</f>
        <v>0</v>
      </c>
      <c r="I38" s="6">
        <f t="shared" si="29"/>
        <v>0</v>
      </c>
      <c r="J38" s="6">
        <f>+'골재사업소(당월)'!J38+'[13]골재사업소(누계)'!J38</f>
        <v>0</v>
      </c>
      <c r="K38" s="6">
        <f>+'골재사업소(당월)'!K38+'[13]골재사업소(누계)'!K38</f>
        <v>0</v>
      </c>
      <c r="L38" s="6">
        <f t="shared" si="38"/>
        <v>0</v>
      </c>
      <c r="O38" s="6">
        <f t="shared" si="39"/>
        <v>0</v>
      </c>
      <c r="V38" s="6">
        <f t="shared" si="30"/>
        <v>0</v>
      </c>
      <c r="W38" s="6">
        <f t="shared" si="30"/>
        <v>0</v>
      </c>
      <c r="X38" s="6">
        <f t="shared" si="31"/>
        <v>0</v>
      </c>
      <c r="Y38" s="6">
        <f>+'골재사업소(당월)'!Y38+'[13]골재사업소(누계)'!Y38</f>
        <v>0</v>
      </c>
      <c r="Z38" s="6">
        <f>+'골재사업소(당월)'!Z38+'[13]골재사업소(누계)'!Z38</f>
        <v>0</v>
      </c>
      <c r="AA38" s="6">
        <f t="shared" si="32"/>
        <v>0</v>
      </c>
      <c r="AB38" s="479">
        <f>+'골재사업소(당월)'!AB38+'[13]골재사업소(누계)'!AB38</f>
        <v>4582.7280000000001</v>
      </c>
      <c r="AC38" s="6">
        <f>+'골재사업소(당월)'!AC38+'[13]골재사업소(누계)'!AC38</f>
        <v>35136</v>
      </c>
      <c r="AD38" s="6">
        <f t="shared" si="40"/>
        <v>30553.272000000001</v>
      </c>
      <c r="AE38" s="6">
        <f>+'골재사업소(당월)'!AE38+'[13]골재사업소(누계)'!AE38</f>
        <v>0</v>
      </c>
      <c r="AF38" s="6">
        <f>+'골재사업소(당월)'!AF38+'[13]골재사업소(누계)'!AF38</f>
        <v>0</v>
      </c>
      <c r="AG38" s="6">
        <f t="shared" si="41"/>
        <v>0</v>
      </c>
      <c r="AH38" s="6">
        <f t="shared" si="42"/>
        <v>4582.7280000000001</v>
      </c>
      <c r="AI38" s="6">
        <f t="shared" si="33"/>
        <v>35136</v>
      </c>
      <c r="AJ38" s="6">
        <f t="shared" si="34"/>
        <v>30553.272000000001</v>
      </c>
      <c r="AK38" s="697">
        <f>+'골재사업소(당월)'!AK38+'[13]골재사업소(누계)'!AK38</f>
        <v>317602.55172432755</v>
      </c>
      <c r="AL38" s="6" t="e">
        <f>+'골재사업소(당월)'!AL38+'[13]골재사업소(누계)'!AL38</f>
        <v>#VALUE!</v>
      </c>
      <c r="AN38" s="697">
        <f>+'골재사업소(당월)'!AN38+'[13]골재사업소(누계)'!AN38</f>
        <v>107797.55244755244</v>
      </c>
      <c r="AO38" s="6">
        <f>+'골재사업소(당월)'!AO38+'[13]골재사업소(누계)'!AO38</f>
        <v>258360</v>
      </c>
      <c r="AQ38" s="6">
        <f t="shared" si="43"/>
        <v>425400.10417188</v>
      </c>
      <c r="AR38" s="6" t="e">
        <f t="shared" si="35"/>
        <v>#VALUE!</v>
      </c>
      <c r="AT38" s="6">
        <f t="shared" si="36"/>
        <v>429982.83217188</v>
      </c>
      <c r="AU38" s="6" t="e">
        <f t="shared" si="36"/>
        <v>#VALUE!</v>
      </c>
      <c r="AV38" s="6" t="e">
        <f t="shared" si="37"/>
        <v>#VALUE!</v>
      </c>
      <c r="AX38" s="84">
        <f>+IFERROR(INDEX('[19]부산모래장(손익)'!$O$16:$U$21,MATCH($F38,'[19]부산모래장(손익)'!$M$16:$M$21,),MATCH($AL$2,'[19]부산모래장(손익)'!$O$15:$S$15,)),)</f>
        <v>0</v>
      </c>
    </row>
    <row r="39" spans="5:50" ht="21.95" customHeight="1">
      <c r="F39" s="696" t="s">
        <v>25</v>
      </c>
      <c r="G39" s="6">
        <f>+'골재사업소(당월)'!G39+'[13]골재사업소(누계)'!G39</f>
        <v>0</v>
      </c>
      <c r="H39" s="6">
        <f>+'골재사업소(당월)'!H39+'[13]골재사업소(누계)'!H39</f>
        <v>0</v>
      </c>
      <c r="I39" s="6">
        <f t="shared" si="29"/>
        <v>0</v>
      </c>
      <c r="J39" s="6">
        <f>+'골재사업소(당월)'!J39+'[13]골재사업소(누계)'!J39</f>
        <v>0</v>
      </c>
      <c r="K39" s="6">
        <f>+'골재사업소(당월)'!K39+'[13]골재사업소(누계)'!K39</f>
        <v>0</v>
      </c>
      <c r="L39" s="6">
        <f t="shared" si="38"/>
        <v>0</v>
      </c>
      <c r="O39" s="6">
        <f t="shared" si="39"/>
        <v>0</v>
      </c>
      <c r="V39" s="6">
        <f t="shared" si="30"/>
        <v>0</v>
      </c>
      <c r="W39" s="6">
        <f t="shared" si="30"/>
        <v>0</v>
      </c>
      <c r="X39" s="6">
        <f t="shared" si="31"/>
        <v>0</v>
      </c>
      <c r="Y39" s="6">
        <f>+'골재사업소(당월)'!Y39+'[13]골재사업소(누계)'!Y39</f>
        <v>0</v>
      </c>
      <c r="Z39" s="6">
        <f>+'골재사업소(당월)'!Z39+'[13]골재사업소(누계)'!Z39</f>
        <v>0</v>
      </c>
      <c r="AA39" s="6">
        <f t="shared" si="32"/>
        <v>0</v>
      </c>
      <c r="AB39" s="479">
        <f>+'골재사업소(당월)'!AB39+'[13]골재사업소(누계)'!AB39</f>
        <v>0</v>
      </c>
      <c r="AC39" s="6">
        <f>+'골재사업소(당월)'!AC39+'[13]골재사업소(누계)'!AC39</f>
        <v>0</v>
      </c>
      <c r="AD39" s="6">
        <f t="shared" si="40"/>
        <v>0</v>
      </c>
      <c r="AE39" s="6">
        <f>+'골재사업소(당월)'!AE39+'[13]골재사업소(누계)'!AE39</f>
        <v>0</v>
      </c>
      <c r="AF39" s="6">
        <f>+'골재사업소(당월)'!AF39+'[13]골재사업소(누계)'!AF39</f>
        <v>0</v>
      </c>
      <c r="AG39" s="6">
        <f t="shared" si="41"/>
        <v>0</v>
      </c>
      <c r="AH39" s="6">
        <f t="shared" si="42"/>
        <v>0</v>
      </c>
      <c r="AI39" s="6">
        <f t="shared" si="33"/>
        <v>0</v>
      </c>
      <c r="AJ39" s="6">
        <f t="shared" si="34"/>
        <v>0</v>
      </c>
      <c r="AK39" s="697">
        <f>+'골재사업소(당월)'!AK39+'[13]골재사업소(누계)'!AK39</f>
        <v>0</v>
      </c>
      <c r="AL39" s="6" t="e">
        <f>+'골재사업소(당월)'!AL39+'[13]골재사업소(누계)'!AL39</f>
        <v>#VALUE!</v>
      </c>
      <c r="AN39" s="697">
        <f>+'골재사업소(당월)'!AN39+'[13]골재사업소(누계)'!AN39</f>
        <v>118472.72727272726</v>
      </c>
      <c r="AO39" s="6">
        <f>+'골재사업소(당월)'!AO39+'[13]골재사업소(누계)'!AO39</f>
        <v>0</v>
      </c>
      <c r="AQ39" s="6">
        <f t="shared" si="43"/>
        <v>118472.72727272726</v>
      </c>
      <c r="AR39" s="6" t="e">
        <f t="shared" si="35"/>
        <v>#VALUE!</v>
      </c>
      <c r="AT39" s="6">
        <f t="shared" si="36"/>
        <v>118472.72727272726</v>
      </c>
      <c r="AU39" s="6" t="e">
        <f t="shared" si="36"/>
        <v>#VALUE!</v>
      </c>
      <c r="AV39" s="6" t="e">
        <f t="shared" si="37"/>
        <v>#VALUE!</v>
      </c>
      <c r="AX39" s="84">
        <f>+IFERROR(INDEX('[19]부산모래장(손익)'!$O$16:$U$21,MATCH($F39,'[19]부산모래장(손익)'!$M$16:$M$21,),MATCH($AL$2,'[19]부산모래장(손익)'!$O$15:$S$15,)),)</f>
        <v>0</v>
      </c>
    </row>
    <row r="40" spans="5:50" ht="21.95" customHeight="1">
      <c r="F40" s="696" t="s">
        <v>26</v>
      </c>
      <c r="G40" s="6">
        <f>+'골재사업소(당월)'!G40+'[13]골재사업소(누계)'!G40</f>
        <v>21229.333333333332</v>
      </c>
      <c r="H40" s="6">
        <f>+'골재사업소(당월)'!H40+'[13]골재사업소(누계)'!H40</f>
        <v>0</v>
      </c>
      <c r="I40" s="6">
        <f t="shared" si="29"/>
        <v>-21229.333333333332</v>
      </c>
      <c r="J40" s="6">
        <f>+'골재사업소(당월)'!J40+'[13]골재사업소(누계)'!J40</f>
        <v>19186.580645161292</v>
      </c>
      <c r="K40" s="6">
        <f>+'골재사업소(당월)'!K40+'[13]골재사업소(누계)'!K40</f>
        <v>0</v>
      </c>
      <c r="L40" s="6">
        <f t="shared" si="38"/>
        <v>-19186.580645161292</v>
      </c>
      <c r="O40" s="6">
        <f t="shared" si="39"/>
        <v>0</v>
      </c>
      <c r="V40" s="6">
        <f t="shared" si="30"/>
        <v>40415.913978494624</v>
      </c>
      <c r="W40" s="6">
        <f t="shared" si="30"/>
        <v>0</v>
      </c>
      <c r="X40" s="6">
        <f t="shared" si="31"/>
        <v>-40415.913978494624</v>
      </c>
      <c r="Y40" s="6">
        <f>+'골재사업소(당월)'!Y40+'[13]골재사업소(누계)'!Y40</f>
        <v>0</v>
      </c>
      <c r="Z40" s="6">
        <f>+'골재사업소(당월)'!Z40+'[13]골재사업소(누계)'!Z40</f>
        <v>0</v>
      </c>
      <c r="AA40" s="6">
        <f t="shared" si="32"/>
        <v>0</v>
      </c>
      <c r="AB40" s="479">
        <f>+'골재사업소(당월)'!AB40+'[13]골재사업소(누계)'!AB40</f>
        <v>0</v>
      </c>
      <c r="AC40" s="6">
        <f>+'골재사업소(당월)'!AC40+'[13]골재사업소(누계)'!AC40</f>
        <v>0</v>
      </c>
      <c r="AD40" s="6">
        <f t="shared" si="40"/>
        <v>0</v>
      </c>
      <c r="AE40" s="6">
        <f>+'골재사업소(당월)'!AE40+'[13]골재사업소(누계)'!AE40</f>
        <v>0</v>
      </c>
      <c r="AF40" s="6">
        <f>+'골재사업소(당월)'!AF40+'[13]골재사업소(누계)'!AF40</f>
        <v>0</v>
      </c>
      <c r="AG40" s="6">
        <f t="shared" si="41"/>
        <v>0</v>
      </c>
      <c r="AH40" s="6">
        <f t="shared" si="42"/>
        <v>0</v>
      </c>
      <c r="AI40" s="6">
        <f t="shared" si="33"/>
        <v>0</v>
      </c>
      <c r="AJ40" s="6">
        <f t="shared" si="34"/>
        <v>0</v>
      </c>
      <c r="AK40" s="697">
        <f>+'골재사업소(당월)'!AK40+'[13]골재사업소(누계)'!AK40</f>
        <v>0</v>
      </c>
      <c r="AL40" s="6" t="e">
        <f>+'골재사업소(당월)'!AL40+'[13]골재사업소(누계)'!AL40</f>
        <v>#VALUE!</v>
      </c>
      <c r="AN40" s="697">
        <f>+'골재사업소(당월)'!AN40+'[13]골재사업소(누계)'!AN40</f>
        <v>113262.20670432912</v>
      </c>
      <c r="AO40" s="6">
        <f>+'골재사업소(당월)'!AO40+'[13]골재사업소(누계)'!AO40</f>
        <v>0</v>
      </c>
      <c r="AQ40" s="6">
        <f t="shared" si="43"/>
        <v>113262.20670432912</v>
      </c>
      <c r="AR40" s="6" t="e">
        <f t="shared" si="35"/>
        <v>#VALUE!</v>
      </c>
      <c r="AT40" s="6">
        <f t="shared" si="36"/>
        <v>153678.12068282373</v>
      </c>
      <c r="AU40" s="6" t="e">
        <f t="shared" si="36"/>
        <v>#VALUE!</v>
      </c>
      <c r="AV40" s="6" t="e">
        <f t="shared" si="37"/>
        <v>#VALUE!</v>
      </c>
    </row>
    <row r="41" spans="5:50" ht="21.95" customHeight="1">
      <c r="F41" s="696" t="s">
        <v>8</v>
      </c>
      <c r="G41" s="6">
        <f>SUM(G35:G40)</f>
        <v>1088443.7933333332</v>
      </c>
      <c r="H41" s="6">
        <f>SUM(H35:H40)</f>
        <v>338098</v>
      </c>
      <c r="I41" s="6">
        <f t="shared" si="29"/>
        <v>-750345.79333333322</v>
      </c>
      <c r="J41" s="6">
        <f>SUM(J35:J40)</f>
        <v>987494.471111828</v>
      </c>
      <c r="K41" s="479">
        <f>SUM(K35:K40)</f>
        <v>194040</v>
      </c>
      <c r="L41" s="6">
        <f t="shared" si="38"/>
        <v>-793454.471111828</v>
      </c>
      <c r="N41" s="479"/>
      <c r="O41" s="6">
        <f t="shared" si="39"/>
        <v>0</v>
      </c>
      <c r="V41" s="6">
        <f t="shared" si="30"/>
        <v>2075938.2644451612</v>
      </c>
      <c r="W41" s="6">
        <f t="shared" si="30"/>
        <v>532138</v>
      </c>
      <c r="X41" s="6">
        <f t="shared" si="31"/>
        <v>-1543800.2644451612</v>
      </c>
      <c r="Y41" s="6">
        <f>SUM(Y35:Y40)</f>
        <v>236800.5406666667</v>
      </c>
      <c r="Z41" s="6">
        <f>SUM(Z35:Z40)</f>
        <v>482170</v>
      </c>
      <c r="AA41" s="6">
        <f t="shared" si="32"/>
        <v>245369.4593333333</v>
      </c>
      <c r="AB41" s="479">
        <f>SUM(AB35:AB40)</f>
        <v>331246.51544999995</v>
      </c>
      <c r="AC41" s="479">
        <f>SUM(AC35:AC40)</f>
        <v>543158</v>
      </c>
      <c r="AD41" s="6">
        <f t="shared" si="40"/>
        <v>211911.48455000005</v>
      </c>
      <c r="AF41" s="479"/>
      <c r="AG41" s="6">
        <f t="shared" si="41"/>
        <v>0</v>
      </c>
      <c r="AH41" s="6">
        <f t="shared" si="42"/>
        <v>568047.05611666664</v>
      </c>
      <c r="AI41" s="6">
        <f t="shared" si="33"/>
        <v>1025328</v>
      </c>
      <c r="AJ41" s="6">
        <f t="shared" si="34"/>
        <v>457280.94388333336</v>
      </c>
      <c r="AK41" s="6">
        <f>SUM(AK35:AK40)</f>
        <v>354911.64263341844</v>
      </c>
      <c r="AL41" s="6" t="e">
        <f>SUM(AL35:AL40)</f>
        <v>#VALUE!</v>
      </c>
      <c r="AN41" s="6">
        <f>SUM(AN35:AN40)</f>
        <v>1188544.1290580272</v>
      </c>
      <c r="AO41" s="6">
        <f>SUM(AO35:AO40)</f>
        <v>925335</v>
      </c>
      <c r="AQ41" s="6">
        <f t="shared" si="43"/>
        <v>1543455.7716914457</v>
      </c>
      <c r="AR41" s="6" t="e">
        <f t="shared" si="35"/>
        <v>#VALUE!</v>
      </c>
      <c r="AT41" s="6">
        <f>SUM(AT35:AT40)</f>
        <v>4187441.0922532738</v>
      </c>
      <c r="AU41" s="6" t="e">
        <f>SUM(AU35:AU40)</f>
        <v>#VALUE!</v>
      </c>
      <c r="AV41" s="6" t="e">
        <f t="shared" si="37"/>
        <v>#VALUE!</v>
      </c>
    </row>
    <row r="42" spans="5:50" ht="21.95" customHeight="1">
      <c r="G42" s="6" t="b">
        <f>+G41=G13</f>
        <v>1</v>
      </c>
      <c r="H42" s="6" t="b">
        <f>+H41=H13</f>
        <v>0</v>
      </c>
      <c r="J42" s="6" t="b">
        <f>+J41=J13</f>
        <v>1</v>
      </c>
      <c r="K42" s="6" t="b">
        <f>+K41=K13</f>
        <v>0</v>
      </c>
      <c r="V42" s="6" t="b">
        <f>+V41=V13</f>
        <v>1</v>
      </c>
      <c r="W42" s="6" t="b">
        <f>+W41=W13</f>
        <v>0</v>
      </c>
      <c r="Y42" s="6" t="b">
        <f>+Y41=Y13</f>
        <v>1</v>
      </c>
      <c r="Z42" s="6" t="b">
        <f>+Z41=Z13</f>
        <v>1</v>
      </c>
      <c r="AB42" s="6" t="b">
        <f>+AB41=AB13</f>
        <v>1</v>
      </c>
      <c r="AC42" s="6" t="b">
        <f>+AC41=AC13</f>
        <v>1</v>
      </c>
      <c r="AH42" s="6" t="b">
        <f>+AH41=AH13</f>
        <v>1</v>
      </c>
      <c r="AI42" s="6" t="b">
        <f>+AI41=AI13</f>
        <v>1</v>
      </c>
      <c r="AK42" s="6" t="b">
        <f>+AK41=AK13</f>
        <v>1</v>
      </c>
      <c r="AL42" s="6" t="e">
        <f>+AL41=AL13</f>
        <v>#VALUE!</v>
      </c>
      <c r="AN42" s="6" t="b">
        <f>+AN41=AN13</f>
        <v>1</v>
      </c>
      <c r="AO42" s="6" t="b">
        <f>+AO41=AO13</f>
        <v>0</v>
      </c>
      <c r="AQ42" s="6" t="b">
        <f>+AQ41=AQ13</f>
        <v>1</v>
      </c>
      <c r="AR42" s="6" t="e">
        <f>+AR41=AR13</f>
        <v>#VALUE!</v>
      </c>
      <c r="AT42" s="6" t="b">
        <f>+AT41=AT13</f>
        <v>1</v>
      </c>
      <c r="AU42" s="6" t="e">
        <f>+AU41=AU13</f>
        <v>#VALUE!</v>
      </c>
    </row>
    <row r="43" spans="5:50" ht="21.95" customHeight="1"/>
    <row r="44" spans="5:50" ht="21.95" customHeight="1"/>
    <row r="45" spans="5:50" ht="21.95" customHeight="1"/>
    <row r="46" spans="5:50" ht="21.95" customHeight="1"/>
    <row r="47" spans="5:50" ht="21.95" customHeight="1"/>
    <row r="48" spans="5:50" ht="21.95" customHeight="1"/>
    <row r="49" ht="21.95" customHeight="1"/>
    <row r="50" ht="21.95" customHeight="1"/>
    <row r="51" ht="21.95" customHeight="1"/>
    <row r="52" ht="21.95" customHeight="1"/>
    <row r="53" ht="21.95" customHeight="1"/>
  </sheetData>
  <mergeCells count="1">
    <mergeCell ref="E6:F7"/>
  </mergeCells>
  <phoneticPr fontId="1" type="noConversion"/>
  <printOptions horizontalCentered="1"/>
  <pageMargins left="0.19685039370078741" right="0.19685039370078741" top="0.39370078740157483" bottom="0.39370078740157483" header="0.31496062992125984" footer="0.31496062992125984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 지정된 범위</vt:lpstr>
      </vt:variant>
      <vt:variant>
        <vt:i4>10</vt:i4>
      </vt:variant>
    </vt:vector>
  </HeadingPairs>
  <TitlesOfParts>
    <vt:vector size="21" baseType="lpstr">
      <vt:lpstr>표지</vt:lpstr>
      <vt:lpstr>손익총괄</vt:lpstr>
      <vt:lpstr>사업장별(당월)</vt:lpstr>
      <vt:lpstr>사업장별(누계)</vt:lpstr>
      <vt:lpstr>영업이익</vt:lpstr>
      <vt:lpstr>공헌이익</vt:lpstr>
      <vt:lpstr>재료비단가</vt:lpstr>
      <vt:lpstr>원단위</vt:lpstr>
      <vt:lpstr>건자재</vt:lpstr>
      <vt:lpstr>골재사업소(당월)</vt:lpstr>
      <vt:lpstr>골재사업소(누계)</vt:lpstr>
      <vt:lpstr>건자재!Print_Area</vt:lpstr>
      <vt:lpstr>'골재사업소(누계)'!Print_Area</vt:lpstr>
      <vt:lpstr>'골재사업소(당월)'!Print_Area</vt:lpstr>
      <vt:lpstr>공헌이익!Print_Area</vt:lpstr>
      <vt:lpstr>'사업장별(누계)'!Print_Area</vt:lpstr>
      <vt:lpstr>'사업장별(당월)'!Print_Area</vt:lpstr>
      <vt:lpstr>손익총괄!Print_Area</vt:lpstr>
      <vt:lpstr>영업이익!Print_Area</vt:lpstr>
      <vt:lpstr>원단위!Print_Area</vt:lpstr>
      <vt:lpstr>재료비단가!Print_Area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</dc:creator>
  <cp:lastModifiedBy>tyinc</cp:lastModifiedBy>
  <cp:lastPrinted>2025-05-19T22:03:09Z</cp:lastPrinted>
  <dcterms:created xsi:type="dcterms:W3CDTF">2018-12-20T00:38:36Z</dcterms:created>
  <dcterms:modified xsi:type="dcterms:W3CDTF">2025-07-10T01:12:25Z</dcterms:modified>
</cp:coreProperties>
</file>