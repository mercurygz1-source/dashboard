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3\00_보고서\"/>
    </mc:Choice>
  </mc:AlternateContent>
  <xr:revisionPtr revIDLastSave="0" documentId="13_ncr:1_{139B74A5-E306-4B54-AAA2-00FF576D517F}" xr6:coauthVersionLast="36" xr6:coauthVersionMax="36" xr10:uidLastSave="{00000000-0000-0000-0000-000000000000}"/>
  <bookViews>
    <workbookView xWindow="480" yWindow="75" windowWidth="27975" windowHeight="12495" activeTab="9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영업이익" sheetId="25" r:id="rId5"/>
    <sheet name="공헌이익" sheetId="26" r:id="rId6"/>
    <sheet name="재료비단가" sheetId="27" r:id="rId7"/>
    <sheet name="원단위" sheetId="28" r:id="rId8"/>
    <sheet name="건자재" sheetId="29" r:id="rId9"/>
    <sheet name="골재사업소(당월)" sheetId="30" r:id="rId10"/>
    <sheet name="골재사업소(누계)" sheetId="3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'골재사업소(누계)'!$D$4:$AV$33</definedName>
    <definedName name="_xlnm.Print_Area" localSheetId="9">'골재사업소(당월)'!$D$4:$AV$33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N19" i="32" l="1"/>
  <c r="AN18" i="32"/>
  <c r="AK19" i="32"/>
  <c r="AK18" i="32"/>
  <c r="AN19" i="30"/>
  <c r="AN18" i="30"/>
  <c r="AK19" i="30"/>
  <c r="AK18" i="30"/>
  <c r="AN40" i="30" l="1"/>
  <c r="AN40" i="32" l="1"/>
  <c r="AF40" i="32"/>
  <c r="AE40" i="32"/>
  <c r="AF39" i="32"/>
  <c r="AE39" i="32"/>
  <c r="AF38" i="32"/>
  <c r="AE38" i="32"/>
  <c r="AF37" i="32"/>
  <c r="AE37" i="32"/>
  <c r="AF36" i="32"/>
  <c r="AE36" i="32"/>
  <c r="AF35" i="32"/>
  <c r="AE35" i="32"/>
  <c r="AE26" i="32"/>
  <c r="AE25" i="32"/>
  <c r="AE24" i="32"/>
  <c r="AE23" i="32"/>
  <c r="AE22" i="32"/>
  <c r="AE21" i="32"/>
  <c r="AE13" i="32"/>
  <c r="AE8" i="32"/>
  <c r="M26" i="32"/>
  <c r="M25" i="32"/>
  <c r="M24" i="32"/>
  <c r="M23" i="32"/>
  <c r="M22" i="32"/>
  <c r="M21" i="32"/>
  <c r="G27" i="32"/>
  <c r="AG41" i="32" l="1"/>
  <c r="O41" i="32"/>
  <c r="AG40" i="32"/>
  <c r="O40" i="32"/>
  <c r="AG39" i="32"/>
  <c r="O39" i="32"/>
  <c r="AG38" i="32"/>
  <c r="O38" i="32"/>
  <c r="AG37" i="32"/>
  <c r="O37" i="32"/>
  <c r="AG36" i="32"/>
  <c r="O36" i="32"/>
  <c r="AG35" i="32"/>
  <c r="O35" i="32"/>
  <c r="AO32" i="32"/>
  <c r="AN32" i="32"/>
  <c r="AL32" i="32"/>
  <c r="AK32" i="32"/>
  <c r="AH32" i="32"/>
  <c r="AB32" i="32"/>
  <c r="Y32" i="32"/>
  <c r="J32" i="32"/>
  <c r="G32" i="32"/>
  <c r="AO31" i="32"/>
  <c r="AN31" i="32"/>
  <c r="AL31" i="32"/>
  <c r="AK31" i="32"/>
  <c r="AH31" i="32"/>
  <c r="AB31" i="32"/>
  <c r="Y31" i="32"/>
  <c r="J31" i="32"/>
  <c r="G31" i="32"/>
  <c r="AO30" i="32"/>
  <c r="AN30" i="32"/>
  <c r="AL30" i="32"/>
  <c r="AK30" i="32"/>
  <c r="AH30" i="32"/>
  <c r="AB30" i="32"/>
  <c r="Y30" i="32"/>
  <c r="J30" i="32"/>
  <c r="G30" i="32"/>
  <c r="AO29" i="32"/>
  <c r="AN29" i="32"/>
  <c r="AL29" i="32"/>
  <c r="AK29" i="32"/>
  <c r="AM29" i="32" s="1"/>
  <c r="AH29" i="32"/>
  <c r="AB29" i="32"/>
  <c r="Y29" i="32"/>
  <c r="J29" i="32"/>
  <c r="G29" i="32"/>
  <c r="AO28" i="32"/>
  <c r="AN28" i="32"/>
  <c r="AL28" i="32"/>
  <c r="AK28" i="32"/>
  <c r="AH28" i="32"/>
  <c r="AB28" i="32"/>
  <c r="Y28" i="32"/>
  <c r="J28" i="32"/>
  <c r="G28" i="32"/>
  <c r="AO27" i="32"/>
  <c r="AN27" i="32"/>
  <c r="AL27" i="32"/>
  <c r="AK27" i="32"/>
  <c r="AM27" i="32" s="1"/>
  <c r="AH27" i="32"/>
  <c r="AB27" i="32"/>
  <c r="Y27" i="32"/>
  <c r="J27" i="32"/>
  <c r="Q26" i="32"/>
  <c r="Q32" i="32" s="1"/>
  <c r="R32" i="32" s="1"/>
  <c r="Q25" i="32"/>
  <c r="Q31" i="32" s="1"/>
  <c r="R31" i="32" s="1"/>
  <c r="Q24" i="32"/>
  <c r="R24" i="32" s="1"/>
  <c r="Q23" i="32"/>
  <c r="R23" i="32" s="1"/>
  <c r="Q22" i="32"/>
  <c r="Q21" i="32"/>
  <c r="Q19" i="32"/>
  <c r="R19" i="32" s="1"/>
  <c r="Q18" i="32"/>
  <c r="Q15" i="32"/>
  <c r="R15" i="32" s="1"/>
  <c r="AE14" i="32"/>
  <c r="Q13" i="32"/>
  <c r="R13" i="32" s="1"/>
  <c r="Q10" i="32"/>
  <c r="R10" i="32" s="1"/>
  <c r="Q8" i="32"/>
  <c r="R8" i="32" s="1"/>
  <c r="AM32" i="32" l="1"/>
  <c r="R26" i="32"/>
  <c r="Q14" i="32"/>
  <c r="R14" i="32" s="1"/>
  <c r="R25" i="32"/>
  <c r="Q30" i="32"/>
  <c r="R30" i="32" s="1"/>
  <c r="Q16" i="32"/>
  <c r="R16" i="32" s="1"/>
  <c r="Q17" i="32"/>
  <c r="R17" i="32" s="1"/>
  <c r="AP28" i="32"/>
  <c r="AP27" i="32"/>
  <c r="AM28" i="32"/>
  <c r="AP30" i="32"/>
  <c r="AP31" i="32"/>
  <c r="AM30" i="32"/>
  <c r="Q27" i="32"/>
  <c r="R27" i="32" s="1"/>
  <c r="R21" i="32"/>
  <c r="AP29" i="32"/>
  <c r="Q29" i="32"/>
  <c r="R29" i="32" s="1"/>
  <c r="AM31" i="32"/>
  <c r="AP32" i="32"/>
  <c r="Q20" i="32"/>
  <c r="R20" i="32" s="1"/>
  <c r="R18" i="32"/>
  <c r="Q28" i="32"/>
  <c r="R28" i="32" s="1"/>
  <c r="R22" i="32"/>
  <c r="Q12" i="32"/>
  <c r="R12" i="32" l="1"/>
  <c r="Q9" i="32"/>
  <c r="R9" i="32" s="1"/>
  <c r="Q11" i="32"/>
  <c r="R11" i="32" s="1"/>
  <c r="V27" i="32" l="1"/>
  <c r="V32" i="32"/>
  <c r="V29" i="32"/>
  <c r="V28" i="32"/>
  <c r="V31" i="32" l="1"/>
  <c r="V30" i="32"/>
  <c r="H36" i="30" l="1"/>
  <c r="H36" i="32" s="1"/>
  <c r="H38" i="30"/>
  <c r="H38" i="32" s="1"/>
  <c r="H39" i="30"/>
  <c r="H39" i="32" s="1"/>
  <c r="H35" i="30"/>
  <c r="H35" i="32" s="1"/>
  <c r="H37" i="30"/>
  <c r="H37" i="32" s="1"/>
  <c r="H40" i="30"/>
  <c r="H40" i="32" s="1"/>
  <c r="H41" i="32" l="1"/>
  <c r="K36" i="30"/>
  <c r="K36" i="32" s="1"/>
  <c r="K38" i="30"/>
  <c r="K38" i="32" s="1"/>
  <c r="K39" i="30"/>
  <c r="K39" i="32" s="1"/>
  <c r="K35" i="30"/>
  <c r="K35" i="32" s="1"/>
  <c r="K37" i="30"/>
  <c r="K37" i="32" s="1"/>
  <c r="K40" i="30"/>
  <c r="K40" i="32" s="1"/>
  <c r="W39" i="32" l="1"/>
  <c r="W36" i="32"/>
  <c r="W35" i="32"/>
  <c r="W38" i="32"/>
  <c r="W37" i="32"/>
  <c r="K41" i="32"/>
  <c r="W40" i="32"/>
  <c r="Q19" i="30"/>
  <c r="R19" i="30" s="1"/>
  <c r="Q18" i="30"/>
  <c r="R18" i="30" s="1"/>
  <c r="Q15" i="30"/>
  <c r="R15" i="30" s="1"/>
  <c r="Q13" i="30"/>
  <c r="W41" i="32" l="1"/>
  <c r="Q17" i="30"/>
  <c r="R17" i="30" s="1"/>
  <c r="R13" i="30"/>
  <c r="Q20" i="30"/>
  <c r="R20" i="30" s="1"/>
  <c r="Q10" i="30" l="1"/>
  <c r="Q21" i="30"/>
  <c r="Q22" i="30"/>
  <c r="Q24" i="30"/>
  <c r="Q25" i="30"/>
  <c r="Q26" i="30"/>
  <c r="Q23" i="30"/>
  <c r="Q30" i="30" l="1"/>
  <c r="R30" i="30" s="1"/>
  <c r="R24" i="30"/>
  <c r="R22" i="30"/>
  <c r="Q28" i="30"/>
  <c r="R28" i="30" s="1"/>
  <c r="Q32" i="30"/>
  <c r="R32" i="30" s="1"/>
  <c r="R26" i="30"/>
  <c r="R23" i="30"/>
  <c r="Q29" i="30"/>
  <c r="R29" i="30" s="1"/>
  <c r="Q31" i="30"/>
  <c r="R31" i="30" s="1"/>
  <c r="R25" i="30"/>
  <c r="R21" i="30"/>
  <c r="Q27" i="30"/>
  <c r="R27" i="30" s="1"/>
  <c r="Q16" i="30"/>
  <c r="R16" i="30" s="1"/>
  <c r="R10" i="30"/>
  <c r="Q8" i="30" l="1"/>
  <c r="R8" i="30" l="1"/>
  <c r="Q14" i="30"/>
  <c r="R14" i="30" s="1"/>
  <c r="Q12" i="30"/>
  <c r="Q9" i="30"/>
  <c r="R9" i="30" s="1"/>
  <c r="R12" i="30" l="1"/>
  <c r="Q11" i="30"/>
  <c r="R11" i="30" s="1"/>
  <c r="AR39" i="29" l="1"/>
  <c r="AR38" i="29"/>
  <c r="AR37" i="29"/>
  <c r="L15" i="29" l="1"/>
  <c r="L12" i="29"/>
  <c r="L10" i="29"/>
  <c r="AO40" i="30" l="1"/>
  <c r="AO40" i="32" s="1"/>
  <c r="AL40" i="30"/>
  <c r="AL40" i="32" s="1"/>
  <c r="AC40" i="30"/>
  <c r="AC40" i="32" s="1"/>
  <c r="Z40" i="30"/>
  <c r="Z40" i="32" s="1"/>
  <c r="AO39" i="30"/>
  <c r="AO39" i="32" s="1"/>
  <c r="AL39" i="30"/>
  <c r="AL39" i="32" s="1"/>
  <c r="AR39" i="32" s="1"/>
  <c r="AC39" i="30"/>
  <c r="AC39" i="32" s="1"/>
  <c r="Z39" i="30"/>
  <c r="Z39" i="32" s="1"/>
  <c r="AO38" i="30"/>
  <c r="AO38" i="32" s="1"/>
  <c r="AL38" i="30"/>
  <c r="AL38" i="32" s="1"/>
  <c r="AC38" i="30"/>
  <c r="AC38" i="32" s="1"/>
  <c r="Z38" i="30"/>
  <c r="Z38" i="32" s="1"/>
  <c r="AO37" i="30"/>
  <c r="AO37" i="32" s="1"/>
  <c r="AL37" i="30"/>
  <c r="AL37" i="32" s="1"/>
  <c r="AC37" i="30"/>
  <c r="AC37" i="32" s="1"/>
  <c r="Z37" i="30"/>
  <c r="Z37" i="32" s="1"/>
  <c r="AO36" i="30"/>
  <c r="AO36" i="32" s="1"/>
  <c r="AL36" i="30"/>
  <c r="AL36" i="32" s="1"/>
  <c r="AC36" i="30"/>
  <c r="AC36" i="32" s="1"/>
  <c r="Z36" i="30"/>
  <c r="Z36" i="32" s="1"/>
  <c r="AO35" i="30"/>
  <c r="AO35" i="32" s="1"/>
  <c r="AL35" i="30"/>
  <c r="AL35" i="32" s="1"/>
  <c r="AC35" i="30"/>
  <c r="AC35" i="32" s="1"/>
  <c r="Z35" i="30"/>
  <c r="Z35" i="32" s="1"/>
  <c r="AO32" i="30"/>
  <c r="AL32" i="30"/>
  <c r="AO31" i="30"/>
  <c r="AL31" i="30"/>
  <c r="AO30" i="30"/>
  <c r="AL30" i="30"/>
  <c r="AO29" i="30"/>
  <c r="AL29" i="30"/>
  <c r="AO28" i="30"/>
  <c r="AL28" i="30"/>
  <c r="AO27" i="30"/>
  <c r="AL27" i="30"/>
  <c r="AO26" i="30"/>
  <c r="AO26" i="32" s="1"/>
  <c r="AL26" i="30"/>
  <c r="AL26" i="32" s="1"/>
  <c r="AF26" i="30"/>
  <c r="AF26" i="32" s="1"/>
  <c r="AC26" i="30"/>
  <c r="AC26" i="32" s="1"/>
  <c r="Z26" i="30"/>
  <c r="Z26" i="32" s="1"/>
  <c r="AO25" i="30"/>
  <c r="AO25" i="32" s="1"/>
  <c r="AL25" i="30"/>
  <c r="AL25" i="32" s="1"/>
  <c r="AF25" i="30"/>
  <c r="AF25" i="32" s="1"/>
  <c r="AC25" i="30"/>
  <c r="AC25" i="32" s="1"/>
  <c r="Z25" i="30"/>
  <c r="Z25" i="32" s="1"/>
  <c r="AO24" i="30"/>
  <c r="AO24" i="32" s="1"/>
  <c r="AL24" i="30"/>
  <c r="AL24" i="32" s="1"/>
  <c r="AF24" i="30"/>
  <c r="AF24" i="32" s="1"/>
  <c r="AC24" i="30"/>
  <c r="AC24" i="32" s="1"/>
  <c r="Z24" i="30"/>
  <c r="Z24" i="32" s="1"/>
  <c r="AO23" i="30"/>
  <c r="AO23" i="32" s="1"/>
  <c r="AL23" i="30"/>
  <c r="AL23" i="32" s="1"/>
  <c r="AF23" i="30"/>
  <c r="AF23" i="32" s="1"/>
  <c r="AC23" i="30"/>
  <c r="AC23" i="32" s="1"/>
  <c r="Z23" i="30"/>
  <c r="Z23" i="32" s="1"/>
  <c r="AO22" i="30"/>
  <c r="AO22" i="32" s="1"/>
  <c r="AL22" i="30"/>
  <c r="AL22" i="32" s="1"/>
  <c r="AF22" i="30"/>
  <c r="AF22" i="32" s="1"/>
  <c r="AC22" i="30"/>
  <c r="AC22" i="32" s="1"/>
  <c r="Z22" i="30"/>
  <c r="Z22" i="32" s="1"/>
  <c r="AO21" i="30"/>
  <c r="AO21" i="32" s="1"/>
  <c r="AL21" i="30"/>
  <c r="AL21" i="32" s="1"/>
  <c r="AF21" i="30"/>
  <c r="AF21" i="32" s="1"/>
  <c r="AC21" i="30"/>
  <c r="AC21" i="32" s="1"/>
  <c r="Z21" i="30"/>
  <c r="Z21" i="32" s="1"/>
  <c r="AO19" i="30"/>
  <c r="AO19" i="32" s="1"/>
  <c r="AL19" i="30"/>
  <c r="AL19" i="32" s="1"/>
  <c r="AF19" i="30"/>
  <c r="AF19" i="32" s="1"/>
  <c r="AC19" i="30"/>
  <c r="AC19" i="32" s="1"/>
  <c r="Z19" i="30"/>
  <c r="Z19" i="32" s="1"/>
  <c r="AO18" i="30"/>
  <c r="AO18" i="32" s="1"/>
  <c r="AL18" i="30"/>
  <c r="AL18" i="32" s="1"/>
  <c r="AF18" i="30"/>
  <c r="AF18" i="32" s="1"/>
  <c r="AC18" i="30"/>
  <c r="AC18" i="32" s="1"/>
  <c r="Z18" i="30"/>
  <c r="Z18" i="32" s="1"/>
  <c r="AO15" i="30"/>
  <c r="AO15" i="32" s="1"/>
  <c r="AL15" i="30"/>
  <c r="AL15" i="32" s="1"/>
  <c r="AF15" i="30"/>
  <c r="AF15" i="32" s="1"/>
  <c r="AC15" i="30"/>
  <c r="AC15" i="32" s="1"/>
  <c r="Z15" i="30"/>
  <c r="Z15" i="32" s="1"/>
  <c r="AO13" i="30"/>
  <c r="AO13" i="32" s="1"/>
  <c r="AL13" i="30"/>
  <c r="AL13" i="32" s="1"/>
  <c r="AF13" i="30"/>
  <c r="AF13" i="32" s="1"/>
  <c r="AC13" i="30"/>
  <c r="AC13" i="32" s="1"/>
  <c r="Z13" i="30"/>
  <c r="Z13" i="32" s="1"/>
  <c r="AO10" i="30"/>
  <c r="AO10" i="32" s="1"/>
  <c r="AL10" i="30"/>
  <c r="AL10" i="32" s="1"/>
  <c r="AF10" i="30"/>
  <c r="AF10" i="32" s="1"/>
  <c r="AC10" i="30"/>
  <c r="AC10" i="32" s="1"/>
  <c r="Z10" i="30"/>
  <c r="Z10" i="32" s="1"/>
  <c r="AO8" i="30"/>
  <c r="AO8" i="32" s="1"/>
  <c r="AL8" i="30"/>
  <c r="AL8" i="32" s="1"/>
  <c r="AF8" i="30"/>
  <c r="AF8" i="32" s="1"/>
  <c r="AC8" i="30"/>
  <c r="AC8" i="32" s="1"/>
  <c r="Z8" i="30"/>
  <c r="Z8" i="32" s="1"/>
  <c r="AC28" i="32" l="1"/>
  <c r="AD28" i="32" s="1"/>
  <c r="AO20" i="32"/>
  <c r="AI25" i="32"/>
  <c r="AR37" i="32"/>
  <c r="AC29" i="32"/>
  <c r="AD29" i="32" s="1"/>
  <c r="AI23" i="32"/>
  <c r="AI24" i="32"/>
  <c r="AR36" i="32"/>
  <c r="AI37" i="32"/>
  <c r="Z29" i="32"/>
  <c r="AG24" i="32"/>
  <c r="AF30" i="32"/>
  <c r="AG30" i="32" s="1"/>
  <c r="Z14" i="32"/>
  <c r="Z17" i="32"/>
  <c r="AI13" i="32"/>
  <c r="AI22" i="32"/>
  <c r="AF32" i="32"/>
  <c r="AG32" i="32" s="1"/>
  <c r="AG26" i="32"/>
  <c r="AC14" i="32"/>
  <c r="AC17" i="32"/>
  <c r="Z30" i="32"/>
  <c r="AI38" i="32"/>
  <c r="AG13" i="32"/>
  <c r="AF14" i="32"/>
  <c r="AG14" i="32" s="1"/>
  <c r="AF17" i="32"/>
  <c r="AG22" i="32"/>
  <c r="AF28" i="32"/>
  <c r="AG28" i="32" s="1"/>
  <c r="AC30" i="32"/>
  <c r="AD30" i="32" s="1"/>
  <c r="AF27" i="32"/>
  <c r="AG27" i="32" s="1"/>
  <c r="AG21" i="32"/>
  <c r="AR38" i="32"/>
  <c r="AO17" i="32"/>
  <c r="AO14" i="32"/>
  <c r="AI39" i="32"/>
  <c r="AU39" i="32" s="1"/>
  <c r="Z31" i="32"/>
  <c r="AG8" i="32"/>
  <c r="AF12" i="32"/>
  <c r="AF11" i="32" s="1"/>
  <c r="AF9" i="32"/>
  <c r="AG25" i="32"/>
  <c r="AF31" i="32"/>
  <c r="AG31" i="32" s="1"/>
  <c r="AC31" i="32"/>
  <c r="AD31" i="32" s="1"/>
  <c r="AO12" i="32"/>
  <c r="AO9" i="32" s="1"/>
  <c r="AI15" i="32"/>
  <c r="Z16" i="32"/>
  <c r="AC12" i="32"/>
  <c r="AC9" i="32" s="1"/>
  <c r="AC16" i="32"/>
  <c r="Z41" i="32"/>
  <c r="Z27" i="32"/>
  <c r="AI35" i="32"/>
  <c r="AI40" i="32"/>
  <c r="Z32" i="32"/>
  <c r="AG23" i="32"/>
  <c r="AF29" i="32"/>
  <c r="AG29" i="32" s="1"/>
  <c r="AC27" i="32"/>
  <c r="AD27" i="32" s="1"/>
  <c r="AC41" i="32"/>
  <c r="AC42" i="32" s="1"/>
  <c r="AC32" i="32"/>
  <c r="AD32" i="32" s="1"/>
  <c r="Z28" i="32"/>
  <c r="AI36" i="32"/>
  <c r="AU36" i="32" s="1"/>
  <c r="Z12" i="32"/>
  <c r="Z11" i="32" s="1"/>
  <c r="AI8" i="32"/>
  <c r="AF16" i="32"/>
  <c r="AR40" i="32"/>
  <c r="AI10" i="32"/>
  <c r="AO16" i="32"/>
  <c r="AI21" i="32"/>
  <c r="AI26" i="32"/>
  <c r="AO41" i="32"/>
  <c r="AO42" i="32" s="1"/>
  <c r="Z20" i="32"/>
  <c r="AI18" i="32"/>
  <c r="AC20" i="32"/>
  <c r="AI19" i="32"/>
  <c r="AF20" i="32"/>
  <c r="AR26" i="32"/>
  <c r="AR10" i="32"/>
  <c r="AR18" i="32"/>
  <c r="AL20" i="32"/>
  <c r="AR22" i="32"/>
  <c r="AU37" i="32"/>
  <c r="AL14" i="32"/>
  <c r="AR13" i="32"/>
  <c r="AL17" i="32"/>
  <c r="AR24" i="32"/>
  <c r="AR25" i="32"/>
  <c r="AR31" i="32" s="1"/>
  <c r="AR21" i="32"/>
  <c r="AR19" i="32"/>
  <c r="AR8" i="32"/>
  <c r="AL12" i="32"/>
  <c r="AL9" i="32" s="1"/>
  <c r="AL16" i="32"/>
  <c r="AR15" i="32"/>
  <c r="AR23" i="32"/>
  <c r="AR29" i="32" s="1"/>
  <c r="AL41" i="32"/>
  <c r="AR35" i="32"/>
  <c r="AU38" i="32" l="1"/>
  <c r="AR30" i="32"/>
  <c r="AI12" i="32"/>
  <c r="AI9" i="32" s="1"/>
  <c r="AR32" i="32"/>
  <c r="AO11" i="32"/>
  <c r="AU40" i="32"/>
  <c r="Z9" i="32"/>
  <c r="AC11" i="32"/>
  <c r="AI31" i="32"/>
  <c r="AJ31" i="32" s="1"/>
  <c r="AA31" i="32"/>
  <c r="AI14" i="32"/>
  <c r="AI17" i="32"/>
  <c r="AI27" i="32"/>
  <c r="AJ27" i="32" s="1"/>
  <c r="AA27" i="32"/>
  <c r="AI41" i="32"/>
  <c r="AI42" i="32" s="1"/>
  <c r="Z42" i="32"/>
  <c r="AA29" i="32"/>
  <c r="AI29" i="32"/>
  <c r="AJ29" i="32" s="1"/>
  <c r="AI28" i="32"/>
  <c r="AJ28" i="32" s="1"/>
  <c r="AA28" i="32"/>
  <c r="AA30" i="32"/>
  <c r="AI30" i="32"/>
  <c r="AJ30" i="32" s="1"/>
  <c r="AI32" i="32"/>
  <c r="AJ32" i="32" s="1"/>
  <c r="AA32" i="32"/>
  <c r="AI16" i="32"/>
  <c r="AI11" i="32"/>
  <c r="AI20" i="32"/>
  <c r="AR16" i="32"/>
  <c r="AR41" i="32"/>
  <c r="AR42" i="32" s="1"/>
  <c r="AL42" i="32"/>
  <c r="AR17" i="32"/>
  <c r="AR14" i="32"/>
  <c r="AR12" i="32"/>
  <c r="AR11" i="32" s="1"/>
  <c r="AR20" i="32"/>
  <c r="AR28" i="32"/>
  <c r="AL11" i="32"/>
  <c r="AR27" i="32"/>
  <c r="AU35" i="32"/>
  <c r="AU41" i="32" l="1"/>
  <c r="AR9" i="32"/>
  <c r="G36" i="29" l="1"/>
  <c r="G25" i="29"/>
  <c r="L25" i="29" s="1"/>
  <c r="G24" i="29"/>
  <c r="L24" i="29" s="1"/>
  <c r="G16" i="29"/>
  <c r="L16" i="29" s="1"/>
  <c r="G15" i="29"/>
  <c r="G13" i="29"/>
  <c r="L13" i="29" s="1"/>
  <c r="G12" i="29"/>
  <c r="G10" i="29"/>
  <c r="L17" i="29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T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L18" i="29" l="1"/>
  <c r="L19" i="29" s="1"/>
  <c r="L20" i="29"/>
  <c r="L22" i="29"/>
  <c r="L21" i="29"/>
  <c r="L14" i="29"/>
  <c r="L26" i="29"/>
  <c r="L11" i="29"/>
  <c r="T28" i="1"/>
  <c r="T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L27" i="29" l="1"/>
  <c r="L23" i="29"/>
  <c r="M38" i="1"/>
  <c r="J38" i="1"/>
  <c r="M27" i="1"/>
  <c r="J27" i="1"/>
  <c r="M26" i="1"/>
  <c r="J26" i="1"/>
  <c r="M25" i="1"/>
  <c r="J25" i="1"/>
  <c r="M17" i="1"/>
  <c r="J17" i="1"/>
  <c r="M16" i="1"/>
  <c r="J16" i="1"/>
  <c r="M15" i="1"/>
  <c r="J15" i="1"/>
  <c r="M12" i="1"/>
  <c r="J12" i="1"/>
  <c r="M11" i="1"/>
  <c r="M21" i="1" s="1"/>
  <c r="J11" i="1"/>
  <c r="J21" i="1" s="1"/>
  <c r="M10" i="1"/>
  <c r="J10" i="1"/>
  <c r="M9" i="1"/>
  <c r="J9" i="1"/>
  <c r="M8" i="1"/>
  <c r="J8" i="1"/>
  <c r="M7" i="1"/>
  <c r="J7" i="1"/>
  <c r="M13" i="1" l="1"/>
  <c r="J20" i="1"/>
  <c r="J32" i="1"/>
  <c r="J18" i="1"/>
  <c r="M32" i="1"/>
  <c r="M28" i="1"/>
  <c r="M29" i="1" s="1"/>
  <c r="M22" i="1"/>
  <c r="M33" i="1" s="1"/>
  <c r="L28" i="29"/>
  <c r="J22" i="1"/>
  <c r="J33" i="1" s="1"/>
  <c r="J13" i="1"/>
  <c r="M18" i="1"/>
  <c r="M19" i="1" s="1"/>
  <c r="J28" i="1"/>
  <c r="J29" i="1" s="1"/>
  <c r="M14" i="1"/>
  <c r="J30" i="1"/>
  <c r="J23" i="1"/>
  <c r="M23" i="1"/>
  <c r="M34" i="1" s="1"/>
  <c r="M20" i="1"/>
  <c r="J19" i="1"/>
  <c r="AD27" i="31"/>
  <c r="AG27" i="31" s="1"/>
  <c r="AC27" i="31"/>
  <c r="AF27" i="31" s="1"/>
  <c r="AB27" i="31"/>
  <c r="AE27" i="31" s="1"/>
  <c r="AA27" i="31"/>
  <c r="Z27" i="31"/>
  <c r="Y27" i="31"/>
  <c r="AD26" i="31"/>
  <c r="AC26" i="31"/>
  <c r="AB26" i="31"/>
  <c r="AA26" i="31"/>
  <c r="Z26" i="31"/>
  <c r="Y26" i="31"/>
  <c r="AD25" i="31"/>
  <c r="AC25" i="31"/>
  <c r="AB25" i="31"/>
  <c r="AA25" i="31"/>
  <c r="Z25" i="31"/>
  <c r="Y25" i="31"/>
  <c r="AE25" i="31" s="1"/>
  <c r="AD24" i="31"/>
  <c r="AC24" i="31"/>
  <c r="AB24" i="31"/>
  <c r="AA24" i="31"/>
  <c r="AG24" i="31" s="1"/>
  <c r="Z24" i="31"/>
  <c r="Y24" i="31"/>
  <c r="AD23" i="31"/>
  <c r="AC23" i="31"/>
  <c r="AB23" i="31"/>
  <c r="AA23" i="31"/>
  <c r="Z23" i="31"/>
  <c r="Y23" i="31"/>
  <c r="AD22" i="31"/>
  <c r="AC22" i="31"/>
  <c r="AB22" i="31"/>
  <c r="AA22" i="31"/>
  <c r="AG22" i="31" s="1"/>
  <c r="Z22" i="31"/>
  <c r="AF22" i="31" s="1"/>
  <c r="Y22" i="31"/>
  <c r="AE22" i="31" s="1"/>
  <c r="AD21" i="31"/>
  <c r="AC21" i="31"/>
  <c r="AB21" i="31"/>
  <c r="AA21" i="31"/>
  <c r="Z21" i="31"/>
  <c r="AF21" i="31" s="1"/>
  <c r="Y21" i="31"/>
  <c r="AE21" i="31" s="1"/>
  <c r="AD20" i="31"/>
  <c r="AC20" i="31"/>
  <c r="AF20" i="31" s="1"/>
  <c r="AB20" i="31"/>
  <c r="AA20" i="31"/>
  <c r="Z20" i="31"/>
  <c r="Y20" i="31"/>
  <c r="AD19" i="31"/>
  <c r="AC19" i="31"/>
  <c r="AB19" i="31"/>
  <c r="AA19" i="31"/>
  <c r="AG19" i="31" s="1"/>
  <c r="Z19" i="31"/>
  <c r="AF19" i="31" s="1"/>
  <c r="Y19" i="31"/>
  <c r="AE19" i="31" s="1"/>
  <c r="AD18" i="31"/>
  <c r="AC18" i="31"/>
  <c r="AB18" i="31"/>
  <c r="AA18" i="31"/>
  <c r="AG18" i="31" s="1"/>
  <c r="Z18" i="31"/>
  <c r="Y18" i="31"/>
  <c r="AD17" i="31"/>
  <c r="AG17" i="31" s="1"/>
  <c r="AC17" i="31"/>
  <c r="AF17" i="31" s="1"/>
  <c r="AB17" i="31"/>
  <c r="AE17" i="31" s="1"/>
  <c r="AA17" i="31"/>
  <c r="Z17" i="31"/>
  <c r="Y17" i="31"/>
  <c r="AD16" i="31"/>
  <c r="AC16" i="31"/>
  <c r="AB16" i="31"/>
  <c r="AA16" i="31"/>
  <c r="Z16" i="31"/>
  <c r="Y16" i="31"/>
  <c r="AD15" i="31"/>
  <c r="AC15" i="31"/>
  <c r="AB15" i="31"/>
  <c r="AA15" i="31"/>
  <c r="AG15" i="31" s="1"/>
  <c r="Z15" i="31"/>
  <c r="AF15" i="31" s="1"/>
  <c r="Y15" i="31"/>
  <c r="AE15" i="31" s="1"/>
  <c r="AD14" i="31"/>
  <c r="AC14" i="31"/>
  <c r="AB14" i="31"/>
  <c r="AA14" i="31"/>
  <c r="AG14" i="31" s="1"/>
  <c r="Z14" i="31"/>
  <c r="Y14" i="31"/>
  <c r="AD13" i="31"/>
  <c r="AC13" i="31"/>
  <c r="AB13" i="31"/>
  <c r="AA13" i="31"/>
  <c r="Z13" i="31"/>
  <c r="Y13" i="31"/>
  <c r="AD12" i="31"/>
  <c r="AC12" i="31"/>
  <c r="AB12" i="31"/>
  <c r="AA12" i="31"/>
  <c r="Z12" i="31"/>
  <c r="Y12" i="31"/>
  <c r="AE12" i="31" s="1"/>
  <c r="AD11" i="31"/>
  <c r="AC11" i="31"/>
  <c r="AB11" i="31"/>
  <c r="AA11" i="31"/>
  <c r="Z11" i="31"/>
  <c r="AF11" i="31" s="1"/>
  <c r="Y11" i="31"/>
  <c r="AE11" i="31" s="1"/>
  <c r="AD10" i="31"/>
  <c r="AC10" i="31"/>
  <c r="AF10" i="31" s="1"/>
  <c r="AB10" i="31"/>
  <c r="AA10" i="31"/>
  <c r="Z10" i="31"/>
  <c r="Y10" i="31"/>
  <c r="AD9" i="31"/>
  <c r="AC9" i="31"/>
  <c r="AB9" i="31"/>
  <c r="AA9" i="31"/>
  <c r="Z9" i="31"/>
  <c r="AF9" i="31" s="1"/>
  <c r="Y9" i="31"/>
  <c r="AE9" i="31" s="1"/>
  <c r="AD8" i="31"/>
  <c r="AC8" i="31"/>
  <c r="AB8" i="31"/>
  <c r="AA8" i="31"/>
  <c r="AG8" i="31" s="1"/>
  <c r="Z8" i="31"/>
  <c r="Y8" i="31"/>
  <c r="AD7" i="31"/>
  <c r="AG7" i="31" s="1"/>
  <c r="AC7" i="31"/>
  <c r="AF7" i="31" s="1"/>
  <c r="AB7" i="31"/>
  <c r="AE7" i="31" s="1"/>
  <c r="AA7" i="31"/>
  <c r="Z7" i="31"/>
  <c r="Y7" i="31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4" i="1"/>
  <c r="T24" i="1"/>
  <c r="S24" i="1"/>
  <c r="V23" i="1"/>
  <c r="T23" i="1"/>
  <c r="S23" i="1"/>
  <c r="AG26" i="31"/>
  <c r="AF26" i="31"/>
  <c r="AE26" i="31"/>
  <c r="AG25" i="31"/>
  <c r="AF25" i="31"/>
  <c r="AG16" i="31"/>
  <c r="AF16" i="31"/>
  <c r="AE16" i="31"/>
  <c r="AG13" i="31"/>
  <c r="AF13" i="31"/>
  <c r="AE13" i="31"/>
  <c r="AG12" i="31"/>
  <c r="AF12" i="31"/>
  <c r="AG10" i="31"/>
  <c r="AE10" i="31"/>
  <c r="AG9" i="31"/>
  <c r="AQ39" i="29"/>
  <c r="AQ38" i="29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T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H38" i="1"/>
  <c r="E38" i="1"/>
  <c r="H27" i="1"/>
  <c r="E27" i="1"/>
  <c r="H26" i="1"/>
  <c r="E26" i="1"/>
  <c r="H25" i="1"/>
  <c r="E25" i="1"/>
  <c r="H17" i="1"/>
  <c r="E17" i="1"/>
  <c r="H16" i="1"/>
  <c r="E16" i="1"/>
  <c r="H15" i="1"/>
  <c r="E15" i="1"/>
  <c r="H12" i="1"/>
  <c r="E12" i="1"/>
  <c r="H11" i="1"/>
  <c r="E11" i="1"/>
  <c r="H10" i="1"/>
  <c r="E10" i="1"/>
  <c r="H9" i="1"/>
  <c r="E9" i="1"/>
  <c r="H8" i="1"/>
  <c r="E8" i="1"/>
  <c r="H7" i="1"/>
  <c r="E7" i="1"/>
  <c r="S62" i="31"/>
  <c r="S61" i="31"/>
  <c r="T60" i="31"/>
  <c r="S60" i="31"/>
  <c r="T59" i="31"/>
  <c r="S59" i="31"/>
  <c r="T53" i="31"/>
  <c r="T51" i="31"/>
  <c r="K41" i="31"/>
  <c r="J41" i="31"/>
  <c r="T62" i="31"/>
  <c r="N40" i="31"/>
  <c r="L40" i="31"/>
  <c r="G40" i="31"/>
  <c r="G39" i="31"/>
  <c r="T61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T58" i="31"/>
  <c r="O41" i="31"/>
  <c r="N33" i="31"/>
  <c r="L33" i="31"/>
  <c r="G33" i="31"/>
  <c r="T32" i="31"/>
  <c r="T52" i="31" s="1"/>
  <c r="G31" i="31"/>
  <c r="W32" i="31"/>
  <c r="R32" i="31"/>
  <c r="G30" i="31"/>
  <c r="O32" i="31"/>
  <c r="J32" i="31"/>
  <c r="G29" i="31"/>
  <c r="G26" i="31"/>
  <c r="G25" i="31"/>
  <c r="G24" i="31"/>
  <c r="AG23" i="31"/>
  <c r="AF23" i="31"/>
  <c r="AE23" i="31"/>
  <c r="G23" i="31"/>
  <c r="J26" i="31"/>
  <c r="G22" i="31"/>
  <c r="AG21" i="31"/>
  <c r="O26" i="31"/>
  <c r="G21" i="31"/>
  <c r="AG20" i="31"/>
  <c r="AE20" i="31"/>
  <c r="T26" i="31"/>
  <c r="G20" i="31"/>
  <c r="G19" i="31"/>
  <c r="G18" i="31"/>
  <c r="G17" i="31"/>
  <c r="G16" i="31"/>
  <c r="G15" i="31"/>
  <c r="G14" i="31"/>
  <c r="O25" i="31"/>
  <c r="G13" i="31"/>
  <c r="T25" i="31"/>
  <c r="G12" i="31"/>
  <c r="AG11" i="31"/>
  <c r="J25" i="31"/>
  <c r="G11" i="31"/>
  <c r="G10" i="31"/>
  <c r="G9" i="31"/>
  <c r="T24" i="31"/>
  <c r="G8" i="31"/>
  <c r="J24" i="31"/>
  <c r="G7" i="31"/>
  <c r="AE24" i="31" l="1"/>
  <c r="AF14" i="31"/>
  <c r="AE18" i="31"/>
  <c r="AF8" i="31"/>
  <c r="AF18" i="31"/>
  <c r="AE8" i="31"/>
  <c r="AF24" i="31"/>
  <c r="AE14" i="31"/>
  <c r="E28" i="1"/>
  <c r="H28" i="1"/>
  <c r="J34" i="1"/>
  <c r="E13" i="1"/>
  <c r="E18" i="1"/>
  <c r="J27" i="31"/>
  <c r="J47" i="31" s="1"/>
  <c r="W25" i="31"/>
  <c r="W24" i="31"/>
  <c r="R26" i="31"/>
  <c r="M25" i="31"/>
  <c r="M32" i="31"/>
  <c r="W26" i="31"/>
  <c r="H18" i="1"/>
  <c r="R25" i="31"/>
  <c r="R41" i="31"/>
  <c r="H13" i="1"/>
  <c r="M24" i="31"/>
  <c r="R24" i="31"/>
  <c r="M26" i="31"/>
  <c r="M30" i="1"/>
  <c r="M24" i="1"/>
  <c r="J24" i="1"/>
  <c r="J35" i="1"/>
  <c r="J31" i="1"/>
  <c r="J14" i="1"/>
  <c r="T63" i="31"/>
  <c r="T27" i="31"/>
  <c r="L41" i="31"/>
  <c r="M41" i="31"/>
  <c r="N41" i="31" s="1"/>
  <c r="O24" i="31"/>
  <c r="O27" i="31" s="1"/>
  <c r="O43" i="31" s="1"/>
  <c r="O47" i="31" s="1"/>
  <c r="T41" i="31"/>
  <c r="G39" i="2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I36" i="29"/>
  <c r="F36" i="29"/>
  <c r="I25" i="29"/>
  <c r="N25" i="29" s="1"/>
  <c r="O25" i="29" s="1"/>
  <c r="F25" i="29"/>
  <c r="K25" i="29" s="1"/>
  <c r="M25" i="29" s="1"/>
  <c r="I24" i="29"/>
  <c r="N24" i="29" s="1"/>
  <c r="F24" i="29"/>
  <c r="K24" i="29" s="1"/>
  <c r="I16" i="29"/>
  <c r="N16" i="29" s="1"/>
  <c r="O16" i="29" s="1"/>
  <c r="F16" i="29"/>
  <c r="K16" i="29" s="1"/>
  <c r="M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N10" i="29" s="1"/>
  <c r="O10" i="29" s="1"/>
  <c r="F10" i="29"/>
  <c r="K10" i="29" s="1"/>
  <c r="M10" i="29" s="1"/>
  <c r="AK40" i="30"/>
  <c r="AK40" i="32" s="1"/>
  <c r="AQ40" i="32" s="1"/>
  <c r="AB40" i="30"/>
  <c r="AB40" i="32" s="1"/>
  <c r="AD40" i="32" s="1"/>
  <c r="Y40" i="30"/>
  <c r="Y40" i="32" s="1"/>
  <c r="J40" i="30"/>
  <c r="J40" i="32" s="1"/>
  <c r="L40" i="32" s="1"/>
  <c r="G40" i="30"/>
  <c r="G40" i="32" s="1"/>
  <c r="AN39" i="30"/>
  <c r="AN39" i="32" s="1"/>
  <c r="AK39" i="30"/>
  <c r="AK39" i="32" s="1"/>
  <c r="AB39" i="30"/>
  <c r="AB39" i="32" s="1"/>
  <c r="AD39" i="32" s="1"/>
  <c r="Y39" i="30"/>
  <c r="Y39" i="32" s="1"/>
  <c r="J39" i="30"/>
  <c r="J39" i="32" s="1"/>
  <c r="L39" i="32" s="1"/>
  <c r="G39" i="30"/>
  <c r="G39" i="32" s="1"/>
  <c r="AN38" i="30"/>
  <c r="AN38" i="32" s="1"/>
  <c r="AK38" i="30"/>
  <c r="AK38" i="32" s="1"/>
  <c r="AB38" i="30"/>
  <c r="AB38" i="32" s="1"/>
  <c r="AD38" i="32" s="1"/>
  <c r="Y38" i="30"/>
  <c r="Y38" i="32" s="1"/>
  <c r="J38" i="30"/>
  <c r="J38" i="32" s="1"/>
  <c r="L38" i="32" s="1"/>
  <c r="G38" i="30"/>
  <c r="G38" i="32" s="1"/>
  <c r="AN37" i="30"/>
  <c r="AN37" i="32" s="1"/>
  <c r="AK37" i="30"/>
  <c r="AK37" i="32" s="1"/>
  <c r="AB37" i="30"/>
  <c r="AB37" i="32" s="1"/>
  <c r="AD37" i="32" s="1"/>
  <c r="Y37" i="30"/>
  <c r="Y37" i="32" s="1"/>
  <c r="J37" i="30"/>
  <c r="J37" i="32" s="1"/>
  <c r="L37" i="32" s="1"/>
  <c r="G37" i="30"/>
  <c r="G37" i="32" s="1"/>
  <c r="AN36" i="30"/>
  <c r="AN36" i="32" s="1"/>
  <c r="AK36" i="30"/>
  <c r="AK36" i="32" s="1"/>
  <c r="AB36" i="30"/>
  <c r="AB36" i="32" s="1"/>
  <c r="AD36" i="32" s="1"/>
  <c r="Y36" i="30"/>
  <c r="Y36" i="32" s="1"/>
  <c r="J36" i="30"/>
  <c r="J36" i="32" s="1"/>
  <c r="L36" i="32" s="1"/>
  <c r="G36" i="30"/>
  <c r="G36" i="32" s="1"/>
  <c r="AN35" i="30"/>
  <c r="AN35" i="32" s="1"/>
  <c r="AK35" i="30"/>
  <c r="AK35" i="32" s="1"/>
  <c r="AB35" i="30"/>
  <c r="AB35" i="32" s="1"/>
  <c r="Y35" i="30"/>
  <c r="Y35" i="32" s="1"/>
  <c r="J35" i="30"/>
  <c r="J35" i="32" s="1"/>
  <c r="G35" i="30"/>
  <c r="G35" i="32" s="1"/>
  <c r="AN32" i="30"/>
  <c r="AK32" i="30"/>
  <c r="AH32" i="30"/>
  <c r="AB32" i="30"/>
  <c r="Y32" i="30"/>
  <c r="J32" i="30"/>
  <c r="G32" i="30"/>
  <c r="AN31" i="30"/>
  <c r="AK31" i="30"/>
  <c r="AH31" i="30"/>
  <c r="AB31" i="30"/>
  <c r="Y31" i="30"/>
  <c r="J31" i="30"/>
  <c r="G31" i="30"/>
  <c r="AN30" i="30"/>
  <c r="AK30" i="30"/>
  <c r="AH30" i="30"/>
  <c r="AB30" i="30"/>
  <c r="Y30" i="30"/>
  <c r="J30" i="30"/>
  <c r="G30" i="30"/>
  <c r="AN29" i="30"/>
  <c r="AK29" i="30"/>
  <c r="AH29" i="30"/>
  <c r="AB29" i="30"/>
  <c r="Y29" i="30"/>
  <c r="J29" i="30"/>
  <c r="G29" i="30"/>
  <c r="AN28" i="30"/>
  <c r="AK28" i="30"/>
  <c r="AH28" i="30"/>
  <c r="AB28" i="30"/>
  <c r="Y28" i="30"/>
  <c r="J28" i="30"/>
  <c r="G28" i="30"/>
  <c r="AN27" i="30"/>
  <c r="AK27" i="30"/>
  <c r="AH27" i="30"/>
  <c r="AB27" i="30"/>
  <c r="Y27" i="30"/>
  <c r="J27" i="30"/>
  <c r="G27" i="30"/>
  <c r="AN26" i="30"/>
  <c r="AN26" i="32" s="1"/>
  <c r="AP26" i="32" s="1"/>
  <c r="AK26" i="30"/>
  <c r="AK26" i="32" s="1"/>
  <c r="AB26" i="30"/>
  <c r="AB26" i="32" s="1"/>
  <c r="AD26" i="32" s="1"/>
  <c r="Y26" i="30"/>
  <c r="Y26" i="32" s="1"/>
  <c r="J26" i="30"/>
  <c r="J26" i="32" s="1"/>
  <c r="G26" i="30"/>
  <c r="AN25" i="30"/>
  <c r="AN25" i="32" s="1"/>
  <c r="AP25" i="32" s="1"/>
  <c r="AK25" i="30"/>
  <c r="AK25" i="32" s="1"/>
  <c r="AB25" i="30"/>
  <c r="AB25" i="32" s="1"/>
  <c r="AD25" i="32" s="1"/>
  <c r="Y25" i="30"/>
  <c r="Y25" i="32" s="1"/>
  <c r="J25" i="30"/>
  <c r="J25" i="32" s="1"/>
  <c r="G25" i="30"/>
  <c r="AN24" i="30"/>
  <c r="AN24" i="32" s="1"/>
  <c r="AP24" i="32" s="1"/>
  <c r="AK24" i="30"/>
  <c r="AK24" i="32" s="1"/>
  <c r="AB24" i="30"/>
  <c r="AB24" i="32" s="1"/>
  <c r="AD24" i="32" s="1"/>
  <c r="Y24" i="30"/>
  <c r="Y24" i="32" s="1"/>
  <c r="J24" i="30"/>
  <c r="J24" i="32" s="1"/>
  <c r="G24" i="30"/>
  <c r="AN23" i="30"/>
  <c r="AN23" i="32" s="1"/>
  <c r="AP23" i="32" s="1"/>
  <c r="AK23" i="30"/>
  <c r="AK23" i="32" s="1"/>
  <c r="AB23" i="30"/>
  <c r="AB23" i="32" s="1"/>
  <c r="AD23" i="32" s="1"/>
  <c r="Y23" i="30"/>
  <c r="Y23" i="32" s="1"/>
  <c r="J23" i="30"/>
  <c r="J23" i="32" s="1"/>
  <c r="G23" i="30"/>
  <c r="AN22" i="30"/>
  <c r="AN22" i="32" s="1"/>
  <c r="AP22" i="32" s="1"/>
  <c r="AK22" i="30"/>
  <c r="AK22" i="32" s="1"/>
  <c r="AB22" i="30"/>
  <c r="AB22" i="32" s="1"/>
  <c r="AD22" i="32" s="1"/>
  <c r="Y22" i="30"/>
  <c r="Y22" i="32" s="1"/>
  <c r="J22" i="30"/>
  <c r="J22" i="32" s="1"/>
  <c r="G22" i="30"/>
  <c r="AN21" i="30"/>
  <c r="AN21" i="32" s="1"/>
  <c r="AP21" i="32" s="1"/>
  <c r="AK21" i="30"/>
  <c r="AK21" i="32" s="1"/>
  <c r="AB21" i="30"/>
  <c r="AB21" i="32" s="1"/>
  <c r="AD21" i="32" s="1"/>
  <c r="Y21" i="30"/>
  <c r="Y21" i="32" s="1"/>
  <c r="J21" i="30"/>
  <c r="J21" i="32" s="1"/>
  <c r="G21" i="30"/>
  <c r="G21" i="32" s="1"/>
  <c r="AP19" i="32"/>
  <c r="AE19" i="30"/>
  <c r="AE19" i="32" s="1"/>
  <c r="AG19" i="32" s="1"/>
  <c r="AB19" i="30"/>
  <c r="AB19" i="32" s="1"/>
  <c r="AD19" i="32" s="1"/>
  <c r="Y19" i="30"/>
  <c r="Y19" i="32" s="1"/>
  <c r="M19" i="30"/>
  <c r="M19" i="32" s="1"/>
  <c r="J19" i="30"/>
  <c r="J19" i="32" s="1"/>
  <c r="G19" i="30"/>
  <c r="G19" i="32" s="1"/>
  <c r="AE18" i="30"/>
  <c r="AE18" i="32" s="1"/>
  <c r="AB18" i="30"/>
  <c r="AB18" i="32" s="1"/>
  <c r="Y18" i="30"/>
  <c r="Y18" i="32" s="1"/>
  <c r="M18" i="30"/>
  <c r="M18" i="32" s="1"/>
  <c r="J18" i="30"/>
  <c r="J18" i="32" s="1"/>
  <c r="G18" i="30"/>
  <c r="G18" i="32" s="1"/>
  <c r="AN15" i="30"/>
  <c r="AN15" i="32" s="1"/>
  <c r="AK15" i="30"/>
  <c r="AK15" i="32" s="1"/>
  <c r="AE15" i="30"/>
  <c r="AE15" i="32" s="1"/>
  <c r="AB15" i="30"/>
  <c r="AB15" i="32" s="1"/>
  <c r="Y15" i="30"/>
  <c r="Y15" i="32" s="1"/>
  <c r="M15" i="30"/>
  <c r="M15" i="32" s="1"/>
  <c r="J15" i="30"/>
  <c r="J15" i="32" s="1"/>
  <c r="G15" i="30"/>
  <c r="AN13" i="30"/>
  <c r="AN13" i="32" s="1"/>
  <c r="AK13" i="30"/>
  <c r="AK13" i="32" s="1"/>
  <c r="AB13" i="30"/>
  <c r="AB13" i="32" s="1"/>
  <c r="Y13" i="30"/>
  <c r="Y13" i="32" s="1"/>
  <c r="M13" i="30"/>
  <c r="M13" i="32" s="1"/>
  <c r="J13" i="30"/>
  <c r="J13" i="32" s="1"/>
  <c r="G13" i="30"/>
  <c r="AN10" i="30"/>
  <c r="AN10" i="32" s="1"/>
  <c r="AK10" i="30"/>
  <c r="AK10" i="32" s="1"/>
  <c r="AE10" i="30"/>
  <c r="AE10" i="32" s="1"/>
  <c r="AB10" i="30"/>
  <c r="AB10" i="32" s="1"/>
  <c r="Y10" i="30"/>
  <c r="Y10" i="32" s="1"/>
  <c r="M10" i="30"/>
  <c r="M10" i="32" s="1"/>
  <c r="J10" i="30"/>
  <c r="J10" i="32" s="1"/>
  <c r="G10" i="30"/>
  <c r="AN8" i="30"/>
  <c r="AN8" i="32" s="1"/>
  <c r="AK8" i="30"/>
  <c r="AK8" i="32" s="1"/>
  <c r="AB8" i="30"/>
  <c r="AB8" i="32" s="1"/>
  <c r="Y8" i="30"/>
  <c r="Y8" i="32" s="1"/>
  <c r="M8" i="30"/>
  <c r="M8" i="32" s="1"/>
  <c r="J8" i="30"/>
  <c r="J8" i="32" s="1"/>
  <c r="G8" i="30"/>
  <c r="R27" i="31" l="1"/>
  <c r="M16" i="32"/>
  <c r="V21" i="32"/>
  <c r="AQ38" i="32"/>
  <c r="J16" i="32"/>
  <c r="V39" i="32"/>
  <c r="X39" i="32" s="1"/>
  <c r="I39" i="32"/>
  <c r="V24" i="30"/>
  <c r="G24" i="32"/>
  <c r="V25" i="30"/>
  <c r="G25" i="32"/>
  <c r="V36" i="32"/>
  <c r="X36" i="32" s="1"/>
  <c r="I36" i="32"/>
  <c r="V22" i="30"/>
  <c r="G22" i="32"/>
  <c r="V40" i="32"/>
  <c r="X40" i="32" s="1"/>
  <c r="I40" i="32"/>
  <c r="V13" i="30"/>
  <c r="G13" i="32"/>
  <c r="G41" i="32"/>
  <c r="V35" i="32"/>
  <c r="X35" i="32" s="1"/>
  <c r="I35" i="32"/>
  <c r="V26" i="30"/>
  <c r="G26" i="32"/>
  <c r="V37" i="32"/>
  <c r="X37" i="32" s="1"/>
  <c r="I37" i="32"/>
  <c r="V10" i="30"/>
  <c r="G10" i="32"/>
  <c r="V23" i="30"/>
  <c r="G23" i="32"/>
  <c r="J14" i="32"/>
  <c r="J17" i="32"/>
  <c r="J12" i="32"/>
  <c r="J9" i="32" s="1"/>
  <c r="J41" i="32"/>
  <c r="L35" i="32"/>
  <c r="M17" i="32"/>
  <c r="M14" i="32"/>
  <c r="V8" i="30"/>
  <c r="G8" i="32"/>
  <c r="M12" i="32"/>
  <c r="M11" i="32" s="1"/>
  <c r="V15" i="30"/>
  <c r="G15" i="32"/>
  <c r="V38" i="32"/>
  <c r="X38" i="32" s="1"/>
  <c r="I38" i="32"/>
  <c r="AQ39" i="32"/>
  <c r="Y14" i="32"/>
  <c r="AA14" i="32" s="1"/>
  <c r="Y17" i="32"/>
  <c r="AA17" i="32" s="1"/>
  <c r="AH13" i="32"/>
  <c r="AA13" i="32"/>
  <c r="AB17" i="32"/>
  <c r="AD17" i="32" s="1"/>
  <c r="AB14" i="32"/>
  <c r="AD14" i="32" s="1"/>
  <c r="AD13" i="32"/>
  <c r="AH26" i="32"/>
  <c r="AJ26" i="32" s="1"/>
  <c r="AA26" i="32"/>
  <c r="AH37" i="32"/>
  <c r="AJ37" i="32" s="1"/>
  <c r="AA37" i="32"/>
  <c r="AH23" i="32"/>
  <c r="AJ23" i="32" s="1"/>
  <c r="AA23" i="32"/>
  <c r="AE20" i="32"/>
  <c r="AG20" i="32" s="1"/>
  <c r="AG18" i="32"/>
  <c r="AH8" i="32"/>
  <c r="Y12" i="32"/>
  <c r="AA12" i="32" s="1"/>
  <c r="AA8" i="32"/>
  <c r="AD8" i="32"/>
  <c r="AB12" i="32"/>
  <c r="AB11" i="32" s="1"/>
  <c r="AD11" i="32" s="1"/>
  <c r="AH38" i="32"/>
  <c r="AJ38" i="32" s="1"/>
  <c r="AA38" i="32"/>
  <c r="Y16" i="32"/>
  <c r="AA16" i="32" s="1"/>
  <c r="AH15" i="32"/>
  <c r="AA15" i="32"/>
  <c r="AH24" i="32"/>
  <c r="AJ24" i="32" s="1"/>
  <c r="AA24" i="32"/>
  <c r="AH35" i="32"/>
  <c r="AJ35" i="32" s="1"/>
  <c r="Y41" i="32"/>
  <c r="AA35" i="32"/>
  <c r="AD35" i="32"/>
  <c r="AB41" i="32"/>
  <c r="AH21" i="32"/>
  <c r="AJ21" i="32" s="1"/>
  <c r="AA21" i="32"/>
  <c r="AB16" i="32"/>
  <c r="AD16" i="32" s="1"/>
  <c r="AD15" i="32"/>
  <c r="AA10" i="32"/>
  <c r="AH10" i="32"/>
  <c r="AH39" i="32"/>
  <c r="AJ39" i="32" s="1"/>
  <c r="AA39" i="32"/>
  <c r="AH19" i="32"/>
  <c r="AJ19" i="32" s="1"/>
  <c r="AA19" i="32"/>
  <c r="AD10" i="32"/>
  <c r="AH40" i="32"/>
  <c r="AJ40" i="32" s="1"/>
  <c r="AA40" i="32"/>
  <c r="AG10" i="32"/>
  <c r="AE12" i="32"/>
  <c r="AE11" i="32" s="1"/>
  <c r="AG11" i="32" s="1"/>
  <c r="AH25" i="32"/>
  <c r="AJ25" i="32" s="1"/>
  <c r="AA25" i="32"/>
  <c r="AA36" i="32"/>
  <c r="AH36" i="32"/>
  <c r="AJ36" i="32" s="1"/>
  <c r="AE17" i="32"/>
  <c r="AG17" i="32" s="1"/>
  <c r="AG15" i="32"/>
  <c r="AE16" i="32"/>
  <c r="AG16" i="32" s="1"/>
  <c r="Y20" i="32"/>
  <c r="AA20" i="32" s="1"/>
  <c r="AH18" i="32"/>
  <c r="AA18" i="32"/>
  <c r="AB20" i="32"/>
  <c r="AD20" i="32" s="1"/>
  <c r="AD18" i="32"/>
  <c r="AH22" i="32"/>
  <c r="AJ22" i="32" s="1"/>
  <c r="AA22" i="32"/>
  <c r="V19" i="32"/>
  <c r="AQ22" i="32"/>
  <c r="AM22" i="32"/>
  <c r="AQ26" i="32"/>
  <c r="AM26" i="32"/>
  <c r="AQ37" i="32"/>
  <c r="AN20" i="32"/>
  <c r="AP20" i="32" s="1"/>
  <c r="AP18" i="32"/>
  <c r="AQ19" i="32"/>
  <c r="AS19" i="32" s="1"/>
  <c r="AM19" i="32"/>
  <c r="AK12" i="32"/>
  <c r="AM12" i="32" s="1"/>
  <c r="AQ8" i="32"/>
  <c r="AM8" i="32"/>
  <c r="AP8" i="32"/>
  <c r="AN12" i="32"/>
  <c r="AP12" i="32" s="1"/>
  <c r="AQ15" i="32"/>
  <c r="AK16" i="32"/>
  <c r="AM16" i="32" s="1"/>
  <c r="AM15" i="32"/>
  <c r="AQ24" i="32"/>
  <c r="AM24" i="32"/>
  <c r="AQ35" i="32"/>
  <c r="AK41" i="32"/>
  <c r="AN41" i="32"/>
  <c r="AN42" i="32" s="1"/>
  <c r="AK20" i="32"/>
  <c r="AM20" i="32" s="1"/>
  <c r="AQ18" i="32"/>
  <c r="AM18" i="32"/>
  <c r="AQ23" i="32"/>
  <c r="AM23" i="32"/>
  <c r="G20" i="32"/>
  <c r="V18" i="32"/>
  <c r="AQ21" i="32"/>
  <c r="AM21" i="32"/>
  <c r="AP13" i="32"/>
  <c r="AN14" i="32"/>
  <c r="AP14" i="32" s="1"/>
  <c r="AN17" i="32"/>
  <c r="AP17" i="32" s="1"/>
  <c r="J20" i="32"/>
  <c r="AN16" i="32"/>
  <c r="AP16" i="32" s="1"/>
  <c r="AP15" i="32"/>
  <c r="M20" i="32"/>
  <c r="AK17" i="32"/>
  <c r="AM17" i="32" s="1"/>
  <c r="AK14" i="32"/>
  <c r="AM14" i="32" s="1"/>
  <c r="AQ13" i="32"/>
  <c r="AM13" i="32"/>
  <c r="AQ10" i="32"/>
  <c r="AM10" i="32"/>
  <c r="AP10" i="32"/>
  <c r="AQ25" i="32"/>
  <c r="AM25" i="32"/>
  <c r="AQ36" i="32"/>
  <c r="K18" i="29"/>
  <c r="K11" i="29"/>
  <c r="M11" i="29" s="1"/>
  <c r="K14" i="29"/>
  <c r="M14" i="29" s="1"/>
  <c r="M12" i="29"/>
  <c r="K17" i="29"/>
  <c r="M17" i="29" s="1"/>
  <c r="M15" i="29"/>
  <c r="K26" i="29"/>
  <c r="M26" i="29" s="1"/>
  <c r="M24" i="29"/>
  <c r="K20" i="29"/>
  <c r="M13" i="29"/>
  <c r="V19" i="30"/>
  <c r="V21" i="30"/>
  <c r="V18" i="30"/>
  <c r="N20" i="29"/>
  <c r="O13" i="29"/>
  <c r="N17" i="29"/>
  <c r="O17" i="29" s="1"/>
  <c r="O15" i="29"/>
  <c r="O24" i="29"/>
  <c r="N26" i="29"/>
  <c r="O26" i="29" s="1"/>
  <c r="N11" i="29"/>
  <c r="O11" i="29" s="1"/>
  <c r="O12" i="29"/>
  <c r="N18" i="29"/>
  <c r="N14" i="29"/>
  <c r="O14" i="29" s="1"/>
  <c r="R43" i="31"/>
  <c r="R47" i="31" s="1"/>
  <c r="W27" i="31"/>
  <c r="W43" i="31" s="1"/>
  <c r="W47" i="31" s="1"/>
  <c r="M27" i="31"/>
  <c r="M47" i="31" s="1"/>
  <c r="J36" i="1"/>
  <c r="J40" i="1"/>
  <c r="J39" i="1"/>
  <c r="M35" i="1"/>
  <c r="M31" i="1"/>
  <c r="T50" i="31"/>
  <c r="T43" i="31"/>
  <c r="AQ31" i="32" l="1"/>
  <c r="AS31" i="32" s="1"/>
  <c r="Y9" i="32"/>
  <c r="AA9" i="32" s="1"/>
  <c r="AT37" i="32"/>
  <c r="AV37" i="32" s="1"/>
  <c r="J11" i="32"/>
  <c r="V23" i="32"/>
  <c r="AT23" i="32" s="1"/>
  <c r="V22" i="32"/>
  <c r="V25" i="32"/>
  <c r="V10" i="32"/>
  <c r="AK9" i="32"/>
  <c r="AM9" i="32" s="1"/>
  <c r="V15" i="32"/>
  <c r="AT15" i="32" s="1"/>
  <c r="G16" i="32"/>
  <c r="V24" i="32"/>
  <c r="M9" i="32"/>
  <c r="V26" i="32"/>
  <c r="V8" i="32"/>
  <c r="AT8" i="32" s="1"/>
  <c r="G12" i="32"/>
  <c r="G11" i="32" s="1"/>
  <c r="V12" i="30"/>
  <c r="G42" i="32"/>
  <c r="V41" i="32"/>
  <c r="I41" i="32"/>
  <c r="G17" i="32"/>
  <c r="G14" i="32"/>
  <c r="V13" i="32"/>
  <c r="AT13" i="32" s="1"/>
  <c r="AT40" i="32"/>
  <c r="AV40" i="32" s="1"/>
  <c r="AT39" i="32"/>
  <c r="AV39" i="32" s="1"/>
  <c r="J42" i="32"/>
  <c r="L41" i="32"/>
  <c r="AT38" i="32"/>
  <c r="AV38" i="32" s="1"/>
  <c r="Y11" i="32"/>
  <c r="AA11" i="32" s="1"/>
  <c r="AH20" i="32"/>
  <c r="AJ18" i="32"/>
  <c r="AH12" i="32"/>
  <c r="AH11" i="32" s="1"/>
  <c r="AJ11" i="32" s="1"/>
  <c r="AJ8" i="32"/>
  <c r="AB42" i="32"/>
  <c r="AD41" i="32"/>
  <c r="AE9" i="32"/>
  <c r="AG9" i="32" s="1"/>
  <c r="AG12" i="32"/>
  <c r="Y42" i="32"/>
  <c r="AA41" i="32"/>
  <c r="AH41" i="32"/>
  <c r="AJ15" i="32"/>
  <c r="AH16" i="32"/>
  <c r="AJ16" i="32" s="1"/>
  <c r="AK11" i="32"/>
  <c r="AM11" i="32" s="1"/>
  <c r="AJ10" i="32"/>
  <c r="AH17" i="32"/>
  <c r="AJ17" i="32" s="1"/>
  <c r="AH14" i="32"/>
  <c r="AJ14" i="32" s="1"/>
  <c r="AJ13" i="32"/>
  <c r="AB9" i="32"/>
  <c r="AD9" i="32" s="1"/>
  <c r="AD12" i="32"/>
  <c r="AN9" i="32"/>
  <c r="AP9" i="32" s="1"/>
  <c r="AN11" i="32"/>
  <c r="AP11" i="32" s="1"/>
  <c r="AS8" i="32"/>
  <c r="AQ12" i="32"/>
  <c r="AQ11" i="32" s="1"/>
  <c r="AS11" i="32" s="1"/>
  <c r="AT18" i="32"/>
  <c r="V20" i="32"/>
  <c r="AS26" i="32"/>
  <c r="AS24" i="32"/>
  <c r="AT10" i="32"/>
  <c r="AS10" i="32"/>
  <c r="AQ14" i="32"/>
  <c r="AS14" i="32" s="1"/>
  <c r="AQ17" i="32"/>
  <c r="AS17" i="32" s="1"/>
  <c r="AS13" i="32"/>
  <c r="AS22" i="32"/>
  <c r="AQ32" i="32"/>
  <c r="AS32" i="32" s="1"/>
  <c r="AQ29" i="32"/>
  <c r="AS29" i="32" s="1"/>
  <c r="AS23" i="32"/>
  <c r="AQ27" i="32"/>
  <c r="AS27" i="32" s="1"/>
  <c r="AT35" i="32"/>
  <c r="AQ28" i="32"/>
  <c r="AS28" i="32" s="1"/>
  <c r="AT36" i="32"/>
  <c r="AQ16" i="32"/>
  <c r="AS16" i="32" s="1"/>
  <c r="AS15" i="32"/>
  <c r="AT21" i="32"/>
  <c r="AS21" i="32"/>
  <c r="AQ20" i="32"/>
  <c r="AS18" i="32"/>
  <c r="AQ41" i="32"/>
  <c r="AQ42" i="32" s="1"/>
  <c r="AK42" i="32"/>
  <c r="AS25" i="32"/>
  <c r="AQ30" i="32"/>
  <c r="AS30" i="32" s="1"/>
  <c r="AT19" i="32"/>
  <c r="K21" i="29"/>
  <c r="M21" i="29" s="1"/>
  <c r="M20" i="29"/>
  <c r="K22" i="29"/>
  <c r="K19" i="29"/>
  <c r="M19" i="29" s="1"/>
  <c r="M18" i="29"/>
  <c r="N19" i="29"/>
  <c r="O19" i="29" s="1"/>
  <c r="N22" i="29"/>
  <c r="O18" i="29"/>
  <c r="N21" i="29"/>
  <c r="O21" i="29" s="1"/>
  <c r="O20" i="29"/>
  <c r="M40" i="1"/>
  <c r="M39" i="1"/>
  <c r="M36" i="1"/>
  <c r="T54" i="31"/>
  <c r="T55" i="31" s="1"/>
  <c r="T44" i="31"/>
  <c r="T47" i="31"/>
  <c r="AR22" i="30"/>
  <c r="AR18" i="30"/>
  <c r="AR15" i="30"/>
  <c r="AR21" i="30"/>
  <c r="AR10" i="30"/>
  <c r="AR8" i="30"/>
  <c r="AR40" i="30"/>
  <c r="AR39" i="30"/>
  <c r="AR38" i="30"/>
  <c r="AS20" i="32" l="1"/>
  <c r="AJ20" i="32"/>
  <c r="AT22" i="32"/>
  <c r="AT28" i="32" s="1"/>
  <c r="V16" i="32"/>
  <c r="V17" i="32"/>
  <c r="V14" i="32"/>
  <c r="AT24" i="32"/>
  <c r="V42" i="32"/>
  <c r="X41" i="32"/>
  <c r="G9" i="32"/>
  <c r="AT26" i="32"/>
  <c r="V12" i="32"/>
  <c r="AT25" i="32"/>
  <c r="AH42" i="32"/>
  <c r="AJ41" i="32"/>
  <c r="AH9" i="32"/>
  <c r="AJ9" i="32" s="1"/>
  <c r="AJ12" i="32"/>
  <c r="AT17" i="32"/>
  <c r="AT14" i="32"/>
  <c r="AT27" i="32"/>
  <c r="AT41" i="32"/>
  <c r="AV35" i="32"/>
  <c r="AT16" i="32"/>
  <c r="AT20" i="32"/>
  <c r="AQ9" i="32"/>
  <c r="AS9" i="32" s="1"/>
  <c r="AS12" i="32"/>
  <c r="AT12" i="32"/>
  <c r="AV36" i="32"/>
  <c r="AT29" i="32"/>
  <c r="M22" i="29"/>
  <c r="K23" i="29"/>
  <c r="M23" i="29" s="1"/>
  <c r="K27" i="29"/>
  <c r="N23" i="29"/>
  <c r="O23" i="29" s="1"/>
  <c r="O22" i="29"/>
  <c r="N27" i="29"/>
  <c r="T56" i="31"/>
  <c r="AR24" i="30"/>
  <c r="AR25" i="30"/>
  <c r="AR26" i="30"/>
  <c r="AR32" i="30" s="1"/>
  <c r="AR23" i="30"/>
  <c r="AR13" i="30"/>
  <c r="AR14" i="30" s="1"/>
  <c r="AR19" i="30"/>
  <c r="AR35" i="30"/>
  <c r="AR27" i="30" s="1"/>
  <c r="AR36" i="30"/>
  <c r="AR28" i="30" s="1"/>
  <c r="AR37" i="30"/>
  <c r="AR12" i="30"/>
  <c r="AR11" i="30" s="1"/>
  <c r="AR16" i="30"/>
  <c r="AO41" i="30"/>
  <c r="AO42" i="30" s="1"/>
  <c r="AT32" i="32" l="1"/>
  <c r="AT31" i="32"/>
  <c r="V9" i="32"/>
  <c r="V11" i="32"/>
  <c r="AT30" i="32"/>
  <c r="AT9" i="32"/>
  <c r="AT42" i="32"/>
  <c r="AV41" i="32"/>
  <c r="AT11" i="32"/>
  <c r="K28" i="29"/>
  <c r="M28" i="29" s="1"/>
  <c r="M27" i="29"/>
  <c r="N28" i="29"/>
  <c r="O28" i="29" s="1"/>
  <c r="O27" i="29"/>
  <c r="AR17" i="30"/>
  <c r="AR31" i="30"/>
  <c r="AR30" i="30"/>
  <c r="AR29" i="30"/>
  <c r="AR20" i="30"/>
  <c r="AR9" i="30"/>
  <c r="AQ40" i="30" l="1"/>
  <c r="AQ39" i="30" l="1"/>
  <c r="AQ38" i="30"/>
  <c r="AQ37" i="30"/>
  <c r="AQ36" i="30"/>
  <c r="AQ35" i="30"/>
  <c r="AN41" i="30" l="1"/>
  <c r="AN42" i="30" l="1"/>
  <c r="AN12" i="30"/>
  <c r="AQ25" i="30" l="1"/>
  <c r="AQ23" i="30"/>
  <c r="AQ21" i="30"/>
  <c r="AQ22" i="30"/>
  <c r="AQ24" i="30"/>
  <c r="AQ26" i="30"/>
  <c r="AN16" i="30"/>
  <c r="AN17" i="30"/>
  <c r="AN11" i="30"/>
  <c r="AN9" i="30"/>
  <c r="AN14" i="30"/>
  <c r="AS24" i="30" l="1"/>
  <c r="AQ30" i="30"/>
  <c r="AS30" i="30" s="1"/>
  <c r="AS26" i="30"/>
  <c r="AQ32" i="30"/>
  <c r="AS32" i="30" s="1"/>
  <c r="AS22" i="30"/>
  <c r="AQ28" i="30"/>
  <c r="AS28" i="30" s="1"/>
  <c r="AS21" i="30"/>
  <c r="AQ27" i="30"/>
  <c r="AS27" i="30" s="1"/>
  <c r="AS23" i="30"/>
  <c r="AQ29" i="30"/>
  <c r="AS29" i="30" s="1"/>
  <c r="AS25" i="30"/>
  <c r="AQ31" i="30"/>
  <c r="AS31" i="30" s="1"/>
  <c r="AQ18" i="30" l="1"/>
  <c r="AS18" i="30" l="1"/>
  <c r="AN20" i="30"/>
  <c r="AQ19" i="30"/>
  <c r="AS19" i="30" s="1"/>
  <c r="AQ20" i="30" l="1"/>
  <c r="AS20" i="30" s="1"/>
  <c r="AO12" i="30"/>
  <c r="AO9" i="30" s="1"/>
  <c r="AO17" i="30"/>
  <c r="AO16" i="30"/>
  <c r="AP21" i="30"/>
  <c r="AP22" i="30"/>
  <c r="AP23" i="30"/>
  <c r="AP25" i="30"/>
  <c r="AP28" i="30"/>
  <c r="AP24" i="30"/>
  <c r="AP18" i="30"/>
  <c r="AP19" i="30"/>
  <c r="AP30" i="30"/>
  <c r="AO11" i="30"/>
  <c r="AP29" i="30"/>
  <c r="AP32" i="30"/>
  <c r="AP26" i="30"/>
  <c r="AO20" i="30"/>
  <c r="AP20" i="30" s="1"/>
  <c r="AO14" i="30"/>
  <c r="AP27" i="30"/>
  <c r="AP31" i="30"/>
  <c r="AQ10" i="30" l="1"/>
  <c r="AS10" i="30" l="1"/>
  <c r="AQ8" i="30"/>
  <c r="AS8" i="30" l="1"/>
  <c r="AQ12" i="30"/>
  <c r="AQ13" i="30"/>
  <c r="AQ14" i="30" l="1"/>
  <c r="AS14" i="30" s="1"/>
  <c r="AS13" i="30"/>
  <c r="AS12" i="30"/>
  <c r="AQ11" i="30"/>
  <c r="AS11" i="30" s="1"/>
  <c r="AQ9" i="30"/>
  <c r="AS9" i="30" s="1"/>
  <c r="AQ15" i="30"/>
  <c r="AS15" i="30" l="1"/>
  <c r="AQ16" i="30"/>
  <c r="AS16" i="30" s="1"/>
  <c r="AQ17" i="30"/>
  <c r="AS17" i="30" s="1"/>
  <c r="AP13" i="30"/>
  <c r="AP8" i="30" l="1"/>
  <c r="AP14" i="30"/>
  <c r="AP10" i="30" l="1"/>
  <c r="AP11" i="30"/>
  <c r="AP16" i="30" l="1"/>
  <c r="AP15" i="30"/>
  <c r="AP17" i="30"/>
  <c r="AP12" i="30"/>
  <c r="AP9" i="30"/>
  <c r="AE16" i="30" l="1"/>
  <c r="AE12" i="30"/>
  <c r="AE11" i="30" s="1"/>
  <c r="AE14" i="30"/>
  <c r="AE17" i="30"/>
  <c r="AB16" i="30"/>
  <c r="AB12" i="30"/>
  <c r="AB9" i="30" s="1"/>
  <c r="AB14" i="30"/>
  <c r="AB17" i="30"/>
  <c r="AB11" i="30" l="1"/>
  <c r="AE9" i="30"/>
  <c r="AB20" i="30" l="1"/>
  <c r="O40" i="30"/>
  <c r="O39" i="30"/>
  <c r="O38" i="30"/>
  <c r="O37" i="30"/>
  <c r="O41" i="30"/>
  <c r="O35" i="30"/>
  <c r="AE20" i="30" l="1"/>
  <c r="O36" i="30"/>
  <c r="J41" i="30"/>
  <c r="M16" i="30"/>
  <c r="M12" i="30"/>
  <c r="M9" i="30" s="1"/>
  <c r="M14" i="30"/>
  <c r="M17" i="30"/>
  <c r="J16" i="30"/>
  <c r="J12" i="30"/>
  <c r="J9" i="30" s="1"/>
  <c r="J14" i="30"/>
  <c r="J17" i="30"/>
  <c r="M11" i="30" l="1"/>
  <c r="J11" i="30"/>
  <c r="M20" i="30" l="1"/>
  <c r="J20" i="30"/>
  <c r="G20" i="30"/>
  <c r="AL20" i="30"/>
  <c r="AH38" i="30"/>
  <c r="AH26" i="30"/>
  <c r="AH24" i="30"/>
  <c r="AH23" i="30"/>
  <c r="AM26" i="30"/>
  <c r="AG41" i="30"/>
  <c r="AG40" i="30"/>
  <c r="W40" i="30"/>
  <c r="AG39" i="30"/>
  <c r="AG38" i="30"/>
  <c r="AG37" i="30"/>
  <c r="AG36" i="30"/>
  <c r="AG35" i="30"/>
  <c r="AP37" i="29"/>
  <c r="J25" i="29"/>
  <c r="G17" i="29"/>
  <c r="F26" i="29"/>
  <c r="F11" i="29"/>
  <c r="AQ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G26" i="29"/>
  <c r="G11" i="29"/>
  <c r="V8" i="28"/>
  <c r="M8" i="28"/>
  <c r="Q8" i="26"/>
  <c r="J8" i="25"/>
  <c r="P9" i="28"/>
  <c r="N9" i="25"/>
  <c r="J10" i="28"/>
  <c r="J11" i="28"/>
  <c r="G11" i="26"/>
  <c r="S12" i="28"/>
  <c r="M12" i="28"/>
  <c r="G13" i="26"/>
  <c r="N13" i="25"/>
  <c r="P14" i="28"/>
  <c r="M14" i="28"/>
  <c r="G14" i="28"/>
  <c r="S15" i="28"/>
  <c r="P15" i="28"/>
  <c r="N15" i="25"/>
  <c r="S16" i="28"/>
  <c r="M17" i="28"/>
  <c r="G17" i="26"/>
  <c r="V18" i="28"/>
  <c r="M18" i="28"/>
  <c r="Q18" i="26"/>
  <c r="T18" i="26" s="1"/>
  <c r="V19" i="28"/>
  <c r="P19" i="28"/>
  <c r="J19" i="25"/>
  <c r="J20" i="28"/>
  <c r="P21" i="28"/>
  <c r="J21" i="28"/>
  <c r="G21" i="26"/>
  <c r="S22" i="28"/>
  <c r="M22" i="28"/>
  <c r="P23" i="28"/>
  <c r="P24" i="28"/>
  <c r="G24" i="28"/>
  <c r="G24" i="26"/>
  <c r="P25" i="28"/>
  <c r="N25" i="25"/>
  <c r="N26" i="25"/>
  <c r="M27" i="28"/>
  <c r="V28" i="28"/>
  <c r="M28" i="28"/>
  <c r="Q28" i="26"/>
  <c r="G28" i="26"/>
  <c r="J28" i="25"/>
  <c r="P8" i="28"/>
  <c r="S8" i="28"/>
  <c r="V9" i="28"/>
  <c r="G10" i="28"/>
  <c r="P11" i="28"/>
  <c r="S11" i="28"/>
  <c r="V12" i="28"/>
  <c r="G13" i="28"/>
  <c r="V15" i="28"/>
  <c r="J17" i="28"/>
  <c r="P18" i="28"/>
  <c r="S18" i="28"/>
  <c r="G20" i="28"/>
  <c r="P22" i="28"/>
  <c r="V22" i="28"/>
  <c r="G23" i="28"/>
  <c r="M24" i="28"/>
  <c r="S25" i="28"/>
  <c r="V25" i="28"/>
  <c r="J27" i="28"/>
  <c r="P28" i="28"/>
  <c r="S28" i="28"/>
  <c r="G8" i="26"/>
  <c r="G10" i="26"/>
  <c r="Q14" i="26"/>
  <c r="G20" i="26"/>
  <c r="N10" i="25"/>
  <c r="J11" i="25"/>
  <c r="N12" i="25"/>
  <c r="J15" i="25"/>
  <c r="J18" i="25"/>
  <c r="N19" i="25"/>
  <c r="J21" i="25"/>
  <c r="N22" i="25"/>
  <c r="J25" i="25"/>
  <c r="S21" i="28" l="1"/>
  <c r="G23" i="26"/>
  <c r="Q19" i="26"/>
  <c r="Q9" i="26"/>
  <c r="J28" i="28"/>
  <c r="J26" i="25"/>
  <c r="Q25" i="26"/>
  <c r="J22" i="25"/>
  <c r="J18" i="28"/>
  <c r="J12" i="25"/>
  <c r="P16" i="28"/>
  <c r="N23" i="25"/>
  <c r="G21" i="28"/>
  <c r="G11" i="28"/>
  <c r="AT23" i="30"/>
  <c r="AT24" i="30"/>
  <c r="J27" i="25"/>
  <c r="P20" i="28"/>
  <c r="V14" i="28"/>
  <c r="G9" i="26"/>
  <c r="N14" i="25"/>
  <c r="M19" i="28"/>
  <c r="M9" i="28"/>
  <c r="G28" i="28"/>
  <c r="S26" i="28"/>
  <c r="J25" i="28"/>
  <c r="V23" i="28"/>
  <c r="G18" i="26"/>
  <c r="G18" i="28"/>
  <c r="J16" i="25"/>
  <c r="J15" i="28"/>
  <c r="V13" i="28"/>
  <c r="G8" i="28"/>
  <c r="M23" i="28"/>
  <c r="G19" i="28"/>
  <c r="G9" i="28"/>
  <c r="P13" i="28"/>
  <c r="S19" i="28"/>
  <c r="J9" i="25"/>
  <c r="Q21" i="26"/>
  <c r="T21" i="26" s="1"/>
  <c r="T14" i="26"/>
  <c r="J16" i="28"/>
  <c r="P10" i="28"/>
  <c r="M16" i="28"/>
  <c r="M15" i="28"/>
  <c r="M13" i="28"/>
  <c r="M26" i="28"/>
  <c r="J10" i="25"/>
  <c r="M25" i="28"/>
  <c r="P12" i="28"/>
  <c r="S9" i="28"/>
  <c r="J8" i="28"/>
  <c r="G27" i="26"/>
  <c r="S27" i="28"/>
  <c r="P26" i="28"/>
  <c r="T25" i="26"/>
  <c r="V16" i="28"/>
  <c r="V24" i="28"/>
  <c r="S17" i="28"/>
  <c r="Q12" i="26"/>
  <c r="T12" i="26" s="1"/>
  <c r="J26" i="28"/>
  <c r="J17" i="25"/>
  <c r="V26" i="28"/>
  <c r="N28" i="25"/>
  <c r="Q20" i="26"/>
  <c r="T20" i="26" s="1"/>
  <c r="N18" i="25"/>
  <c r="Q10" i="26"/>
  <c r="T10" i="26" s="1"/>
  <c r="N8" i="25"/>
  <c r="P27" i="28"/>
  <c r="G26" i="26"/>
  <c r="G26" i="28"/>
  <c r="J24" i="25"/>
  <c r="S24" i="28"/>
  <c r="J23" i="28"/>
  <c r="V21" i="28"/>
  <c r="M20" i="28"/>
  <c r="P17" i="28"/>
  <c r="G16" i="26"/>
  <c r="G16" i="28"/>
  <c r="J14" i="25"/>
  <c r="S14" i="28"/>
  <c r="J13" i="28"/>
  <c r="V11" i="28"/>
  <c r="M10" i="28"/>
  <c r="J24" i="28"/>
  <c r="G17" i="28"/>
  <c r="J20" i="25"/>
  <c r="J19" i="28"/>
  <c r="S10" i="28"/>
  <c r="J9" i="28"/>
  <c r="N27" i="25"/>
  <c r="Q22" i="26"/>
  <c r="T22" i="26" s="1"/>
  <c r="N17" i="25"/>
  <c r="G25" i="28"/>
  <c r="V20" i="28"/>
  <c r="G15" i="26"/>
  <c r="J13" i="25"/>
  <c r="S13" i="28"/>
  <c r="J12" i="28"/>
  <c r="V10" i="28"/>
  <c r="G14" i="26"/>
  <c r="T28" i="26"/>
  <c r="N20" i="25"/>
  <c r="Q15" i="26"/>
  <c r="T15" i="26" s="1"/>
  <c r="T8" i="26"/>
  <c r="V17" i="28"/>
  <c r="G12" i="28"/>
  <c r="G25" i="26"/>
  <c r="J23" i="25"/>
  <c r="S23" i="28"/>
  <c r="J22" i="28"/>
  <c r="G15" i="28"/>
  <c r="V27" i="28"/>
  <c r="G27" i="28"/>
  <c r="M21" i="28"/>
  <c r="J14" i="28"/>
  <c r="M11" i="28"/>
  <c r="S20" i="28"/>
  <c r="N16" i="25"/>
  <c r="Q11" i="26"/>
  <c r="T11" i="26" s="1"/>
  <c r="G22" i="28"/>
  <c r="N24" i="25"/>
  <c r="Q27" i="26"/>
  <c r="T27" i="26" s="1"/>
  <c r="Q23" i="26"/>
  <c r="T23" i="26" s="1"/>
  <c r="Q17" i="26"/>
  <c r="T17" i="26" s="1"/>
  <c r="Q13" i="26"/>
  <c r="T13" i="26" s="1"/>
  <c r="G22" i="26"/>
  <c r="Q26" i="26"/>
  <c r="T26" i="26" s="1"/>
  <c r="N21" i="25"/>
  <c r="G19" i="26"/>
  <c r="Q16" i="26"/>
  <c r="T16" i="26" s="1"/>
  <c r="N11" i="25"/>
  <c r="T9" i="26"/>
  <c r="I11" i="29"/>
  <c r="AL41" i="30"/>
  <c r="AH36" i="30"/>
  <c r="AM24" i="30"/>
  <c r="AI38" i="30"/>
  <c r="AJ38" i="30" s="1"/>
  <c r="AH40" i="30"/>
  <c r="AL17" i="30"/>
  <c r="AD37" i="30"/>
  <c r="W37" i="30"/>
  <c r="V39" i="30"/>
  <c r="AD38" i="30"/>
  <c r="L39" i="30"/>
  <c r="AM8" i="30"/>
  <c r="L40" i="30"/>
  <c r="AM29" i="30"/>
  <c r="Y41" i="30"/>
  <c r="Y42" i="30" s="1"/>
  <c r="AI37" i="30"/>
  <c r="V37" i="30"/>
  <c r="L35" i="30"/>
  <c r="V38" i="30"/>
  <c r="AT38" i="30" s="1"/>
  <c r="V36" i="30"/>
  <c r="V35" i="30"/>
  <c r="W39" i="30"/>
  <c r="AI36" i="30"/>
  <c r="AI39" i="30"/>
  <c r="L37" i="30"/>
  <c r="AC41" i="30"/>
  <c r="I36" i="30"/>
  <c r="AD36" i="30"/>
  <c r="AH19" i="30"/>
  <c r="AA38" i="30"/>
  <c r="K41" i="30"/>
  <c r="AD35" i="30"/>
  <c r="AL16" i="30"/>
  <c r="L36" i="30"/>
  <c r="AK17" i="30"/>
  <c r="AA39" i="30"/>
  <c r="L38" i="30"/>
  <c r="AM15" i="30"/>
  <c r="AD39" i="30"/>
  <c r="AM18" i="30"/>
  <c r="AM19" i="30"/>
  <c r="AD40" i="30"/>
  <c r="AH10" i="30"/>
  <c r="AM21" i="30"/>
  <c r="AH25" i="30"/>
  <c r="AM22" i="30"/>
  <c r="AL14" i="30"/>
  <c r="W35" i="30"/>
  <c r="AH21" i="30"/>
  <c r="W36" i="30"/>
  <c r="AT26" i="30"/>
  <c r="AH39" i="30"/>
  <c r="AT19" i="30"/>
  <c r="AA40" i="30"/>
  <c r="G17" i="30"/>
  <c r="I39" i="30"/>
  <c r="AK41" i="30"/>
  <c r="AH37" i="30"/>
  <c r="V40" i="30"/>
  <c r="AM25" i="30"/>
  <c r="AB41" i="30"/>
  <c r="I38" i="30"/>
  <c r="AL12" i="30"/>
  <c r="AL11" i="30" s="1"/>
  <c r="G12" i="30"/>
  <c r="G11" i="30" s="1"/>
  <c r="G14" i="30"/>
  <c r="G16" i="30"/>
  <c r="J42" i="30"/>
  <c r="I35" i="30"/>
  <c r="G41" i="30"/>
  <c r="G42" i="30" s="1"/>
  <c r="I40" i="30"/>
  <c r="AH22" i="30"/>
  <c r="AT22" i="30" s="1"/>
  <c r="AA37" i="30"/>
  <c r="AK20" i="30"/>
  <c r="AM20" i="30" s="1"/>
  <c r="AM32" i="30"/>
  <c r="AM13" i="30"/>
  <c r="AK14" i="30"/>
  <c r="H41" i="30"/>
  <c r="I37" i="30"/>
  <c r="Y12" i="30"/>
  <c r="Y11" i="30" s="1"/>
  <c r="AH8" i="30"/>
  <c r="AH18" i="30"/>
  <c r="AT18" i="30" s="1"/>
  <c r="AM23" i="30"/>
  <c r="AK16" i="30"/>
  <c r="AM10" i="30"/>
  <c r="Y16" i="30"/>
  <c r="AH15" i="30"/>
  <c r="Z41" i="30"/>
  <c r="AI35" i="30"/>
  <c r="AA35" i="30"/>
  <c r="AA36" i="30"/>
  <c r="W38" i="30"/>
  <c r="AK12" i="30"/>
  <c r="AK9" i="30" s="1"/>
  <c r="AI40" i="30"/>
  <c r="AU40" i="30" s="1"/>
  <c r="Y20" i="30"/>
  <c r="AH35" i="30"/>
  <c r="Y17" i="30"/>
  <c r="Y14" i="30"/>
  <c r="AH13" i="30"/>
  <c r="H13" i="29"/>
  <c r="F20" i="29"/>
  <c r="F21" i="29" s="1"/>
  <c r="H25" i="29"/>
  <c r="H15" i="29"/>
  <c r="H11" i="29"/>
  <c r="H26" i="29"/>
  <c r="I17" i="29"/>
  <c r="J17" i="29" s="1"/>
  <c r="J13" i="29"/>
  <c r="J15" i="29"/>
  <c r="H12" i="29"/>
  <c r="H16" i="29"/>
  <c r="H24" i="29"/>
  <c r="I14" i="29"/>
  <c r="I18" i="29"/>
  <c r="I20" i="29"/>
  <c r="I21" i="29" s="1"/>
  <c r="I26" i="29"/>
  <c r="J26" i="29" s="1"/>
  <c r="G14" i="29"/>
  <c r="G18" i="29"/>
  <c r="G20" i="29"/>
  <c r="H10" i="29"/>
  <c r="J10" i="29"/>
  <c r="J12" i="29"/>
  <c r="J16" i="29"/>
  <c r="J24" i="29"/>
  <c r="F14" i="29"/>
  <c r="F18" i="29"/>
  <c r="F17" i="29"/>
  <c r="H17" i="29" s="1"/>
  <c r="G12" i="26"/>
  <c r="Q24" i="26"/>
  <c r="T24" i="26" s="1"/>
  <c r="T19" i="26"/>
  <c r="AT30" i="30" l="1"/>
  <c r="AT37" i="30"/>
  <c r="AT29" i="30" s="1"/>
  <c r="AT8" i="30"/>
  <c r="AU37" i="30"/>
  <c r="AT13" i="30"/>
  <c r="AU38" i="30"/>
  <c r="J11" i="29"/>
  <c r="AT25" i="30"/>
  <c r="AU39" i="30"/>
  <c r="AT35" i="30"/>
  <c r="AT39" i="30"/>
  <c r="AT15" i="30"/>
  <c r="AK42" i="30"/>
  <c r="AQ41" i="30"/>
  <c r="AQ42" i="30" s="1"/>
  <c r="AT40" i="30"/>
  <c r="AT32" i="30" s="1"/>
  <c r="AU36" i="30"/>
  <c r="AT21" i="30"/>
  <c r="AT36" i="30"/>
  <c r="AT28" i="30" s="1"/>
  <c r="AT10" i="30"/>
  <c r="AU35" i="30"/>
  <c r="AL42" i="30"/>
  <c r="AR41" i="30"/>
  <c r="AR42" i="30" s="1"/>
  <c r="X37" i="30"/>
  <c r="AJ36" i="30"/>
  <c r="AM31" i="30"/>
  <c r="AM30" i="30"/>
  <c r="AM17" i="30"/>
  <c r="AM28" i="30"/>
  <c r="AH41" i="30"/>
  <c r="AH42" i="30" s="1"/>
  <c r="Y9" i="30"/>
  <c r="X39" i="30"/>
  <c r="V17" i="30"/>
  <c r="AM16" i="30"/>
  <c r="AD41" i="30"/>
  <c r="AH20" i="30"/>
  <c r="AB42" i="30"/>
  <c r="X36" i="30"/>
  <c r="AM14" i="30"/>
  <c r="V16" i="30"/>
  <c r="X35" i="30"/>
  <c r="AJ37" i="30"/>
  <c r="AJ39" i="30"/>
  <c r="G9" i="30"/>
  <c r="V11" i="30"/>
  <c r="X40" i="30"/>
  <c r="V14" i="30"/>
  <c r="V41" i="30"/>
  <c r="V42" i="30" s="1"/>
  <c r="AM27" i="30"/>
  <c r="AM12" i="30"/>
  <c r="AL9" i="30"/>
  <c r="AM9" i="30" s="1"/>
  <c r="L41" i="30"/>
  <c r="AJ35" i="30"/>
  <c r="AK11" i="30"/>
  <c r="AM11" i="30" s="1"/>
  <c r="V20" i="30"/>
  <c r="AH16" i="30"/>
  <c r="AH12" i="30"/>
  <c r="AH11" i="30" s="1"/>
  <c r="X38" i="30"/>
  <c r="W41" i="30"/>
  <c r="I41" i="30"/>
  <c r="AH14" i="30"/>
  <c r="AH17" i="30"/>
  <c r="AI41" i="30"/>
  <c r="AA41" i="30"/>
  <c r="AJ40" i="30"/>
  <c r="G21" i="29"/>
  <c r="J20" i="29"/>
  <c r="H20" i="29"/>
  <c r="J14" i="29"/>
  <c r="H14" i="29"/>
  <c r="I22" i="29"/>
  <c r="I19" i="29"/>
  <c r="F19" i="29"/>
  <c r="F22" i="29"/>
  <c r="G19" i="29"/>
  <c r="G22" i="29"/>
  <c r="J18" i="29"/>
  <c r="H18" i="29"/>
  <c r="AT31" i="30" l="1"/>
  <c r="AT41" i="30"/>
  <c r="AT42" i="30" s="1"/>
  <c r="AT27" i="30"/>
  <c r="AU41" i="30"/>
  <c r="AV37" i="30"/>
  <c r="AV36" i="30"/>
  <c r="AV39" i="30"/>
  <c r="AT16" i="30"/>
  <c r="V9" i="30"/>
  <c r="AT14" i="30"/>
  <c r="AV40" i="30"/>
  <c r="AV38" i="30"/>
  <c r="AT20" i="30"/>
  <c r="AJ41" i="30"/>
  <c r="AH9" i="30"/>
  <c r="AV35" i="30"/>
  <c r="X41" i="30"/>
  <c r="AT17" i="30"/>
  <c r="AT12" i="30"/>
  <c r="AT9" i="30" s="1"/>
  <c r="I27" i="29"/>
  <c r="I23" i="29"/>
  <c r="H21" i="29"/>
  <c r="J21" i="29"/>
  <c r="F27" i="29"/>
  <c r="F23" i="29"/>
  <c r="G27" i="29"/>
  <c r="G23" i="29"/>
  <c r="H22" i="29"/>
  <c r="J22" i="29"/>
  <c r="H19" i="29"/>
  <c r="J19" i="29"/>
  <c r="AT11" i="30" l="1"/>
  <c r="AV41" i="30"/>
  <c r="H23" i="29"/>
  <c r="J23" i="29"/>
  <c r="H27" i="29"/>
  <c r="G28" i="29"/>
  <c r="G38" i="29"/>
  <c r="J27" i="29"/>
  <c r="G37" i="29"/>
  <c r="I38" i="29"/>
  <c r="I37" i="29"/>
  <c r="I28" i="29"/>
  <c r="F37" i="29"/>
  <c r="F28" i="29"/>
  <c r="F38" i="29"/>
  <c r="J28" i="29" l="1"/>
  <c r="H28" i="29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T51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AE8" i="2"/>
  <c r="G8" i="2"/>
  <c r="AG7" i="2"/>
  <c r="G7" i="2"/>
  <c r="V32" i="1"/>
  <c r="H20" i="1"/>
  <c r="H30" i="1" s="1"/>
  <c r="H31" i="1" s="1"/>
  <c r="V12" i="1"/>
  <c r="E20" i="1"/>
  <c r="L41" i="2" l="1"/>
  <c r="H29" i="1"/>
  <c r="W26" i="2"/>
  <c r="H19" i="1"/>
  <c r="T59" i="2"/>
  <c r="W24" i="1"/>
  <c r="AE16" i="2"/>
  <c r="E22" i="1"/>
  <c r="E33" i="1" s="1"/>
  <c r="T61" i="2"/>
  <c r="AE20" i="2"/>
  <c r="AE11" i="2"/>
  <c r="AE7" i="2"/>
  <c r="W15" i="1"/>
  <c r="S33" i="1"/>
  <c r="R24" i="2"/>
  <c r="W24" i="2"/>
  <c r="E30" i="1"/>
  <c r="H21" i="1"/>
  <c r="H32" i="1" s="1"/>
  <c r="H14" i="1"/>
  <c r="R25" i="2"/>
  <c r="R32" i="2"/>
  <c r="O41" i="2"/>
  <c r="T25" i="2"/>
  <c r="O32" i="2"/>
  <c r="T58" i="2"/>
  <c r="T24" i="2"/>
  <c r="E21" i="1"/>
  <c r="E32" i="1" s="1"/>
  <c r="H22" i="1"/>
  <c r="H33" i="1" s="1"/>
  <c r="O26" i="2"/>
  <c r="E29" i="1"/>
  <c r="O24" i="2"/>
  <c r="R26" i="2"/>
  <c r="J32" i="2"/>
  <c r="W25" i="2"/>
  <c r="T26" i="2"/>
  <c r="R41" i="2"/>
  <c r="J24" i="2"/>
  <c r="T41" i="2"/>
  <c r="T62" i="2"/>
  <c r="J25" i="2"/>
  <c r="W41" i="2"/>
  <c r="T53" i="2"/>
  <c r="T32" i="2"/>
  <c r="J26" i="2"/>
  <c r="W23" i="1"/>
  <c r="W32" i="2"/>
  <c r="S38" i="2"/>
  <c r="O25" i="2"/>
  <c r="AE19" i="2"/>
  <c r="AE13" i="2"/>
  <c r="AE15" i="2"/>
  <c r="AE22" i="2"/>
  <c r="AE23" i="2"/>
  <c r="AE9" i="2"/>
  <c r="AE10" i="2"/>
  <c r="AE12" i="2"/>
  <c r="W13" i="1"/>
  <c r="AE14" i="2"/>
  <c r="AE21" i="2"/>
  <c r="AE17" i="2"/>
  <c r="AE18" i="2"/>
  <c r="W16" i="1"/>
  <c r="W14" i="1"/>
  <c r="AX12" i="30" l="1"/>
  <c r="AX17" i="30"/>
  <c r="AX20" i="30"/>
  <c r="AX20" i="32" s="1"/>
  <c r="AX22" i="30"/>
  <c r="T63" i="2"/>
  <c r="T27" i="2"/>
  <c r="V36" i="1"/>
  <c r="V35" i="1" s="1"/>
  <c r="E23" i="1"/>
  <c r="H23" i="1"/>
  <c r="E31" i="1"/>
  <c r="W27" i="2"/>
  <c r="W43" i="2" s="1"/>
  <c r="W47" i="2" s="1"/>
  <c r="J27" i="2"/>
  <c r="J47" i="2" s="1"/>
  <c r="E14" i="1"/>
  <c r="R27" i="2"/>
  <c r="R43" i="2" s="1"/>
  <c r="R47" i="2" s="1"/>
  <c r="E19" i="1"/>
  <c r="O27" i="2"/>
  <c r="O43" i="2" s="1"/>
  <c r="O47" i="2" s="1"/>
  <c r="S36" i="1"/>
  <c r="S35" i="1" s="1"/>
  <c r="T52" i="2"/>
  <c r="U15" i="1"/>
  <c r="U13" i="1"/>
  <c r="AX21" i="30" l="1"/>
  <c r="AX18" i="30"/>
  <c r="AX17" i="32"/>
  <c r="AX18" i="32" s="1"/>
  <c r="AX13" i="30"/>
  <c r="AX12" i="32"/>
  <c r="AX13" i="32" s="1"/>
  <c r="AX21" i="32"/>
  <c r="AX22" i="32"/>
  <c r="U11" i="1"/>
  <c r="T12" i="1"/>
  <c r="W9" i="1"/>
  <c r="U14" i="1"/>
  <c r="W11" i="1"/>
  <c r="U16" i="1"/>
  <c r="U10" i="1"/>
  <c r="W10" i="1"/>
  <c r="H34" i="1"/>
  <c r="H35" i="1" s="1"/>
  <c r="H24" i="1"/>
  <c r="E34" i="1"/>
  <c r="E35" i="1" s="1"/>
  <c r="E24" i="1"/>
  <c r="T50" i="2"/>
  <c r="T43" i="2"/>
  <c r="S12" i="1" l="1"/>
  <c r="U12" i="1" s="1"/>
  <c r="W12" i="1"/>
  <c r="U9" i="1"/>
  <c r="AE25" i="2"/>
  <c r="E36" i="1"/>
  <c r="E40" i="1"/>
  <c r="E39" i="1"/>
  <c r="H39" i="1"/>
  <c r="H36" i="1"/>
  <c r="H40" i="1"/>
  <c r="T54" i="2"/>
  <c r="T55" i="2" s="1"/>
  <c r="T44" i="2"/>
  <c r="T47" i="2"/>
  <c r="AE26" i="2" l="1"/>
  <c r="AE27" i="2"/>
  <c r="AE24" i="2"/>
  <c r="T56" i="2"/>
  <c r="U24" i="1" l="1"/>
  <c r="U23" i="1" l="1"/>
  <c r="M26" i="2" l="1"/>
  <c r="M24" i="2"/>
  <c r="M32" i="2"/>
  <c r="M25" i="2"/>
  <c r="M27" i="2" l="1"/>
  <c r="M47" i="2" l="1"/>
  <c r="P28" i="27" l="1"/>
  <c r="J28" i="27"/>
  <c r="M25" i="27"/>
  <c r="J26" i="27"/>
  <c r="J27" i="27"/>
  <c r="J23" i="27"/>
  <c r="M22" i="27"/>
  <c r="J22" i="27"/>
  <c r="G22" i="27"/>
  <c r="J21" i="27"/>
  <c r="J19" i="27"/>
  <c r="P18" i="27"/>
  <c r="M16" i="27"/>
  <c r="J15" i="27"/>
  <c r="M14" i="27"/>
  <c r="J12" i="27"/>
  <c r="P13" i="27" l="1"/>
  <c r="P22" i="27"/>
  <c r="M17" i="27"/>
  <c r="P21" i="27"/>
  <c r="G25" i="27"/>
  <c r="J13" i="27"/>
  <c r="J20" i="27"/>
  <c r="M24" i="27"/>
  <c r="P27" i="27"/>
  <c r="J17" i="27"/>
  <c r="P23" i="27"/>
  <c r="M12" i="27"/>
  <c r="P14" i="27"/>
  <c r="M11" i="27"/>
  <c r="P20" i="27"/>
  <c r="G23" i="27"/>
  <c r="V17" i="27"/>
  <c r="S19" i="27"/>
  <c r="G17" i="27"/>
  <c r="M23" i="27"/>
  <c r="V14" i="27"/>
  <c r="M19" i="27"/>
  <c r="V21" i="27"/>
  <c r="P26" i="27"/>
  <c r="V18" i="27"/>
  <c r="G18" i="27"/>
  <c r="M20" i="27"/>
  <c r="P12" i="27"/>
  <c r="P24" i="27"/>
  <c r="V22" i="27"/>
  <c r="G20" i="27"/>
  <c r="S21" i="27"/>
  <c r="P15" i="27"/>
  <c r="P19" i="27"/>
  <c r="S22" i="27"/>
  <c r="S27" i="27"/>
  <c r="J16" i="27"/>
  <c r="V15" i="27"/>
  <c r="S24" i="27"/>
  <c r="P16" i="27"/>
  <c r="V13" i="27"/>
  <c r="M15" i="27"/>
  <c r="V28" i="27"/>
  <c r="V23" i="27"/>
  <c r="P17" i="27"/>
  <c r="G21" i="27"/>
  <c r="G12" i="27"/>
  <c r="M13" i="27"/>
  <c r="G15" i="27"/>
  <c r="J14" i="27"/>
  <c r="V12" i="27"/>
  <c r="S14" i="27"/>
  <c r="G14" i="27"/>
  <c r="G13" i="27"/>
  <c r="S16" i="27"/>
  <c r="V16" i="27"/>
  <c r="S15" i="27"/>
  <c r="V24" i="27"/>
  <c r="G19" i="27"/>
  <c r="J18" i="27"/>
  <c r="G16" i="27"/>
  <c r="S18" i="27"/>
  <c r="M18" i="27"/>
  <c r="M21" i="27"/>
  <c r="S23" i="27"/>
  <c r="V19" i="27"/>
  <c r="G26" i="27"/>
  <c r="S20" i="27"/>
  <c r="G27" i="27"/>
  <c r="M28" i="27"/>
  <c r="V25" i="27"/>
  <c r="J24" i="27"/>
  <c r="M27" i="27"/>
  <c r="G28" i="27"/>
  <c r="J25" i="27"/>
  <c r="M26" i="27"/>
  <c r="G24" i="27"/>
  <c r="V26" i="27"/>
  <c r="P25" i="27"/>
  <c r="S28" i="27"/>
  <c r="G10" i="27" l="1"/>
  <c r="P20" i="26"/>
  <c r="P8" i="27"/>
  <c r="J10" i="27"/>
  <c r="P26" i="26"/>
  <c r="J8" i="27"/>
  <c r="M10" i="27"/>
  <c r="P15" i="26"/>
  <c r="J11" i="27"/>
  <c r="S26" i="27"/>
  <c r="M15" i="26"/>
  <c r="S13" i="27"/>
  <c r="J9" i="27"/>
  <c r="M20" i="26"/>
  <c r="V20" i="27"/>
  <c r="V8" i="27"/>
  <c r="P11" i="27"/>
  <c r="P10" i="27"/>
  <c r="V27" i="27"/>
  <c r="M21" i="26"/>
  <c r="M23" i="26"/>
  <c r="P23" i="26"/>
  <c r="M22" i="26"/>
  <c r="P9" i="27"/>
  <c r="P22" i="26"/>
  <c r="P27" i="26"/>
  <c r="G11" i="27"/>
  <c r="P28" i="26"/>
  <c r="M28" i="26"/>
  <c r="P16" i="26"/>
  <c r="M16" i="26"/>
  <c r="G8" i="27"/>
  <c r="P13" i="26"/>
  <c r="M13" i="26"/>
  <c r="G9" i="27"/>
  <c r="M14" i="26"/>
  <c r="P14" i="26"/>
  <c r="P12" i="26"/>
  <c r="M12" i="26"/>
  <c r="S12" i="27"/>
  <c r="P25" i="26"/>
  <c r="M24" i="26"/>
  <c r="S17" i="27"/>
  <c r="V9" i="27"/>
  <c r="S25" i="27"/>
  <c r="P18" i="26"/>
  <c r="M18" i="26"/>
  <c r="M9" i="27"/>
  <c r="P17" i="26"/>
  <c r="M17" i="26"/>
  <c r="M8" i="27"/>
  <c r="V26" i="25" l="1"/>
  <c r="M27" i="26"/>
  <c r="P19" i="26"/>
  <c r="M26" i="26"/>
  <c r="V18" i="25"/>
  <c r="V12" i="25"/>
  <c r="M25" i="26"/>
  <c r="V23" i="25"/>
  <c r="M19" i="26"/>
  <c r="V16" i="25"/>
  <c r="V13" i="25"/>
  <c r="P21" i="26"/>
  <c r="V22" i="25"/>
  <c r="P24" i="26"/>
  <c r="P11" i="26"/>
  <c r="V11" i="27"/>
  <c r="S8" i="27"/>
  <c r="P10" i="26"/>
  <c r="M10" i="26"/>
  <c r="S11" i="27"/>
  <c r="P9" i="26"/>
  <c r="M9" i="26"/>
  <c r="S9" i="27"/>
  <c r="P8" i="26"/>
  <c r="M8" i="26"/>
  <c r="V25" i="25" l="1"/>
  <c r="V10" i="27"/>
  <c r="V14" i="25"/>
  <c r="V24" i="25"/>
  <c r="V8" i="25"/>
  <c r="M11" i="26"/>
  <c r="V19" i="25"/>
  <c r="V15" i="25"/>
  <c r="V28" i="25"/>
  <c r="S10" i="27"/>
  <c r="V20" i="25"/>
  <c r="V21" i="25"/>
  <c r="V10" i="25"/>
  <c r="V27" i="25"/>
  <c r="V9" i="25"/>
  <c r="V17" i="25"/>
  <c r="G16" i="25"/>
  <c r="Y16" i="25" s="1"/>
  <c r="Z16" i="25" s="1"/>
  <c r="V11" i="25"/>
  <c r="G25" i="25"/>
  <c r="J14" i="26" l="1"/>
  <c r="R14" i="26"/>
  <c r="J17" i="26"/>
  <c r="R17" i="26"/>
  <c r="R15" i="25"/>
  <c r="R12" i="26"/>
  <c r="J12" i="26"/>
  <c r="J13" i="26"/>
  <c r="R13" i="26"/>
  <c r="J24" i="26"/>
  <c r="R24" i="26"/>
  <c r="J18" i="26"/>
  <c r="R18" i="26"/>
  <c r="R16" i="26"/>
  <c r="J16" i="26"/>
  <c r="R28" i="26"/>
  <c r="J28" i="26"/>
  <c r="Y25" i="25"/>
  <c r="Z25" i="25" s="1"/>
  <c r="J25" i="26"/>
  <c r="R25" i="26"/>
  <c r="AF21" i="2"/>
  <c r="R22" i="25"/>
  <c r="AF14" i="2"/>
  <c r="AF10" i="2"/>
  <c r="G20" i="25"/>
  <c r="Y20" i="25" s="1"/>
  <c r="Z20" i="25" s="1"/>
  <c r="G12" i="25"/>
  <c r="Y12" i="25" s="1"/>
  <c r="Z12" i="25" s="1"/>
  <c r="G22" i="25"/>
  <c r="Y22" i="25" s="1"/>
  <c r="Z22" i="25" s="1"/>
  <c r="G24" i="25"/>
  <c r="Y24" i="25" s="1"/>
  <c r="Z24" i="25" s="1"/>
  <c r="AF22" i="2"/>
  <c r="G13" i="25"/>
  <c r="Y13" i="25" s="1"/>
  <c r="Z13" i="25" s="1"/>
  <c r="G28" i="25"/>
  <c r="Y28" i="25" s="1"/>
  <c r="Z28" i="25" s="1"/>
  <c r="G23" i="25"/>
  <c r="Y23" i="25" s="1"/>
  <c r="Z23" i="25" s="1"/>
  <c r="AF15" i="2"/>
  <c r="AF18" i="2"/>
  <c r="G14" i="25"/>
  <c r="Y14" i="25" s="1"/>
  <c r="Z14" i="25" s="1"/>
  <c r="G26" i="25"/>
  <c r="Y26" i="25" s="1"/>
  <c r="Z26" i="25" s="1"/>
  <c r="AF17" i="2"/>
  <c r="G21" i="25"/>
  <c r="Y21" i="25" s="1"/>
  <c r="Z21" i="25" s="1"/>
  <c r="G18" i="25"/>
  <c r="Y18" i="25" s="1"/>
  <c r="Z18" i="25" s="1"/>
  <c r="G27" i="25"/>
  <c r="Y27" i="25" s="1"/>
  <c r="Z27" i="25" s="1"/>
  <c r="G17" i="25"/>
  <c r="Y17" i="25" s="1"/>
  <c r="Z17" i="25" s="1"/>
  <c r="G15" i="25"/>
  <c r="Y15" i="25" s="1"/>
  <c r="Z15" i="25" s="1"/>
  <c r="G19" i="25"/>
  <c r="Y19" i="25" s="1"/>
  <c r="Z19" i="25" s="1"/>
  <c r="AF16" i="2"/>
  <c r="R19" i="25"/>
  <c r="J23" i="26" l="1"/>
  <c r="R23" i="26"/>
  <c r="R11" i="26"/>
  <c r="J11" i="26"/>
  <c r="R26" i="25"/>
  <c r="S16" i="26"/>
  <c r="U16" i="26"/>
  <c r="V16" i="26" s="1"/>
  <c r="S18" i="26"/>
  <c r="U18" i="26"/>
  <c r="V18" i="26" s="1"/>
  <c r="S17" i="26"/>
  <c r="U17" i="26"/>
  <c r="V17" i="26" s="1"/>
  <c r="R21" i="25"/>
  <c r="S24" i="26"/>
  <c r="U24" i="26"/>
  <c r="V24" i="26" s="1"/>
  <c r="U14" i="26"/>
  <c r="V14" i="26" s="1"/>
  <c r="S14" i="26"/>
  <c r="J8" i="26"/>
  <c r="R8" i="26"/>
  <c r="R20" i="25"/>
  <c r="R26" i="26"/>
  <c r="J26" i="26"/>
  <c r="J20" i="26"/>
  <c r="R20" i="26"/>
  <c r="S25" i="26"/>
  <c r="U25" i="26"/>
  <c r="V25" i="26" s="1"/>
  <c r="J10" i="26"/>
  <c r="R10" i="26"/>
  <c r="S13" i="26"/>
  <c r="U13" i="26"/>
  <c r="V13" i="26" s="1"/>
  <c r="R19" i="26"/>
  <c r="J19" i="26"/>
  <c r="J22" i="26"/>
  <c r="R22" i="26"/>
  <c r="J15" i="26"/>
  <c r="R15" i="26"/>
  <c r="J9" i="26"/>
  <c r="R9" i="26"/>
  <c r="R21" i="26"/>
  <c r="J21" i="26"/>
  <c r="U28" i="26"/>
  <c r="V28" i="26" s="1"/>
  <c r="S28" i="26"/>
  <c r="J27" i="26"/>
  <c r="R27" i="26"/>
  <c r="U12" i="26"/>
  <c r="V12" i="26" s="1"/>
  <c r="S12" i="26"/>
  <c r="AF19" i="2"/>
  <c r="AF9" i="2"/>
  <c r="AF13" i="2"/>
  <c r="AF7" i="2"/>
  <c r="AF12" i="2"/>
  <c r="AF8" i="2"/>
  <c r="AF11" i="2"/>
  <c r="G8" i="25"/>
  <c r="Y8" i="25" s="1"/>
  <c r="Z8" i="25" s="1"/>
  <c r="G10" i="25"/>
  <c r="Y10" i="25" s="1"/>
  <c r="Z10" i="25" s="1"/>
  <c r="AF23" i="2"/>
  <c r="AF20" i="2"/>
  <c r="G9" i="25" l="1"/>
  <c r="Y9" i="25" s="1"/>
  <c r="Z9" i="25" s="1"/>
  <c r="R25" i="25"/>
  <c r="R28" i="25"/>
  <c r="R16" i="25"/>
  <c r="S9" i="26"/>
  <c r="U9" i="26"/>
  <c r="V9" i="26" s="1"/>
  <c r="S20" i="26"/>
  <c r="U20" i="26"/>
  <c r="V20" i="26" s="1"/>
  <c r="R14" i="25"/>
  <c r="R12" i="25"/>
  <c r="U15" i="26"/>
  <c r="V15" i="26" s="1"/>
  <c r="S15" i="26"/>
  <c r="U26" i="26"/>
  <c r="V26" i="26" s="1"/>
  <c r="S26" i="26"/>
  <c r="U11" i="26"/>
  <c r="V11" i="26" s="1"/>
  <c r="S11" i="26"/>
  <c r="R17" i="25"/>
  <c r="U22" i="26"/>
  <c r="V22" i="26" s="1"/>
  <c r="S22" i="26"/>
  <c r="U23" i="26"/>
  <c r="V23" i="26" s="1"/>
  <c r="S23" i="26"/>
  <c r="R13" i="25"/>
  <c r="R23" i="25"/>
  <c r="S8" i="26"/>
  <c r="U8" i="26"/>
  <c r="V8" i="26" s="1"/>
  <c r="R27" i="25"/>
  <c r="S10" i="26"/>
  <c r="U10" i="26"/>
  <c r="V10" i="26" s="1"/>
  <c r="R18" i="25"/>
  <c r="U21" i="26"/>
  <c r="V21" i="26" s="1"/>
  <c r="S21" i="26"/>
  <c r="U19" i="26"/>
  <c r="V19" i="26" s="1"/>
  <c r="S19" i="26"/>
  <c r="G11" i="25"/>
  <c r="Y11" i="25" s="1"/>
  <c r="Z11" i="25" s="1"/>
  <c r="U27" i="26"/>
  <c r="V27" i="26" s="1"/>
  <c r="S27" i="26"/>
  <c r="R24" i="25"/>
  <c r="AF24" i="2"/>
  <c r="R10" i="25"/>
  <c r="AF26" i="2"/>
  <c r="AF27" i="2"/>
  <c r="R8" i="25"/>
  <c r="R9" i="25"/>
  <c r="R11" i="25"/>
  <c r="AF25" i="2"/>
  <c r="W17" i="1" l="1"/>
  <c r="U17" i="1"/>
  <c r="W18" i="1"/>
  <c r="U18" i="1"/>
  <c r="W19" i="1"/>
  <c r="U19" i="1"/>
  <c r="W20" i="1"/>
  <c r="U20" i="1"/>
  <c r="U39" i="2" l="1"/>
  <c r="F8" i="1"/>
  <c r="K28" i="2"/>
  <c r="V39" i="2" l="1"/>
  <c r="X39" i="2"/>
  <c r="N28" i="2"/>
  <c r="L28" i="2"/>
  <c r="G8" i="1"/>
  <c r="I8" i="1"/>
  <c r="P21" i="2" l="1"/>
  <c r="K31" i="2"/>
  <c r="K12" i="2"/>
  <c r="K17" i="2"/>
  <c r="K15" i="2"/>
  <c r="K30" i="2"/>
  <c r="K10" i="2"/>
  <c r="K9" i="2"/>
  <c r="K19" i="2"/>
  <c r="K8" i="2"/>
  <c r="K21" i="2"/>
  <c r="K18" i="2"/>
  <c r="K13" i="2"/>
  <c r="K14" i="2"/>
  <c r="K23" i="2"/>
  <c r="K20" i="2"/>
  <c r="K16" i="2"/>
  <c r="Q21" i="2" l="1"/>
  <c r="S21" i="2"/>
  <c r="N30" i="2"/>
  <c r="L30" i="2"/>
  <c r="N15" i="2"/>
  <c r="L15" i="2"/>
  <c r="N12" i="2"/>
  <c r="L12" i="2"/>
  <c r="N18" i="2"/>
  <c r="L18" i="2"/>
  <c r="N21" i="2"/>
  <c r="L21" i="2"/>
  <c r="L14" i="2"/>
  <c r="N14" i="2"/>
  <c r="N17" i="2"/>
  <c r="L17" i="2"/>
  <c r="L13" i="2"/>
  <c r="N13" i="2"/>
  <c r="L31" i="2"/>
  <c r="N31" i="2"/>
  <c r="L16" i="2"/>
  <c r="N16" i="2"/>
  <c r="N8" i="2"/>
  <c r="L8" i="2"/>
  <c r="N20" i="2"/>
  <c r="L20" i="2"/>
  <c r="L23" i="2"/>
  <c r="N23" i="2"/>
  <c r="L19" i="2"/>
  <c r="N19" i="2"/>
  <c r="N9" i="2"/>
  <c r="L9" i="2"/>
  <c r="L10" i="2"/>
  <c r="N10" i="2"/>
  <c r="F16" i="1"/>
  <c r="P30" i="2"/>
  <c r="P19" i="2"/>
  <c r="P7" i="2"/>
  <c r="P22" i="2"/>
  <c r="P17" i="2"/>
  <c r="K22" i="2"/>
  <c r="K26" i="2" s="1"/>
  <c r="K7" i="2"/>
  <c r="K11" i="2"/>
  <c r="P29" i="2"/>
  <c r="P14" i="2"/>
  <c r="P11" i="2"/>
  <c r="P15" i="2"/>
  <c r="K29" i="2"/>
  <c r="P9" i="2" l="1"/>
  <c r="I16" i="1"/>
  <c r="G16" i="1"/>
  <c r="Q15" i="2"/>
  <c r="S15" i="2"/>
  <c r="P23" i="2"/>
  <c r="P16" i="2"/>
  <c r="S29" i="2"/>
  <c r="Q29" i="2"/>
  <c r="S30" i="2"/>
  <c r="Q30" i="2"/>
  <c r="Q19" i="2"/>
  <c r="S19" i="2"/>
  <c r="S11" i="2"/>
  <c r="Q11" i="2"/>
  <c r="F11" i="1"/>
  <c r="P28" i="2"/>
  <c r="P13" i="2"/>
  <c r="P18" i="2"/>
  <c r="P31" i="2"/>
  <c r="P32" i="2" s="1"/>
  <c r="P10" i="2"/>
  <c r="P12" i="2"/>
  <c r="P8" i="2"/>
  <c r="Q22" i="2"/>
  <c r="S22" i="2"/>
  <c r="P20" i="2"/>
  <c r="S7" i="2"/>
  <c r="Q7" i="2"/>
  <c r="S17" i="2"/>
  <c r="Q17" i="2"/>
  <c r="Q14" i="2"/>
  <c r="S14" i="2"/>
  <c r="L26" i="2"/>
  <c r="N26" i="2"/>
  <c r="N7" i="2"/>
  <c r="L7" i="2"/>
  <c r="K24" i="2"/>
  <c r="N11" i="2"/>
  <c r="K25" i="2"/>
  <c r="L11" i="2"/>
  <c r="N29" i="2"/>
  <c r="K32" i="2"/>
  <c r="L29" i="2"/>
  <c r="N22" i="2"/>
  <c r="L22" i="2"/>
  <c r="F9" i="1"/>
  <c r="P33" i="2"/>
  <c r="F17" i="1"/>
  <c r="P34" i="2"/>
  <c r="F7" i="1"/>
  <c r="U37" i="2"/>
  <c r="F12" i="1"/>
  <c r="F10" i="1"/>
  <c r="S8" i="2" l="1"/>
  <c r="Q8" i="2"/>
  <c r="AY17" i="30"/>
  <c r="AY17" i="32" s="1"/>
  <c r="Q32" i="2"/>
  <c r="S32" i="2"/>
  <c r="S16" i="2"/>
  <c r="Q16" i="2"/>
  <c r="S34" i="2"/>
  <c r="Q34" i="2"/>
  <c r="S23" i="2"/>
  <c r="Q23" i="2"/>
  <c r="S20" i="2"/>
  <c r="Q20" i="2"/>
  <c r="I17" i="1"/>
  <c r="G17" i="1"/>
  <c r="V37" i="2"/>
  <c r="X37" i="2"/>
  <c r="U60" i="2"/>
  <c r="V60" i="2" s="1"/>
  <c r="I10" i="1"/>
  <c r="G10" i="1"/>
  <c r="U13" i="2"/>
  <c r="Q33" i="2"/>
  <c r="S33" i="2"/>
  <c r="Q18" i="2"/>
  <c r="S18" i="2"/>
  <c r="G12" i="1"/>
  <c r="I12" i="1"/>
  <c r="F22" i="1"/>
  <c r="F15" i="1"/>
  <c r="U12" i="2"/>
  <c r="Q13" i="2"/>
  <c r="S13" i="2"/>
  <c r="S12" i="2"/>
  <c r="Q12" i="2"/>
  <c r="Q10" i="2"/>
  <c r="S10" i="2"/>
  <c r="S28" i="2"/>
  <c r="Q28" i="2"/>
  <c r="P24" i="2"/>
  <c r="I11" i="1"/>
  <c r="G11" i="1"/>
  <c r="F21" i="1"/>
  <c r="U10" i="2"/>
  <c r="S9" i="2"/>
  <c r="Q9" i="2"/>
  <c r="P26" i="2"/>
  <c r="U39" i="31"/>
  <c r="Q31" i="2"/>
  <c r="S31" i="2"/>
  <c r="P25" i="2"/>
  <c r="G9" i="1"/>
  <c r="I9" i="1"/>
  <c r="AY12" i="30"/>
  <c r="AY12" i="32" s="1"/>
  <c r="L32" i="2"/>
  <c r="N32" i="2"/>
  <c r="N25" i="2"/>
  <c r="L25" i="2"/>
  <c r="L24" i="2"/>
  <c r="N24" i="2"/>
  <c r="K27" i="2"/>
  <c r="A7" i="1"/>
  <c r="I7" i="1"/>
  <c r="G7" i="1"/>
  <c r="U11" i="2"/>
  <c r="U31" i="2"/>
  <c r="U30" i="2"/>
  <c r="U29" i="2"/>
  <c r="U36" i="2"/>
  <c r="K46" i="2"/>
  <c r="U35" i="2"/>
  <c r="F26" i="1"/>
  <c r="K47" i="2" l="1"/>
  <c r="X35" i="2"/>
  <c r="T34" i="1"/>
  <c r="V35" i="2"/>
  <c r="U16" i="2"/>
  <c r="F27" i="1"/>
  <c r="F33" i="1" s="1"/>
  <c r="X29" i="2"/>
  <c r="V29" i="2"/>
  <c r="U32" i="2"/>
  <c r="X11" i="2"/>
  <c r="V11" i="2"/>
  <c r="S25" i="2"/>
  <c r="Q25" i="2"/>
  <c r="X12" i="2"/>
  <c r="V12" i="2"/>
  <c r="U17" i="2"/>
  <c r="G26" i="1"/>
  <c r="I26" i="1"/>
  <c r="X10" i="2"/>
  <c r="V10" i="2"/>
  <c r="V31" i="2"/>
  <c r="X31" i="2"/>
  <c r="U23" i="2"/>
  <c r="G22" i="1"/>
  <c r="I22" i="1"/>
  <c r="U19" i="2"/>
  <c r="X39" i="31"/>
  <c r="V39" i="31"/>
  <c r="Q26" i="2"/>
  <c r="S26" i="2"/>
  <c r="I21" i="1"/>
  <c r="G21" i="1"/>
  <c r="F32" i="1"/>
  <c r="U59" i="2"/>
  <c r="V59" i="2" s="1"/>
  <c r="V36" i="2"/>
  <c r="X36" i="2"/>
  <c r="U9" i="2"/>
  <c r="K28" i="31"/>
  <c r="N28" i="31" s="1"/>
  <c r="K8" i="1"/>
  <c r="X30" i="2"/>
  <c r="V30" i="2"/>
  <c r="U22" i="2"/>
  <c r="Q24" i="2"/>
  <c r="P27" i="2"/>
  <c r="S24" i="2"/>
  <c r="V13" i="2"/>
  <c r="X13" i="2"/>
  <c r="U8" i="2"/>
  <c r="U14" i="2"/>
  <c r="F18" i="1"/>
  <c r="G15" i="1"/>
  <c r="I15" i="1"/>
  <c r="F19" i="1"/>
  <c r="U21" i="2"/>
  <c r="U15" i="2"/>
  <c r="F20" i="1"/>
  <c r="U20" i="2"/>
  <c r="U18" i="2"/>
  <c r="G27" i="2"/>
  <c r="N27" i="2"/>
  <c r="L27" i="2"/>
  <c r="X18" i="2" l="1"/>
  <c r="V18" i="2"/>
  <c r="S27" i="2"/>
  <c r="Q27" i="2"/>
  <c r="X20" i="2"/>
  <c r="V20" i="2"/>
  <c r="V23" i="2"/>
  <c r="X23" i="2"/>
  <c r="V19" i="2"/>
  <c r="X19" i="2"/>
  <c r="U26" i="2"/>
  <c r="P46" i="2"/>
  <c r="P40" i="2"/>
  <c r="F13" i="1"/>
  <c r="G19" i="1"/>
  <c r="I19" i="1"/>
  <c r="I27" i="1"/>
  <c r="G27" i="1"/>
  <c r="X9" i="2"/>
  <c r="V9" i="2"/>
  <c r="U25" i="2"/>
  <c r="I20" i="1"/>
  <c r="G20" i="1"/>
  <c r="G33" i="1"/>
  <c r="I33" i="1"/>
  <c r="X16" i="2"/>
  <c r="V16" i="2"/>
  <c r="U28" i="2"/>
  <c r="U34" i="2"/>
  <c r="I18" i="1"/>
  <c r="G18" i="1"/>
  <c r="U7" i="2"/>
  <c r="AY20" i="30"/>
  <c r="AY20" i="32" s="1"/>
  <c r="X32" i="2"/>
  <c r="V32" i="2"/>
  <c r="U52" i="2"/>
  <c r="V52" i="2" s="1"/>
  <c r="L28" i="31"/>
  <c r="X14" i="2"/>
  <c r="V14" i="2"/>
  <c r="V21" i="2"/>
  <c r="X21" i="2"/>
  <c r="U33" i="2"/>
  <c r="V15" i="2"/>
  <c r="X15" i="2"/>
  <c r="V8" i="2"/>
  <c r="X8" i="2"/>
  <c r="I32" i="1"/>
  <c r="G32" i="1"/>
  <c r="U34" i="1"/>
  <c r="W34" i="1"/>
  <c r="V22" i="2"/>
  <c r="X22" i="2"/>
  <c r="L8" i="1"/>
  <c r="N8" i="1"/>
  <c r="F25" i="1"/>
  <c r="F30" i="1" s="1"/>
  <c r="X17" i="2"/>
  <c r="V17" i="2"/>
  <c r="F31" i="1" l="1"/>
  <c r="I30" i="1"/>
  <c r="G30" i="1"/>
  <c r="I13" i="1"/>
  <c r="G13" i="1"/>
  <c r="F23" i="1"/>
  <c r="F14" i="1"/>
  <c r="T33" i="1"/>
  <c r="V34" i="2"/>
  <c r="X34" i="2"/>
  <c r="V7" i="2"/>
  <c r="X7" i="2"/>
  <c r="U24" i="2"/>
  <c r="X28" i="2"/>
  <c r="U51" i="2"/>
  <c r="V51" i="2" s="1"/>
  <c r="V28" i="2"/>
  <c r="S40" i="2"/>
  <c r="Q40" i="2"/>
  <c r="P41" i="2"/>
  <c r="X26" i="2"/>
  <c r="V26" i="2"/>
  <c r="X25" i="2"/>
  <c r="V25" i="2"/>
  <c r="G25" i="1"/>
  <c r="I25" i="1"/>
  <c r="T32" i="1"/>
  <c r="X33" i="2"/>
  <c r="V33" i="2"/>
  <c r="U58" i="2"/>
  <c r="U53" i="2"/>
  <c r="V53" i="2" l="1"/>
  <c r="X24" i="2"/>
  <c r="V24" i="2"/>
  <c r="U27" i="2"/>
  <c r="W33" i="1"/>
  <c r="U33" i="1"/>
  <c r="G23" i="1"/>
  <c r="I23" i="1"/>
  <c r="F24" i="1"/>
  <c r="I14" i="1"/>
  <c r="G14" i="1"/>
  <c r="A14" i="1"/>
  <c r="V58" i="2"/>
  <c r="W32" i="1"/>
  <c r="U32" i="1"/>
  <c r="Q41" i="2"/>
  <c r="S41" i="2"/>
  <c r="P43" i="2"/>
  <c r="I31" i="1"/>
  <c r="G31" i="1"/>
  <c r="G24" i="1" l="1"/>
  <c r="I24" i="1"/>
  <c r="X27" i="2"/>
  <c r="V27" i="2"/>
  <c r="U50" i="2"/>
  <c r="P44" i="2"/>
  <c r="G43" i="2"/>
  <c r="S43" i="2"/>
  <c r="Q43" i="2"/>
  <c r="P47" i="2"/>
  <c r="V50" i="2" l="1"/>
  <c r="W50" i="2"/>
  <c r="K30" i="31" l="1"/>
  <c r="K9" i="31"/>
  <c r="K7" i="31"/>
  <c r="K19" i="31"/>
  <c r="K23" i="31"/>
  <c r="K22" i="31"/>
  <c r="K13" i="31"/>
  <c r="K29" i="31"/>
  <c r="K11" i="31"/>
  <c r="K12" i="31"/>
  <c r="P21" i="31"/>
  <c r="P18" i="31"/>
  <c r="P19" i="31"/>
  <c r="P31" i="31"/>
  <c r="Q18" i="31" l="1"/>
  <c r="S18" i="31"/>
  <c r="K8" i="31"/>
  <c r="L8" i="31" s="1"/>
  <c r="K18" i="31"/>
  <c r="N18" i="31" s="1"/>
  <c r="K15" i="31"/>
  <c r="N15" i="31" s="1"/>
  <c r="K7" i="1"/>
  <c r="K10" i="31"/>
  <c r="N10" i="31" s="1"/>
  <c r="Q21" i="31"/>
  <c r="S21" i="31"/>
  <c r="K14" i="31"/>
  <c r="N14" i="31" s="1"/>
  <c r="K9" i="1"/>
  <c r="K31" i="31"/>
  <c r="K32" i="31" s="1"/>
  <c r="P23" i="31"/>
  <c r="K21" i="31"/>
  <c r="N21" i="31" s="1"/>
  <c r="K16" i="31"/>
  <c r="N16" i="31" s="1"/>
  <c r="Q31" i="31"/>
  <c r="S31" i="31"/>
  <c r="P20" i="31"/>
  <c r="P22" i="31"/>
  <c r="Q19" i="31"/>
  <c r="S19" i="31"/>
  <c r="K20" i="31"/>
  <c r="K17" i="31"/>
  <c r="N17" i="31" s="1"/>
  <c r="N8" i="31"/>
  <c r="L18" i="31"/>
  <c r="L11" i="31"/>
  <c r="N11" i="31"/>
  <c r="N23" i="31"/>
  <c r="L23" i="31"/>
  <c r="N12" i="31"/>
  <c r="L12" i="31"/>
  <c r="L29" i="31"/>
  <c r="N29" i="31"/>
  <c r="N19" i="31"/>
  <c r="L19" i="31"/>
  <c r="N13" i="31"/>
  <c r="L13" i="31"/>
  <c r="N7" i="31"/>
  <c r="L7" i="31"/>
  <c r="N9" i="31"/>
  <c r="L9" i="31"/>
  <c r="N22" i="31"/>
  <c r="L22" i="31"/>
  <c r="L30" i="31"/>
  <c r="N30" i="31"/>
  <c r="U37" i="31"/>
  <c r="K46" i="31"/>
  <c r="P26" i="31" l="1"/>
  <c r="L14" i="31"/>
  <c r="L21" i="31"/>
  <c r="K26" i="31"/>
  <c r="K24" i="31"/>
  <c r="S26" i="31"/>
  <c r="Q26" i="31"/>
  <c r="V37" i="31"/>
  <c r="X37" i="31"/>
  <c r="U60" i="31"/>
  <c r="V60" i="31" s="1"/>
  <c r="N9" i="1"/>
  <c r="L9" i="1"/>
  <c r="L20" i="31"/>
  <c r="N20" i="31"/>
  <c r="S20" i="31"/>
  <c r="Q20" i="31"/>
  <c r="N31" i="31"/>
  <c r="L7" i="1"/>
  <c r="N7" i="1"/>
  <c r="B7" i="1"/>
  <c r="L31" i="31"/>
  <c r="S22" i="31"/>
  <c r="Q22" i="31"/>
  <c r="K25" i="31"/>
  <c r="L25" i="31" s="1"/>
  <c r="L10" i="31"/>
  <c r="L16" i="31"/>
  <c r="L15" i="31"/>
  <c r="L17" i="31"/>
  <c r="U36" i="31"/>
  <c r="S23" i="31"/>
  <c r="Q23" i="31"/>
  <c r="N24" i="31"/>
  <c r="L24" i="31"/>
  <c r="L26" i="31"/>
  <c r="N26" i="31"/>
  <c r="N32" i="31"/>
  <c r="L32" i="31"/>
  <c r="U18" i="31"/>
  <c r="U19" i="31"/>
  <c r="U38" i="31"/>
  <c r="U20" i="31"/>
  <c r="U22" i="31"/>
  <c r="U23" i="31"/>
  <c r="U21" i="31"/>
  <c r="U38" i="2"/>
  <c r="K27" i="31" l="1"/>
  <c r="V19" i="31"/>
  <c r="U26" i="31"/>
  <c r="X19" i="31"/>
  <c r="X18" i="31"/>
  <c r="V18" i="31"/>
  <c r="X20" i="31"/>
  <c r="V20" i="31"/>
  <c r="U61" i="31"/>
  <c r="V61" i="31" s="1"/>
  <c r="V38" i="31"/>
  <c r="X38" i="31"/>
  <c r="X23" i="31"/>
  <c r="V23" i="31"/>
  <c r="U61" i="2"/>
  <c r="V38" i="2"/>
  <c r="X38" i="2"/>
  <c r="X22" i="31"/>
  <c r="V22" i="31"/>
  <c r="V21" i="31"/>
  <c r="X21" i="31"/>
  <c r="N25" i="31"/>
  <c r="V36" i="31"/>
  <c r="U59" i="31"/>
  <c r="V59" i="31" s="1"/>
  <c r="X36" i="31"/>
  <c r="G27" i="31"/>
  <c r="L27" i="31"/>
  <c r="N27" i="31"/>
  <c r="F28" i="1"/>
  <c r="V61" i="2" l="1"/>
  <c r="I28" i="1"/>
  <c r="G28" i="1"/>
  <c r="F29" i="1"/>
  <c r="F34" i="1"/>
  <c r="V26" i="31"/>
  <c r="X26" i="31"/>
  <c r="U46" i="2" l="1"/>
  <c r="F38" i="1"/>
  <c r="U40" i="2"/>
  <c r="I34" i="1"/>
  <c r="G34" i="1"/>
  <c r="F35" i="1"/>
  <c r="G29" i="1"/>
  <c r="I29" i="1"/>
  <c r="G35" i="1" l="1"/>
  <c r="F36" i="1"/>
  <c r="F40" i="1"/>
  <c r="F39" i="1"/>
  <c r="I35" i="1"/>
  <c r="X40" i="2"/>
  <c r="U62" i="2"/>
  <c r="V40" i="2"/>
  <c r="U41" i="2"/>
  <c r="U54" i="2"/>
  <c r="V54" i="2" l="1"/>
  <c r="V55" i="2" s="1"/>
  <c r="U55" i="2"/>
  <c r="U56" i="2"/>
  <c r="V56" i="2" s="1"/>
  <c r="V41" i="2"/>
  <c r="X41" i="2"/>
  <c r="T36" i="1"/>
  <c r="U43" i="2"/>
  <c r="V62" i="2"/>
  <c r="V63" i="2" s="1"/>
  <c r="U63" i="2"/>
  <c r="G36" i="1"/>
  <c r="I36" i="1"/>
  <c r="G44" i="2" l="1"/>
  <c r="U44" i="2"/>
  <c r="V43" i="2"/>
  <c r="X43" i="2"/>
  <c r="U47" i="2"/>
  <c r="T35" i="1"/>
  <c r="W36" i="1"/>
  <c r="U36" i="1"/>
  <c r="W35" i="1" l="1"/>
  <c r="U35" i="1"/>
  <c r="P10" i="31" l="1"/>
  <c r="Q10" i="31" l="1"/>
  <c r="S10" i="31"/>
  <c r="K47" i="31" l="1"/>
  <c r="P17" i="31" l="1"/>
  <c r="P9" i="31"/>
  <c r="P15" i="31"/>
  <c r="P7" i="31"/>
  <c r="P29" i="31"/>
  <c r="P30" i="31"/>
  <c r="P14" i="31"/>
  <c r="P12" i="31"/>
  <c r="P16" i="31"/>
  <c r="P11" i="31"/>
  <c r="P8" i="31"/>
  <c r="P13" i="31"/>
  <c r="S16" i="31" l="1"/>
  <c r="Q16" i="31"/>
  <c r="S14" i="31"/>
  <c r="Q14" i="31"/>
  <c r="P24" i="31"/>
  <c r="Q7" i="31"/>
  <c r="S7" i="31"/>
  <c r="P28" i="31"/>
  <c r="K11" i="1"/>
  <c r="Q30" i="31"/>
  <c r="S30" i="31"/>
  <c r="S12" i="31"/>
  <c r="Q12" i="31"/>
  <c r="S29" i="31"/>
  <c r="Q29" i="31"/>
  <c r="P32" i="31"/>
  <c r="Q17" i="31"/>
  <c r="S17" i="31"/>
  <c r="Q15" i="31"/>
  <c r="S15" i="31"/>
  <c r="Q9" i="31"/>
  <c r="S9" i="31"/>
  <c r="Q13" i="31"/>
  <c r="S13" i="31"/>
  <c r="S8" i="31"/>
  <c r="Q8" i="31"/>
  <c r="Q11" i="31"/>
  <c r="S11" i="31"/>
  <c r="P25" i="31"/>
  <c r="K12" i="1"/>
  <c r="K10" i="1"/>
  <c r="P33" i="31"/>
  <c r="S25" i="31" l="1"/>
  <c r="Q25" i="31"/>
  <c r="N11" i="1"/>
  <c r="L11" i="1"/>
  <c r="Q28" i="31"/>
  <c r="S28" i="31"/>
  <c r="N10" i="1"/>
  <c r="L10" i="1"/>
  <c r="Q33" i="31"/>
  <c r="S33" i="31"/>
  <c r="S24" i="31"/>
  <c r="P27" i="31"/>
  <c r="Q24" i="31"/>
  <c r="Q32" i="31"/>
  <c r="S32" i="31"/>
  <c r="L12" i="1"/>
  <c r="N12" i="1"/>
  <c r="P34" i="31"/>
  <c r="S27" i="31" l="1"/>
  <c r="Q27" i="31"/>
  <c r="S34" i="31"/>
  <c r="Q34" i="31"/>
  <c r="P40" i="31" l="1"/>
  <c r="P46" i="31"/>
  <c r="K13" i="1"/>
  <c r="L13" i="1" l="1"/>
  <c r="N13" i="1"/>
  <c r="K14" i="1"/>
  <c r="Q40" i="31"/>
  <c r="S40" i="31"/>
  <c r="P41" i="31"/>
  <c r="Q41" i="31" l="1"/>
  <c r="S41" i="31"/>
  <c r="P43" i="31"/>
  <c r="L14" i="1"/>
  <c r="N14" i="1"/>
  <c r="B14" i="1"/>
  <c r="S43" i="31" l="1"/>
  <c r="G43" i="31"/>
  <c r="Q43" i="31"/>
  <c r="P44" i="31"/>
  <c r="P47" i="31"/>
  <c r="K16" i="1" l="1"/>
  <c r="N16" i="1" l="1"/>
  <c r="L16" i="1"/>
  <c r="K21" i="1"/>
  <c r="K15" i="1"/>
  <c r="K17" i="1"/>
  <c r="N17" i="1" l="1"/>
  <c r="L17" i="1"/>
  <c r="K22" i="1"/>
  <c r="N21" i="1"/>
  <c r="L21" i="1"/>
  <c r="N15" i="1"/>
  <c r="L15" i="1"/>
  <c r="K20" i="1"/>
  <c r="L22" i="1" l="1"/>
  <c r="N22" i="1"/>
  <c r="N20" i="1"/>
  <c r="L20" i="1"/>
  <c r="K18" i="1"/>
  <c r="N18" i="1" l="1"/>
  <c r="L18" i="1"/>
  <c r="K23" i="1"/>
  <c r="K19" i="1"/>
  <c r="N19" i="1" l="1"/>
  <c r="L19" i="1"/>
  <c r="N23" i="1"/>
  <c r="L23" i="1"/>
  <c r="K24" i="1"/>
  <c r="N24" i="1" l="1"/>
  <c r="L24" i="1"/>
  <c r="U34" i="31"/>
  <c r="X34" i="31" l="1"/>
  <c r="V34" i="31"/>
  <c r="U10" i="31" l="1"/>
  <c r="X10" i="31" l="1"/>
  <c r="V10" i="31"/>
  <c r="U7" i="31" l="1"/>
  <c r="X7" i="31" l="1"/>
  <c r="V7" i="31"/>
  <c r="U8" i="31" l="1"/>
  <c r="V8" i="31" l="1"/>
  <c r="X8" i="31"/>
  <c r="U9" i="31" l="1"/>
  <c r="V9" i="31" l="1"/>
  <c r="X9" i="31"/>
  <c r="U24" i="31"/>
  <c r="X24" i="31" l="1"/>
  <c r="V24" i="31"/>
  <c r="U17" i="31" l="1"/>
  <c r="V17" i="31" l="1"/>
  <c r="X17" i="31"/>
  <c r="U16" i="31"/>
  <c r="X16" i="31" l="1"/>
  <c r="V16" i="31"/>
  <c r="U12" i="31" l="1"/>
  <c r="U11" i="31"/>
  <c r="X11" i="31" l="1"/>
  <c r="V11" i="31"/>
  <c r="X12" i="31"/>
  <c r="V12" i="31"/>
  <c r="U14" i="31" l="1"/>
  <c r="X14" i="31" l="1"/>
  <c r="V14" i="31"/>
  <c r="U15" i="31"/>
  <c r="V15" i="31" l="1"/>
  <c r="X15" i="31"/>
  <c r="U13" i="31"/>
  <c r="V13" i="31" l="1"/>
  <c r="X13" i="31"/>
  <c r="U25" i="31"/>
  <c r="K25" i="1"/>
  <c r="L25" i="1" l="1"/>
  <c r="N25" i="1"/>
  <c r="K30" i="1"/>
  <c r="V25" i="31"/>
  <c r="X25" i="31"/>
  <c r="U27" i="31"/>
  <c r="X27" i="31" l="1"/>
  <c r="V27" i="31"/>
  <c r="N30" i="1"/>
  <c r="K31" i="1"/>
  <c r="L30" i="1"/>
  <c r="N31" i="1" l="1"/>
  <c r="L31" i="1"/>
  <c r="U33" i="31" l="1"/>
  <c r="U53" i="31" l="1"/>
  <c r="V33" i="31"/>
  <c r="U58" i="31"/>
  <c r="X33" i="31"/>
  <c r="V58" i="31" l="1"/>
  <c r="V53" i="31"/>
  <c r="U31" i="31" l="1"/>
  <c r="X31" i="31" l="1"/>
  <c r="V31" i="31"/>
  <c r="K26" i="1" l="1"/>
  <c r="L26" i="1" l="1"/>
  <c r="N26" i="1"/>
  <c r="K32" i="1"/>
  <c r="U28" i="31" l="1"/>
  <c r="L32" i="1"/>
  <c r="N32" i="1"/>
  <c r="U51" i="31" l="1"/>
  <c r="V51" i="31" s="1"/>
  <c r="X28" i="31"/>
  <c r="V28" i="31"/>
  <c r="U30" i="31" l="1"/>
  <c r="X30" i="31" l="1"/>
  <c r="V30" i="31"/>
  <c r="K27" i="1"/>
  <c r="U29" i="31"/>
  <c r="X29" i="31" l="1"/>
  <c r="U32" i="31"/>
  <c r="V29" i="31"/>
  <c r="N27" i="1"/>
  <c r="L27" i="1"/>
  <c r="K33" i="1"/>
  <c r="N33" i="1" l="1"/>
  <c r="L33" i="1"/>
  <c r="X32" i="31"/>
  <c r="U52" i="31"/>
  <c r="V52" i="31" s="1"/>
  <c r="V32" i="31"/>
  <c r="U35" i="31" l="1"/>
  <c r="V35" i="31" l="1"/>
  <c r="X35" i="31"/>
  <c r="U50" i="31"/>
  <c r="K28" i="1" l="1"/>
  <c r="W50" i="31"/>
  <c r="V50" i="31"/>
  <c r="N28" i="1" l="1"/>
  <c r="L28" i="1"/>
  <c r="K34" i="1"/>
  <c r="K29" i="1"/>
  <c r="U46" i="31"/>
  <c r="K38" i="1"/>
  <c r="U40" i="31"/>
  <c r="V40" i="31" l="1"/>
  <c r="U62" i="31"/>
  <c r="X40" i="31"/>
  <c r="U41" i="31"/>
  <c r="L29" i="1"/>
  <c r="N29" i="1"/>
  <c r="U54" i="31"/>
  <c r="L34" i="1"/>
  <c r="N34" i="1"/>
  <c r="K35" i="1"/>
  <c r="K40" i="1" l="1"/>
  <c r="N35" i="1"/>
  <c r="K39" i="1"/>
  <c r="L35" i="1"/>
  <c r="K36" i="1"/>
  <c r="V62" i="31"/>
  <c r="V63" i="31" s="1"/>
  <c r="U63" i="31"/>
  <c r="V54" i="31"/>
  <c r="V55" i="31" s="1"/>
  <c r="U55" i="31"/>
  <c r="U56" i="31"/>
  <c r="V56" i="31" s="1"/>
  <c r="V41" i="31"/>
  <c r="X41" i="31"/>
  <c r="U43" i="31"/>
  <c r="N36" i="1" l="1"/>
  <c r="L36" i="1"/>
  <c r="U44" i="31"/>
  <c r="X43" i="31"/>
  <c r="V43" i="31"/>
  <c r="G44" i="31"/>
  <c r="U47" i="31"/>
  <c r="AD10" i="30" l="1"/>
  <c r="Z29" i="30" l="1"/>
  <c r="AA23" i="30"/>
  <c r="Z30" i="30"/>
  <c r="AA24" i="30"/>
  <c r="AC30" i="30"/>
  <c r="AD30" i="30" s="1"/>
  <c r="AD24" i="30"/>
  <c r="AD23" i="30"/>
  <c r="AC29" i="30"/>
  <c r="AD29" i="30" s="1"/>
  <c r="Z31" i="30"/>
  <c r="AA25" i="30"/>
  <c r="AC31" i="30"/>
  <c r="AD31" i="30" s="1"/>
  <c r="AD25" i="30"/>
  <c r="AA26" i="30"/>
  <c r="Z32" i="30"/>
  <c r="AF17" i="30"/>
  <c r="AG17" i="30" s="1"/>
  <c r="AD26" i="30"/>
  <c r="AC32" i="30"/>
  <c r="AD32" i="30" s="1"/>
  <c r="AA10" i="30"/>
  <c r="AI22" i="30"/>
  <c r="AJ22" i="30" s="1"/>
  <c r="AG13" i="30"/>
  <c r="AI21" i="30"/>
  <c r="AJ21" i="30" s="1"/>
  <c r="AA21" i="30"/>
  <c r="Z27" i="30"/>
  <c r="AC27" i="30"/>
  <c r="AD27" i="30" s="1"/>
  <c r="AD21" i="30"/>
  <c r="AA22" i="30"/>
  <c r="Z28" i="30"/>
  <c r="AC28" i="30"/>
  <c r="AD28" i="30" s="1"/>
  <c r="AD22" i="30"/>
  <c r="AC16" i="30" l="1"/>
  <c r="AD16" i="30" s="1"/>
  <c r="AD15" i="30"/>
  <c r="AA13" i="30"/>
  <c r="Z17" i="30"/>
  <c r="AA17" i="30" s="1"/>
  <c r="AI13" i="30"/>
  <c r="Z42" i="30"/>
  <c r="AA27" i="30"/>
  <c r="AG24" i="30"/>
  <c r="AF30" i="30"/>
  <c r="AG30" i="30" s="1"/>
  <c r="AF27" i="30"/>
  <c r="AG27" i="30" s="1"/>
  <c r="AG21" i="30"/>
  <c r="AA15" i="30"/>
  <c r="Z16" i="30"/>
  <c r="AA16" i="30" s="1"/>
  <c r="AI15" i="30"/>
  <c r="AG25" i="30"/>
  <c r="AF31" i="30"/>
  <c r="AG31" i="30" s="1"/>
  <c r="AG10" i="30"/>
  <c r="AF29" i="30"/>
  <c r="AG29" i="30" s="1"/>
  <c r="AG23" i="30"/>
  <c r="AD13" i="30"/>
  <c r="AC17" i="30"/>
  <c r="AD17" i="30" s="1"/>
  <c r="AC42" i="30"/>
  <c r="AF32" i="30"/>
  <c r="AG32" i="30" s="1"/>
  <c r="AG26" i="30"/>
  <c r="AF28" i="30"/>
  <c r="AG28" i="30" s="1"/>
  <c r="AG22" i="30"/>
  <c r="AA30" i="30"/>
  <c r="AA28" i="30"/>
  <c r="AI24" i="30"/>
  <c r="AJ24" i="30" s="1"/>
  <c r="AF16" i="30"/>
  <c r="AG16" i="30" s="1"/>
  <c r="AG15" i="30"/>
  <c r="AI25" i="30"/>
  <c r="AJ25" i="30" s="1"/>
  <c r="AI10" i="30"/>
  <c r="AA32" i="30"/>
  <c r="AA31" i="30"/>
  <c r="AI23" i="30"/>
  <c r="AJ23" i="30" s="1"/>
  <c r="AI26" i="30"/>
  <c r="AJ26" i="30" s="1"/>
  <c r="AA29" i="30"/>
  <c r="AI32" i="30" l="1"/>
  <c r="AJ32" i="30" s="1"/>
  <c r="AI29" i="30"/>
  <c r="AJ29" i="30" s="1"/>
  <c r="AI28" i="30"/>
  <c r="AJ28" i="30" s="1"/>
  <c r="AJ15" i="30"/>
  <c r="AI16" i="30"/>
  <c r="AJ16" i="30" s="1"/>
  <c r="AI30" i="30"/>
  <c r="AJ30" i="30" s="1"/>
  <c r="AI31" i="30"/>
  <c r="AJ31" i="30" s="1"/>
  <c r="AJ13" i="30"/>
  <c r="AI17" i="30"/>
  <c r="AJ17" i="30" s="1"/>
  <c r="AI42" i="30"/>
  <c r="AJ10" i="30"/>
  <c r="AI27" i="30"/>
  <c r="AJ27" i="30" s="1"/>
  <c r="AD8" i="30" l="1"/>
  <c r="AC12" i="30"/>
  <c r="AC9" i="30" s="1"/>
  <c r="AD9" i="30" s="1"/>
  <c r="AC14" i="30"/>
  <c r="AD14" i="30" s="1"/>
  <c r="AA8" i="30"/>
  <c r="AI8" i="30"/>
  <c r="Z12" i="30"/>
  <c r="Z14" i="30"/>
  <c r="AA14" i="30" s="1"/>
  <c r="Z9" i="30" l="1"/>
  <c r="AA9" i="30" s="1"/>
  <c r="AA12" i="30"/>
  <c r="Z11" i="30"/>
  <c r="AA11" i="30" s="1"/>
  <c r="AC11" i="30"/>
  <c r="AD11" i="30" s="1"/>
  <c r="AD12" i="30"/>
  <c r="AJ8" i="30"/>
  <c r="AI12" i="30"/>
  <c r="AI14" i="30"/>
  <c r="AJ14" i="30" s="1"/>
  <c r="AG8" i="30"/>
  <c r="AF12" i="30"/>
  <c r="AF9" i="30" s="1"/>
  <c r="AG9" i="30" s="1"/>
  <c r="AF14" i="30"/>
  <c r="AG14" i="30" s="1"/>
  <c r="T29" i="1"/>
  <c r="AI9" i="30" l="1"/>
  <c r="AJ9" i="30" s="1"/>
  <c r="AJ12" i="30"/>
  <c r="AI11" i="30"/>
  <c r="AJ11" i="30" s="1"/>
  <c r="AG12" i="30"/>
  <c r="AF11" i="30"/>
  <c r="AG11" i="30" s="1"/>
  <c r="AG19" i="30"/>
  <c r="AD19" i="30"/>
  <c r="AA18" i="30" l="1"/>
  <c r="Z20" i="30"/>
  <c r="AA20" i="30" s="1"/>
  <c r="AF20" i="30"/>
  <c r="AG20" i="30" s="1"/>
  <c r="AG18" i="30"/>
  <c r="AA19" i="30"/>
  <c r="AI19" i="30"/>
  <c r="AJ19" i="30" s="1"/>
  <c r="AC20" i="30" l="1"/>
  <c r="AD20" i="30" s="1"/>
  <c r="AD18" i="30"/>
  <c r="AI18" i="30"/>
  <c r="AI20" i="30" l="1"/>
  <c r="AJ20" i="30" s="1"/>
  <c r="AJ18" i="30"/>
  <c r="V32" i="30" l="1"/>
  <c r="V29" i="30"/>
  <c r="V28" i="30"/>
  <c r="V31" i="30"/>
  <c r="V27" i="30"/>
  <c r="V30" i="30"/>
  <c r="N13" i="30" l="1"/>
  <c r="N15" i="30"/>
  <c r="K15" i="30"/>
  <c r="K13" i="30" l="1"/>
  <c r="N15" i="32"/>
  <c r="O15" i="30"/>
  <c r="N13" i="32"/>
  <c r="N17" i="30"/>
  <c r="O17" i="30" s="1"/>
  <c r="O13" i="30"/>
  <c r="K15" i="32"/>
  <c r="L15" i="30"/>
  <c r="N26" i="30"/>
  <c r="N25" i="30"/>
  <c r="N24" i="30"/>
  <c r="N23" i="30"/>
  <c r="N22" i="30"/>
  <c r="N21" i="30"/>
  <c r="N25" i="32" l="1"/>
  <c r="N31" i="30"/>
  <c r="O31" i="30" s="1"/>
  <c r="O25" i="30"/>
  <c r="N21" i="32"/>
  <c r="N27" i="30"/>
  <c r="O27" i="30" s="1"/>
  <c r="O21" i="30"/>
  <c r="T21" i="32"/>
  <c r="T21" i="30"/>
  <c r="T22" i="32"/>
  <c r="T22" i="30"/>
  <c r="T23" i="32"/>
  <c r="T23" i="30"/>
  <c r="L15" i="32"/>
  <c r="N23" i="32"/>
  <c r="N29" i="30"/>
  <c r="O29" i="30" s="1"/>
  <c r="O23" i="30"/>
  <c r="T24" i="32"/>
  <c r="T24" i="30"/>
  <c r="T25" i="32"/>
  <c r="T25" i="30"/>
  <c r="N10" i="30"/>
  <c r="T26" i="32"/>
  <c r="T26" i="30"/>
  <c r="K21" i="30"/>
  <c r="N17" i="32"/>
  <c r="O17" i="32" s="1"/>
  <c r="O13" i="32"/>
  <c r="K22" i="30"/>
  <c r="N24" i="32"/>
  <c r="N30" i="30"/>
  <c r="O30" i="30" s="1"/>
  <c r="O24" i="30"/>
  <c r="K23" i="30"/>
  <c r="K24" i="30"/>
  <c r="O15" i="32"/>
  <c r="N26" i="32"/>
  <c r="N32" i="30"/>
  <c r="O32" i="30" s="1"/>
  <c r="O26" i="30"/>
  <c r="K25" i="30"/>
  <c r="K13" i="32"/>
  <c r="L13" i="30"/>
  <c r="K42" i="30"/>
  <c r="K17" i="30"/>
  <c r="L17" i="30" s="1"/>
  <c r="N22" i="32"/>
  <c r="O22" i="30"/>
  <c r="N28" i="30"/>
  <c r="O28" i="30" s="1"/>
  <c r="T10" i="32"/>
  <c r="T10" i="30"/>
  <c r="K10" i="30"/>
  <c r="K26" i="30"/>
  <c r="U22" i="30" l="1"/>
  <c r="T28" i="30"/>
  <c r="U28" i="30" s="1"/>
  <c r="K21" i="32"/>
  <c r="L21" i="30"/>
  <c r="K27" i="30"/>
  <c r="L27" i="30" s="1"/>
  <c r="T32" i="30"/>
  <c r="U32" i="30" s="1"/>
  <c r="U26" i="30"/>
  <c r="T28" i="32"/>
  <c r="U28" i="32" s="1"/>
  <c r="U22" i="32"/>
  <c r="T32" i="32"/>
  <c r="U32" i="32" s="1"/>
  <c r="U26" i="32"/>
  <c r="U21" i="30"/>
  <c r="T27" i="30"/>
  <c r="U27" i="30" s="1"/>
  <c r="T29" i="30"/>
  <c r="U29" i="30" s="1"/>
  <c r="U23" i="30"/>
  <c r="N28" i="32"/>
  <c r="O28" i="32" s="1"/>
  <c r="O22" i="32"/>
  <c r="K17" i="32"/>
  <c r="L17" i="32" s="1"/>
  <c r="K42" i="32"/>
  <c r="L13" i="32"/>
  <c r="N10" i="32"/>
  <c r="O10" i="30"/>
  <c r="N16" i="30"/>
  <c r="O16" i="30" s="1"/>
  <c r="T27" i="32"/>
  <c r="U27" i="32" s="1"/>
  <c r="U21" i="32"/>
  <c r="K25" i="32"/>
  <c r="K31" i="30"/>
  <c r="L31" i="30" s="1"/>
  <c r="L25" i="30"/>
  <c r="K22" i="32"/>
  <c r="L22" i="30"/>
  <c r="K28" i="30"/>
  <c r="L28" i="30" s="1"/>
  <c r="K23" i="32"/>
  <c r="L23" i="30"/>
  <c r="K29" i="30"/>
  <c r="L29" i="30" s="1"/>
  <c r="T31" i="30"/>
  <c r="U31" i="30" s="1"/>
  <c r="U25" i="30"/>
  <c r="U10" i="30"/>
  <c r="U25" i="32"/>
  <c r="T31" i="32"/>
  <c r="U31" i="32" s="1"/>
  <c r="K24" i="32"/>
  <c r="K30" i="30"/>
  <c r="L30" i="30" s="1"/>
  <c r="L24" i="30"/>
  <c r="T29" i="32"/>
  <c r="U29" i="32" s="1"/>
  <c r="U23" i="32"/>
  <c r="O21" i="32"/>
  <c r="N27" i="32"/>
  <c r="O27" i="32" s="1"/>
  <c r="O26" i="32"/>
  <c r="N32" i="32"/>
  <c r="O32" i="32" s="1"/>
  <c r="T30" i="30"/>
  <c r="U30" i="30" s="1"/>
  <c r="U24" i="30"/>
  <c r="N30" i="32"/>
  <c r="O30" i="32" s="1"/>
  <c r="O24" i="32"/>
  <c r="K26" i="32"/>
  <c r="K32" i="30"/>
  <c r="L32" i="30" s="1"/>
  <c r="L26" i="30"/>
  <c r="K10" i="32"/>
  <c r="L10" i="30"/>
  <c r="K16" i="30"/>
  <c r="L16" i="30" s="1"/>
  <c r="U24" i="32"/>
  <c r="T30" i="32"/>
  <c r="U30" i="32" s="1"/>
  <c r="O23" i="32"/>
  <c r="N29" i="32"/>
  <c r="O29" i="32" s="1"/>
  <c r="U10" i="32"/>
  <c r="N31" i="32"/>
  <c r="O31" i="32" s="1"/>
  <c r="O25" i="32"/>
  <c r="L10" i="32" l="1"/>
  <c r="K16" i="32"/>
  <c r="L16" i="32" s="1"/>
  <c r="K32" i="32"/>
  <c r="L32" i="32" s="1"/>
  <c r="L26" i="32"/>
  <c r="O10" i="32"/>
  <c r="N16" i="32"/>
  <c r="O16" i="32" s="1"/>
  <c r="K29" i="32"/>
  <c r="L29" i="32" s="1"/>
  <c r="L23" i="32"/>
  <c r="K27" i="32"/>
  <c r="L27" i="32" s="1"/>
  <c r="L21" i="32"/>
  <c r="K28" i="32"/>
  <c r="L28" i="32" s="1"/>
  <c r="L22" i="32"/>
  <c r="K30" i="32"/>
  <c r="L30" i="32" s="1"/>
  <c r="L24" i="32"/>
  <c r="K31" i="32"/>
  <c r="L31" i="32" s="1"/>
  <c r="L25" i="32"/>
  <c r="S28" i="1" l="1"/>
  <c r="U28" i="1" s="1"/>
  <c r="S27" i="1" l="1"/>
  <c r="S29" i="1" l="1"/>
  <c r="U29" i="1" s="1"/>
  <c r="U27" i="1"/>
  <c r="N8" i="30" l="1"/>
  <c r="N8" i="32" l="1"/>
  <c r="N12" i="30"/>
  <c r="N9" i="30"/>
  <c r="O9" i="30" s="1"/>
  <c r="O8" i="30"/>
  <c r="N14" i="30"/>
  <c r="O14" i="30" s="1"/>
  <c r="O12" i="30" l="1"/>
  <c r="N11" i="30"/>
  <c r="O11" i="30" s="1"/>
  <c r="T8" i="32"/>
  <c r="T8" i="30"/>
  <c r="N12" i="32"/>
  <c r="O8" i="32"/>
  <c r="N14" i="32"/>
  <c r="O14" i="32" s="1"/>
  <c r="N11" i="32" l="1"/>
  <c r="O11" i="32" s="1"/>
  <c r="O12" i="32"/>
  <c r="N9" i="32"/>
  <c r="O9" i="32" s="1"/>
  <c r="T12" i="30"/>
  <c r="U8" i="30"/>
  <c r="T9" i="30"/>
  <c r="U9" i="30" s="1"/>
  <c r="U8" i="32"/>
  <c r="T12" i="32"/>
  <c r="T9" i="32"/>
  <c r="U9" i="32" s="1"/>
  <c r="U12" i="32" l="1"/>
  <c r="T11" i="32"/>
  <c r="U11" i="32" s="1"/>
  <c r="U12" i="30"/>
  <c r="T11" i="30"/>
  <c r="U11" i="30" s="1"/>
  <c r="H15" i="30" l="1"/>
  <c r="H15" i="32" l="1"/>
  <c r="I15" i="30"/>
  <c r="H13" i="30"/>
  <c r="T13" i="32" l="1"/>
  <c r="T13" i="30"/>
  <c r="T15" i="32"/>
  <c r="T15" i="30"/>
  <c r="H13" i="32"/>
  <c r="W13" i="30"/>
  <c r="H42" i="30"/>
  <c r="I13" i="30"/>
  <c r="H17" i="30"/>
  <c r="I17" i="30" s="1"/>
  <c r="W15" i="32"/>
  <c r="I15" i="32"/>
  <c r="AU15" i="32" l="1"/>
  <c r="X15" i="32"/>
  <c r="U15" i="30"/>
  <c r="T16" i="30"/>
  <c r="U16" i="30" s="1"/>
  <c r="W15" i="30"/>
  <c r="U15" i="32"/>
  <c r="T16" i="32"/>
  <c r="U16" i="32" s="1"/>
  <c r="X13" i="30"/>
  <c r="W42" i="30"/>
  <c r="W17" i="30"/>
  <c r="X17" i="30" s="1"/>
  <c r="AU13" i="30"/>
  <c r="W13" i="32"/>
  <c r="H42" i="32"/>
  <c r="H17" i="32"/>
  <c r="I17" i="32" s="1"/>
  <c r="I13" i="32"/>
  <c r="T17" i="30"/>
  <c r="U17" i="30" s="1"/>
  <c r="U13" i="30"/>
  <c r="T14" i="30"/>
  <c r="U14" i="30" s="1"/>
  <c r="U13" i="32"/>
  <c r="T17" i="32"/>
  <c r="U17" i="32" s="1"/>
  <c r="T14" i="32"/>
  <c r="U14" i="32" s="1"/>
  <c r="AU13" i="32" l="1"/>
  <c r="W42" i="32"/>
  <c r="W17" i="32"/>
  <c r="X17" i="32" s="1"/>
  <c r="X13" i="32"/>
  <c r="X15" i="30"/>
  <c r="AU15" i="30"/>
  <c r="AU42" i="30"/>
  <c r="AU17" i="30"/>
  <c r="AV13" i="30"/>
  <c r="AV15" i="32"/>
  <c r="N18" i="30"/>
  <c r="N19" i="30"/>
  <c r="H23" i="30"/>
  <c r="H24" i="30"/>
  <c r="H26" i="30"/>
  <c r="W23" i="30" l="1"/>
  <c r="H23" i="32"/>
  <c r="H29" i="30"/>
  <c r="I29" i="30" s="1"/>
  <c r="I23" i="30"/>
  <c r="H10" i="30"/>
  <c r="N19" i="32"/>
  <c r="O19" i="32" s="1"/>
  <c r="O19" i="30"/>
  <c r="W24" i="30"/>
  <c r="H24" i="32"/>
  <c r="I24" i="30"/>
  <c r="H30" i="30"/>
  <c r="I30" i="30" s="1"/>
  <c r="AV15" i="30"/>
  <c r="AY18" i="30"/>
  <c r="AV17" i="30"/>
  <c r="T18" i="32"/>
  <c r="T18" i="30"/>
  <c r="H25" i="30"/>
  <c r="W26" i="30"/>
  <c r="H26" i="32"/>
  <c r="H32" i="30"/>
  <c r="I32" i="30" s="1"/>
  <c r="I26" i="30"/>
  <c r="H21" i="30"/>
  <c r="T19" i="32"/>
  <c r="U19" i="32" s="1"/>
  <c r="T19" i="30"/>
  <c r="U19" i="30" s="1"/>
  <c r="N18" i="32"/>
  <c r="N20" i="30"/>
  <c r="O20" i="30" s="1"/>
  <c r="O18" i="30"/>
  <c r="H22" i="30"/>
  <c r="AU17" i="32"/>
  <c r="AU42" i="32"/>
  <c r="AV13" i="32"/>
  <c r="H8" i="30"/>
  <c r="K8" i="30"/>
  <c r="W21" i="30" l="1"/>
  <c r="H21" i="32"/>
  <c r="H27" i="30"/>
  <c r="I27" i="30" s="1"/>
  <c r="I21" i="30"/>
  <c r="W26" i="32"/>
  <c r="H32" i="32"/>
  <c r="I32" i="32" s="1"/>
  <c r="I26" i="32"/>
  <c r="AY18" i="32"/>
  <c r="AV17" i="32"/>
  <c r="X26" i="30"/>
  <c r="W32" i="30"/>
  <c r="X32" i="30" s="1"/>
  <c r="AU26" i="30"/>
  <c r="W25" i="30"/>
  <c r="H25" i="32"/>
  <c r="H31" i="30"/>
  <c r="I31" i="30" s="1"/>
  <c r="I25" i="30"/>
  <c r="W24" i="32"/>
  <c r="H30" i="32"/>
  <c r="I30" i="32" s="1"/>
  <c r="I24" i="32"/>
  <c r="W30" i="30"/>
  <c r="X30" i="30" s="1"/>
  <c r="X24" i="30"/>
  <c r="AU24" i="30"/>
  <c r="W8" i="30"/>
  <c r="H8" i="32"/>
  <c r="I8" i="30"/>
  <c r="H12" i="30"/>
  <c r="I12" i="30" s="1"/>
  <c r="H14" i="30"/>
  <c r="I14" i="30" s="1"/>
  <c r="W22" i="30"/>
  <c r="H22" i="32"/>
  <c r="H28" i="30"/>
  <c r="I28" i="30" s="1"/>
  <c r="I22" i="30"/>
  <c r="T20" i="30"/>
  <c r="U20" i="30" s="1"/>
  <c r="U18" i="30"/>
  <c r="U18" i="32"/>
  <c r="T20" i="32"/>
  <c r="U20" i="32" s="1"/>
  <c r="N20" i="32"/>
  <c r="O20" i="32" s="1"/>
  <c r="O18" i="32"/>
  <c r="W10" i="30"/>
  <c r="H10" i="32"/>
  <c r="I10" i="30"/>
  <c r="H16" i="30"/>
  <c r="I16" i="30" s="1"/>
  <c r="W23" i="32"/>
  <c r="H29" i="32"/>
  <c r="I29" i="32" s="1"/>
  <c r="I23" i="32"/>
  <c r="K8" i="32"/>
  <c r="K12" i="30"/>
  <c r="L8" i="30"/>
  <c r="K9" i="30"/>
  <c r="L9" i="30" s="1"/>
  <c r="K14" i="30"/>
  <c r="L14" i="30" s="1"/>
  <c r="X23" i="30"/>
  <c r="W29" i="30"/>
  <c r="X29" i="30" s="1"/>
  <c r="AU23" i="30"/>
  <c r="V28" i="1"/>
  <c r="W28" i="1" s="1"/>
  <c r="H9" i="30" l="1"/>
  <c r="I9" i="30" s="1"/>
  <c r="H11" i="30"/>
  <c r="I11" i="30" s="1"/>
  <c r="K12" i="32"/>
  <c r="L8" i="32"/>
  <c r="K14" i="32"/>
  <c r="L14" i="32" s="1"/>
  <c r="W8" i="32"/>
  <c r="H12" i="32"/>
  <c r="I8" i="32"/>
  <c r="H14" i="32"/>
  <c r="I14" i="32" s="1"/>
  <c r="W12" i="30"/>
  <c r="W11" i="30" s="1"/>
  <c r="X11" i="30" s="1"/>
  <c r="X8" i="30"/>
  <c r="AU8" i="30"/>
  <c r="W14" i="30"/>
  <c r="X14" i="30" s="1"/>
  <c r="W29" i="32"/>
  <c r="X29" i="32" s="1"/>
  <c r="AU23" i="32"/>
  <c r="X23" i="32"/>
  <c r="AV24" i="30"/>
  <c r="AU30" i="30"/>
  <c r="AV30" i="30" s="1"/>
  <c r="AU26" i="32"/>
  <c r="W32" i="32"/>
  <c r="X32" i="32" s="1"/>
  <c r="X26" i="32"/>
  <c r="W10" i="32"/>
  <c r="I10" i="32"/>
  <c r="H16" i="32"/>
  <c r="I16" i="32" s="1"/>
  <c r="X10" i="30"/>
  <c r="AU10" i="30"/>
  <c r="W16" i="30"/>
  <c r="X16" i="30" s="1"/>
  <c r="W22" i="32"/>
  <c r="H28" i="32"/>
  <c r="I28" i="32" s="1"/>
  <c r="I22" i="32"/>
  <c r="AU29" i="30"/>
  <c r="AV29" i="30" s="1"/>
  <c r="AV23" i="30"/>
  <c r="AU22" i="30"/>
  <c r="X22" i="30"/>
  <c r="W28" i="30"/>
  <c r="X28" i="30" s="1"/>
  <c r="AU24" i="32"/>
  <c r="W30" i="32"/>
  <c r="X30" i="32" s="1"/>
  <c r="X24" i="32"/>
  <c r="H31" i="32"/>
  <c r="I31" i="32" s="1"/>
  <c r="W25" i="32"/>
  <c r="I25" i="32"/>
  <c r="X25" i="30"/>
  <c r="W31" i="30"/>
  <c r="X31" i="30" s="1"/>
  <c r="AU25" i="30"/>
  <c r="AV26" i="30"/>
  <c r="AU32" i="30"/>
  <c r="AV32" i="30" s="1"/>
  <c r="W21" i="32"/>
  <c r="H27" i="32"/>
  <c r="I27" i="32" s="1"/>
  <c r="I21" i="32"/>
  <c r="L12" i="30"/>
  <c r="K11" i="30"/>
  <c r="L11" i="30" s="1"/>
  <c r="AU21" i="30"/>
  <c r="X21" i="30"/>
  <c r="W27" i="30"/>
  <c r="X27" i="30" s="1"/>
  <c r="K19" i="30"/>
  <c r="H18" i="30"/>
  <c r="AU28" i="30" l="1"/>
  <c r="AV28" i="30" s="1"/>
  <c r="AV22" i="30"/>
  <c r="AU22" i="32"/>
  <c r="W28" i="32"/>
  <c r="X28" i="32" s="1"/>
  <c r="X22" i="32"/>
  <c r="AV8" i="30"/>
  <c r="AU12" i="30"/>
  <c r="AU9" i="30" s="1"/>
  <c r="AV9" i="30" s="1"/>
  <c r="AU14" i="30"/>
  <c r="AV14" i="30" s="1"/>
  <c r="AU30" i="32"/>
  <c r="AV30" i="32" s="1"/>
  <c r="AV24" i="32"/>
  <c r="W9" i="30"/>
  <c r="X9" i="30" s="1"/>
  <c r="X12" i="30"/>
  <c r="AU21" i="32"/>
  <c r="W27" i="32"/>
  <c r="X27" i="32" s="1"/>
  <c r="X21" i="32"/>
  <c r="AU31" i="30"/>
  <c r="AV31" i="30" s="1"/>
  <c r="AV25" i="30"/>
  <c r="K19" i="32"/>
  <c r="L19" i="32" s="1"/>
  <c r="L19" i="30"/>
  <c r="AV10" i="30"/>
  <c r="AU16" i="30"/>
  <c r="AV16" i="30" s="1"/>
  <c r="H11" i="32"/>
  <c r="I11" i="32" s="1"/>
  <c r="I12" i="32"/>
  <c r="AU8" i="32"/>
  <c r="W12" i="32"/>
  <c r="X12" i="32" s="1"/>
  <c r="W9" i="32"/>
  <c r="X9" i="32" s="1"/>
  <c r="X8" i="32"/>
  <c r="W14" i="32"/>
  <c r="X14" i="32" s="1"/>
  <c r="H9" i="32"/>
  <c r="I9" i="32" s="1"/>
  <c r="AU10" i="32"/>
  <c r="W11" i="32"/>
  <c r="X11" i="32" s="1"/>
  <c r="X10" i="32"/>
  <c r="W16" i="32"/>
  <c r="X16" i="32" s="1"/>
  <c r="AU32" i="32"/>
  <c r="AV32" i="32" s="1"/>
  <c r="AV26" i="32"/>
  <c r="H18" i="32"/>
  <c r="I18" i="30"/>
  <c r="W31" i="32"/>
  <c r="X31" i="32" s="1"/>
  <c r="AU25" i="32"/>
  <c r="X25" i="32"/>
  <c r="AV21" i="30"/>
  <c r="AU27" i="30"/>
  <c r="AV27" i="30" s="1"/>
  <c r="AU29" i="32"/>
  <c r="AV29" i="32" s="1"/>
  <c r="AV23" i="32"/>
  <c r="K9" i="32"/>
  <c r="L9" i="32" s="1"/>
  <c r="L12" i="32"/>
  <c r="K11" i="32"/>
  <c r="L11" i="32" s="1"/>
  <c r="V27" i="1"/>
  <c r="AV12" i="30" l="1"/>
  <c r="AY13" i="30"/>
  <c r="H19" i="30"/>
  <c r="AU28" i="32"/>
  <c r="AV28" i="32" s="1"/>
  <c r="AV22" i="32"/>
  <c r="K18" i="30"/>
  <c r="I18" i="32"/>
  <c r="AU11" i="30"/>
  <c r="AV11" i="30" s="1"/>
  <c r="AU27" i="32"/>
  <c r="AV27" i="32" s="1"/>
  <c r="AV21" i="32"/>
  <c r="AU31" i="32"/>
  <c r="AV31" i="32" s="1"/>
  <c r="AV25" i="32"/>
  <c r="AU12" i="32"/>
  <c r="AU9" i="32" s="1"/>
  <c r="AV9" i="32" s="1"/>
  <c r="AV8" i="32"/>
  <c r="AU14" i="32"/>
  <c r="AV14" i="32" s="1"/>
  <c r="V29" i="1"/>
  <c r="W29" i="1" s="1"/>
  <c r="W27" i="1"/>
  <c r="AU11" i="32"/>
  <c r="AV11" i="32" s="1"/>
  <c r="AV10" i="32"/>
  <c r="AU16" i="32"/>
  <c r="AV16" i="32" s="1"/>
  <c r="H19" i="32" l="1"/>
  <c r="W19" i="30"/>
  <c r="I19" i="30"/>
  <c r="H20" i="30"/>
  <c r="I20" i="30" s="1"/>
  <c r="AY13" i="32"/>
  <c r="AV12" i="32"/>
  <c r="K18" i="32"/>
  <c r="L18" i="30"/>
  <c r="K20" i="30"/>
  <c r="L20" i="30" s="1"/>
  <c r="W18" i="30"/>
  <c r="AU19" i="30" l="1"/>
  <c r="AV19" i="30" s="1"/>
  <c r="X19" i="30"/>
  <c r="W19" i="32"/>
  <c r="I19" i="32"/>
  <c r="H20" i="32"/>
  <c r="I20" i="32" s="1"/>
  <c r="W20" i="30"/>
  <c r="X20" i="30" s="1"/>
  <c r="X18" i="30"/>
  <c r="AU18" i="30"/>
  <c r="K20" i="32"/>
  <c r="L20" i="32" s="1"/>
  <c r="L18" i="32"/>
  <c r="W18" i="32"/>
  <c r="AV18" i="30" l="1"/>
  <c r="AU20" i="30"/>
  <c r="AU19" i="32"/>
  <c r="AV19" i="32" s="1"/>
  <c r="X19" i="32"/>
  <c r="W20" i="32"/>
  <c r="X20" i="32" s="1"/>
  <c r="AU18" i="32"/>
  <c r="X18" i="32"/>
  <c r="AV20" i="30" l="1"/>
  <c r="AY22" i="30"/>
  <c r="AY21" i="30"/>
  <c r="AU20" i="32"/>
  <c r="AV18" i="32"/>
  <c r="AY22" i="32" l="1"/>
  <c r="AY21" i="32"/>
  <c r="AV20" i="32"/>
</calcChain>
</file>

<file path=xl/sharedStrings.xml><?xml version="1.0" encoding="utf-8"?>
<sst xmlns="http://schemas.openxmlformats.org/spreadsheetml/2006/main" count="825" uniqueCount="233">
  <si>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</si>
  <si>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</si>
  <si>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</si>
  <si>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</si>
  <si>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</si>
  <si>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</si>
  <si>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</si>
  <si>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</si>
  <si>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</si>
  <si>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</si>
  <si>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</si>
  <si>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</si>
  <si>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</si>
  <si>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</si>
  <si>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</si>
  <si>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</si>
  <si>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</si>
  <si>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</si>
  <si>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</si>
  <si>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</si>
  <si>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</si>
  <si>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</si>
  <si>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</si>
  <si>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</si>
  <si>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</si>
  <si>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</si>
  <si>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</si>
  <si>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</si>
  <si>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</si>
  <si>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</si>
  <si>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</si>
  <si>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</si>
  <si>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</si>
  <si>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</si>
  <si>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</si>
  <si>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</si>
  <si>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</si>
  <si>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</si>
  <si>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</si>
  <si>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</si>
  <si>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</si>
  <si>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</si>
  <si>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</si>
  <si>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</si>
  <si>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</si>
  <si>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</si>
  <si>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</si>
  <si>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</si>
  <si>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</si>
  <si>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</si>
  <si>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</si>
  <si>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</si>
  <si>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</si>
  <si>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</si>
  <si>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</si>
  <si>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</si>
  <si>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</si>
  <si>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</si>
  <si>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</si>
  <si>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</si>
  <si>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</si>
  <si>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</si>
  <si>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</si>
  <si>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</si>
  <si>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</si>
  <si>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</si>
  <si>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</si>
  <si>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</si>
  <si>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</si>
  <si>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</si>
  <si>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</si>
  <si>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</si>
  <si>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</si>
  <si>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</si>
  <si>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</si>
  <si>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</si>
  <si>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</si>
  <si>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</si>
  <si>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</si>
  <si>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</si>
  <si>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</si>
  <si>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</si>
  <si>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</si>
  <si>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</si>
  <si>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</si>
  <si>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</si>
  <si>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</si>
  <si>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</si>
  <si>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</si>
  <si>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</si>
  <si>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</si>
  <si>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</si>
  <si>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</si>
  <si>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</si>
  <si>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</si>
  <si>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</si>
  <si>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</si>
  <si>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</si>
  <si>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</si>
  <si>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</si>
  <si>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</si>
  <si>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</si>
  <si>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</si>
  <si>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</si>
  <si>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</si>
  <si>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</si>
  <si>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</si>
  <si>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</si>
  <si>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</si>
  <si>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</si>
  <si>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</si>
  <si>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</si>
  <si>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</si>
  <si>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</si>
  <si>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</si>
  <si>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</si>
  <si>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</si>
  <si>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</si>
  <si>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</si>
  <si>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</si>
  <si>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</si>
  <si>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</si>
  <si>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</si>
  <si>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</si>
  <si>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매출액</t>
    <phoneticPr fontId="1" type="noConversion"/>
  </si>
  <si>
    <t>서부산CR</t>
    <phoneticPr fontId="1" type="noConversion"/>
  </si>
  <si>
    <t>부산CR</t>
    <phoneticPr fontId="1" type="noConversion"/>
  </si>
  <si>
    <t>1월</t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</si>
  <si>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</si>
  <si>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</si>
  <si>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</si>
  <si>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</si>
  <si>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</si>
  <si>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</si>
  <si>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</si>
  <si>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</si>
  <si>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</si>
  <si>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</si>
  <si>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</si>
  <si>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</si>
  <si>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</si>
  <si>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</si>
  <si>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</si>
  <si>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</si>
  <si>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</si>
  <si>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</si>
  <si>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</si>
  <si>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</si>
  <si>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</si>
  <si>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</si>
  <si>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</si>
  <si>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</si>
  <si>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</si>
  <si>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</si>
  <si>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</si>
  <si>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</si>
  <si>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</si>
  <si>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</si>
  <si>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</si>
  <si>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</si>
  <si>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</si>
  <si>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</si>
  <si>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[단위 : 톤, 천원]</t>
    <phoneticPr fontId="1" type="noConversion"/>
  </si>
  <si>
    <t>철강재</t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</si>
  <si>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</si>
  <si>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</si>
  <si>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</si>
  <si>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</si>
  <si>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</si>
  <si>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</si>
  <si>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</si>
  <si>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</si>
  <si>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</si>
  <si>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</si>
  <si>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</si>
  <si>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</si>
  <si>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5월</t>
  </si>
  <si>
    <t>6월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</si>
  <si>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</si>
  <si>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</si>
  <si>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</si>
  <si>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</si>
  <si>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</si>
  <si>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</si>
  <si>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2월</t>
    <phoneticPr fontId="1" type="noConversion"/>
  </si>
  <si>
    <t>3월</t>
  </si>
  <si>
    <t>4월</t>
  </si>
  <si>
    <t>8월</t>
  </si>
  <si>
    <t>11월</t>
    <phoneticPr fontId="1" type="noConversion"/>
  </si>
  <si>
    <t>구분</t>
  </si>
  <si>
    <t>판매단가</t>
  </si>
  <si>
    <t>마진률</t>
  </si>
  <si>
    <t>[단위 : ㎥, 천원]</t>
    <phoneticPr fontId="1" type="noConversion"/>
  </si>
  <si>
    <t>서부산 소계</t>
    <phoneticPr fontId="1" type="noConversion"/>
  </si>
  <si>
    <t>부산크라샤 쇄석</t>
    <phoneticPr fontId="1" type="noConversion"/>
  </si>
  <si>
    <t>부산크라샤 소계</t>
    <phoneticPr fontId="1" type="noConversion"/>
  </si>
  <si>
    <t>골재사업소 계</t>
    <phoneticPr fontId="1" type="noConversion"/>
  </si>
  <si>
    <t>자가이송</t>
    <phoneticPr fontId="1" type="noConversion"/>
  </si>
  <si>
    <t>외부판매</t>
    <phoneticPr fontId="1" type="noConversion"/>
  </si>
  <si>
    <t>단가</t>
    <phoneticPr fontId="1" type="noConversion"/>
  </si>
  <si>
    <t>자가이송</t>
  </si>
  <si>
    <t>외부판매</t>
  </si>
  <si>
    <t>부산크라샤 쇄사(습식)</t>
    <phoneticPr fontId="1" type="noConversion"/>
  </si>
  <si>
    <t>40혼합석</t>
    <phoneticPr fontId="1" type="noConversion"/>
  </si>
  <si>
    <t>부산 하천사</t>
    <phoneticPr fontId="1" type="noConversion"/>
  </si>
  <si>
    <t>부산 세척사</t>
    <phoneticPr fontId="1" type="noConversion"/>
  </si>
  <si>
    <t>부산모래장 소계</t>
    <phoneticPr fontId="1" type="noConversion"/>
  </si>
  <si>
    <t xml:space="preserve">부산 세척사 - 창원공장 </t>
    <phoneticPr fontId="1" type="noConversion"/>
  </si>
  <si>
    <t>퇴직금</t>
    <phoneticPr fontId="1" type="noConversion"/>
  </si>
  <si>
    <t>2025년 2월 마감 손익</t>
    <phoneticPr fontId="1" type="noConversion"/>
  </si>
  <si>
    <t>2월 누계</t>
  </si>
  <si>
    <t>2월 주요지표</t>
  </si>
  <si>
    <t>2024년 2월 마감 손익</t>
  </si>
  <si>
    <t xml:space="preserve">  - OPC 소급분 : 삼표 2.5억(총 9.9억 中 1회차) → 8~2월 총 4회 소급예정</t>
  </si>
  <si>
    <t>□ 사업장별 손익실적(2025-02)</t>
  </si>
  <si>
    <t>□ 건재사업본부 손익실적(2025-02)</t>
    <phoneticPr fontId="1" type="noConversion"/>
  </si>
  <si>
    <t>□ 사업장별 손익실적(2025-02누계)</t>
    <phoneticPr fontId="1" type="noConversion"/>
  </si>
  <si>
    <t>2024년 2월누계 마감 손익</t>
  </si>
  <si>
    <t xml:space="preserve">  - OPC 소급분 : 삼표 2.5억(총 9.9억 中 1회차) → 8~2월누계 총 4회 소급예정</t>
  </si>
  <si>
    <t>□ 레미콘 영업이익 차이분석(2025-02)</t>
  </si>
  <si>
    <t>□ 레미콘 원재료 원단위(2025-02)</t>
  </si>
  <si>
    <t>□ 레미콘 원재료단가(2025-02)</t>
  </si>
  <si>
    <t>□ 레미콘 단위당 공헌이익(2025-02)</t>
  </si>
  <si>
    <t>2월누계</t>
    <phoneticPr fontId="1" type="noConversion"/>
  </si>
  <si>
    <t>□ 건자재 손익실적(2025-02)</t>
    <phoneticPr fontId="1" type="noConversion"/>
  </si>
  <si>
    <t>□ 골재사업소 손익(2025-02)</t>
  </si>
  <si>
    <t>2월</t>
    <phoneticPr fontId="1" type="noConversion"/>
  </si>
  <si>
    <t>쇄석25mm</t>
    <phoneticPr fontId="1" type="noConversion"/>
  </si>
  <si>
    <t>쇄사(습식)</t>
    <phoneticPr fontId="1" type="noConversion"/>
  </si>
  <si>
    <t>혼합석(40mm)</t>
    <phoneticPr fontId="1" type="noConversion"/>
  </si>
  <si>
    <t>쇄석40mm</t>
    <phoneticPr fontId="1" type="noConversion"/>
  </si>
  <si>
    <t>쇄사2</t>
    <phoneticPr fontId="1" type="noConversion"/>
  </si>
  <si>
    <t>□ 골재사업소 손익(2025-02누계)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</si>
</sst>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0_);[Red]\(#,##0.0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761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3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2" fillId="4" borderId="0" xfId="0" applyNumberFormat="1" applyFont="1" applyFill="1">
      <alignment vertical="center"/>
    </xf>
    <xf numFmtId="178" fontId="16" fillId="0" borderId="0" xfId="0" applyNumberFormat="1" applyFont="1" applyFill="1" applyBorder="1" applyAlignment="1">
      <alignment horizontal="centerContinuous" vertical="center"/>
    </xf>
    <xf numFmtId="178" fontId="16" fillId="6" borderId="28" xfId="0" applyNumberFormat="1" applyFont="1" applyFill="1" applyBorder="1" applyAlignment="1">
      <alignment horizontal="centerContinuous" vertical="center"/>
    </xf>
    <xf numFmtId="178" fontId="16" fillId="6" borderId="29" xfId="0" applyNumberFormat="1" applyFont="1" applyFill="1" applyBorder="1" applyAlignment="1">
      <alignment horizontal="centerContinuous" vertical="center"/>
    </xf>
    <xf numFmtId="178" fontId="16" fillId="6" borderId="27" xfId="0" applyNumberFormat="1" applyFont="1" applyFill="1" applyBorder="1" applyAlignment="1">
      <alignment horizontal="centerContinuous" vertical="center"/>
    </xf>
    <xf numFmtId="178" fontId="16" fillId="6" borderId="118" xfId="0" applyNumberFormat="1" applyFont="1" applyFill="1" applyBorder="1" applyAlignment="1">
      <alignment horizontal="centerContinuous" vertical="center"/>
    </xf>
    <xf numFmtId="178" fontId="16" fillId="6" borderId="119" xfId="0" applyNumberFormat="1" applyFont="1" applyFill="1" applyBorder="1" applyAlignment="1">
      <alignment horizontal="centerContinuous" vertical="center"/>
    </xf>
    <xf numFmtId="178" fontId="16" fillId="6" borderId="120" xfId="0" applyNumberFormat="1" applyFont="1" applyFill="1" applyBorder="1" applyAlignment="1">
      <alignment horizontal="centerContinuous" vertical="center"/>
    </xf>
    <xf numFmtId="178" fontId="16" fillId="6" borderId="39" xfId="0" applyNumberFormat="1" applyFont="1" applyFill="1" applyBorder="1" applyAlignment="1">
      <alignment horizontal="centerContinuous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6" fillId="6" borderId="71" xfId="0" applyNumberFormat="1" applyFont="1" applyFill="1" applyBorder="1" applyAlignment="1">
      <alignment horizontal="center" vertical="center"/>
    </xf>
    <xf numFmtId="178" fontId="16" fillId="6" borderId="10" xfId="0" applyNumberFormat="1" applyFont="1" applyFill="1" applyBorder="1" applyAlignment="1">
      <alignment horizontal="center" vertical="center"/>
    </xf>
    <xf numFmtId="178" fontId="16" fillId="6" borderId="45" xfId="0" applyNumberFormat="1" applyFont="1" applyFill="1" applyBorder="1" applyAlignment="1">
      <alignment horizontal="center" vertical="center"/>
    </xf>
    <xf numFmtId="178" fontId="16" fillId="6" borderId="121" xfId="0" applyNumberFormat="1" applyFont="1" applyFill="1" applyBorder="1" applyAlignment="1">
      <alignment horizontal="center" vertical="center"/>
    </xf>
    <xf numFmtId="178" fontId="16" fillId="6" borderId="64" xfId="0" applyNumberFormat="1" applyFont="1" applyFill="1" applyBorder="1" applyAlignment="1">
      <alignment horizontal="center" vertical="center"/>
    </xf>
    <xf numFmtId="178" fontId="16" fillId="6" borderId="112" xfId="0" applyNumberFormat="1" applyFont="1" applyFill="1" applyBorder="1" applyAlignment="1">
      <alignment horizontal="center" vertical="center"/>
    </xf>
    <xf numFmtId="178" fontId="16" fillId="6" borderId="113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2" fillId="0" borderId="29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100" xfId="0" applyNumberFormat="1" applyFont="1" applyFill="1" applyBorder="1" applyAlignment="1">
      <alignment vertical="center"/>
    </xf>
    <xf numFmtId="178" fontId="6" fillId="0" borderId="101" xfId="0" applyNumberFormat="1" applyFont="1" applyFill="1" applyBorder="1" applyAlignment="1">
      <alignment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2" fillId="0" borderId="31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105" xfId="0" applyNumberFormat="1" applyFont="1" applyFill="1" applyBorder="1" applyAlignment="1">
      <alignment vertical="center"/>
    </xf>
    <xf numFmtId="9" fontId="6" fillId="0" borderId="106" xfId="0" applyNumberFormat="1" applyFont="1" applyFill="1" applyBorder="1" applyAlignment="1">
      <alignment vertical="center"/>
    </xf>
    <xf numFmtId="178" fontId="6" fillId="0" borderId="0" xfId="0" applyNumberFormat="1" applyFont="1" applyFill="1" applyBorder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6" fillId="0" borderId="18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110" xfId="0" applyNumberFormat="1" applyFont="1" applyFill="1" applyBorder="1" applyAlignment="1">
      <alignment vertical="center"/>
    </xf>
    <xf numFmtId="178" fontId="6" fillId="0" borderId="111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9" fontId="2" fillId="0" borderId="33" xfId="0" applyNumberFormat="1" applyFont="1" applyFill="1" applyBorder="1" applyAlignment="1">
      <alignment horizontal="right" vertical="center"/>
    </xf>
    <xf numFmtId="9" fontId="6" fillId="0" borderId="22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107" xfId="0" applyNumberFormat="1" applyFont="1" applyFill="1" applyBorder="1" applyAlignment="1">
      <alignment vertical="center"/>
    </xf>
    <xf numFmtId="9" fontId="6" fillId="0" borderId="109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2" fillId="0" borderId="64" xfId="0" applyNumberFormat="1" applyFont="1" applyFill="1" applyBorder="1" applyAlignment="1">
      <alignment horizontal="center" vertical="center"/>
    </xf>
    <xf numFmtId="178" fontId="6" fillId="0" borderId="71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6" fillId="0" borderId="121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112" xfId="0" applyNumberFormat="1" applyFont="1" applyFill="1" applyBorder="1" applyAlignment="1">
      <alignment vertical="center"/>
    </xf>
    <xf numFmtId="178" fontId="6" fillId="0" borderId="113" xfId="0" applyNumberFormat="1" applyFont="1" applyFill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22" fillId="0" borderId="22" xfId="0" applyNumberFormat="1" applyFont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2" fillId="0" borderId="49" xfId="0" applyNumberFormat="1" applyFont="1" applyBorder="1" applyAlignment="1">
      <alignment vertical="center"/>
    </xf>
    <xf numFmtId="178" fontId="22" fillId="0" borderId="33" xfId="0" applyNumberFormat="1" applyFont="1" applyBorder="1" applyAlignment="1">
      <alignment vertical="center"/>
    </xf>
    <xf numFmtId="178" fontId="22" fillId="0" borderId="23" xfId="0" applyNumberFormat="1" applyFont="1" applyBorder="1" applyAlignment="1">
      <alignment vertical="center"/>
    </xf>
    <xf numFmtId="178" fontId="22" fillId="0" borderId="107" xfId="0" applyNumberFormat="1" applyFont="1" applyBorder="1" applyAlignment="1">
      <alignment vertical="center"/>
    </xf>
    <xf numFmtId="178" fontId="22" fillId="0" borderId="109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66" xfId="0" applyNumberFormat="1" applyFont="1" applyBorder="1" applyAlignment="1">
      <alignment vertical="center"/>
    </xf>
    <xf numFmtId="178" fontId="6" fillId="0" borderId="110" xfId="0" applyNumberFormat="1" applyFont="1" applyBorder="1" applyAlignment="1">
      <alignment vertical="center"/>
    </xf>
    <xf numFmtId="178" fontId="6" fillId="0" borderId="111" xfId="0" applyNumberFormat="1" applyFont="1" applyBorder="1" applyAlignment="1">
      <alignment vertical="center"/>
    </xf>
    <xf numFmtId="178" fontId="2" fillId="0" borderId="66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6" fillId="9" borderId="1" xfId="0" applyNumberFormat="1" applyFont="1" applyFill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00" xfId="0" applyNumberFormat="1" applyFont="1" applyBorder="1" applyAlignment="1">
      <alignment vertical="center"/>
    </xf>
    <xf numFmtId="178" fontId="6" fillId="0" borderId="101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107" xfId="0" applyNumberFormat="1" applyFont="1" applyBorder="1" applyAlignment="1">
      <alignment vertical="center"/>
    </xf>
    <xf numFmtId="178" fontId="6" fillId="0" borderId="109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6" fillId="0" borderId="102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103" xfId="0" applyNumberFormat="1" applyFont="1" applyBorder="1" applyAlignment="1">
      <alignment vertical="center"/>
    </xf>
    <xf numFmtId="178" fontId="6" fillId="0" borderId="104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0" fillId="4" borderId="0" xfId="0" applyNumberFormat="1" applyFill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105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41" fontId="23" fillId="0" borderId="110" xfId="1" applyFont="1" applyFill="1" applyBorder="1" applyAlignment="1">
      <alignment vertical="center"/>
    </xf>
    <xf numFmtId="178" fontId="24" fillId="0" borderId="20" xfId="0" applyNumberFormat="1" applyFont="1" applyFill="1" applyBorder="1" applyAlignment="1">
      <alignment vertical="center"/>
    </xf>
    <xf numFmtId="178" fontId="24" fillId="0" borderId="111" xfId="0" applyNumberFormat="1" applyFont="1" applyFill="1" applyBorder="1" applyAlignment="1">
      <alignment horizontal="right" vertical="center"/>
    </xf>
    <xf numFmtId="178" fontId="6" fillId="0" borderId="4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41" fontId="23" fillId="0" borderId="105" xfId="1" applyFont="1" applyFill="1" applyBorder="1" applyAlignment="1">
      <alignment vertical="center"/>
    </xf>
    <xf numFmtId="178" fontId="24" fillId="0" borderId="13" xfId="0" applyNumberFormat="1" applyFont="1" applyFill="1" applyBorder="1" applyAlignment="1">
      <alignment vertical="center"/>
    </xf>
    <xf numFmtId="178" fontId="24" fillId="0" borderId="106" xfId="0" applyNumberFormat="1" applyFont="1" applyFill="1" applyBorder="1" applyAlignment="1">
      <alignment horizontal="right" vertical="center"/>
    </xf>
    <xf numFmtId="41" fontId="23" fillId="0" borderId="105" xfId="1" applyFont="1" applyFill="1" applyBorder="1" applyAlignment="1">
      <alignment horizontal="center" vertical="center"/>
    </xf>
    <xf numFmtId="178" fontId="24" fillId="0" borderId="13" xfId="0" applyNumberFormat="1" applyFont="1" applyFill="1" applyBorder="1" applyAlignment="1">
      <alignment horizontal="center" vertical="center"/>
    </xf>
    <xf numFmtId="178" fontId="6" fillId="0" borderId="106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102" xfId="0" applyNumberFormat="1" applyFont="1" applyBorder="1" applyAlignment="1">
      <alignment horizontal="center" vertical="center"/>
    </xf>
    <xf numFmtId="178" fontId="6" fillId="0" borderId="6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6" fillId="0" borderId="102" xfId="0" applyNumberFormat="1" applyFont="1" applyBorder="1">
      <alignment vertical="center"/>
    </xf>
    <xf numFmtId="41" fontId="23" fillId="0" borderId="114" xfId="1" applyFont="1" applyFill="1" applyBorder="1" applyAlignment="1">
      <alignment horizontal="center" vertical="center"/>
    </xf>
    <xf numFmtId="178" fontId="6" fillId="0" borderId="122" xfId="0" applyNumberFormat="1" applyFont="1" applyFill="1" applyBorder="1">
      <alignment vertical="center"/>
    </xf>
    <xf numFmtId="178" fontId="6" fillId="0" borderId="117" xfId="0" applyNumberFormat="1" applyFont="1" applyFill="1" applyBorder="1" applyAlignment="1">
      <alignment horizontal="right" vertical="center"/>
    </xf>
    <xf numFmtId="178" fontId="6" fillId="0" borderId="114" xfId="0" applyNumberFormat="1" applyFont="1" applyBorder="1">
      <alignment vertical="center"/>
    </xf>
    <xf numFmtId="178" fontId="2" fillId="0" borderId="122" xfId="0" applyNumberFormat="1" applyFont="1" applyBorder="1">
      <alignment vertical="center"/>
    </xf>
    <xf numFmtId="178" fontId="6" fillId="0" borderId="117" xfId="0" applyNumberFormat="1" applyFont="1" applyBorder="1">
      <alignment vertical="center"/>
    </xf>
    <xf numFmtId="178" fontId="0" fillId="0" borderId="0" xfId="0" applyNumberForma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41" fontId="0" fillId="0" borderId="0" xfId="1" applyFont="1" applyFill="1" applyBorder="1">
      <alignment vertical="center"/>
    </xf>
    <xf numFmtId="178" fontId="6" fillId="0" borderId="29" xfId="0" applyNumberFormat="1" applyFont="1" applyFill="1" applyBorder="1" applyAlignment="1">
      <alignment vertical="center"/>
    </xf>
    <xf numFmtId="9" fontId="6" fillId="0" borderId="13" xfId="0" applyNumberFormat="1" applyFont="1" applyFill="1" applyBorder="1" applyAlignment="1">
      <alignment vertical="center"/>
    </xf>
    <xf numFmtId="178" fontId="6" fillId="0" borderId="20" xfId="0" applyNumberFormat="1" applyFont="1" applyFill="1" applyBorder="1" applyAlignment="1">
      <alignment vertical="center"/>
    </xf>
    <xf numFmtId="9" fontId="6" fillId="0" borderId="25" xfId="0" applyNumberFormat="1" applyFont="1" applyFill="1" applyBorder="1" applyAlignment="1">
      <alignment vertical="center"/>
    </xf>
    <xf numFmtId="178" fontId="6" fillId="0" borderId="10" xfId="0" applyNumberFormat="1" applyFont="1" applyFill="1" applyBorder="1" applyAlignment="1">
      <alignment vertical="center"/>
    </xf>
    <xf numFmtId="178" fontId="22" fillId="0" borderId="25" xfId="0" applyNumberFormat="1" applyFont="1" applyBorder="1" applyAlignment="1">
      <alignment vertical="center"/>
    </xf>
    <xf numFmtId="178" fontId="6" fillId="0" borderId="20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8" fontId="6" fillId="0" borderId="25" xfId="0" applyNumberFormat="1" applyFont="1" applyBorder="1" applyAlignment="1">
      <alignment vertical="center"/>
    </xf>
    <xf numFmtId="178" fontId="6" fillId="0" borderId="16" xfId="0" applyNumberFormat="1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178" fontId="6" fillId="0" borderId="13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3" fontId="6" fillId="4" borderId="2" xfId="0" applyNumberFormat="1" applyFont="1" applyFill="1" applyBorder="1" applyAlignment="1">
      <alignment vertical="center"/>
    </xf>
    <xf numFmtId="41" fontId="0" fillId="4" borderId="0" xfId="1" applyFont="1" applyFill="1" applyBorder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178" fontId="16" fillId="6" borderId="3" xfId="0" applyNumberFormat="1" applyFont="1" applyFill="1" applyBorder="1" applyAlignment="1">
      <alignment horizontal="center" vertical="center"/>
    </xf>
    <xf numFmtId="178" fontId="16" fillId="6" borderId="6" xfId="0" applyNumberFormat="1" applyFont="1" applyFill="1" applyBorder="1" applyAlignment="1">
      <alignment horizontal="center" vertical="center"/>
    </xf>
    <xf numFmtId="178" fontId="16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건자재!$Z$37:$AR$37</c:f>
              <c:strCache>
                <c:ptCount val="1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</c:strCache>
            </c:strRef>
          </c:cat>
          <c:val>
            <c:numRef>
              <c:f>건자재!$Z$38:$AR$38</c:f>
              <c:numCache>
                <c:formatCode>#,##0_);[Red]\(#,##0\)</c:formatCode>
                <c:ptCount val="14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건자재!$Z$37:$AR$37</c:f>
              <c:strCache>
                <c:ptCount val="14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</c:strCache>
            </c:strRef>
          </c:cat>
          <c:val>
            <c:numRef>
              <c:f>건자재!$Z$39:$AR$39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28</xdr:row>
      <xdr:rowOff>95249</xdr:rowOff>
    </xdr:from>
    <xdr:to>
      <xdr:col>14</xdr:col>
      <xdr:colOff>206375</xdr:colOff>
      <xdr:row>34</xdr:row>
      <xdr:rowOff>-1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CB9CB-481A-4980-A34C-0F614ED7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1_&#47112;&#48120;&#53080;/&#47112;&#48120;&#53080;&#50896;&#44032;&#49552;&#51061;(2025-02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1_&#47112;&#48120;&#53080;/&#47112;&#48120;&#53080;&#50896;&#44032;&#49552;&#51061;(2025-02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3_&#44264;&#51116;/&#44264;&#51116;&#50896;&#44032;&#49552;&#51061;(2025-02)&#44228;&#54925;&#45824;&#4870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1_&#47112;&#48120;&#53080;/&#47112;&#48120;&#53080;&#50896;&#44032;&#49552;&#51061;(2025-02&#45572;&#44228;)&#44228;&#54925;&#45824;&#48708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1_&#47112;&#48120;&#53080;/&#47112;&#48120;&#53080;&#50896;&#44032;&#49552;&#51061;(2025-02&#45572;&#44228;)&#51204;&#45380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9436;&#48512;&#49328;&#53356;&#46972;&#49380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47784;&#47000;&#5110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2/03_&#44264;&#51116;/&#44264;&#51116;&#49892;&#51201;(202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6">
          <cell r="D6" t="str">
            <v>구분</v>
          </cell>
        </row>
      </sheetData>
      <sheetData sheetId="3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32000</v>
          </cell>
          <cell r="G7">
            <v>25000</v>
          </cell>
          <cell r="H7">
            <v>16000</v>
          </cell>
          <cell r="I7">
            <v>10000</v>
          </cell>
          <cell r="J7">
            <v>19000</v>
          </cell>
          <cell r="K7">
            <v>19000</v>
          </cell>
          <cell r="L7">
            <v>12000</v>
          </cell>
          <cell r="M7">
            <v>18000</v>
          </cell>
          <cell r="N7">
            <v>10000</v>
          </cell>
          <cell r="O7">
            <v>7000</v>
          </cell>
          <cell r="P7">
            <v>11000</v>
          </cell>
          <cell r="Q7">
            <v>9000</v>
          </cell>
          <cell r="R7">
            <v>18000</v>
          </cell>
          <cell r="S7">
            <v>7000</v>
          </cell>
          <cell r="T7">
            <v>5000</v>
          </cell>
          <cell r="U7">
            <v>2000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227000</v>
          </cell>
          <cell r="AA7">
            <v>10200</v>
          </cell>
          <cell r="AB7">
            <v>45697.660215053766</v>
          </cell>
          <cell r="AC7">
            <v>11960.346799999999</v>
          </cell>
          <cell r="AD7">
            <v>16714.18817416703</v>
          </cell>
          <cell r="AE7">
            <v>74372.195189220802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35748405.908727795</v>
          </cell>
          <cell r="F8">
            <v>3151774.1</v>
          </cell>
          <cell r="G8">
            <v>2443197.8684047488</v>
          </cell>
          <cell r="H8">
            <v>1545897.6548000001</v>
          </cell>
          <cell r="I8">
            <v>957335.13</v>
          </cell>
          <cell r="J8">
            <v>2046298.1388400001</v>
          </cell>
          <cell r="K8">
            <v>1886707.3916000007</v>
          </cell>
          <cell r="L8">
            <v>1155603.2999999998</v>
          </cell>
          <cell r="M8">
            <v>1836002.2316000001</v>
          </cell>
          <cell r="N8">
            <v>947242.5</v>
          </cell>
          <cell r="O8">
            <v>700002.20193600003</v>
          </cell>
          <cell r="P8">
            <v>1063871.9636619049</v>
          </cell>
          <cell r="Q8">
            <v>913540</v>
          </cell>
          <cell r="R8">
            <v>1854000</v>
          </cell>
          <cell r="S8">
            <v>678038.31999999983</v>
          </cell>
          <cell r="T8">
            <v>557601.24</v>
          </cell>
          <cell r="U8">
            <v>224000</v>
          </cell>
          <cell r="V8">
            <v>859757.5</v>
          </cell>
          <cell r="W8">
            <v>0</v>
          </cell>
          <cell r="X8">
            <v>0</v>
          </cell>
          <cell r="Y8">
            <v>0</v>
          </cell>
          <cell r="Z8">
            <v>22820869.540842656</v>
          </cell>
          <cell r="AA8">
            <v>11165945.543013699</v>
          </cell>
          <cell r="AB8">
            <v>664492.43010752695</v>
          </cell>
          <cell r="AC8">
            <v>253388.19046666665</v>
          </cell>
          <cell r="AD8">
            <v>677008.70429724536</v>
          </cell>
          <cell r="AE8">
            <v>1594889.324871439</v>
          </cell>
          <cell r="AF8">
            <v>12500</v>
          </cell>
          <cell r="AG8">
            <v>50000</v>
          </cell>
          <cell r="AH8">
            <v>28340</v>
          </cell>
          <cell r="AI8">
            <v>68570</v>
          </cell>
          <cell r="AJ8">
            <v>5521.5</v>
          </cell>
          <cell r="AK8">
            <v>0</v>
          </cell>
          <cell r="AL8">
            <v>164931.5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98492.940625000003</v>
          </cell>
          <cell r="G9">
            <v>97727.914736189952</v>
          </cell>
          <cell r="H9">
            <v>96618.603425000008</v>
          </cell>
          <cell r="I9">
            <v>95733.513000000006</v>
          </cell>
          <cell r="J9">
            <v>107699.90204421052</v>
          </cell>
          <cell r="K9">
            <v>99300.38903157899</v>
          </cell>
          <cell r="L9">
            <v>96300.27499999998</v>
          </cell>
          <cell r="M9">
            <v>102000.12397777778</v>
          </cell>
          <cell r="N9">
            <v>94724.25</v>
          </cell>
          <cell r="O9">
            <v>100000.31456228573</v>
          </cell>
          <cell r="P9">
            <v>96715.633060173175</v>
          </cell>
          <cell r="Q9">
            <v>101504.44444444444</v>
          </cell>
          <cell r="R9">
            <v>103000</v>
          </cell>
          <cell r="S9">
            <v>96862.617142857125</v>
          </cell>
          <cell r="T9">
            <v>111520.24799999999</v>
          </cell>
          <cell r="U9">
            <v>112000</v>
          </cell>
          <cell r="V9">
            <v>122822.5</v>
          </cell>
          <cell r="W9">
            <v>0</v>
          </cell>
          <cell r="X9">
            <v>0</v>
          </cell>
          <cell r="Y9">
            <v>0</v>
          </cell>
          <cell r="Z9">
            <v>100532.46493763285</v>
          </cell>
          <cell r="AA9">
            <v>1094700.5434327156</v>
          </cell>
          <cell r="AB9">
            <v>14541.060242043404</v>
          </cell>
          <cell r="AC9">
            <v>21185.689236591923</v>
          </cell>
          <cell r="AD9">
            <v>40505.030650762361</v>
          </cell>
          <cell r="AE9">
            <v>21444.698799244205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32419893.964739352</v>
          </cell>
          <cell r="F10">
            <v>2879715.5541546885</v>
          </cell>
          <cell r="G10">
            <v>2274475.2204982294</v>
          </cell>
          <cell r="H10">
            <v>1449088.2685916431</v>
          </cell>
          <cell r="I10">
            <v>876320.99263333529</v>
          </cell>
          <cell r="J10">
            <v>1778588.0917794269</v>
          </cell>
          <cell r="K10">
            <v>1651355.9537269999</v>
          </cell>
          <cell r="L10">
            <v>1018289.5302677685</v>
          </cell>
          <cell r="M10">
            <v>1626593.8788834009</v>
          </cell>
          <cell r="N10">
            <v>850651.41907899803</v>
          </cell>
          <cell r="O10">
            <v>644278.97575088334</v>
          </cell>
          <cell r="P10">
            <v>956011.71425928955</v>
          </cell>
          <cell r="Q10">
            <v>840627.94009216561</v>
          </cell>
          <cell r="R10">
            <v>1593794.2669252977</v>
          </cell>
          <cell r="S10">
            <v>613975.29563261778</v>
          </cell>
          <cell r="T10">
            <v>430072.03091693454</v>
          </cell>
          <cell r="U10">
            <v>218005.18676736637</v>
          </cell>
          <cell r="V10">
            <v>696974.59381298034</v>
          </cell>
          <cell r="W10">
            <v>0</v>
          </cell>
          <cell r="X10">
            <v>0</v>
          </cell>
          <cell r="Y10">
            <v>0</v>
          </cell>
          <cell r="Z10">
            <v>20398818.913772024</v>
          </cell>
          <cell r="AA10">
            <v>10864468.817494512</v>
          </cell>
          <cell r="AB10">
            <v>522054.09999999986</v>
          </cell>
          <cell r="AC10">
            <v>218640.40787519998</v>
          </cell>
          <cell r="AD10">
            <v>414476.72559761477</v>
          </cell>
          <cell r="AE10">
            <v>1155171.2334728148</v>
          </cell>
          <cell r="AF10">
            <v>103</v>
          </cell>
          <cell r="AG10">
            <v>587</v>
          </cell>
          <cell r="AH10">
            <v>420</v>
          </cell>
          <cell r="AI10">
            <v>184</v>
          </cell>
          <cell r="AJ10">
            <v>141</v>
          </cell>
          <cell r="AK10">
            <v>0</v>
          </cell>
          <cell r="AL10">
            <v>1435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D11" t="str">
            <v xml:space="preserve"> - 단  위  당</v>
          </cell>
          <cell r="F11">
            <v>89991.111067334015</v>
          </cell>
          <cell r="G11">
            <v>90979.008819929179</v>
          </cell>
          <cell r="H11">
            <v>90568.016786977692</v>
          </cell>
          <cell r="I11">
            <v>87632.099263333526</v>
          </cell>
          <cell r="J11">
            <v>93609.89956733826</v>
          </cell>
          <cell r="K11">
            <v>86913.471248789458</v>
          </cell>
          <cell r="L11">
            <v>84857.460855647369</v>
          </cell>
          <cell r="M11">
            <v>90366.326604633388</v>
          </cell>
          <cell r="N11">
            <v>85065.141907899801</v>
          </cell>
          <cell r="O11">
            <v>92039.853678697618</v>
          </cell>
          <cell r="P11">
            <v>86910.1558417536</v>
          </cell>
          <cell r="Q11">
            <v>93403.104454685061</v>
          </cell>
          <cell r="R11">
            <v>88544.125940294325</v>
          </cell>
          <cell r="S11">
            <v>87710.756518945404</v>
          </cell>
          <cell r="T11">
            <v>86014.406183386905</v>
          </cell>
          <cell r="U11">
            <v>109002.59338368318</v>
          </cell>
          <cell r="V11">
            <v>99567.799116140057</v>
          </cell>
          <cell r="W11">
            <v>0</v>
          </cell>
          <cell r="X11">
            <v>0</v>
          </cell>
          <cell r="Y11">
            <v>0</v>
          </cell>
          <cell r="Z11">
            <v>89862.63838666091</v>
          </cell>
          <cell r="AA11">
            <v>1065144.0017151483</v>
          </cell>
          <cell r="AB11">
            <v>11424.088181828274</v>
          </cell>
          <cell r="AC11">
            <v>18280.440486491578</v>
          </cell>
          <cell r="AD11">
            <v>24797.897527456233</v>
          </cell>
          <cell r="AE11">
            <v>15532.299813576574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3328511.9439884424</v>
          </cell>
          <cell r="F12">
            <v>272058.5458453116</v>
          </cell>
          <cell r="G12">
            <v>168722.64790651947</v>
          </cell>
          <cell r="H12">
            <v>96809.386208357057</v>
          </cell>
          <cell r="I12">
            <v>81014.137366664712</v>
          </cell>
          <cell r="J12">
            <v>267710.04706057324</v>
          </cell>
          <cell r="K12">
            <v>235351.43787300074</v>
          </cell>
          <cell r="L12">
            <v>137313.76973223127</v>
          </cell>
          <cell r="M12">
            <v>209408.35271659913</v>
          </cell>
          <cell r="N12">
            <v>96591.080921001965</v>
          </cell>
          <cell r="O12">
            <v>55723.226185116684</v>
          </cell>
          <cell r="P12">
            <v>107860.24940261536</v>
          </cell>
          <cell r="Q12">
            <v>72912.059907834395</v>
          </cell>
          <cell r="R12">
            <v>260205.73307470232</v>
          </cell>
          <cell r="S12">
            <v>64063.024367382051</v>
          </cell>
          <cell r="T12">
            <v>127529.20908306545</v>
          </cell>
          <cell r="U12">
            <v>5994.8132326336345</v>
          </cell>
          <cell r="V12">
            <v>162782.90618701966</v>
          </cell>
          <cell r="W12">
            <v>0</v>
          </cell>
          <cell r="X12">
            <v>0</v>
          </cell>
          <cell r="Y12">
            <v>0</v>
          </cell>
          <cell r="Z12">
            <v>2422050.6270706318</v>
          </cell>
          <cell r="AA12">
            <v>301476.72551918775</v>
          </cell>
          <cell r="AB12">
            <v>142438.33010752709</v>
          </cell>
          <cell r="AC12">
            <v>34747.782591466676</v>
          </cell>
          <cell r="AD12">
            <v>262531.97869963059</v>
          </cell>
          <cell r="AE12">
            <v>439718.09139862424</v>
          </cell>
          <cell r="AF12">
            <v>12397</v>
          </cell>
          <cell r="AG12">
            <v>49413</v>
          </cell>
          <cell r="AH12">
            <v>27920</v>
          </cell>
          <cell r="AI12">
            <v>68386</v>
          </cell>
          <cell r="AJ12">
            <v>5380.5</v>
          </cell>
          <cell r="AK12">
            <v>0</v>
          </cell>
          <cell r="AL12">
            <v>163496.5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1770</v>
          </cell>
          <cell r="AU12">
            <v>1770</v>
          </cell>
        </row>
        <row r="13">
          <cell r="D13" t="str">
            <v>판 관 비</v>
          </cell>
          <cell r="E13">
            <v>799497.15</v>
          </cell>
          <cell r="F13">
            <v>70773.7</v>
          </cell>
          <cell r="G13">
            <v>63168.009999999995</v>
          </cell>
          <cell r="H13">
            <v>52777.32</v>
          </cell>
          <cell r="I13">
            <v>35770.630000000005</v>
          </cell>
          <cell r="J13">
            <v>48081.760000000002</v>
          </cell>
          <cell r="K13">
            <v>49812.069999999992</v>
          </cell>
          <cell r="L13">
            <v>37900.409999999996</v>
          </cell>
          <cell r="M13">
            <v>48031.08</v>
          </cell>
          <cell r="N13">
            <v>29028.299999999996</v>
          </cell>
          <cell r="O13">
            <v>37386.92</v>
          </cell>
          <cell r="P13">
            <v>38191.99</v>
          </cell>
          <cell r="Q13">
            <v>36486.320000000007</v>
          </cell>
          <cell r="R13">
            <v>46935.64</v>
          </cell>
          <cell r="S13">
            <v>30706.14</v>
          </cell>
          <cell r="T13">
            <v>11841.88</v>
          </cell>
          <cell r="U13">
            <v>12740.220000000001</v>
          </cell>
          <cell r="V13">
            <v>16419.560000000001</v>
          </cell>
          <cell r="W13">
            <v>0</v>
          </cell>
          <cell r="X13">
            <v>0</v>
          </cell>
          <cell r="Y13">
            <v>0</v>
          </cell>
          <cell r="Z13">
            <v>666051.94999999995</v>
          </cell>
          <cell r="AA13">
            <v>124380.2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468</v>
          </cell>
          <cell r="AN13">
            <v>264</v>
          </cell>
          <cell r="AO13">
            <v>216</v>
          </cell>
          <cell r="AP13">
            <v>166</v>
          </cell>
          <cell r="AQ13">
            <v>7951</v>
          </cell>
          <cell r="AR13">
            <v>0</v>
          </cell>
          <cell r="AS13">
            <v>0</v>
          </cell>
          <cell r="AT13">
            <v>0</v>
          </cell>
          <cell r="AU13">
            <v>9065</v>
          </cell>
        </row>
        <row r="14">
          <cell r="D14" t="str">
            <v xml:space="preserve"> - 노   무   비</v>
          </cell>
          <cell r="E14">
            <v>551377.94000000006</v>
          </cell>
          <cell r="F14">
            <v>49121.599999999999</v>
          </cell>
          <cell r="G14">
            <v>42812.85</v>
          </cell>
          <cell r="H14">
            <v>37165.25</v>
          </cell>
          <cell r="I14">
            <v>25764.83</v>
          </cell>
          <cell r="J14">
            <v>32822.07</v>
          </cell>
          <cell r="K14">
            <v>35323.249999999993</v>
          </cell>
          <cell r="L14">
            <v>26940.379999999997</v>
          </cell>
          <cell r="M14">
            <v>34544.370000000003</v>
          </cell>
          <cell r="N14">
            <v>20313.559999999998</v>
          </cell>
          <cell r="O14">
            <v>26453.98</v>
          </cell>
          <cell r="P14">
            <v>26779.119999999999</v>
          </cell>
          <cell r="Q14">
            <v>26187.150000000005</v>
          </cell>
          <cell r="R14">
            <v>32239.420000000002</v>
          </cell>
          <cell r="S14">
            <v>21868.81</v>
          </cell>
          <cell r="T14">
            <v>7384.49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463875.66000000003</v>
          </cell>
          <cell r="AA14">
            <v>87502.28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D15" t="str">
            <v xml:space="preserve"> - 경        비</v>
          </cell>
          <cell r="E15">
            <v>248119.20999999996</v>
          </cell>
          <cell r="F15">
            <v>21652.1</v>
          </cell>
          <cell r="G15">
            <v>20355.16</v>
          </cell>
          <cell r="H15">
            <v>15612.07</v>
          </cell>
          <cell r="I15">
            <v>10005.799999999999</v>
          </cell>
          <cell r="J15">
            <v>15259.69</v>
          </cell>
          <cell r="K15">
            <v>14488.82</v>
          </cell>
          <cell r="L15">
            <v>10960.03</v>
          </cell>
          <cell r="M15">
            <v>13486.71</v>
          </cell>
          <cell r="N15">
            <v>8714.74</v>
          </cell>
          <cell r="O15">
            <v>10932.94</v>
          </cell>
          <cell r="P15">
            <v>11412.869999999999</v>
          </cell>
          <cell r="Q15">
            <v>10299.17</v>
          </cell>
          <cell r="R15">
            <v>14696.22</v>
          </cell>
          <cell r="S15">
            <v>8837.33</v>
          </cell>
          <cell r="T15">
            <v>4457.3899999999994</v>
          </cell>
          <cell r="U15">
            <v>5392.72</v>
          </cell>
          <cell r="V15">
            <v>5612.5300000000007</v>
          </cell>
          <cell r="W15">
            <v>0</v>
          </cell>
          <cell r="X15">
            <v>0</v>
          </cell>
          <cell r="Y15">
            <v>0</v>
          </cell>
          <cell r="Z15">
            <v>202176.28999999998</v>
          </cell>
          <cell r="AA15">
            <v>36877.919999999998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468</v>
          </cell>
          <cell r="AN15">
            <v>264</v>
          </cell>
          <cell r="AO15">
            <v>216</v>
          </cell>
          <cell r="AP15">
            <v>166</v>
          </cell>
          <cell r="AQ15">
            <v>7951</v>
          </cell>
          <cell r="AR15">
            <v>0</v>
          </cell>
          <cell r="AS15">
            <v>0</v>
          </cell>
          <cell r="AT15">
            <v>0</v>
          </cell>
          <cell r="AU15">
            <v>9065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2529014.7939884425</v>
          </cell>
          <cell r="F17">
            <v>201284.84584531159</v>
          </cell>
          <cell r="G17">
            <v>105554.63790651948</v>
          </cell>
          <cell r="H17">
            <v>44032.066208357057</v>
          </cell>
          <cell r="I17">
            <v>45243.507366664708</v>
          </cell>
          <cell r="J17">
            <v>219628.28706057323</v>
          </cell>
          <cell r="K17">
            <v>185539.36787300074</v>
          </cell>
          <cell r="L17">
            <v>99413.359732231271</v>
          </cell>
          <cell r="M17">
            <v>161377.27271659911</v>
          </cell>
          <cell r="N17">
            <v>67562.780921001977</v>
          </cell>
          <cell r="O17">
            <v>18336.306185116686</v>
          </cell>
          <cell r="P17">
            <v>69668.259402615367</v>
          </cell>
          <cell r="Q17">
            <v>36425.739907834388</v>
          </cell>
          <cell r="R17">
            <v>213270.09307470231</v>
          </cell>
          <cell r="S17">
            <v>33356.884367382052</v>
          </cell>
          <cell r="T17">
            <v>115687.32908306544</v>
          </cell>
          <cell r="U17">
            <v>-6745.4067673663667</v>
          </cell>
          <cell r="V17">
            <v>146363.34618701966</v>
          </cell>
          <cell r="W17">
            <v>0</v>
          </cell>
          <cell r="X17">
            <v>0</v>
          </cell>
          <cell r="Y17">
            <v>0</v>
          </cell>
          <cell r="Z17">
            <v>1755998.6770706319</v>
          </cell>
          <cell r="AA17">
            <v>177096.52551918774</v>
          </cell>
          <cell r="AB17">
            <v>142438.33010752709</v>
          </cell>
          <cell r="AC17">
            <v>34747.782591466676</v>
          </cell>
          <cell r="AD17">
            <v>262531.97869963059</v>
          </cell>
          <cell r="AE17">
            <v>439718.09139862424</v>
          </cell>
          <cell r="AF17">
            <v>12397</v>
          </cell>
          <cell r="AG17">
            <v>49413</v>
          </cell>
          <cell r="AH17">
            <v>27920</v>
          </cell>
          <cell r="AI17">
            <v>68386</v>
          </cell>
          <cell r="AJ17">
            <v>5380.5</v>
          </cell>
          <cell r="AK17">
            <v>0</v>
          </cell>
          <cell r="AL17">
            <v>163496.5</v>
          </cell>
          <cell r="AM17">
            <v>-468</v>
          </cell>
          <cell r="AN17">
            <v>-264</v>
          </cell>
          <cell r="AO17">
            <v>-216</v>
          </cell>
          <cell r="AP17">
            <v>-166</v>
          </cell>
          <cell r="AQ17">
            <v>-7951</v>
          </cell>
          <cell r="AR17">
            <v>0</v>
          </cell>
          <cell r="AS17">
            <v>0</v>
          </cell>
          <cell r="AT17">
            <v>1770</v>
          </cell>
          <cell r="AU17">
            <v>-7295</v>
          </cell>
        </row>
        <row r="18">
          <cell r="D18" t="str">
            <v>감가상각비</v>
          </cell>
          <cell r="E18">
            <v>571732.23646234546</v>
          </cell>
          <cell r="F18">
            <v>29486.990222222223</v>
          </cell>
          <cell r="G18">
            <v>35308.774017244461</v>
          </cell>
          <cell r="H18">
            <v>21361.274222222222</v>
          </cell>
          <cell r="I18">
            <v>18427.412777777779</v>
          </cell>
          <cell r="J18">
            <v>47691.919888888886</v>
          </cell>
          <cell r="K18">
            <v>28623.784111111112</v>
          </cell>
          <cell r="L18">
            <v>13565.532222222222</v>
          </cell>
          <cell r="M18">
            <v>25386.879444444443</v>
          </cell>
          <cell r="N18">
            <v>11488.955888888886</v>
          </cell>
          <cell r="O18">
            <v>31510.304111111112</v>
          </cell>
          <cell r="P18">
            <v>15214.708214248669</v>
          </cell>
          <cell r="Q18">
            <v>15437.812055282729</v>
          </cell>
          <cell r="R18">
            <v>36746.377888888885</v>
          </cell>
          <cell r="S18">
            <v>21324.747777777779</v>
          </cell>
          <cell r="T18">
            <v>11015.231888888889</v>
          </cell>
          <cell r="U18">
            <v>5952.9711111111101</v>
          </cell>
          <cell r="V18">
            <v>12327.661508902982</v>
          </cell>
          <cell r="W18">
            <v>0</v>
          </cell>
          <cell r="X18">
            <v>0</v>
          </cell>
          <cell r="Y18">
            <v>0</v>
          </cell>
          <cell r="Z18">
            <v>380871.33735123434</v>
          </cell>
          <cell r="AA18">
            <v>5475.768</v>
          </cell>
          <cell r="AB18">
            <v>23534.010555555556</v>
          </cell>
          <cell r="AC18">
            <v>57706.521666666667</v>
          </cell>
          <cell r="AD18">
            <v>35123.078888888893</v>
          </cell>
          <cell r="AE18">
            <v>116363.61111111111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</row>
        <row r="19">
          <cell r="D19" t="str">
            <v xml:space="preserve"> - 제        조</v>
          </cell>
          <cell r="E19">
            <v>502180.81446234544</v>
          </cell>
          <cell r="F19">
            <v>27159.368222222223</v>
          </cell>
          <cell r="G19">
            <v>33363.639017244459</v>
          </cell>
          <cell r="H19">
            <v>19590.027222222223</v>
          </cell>
          <cell r="I19">
            <v>17235.424777777778</v>
          </cell>
          <cell r="J19">
            <v>45815.853888888887</v>
          </cell>
          <cell r="K19">
            <v>27059.38211111111</v>
          </cell>
          <cell r="L19">
            <v>12371.933222222222</v>
          </cell>
          <cell r="M19">
            <v>23823.574444444443</v>
          </cell>
          <cell r="N19">
            <v>10738.919888888886</v>
          </cell>
          <cell r="O19">
            <v>30291.538111111113</v>
          </cell>
          <cell r="P19">
            <v>14009.320214248668</v>
          </cell>
          <cell r="Q19">
            <v>14335.657055282729</v>
          </cell>
          <cell r="R19">
            <v>35158.176888888884</v>
          </cell>
          <cell r="S19">
            <v>20197.883777777777</v>
          </cell>
          <cell r="T19">
            <v>10572.362888888889</v>
          </cell>
          <cell r="U19">
            <v>5582.5711111111104</v>
          </cell>
          <cell r="V19">
            <v>11502.291508902981</v>
          </cell>
          <cell r="W19">
            <v>0</v>
          </cell>
          <cell r="X19">
            <v>0</v>
          </cell>
          <cell r="Y19">
            <v>0</v>
          </cell>
          <cell r="Z19">
            <v>358807.92435123434</v>
          </cell>
          <cell r="AA19">
            <v>0</v>
          </cell>
          <cell r="AB19">
            <v>23534.010555555556</v>
          </cell>
          <cell r="AC19">
            <v>57706.521666666667</v>
          </cell>
          <cell r="AD19">
            <v>35123.078888888893</v>
          </cell>
          <cell r="AE19">
            <v>116363.61111111111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</row>
        <row r="21">
          <cell r="D21" t="str">
            <v>영업이익 I</v>
          </cell>
          <cell r="E21">
            <v>1957282.5575260972</v>
          </cell>
          <cell r="F21">
            <v>171797.85562308936</v>
          </cell>
          <cell r="G21">
            <v>70245.863889275017</v>
          </cell>
          <cell r="H21">
            <v>22670.791986134835</v>
          </cell>
          <cell r="I21">
            <v>26816.094588886928</v>
          </cell>
          <cell r="J21">
            <v>171936.36717168434</v>
          </cell>
          <cell r="K21">
            <v>156915.58376188963</v>
          </cell>
          <cell r="L21">
            <v>85847.827510009054</v>
          </cell>
          <cell r="M21">
            <v>135990.39327215467</v>
          </cell>
          <cell r="N21">
            <v>56073.825032113091</v>
          </cell>
          <cell r="O21">
            <v>-13173.997925994427</v>
          </cell>
          <cell r="P21">
            <v>54453.551188366699</v>
          </cell>
          <cell r="Q21">
            <v>20987.927852551657</v>
          </cell>
          <cell r="R21">
            <v>176523.71518581343</v>
          </cell>
          <cell r="S21">
            <v>12032.136589604273</v>
          </cell>
          <cell r="T21">
            <v>104672.09719417656</v>
          </cell>
          <cell r="U21">
            <v>-12698.377878477477</v>
          </cell>
          <cell r="V21">
            <v>134035.68467811667</v>
          </cell>
          <cell r="W21">
            <v>0</v>
          </cell>
          <cell r="X21">
            <v>0</v>
          </cell>
          <cell r="Y21">
            <v>0</v>
          </cell>
          <cell r="Z21">
            <v>1375127.3397193975</v>
          </cell>
          <cell r="AA21">
            <v>171620.75751918773</v>
          </cell>
          <cell r="AB21">
            <v>118904.31955197154</v>
          </cell>
          <cell r="AC21">
            <v>-22958.739075199992</v>
          </cell>
          <cell r="AD21">
            <v>227408.89981074171</v>
          </cell>
          <cell r="AE21">
            <v>323354.48028751311</v>
          </cell>
          <cell r="AF21">
            <v>9101.6239999999998</v>
          </cell>
          <cell r="AG21">
            <v>43743.944000000003</v>
          </cell>
          <cell r="AH21">
            <v>19677.652999999998</v>
          </cell>
          <cell r="AI21">
            <v>59896.392</v>
          </cell>
          <cell r="AJ21">
            <v>4067.6080000000002</v>
          </cell>
          <cell r="AK21">
            <v>0</v>
          </cell>
          <cell r="AL21">
            <v>136487.22099999999</v>
          </cell>
          <cell r="AM21">
            <v>-4155.2199999999993</v>
          </cell>
          <cell r="AN21">
            <v>-1163.5140000000001</v>
          </cell>
          <cell r="AO21">
            <v>-569.67200000000003</v>
          </cell>
          <cell r="AP21">
            <v>-407.20500000000004</v>
          </cell>
          <cell r="AQ21">
            <v>-26208.885000000002</v>
          </cell>
          <cell r="AR21">
            <v>-855.83600000000001</v>
          </cell>
          <cell r="AS21">
            <v>0</v>
          </cell>
          <cell r="AT21">
            <v>-15946.909</v>
          </cell>
          <cell r="AU21">
            <v>-49307.240999999995</v>
          </cell>
        </row>
        <row r="22">
          <cell r="D22" t="str">
            <v>공    통    비</v>
          </cell>
          <cell r="E22">
            <v>1252034.674133003</v>
          </cell>
          <cell r="F22">
            <v>166079.00697128678</v>
          </cell>
          <cell r="G22">
            <v>128741.42084581038</v>
          </cell>
          <cell r="H22">
            <v>81459.247789498972</v>
          </cell>
          <cell r="I22">
            <v>50445.641941510883</v>
          </cell>
          <cell r="J22">
            <v>109746.15593669772</v>
          </cell>
          <cell r="K22">
            <v>101187.05562759825</v>
          </cell>
          <cell r="L22">
            <v>61976.804628603888</v>
          </cell>
          <cell r="M22">
            <v>98467.658932398335</v>
          </cell>
          <cell r="N22">
            <v>50802.090439176085</v>
          </cell>
          <cell r="O22">
            <v>37542.208220571891</v>
          </cell>
          <cell r="P22">
            <v>57057.11020531274</v>
          </cell>
          <cell r="Q22">
            <v>48994.572878439183</v>
          </cell>
          <cell r="R22">
            <v>93413.451411539529</v>
          </cell>
          <cell r="S22">
            <v>34162.836925826254</v>
          </cell>
          <cell r="T22">
            <v>28094.636644959111</v>
          </cell>
          <cell r="U22">
            <v>11286.19909179334</v>
          </cell>
          <cell r="V22">
            <v>43318.72462349337</v>
          </cell>
          <cell r="W22">
            <v>0</v>
          </cell>
          <cell r="X22">
            <v>0</v>
          </cell>
          <cell r="Y22">
            <v>0</v>
          </cell>
          <cell r="Z22">
            <v>1202774.8231145167</v>
          </cell>
          <cell r="AA22">
            <v>0</v>
          </cell>
          <cell r="AB22">
            <v>20523.554581222968</v>
          </cell>
          <cell r="AC22">
            <v>7826.16343189708</v>
          </cell>
          <cell r="AD22">
            <v>20910.133005366442</v>
          </cell>
          <cell r="AE22">
            <v>49259.851018486486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269995.37333333335</v>
          </cell>
          <cell r="F23">
            <v>30450.255932546959</v>
          </cell>
          <cell r="G23">
            <v>23604.483705471717</v>
          </cell>
          <cell r="H23">
            <v>14935.391224321607</v>
          </cell>
          <cell r="I23">
            <v>9249.108215502536</v>
          </cell>
          <cell r="J23">
            <v>21688.810448717792</v>
          </cell>
          <cell r="K23">
            <v>19997.300594625987</v>
          </cell>
          <cell r="L23">
            <v>12248.293858988101</v>
          </cell>
          <cell r="M23">
            <v>19459.874213231076</v>
          </cell>
          <cell r="N23">
            <v>10039.867916371075</v>
          </cell>
          <cell r="O23">
            <v>7419.356340753664</v>
          </cell>
          <cell r="P23">
            <v>11276.029100357991</v>
          </cell>
          <cell r="Q23">
            <v>9682.6535299267434</v>
          </cell>
          <cell r="R23">
            <v>13631.177540508108</v>
          </cell>
          <cell r="S23">
            <v>4985.1460189794216</v>
          </cell>
          <cell r="T23">
            <v>4099.6556090870936</v>
          </cell>
          <cell r="U23">
            <v>1646.9168117981749</v>
          </cell>
          <cell r="V23">
            <v>6321.2012536587918</v>
          </cell>
          <cell r="W23">
            <v>0</v>
          </cell>
          <cell r="X23">
            <v>0</v>
          </cell>
          <cell r="Y23">
            <v>0</v>
          </cell>
          <cell r="Z23">
            <v>220735.52231484686</v>
          </cell>
          <cell r="AA23">
            <v>0</v>
          </cell>
          <cell r="AB23">
            <v>20523.554581222968</v>
          </cell>
          <cell r="AC23">
            <v>7826.16343189708</v>
          </cell>
          <cell r="AD23">
            <v>20910.133005366442</v>
          </cell>
          <cell r="AE23">
            <v>49259.851018486486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404396.47833333327</v>
          </cell>
          <cell r="F24">
            <v>55850.910687741838</v>
          </cell>
          <cell r="G24">
            <v>43294.608563714908</v>
          </cell>
          <cell r="H24">
            <v>27394.029239159103</v>
          </cell>
          <cell r="I24">
            <v>16964.426112857429</v>
          </cell>
          <cell r="J24">
            <v>36261.359782366759</v>
          </cell>
          <cell r="K24">
            <v>33433.337123416932</v>
          </cell>
          <cell r="L24">
            <v>20477.830787035062</v>
          </cell>
          <cell r="M24">
            <v>32534.817980637097</v>
          </cell>
          <cell r="N24">
            <v>16785.579990372182</v>
          </cell>
          <cell r="O24">
            <v>12404.366309612786</v>
          </cell>
          <cell r="P24">
            <v>18852.30861744615</v>
          </cell>
          <cell r="Q24">
            <v>16188.355932514223</v>
          </cell>
          <cell r="R24">
            <v>32853.746851677395</v>
          </cell>
          <cell r="S24">
            <v>12015.156052328277</v>
          </cell>
          <cell r="T24">
            <v>9880.9546834635439</v>
          </cell>
          <cell r="U24">
            <v>3969.3847328887468</v>
          </cell>
          <cell r="V24">
            <v>15235.304886100879</v>
          </cell>
          <cell r="W24">
            <v>0</v>
          </cell>
          <cell r="X24">
            <v>0</v>
          </cell>
          <cell r="Y24">
            <v>0</v>
          </cell>
          <cell r="Z24">
            <v>404396.47833333327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577642.82246633642</v>
          </cell>
          <cell r="F25">
            <v>79777.840350997969</v>
          </cell>
          <cell r="G25">
            <v>61842.328576623746</v>
          </cell>
          <cell r="H25">
            <v>39129.827326018254</v>
          </cell>
          <cell r="I25">
            <v>24232.107613150918</v>
          </cell>
          <cell r="J25">
            <v>51795.985705613166</v>
          </cell>
          <cell r="K25">
            <v>47756.417909555334</v>
          </cell>
          <cell r="L25">
            <v>29250.679982580728</v>
          </cell>
          <cell r="M25">
            <v>46472.966738530151</v>
          </cell>
          <cell r="N25">
            <v>23976.642532432827</v>
          </cell>
          <cell r="O25">
            <v>17718.485570205445</v>
          </cell>
          <cell r="P25">
            <v>26928.772487508595</v>
          </cell>
          <cell r="Q25">
            <v>23123.563415998211</v>
          </cell>
          <cell r="R25">
            <v>46928.527019354027</v>
          </cell>
          <cell r="S25">
            <v>17162.534854518559</v>
          </cell>
          <cell r="T25">
            <v>14114.026352408473</v>
          </cell>
          <cell r="U25">
            <v>5669.8975471064196</v>
          </cell>
          <cell r="V25">
            <v>21762.218483733697</v>
          </cell>
          <cell r="W25">
            <v>0</v>
          </cell>
          <cell r="X25">
            <v>0</v>
          </cell>
          <cell r="Y25">
            <v>0</v>
          </cell>
          <cell r="Z25">
            <v>577642.82246633642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705247.88339309418</v>
          </cell>
          <cell r="F26">
            <v>5718.8486518025748</v>
          </cell>
          <cell r="G26">
            <v>-58495.556956535365</v>
          </cell>
          <cell r="H26">
            <v>-58788.455803364137</v>
          </cell>
          <cell r="I26">
            <v>-23629.547352623955</v>
          </cell>
          <cell r="J26">
            <v>62190.211234986622</v>
          </cell>
          <cell r="K26">
            <v>55728.52813429138</v>
          </cell>
          <cell r="L26">
            <v>23871.022881405166</v>
          </cell>
          <cell r="M26">
            <v>37522.734339756338</v>
          </cell>
          <cell r="N26">
            <v>5271.7345929370058</v>
          </cell>
          <cell r="O26">
            <v>-50716.206146566314</v>
          </cell>
          <cell r="P26">
            <v>-2603.5590169460411</v>
          </cell>
          <cell r="Q26">
            <v>-28006.645025887527</v>
          </cell>
          <cell r="R26">
            <v>83110.263774273903</v>
          </cell>
          <cell r="S26">
            <v>-22130.70033622198</v>
          </cell>
          <cell r="T26">
            <v>76577.460549217445</v>
          </cell>
          <cell r="U26">
            <v>-23984.576970270817</v>
          </cell>
          <cell r="V26">
            <v>90716.960054623298</v>
          </cell>
          <cell r="W26">
            <v>0</v>
          </cell>
          <cell r="X26">
            <v>0</v>
          </cell>
          <cell r="Y26">
            <v>0</v>
          </cell>
          <cell r="Z26">
            <v>172352.5166048808</v>
          </cell>
          <cell r="AA26">
            <v>171620.75751918773</v>
          </cell>
          <cell r="AB26">
            <v>98380.764970748569</v>
          </cell>
          <cell r="AC26">
            <v>-30784.902507097071</v>
          </cell>
          <cell r="AD26">
            <v>206498.76680537529</v>
          </cell>
          <cell r="AE26">
            <v>274094.62926902663</v>
          </cell>
          <cell r="AF26">
            <v>9101.6239999999998</v>
          </cell>
          <cell r="AG26">
            <v>43743.944000000003</v>
          </cell>
          <cell r="AH26">
            <v>19677.652999999998</v>
          </cell>
          <cell r="AI26">
            <v>59896.392</v>
          </cell>
          <cell r="AJ26">
            <v>4067.6080000000002</v>
          </cell>
          <cell r="AK26">
            <v>0</v>
          </cell>
          <cell r="AL26">
            <v>136487.22099999999</v>
          </cell>
          <cell r="AM26">
            <v>-4155.2199999999993</v>
          </cell>
          <cell r="AN26">
            <v>-1163.5140000000001</v>
          </cell>
          <cell r="AO26">
            <v>-569.67200000000003</v>
          </cell>
          <cell r="AP26">
            <v>-407.20500000000004</v>
          </cell>
          <cell r="AQ26">
            <v>-26208.885000000002</v>
          </cell>
          <cell r="AR26">
            <v>-855.83600000000001</v>
          </cell>
          <cell r="AS26">
            <v>0</v>
          </cell>
          <cell r="AT26">
            <v>-15946.909</v>
          </cell>
          <cell r="AU26">
            <v>-49307.240999999995</v>
          </cell>
        </row>
        <row r="27">
          <cell r="E27">
            <v>705247.8833930922</v>
          </cell>
          <cell r="F27">
            <v>5718.8486518025748</v>
          </cell>
          <cell r="G27">
            <v>-58495.556956535365</v>
          </cell>
          <cell r="H27">
            <v>-58788.455803364137</v>
          </cell>
          <cell r="I27">
            <v>-23629.547352623951</v>
          </cell>
          <cell r="J27">
            <v>62190.211234986622</v>
          </cell>
          <cell r="K27">
            <v>55728.52813429138</v>
          </cell>
          <cell r="L27">
            <v>23871.022881405166</v>
          </cell>
          <cell r="M27">
            <v>37522.734339756338</v>
          </cell>
          <cell r="N27">
            <v>5271.7345929369985</v>
          </cell>
          <cell r="O27">
            <v>-50716.206146566314</v>
          </cell>
          <cell r="P27">
            <v>-2603.5590169460484</v>
          </cell>
          <cell r="Q27">
            <v>-28006.645025887527</v>
          </cell>
          <cell r="R27">
            <v>83110.263774273903</v>
          </cell>
          <cell r="S27">
            <v>-22130.700336221984</v>
          </cell>
          <cell r="T27">
            <v>76577.460549217445</v>
          </cell>
          <cell r="U27">
            <v>-23984.576970270817</v>
          </cell>
          <cell r="V27">
            <v>90716.960054623298</v>
          </cell>
          <cell r="W27">
            <v>0</v>
          </cell>
          <cell r="X27">
            <v>0</v>
          </cell>
          <cell r="Y27">
            <v>0</v>
          </cell>
          <cell r="Z27">
            <v>172352.5166048776</v>
          </cell>
          <cell r="AA27">
            <v>171620.75751918775</v>
          </cell>
          <cell r="AB27">
            <v>98380.764970748569</v>
          </cell>
          <cell r="AC27">
            <v>-30784.902507097071</v>
          </cell>
          <cell r="AD27">
            <v>206498.76680537529</v>
          </cell>
          <cell r="AE27">
            <v>274094.6292690268</v>
          </cell>
          <cell r="AF27">
            <v>9101.6239999999998</v>
          </cell>
          <cell r="AG27">
            <v>43743.944000000003</v>
          </cell>
          <cell r="AH27">
            <v>19677.652999999998</v>
          </cell>
          <cell r="AI27">
            <v>59896.392</v>
          </cell>
          <cell r="AJ27">
            <v>4067.6080000000002</v>
          </cell>
          <cell r="AK27">
            <v>0</v>
          </cell>
          <cell r="AL27">
            <v>136487.22099999999</v>
          </cell>
          <cell r="AM27">
            <v>-4155.2199999999993</v>
          </cell>
          <cell r="AN27">
            <v>-1163.5140000000001</v>
          </cell>
          <cell r="AO27">
            <v>-569.67200000000003</v>
          </cell>
          <cell r="AP27">
            <v>-407.20500000000004</v>
          </cell>
          <cell r="AQ27">
            <v>-26208.885000000002</v>
          </cell>
          <cell r="AR27">
            <v>-855.83600000000001</v>
          </cell>
          <cell r="AS27">
            <v>0</v>
          </cell>
          <cell r="AT27">
            <v>-15946.909</v>
          </cell>
          <cell r="AU27">
            <v>-49307.241000000002</v>
          </cell>
        </row>
        <row r="28">
          <cell r="E28">
            <v>1.9790604710578918E-9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7.2759576141834259E-12</v>
          </cell>
          <cell r="O28">
            <v>0</v>
          </cell>
          <cell r="P28">
            <v>7.2759576141834259E-12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3.2014213502407074E-9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311572.19518922083</v>
          </cell>
          <cell r="F30">
            <v>32000</v>
          </cell>
          <cell r="G30">
            <v>25000</v>
          </cell>
          <cell r="H30">
            <v>16000</v>
          </cell>
          <cell r="I30">
            <v>10000</v>
          </cell>
          <cell r="J30">
            <v>19000</v>
          </cell>
          <cell r="K30">
            <v>19000</v>
          </cell>
          <cell r="L30">
            <v>12000</v>
          </cell>
          <cell r="M30">
            <v>18000</v>
          </cell>
          <cell r="N30">
            <v>10000</v>
          </cell>
          <cell r="O30">
            <v>7000</v>
          </cell>
          <cell r="P30">
            <v>11000</v>
          </cell>
          <cell r="Q30">
            <v>9000</v>
          </cell>
          <cell r="R30">
            <v>18000</v>
          </cell>
          <cell r="S30">
            <v>7000</v>
          </cell>
          <cell r="T30">
            <v>5000</v>
          </cell>
          <cell r="U30">
            <v>2000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227000</v>
          </cell>
          <cell r="AA30">
            <v>10200</v>
          </cell>
          <cell r="AB30">
            <v>45697.660215053766</v>
          </cell>
          <cell r="AC30">
            <v>11960.346799999999</v>
          </cell>
          <cell r="AD30">
            <v>16714.18817416703</v>
          </cell>
          <cell r="AE30">
            <v>74372.195189220802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35748405.908727795</v>
          </cell>
          <cell r="F31">
            <v>3151774.1</v>
          </cell>
          <cell r="G31">
            <v>2443197.8684047488</v>
          </cell>
          <cell r="H31">
            <v>1545897.6548000001</v>
          </cell>
          <cell r="I31">
            <v>957335.13</v>
          </cell>
          <cell r="J31">
            <v>2046298.1388400001</v>
          </cell>
          <cell r="K31">
            <v>1886707.3916000007</v>
          </cell>
          <cell r="L31">
            <v>1155603.2999999998</v>
          </cell>
          <cell r="M31">
            <v>1836002.2316000001</v>
          </cell>
          <cell r="N31">
            <v>947242.5</v>
          </cell>
          <cell r="O31">
            <v>700002.20193600003</v>
          </cell>
          <cell r="P31">
            <v>1063871.9636619049</v>
          </cell>
          <cell r="Q31">
            <v>913540</v>
          </cell>
          <cell r="R31">
            <v>1854000</v>
          </cell>
          <cell r="S31">
            <v>678038.31999999983</v>
          </cell>
          <cell r="T31">
            <v>557601.24</v>
          </cell>
          <cell r="U31">
            <v>224000</v>
          </cell>
          <cell r="V31">
            <v>859757.5</v>
          </cell>
          <cell r="W31">
            <v>0</v>
          </cell>
          <cell r="X31">
            <v>0</v>
          </cell>
          <cell r="Y31">
            <v>0</v>
          </cell>
          <cell r="Z31">
            <v>22820869.540842656</v>
          </cell>
          <cell r="AA31">
            <v>11165945.543013699</v>
          </cell>
          <cell r="AB31">
            <v>664492.43010752695</v>
          </cell>
          <cell r="AC31">
            <v>253388.19046666665</v>
          </cell>
          <cell r="AD31">
            <v>677008.70429724536</v>
          </cell>
          <cell r="AE31">
            <v>1594889.324871439</v>
          </cell>
          <cell r="AF31">
            <v>12500</v>
          </cell>
          <cell r="AG31">
            <v>50000</v>
          </cell>
          <cell r="AH31">
            <v>28340</v>
          </cell>
          <cell r="AI31">
            <v>68570</v>
          </cell>
          <cell r="AJ31">
            <v>5521.5</v>
          </cell>
          <cell r="AK31">
            <v>0</v>
          </cell>
          <cell r="AL31">
            <v>164931.5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32922074.779201694</v>
          </cell>
          <cell r="F32">
            <v>2906874.9223769107</v>
          </cell>
          <cell r="G32">
            <v>2307838.8595154737</v>
          </cell>
          <cell r="H32">
            <v>1468678.2958138653</v>
          </cell>
          <cell r="I32">
            <v>893556.41741111304</v>
          </cell>
          <cell r="J32">
            <v>1824403.9456683157</v>
          </cell>
          <cell r="K32">
            <v>1678415.3358381111</v>
          </cell>
          <cell r="L32">
            <v>1030661.4634899908</v>
          </cell>
          <cell r="M32">
            <v>1650417.4533278453</v>
          </cell>
          <cell r="N32">
            <v>861390.33896788687</v>
          </cell>
          <cell r="O32">
            <v>674570.51386199449</v>
          </cell>
          <cell r="P32">
            <v>970021.03447353817</v>
          </cell>
          <cell r="Q32">
            <v>854963.59714744834</v>
          </cell>
          <cell r="R32">
            <v>1628952.4438141866</v>
          </cell>
          <cell r="S32">
            <v>634173.17941039556</v>
          </cell>
          <cell r="T32">
            <v>440644.39380582341</v>
          </cell>
          <cell r="U32">
            <v>223587.75787847748</v>
          </cell>
          <cell r="V32">
            <v>708476.88532188337</v>
          </cell>
          <cell r="W32">
            <v>0</v>
          </cell>
          <cell r="X32">
            <v>0</v>
          </cell>
          <cell r="Y32">
            <v>0</v>
          </cell>
          <cell r="Z32">
            <v>20757626.838123258</v>
          </cell>
          <cell r="AA32">
            <v>10864468.817494512</v>
          </cell>
          <cell r="AB32">
            <v>545588.11055555544</v>
          </cell>
          <cell r="AC32">
            <v>276346.92954186664</v>
          </cell>
          <cell r="AD32">
            <v>449599.80448650365</v>
          </cell>
          <cell r="AE32">
            <v>1271534.8445839258</v>
          </cell>
          <cell r="AF32">
            <v>3398.3759999999997</v>
          </cell>
          <cell r="AG32">
            <v>6256.0560000000005</v>
          </cell>
          <cell r="AH32">
            <v>8662.3469999999998</v>
          </cell>
          <cell r="AI32">
            <v>8673.6080000000002</v>
          </cell>
          <cell r="AJ32">
            <v>1453.8920000000001</v>
          </cell>
          <cell r="AK32">
            <v>0</v>
          </cell>
          <cell r="AL32">
            <v>28444.279000000002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매출이익</v>
          </cell>
          <cell r="E33">
            <v>2826331.1295260987</v>
          </cell>
          <cell r="F33">
            <v>244899.1776230894</v>
          </cell>
          <cell r="G33">
            <v>135359.00888927514</v>
          </cell>
          <cell r="H33">
            <v>77219.358986134874</v>
          </cell>
          <cell r="I33">
            <v>63778.712588886963</v>
          </cell>
          <cell r="J33">
            <v>221894.1931716844</v>
          </cell>
          <cell r="K33">
            <v>208292.05576188955</v>
          </cell>
          <cell r="L33">
            <v>124941.83651000902</v>
          </cell>
          <cell r="M33">
            <v>185584.77827215474</v>
          </cell>
          <cell r="N33">
            <v>85852.16103211313</v>
          </cell>
          <cell r="O33">
            <v>25431.688074005535</v>
          </cell>
          <cell r="P33">
            <v>93850.929188366747</v>
          </cell>
          <cell r="Q33">
            <v>58576.402852551662</v>
          </cell>
          <cell r="R33">
            <v>225047.55618581339</v>
          </cell>
          <cell r="S33">
            <v>43865.140589604271</v>
          </cell>
          <cell r="T33">
            <v>116956.84619417659</v>
          </cell>
          <cell r="U33">
            <v>412.24212152251857</v>
          </cell>
          <cell r="V33">
            <v>151280.61467811663</v>
          </cell>
          <cell r="W33">
            <v>0</v>
          </cell>
          <cell r="X33">
            <v>0</v>
          </cell>
          <cell r="Y33">
            <v>0</v>
          </cell>
          <cell r="Z33">
            <v>2063242.7027193978</v>
          </cell>
          <cell r="AA33">
            <v>301476.72551918775</v>
          </cell>
          <cell r="AB33">
            <v>118904.31955197151</v>
          </cell>
          <cell r="AC33">
            <v>-22958.739075199992</v>
          </cell>
          <cell r="AD33">
            <v>227408.89981074171</v>
          </cell>
          <cell r="AE33">
            <v>323354.48028751323</v>
          </cell>
          <cell r="AF33">
            <v>9101.6239999999998</v>
          </cell>
          <cell r="AG33">
            <v>43743.944000000003</v>
          </cell>
          <cell r="AH33">
            <v>19677.652999999998</v>
          </cell>
          <cell r="AI33">
            <v>59896.392</v>
          </cell>
          <cell r="AJ33">
            <v>4067.6080000000002</v>
          </cell>
          <cell r="AK33">
            <v>0</v>
          </cell>
          <cell r="AL33">
            <v>136487.22099999999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1770</v>
          </cell>
          <cell r="AU33">
            <v>1770</v>
          </cell>
        </row>
        <row r="34">
          <cell r="D34" t="str">
            <v>판관비</v>
          </cell>
          <cell r="E34">
            <v>2121083.2461330029</v>
          </cell>
          <cell r="F34">
            <v>239180.3289712868</v>
          </cell>
          <cell r="G34">
            <v>193854.5658458104</v>
          </cell>
          <cell r="H34">
            <v>136007.81478949898</v>
          </cell>
          <cell r="I34">
            <v>87408.259941510885</v>
          </cell>
          <cell r="J34">
            <v>159703.9819366977</v>
          </cell>
          <cell r="K34">
            <v>152563.52762759826</v>
          </cell>
          <cell r="L34">
            <v>101070.81362860389</v>
          </cell>
          <cell r="M34">
            <v>148062.04393239832</v>
          </cell>
          <cell r="N34">
            <v>80580.426439176081</v>
          </cell>
          <cell r="O34">
            <v>76147.894220571892</v>
          </cell>
          <cell r="P34">
            <v>96454.488205312751</v>
          </cell>
          <cell r="Q34">
            <v>86583.047878439189</v>
          </cell>
          <cell r="R34">
            <v>141937.29241153953</v>
          </cell>
          <cell r="S34">
            <v>65995.840925826255</v>
          </cell>
          <cell r="T34">
            <v>40379.385644959111</v>
          </cell>
          <cell r="U34">
            <v>24396.819091793343</v>
          </cell>
          <cell r="V34">
            <v>60563.65462349337</v>
          </cell>
          <cell r="W34">
            <v>0</v>
          </cell>
          <cell r="X34">
            <v>0</v>
          </cell>
          <cell r="Y34">
            <v>0</v>
          </cell>
          <cell r="Z34">
            <v>1890890.1861145166</v>
          </cell>
          <cell r="AA34">
            <v>129855.96799999999</v>
          </cell>
          <cell r="AB34">
            <v>20523.554581222968</v>
          </cell>
          <cell r="AC34">
            <v>7826.16343189708</v>
          </cell>
          <cell r="AD34">
            <v>20910.133005366442</v>
          </cell>
          <cell r="AE34">
            <v>49259.851018486486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4155.2199999999993</v>
          </cell>
          <cell r="AN34">
            <v>1163.5140000000001</v>
          </cell>
          <cell r="AO34">
            <v>569.67200000000003</v>
          </cell>
          <cell r="AP34">
            <v>407.20500000000004</v>
          </cell>
          <cell r="AQ34">
            <v>26208.885000000002</v>
          </cell>
          <cell r="AR34">
            <v>855.83600000000001</v>
          </cell>
          <cell r="AS34">
            <v>0</v>
          </cell>
          <cell r="AT34">
            <v>17716.909</v>
          </cell>
          <cell r="AU34">
            <v>51077.240999999995</v>
          </cell>
        </row>
        <row r="35">
          <cell r="D35" t="str">
            <v>영업이익</v>
          </cell>
          <cell r="E35">
            <v>705247.88339309581</v>
          </cell>
          <cell r="F35">
            <v>5718.8486518026039</v>
          </cell>
          <cell r="G35">
            <v>-58495.556956535263</v>
          </cell>
          <cell r="H35">
            <v>-58788.455803364108</v>
          </cell>
          <cell r="I35">
            <v>-23629.547352623922</v>
          </cell>
          <cell r="J35">
            <v>62190.211234986695</v>
          </cell>
          <cell r="K35">
            <v>55728.528134291293</v>
          </cell>
          <cell r="L35">
            <v>23871.022881405122</v>
          </cell>
          <cell r="M35">
            <v>37522.734339756425</v>
          </cell>
          <cell r="N35">
            <v>5271.7345929370495</v>
          </cell>
          <cell r="O35">
            <v>-50716.206146566357</v>
          </cell>
          <cell r="P35">
            <v>-2603.5590169460047</v>
          </cell>
          <cell r="Q35">
            <v>-28006.645025887527</v>
          </cell>
          <cell r="R35">
            <v>83110.263774273859</v>
          </cell>
          <cell r="S35">
            <v>-22130.700336221984</v>
          </cell>
          <cell r="T35">
            <v>76577.460549217474</v>
          </cell>
          <cell r="U35">
            <v>-23984.576970270824</v>
          </cell>
          <cell r="V35">
            <v>90716.960054623254</v>
          </cell>
          <cell r="W35">
            <v>0</v>
          </cell>
          <cell r="X35">
            <v>0</v>
          </cell>
          <cell r="Y35">
            <v>0</v>
          </cell>
          <cell r="Z35">
            <v>172352.51660488127</v>
          </cell>
          <cell r="AA35">
            <v>171620.75751918775</v>
          </cell>
          <cell r="AB35">
            <v>98380.76497074854</v>
          </cell>
          <cell r="AC35">
            <v>-30784.902507097071</v>
          </cell>
          <cell r="AD35">
            <v>206498.76680537529</v>
          </cell>
          <cell r="AE35">
            <v>274094.62926902674</v>
          </cell>
          <cell r="AF35">
            <v>9101.6239999999998</v>
          </cell>
          <cell r="AG35">
            <v>43743.944000000003</v>
          </cell>
          <cell r="AH35">
            <v>19677.652999999998</v>
          </cell>
          <cell r="AI35">
            <v>59896.392</v>
          </cell>
          <cell r="AJ35">
            <v>4067.6080000000002</v>
          </cell>
          <cell r="AK35">
            <v>0</v>
          </cell>
          <cell r="AL35">
            <v>136487.22099999999</v>
          </cell>
          <cell r="AM35">
            <v>-4155.2199999999993</v>
          </cell>
          <cell r="AN35">
            <v>-1163.5140000000001</v>
          </cell>
          <cell r="AO35">
            <v>-569.67200000000003</v>
          </cell>
          <cell r="AP35">
            <v>-407.20500000000004</v>
          </cell>
          <cell r="AQ35">
            <v>-26208.885000000002</v>
          </cell>
          <cell r="AR35">
            <v>-855.83600000000001</v>
          </cell>
          <cell r="AS35">
            <v>0</v>
          </cell>
          <cell r="AT35">
            <v>-15946.909</v>
          </cell>
          <cell r="AU35">
            <v>-49307.240999999995</v>
          </cell>
        </row>
      </sheetData>
      <sheetData sheetId="4">
        <row r="6">
          <cell r="D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62000</v>
          </cell>
          <cell r="G7">
            <v>50000</v>
          </cell>
          <cell r="H7">
            <v>30000</v>
          </cell>
          <cell r="I7">
            <v>17000</v>
          </cell>
          <cell r="J7">
            <v>36000</v>
          </cell>
          <cell r="K7">
            <v>34000</v>
          </cell>
          <cell r="L7">
            <v>24000</v>
          </cell>
          <cell r="M7">
            <v>36000</v>
          </cell>
          <cell r="N7">
            <v>20000</v>
          </cell>
          <cell r="O7">
            <v>14000</v>
          </cell>
          <cell r="P7">
            <v>21000</v>
          </cell>
          <cell r="Q7">
            <v>17000</v>
          </cell>
          <cell r="R7">
            <v>31000</v>
          </cell>
          <cell r="S7">
            <v>14000</v>
          </cell>
          <cell r="T7">
            <v>10000</v>
          </cell>
          <cell r="U7">
            <v>4000</v>
          </cell>
          <cell r="V7">
            <v>14000</v>
          </cell>
          <cell r="W7">
            <v>0</v>
          </cell>
          <cell r="X7">
            <v>0</v>
          </cell>
          <cell r="Y7">
            <v>0</v>
          </cell>
          <cell r="Z7">
            <v>434000</v>
          </cell>
          <cell r="AA7">
            <v>20000</v>
          </cell>
          <cell r="AB7">
            <v>82135.520430107528</v>
          </cell>
          <cell r="AC7">
            <v>46686.642166666665</v>
          </cell>
          <cell r="AD7">
            <v>36368.323397060805</v>
          </cell>
          <cell r="AE7">
            <v>165190.485993835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69102517.744781822</v>
          </cell>
          <cell r="F8">
            <v>6098348.0299999993</v>
          </cell>
          <cell r="G8">
            <v>4877186.2368094977</v>
          </cell>
          <cell r="H8">
            <v>2893626.4961999999</v>
          </cell>
          <cell r="I8">
            <v>1638024.9300000002</v>
          </cell>
          <cell r="J8">
            <v>3877202.4460200001</v>
          </cell>
          <cell r="K8">
            <v>3376209.9316000007</v>
          </cell>
          <cell r="L8">
            <v>2311206.5999999996</v>
          </cell>
          <cell r="M8">
            <v>3671996.5304</v>
          </cell>
          <cell r="N8">
            <v>1892030</v>
          </cell>
          <cell r="O8">
            <v>1400004.4038720005</v>
          </cell>
          <cell r="P8">
            <v>2038530.8985507938</v>
          </cell>
          <cell r="Q8">
            <v>1730602</v>
          </cell>
          <cell r="R8">
            <v>3193000</v>
          </cell>
          <cell r="S8">
            <v>1356076.6399999997</v>
          </cell>
          <cell r="T8">
            <v>1115202.48</v>
          </cell>
          <cell r="U8">
            <v>448000</v>
          </cell>
          <cell r="V8">
            <v>1719515</v>
          </cell>
          <cell r="W8">
            <v>0</v>
          </cell>
          <cell r="X8">
            <v>0</v>
          </cell>
          <cell r="Y8">
            <v>0</v>
          </cell>
          <cell r="Z8">
            <v>43636762.623452291</v>
          </cell>
          <cell r="AA8">
            <v>21897268.355068497</v>
          </cell>
          <cell r="AB8">
            <v>1191771.3935483871</v>
          </cell>
          <cell r="AC8">
            <v>834047.05611666664</v>
          </cell>
          <cell r="AD8">
            <v>1209265.31659598</v>
          </cell>
          <cell r="AE8">
            <v>3235083.7662610337</v>
          </cell>
          <cell r="AF8">
            <v>25000</v>
          </cell>
          <cell r="AG8">
            <v>100000</v>
          </cell>
          <cell r="AH8">
            <v>56680</v>
          </cell>
          <cell r="AI8">
            <v>137140</v>
          </cell>
          <cell r="AJ8">
            <v>11043</v>
          </cell>
          <cell r="AK8">
            <v>0</v>
          </cell>
          <cell r="AL8">
            <v>329863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3540</v>
          </cell>
          <cell r="AU8">
            <v>3540</v>
          </cell>
        </row>
        <row r="9">
          <cell r="D9" t="str">
            <v xml:space="preserve"> - 단  위  당</v>
          </cell>
          <cell r="F9">
            <v>98360.452096774185</v>
          </cell>
          <cell r="G9">
            <v>97543.724736189964</v>
          </cell>
          <cell r="H9">
            <v>96454.216540000009</v>
          </cell>
          <cell r="I9">
            <v>96354.407647058833</v>
          </cell>
          <cell r="J9">
            <v>107700.067945</v>
          </cell>
          <cell r="K9">
            <v>99300.29210588237</v>
          </cell>
          <cell r="L9">
            <v>96300.27499999998</v>
          </cell>
          <cell r="M9">
            <v>101999.90362222222</v>
          </cell>
          <cell r="N9">
            <v>94601.5</v>
          </cell>
          <cell r="O9">
            <v>100000.31456228576</v>
          </cell>
          <cell r="P9">
            <v>97072.89993099017</v>
          </cell>
          <cell r="Q9">
            <v>101800.11764705883</v>
          </cell>
          <cell r="R9">
            <v>103000</v>
          </cell>
          <cell r="S9">
            <v>96862.617142857125</v>
          </cell>
          <cell r="T9">
            <v>111520.24799999999</v>
          </cell>
          <cell r="U9">
            <v>112000</v>
          </cell>
          <cell r="V9">
            <v>122822.5</v>
          </cell>
          <cell r="W9">
            <v>0</v>
          </cell>
          <cell r="X9">
            <v>0</v>
          </cell>
          <cell r="Y9">
            <v>0</v>
          </cell>
          <cell r="Z9">
            <v>100545.53599873801</v>
          </cell>
          <cell r="AA9">
            <v>1094863.4177534247</v>
          </cell>
          <cell r="AB9">
            <v>14509.817278902057</v>
          </cell>
          <cell r="AC9">
            <v>17864.789957247336</v>
          </cell>
          <cell r="AD9">
            <v>33250.510434410338</v>
          </cell>
          <cell r="AE9">
            <v>19583.959371496545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63319075.91018156</v>
          </cell>
          <cell r="F10">
            <v>5575490.7076132819</v>
          </cell>
          <cell r="G10">
            <v>4594377.430996459</v>
          </cell>
          <cell r="H10">
            <v>2738952.754156155</v>
          </cell>
          <cell r="I10">
            <v>1536714.4493238102</v>
          </cell>
          <cell r="J10">
            <v>3424703.576267642</v>
          </cell>
          <cell r="K10">
            <v>3012029.4302975005</v>
          </cell>
          <cell r="L10">
            <v>2065966.2057167925</v>
          </cell>
          <cell r="M10">
            <v>3257812.8855521106</v>
          </cell>
          <cell r="N10">
            <v>1715448.6624614319</v>
          </cell>
          <cell r="O10">
            <v>1294527.3515017666</v>
          </cell>
          <cell r="P10">
            <v>1843539.9105556135</v>
          </cell>
          <cell r="Q10">
            <v>1610143.0788128779</v>
          </cell>
          <cell r="R10">
            <v>2821397.0601260471</v>
          </cell>
          <cell r="S10">
            <v>1235220.443286512</v>
          </cell>
          <cell r="T10">
            <v>865892.34183386911</v>
          </cell>
          <cell r="U10">
            <v>446415.26353473275</v>
          </cell>
          <cell r="V10">
            <v>1405396.6476259609</v>
          </cell>
          <cell r="W10">
            <v>0</v>
          </cell>
          <cell r="X10">
            <v>0</v>
          </cell>
          <cell r="Y10">
            <v>0</v>
          </cell>
          <cell r="Z10">
            <v>39444028.199662559</v>
          </cell>
          <cell r="AA10">
            <v>21305651.121760085</v>
          </cell>
          <cell r="AB10">
            <v>953339.85499999998</v>
          </cell>
          <cell r="AC10">
            <v>722838.18556533335</v>
          </cell>
          <cell r="AD10">
            <v>890348.54819358559</v>
          </cell>
          <cell r="AE10">
            <v>2566526.5887589189</v>
          </cell>
          <cell r="AF10">
            <v>206</v>
          </cell>
          <cell r="AG10">
            <v>1174</v>
          </cell>
          <cell r="AH10">
            <v>840</v>
          </cell>
          <cell r="AI10">
            <v>368</v>
          </cell>
          <cell r="AJ10">
            <v>282</v>
          </cell>
          <cell r="AK10">
            <v>0</v>
          </cell>
          <cell r="AL10">
            <v>2870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D11" t="str">
            <v xml:space="preserve"> - 단  위  당</v>
          </cell>
          <cell r="F11">
            <v>89927.26947763357</v>
          </cell>
          <cell r="G11">
            <v>91887.548619929177</v>
          </cell>
          <cell r="H11">
            <v>91298.4251385385</v>
          </cell>
          <cell r="I11">
            <v>90394.967607282946</v>
          </cell>
          <cell r="J11">
            <v>95130.654896323394</v>
          </cell>
          <cell r="K11">
            <v>88589.100891102964</v>
          </cell>
          <cell r="L11">
            <v>86081.925238199692</v>
          </cell>
          <cell r="M11">
            <v>90494.802376447522</v>
          </cell>
          <cell r="N11">
            <v>85772.433123071591</v>
          </cell>
          <cell r="O11">
            <v>92466.23939298332</v>
          </cell>
          <cell r="P11">
            <v>87787.614788362553</v>
          </cell>
          <cell r="Q11">
            <v>94714.298753698706</v>
          </cell>
          <cell r="R11">
            <v>91012.808391162805</v>
          </cell>
          <cell r="S11">
            <v>88230.031663322297</v>
          </cell>
          <cell r="T11">
            <v>86589.2341833869</v>
          </cell>
          <cell r="U11">
            <v>111603.81588368319</v>
          </cell>
          <cell r="V11">
            <v>100385.47483042578</v>
          </cell>
          <cell r="W11">
            <v>0</v>
          </cell>
          <cell r="X11">
            <v>0</v>
          </cell>
          <cell r="Y11">
            <v>0</v>
          </cell>
          <cell r="Z11">
            <v>90884.85760290912</v>
          </cell>
          <cell r="AA11">
            <v>1065282.5560880043</v>
          </cell>
          <cell r="AB11">
            <v>11606.913184548892</v>
          </cell>
          <cell r="AC11">
            <v>15482.762349557566</v>
          </cell>
          <cell r="AD11">
            <v>24481.429580158798</v>
          </cell>
          <cell r="AE11">
            <v>15536.770010197217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5783441.8346002623</v>
          </cell>
          <cell r="F12">
            <v>522857.32238671742</v>
          </cell>
          <cell r="G12">
            <v>282808.80581303872</v>
          </cell>
          <cell r="H12">
            <v>154673.74204384489</v>
          </cell>
          <cell r="I12">
            <v>101310.48067619</v>
          </cell>
          <cell r="J12">
            <v>452498.86975235818</v>
          </cell>
          <cell r="K12">
            <v>364180.50130250026</v>
          </cell>
          <cell r="L12">
            <v>245240.39428320713</v>
          </cell>
          <cell r="M12">
            <v>414183.64484788943</v>
          </cell>
          <cell r="N12">
            <v>176581.33753856807</v>
          </cell>
          <cell r="O12">
            <v>105477.05237023393</v>
          </cell>
          <cell r="P12">
            <v>194990.9879951803</v>
          </cell>
          <cell r="Q12">
            <v>120458.92118712212</v>
          </cell>
          <cell r="R12">
            <v>371602.93987395288</v>
          </cell>
          <cell r="S12">
            <v>120856.19671348762</v>
          </cell>
          <cell r="T12">
            <v>249310.13816613087</v>
          </cell>
          <cell r="U12">
            <v>1584.736465267255</v>
          </cell>
          <cell r="V12">
            <v>314118.35237403912</v>
          </cell>
          <cell r="W12">
            <v>0</v>
          </cell>
          <cell r="X12">
            <v>0</v>
          </cell>
          <cell r="Y12">
            <v>0</v>
          </cell>
          <cell r="Z12">
            <v>4192734.4237897322</v>
          </cell>
          <cell r="AA12">
            <v>591617.23330841213</v>
          </cell>
          <cell r="AB12">
            <v>238431.53854838712</v>
          </cell>
          <cell r="AC12">
            <v>111208.8705513333</v>
          </cell>
          <cell r="AD12">
            <v>318916.76840239437</v>
          </cell>
          <cell r="AE12">
            <v>668557.17750211479</v>
          </cell>
          <cell r="AF12">
            <v>24794</v>
          </cell>
          <cell r="AG12">
            <v>98826</v>
          </cell>
          <cell r="AH12">
            <v>55840</v>
          </cell>
          <cell r="AI12">
            <v>136772</v>
          </cell>
          <cell r="AJ12">
            <v>10761</v>
          </cell>
          <cell r="AK12">
            <v>0</v>
          </cell>
          <cell r="AL12">
            <v>326993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3540</v>
          </cell>
          <cell r="AU12">
            <v>3540</v>
          </cell>
        </row>
        <row r="13">
          <cell r="D13" t="str">
            <v>판 관 비</v>
          </cell>
          <cell r="E13">
            <v>1586280.7200000002</v>
          </cell>
          <cell r="F13">
            <v>138122.63</v>
          </cell>
          <cell r="G13">
            <v>123661.94</v>
          </cell>
          <cell r="H13">
            <v>103135.66</v>
          </cell>
          <cell r="I13">
            <v>72271.3</v>
          </cell>
          <cell r="J13">
            <v>94343.42</v>
          </cell>
          <cell r="K13">
            <v>97921.209999999992</v>
          </cell>
          <cell r="L13">
            <v>75497.929999999993</v>
          </cell>
          <cell r="M13">
            <v>97571.77</v>
          </cell>
          <cell r="N13">
            <v>57654.079999999994</v>
          </cell>
          <cell r="O13">
            <v>73578.86</v>
          </cell>
          <cell r="P13">
            <v>75791.01999999999</v>
          </cell>
          <cell r="Q13">
            <v>72933.74000000002</v>
          </cell>
          <cell r="R13">
            <v>91733.24</v>
          </cell>
          <cell r="S13">
            <v>60733.75</v>
          </cell>
          <cell r="T13">
            <v>23722.12</v>
          </cell>
          <cell r="U13">
            <v>24940.42</v>
          </cell>
          <cell r="V13">
            <v>32854.01</v>
          </cell>
          <cell r="W13">
            <v>0</v>
          </cell>
          <cell r="X13">
            <v>0</v>
          </cell>
          <cell r="Y13">
            <v>0</v>
          </cell>
          <cell r="Z13">
            <v>1316467.1000000001</v>
          </cell>
          <cell r="AA13">
            <v>241683.62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5936</v>
          </cell>
          <cell r="AN13">
            <v>5528</v>
          </cell>
          <cell r="AO13">
            <v>432</v>
          </cell>
          <cell r="AP13">
            <v>332</v>
          </cell>
          <cell r="AQ13">
            <v>15902</v>
          </cell>
          <cell r="AR13">
            <v>0</v>
          </cell>
          <cell r="AS13">
            <v>0</v>
          </cell>
          <cell r="AT13">
            <v>0</v>
          </cell>
          <cell r="AU13">
            <v>28130</v>
          </cell>
        </row>
        <row r="14">
          <cell r="D14" t="str">
            <v xml:space="preserve"> - 노   무   비</v>
          </cell>
          <cell r="E14">
            <v>1102755.8800000001</v>
          </cell>
          <cell r="F14">
            <v>98243.199999999997</v>
          </cell>
          <cell r="G14">
            <v>85625.7</v>
          </cell>
          <cell r="H14">
            <v>74330.5</v>
          </cell>
          <cell r="I14">
            <v>51529.66</v>
          </cell>
          <cell r="J14">
            <v>65644.14</v>
          </cell>
          <cell r="K14">
            <v>70646.499999999985</v>
          </cell>
          <cell r="L14">
            <v>53880.759999999995</v>
          </cell>
          <cell r="M14">
            <v>69088.740000000005</v>
          </cell>
          <cell r="N14">
            <v>40627.119999999995</v>
          </cell>
          <cell r="O14">
            <v>52907.96</v>
          </cell>
          <cell r="P14">
            <v>53558.239999999998</v>
          </cell>
          <cell r="Q14">
            <v>52374.30000000001</v>
          </cell>
          <cell r="R14">
            <v>64478.840000000004</v>
          </cell>
          <cell r="S14">
            <v>43737.62</v>
          </cell>
          <cell r="T14">
            <v>14768.98</v>
          </cell>
          <cell r="U14">
            <v>14695</v>
          </cell>
          <cell r="V14">
            <v>21614.06</v>
          </cell>
          <cell r="W14">
            <v>0</v>
          </cell>
          <cell r="X14">
            <v>0</v>
          </cell>
          <cell r="Y14">
            <v>0</v>
          </cell>
          <cell r="Z14">
            <v>927751.32000000007</v>
          </cell>
          <cell r="AA14">
            <v>175004.56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D15" t="str">
            <v xml:space="preserve"> - 경        비</v>
          </cell>
          <cell r="E15">
            <v>483524.84000000008</v>
          </cell>
          <cell r="F15">
            <v>39879.43</v>
          </cell>
          <cell r="G15">
            <v>38036.239999999998</v>
          </cell>
          <cell r="H15">
            <v>28805.16</v>
          </cell>
          <cell r="I15">
            <v>20741.64</v>
          </cell>
          <cell r="J15">
            <v>28699.279999999999</v>
          </cell>
          <cell r="K15">
            <v>27274.71</v>
          </cell>
          <cell r="L15">
            <v>21617.17</v>
          </cell>
          <cell r="M15">
            <v>28483.03</v>
          </cell>
          <cell r="N15">
            <v>17026.96</v>
          </cell>
          <cell r="O15">
            <v>20670.900000000001</v>
          </cell>
          <cell r="P15">
            <v>22232.78</v>
          </cell>
          <cell r="Q15">
            <v>20559.440000000002</v>
          </cell>
          <cell r="R15">
            <v>27254.400000000001</v>
          </cell>
          <cell r="S15">
            <v>16996.13</v>
          </cell>
          <cell r="T15">
            <v>8953.14</v>
          </cell>
          <cell r="U15">
            <v>10245.42</v>
          </cell>
          <cell r="V15">
            <v>11239.95</v>
          </cell>
          <cell r="W15">
            <v>0</v>
          </cell>
          <cell r="X15">
            <v>0</v>
          </cell>
          <cell r="Y15">
            <v>0</v>
          </cell>
          <cell r="Z15">
            <v>388715.78000000009</v>
          </cell>
          <cell r="AA15">
            <v>66679.06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5936</v>
          </cell>
          <cell r="AN15">
            <v>5528</v>
          </cell>
          <cell r="AO15">
            <v>432</v>
          </cell>
          <cell r="AP15">
            <v>332</v>
          </cell>
          <cell r="AQ15">
            <v>15902</v>
          </cell>
          <cell r="AR15">
            <v>0</v>
          </cell>
          <cell r="AS15">
            <v>0</v>
          </cell>
          <cell r="AT15">
            <v>0</v>
          </cell>
          <cell r="AU15">
            <v>28130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4197161.1146002617</v>
          </cell>
          <cell r="F17">
            <v>384734.69238671742</v>
          </cell>
          <cell r="G17">
            <v>159146.86581303872</v>
          </cell>
          <cell r="H17">
            <v>51538.082043844886</v>
          </cell>
          <cell r="I17">
            <v>29039.180676189993</v>
          </cell>
          <cell r="J17">
            <v>358155.4497523582</v>
          </cell>
          <cell r="K17">
            <v>266259.29130250029</v>
          </cell>
          <cell r="L17">
            <v>169742.46428320714</v>
          </cell>
          <cell r="M17">
            <v>316611.87484788941</v>
          </cell>
          <cell r="N17">
            <v>118927.25753856808</v>
          </cell>
          <cell r="O17">
            <v>31898.192370233926</v>
          </cell>
          <cell r="P17">
            <v>119199.96799518031</v>
          </cell>
          <cell r="Q17">
            <v>47525.1811871221</v>
          </cell>
          <cell r="R17">
            <v>279869.69987395289</v>
          </cell>
          <cell r="S17">
            <v>60122.446713487618</v>
          </cell>
          <cell r="T17">
            <v>225588.01816613087</v>
          </cell>
          <cell r="U17">
            <v>-23355.683534732743</v>
          </cell>
          <cell r="V17">
            <v>281264.34237403912</v>
          </cell>
          <cell r="W17">
            <v>0</v>
          </cell>
          <cell r="X17">
            <v>0</v>
          </cell>
          <cell r="Y17">
            <v>0</v>
          </cell>
          <cell r="Z17">
            <v>2876267.3237897321</v>
          </cell>
          <cell r="AA17">
            <v>349933.61330841214</v>
          </cell>
          <cell r="AB17">
            <v>238431.53854838712</v>
          </cell>
          <cell r="AC17">
            <v>111208.8705513333</v>
          </cell>
          <cell r="AD17">
            <v>318916.76840239437</v>
          </cell>
          <cell r="AE17">
            <v>668557.17750211479</v>
          </cell>
          <cell r="AF17">
            <v>24794</v>
          </cell>
          <cell r="AG17">
            <v>98826</v>
          </cell>
          <cell r="AH17">
            <v>55840</v>
          </cell>
          <cell r="AI17">
            <v>136772</v>
          </cell>
          <cell r="AJ17">
            <v>10761</v>
          </cell>
          <cell r="AK17">
            <v>0</v>
          </cell>
          <cell r="AL17">
            <v>326993</v>
          </cell>
          <cell r="AM17">
            <v>-5936</v>
          </cell>
          <cell r="AN17">
            <v>-5528</v>
          </cell>
          <cell r="AO17">
            <v>-432</v>
          </cell>
          <cell r="AP17">
            <v>-332</v>
          </cell>
          <cell r="AQ17">
            <v>-15902</v>
          </cell>
          <cell r="AR17">
            <v>0</v>
          </cell>
          <cell r="AS17">
            <v>0</v>
          </cell>
          <cell r="AT17">
            <v>3540</v>
          </cell>
          <cell r="AU17">
            <v>-24590</v>
          </cell>
        </row>
        <row r="18">
          <cell r="D18" t="str">
            <v>감가상각비</v>
          </cell>
          <cell r="E18">
            <v>1128020.7229246909</v>
          </cell>
          <cell r="F18">
            <v>58800.369333333329</v>
          </cell>
          <cell r="G18">
            <v>70270.325812266688</v>
          </cell>
          <cell r="H18">
            <v>42410.048444444445</v>
          </cell>
          <cell r="I18">
            <v>36646.49222222223</v>
          </cell>
          <cell r="J18">
            <v>94550.506444444443</v>
          </cell>
          <cell r="K18">
            <v>57164.234888888896</v>
          </cell>
          <cell r="L18">
            <v>26992.175555555554</v>
          </cell>
          <cell r="M18">
            <v>50391.814444444441</v>
          </cell>
          <cell r="N18">
            <v>22839.022888888885</v>
          </cell>
          <cell r="O18">
            <v>62892.830444444444</v>
          </cell>
          <cell r="P18">
            <v>30376.63865071956</v>
          </cell>
          <cell r="Q18">
            <v>30875.624110565459</v>
          </cell>
          <cell r="R18">
            <v>73492.755777777769</v>
          </cell>
          <cell r="S18">
            <v>42475.88444444444</v>
          </cell>
          <cell r="T18">
            <v>21779.074888888888</v>
          </cell>
          <cell r="U18">
            <v>11905.94222222222</v>
          </cell>
          <cell r="V18">
            <v>24551.1563511393</v>
          </cell>
          <cell r="W18">
            <v>0</v>
          </cell>
          <cell r="X18">
            <v>0</v>
          </cell>
          <cell r="Y18">
            <v>0</v>
          </cell>
          <cell r="Z18">
            <v>758414.89692469093</v>
          </cell>
          <cell r="AA18">
            <v>10951.536</v>
          </cell>
          <cell r="AB18">
            <v>35368.715555555558</v>
          </cell>
          <cell r="AC18">
            <v>114996.37666666668</v>
          </cell>
          <cell r="AD18">
            <v>70246.157777777771</v>
          </cell>
          <cell r="AE18">
            <v>220611.25</v>
          </cell>
          <cell r="AF18">
            <v>6590.7519999999995</v>
          </cell>
          <cell r="AG18">
            <v>11338.112000000001</v>
          </cell>
          <cell r="AH18">
            <v>16484.694</v>
          </cell>
          <cell r="AI18">
            <v>16979.216</v>
          </cell>
          <cell r="AJ18">
            <v>2625.7840000000001</v>
          </cell>
          <cell r="AK18">
            <v>0</v>
          </cell>
          <cell r="AL18">
            <v>54018.558000000005</v>
          </cell>
          <cell r="AM18">
            <v>7374.44</v>
          </cell>
          <cell r="AN18">
            <v>1799.028</v>
          </cell>
          <cell r="AO18">
            <v>707.34400000000005</v>
          </cell>
          <cell r="AP18">
            <v>482.41</v>
          </cell>
          <cell r="AQ18">
            <v>36515.770000000004</v>
          </cell>
          <cell r="AR18">
            <v>1711.672</v>
          </cell>
          <cell r="AS18">
            <v>0</v>
          </cell>
          <cell r="AT18">
            <v>35433.817999999999</v>
          </cell>
          <cell r="AU18">
            <v>84024.481999999989</v>
          </cell>
        </row>
        <row r="19">
          <cell r="D19" t="str">
            <v xml:space="preserve"> - 제        조</v>
          </cell>
          <cell r="E19">
            <v>988917.87892469089</v>
          </cell>
          <cell r="F19">
            <v>54145.12533333333</v>
          </cell>
          <cell r="G19">
            <v>66380.055812266684</v>
          </cell>
          <cell r="H19">
            <v>38867.554444444446</v>
          </cell>
          <cell r="I19">
            <v>34262.516222222228</v>
          </cell>
          <cell r="J19">
            <v>90798.374444444446</v>
          </cell>
          <cell r="K19">
            <v>54035.430888888892</v>
          </cell>
          <cell r="L19">
            <v>24604.977555555553</v>
          </cell>
          <cell r="M19">
            <v>47265.20444444444</v>
          </cell>
          <cell r="N19">
            <v>21338.950888888885</v>
          </cell>
          <cell r="O19">
            <v>60455.298444444445</v>
          </cell>
          <cell r="P19">
            <v>27965.862650719559</v>
          </cell>
          <cell r="Q19">
            <v>28671.314110565458</v>
          </cell>
          <cell r="R19">
            <v>70316.353777777767</v>
          </cell>
          <cell r="S19">
            <v>40222.156444444438</v>
          </cell>
          <cell r="T19">
            <v>20893.336888888887</v>
          </cell>
          <cell r="U19">
            <v>11165.142222222221</v>
          </cell>
          <cell r="V19">
            <v>22900.416351139298</v>
          </cell>
          <cell r="W19">
            <v>0</v>
          </cell>
          <cell r="X19">
            <v>0</v>
          </cell>
          <cell r="Y19">
            <v>0</v>
          </cell>
          <cell r="Z19">
            <v>714288.07092469092</v>
          </cell>
          <cell r="AA19">
            <v>0</v>
          </cell>
          <cell r="AB19">
            <v>35368.715555555558</v>
          </cell>
          <cell r="AC19">
            <v>114996.37666666668</v>
          </cell>
          <cell r="AD19">
            <v>70246.157777777771</v>
          </cell>
          <cell r="AE19">
            <v>220611.25</v>
          </cell>
          <cell r="AF19">
            <v>6590.7519999999995</v>
          </cell>
          <cell r="AG19">
            <v>11338.112000000001</v>
          </cell>
          <cell r="AH19">
            <v>16484.694</v>
          </cell>
          <cell r="AI19">
            <v>16979.216</v>
          </cell>
          <cell r="AJ19">
            <v>2625.7840000000001</v>
          </cell>
          <cell r="AK19">
            <v>0</v>
          </cell>
          <cell r="AL19">
            <v>54018.558000000005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139102.84399999998</v>
          </cell>
          <cell r="F20">
            <v>4655.2440000000006</v>
          </cell>
          <cell r="G20">
            <v>3890.27</v>
          </cell>
          <cell r="H20">
            <v>3542.4939999999997</v>
          </cell>
          <cell r="I20">
            <v>2383.9760000000001</v>
          </cell>
          <cell r="J20">
            <v>3752.1320000000001</v>
          </cell>
          <cell r="K20">
            <v>3128.8040000000001</v>
          </cell>
          <cell r="L20">
            <v>2387.1980000000003</v>
          </cell>
          <cell r="M20">
            <v>3126.61</v>
          </cell>
          <cell r="N20">
            <v>1500.0719999999999</v>
          </cell>
          <cell r="O20">
            <v>2437.5320000000002</v>
          </cell>
          <cell r="P20">
            <v>2410.7760000000003</v>
          </cell>
          <cell r="Q20">
            <v>2204.31</v>
          </cell>
          <cell r="R20">
            <v>3176.402</v>
          </cell>
          <cell r="S20">
            <v>2253.7280000000001</v>
          </cell>
          <cell r="T20">
            <v>885.73800000000006</v>
          </cell>
          <cell r="U20">
            <v>740.8</v>
          </cell>
          <cell r="V20">
            <v>1650.74</v>
          </cell>
          <cell r="W20">
            <v>0</v>
          </cell>
          <cell r="X20">
            <v>0</v>
          </cell>
          <cell r="Y20">
            <v>0</v>
          </cell>
          <cell r="Z20">
            <v>44126.826000000001</v>
          </cell>
          <cell r="AA20">
            <v>10951.536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7374.44</v>
          </cell>
          <cell r="AN20">
            <v>1799.028</v>
          </cell>
          <cell r="AO20">
            <v>707.34400000000005</v>
          </cell>
          <cell r="AP20">
            <v>482.41</v>
          </cell>
          <cell r="AQ20">
            <v>36515.770000000004</v>
          </cell>
          <cell r="AR20">
            <v>1711.672</v>
          </cell>
          <cell r="AS20">
            <v>0</v>
          </cell>
          <cell r="AT20">
            <v>35433.817999999999</v>
          </cell>
          <cell r="AU20">
            <v>84024.481999999989</v>
          </cell>
        </row>
        <row r="21">
          <cell r="D21" t="str">
            <v>영업이익 I</v>
          </cell>
          <cell r="E21">
            <v>3069140.391675571</v>
          </cell>
          <cell r="F21">
            <v>325934.32305338408</v>
          </cell>
          <cell r="G21">
            <v>88876.540000772031</v>
          </cell>
          <cell r="H21">
            <v>9128.0335994004417</v>
          </cell>
          <cell r="I21">
            <v>-7607.3115460322369</v>
          </cell>
          <cell r="J21">
            <v>263604.94330791372</v>
          </cell>
          <cell r="K21">
            <v>209095.0564136114</v>
          </cell>
          <cell r="L21">
            <v>142750.28872765158</v>
          </cell>
          <cell r="M21">
            <v>266220.06040344498</v>
          </cell>
          <cell r="N21">
            <v>96088.234649679202</v>
          </cell>
          <cell r="O21">
            <v>-30994.638074210518</v>
          </cell>
          <cell r="P21">
            <v>88823.329344460755</v>
          </cell>
          <cell r="Q21">
            <v>16649.557076556641</v>
          </cell>
          <cell r="R21">
            <v>206376.94409617514</v>
          </cell>
          <cell r="S21">
            <v>17646.562269043177</v>
          </cell>
          <cell r="T21">
            <v>203808.94327724198</v>
          </cell>
          <cell r="U21">
            <v>-35261.625756954963</v>
          </cell>
          <cell r="V21">
            <v>256713.18602289981</v>
          </cell>
          <cell r="W21">
            <v>0</v>
          </cell>
          <cell r="X21">
            <v>0</v>
          </cell>
          <cell r="Y21">
            <v>0</v>
          </cell>
          <cell r="Z21">
            <v>2117852.4268650413</v>
          </cell>
          <cell r="AA21">
            <v>338982.07730841212</v>
          </cell>
          <cell r="AB21">
            <v>203062.82299283156</v>
          </cell>
          <cell r="AC21">
            <v>-3787.5061153333809</v>
          </cell>
          <cell r="AD21">
            <v>248670.61062461662</v>
          </cell>
          <cell r="AE21">
            <v>447945.92750211479</v>
          </cell>
          <cell r="AF21">
            <v>18203.248</v>
          </cell>
          <cell r="AG21">
            <v>87487.888000000006</v>
          </cell>
          <cell r="AH21">
            <v>39355.305999999997</v>
          </cell>
          <cell r="AI21">
            <v>119792.784</v>
          </cell>
          <cell r="AJ21">
            <v>8135.2160000000003</v>
          </cell>
          <cell r="AK21">
            <v>0</v>
          </cell>
          <cell r="AL21">
            <v>272974.44199999998</v>
          </cell>
          <cell r="AM21">
            <v>-13310.439999999999</v>
          </cell>
          <cell r="AN21">
            <v>-7327.0280000000002</v>
          </cell>
          <cell r="AO21">
            <v>-1139.3440000000001</v>
          </cell>
          <cell r="AP21">
            <v>-814.41000000000008</v>
          </cell>
          <cell r="AQ21">
            <v>-52417.770000000004</v>
          </cell>
          <cell r="AR21">
            <v>-1711.672</v>
          </cell>
          <cell r="AS21">
            <v>0</v>
          </cell>
          <cell r="AT21">
            <v>-31893.817999999999</v>
          </cell>
          <cell r="AU21">
            <v>-108614.48199999999</v>
          </cell>
        </row>
        <row r="22">
          <cell r="D22" t="str">
            <v>공    통    비</v>
          </cell>
          <cell r="E22">
            <v>3084365.394063578</v>
          </cell>
          <cell r="F22">
            <v>418652.41421048192</v>
          </cell>
          <cell r="G22">
            <v>337377.19581465935</v>
          </cell>
          <cell r="H22">
            <v>196983.40350173353</v>
          </cell>
          <cell r="I22">
            <v>108792.77530495796</v>
          </cell>
          <cell r="J22">
            <v>268501.31435446523</v>
          </cell>
          <cell r="K22">
            <v>230339.74305864028</v>
          </cell>
          <cell r="L22">
            <v>162177.55473889285</v>
          </cell>
          <cell r="M22">
            <v>257664.16342314705</v>
          </cell>
          <cell r="N22">
            <v>132723.29661332309</v>
          </cell>
          <cell r="O22">
            <v>98238.422667901032</v>
          </cell>
          <cell r="P22">
            <v>141568.42682889971</v>
          </cell>
          <cell r="Q22">
            <v>119840.87912091265</v>
          </cell>
          <cell r="R22">
            <v>204810.02963254642</v>
          </cell>
          <cell r="S22">
            <v>90571.461833010777</v>
          </cell>
          <cell r="T22">
            <v>74483.636008506845</v>
          </cell>
          <cell r="U22">
            <v>29921.623678429292</v>
          </cell>
          <cell r="V22">
            <v>114845.26950762131</v>
          </cell>
          <cell r="W22">
            <v>0</v>
          </cell>
          <cell r="X22">
            <v>0</v>
          </cell>
          <cell r="Y22">
            <v>0</v>
          </cell>
          <cell r="Z22">
            <v>2987491.6102981288</v>
          </cell>
          <cell r="AA22">
            <v>0</v>
          </cell>
          <cell r="AB22">
            <v>35830.16974258847</v>
          </cell>
          <cell r="AC22">
            <v>24682.367477170847</v>
          </cell>
          <cell r="AD22">
            <v>36361.246545690017</v>
          </cell>
          <cell r="AE22">
            <v>96873.783765449334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601811.66666666674</v>
          </cell>
          <cell r="F23">
            <v>70619.771902041452</v>
          </cell>
          <cell r="G23">
            <v>56786.116665279536</v>
          </cell>
          <cell r="H23">
            <v>33308.463308471088</v>
          </cell>
          <cell r="I23">
            <v>18528.692044363746</v>
          </cell>
          <cell r="J23">
            <v>48463.163827771306</v>
          </cell>
          <cell r="K23">
            <v>41779.142064201522</v>
          </cell>
          <cell r="L23">
            <v>29147.337134415036</v>
          </cell>
          <cell r="M23">
            <v>46308.661430140492</v>
          </cell>
          <cell r="N23">
            <v>23856.032034786476</v>
          </cell>
          <cell r="O23">
            <v>17655.886042088561</v>
          </cell>
          <cell r="P23">
            <v>25529.020173911398</v>
          </cell>
          <cell r="Q23">
            <v>21631.015131790366</v>
          </cell>
          <cell r="R23">
            <v>28505.890990204392</v>
          </cell>
          <cell r="S23">
            <v>12517.353425934962</v>
          </cell>
          <cell r="T23">
            <v>10293.948860913326</v>
          </cell>
          <cell r="U23">
            <v>4135.2930722402716</v>
          </cell>
          <cell r="V23">
            <v>15872.09479266346</v>
          </cell>
          <cell r="W23">
            <v>0</v>
          </cell>
          <cell r="X23">
            <v>0</v>
          </cell>
          <cell r="Y23">
            <v>0</v>
          </cell>
          <cell r="Z23">
            <v>504937.88290121744</v>
          </cell>
          <cell r="AA23">
            <v>0</v>
          </cell>
          <cell r="AB23">
            <v>35830.16974258847</v>
          </cell>
          <cell r="AC23">
            <v>24682.367477170847</v>
          </cell>
          <cell r="AD23">
            <v>36361.246545690017</v>
          </cell>
          <cell r="AE23">
            <v>96873.783765449334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1024382.7222222224</v>
          </cell>
          <cell r="F24">
            <v>143612.47325686491</v>
          </cell>
          <cell r="G24">
            <v>115789.18279157799</v>
          </cell>
          <cell r="H24">
            <v>67535.153083534489</v>
          </cell>
          <cell r="I24">
            <v>37238.276995962166</v>
          </cell>
          <cell r="J24">
            <v>90793.513643055572</v>
          </cell>
          <cell r="K24">
            <v>77797.087521859416</v>
          </cell>
          <cell r="L24">
            <v>54896.635041518879</v>
          </cell>
          <cell r="M24">
            <v>87218.57354168949</v>
          </cell>
          <cell r="N24">
            <v>44925.388888964924</v>
          </cell>
          <cell r="O24">
            <v>33253.42304572877</v>
          </cell>
          <cell r="P24">
            <v>47881.816489935227</v>
          </cell>
          <cell r="Q24">
            <v>40523.95366036518</v>
          </cell>
          <cell r="R24">
            <v>72734.888500159926</v>
          </cell>
          <cell r="S24">
            <v>32210.034531058009</v>
          </cell>
          <cell r="T24">
            <v>26488.70228302254</v>
          </cell>
          <cell r="U24">
            <v>10641.061901865658</v>
          </cell>
          <cell r="V24">
            <v>40842.557045059213</v>
          </cell>
          <cell r="W24">
            <v>0</v>
          </cell>
          <cell r="X24">
            <v>0</v>
          </cell>
          <cell r="Y24">
            <v>0</v>
          </cell>
          <cell r="Z24">
            <v>1024382.7222222224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1458171.005174689</v>
          </cell>
          <cell r="F25">
            <v>204420.16905157553</v>
          </cell>
          <cell r="G25">
            <v>164801.89635780183</v>
          </cell>
          <cell r="H25">
            <v>96139.787109727942</v>
          </cell>
          <cell r="I25">
            <v>53025.806264632047</v>
          </cell>
          <cell r="J25">
            <v>129244.63688363836</v>
          </cell>
          <cell r="K25">
            <v>110763.51347257933</v>
          </cell>
          <cell r="L25">
            <v>78133.582562958938</v>
          </cell>
          <cell r="M25">
            <v>124136.92845131707</v>
          </cell>
          <cell r="N25">
            <v>63941.87568957168</v>
          </cell>
          <cell r="O25">
            <v>47329.113580083707</v>
          </cell>
          <cell r="P25">
            <v>68157.590165053087</v>
          </cell>
          <cell r="Q25">
            <v>57685.910328757105</v>
          </cell>
          <cell r="R25">
            <v>103569.25014218211</v>
          </cell>
          <cell r="S25">
            <v>45844.073876017806</v>
          </cell>
          <cell r="T25">
            <v>37700.984864570986</v>
          </cell>
          <cell r="U25">
            <v>15145.268704323364</v>
          </cell>
          <cell r="V25">
            <v>58130.617669898638</v>
          </cell>
          <cell r="W25">
            <v>0</v>
          </cell>
          <cell r="X25">
            <v>0</v>
          </cell>
          <cell r="Y25">
            <v>0</v>
          </cell>
          <cell r="Z25">
            <v>1458171.005174689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-15225.002388007008</v>
          </cell>
          <cell r="F26">
            <v>-92718.091157097835</v>
          </cell>
          <cell r="G26">
            <v>-248500.65581388731</v>
          </cell>
          <cell r="H26">
            <v>-187855.36990233307</v>
          </cell>
          <cell r="I26">
            <v>-116400.08685099019</v>
          </cell>
          <cell r="J26">
            <v>-4896.3710465515032</v>
          </cell>
          <cell r="K26">
            <v>-21244.68664502888</v>
          </cell>
          <cell r="L26">
            <v>-19427.26601124127</v>
          </cell>
          <cell r="M26">
            <v>8555.8969802979263</v>
          </cell>
          <cell r="N26">
            <v>-36635.061963643893</v>
          </cell>
          <cell r="O26">
            <v>-129233.06074211156</v>
          </cell>
          <cell r="P26">
            <v>-52745.097484438957</v>
          </cell>
          <cell r="Q26">
            <v>-103191.32204435601</v>
          </cell>
          <cell r="R26">
            <v>1566.9144636287238</v>
          </cell>
          <cell r="S26">
            <v>-72924.8995639676</v>
          </cell>
          <cell r="T26">
            <v>129325.30726873514</v>
          </cell>
          <cell r="U26">
            <v>-65183.249435384256</v>
          </cell>
          <cell r="V26">
            <v>141867.91651527851</v>
          </cell>
          <cell r="W26">
            <v>0</v>
          </cell>
          <cell r="X26">
            <v>0</v>
          </cell>
          <cell r="Y26">
            <v>0</v>
          </cell>
          <cell r="Z26">
            <v>-869639.18343308754</v>
          </cell>
          <cell r="AA26">
            <v>338982.07730841212</v>
          </cell>
          <cell r="AB26">
            <v>167232.65325024308</v>
          </cell>
          <cell r="AC26">
            <v>-28469.873592504227</v>
          </cell>
          <cell r="AD26">
            <v>212309.36407892659</v>
          </cell>
          <cell r="AE26">
            <v>351072.14373666549</v>
          </cell>
          <cell r="AF26">
            <v>18203.248</v>
          </cell>
          <cell r="AG26">
            <v>87487.888000000006</v>
          </cell>
          <cell r="AH26">
            <v>39355.305999999997</v>
          </cell>
          <cell r="AI26">
            <v>119792.784</v>
          </cell>
          <cell r="AJ26">
            <v>8135.2160000000003</v>
          </cell>
          <cell r="AK26">
            <v>0</v>
          </cell>
          <cell r="AL26">
            <v>272974.44199999998</v>
          </cell>
          <cell r="AM26">
            <v>-13310.439999999999</v>
          </cell>
          <cell r="AN26">
            <v>-7327.0280000000002</v>
          </cell>
          <cell r="AO26">
            <v>-1139.3440000000001</v>
          </cell>
          <cell r="AP26">
            <v>-814.41000000000008</v>
          </cell>
          <cell r="AQ26">
            <v>-52417.770000000004</v>
          </cell>
          <cell r="AR26">
            <v>-1711.672</v>
          </cell>
          <cell r="AS26">
            <v>0</v>
          </cell>
          <cell r="AT26">
            <v>-31893.817999999999</v>
          </cell>
          <cell r="AU26">
            <v>-108614.48199999999</v>
          </cell>
        </row>
        <row r="27">
          <cell r="E27" t="e">
            <v>#REF!</v>
          </cell>
          <cell r="F27">
            <v>-92718.091157097835</v>
          </cell>
          <cell r="G27">
            <v>-248500.65581388731</v>
          </cell>
          <cell r="H27">
            <v>-187855.36990233284</v>
          </cell>
          <cell r="I27">
            <v>-116400.08685099031</v>
          </cell>
          <cell r="J27">
            <v>-4896.3710465515614</v>
          </cell>
          <cell r="K27">
            <v>-21244.686645028924</v>
          </cell>
          <cell r="L27">
            <v>-19427.26601124127</v>
          </cell>
          <cell r="M27">
            <v>8555.8969802979263</v>
          </cell>
          <cell r="N27">
            <v>-36635.061963643893</v>
          </cell>
          <cell r="O27">
            <v>-129233.06074211167</v>
          </cell>
          <cell r="P27">
            <v>-52745.097484438964</v>
          </cell>
          <cell r="Q27">
            <v>-103191.322044356</v>
          </cell>
          <cell r="R27">
            <v>1566.9144636286946</v>
          </cell>
          <cell r="S27">
            <v>-72924.899563967716</v>
          </cell>
          <cell r="T27">
            <v>129325.30726873512</v>
          </cell>
          <cell r="U27">
            <v>-65183.249435384263</v>
          </cell>
          <cell r="V27">
            <v>141867.91651527863</v>
          </cell>
          <cell r="W27">
            <v>0</v>
          </cell>
          <cell r="X27">
            <v>0</v>
          </cell>
          <cell r="Y27">
            <v>0</v>
          </cell>
          <cell r="Z27">
            <v>-869639.18343309208</v>
          </cell>
          <cell r="AA27">
            <v>338982.07730840845</v>
          </cell>
          <cell r="AB27">
            <v>167232.65325024317</v>
          </cell>
          <cell r="AC27">
            <v>-28469.87359250422</v>
          </cell>
          <cell r="AD27">
            <v>212309.36407892674</v>
          </cell>
          <cell r="AE27">
            <v>351072.14373666572</v>
          </cell>
          <cell r="AF27">
            <v>18203.248</v>
          </cell>
          <cell r="AG27">
            <v>87487.888000000006</v>
          </cell>
          <cell r="AH27">
            <v>39355.305999999997</v>
          </cell>
          <cell r="AI27">
            <v>119792.784</v>
          </cell>
          <cell r="AJ27">
            <v>8135.2160000000003</v>
          </cell>
          <cell r="AK27">
            <v>0</v>
          </cell>
          <cell r="AL27">
            <v>272974.44199999998</v>
          </cell>
          <cell r="AM27">
            <v>-13310.439999999999</v>
          </cell>
          <cell r="AN27">
            <v>-7327.0280000000002</v>
          </cell>
          <cell r="AO27">
            <v>-1139.3440000000001</v>
          </cell>
          <cell r="AP27">
            <v>-814.41000000000008</v>
          </cell>
          <cell r="AQ27">
            <v>-52417.770000000004</v>
          </cell>
          <cell r="AR27">
            <v>-1711.672</v>
          </cell>
          <cell r="AS27">
            <v>0</v>
          </cell>
          <cell r="AT27">
            <v>-31893.817999999999</v>
          </cell>
          <cell r="AU27">
            <v>-108614.482</v>
          </cell>
        </row>
        <row r="28">
          <cell r="E28" t="e">
            <v>#REF!</v>
          </cell>
          <cell r="F28">
            <v>0</v>
          </cell>
          <cell r="G28">
            <v>0</v>
          </cell>
          <cell r="H28">
            <v>-2.3283064365386963E-10</v>
          </cell>
          <cell r="I28">
            <v>1.1641532182693481E-10</v>
          </cell>
          <cell r="J28">
            <v>5.8207660913467407E-11</v>
          </cell>
          <cell r="K28">
            <v>4.3655745685100555E-11</v>
          </cell>
          <cell r="L28">
            <v>0</v>
          </cell>
          <cell r="M28">
            <v>0</v>
          </cell>
          <cell r="N28">
            <v>0</v>
          </cell>
          <cell r="O28">
            <v>1.1641532182693481E-10</v>
          </cell>
          <cell r="P28">
            <v>0</v>
          </cell>
          <cell r="Q28">
            <v>0</v>
          </cell>
          <cell r="R28">
            <v>2.9103830456733704E-11</v>
          </cell>
          <cell r="S28">
            <v>1.1641532182693481E-10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4.5401975512504578E-9</v>
          </cell>
          <cell r="AA28">
            <v>3.6670826375484467E-9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619190.48599383503</v>
          </cell>
          <cell r="F30">
            <v>62000</v>
          </cell>
          <cell r="G30">
            <v>50000</v>
          </cell>
          <cell r="H30">
            <v>30000</v>
          </cell>
          <cell r="I30">
            <v>17000</v>
          </cell>
          <cell r="J30">
            <v>36000</v>
          </cell>
          <cell r="K30">
            <v>34000</v>
          </cell>
          <cell r="L30">
            <v>24000</v>
          </cell>
          <cell r="M30">
            <v>36000</v>
          </cell>
          <cell r="N30">
            <v>20000</v>
          </cell>
          <cell r="O30">
            <v>14000</v>
          </cell>
          <cell r="P30">
            <v>21000</v>
          </cell>
          <cell r="Q30">
            <v>17000</v>
          </cell>
          <cell r="R30">
            <v>31000</v>
          </cell>
          <cell r="S30">
            <v>14000</v>
          </cell>
          <cell r="T30">
            <v>10000</v>
          </cell>
          <cell r="U30">
            <v>4000</v>
          </cell>
          <cell r="V30">
            <v>14000</v>
          </cell>
          <cell r="W30">
            <v>0</v>
          </cell>
          <cell r="X30">
            <v>0</v>
          </cell>
          <cell r="Y30">
            <v>0</v>
          </cell>
          <cell r="Z30">
            <v>434000</v>
          </cell>
          <cell r="AA30">
            <v>20000</v>
          </cell>
          <cell r="AB30">
            <v>82135.520430107528</v>
          </cell>
          <cell r="AC30">
            <v>46686.642166666665</v>
          </cell>
          <cell r="AD30">
            <v>36368.323397060805</v>
          </cell>
          <cell r="AE30">
            <v>165190.485993835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69102517.744781822</v>
          </cell>
          <cell r="F31">
            <v>6098348.0299999993</v>
          </cell>
          <cell r="G31">
            <v>4877186.2368094977</v>
          </cell>
          <cell r="H31">
            <v>2893626.4961999999</v>
          </cell>
          <cell r="I31">
            <v>1638024.9300000002</v>
          </cell>
          <cell r="J31">
            <v>3877202.4460200001</v>
          </cell>
          <cell r="K31">
            <v>3376209.9316000007</v>
          </cell>
          <cell r="L31">
            <v>2311206.5999999996</v>
          </cell>
          <cell r="M31">
            <v>3671996.5304</v>
          </cell>
          <cell r="N31">
            <v>1892030</v>
          </cell>
          <cell r="O31">
            <v>1400004.4038720005</v>
          </cell>
          <cell r="P31">
            <v>2038530.8985507938</v>
          </cell>
          <cell r="Q31">
            <v>1730602</v>
          </cell>
          <cell r="R31">
            <v>3193000</v>
          </cell>
          <cell r="S31">
            <v>1356076.6399999997</v>
          </cell>
          <cell r="T31">
            <v>1115202.48</v>
          </cell>
          <cell r="U31">
            <v>448000</v>
          </cell>
          <cell r="V31">
            <v>1719515</v>
          </cell>
          <cell r="W31">
            <v>0</v>
          </cell>
          <cell r="X31">
            <v>0</v>
          </cell>
          <cell r="Y31">
            <v>0</v>
          </cell>
          <cell r="Z31">
            <v>43636762.623452291</v>
          </cell>
          <cell r="AA31">
            <v>21897268.355068497</v>
          </cell>
          <cell r="AB31">
            <v>1191771.3935483871</v>
          </cell>
          <cell r="AC31">
            <v>834047.05611666664</v>
          </cell>
          <cell r="AD31">
            <v>1209265.31659598</v>
          </cell>
          <cell r="AE31">
            <v>3235083.7662610337</v>
          </cell>
          <cell r="AF31">
            <v>25000</v>
          </cell>
          <cell r="AG31">
            <v>100000</v>
          </cell>
          <cell r="AH31">
            <v>56680</v>
          </cell>
          <cell r="AI31">
            <v>137140</v>
          </cell>
          <cell r="AJ31">
            <v>11043</v>
          </cell>
          <cell r="AK31">
            <v>0</v>
          </cell>
          <cell r="AL31">
            <v>329863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3540</v>
          </cell>
          <cell r="AU31">
            <v>3540</v>
          </cell>
        </row>
        <row r="32">
          <cell r="D32" t="str">
            <v>매출원가</v>
          </cell>
          <cell r="E32">
            <v>64307993.78910625</v>
          </cell>
          <cell r="F32">
            <v>5629635.8329466153</v>
          </cell>
          <cell r="G32">
            <v>4660757.4868087256</v>
          </cell>
          <cell r="H32">
            <v>2777820.3086005994</v>
          </cell>
          <cell r="I32">
            <v>1570976.9655460324</v>
          </cell>
          <cell r="J32">
            <v>3515501.9507120866</v>
          </cell>
          <cell r="K32">
            <v>3066064.8611863893</v>
          </cell>
          <cell r="L32">
            <v>2090571.183272348</v>
          </cell>
          <cell r="M32">
            <v>3305078.0899965549</v>
          </cell>
          <cell r="N32">
            <v>1736787.6133503208</v>
          </cell>
          <cell r="O32">
            <v>1354982.6499462111</v>
          </cell>
          <cell r="P32">
            <v>1871505.7732063329</v>
          </cell>
          <cell r="Q32">
            <v>1638814.3929234433</v>
          </cell>
          <cell r="R32">
            <v>2891713.413903825</v>
          </cell>
          <cell r="S32">
            <v>1275442.5997309564</v>
          </cell>
          <cell r="T32">
            <v>886785.67872275796</v>
          </cell>
          <cell r="U32">
            <v>457580.40575695498</v>
          </cell>
          <cell r="V32">
            <v>1428297.0639771002</v>
          </cell>
          <cell r="W32">
            <v>0</v>
          </cell>
          <cell r="X32">
            <v>0</v>
          </cell>
          <cell r="Y32">
            <v>0</v>
          </cell>
          <cell r="Z32">
            <v>40158316.270587251</v>
          </cell>
          <cell r="AA32">
            <v>21305651.121760085</v>
          </cell>
          <cell r="AB32">
            <v>988708.57055555552</v>
          </cell>
          <cell r="AC32">
            <v>837834.56223200005</v>
          </cell>
          <cell r="AD32">
            <v>960594.70597136335</v>
          </cell>
          <cell r="AE32">
            <v>2787137.8387589189</v>
          </cell>
          <cell r="AF32">
            <v>6796.7519999999995</v>
          </cell>
          <cell r="AG32">
            <v>12512.112000000001</v>
          </cell>
          <cell r="AH32">
            <v>17324.694</v>
          </cell>
          <cell r="AI32">
            <v>17347.216</v>
          </cell>
          <cell r="AJ32">
            <v>2907.7840000000001</v>
          </cell>
          <cell r="AK32">
            <v>0</v>
          </cell>
          <cell r="AL32">
            <v>56888.558000000005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매출이익</v>
          </cell>
          <cell r="E33">
            <v>4794523.9556755666</v>
          </cell>
          <cell r="F33">
            <v>468712.19705338404</v>
          </cell>
          <cell r="G33">
            <v>216428.75000077207</v>
          </cell>
          <cell r="H33">
            <v>115806.18759940052</v>
          </cell>
          <cell r="I33">
            <v>67047.964453967754</v>
          </cell>
          <cell r="J33">
            <v>361700.49530791352</v>
          </cell>
          <cell r="K33">
            <v>310145.07041361136</v>
          </cell>
          <cell r="L33">
            <v>220635.41672765161</v>
          </cell>
          <cell r="M33">
            <v>366918.44040344516</v>
          </cell>
          <cell r="N33">
            <v>155242.38664967916</v>
          </cell>
          <cell r="O33">
            <v>45021.75392578938</v>
          </cell>
          <cell r="P33">
            <v>167025.12534446083</v>
          </cell>
          <cell r="Q33">
            <v>91787.607076556655</v>
          </cell>
          <cell r="R33">
            <v>301286.58609617501</v>
          </cell>
          <cell r="S33">
            <v>80634.040269043297</v>
          </cell>
          <cell r="T33">
            <v>228416.80127724202</v>
          </cell>
          <cell r="U33">
            <v>-9580.4057569549768</v>
          </cell>
          <cell r="V33">
            <v>291217.93602289981</v>
          </cell>
          <cell r="W33">
            <v>0</v>
          </cell>
          <cell r="X33">
            <v>0</v>
          </cell>
          <cell r="Y33">
            <v>0</v>
          </cell>
          <cell r="Z33">
            <v>3478446.3528650403</v>
          </cell>
          <cell r="AA33">
            <v>591617.23330841213</v>
          </cell>
          <cell r="AB33">
            <v>203062.82299283158</v>
          </cell>
          <cell r="AC33">
            <v>-3787.50611533341</v>
          </cell>
          <cell r="AD33">
            <v>248670.61062461662</v>
          </cell>
          <cell r="AE33">
            <v>447945.92750211479</v>
          </cell>
          <cell r="AF33">
            <v>18203.248</v>
          </cell>
          <cell r="AG33">
            <v>87487.888000000006</v>
          </cell>
          <cell r="AH33">
            <v>39355.305999999997</v>
          </cell>
          <cell r="AI33">
            <v>119792.784</v>
          </cell>
          <cell r="AJ33">
            <v>8135.2160000000003</v>
          </cell>
          <cell r="AK33">
            <v>0</v>
          </cell>
          <cell r="AL33">
            <v>272974.44199999998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3540</v>
          </cell>
          <cell r="AU33">
            <v>3540</v>
          </cell>
        </row>
        <row r="34">
          <cell r="D34" t="str">
            <v>판관비</v>
          </cell>
          <cell r="E34">
            <v>4809748.9580635782</v>
          </cell>
          <cell r="F34">
            <v>561430.28821048187</v>
          </cell>
          <cell r="G34">
            <v>464929.40581465937</v>
          </cell>
          <cell r="H34">
            <v>303661.55750173354</v>
          </cell>
          <cell r="I34">
            <v>183448.05130495797</v>
          </cell>
          <cell r="J34">
            <v>366596.86635446519</v>
          </cell>
          <cell r="K34">
            <v>331389.75705864024</v>
          </cell>
          <cell r="L34">
            <v>240062.68273889285</v>
          </cell>
          <cell r="M34">
            <v>358362.54342314706</v>
          </cell>
          <cell r="N34">
            <v>191877.44861332307</v>
          </cell>
          <cell r="O34">
            <v>174254.81466790102</v>
          </cell>
          <cell r="P34">
            <v>219770.22282889971</v>
          </cell>
          <cell r="Q34">
            <v>194978.92912091268</v>
          </cell>
          <cell r="R34">
            <v>299719.67163254641</v>
          </cell>
          <cell r="S34">
            <v>153558.93983301078</v>
          </cell>
          <cell r="T34">
            <v>99091.494008506837</v>
          </cell>
          <cell r="U34">
            <v>55602.843678429294</v>
          </cell>
          <cell r="V34">
            <v>149350.0195076213</v>
          </cell>
          <cell r="W34">
            <v>0</v>
          </cell>
          <cell r="X34">
            <v>0</v>
          </cell>
          <cell r="Y34">
            <v>0</v>
          </cell>
          <cell r="Z34">
            <v>4348085.5362981288</v>
          </cell>
          <cell r="AA34">
            <v>252635.15599999999</v>
          </cell>
          <cell r="AB34">
            <v>35830.16974258847</v>
          </cell>
          <cell r="AC34">
            <v>24682.367477170847</v>
          </cell>
          <cell r="AD34">
            <v>36361.246545690017</v>
          </cell>
          <cell r="AE34">
            <v>96873.783765449334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13310.439999999999</v>
          </cell>
          <cell r="AN34">
            <v>7327.0280000000002</v>
          </cell>
          <cell r="AO34">
            <v>1139.3440000000001</v>
          </cell>
          <cell r="AP34">
            <v>814.41000000000008</v>
          </cell>
          <cell r="AQ34">
            <v>52417.770000000004</v>
          </cell>
          <cell r="AR34">
            <v>1711.672</v>
          </cell>
          <cell r="AS34">
            <v>0</v>
          </cell>
          <cell r="AT34">
            <v>35433.817999999999</v>
          </cell>
          <cell r="AU34">
            <v>112154.48199999999</v>
          </cell>
        </row>
        <row r="35">
          <cell r="D35" t="str">
            <v>영업이익</v>
          </cell>
          <cell r="E35">
            <v>-15225.00238801082</v>
          </cell>
          <cell r="F35">
            <v>-92718.091157097835</v>
          </cell>
          <cell r="G35">
            <v>-248500.65581388731</v>
          </cell>
          <cell r="H35">
            <v>-187855.36990233301</v>
          </cell>
          <cell r="I35">
            <v>-116400.08685099022</v>
          </cell>
          <cell r="J35">
            <v>-4896.3710465516779</v>
          </cell>
          <cell r="K35">
            <v>-21244.68664502888</v>
          </cell>
          <cell r="L35">
            <v>-19427.266011241241</v>
          </cell>
          <cell r="M35">
            <v>8555.896980298101</v>
          </cell>
          <cell r="N35">
            <v>-36635.061963643908</v>
          </cell>
          <cell r="O35">
            <v>-129233.06074211164</v>
          </cell>
          <cell r="P35">
            <v>-52745.097484438884</v>
          </cell>
          <cell r="Q35">
            <v>-103191.32204435603</v>
          </cell>
          <cell r="R35">
            <v>1566.9144636286073</v>
          </cell>
          <cell r="S35">
            <v>-72924.899563967483</v>
          </cell>
          <cell r="T35">
            <v>129325.30726873518</v>
          </cell>
          <cell r="U35">
            <v>-65183.24943538427</v>
          </cell>
          <cell r="V35">
            <v>141867.91651527851</v>
          </cell>
          <cell r="W35">
            <v>0</v>
          </cell>
          <cell r="X35">
            <v>0</v>
          </cell>
          <cell r="Y35">
            <v>0</v>
          </cell>
          <cell r="Z35">
            <v>-869639.18343308847</v>
          </cell>
          <cell r="AA35">
            <v>338982.07730841218</v>
          </cell>
          <cell r="AB35">
            <v>167232.65325024311</v>
          </cell>
          <cell r="AC35">
            <v>-28469.873592504257</v>
          </cell>
          <cell r="AD35">
            <v>212309.36407892659</v>
          </cell>
          <cell r="AE35">
            <v>351072.14373666549</v>
          </cell>
          <cell r="AF35">
            <v>18203.248</v>
          </cell>
          <cell r="AG35">
            <v>87487.888000000006</v>
          </cell>
          <cell r="AH35">
            <v>39355.305999999997</v>
          </cell>
          <cell r="AI35">
            <v>119792.784</v>
          </cell>
          <cell r="AJ35">
            <v>8135.2160000000003</v>
          </cell>
          <cell r="AK35">
            <v>0</v>
          </cell>
          <cell r="AL35">
            <v>272974.44199999998</v>
          </cell>
          <cell r="AM35">
            <v>-13310.439999999999</v>
          </cell>
          <cell r="AN35">
            <v>-7327.0280000000002</v>
          </cell>
          <cell r="AO35">
            <v>-1139.3440000000001</v>
          </cell>
          <cell r="AP35">
            <v>-814.41000000000008</v>
          </cell>
          <cell r="AQ35">
            <v>-52417.770000000004</v>
          </cell>
          <cell r="AR35">
            <v>-1711.672</v>
          </cell>
          <cell r="AS35">
            <v>0</v>
          </cell>
          <cell r="AT35">
            <v>-31893.817999999999</v>
          </cell>
          <cell r="AU35">
            <v>-108614.48199999999</v>
          </cell>
        </row>
      </sheetData>
      <sheetData sheetId="15">
        <row r="6">
          <cell r="D6" t="str">
            <v>구분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Sheet1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J6" t="str">
            <v>기타 계</v>
          </cell>
        </row>
        <row r="7">
          <cell r="G7">
            <v>34905</v>
          </cell>
          <cell r="H7">
            <v>21485</v>
          </cell>
          <cell r="I7">
            <v>10445</v>
          </cell>
          <cell r="J7">
            <v>7404.5</v>
          </cell>
          <cell r="K7">
            <v>16897</v>
          </cell>
          <cell r="L7">
            <v>17850</v>
          </cell>
          <cell r="M7">
            <v>4580</v>
          </cell>
          <cell r="N7">
            <v>18366</v>
          </cell>
          <cell r="O7">
            <v>8188</v>
          </cell>
          <cell r="P7">
            <v>10864</v>
          </cell>
          <cell r="Q7">
            <v>9434</v>
          </cell>
          <cell r="R7">
            <v>9715</v>
          </cell>
          <cell r="S7">
            <v>17767</v>
          </cell>
          <cell r="T7">
            <v>1228</v>
          </cell>
          <cell r="U7">
            <v>3896</v>
          </cell>
          <cell r="V7">
            <v>13076.5</v>
          </cell>
          <cell r="W7">
            <v>4678</v>
          </cell>
          <cell r="Z7">
            <v>210779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210779</v>
          </cell>
          <cell r="AJ7">
            <v>24573</v>
          </cell>
          <cell r="AK7">
            <v>12950</v>
          </cell>
          <cell r="AL7">
            <v>20414</v>
          </cell>
          <cell r="AN7">
            <v>57937</v>
          </cell>
          <cell r="AO7">
            <v>9724.5229999999992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30706865.719000004</v>
          </cell>
          <cell r="G8">
            <v>3382032.5330000003</v>
          </cell>
          <cell r="H8">
            <v>2095091.91</v>
          </cell>
          <cell r="I8">
            <v>1017451.8</v>
          </cell>
          <cell r="J8">
            <v>704991.23600000003</v>
          </cell>
          <cell r="K8">
            <v>1794102.5</v>
          </cell>
          <cell r="L8">
            <v>1700780.2</v>
          </cell>
          <cell r="M8">
            <v>453453</v>
          </cell>
          <cell r="N8">
            <v>1908460.9</v>
          </cell>
          <cell r="O8">
            <v>791570.5</v>
          </cell>
          <cell r="P8">
            <v>1085930.05</v>
          </cell>
          <cell r="Q8">
            <v>882506.66899999999</v>
          </cell>
          <cell r="R8">
            <v>1047306</v>
          </cell>
          <cell r="S8">
            <v>1783042.6</v>
          </cell>
          <cell r="T8">
            <v>138477.1</v>
          </cell>
          <cell r="U8">
            <v>414872.25</v>
          </cell>
          <cell r="V8">
            <v>1256967.1189999999</v>
          </cell>
          <cell r="W8">
            <v>565731.36399999994</v>
          </cell>
          <cell r="Z8">
            <v>21022767.731000002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21113607.731000002</v>
          </cell>
          <cell r="AJ8">
            <v>679860.5</v>
          </cell>
          <cell r="AK8">
            <v>179002</v>
          </cell>
          <cell r="AL8">
            <v>383721</v>
          </cell>
          <cell r="AN8">
            <v>1242583.5</v>
          </cell>
          <cell r="AO8">
            <v>8276995.1200000001</v>
          </cell>
          <cell r="AP8">
            <v>0</v>
          </cell>
          <cell r="AS8">
            <v>8276995.1200000001</v>
          </cell>
          <cell r="AT8">
            <v>5512.5</v>
          </cell>
          <cell r="AU8">
            <v>5850</v>
          </cell>
          <cell r="AV8">
            <v>60637.017999999996</v>
          </cell>
          <cell r="BA8">
            <v>71999.517999999996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1679.85</v>
          </cell>
        </row>
        <row r="9">
          <cell r="G9">
            <v>96892.494857470287</v>
          </cell>
          <cell r="H9">
            <v>97514.16848964394</v>
          </cell>
          <cell r="I9">
            <v>97410.416467209201</v>
          </cell>
          <cell r="J9">
            <v>95211.187250996023</v>
          </cell>
          <cell r="K9">
            <v>106178.75954311417</v>
          </cell>
          <cell r="L9">
            <v>95281.803921568629</v>
          </cell>
          <cell r="M9">
            <v>99007.205240174677</v>
          </cell>
          <cell r="N9">
            <v>103912.71371011651</v>
          </cell>
          <cell r="O9">
            <v>96674.462628236448</v>
          </cell>
          <cell r="P9">
            <v>99956.742452135499</v>
          </cell>
          <cell r="Q9">
            <v>93545.332732669063</v>
          </cell>
          <cell r="R9">
            <v>107802.98507462686</v>
          </cell>
          <cell r="S9">
            <v>100356.98767377723</v>
          </cell>
          <cell r="T9">
            <v>112766.3680781759</v>
          </cell>
          <cell r="U9">
            <v>106486.71714579055</v>
          </cell>
          <cell r="V9">
            <v>96124.124880510833</v>
          </cell>
          <cell r="W9">
            <v>120934.4514749893</v>
          </cell>
          <cell r="Z9">
            <v>99738.435664843273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100169.40838983012</v>
          </cell>
          <cell r="AJ9">
            <v>27666.971879705368</v>
          </cell>
          <cell r="AK9">
            <v>13822.548262548264</v>
          </cell>
          <cell r="AL9">
            <v>18796.953071421573</v>
          </cell>
          <cell r="AO9">
            <v>851146.6444163894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28382832.22727</v>
          </cell>
          <cell r="G10">
            <v>3028054.4057399998</v>
          </cell>
          <cell r="H10">
            <v>2047476.5941900001</v>
          </cell>
          <cell r="I10">
            <v>986486.16125999996</v>
          </cell>
          <cell r="J10">
            <v>699082.92534000007</v>
          </cell>
          <cell r="K10">
            <v>1527073.6959899999</v>
          </cell>
          <cell r="L10">
            <v>1527313.7372300001</v>
          </cell>
          <cell r="M10">
            <v>476762.62979000004</v>
          </cell>
          <cell r="N10">
            <v>1693771.5505299999</v>
          </cell>
          <cell r="O10">
            <v>716786.28333000001</v>
          </cell>
          <cell r="P10">
            <v>919909.58153999993</v>
          </cell>
          <cell r="Q10">
            <v>826959.20144000009</v>
          </cell>
          <cell r="R10">
            <v>927236.65260000003</v>
          </cell>
          <cell r="S10">
            <v>1633656.6474900001</v>
          </cell>
          <cell r="T10">
            <v>159814.69292</v>
          </cell>
          <cell r="U10">
            <v>336384.07094999996</v>
          </cell>
          <cell r="V10">
            <v>1059398.4283400001</v>
          </cell>
          <cell r="W10">
            <v>482980.68679000007</v>
          </cell>
          <cell r="Z10">
            <v>19049147.945469998</v>
          </cell>
          <cell r="AA10">
            <v>536.15899999999999</v>
          </cell>
          <cell r="AB10">
            <v>0</v>
          </cell>
          <cell r="AC10">
            <v>3422.8870000000002</v>
          </cell>
          <cell r="AD10">
            <v>8505.26</v>
          </cell>
          <cell r="AH10">
            <v>12464.306</v>
          </cell>
          <cell r="AI10">
            <v>19061612.25147</v>
          </cell>
          <cell r="AJ10">
            <v>614099.73976000003</v>
          </cell>
          <cell r="AK10">
            <v>155668.79463000002</v>
          </cell>
          <cell r="AL10">
            <v>423819.97140999994</v>
          </cell>
          <cell r="AN10">
            <v>1193588.5057999999</v>
          </cell>
          <cell r="AO10">
            <v>8127334.0770000005</v>
          </cell>
          <cell r="AP10">
            <v>0</v>
          </cell>
          <cell r="AS10">
            <v>8127334.0770000005</v>
          </cell>
          <cell r="AT10">
            <v>129.16499999999999</v>
          </cell>
          <cell r="AU10">
            <v>168.22800000000001</v>
          </cell>
          <cell r="AV10">
            <v>0</v>
          </cell>
          <cell r="BA10">
            <v>297.39300000000003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86751.30799999999</v>
          </cell>
          <cell r="H11">
            <v>95297.956443565286</v>
          </cell>
          <cell r="I11">
            <v>94445.778962182856</v>
          </cell>
          <cell r="J11">
            <v>94413.252122358026</v>
          </cell>
          <cell r="K11">
            <v>90375.433271586677</v>
          </cell>
          <cell r="L11">
            <v>85563.794802801131</v>
          </cell>
          <cell r="M11">
            <v>104096.64405895196</v>
          </cell>
          <cell r="N11">
            <v>92223.214120113247</v>
          </cell>
          <cell r="O11">
            <v>87541.07026502199</v>
          </cell>
          <cell r="P11">
            <v>84675.035119661261</v>
          </cell>
          <cell r="Q11">
            <v>87657.324723341124</v>
          </cell>
          <cell r="R11">
            <v>95443.813957797218</v>
          </cell>
          <cell r="S11">
            <v>91948.930460404124</v>
          </cell>
          <cell r="T11">
            <v>130142.2580781759</v>
          </cell>
          <cell r="U11">
            <v>86340.880633983557</v>
          </cell>
          <cell r="V11">
            <v>81015.442078537846</v>
          </cell>
          <cell r="W11">
            <v>103245.12329841814</v>
          </cell>
          <cell r="Z11">
            <v>90374.980171032206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90434.114648375777</v>
          </cell>
          <cell r="AJ11">
            <v>24990.833018353478</v>
          </cell>
          <cell r="AK11">
            <v>12020.756342084944</v>
          </cell>
          <cell r="AL11">
            <v>20761.240884197119</v>
          </cell>
          <cell r="AO11">
            <v>835756.57921730459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2324033.4917300045</v>
          </cell>
          <cell r="G12">
            <v>353978.12726000044</v>
          </cell>
          <cell r="H12">
            <v>47615.315809999825</v>
          </cell>
          <cell r="I12">
            <v>30965.638740000082</v>
          </cell>
          <cell r="J12">
            <v>5908.3106599999592</v>
          </cell>
          <cell r="K12">
            <v>267028.80401000008</v>
          </cell>
          <cell r="L12">
            <v>173466.46276999987</v>
          </cell>
          <cell r="M12">
            <v>-23309.629790000035</v>
          </cell>
          <cell r="N12">
            <v>214689.34947000002</v>
          </cell>
          <cell r="O12">
            <v>74784.216669999994</v>
          </cell>
          <cell r="P12">
            <v>166020.46846000012</v>
          </cell>
          <cell r="Q12">
            <v>55547.467559999903</v>
          </cell>
          <cell r="R12">
            <v>120069.34739999997</v>
          </cell>
          <cell r="S12">
            <v>149385.95250999997</v>
          </cell>
          <cell r="T12">
            <v>-21337.592919999996</v>
          </cell>
          <cell r="U12">
            <v>78488.179050000035</v>
          </cell>
          <cell r="V12">
            <v>197568.69065999985</v>
          </cell>
          <cell r="W12">
            <v>82750.677209999878</v>
          </cell>
          <cell r="Z12">
            <v>1973619.7855299995</v>
          </cell>
          <cell r="AA12">
            <v>49463.841</v>
          </cell>
          <cell r="AB12">
            <v>0</v>
          </cell>
          <cell r="AC12">
            <v>9077.1129999999994</v>
          </cell>
          <cell r="AD12">
            <v>19834.739999999998</v>
          </cell>
          <cell r="AH12">
            <v>78375.694000000003</v>
          </cell>
          <cell r="AI12">
            <v>2051995.4795300029</v>
          </cell>
          <cell r="AJ12">
            <v>65760.760239999974</v>
          </cell>
          <cell r="AK12">
            <v>23333.205369999981</v>
          </cell>
          <cell r="AL12">
            <v>-40098.97140999994</v>
          </cell>
          <cell r="AN12">
            <v>48994.994200000074</v>
          </cell>
          <cell r="AO12">
            <v>149661.0429999996</v>
          </cell>
          <cell r="AP12">
            <v>0</v>
          </cell>
          <cell r="AS12">
            <v>149661.0429999996</v>
          </cell>
          <cell r="AT12">
            <v>5383.335</v>
          </cell>
          <cell r="AU12">
            <v>5681.7719999999999</v>
          </cell>
          <cell r="AV12">
            <v>60637.017999999996</v>
          </cell>
          <cell r="BA12">
            <v>71702.125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1679.85</v>
          </cell>
        </row>
        <row r="13">
          <cell r="F13">
            <v>742540.13099999994</v>
          </cell>
          <cell r="G13">
            <v>58276.017999999996</v>
          </cell>
          <cell r="H13">
            <v>61478.066999999995</v>
          </cell>
          <cell r="I13">
            <v>53032.188000000002</v>
          </cell>
          <cell r="J13">
            <v>34675.330999999998</v>
          </cell>
          <cell r="K13">
            <v>49127.203999999998</v>
          </cell>
          <cell r="L13">
            <v>52841.233999999997</v>
          </cell>
          <cell r="M13">
            <v>35634.233999999997</v>
          </cell>
          <cell r="N13">
            <v>40529.691999999995</v>
          </cell>
          <cell r="O13">
            <v>29323.786</v>
          </cell>
          <cell r="P13">
            <v>25617.365000000002</v>
          </cell>
          <cell r="Q13">
            <v>28185.103999999999</v>
          </cell>
          <cell r="R13">
            <v>27119.686000000002</v>
          </cell>
          <cell r="S13">
            <v>42532.993999999999</v>
          </cell>
          <cell r="T13">
            <v>9265.5589999999993</v>
          </cell>
          <cell r="U13">
            <v>9497.2340000000004</v>
          </cell>
          <cell r="V13">
            <v>27403.620000000003</v>
          </cell>
          <cell r="W13">
            <v>15695.865000000002</v>
          </cell>
          <cell r="Z13">
            <v>600235.18099999987</v>
          </cell>
          <cell r="AA13">
            <v>0</v>
          </cell>
          <cell r="AB13">
            <v>175.684</v>
          </cell>
          <cell r="AC13">
            <v>0</v>
          </cell>
          <cell r="AD13">
            <v>0</v>
          </cell>
          <cell r="AH13">
            <v>175.684</v>
          </cell>
          <cell r="AI13">
            <v>600410.86499999987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133004.989</v>
          </cell>
          <cell r="AP13">
            <v>0</v>
          </cell>
          <cell r="AS13">
            <v>133004.989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9124.277</v>
          </cell>
          <cell r="BG13">
            <v>0</v>
          </cell>
          <cell r="BJ13">
            <v>9124.277</v>
          </cell>
        </row>
        <row r="14">
          <cell r="F14">
            <v>528061.50799999991</v>
          </cell>
          <cell r="G14">
            <v>43118.315999999999</v>
          </cell>
          <cell r="H14">
            <v>46301.198999999993</v>
          </cell>
          <cell r="I14">
            <v>34906.718000000001</v>
          </cell>
          <cell r="J14">
            <v>26175.984999999997</v>
          </cell>
          <cell r="K14">
            <v>34357.551999999996</v>
          </cell>
          <cell r="L14">
            <v>35821.824999999997</v>
          </cell>
          <cell r="M14">
            <v>26726.965</v>
          </cell>
          <cell r="N14">
            <v>27498.442999999996</v>
          </cell>
          <cell r="O14">
            <v>19532.807000000001</v>
          </cell>
          <cell r="P14">
            <v>19208.589</v>
          </cell>
          <cell r="Q14">
            <v>20672.539000000001</v>
          </cell>
          <cell r="R14">
            <v>18525.169000000002</v>
          </cell>
          <cell r="S14">
            <v>32152.240999999998</v>
          </cell>
          <cell r="T14">
            <v>7515.6970000000001</v>
          </cell>
          <cell r="U14">
            <v>7228.4560000000001</v>
          </cell>
          <cell r="V14">
            <v>22664.548000000003</v>
          </cell>
          <cell r="W14">
            <v>10860.244000000001</v>
          </cell>
          <cell r="Z14">
            <v>433267.29299999989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433267.29299999989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94794.214999999997</v>
          </cell>
          <cell r="AP14">
            <v>0</v>
          </cell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214478.62300000002</v>
          </cell>
          <cell r="G15">
            <v>15157.702000000001</v>
          </cell>
          <cell r="H15">
            <v>15176.867999999999</v>
          </cell>
          <cell r="I15">
            <v>18125.47</v>
          </cell>
          <cell r="J15">
            <v>8499.3460000000014</v>
          </cell>
          <cell r="K15">
            <v>14769.652000000002</v>
          </cell>
          <cell r="L15">
            <v>17019.409</v>
          </cell>
          <cell r="M15">
            <v>8907.2690000000002</v>
          </cell>
          <cell r="N15">
            <v>13031.249000000002</v>
          </cell>
          <cell r="O15">
            <v>9790.9790000000012</v>
          </cell>
          <cell r="P15">
            <v>6408.7760000000007</v>
          </cell>
          <cell r="Q15">
            <v>7512.5649999999996</v>
          </cell>
          <cell r="R15">
            <v>8594.5169999999998</v>
          </cell>
          <cell r="S15">
            <v>10380.753000000001</v>
          </cell>
          <cell r="T15">
            <v>1749.8619999999999</v>
          </cell>
          <cell r="U15">
            <v>2268.7780000000002</v>
          </cell>
          <cell r="V15">
            <v>4739.0720000000001</v>
          </cell>
          <cell r="W15">
            <v>4835.6210000000001</v>
          </cell>
          <cell r="Z15">
            <v>166967.88800000001</v>
          </cell>
          <cell r="AA15">
            <v>0</v>
          </cell>
          <cell r="AB15">
            <v>175.684</v>
          </cell>
          <cell r="AC15">
            <v>0</v>
          </cell>
          <cell r="AD15">
            <v>0</v>
          </cell>
          <cell r="AH15">
            <v>175.684</v>
          </cell>
          <cell r="AI15">
            <v>167143.57200000001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38210.773999999998</v>
          </cell>
          <cell r="AP15">
            <v>0</v>
          </cell>
          <cell r="AS15">
            <v>38210.773999999998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9124.277</v>
          </cell>
          <cell r="BG15">
            <v>0</v>
          </cell>
          <cell r="BJ15">
            <v>9124.277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1581493.3607300045</v>
          </cell>
          <cell r="G17">
            <v>295702.10926000046</v>
          </cell>
          <cell r="H17">
            <v>-13862.75119000017</v>
          </cell>
          <cell r="I17">
            <v>-22066.54925999992</v>
          </cell>
          <cell r="J17">
            <v>-28767.020340000039</v>
          </cell>
          <cell r="K17">
            <v>217901.60001000008</v>
          </cell>
          <cell r="L17">
            <v>120625.22876999987</v>
          </cell>
          <cell r="M17">
            <v>-58943.863790000032</v>
          </cell>
          <cell r="N17">
            <v>174159.65747000003</v>
          </cell>
          <cell r="O17">
            <v>45460.430669999994</v>
          </cell>
          <cell r="P17">
            <v>140403.10346000013</v>
          </cell>
          <cell r="Q17">
            <v>27362.363559999903</v>
          </cell>
          <cell r="R17">
            <v>92949.661399999968</v>
          </cell>
          <cell r="S17">
            <v>106852.95850999997</v>
          </cell>
          <cell r="T17">
            <v>-30603.151919999997</v>
          </cell>
          <cell r="U17">
            <v>68990.945050000038</v>
          </cell>
          <cell r="V17">
            <v>170165.07065999985</v>
          </cell>
          <cell r="W17">
            <v>67054.812209999873</v>
          </cell>
          <cell r="Z17">
            <v>1373384.6045299997</v>
          </cell>
          <cell r="AA17">
            <v>49463.841</v>
          </cell>
          <cell r="AB17">
            <v>-175.684</v>
          </cell>
          <cell r="AC17">
            <v>9077.1129999999994</v>
          </cell>
          <cell r="AD17">
            <v>19834.739999999998</v>
          </cell>
          <cell r="AH17">
            <v>78200.010000000009</v>
          </cell>
          <cell r="AI17">
            <v>1451584.6145300032</v>
          </cell>
          <cell r="AJ17">
            <v>65760.760239999974</v>
          </cell>
          <cell r="AK17">
            <v>23333.205369999981</v>
          </cell>
          <cell r="AL17">
            <v>-40098.97140999994</v>
          </cell>
          <cell r="AN17">
            <v>48994.994200000074</v>
          </cell>
          <cell r="AO17">
            <v>16656.053999999596</v>
          </cell>
          <cell r="AP17">
            <v>0</v>
          </cell>
          <cell r="AS17">
            <v>16656.053999999596</v>
          </cell>
          <cell r="AT17">
            <v>5383.335</v>
          </cell>
          <cell r="AU17">
            <v>5681.7719999999999</v>
          </cell>
          <cell r="AV17">
            <v>60637.017999999996</v>
          </cell>
          <cell r="BA17">
            <v>71702.125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-9124.277</v>
          </cell>
          <cell r="BG17">
            <v>0</v>
          </cell>
          <cell r="BJ17">
            <v>-7444.4269999999997</v>
          </cell>
        </row>
        <row r="18">
          <cell r="F18">
            <v>593291.12471999996</v>
          </cell>
          <cell r="G18">
            <v>30117.650260000002</v>
          </cell>
          <cell r="H18">
            <v>35517.608809999998</v>
          </cell>
          <cell r="I18">
            <v>20672.318739999999</v>
          </cell>
          <cell r="J18">
            <v>18101.859660000002</v>
          </cell>
          <cell r="K18">
            <v>84589.022010000001</v>
          </cell>
          <cell r="L18">
            <v>43122.734770000003</v>
          </cell>
          <cell r="M18">
            <v>14543.96421</v>
          </cell>
          <cell r="N18">
            <v>23348.260469999997</v>
          </cell>
          <cell r="O18">
            <v>12572.666669999999</v>
          </cell>
          <cell r="P18">
            <v>31652.88046</v>
          </cell>
          <cell r="Q18">
            <v>15843.334560000001</v>
          </cell>
          <cell r="R18">
            <v>14933.1414</v>
          </cell>
          <cell r="S18">
            <v>35155.649509999996</v>
          </cell>
          <cell r="T18">
            <v>5913.8550800000003</v>
          </cell>
          <cell r="U18">
            <v>11124.040050000001</v>
          </cell>
          <cell r="V18">
            <v>20984.665659999999</v>
          </cell>
          <cell r="W18">
            <v>13218.304210000002</v>
          </cell>
          <cell r="Z18">
            <v>431411.95653000008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H18">
            <v>5669.0559999999996</v>
          </cell>
          <cell r="AI18">
            <v>437081.01252999995</v>
          </cell>
          <cell r="AJ18">
            <v>34855.079239999999</v>
          </cell>
          <cell r="AK18">
            <v>13788.075359999999</v>
          </cell>
          <cell r="AL18">
            <v>51818.844590000001</v>
          </cell>
          <cell r="AN18">
            <v>100461.99919</v>
          </cell>
          <cell r="AO18">
            <v>5794.3410000000003</v>
          </cell>
          <cell r="AP18">
            <v>0</v>
          </cell>
          <cell r="AS18">
            <v>5794.3410000000003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17689.939999999999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J18">
            <v>40151.271999999997</v>
          </cell>
        </row>
        <row r="19">
          <cell r="F19">
            <v>526252.81871999998</v>
          </cell>
          <cell r="G19">
            <v>28160.432260000001</v>
          </cell>
          <cell r="H19">
            <v>33202.078809999999</v>
          </cell>
          <cell r="I19">
            <v>18901.07474</v>
          </cell>
          <cell r="J19">
            <v>16909.873660000001</v>
          </cell>
          <cell r="K19">
            <v>82712.959010000006</v>
          </cell>
          <cell r="L19">
            <v>41558.335770000005</v>
          </cell>
          <cell r="M19">
            <v>13350.36721</v>
          </cell>
          <cell r="N19">
            <v>21784.958469999998</v>
          </cell>
          <cell r="O19">
            <v>11822.632669999999</v>
          </cell>
          <cell r="P19">
            <v>30434.116460000001</v>
          </cell>
          <cell r="Q19">
            <v>15018.12556</v>
          </cell>
          <cell r="R19">
            <v>14118.2304</v>
          </cell>
          <cell r="S19">
            <v>33567.451509999999</v>
          </cell>
          <cell r="T19">
            <v>5543.4560799999999</v>
          </cell>
          <cell r="U19">
            <v>10681.171050000001</v>
          </cell>
          <cell r="V19">
            <v>20161.06466</v>
          </cell>
          <cell r="W19">
            <v>12392.935210000001</v>
          </cell>
          <cell r="Z19">
            <v>410319.26353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H19">
            <v>5669.0559999999996</v>
          </cell>
          <cell r="AI19">
            <v>415988.31952999998</v>
          </cell>
          <cell r="AJ19">
            <v>34855.079239999999</v>
          </cell>
          <cell r="AK19">
            <v>13788.075359999999</v>
          </cell>
          <cell r="AL19">
            <v>51818.844590000001</v>
          </cell>
          <cell r="AN19">
            <v>100461.99919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67038.305999999997</v>
          </cell>
          <cell r="G20">
            <v>1957.2180000000001</v>
          </cell>
          <cell r="H20">
            <v>2315.5300000000002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825.20899999999995</v>
          </cell>
          <cell r="R20">
            <v>814.91099999999994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823.601</v>
          </cell>
          <cell r="W20">
            <v>825.36900000000003</v>
          </cell>
          <cell r="Z20">
            <v>21092.692999999996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21092.692999999996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5794.3410000000003</v>
          </cell>
          <cell r="AP20">
            <v>0</v>
          </cell>
          <cell r="AS20">
            <v>5794.3410000000003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17689.939999999999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J20">
            <v>40151.271999999997</v>
          </cell>
        </row>
        <row r="21">
          <cell r="F21">
            <v>988202.23601000453</v>
          </cell>
          <cell r="G21">
            <v>265584.45900000044</v>
          </cell>
          <cell r="H21">
            <v>-49380.360000000168</v>
          </cell>
          <cell r="I21">
            <v>-42738.867999999915</v>
          </cell>
          <cell r="J21">
            <v>-46868.880000000041</v>
          </cell>
          <cell r="K21">
            <v>133312.5780000001</v>
          </cell>
          <cell r="L21">
            <v>77502.493999999861</v>
          </cell>
          <cell r="M21">
            <v>-73487.828000000038</v>
          </cell>
          <cell r="N21">
            <v>150811.39700000003</v>
          </cell>
          <cell r="O21">
            <v>32887.763999999996</v>
          </cell>
          <cell r="P21">
            <v>108750.22300000013</v>
          </cell>
          <cell r="Q21">
            <v>11519.028999999902</v>
          </cell>
          <cell r="R21">
            <v>78016.51999999996</v>
          </cell>
          <cell r="S21">
            <v>71697.308999999979</v>
          </cell>
          <cell r="T21">
            <v>-36517.006999999998</v>
          </cell>
          <cell r="U21">
            <v>57866.905000000035</v>
          </cell>
          <cell r="V21">
            <v>149180.40499999985</v>
          </cell>
          <cell r="W21">
            <v>53836.507999999871</v>
          </cell>
          <cell r="Z21">
            <v>941972.64799999958</v>
          </cell>
          <cell r="AA21">
            <v>43794.785000000003</v>
          </cell>
          <cell r="AB21">
            <v>-175.684</v>
          </cell>
          <cell r="AC21">
            <v>9077.1129999999994</v>
          </cell>
          <cell r="AD21">
            <v>19834.739999999998</v>
          </cell>
          <cell r="AH21">
            <v>72530.954000000012</v>
          </cell>
          <cell r="AI21">
            <v>1014503.6020000032</v>
          </cell>
          <cell r="AJ21">
            <v>30905.680999999975</v>
          </cell>
          <cell r="AK21">
            <v>9545.1300099999826</v>
          </cell>
          <cell r="AL21">
            <v>-91917.815999999933</v>
          </cell>
          <cell r="AN21">
            <v>-51467.004989999929</v>
          </cell>
          <cell r="AO21">
            <v>10861.712999999596</v>
          </cell>
          <cell r="AP21">
            <v>0</v>
          </cell>
          <cell r="AS21">
            <v>10861.712999999596</v>
          </cell>
          <cell r="AT21">
            <v>4070.4430000000002</v>
          </cell>
          <cell r="AU21">
            <v>-2807.8360000000002</v>
          </cell>
          <cell r="AV21">
            <v>60637.017999999996</v>
          </cell>
          <cell r="BA21">
            <v>61899.625</v>
          </cell>
          <cell r="BB21">
            <v>0</v>
          </cell>
          <cell r="BC21">
            <v>-16010.089999999998</v>
          </cell>
          <cell r="BD21">
            <v>0</v>
          </cell>
          <cell r="BE21">
            <v>0</v>
          </cell>
          <cell r="BF21">
            <v>-31585.608999999997</v>
          </cell>
          <cell r="BG21">
            <v>0</v>
          </cell>
          <cell r="BJ21">
            <v>-47595.698999999993</v>
          </cell>
        </row>
        <row r="22">
          <cell r="F22">
            <v>1323572.2320025035</v>
          </cell>
          <cell r="G22">
            <v>199737.5617803614</v>
          </cell>
          <cell r="H22">
            <v>123732.85760145003</v>
          </cell>
          <cell r="I22">
            <v>60089.114985766442</v>
          </cell>
          <cell r="J22">
            <v>41635.681851426867</v>
          </cell>
          <cell r="K22">
            <v>112514.88268799927</v>
          </cell>
          <cell r="L22">
            <v>106662.29197109526</v>
          </cell>
          <cell r="M22">
            <v>28437.734800281105</v>
          </cell>
          <cell r="N22">
            <v>119686.7259691871</v>
          </cell>
          <cell r="O22">
            <v>49642.348721313821</v>
          </cell>
          <cell r="P22">
            <v>68102.737821904375</v>
          </cell>
          <cell r="Q22">
            <v>55345.296232468325</v>
          </cell>
          <cell r="R22">
            <v>65680.479085469065</v>
          </cell>
          <cell r="S22">
            <v>105303.71248635065</v>
          </cell>
          <cell r="T22">
            <v>8178.2413523623209</v>
          </cell>
          <cell r="U22">
            <v>24501.707436807952</v>
          </cell>
          <cell r="V22">
            <v>74234.515823667083</v>
          </cell>
          <cell r="W22">
            <v>33411.21120671316</v>
          </cell>
          <cell r="Z22">
            <v>1276897.1018146242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1276897.1018146242</v>
          </cell>
          <cell r="AJ22">
            <v>25537.581454602103</v>
          </cell>
          <cell r="AK22">
            <v>6723.8472532772321</v>
          </cell>
          <cell r="AL22">
            <v>14413.70148</v>
          </cell>
          <cell r="AN22">
            <v>46675.130187879331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195142.38600250368</v>
          </cell>
          <cell r="G23">
            <v>18201.690804030932</v>
          </cell>
          <cell r="H23">
            <v>11275.531734172882</v>
          </cell>
          <cell r="I23">
            <v>5475.8027579283244</v>
          </cell>
          <cell r="J23">
            <v>3794.1777236072494</v>
          </cell>
          <cell r="K23">
            <v>16213.632838871365</v>
          </cell>
          <cell r="L23">
            <v>15370.262124054903</v>
          </cell>
          <cell r="M23">
            <v>4097.9377999220987</v>
          </cell>
          <cell r="N23">
            <v>17247.110641639483</v>
          </cell>
          <cell r="O23">
            <v>7153.5675654439074</v>
          </cell>
          <cell r="P23">
            <v>9813.7487236081688</v>
          </cell>
          <cell r="Q23">
            <v>7975.374377451335</v>
          </cell>
          <cell r="R23">
            <v>9464.6961106999279</v>
          </cell>
          <cell r="S23">
            <v>9596.1200192320557</v>
          </cell>
          <cell r="T23">
            <v>745.26703485110193</v>
          </cell>
          <cell r="U23">
            <v>2232.7923649434097</v>
          </cell>
          <cell r="V23">
            <v>6764.8452898165979</v>
          </cell>
          <cell r="W23">
            <v>3044.6979043506062</v>
          </cell>
          <cell r="Z23">
            <v>148467.25581462437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148467.25581462437</v>
          </cell>
          <cell r="AJ23">
            <v>25537.581454602103</v>
          </cell>
          <cell r="AK23">
            <v>6723.8472532772321</v>
          </cell>
          <cell r="AL23">
            <v>14413.70148</v>
          </cell>
          <cell r="AN23">
            <v>46675.130187879331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500859.17499999999</v>
          </cell>
          <cell r="G24">
            <v>80575.595277290573</v>
          </cell>
          <cell r="H24">
            <v>49914.740961743926</v>
          </cell>
          <cell r="I24">
            <v>24240.38907107426</v>
          </cell>
          <cell r="J24">
            <v>16796.138993844754</v>
          </cell>
          <cell r="K24">
            <v>42743.786618085498</v>
          </cell>
          <cell r="L24">
            <v>40520.419515086105</v>
          </cell>
          <cell r="M24">
            <v>10803.339426443428</v>
          </cell>
          <cell r="N24">
            <v>45468.330532151536</v>
          </cell>
          <cell r="O24">
            <v>18858.855915518343</v>
          </cell>
          <cell r="P24">
            <v>25871.856451549964</v>
          </cell>
          <cell r="Q24">
            <v>21025.374385673844</v>
          </cell>
          <cell r="R24">
            <v>24951.653647347714</v>
          </cell>
          <cell r="S24">
            <v>42480.288849358592</v>
          </cell>
          <cell r="T24">
            <v>3299.1624580486832</v>
          </cell>
          <cell r="U24">
            <v>9884.1682277155414</v>
          </cell>
          <cell r="V24">
            <v>29946.747368383731</v>
          </cell>
          <cell r="W24">
            <v>13478.327300683462</v>
          </cell>
          <cell r="Z24">
            <v>500859.17499999999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500859.17499999999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627570.67099999986</v>
          </cell>
          <cell r="G25">
            <v>100960.27569903991</v>
          </cell>
          <cell r="H25">
            <v>62542.584905533222</v>
          </cell>
          <cell r="I25">
            <v>30372.923156763853</v>
          </cell>
          <cell r="J25">
            <v>21045.365133974865</v>
          </cell>
          <cell r="K25">
            <v>53557.463231042406</v>
          </cell>
          <cell r="L25">
            <v>50771.610331954245</v>
          </cell>
          <cell r="M25">
            <v>13536.457573915577</v>
          </cell>
          <cell r="N25">
            <v>56971.284795396081</v>
          </cell>
          <cell r="O25">
            <v>23629.925240351571</v>
          </cell>
          <cell r="P25">
            <v>32417.132646746242</v>
          </cell>
          <cell r="Q25">
            <v>26344.547469343146</v>
          </cell>
          <cell r="R25">
            <v>31264.129327421429</v>
          </cell>
          <cell r="S25">
            <v>53227.303617760001</v>
          </cell>
          <cell r="T25">
            <v>4133.8118594625357</v>
          </cell>
          <cell r="U25">
            <v>12384.746844149002</v>
          </cell>
          <cell r="V25">
            <v>37522.923165466746</v>
          </cell>
          <cell r="W25">
            <v>16888.186001679092</v>
          </cell>
          <cell r="Z25">
            <v>627570.67099999986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627570.67099999986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-335369.99599249894</v>
          </cell>
          <cell r="G26">
            <v>65846.897219639039</v>
          </cell>
          <cell r="H26">
            <v>-173113.21760145019</v>
          </cell>
          <cell r="I26">
            <v>-102827.98298576636</v>
          </cell>
          <cell r="J26">
            <v>-88504.561851426901</v>
          </cell>
          <cell r="K26">
            <v>20797.695312000826</v>
          </cell>
          <cell r="L26">
            <v>-29159.797971095395</v>
          </cell>
          <cell r="M26">
            <v>-101925.56280028114</v>
          </cell>
          <cell r="N26">
            <v>31124.671030812926</v>
          </cell>
          <cell r="O26">
            <v>-16754.584721313826</v>
          </cell>
          <cell r="P26">
            <v>40647.485178095754</v>
          </cell>
          <cell r="Q26">
            <v>-43826.267232468424</v>
          </cell>
          <cell r="R26">
            <v>12336.040914530895</v>
          </cell>
          <cell r="S26">
            <v>-33606.403486350668</v>
          </cell>
          <cell r="T26">
            <v>-44695.248352362316</v>
          </cell>
          <cell r="U26">
            <v>33365.19756319208</v>
          </cell>
          <cell r="V26">
            <v>74945.88917633277</v>
          </cell>
          <cell r="W26">
            <v>20425.29679328671</v>
          </cell>
          <cell r="Z26">
            <v>-334924.45381462458</v>
          </cell>
          <cell r="AA26">
            <v>43794.785000000003</v>
          </cell>
          <cell r="AB26">
            <v>-175.684</v>
          </cell>
          <cell r="AC26">
            <v>9077.1129999999994</v>
          </cell>
          <cell r="AD26">
            <v>19834.739999999998</v>
          </cell>
          <cell r="AH26">
            <v>72530.954000000012</v>
          </cell>
          <cell r="AI26">
            <v>-262393.49981462094</v>
          </cell>
          <cell r="AJ26">
            <v>5368.0995453978721</v>
          </cell>
          <cell r="AK26">
            <v>2821.2827567227505</v>
          </cell>
          <cell r="AL26">
            <v>-106331.51747999994</v>
          </cell>
          <cell r="AN26">
            <v>-98142.13517787926</v>
          </cell>
          <cell r="AO26">
            <v>10861.712999999596</v>
          </cell>
          <cell r="AP26">
            <v>0</v>
          </cell>
          <cell r="AS26">
            <v>10861.712999999596</v>
          </cell>
          <cell r="AT26">
            <v>4070.4430000000002</v>
          </cell>
          <cell r="AU26">
            <v>-2807.8360000000002</v>
          </cell>
          <cell r="AV26">
            <v>60637.017999999996</v>
          </cell>
          <cell r="BA26">
            <v>61899.625</v>
          </cell>
          <cell r="BB26">
            <v>0</v>
          </cell>
          <cell r="BC26">
            <v>-16010.089999999998</v>
          </cell>
          <cell r="BD26">
            <v>0</v>
          </cell>
          <cell r="BE26">
            <v>0</v>
          </cell>
          <cell r="BF26">
            <v>-31585.608999999997</v>
          </cell>
          <cell r="BG26">
            <v>0</v>
          </cell>
          <cell r="BJ26">
            <v>-47595.698999999993</v>
          </cell>
        </row>
        <row r="27">
          <cell r="F27">
            <v>-335369.99599250394</v>
          </cell>
          <cell r="G27">
            <v>65846.897219639082</v>
          </cell>
          <cell r="H27">
            <v>-173113.21760145022</v>
          </cell>
          <cell r="I27">
            <v>-102827.98298576636</v>
          </cell>
          <cell r="J27">
            <v>-88504.561851426901</v>
          </cell>
          <cell r="K27">
            <v>20797.695312000818</v>
          </cell>
          <cell r="L27">
            <v>-29159.797971095406</v>
          </cell>
          <cell r="M27">
            <v>-101925.56280028111</v>
          </cell>
          <cell r="N27">
            <v>31124.671030812915</v>
          </cell>
          <cell r="O27">
            <v>-16754.584721313822</v>
          </cell>
          <cell r="P27">
            <v>40647.485178095732</v>
          </cell>
          <cell r="Q27">
            <v>-43826.267232468424</v>
          </cell>
          <cell r="R27">
            <v>12336.040914530913</v>
          </cell>
          <cell r="S27">
            <v>-33606.40348635066</v>
          </cell>
          <cell r="T27">
            <v>-44695.248352362316</v>
          </cell>
          <cell r="U27">
            <v>33365.197563192072</v>
          </cell>
          <cell r="V27">
            <v>74945.889176332799</v>
          </cell>
          <cell r="W27">
            <v>20425.296793286703</v>
          </cell>
          <cell r="Z27">
            <v>-334924.45381462423</v>
          </cell>
          <cell r="AA27">
            <v>43794.785000000003</v>
          </cell>
          <cell r="AB27">
            <v>-175.684</v>
          </cell>
          <cell r="AC27">
            <v>9077.1129999999994</v>
          </cell>
          <cell r="AD27">
            <v>19834.739999999998</v>
          </cell>
          <cell r="AH27">
            <v>72530.953999999998</v>
          </cell>
          <cell r="AI27">
            <v>-262393.4998146242</v>
          </cell>
          <cell r="AJ27">
            <v>5368.0995453978758</v>
          </cell>
          <cell r="AK27">
            <v>2821.2827567227505</v>
          </cell>
          <cell r="AL27">
            <v>-106331.51747999995</v>
          </cell>
          <cell r="AN27">
            <v>-98142.135177879332</v>
          </cell>
          <cell r="AO27">
            <v>10861.712999999603</v>
          </cell>
          <cell r="AP27">
            <v>0</v>
          </cell>
          <cell r="AS27">
            <v>10861.712999999603</v>
          </cell>
          <cell r="AT27">
            <v>4070.4430000000002</v>
          </cell>
          <cell r="AU27">
            <v>-2807.8360000000002</v>
          </cell>
          <cell r="AV27">
            <v>60637.017999999996</v>
          </cell>
          <cell r="BA27">
            <v>61899.625</v>
          </cell>
          <cell r="BB27">
            <v>0</v>
          </cell>
          <cell r="BC27">
            <v>-16010.089999999998</v>
          </cell>
          <cell r="BD27">
            <v>0</v>
          </cell>
          <cell r="BE27">
            <v>0</v>
          </cell>
          <cell r="BF27">
            <v>-31585.608999999997</v>
          </cell>
          <cell r="BG27">
            <v>0</v>
          </cell>
          <cell r="BJ27">
            <v>-47595.698999999993</v>
          </cell>
        </row>
        <row r="28">
          <cell r="F28">
            <v>5.005858838558197E-9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-1.8189894035458565E-11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3.2596290111541748E-9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34905</v>
          </cell>
          <cell r="H31">
            <v>21485</v>
          </cell>
          <cell r="I31">
            <v>10445</v>
          </cell>
          <cell r="J31">
            <v>7404.5</v>
          </cell>
          <cell r="K31">
            <v>16897</v>
          </cell>
          <cell r="L31">
            <v>17850</v>
          </cell>
          <cell r="M31">
            <v>4580</v>
          </cell>
          <cell r="N31">
            <v>18366</v>
          </cell>
          <cell r="O31">
            <v>8188</v>
          </cell>
          <cell r="P31">
            <v>10864</v>
          </cell>
          <cell r="Q31">
            <v>9434</v>
          </cell>
          <cell r="R31">
            <v>9715</v>
          </cell>
          <cell r="S31">
            <v>17767</v>
          </cell>
          <cell r="T31">
            <v>1228</v>
          </cell>
          <cell r="U31">
            <v>3896</v>
          </cell>
          <cell r="V31">
            <v>13076.5</v>
          </cell>
          <cell r="W31">
            <v>4678</v>
          </cell>
          <cell r="X31">
            <v>0</v>
          </cell>
          <cell r="Y31">
            <v>0</v>
          </cell>
          <cell r="Z31">
            <v>210779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210779</v>
          </cell>
          <cell r="AJ31">
            <v>24573</v>
          </cell>
          <cell r="AK31">
            <v>12950</v>
          </cell>
          <cell r="AL31">
            <v>20414</v>
          </cell>
          <cell r="AN31">
            <v>57937</v>
          </cell>
          <cell r="AO31">
            <v>9724.5229999999992</v>
          </cell>
          <cell r="AP31">
            <v>0</v>
          </cell>
          <cell r="AS31">
            <v>9724.5229999999992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30706865.719000004</v>
          </cell>
          <cell r="G32">
            <v>3382032.5330000003</v>
          </cell>
          <cell r="H32">
            <v>2095091.91</v>
          </cell>
          <cell r="I32">
            <v>1017451.8</v>
          </cell>
          <cell r="J32">
            <v>704991.23600000003</v>
          </cell>
          <cell r="K32">
            <v>1794102.5</v>
          </cell>
          <cell r="L32">
            <v>1700780.2</v>
          </cell>
          <cell r="M32">
            <v>453453</v>
          </cell>
          <cell r="N32">
            <v>1908460.9</v>
          </cell>
          <cell r="O32">
            <v>791570.5</v>
          </cell>
          <cell r="P32">
            <v>1085930.05</v>
          </cell>
          <cell r="Q32">
            <v>882506.66899999999</v>
          </cell>
          <cell r="R32">
            <v>1047306</v>
          </cell>
          <cell r="S32">
            <v>1783042.6</v>
          </cell>
          <cell r="T32">
            <v>138477.1</v>
          </cell>
          <cell r="U32">
            <v>414872.25</v>
          </cell>
          <cell r="V32">
            <v>1256967.1189999999</v>
          </cell>
          <cell r="W32">
            <v>565731.36399999994</v>
          </cell>
          <cell r="X32">
            <v>0</v>
          </cell>
          <cell r="Y32">
            <v>0</v>
          </cell>
          <cell r="Z32">
            <v>21022767.731000002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21113607.731000002</v>
          </cell>
          <cell r="AJ32">
            <v>679860.5</v>
          </cell>
          <cell r="AK32">
            <v>179002</v>
          </cell>
          <cell r="AL32">
            <v>383721</v>
          </cell>
          <cell r="AN32">
            <v>1242583.5</v>
          </cell>
          <cell r="AO32">
            <v>8276995.1200000001</v>
          </cell>
          <cell r="AP32">
            <v>0</v>
          </cell>
          <cell r="AS32">
            <v>8276995.1200000001</v>
          </cell>
          <cell r="AT32">
            <v>5512.5</v>
          </cell>
          <cell r="AU32">
            <v>5850</v>
          </cell>
          <cell r="AV32">
            <v>60637.017999999996</v>
          </cell>
          <cell r="BA32">
            <v>71999.517999999996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1679.85</v>
          </cell>
        </row>
        <row r="33">
          <cell r="F33">
            <v>28909085.045989998</v>
          </cell>
          <cell r="G33">
            <v>3056214.838</v>
          </cell>
          <cell r="H33">
            <v>2080678.6730000002</v>
          </cell>
          <cell r="I33">
            <v>1005387.2359999999</v>
          </cell>
          <cell r="J33">
            <v>715992.79900000012</v>
          </cell>
          <cell r="K33">
            <v>1609786.655</v>
          </cell>
          <cell r="L33">
            <v>1568872.0730000001</v>
          </cell>
          <cell r="M33">
            <v>490112.99700000003</v>
          </cell>
          <cell r="N33">
            <v>1715556.5089999998</v>
          </cell>
          <cell r="O33">
            <v>728608.91599999997</v>
          </cell>
          <cell r="P33">
            <v>950343.69799999997</v>
          </cell>
          <cell r="Q33">
            <v>841977.32700000005</v>
          </cell>
          <cell r="R33">
            <v>941354.88300000003</v>
          </cell>
          <cell r="S33">
            <v>1667224.0990000002</v>
          </cell>
          <cell r="T33">
            <v>165358.149</v>
          </cell>
          <cell r="U33">
            <v>347065.24199999997</v>
          </cell>
          <cell r="V33">
            <v>1079559.493</v>
          </cell>
          <cell r="W33">
            <v>495373.62200000009</v>
          </cell>
          <cell r="X33">
            <v>0</v>
          </cell>
          <cell r="Y33">
            <v>0</v>
          </cell>
          <cell r="Z33">
            <v>19459467.208999999</v>
          </cell>
          <cell r="AA33">
            <v>6205.2149999999992</v>
          </cell>
          <cell r="AB33">
            <v>0</v>
          </cell>
          <cell r="AC33">
            <v>3422.8870000000002</v>
          </cell>
          <cell r="AD33">
            <v>8505.26</v>
          </cell>
          <cell r="AH33">
            <v>18133.362000000001</v>
          </cell>
          <cell r="AI33">
            <v>19477600.570999999</v>
          </cell>
          <cell r="AJ33">
            <v>648954.81900000002</v>
          </cell>
          <cell r="AK33">
            <v>169456.86999000001</v>
          </cell>
          <cell r="AL33">
            <v>475638.81599999993</v>
          </cell>
          <cell r="AN33">
            <v>1294050.50499</v>
          </cell>
          <cell r="AO33">
            <v>8127334.0770000005</v>
          </cell>
          <cell r="AP33">
            <v>0</v>
          </cell>
          <cell r="AS33">
            <v>8127334.0770000005</v>
          </cell>
          <cell r="AT33">
            <v>1442.057</v>
          </cell>
          <cell r="AU33">
            <v>8657.8359999999993</v>
          </cell>
          <cell r="AV33">
            <v>0</v>
          </cell>
          <cell r="BA33">
            <v>10099.893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1797780.6730100065</v>
          </cell>
          <cell r="G34">
            <v>325817.6950000003</v>
          </cell>
          <cell r="H34">
            <v>14413.236999999732</v>
          </cell>
          <cell r="I34">
            <v>12064.564000000129</v>
          </cell>
          <cell r="J34">
            <v>-11001.563000000082</v>
          </cell>
          <cell r="K34">
            <v>184315.84499999997</v>
          </cell>
          <cell r="L34">
            <v>131908.12699999986</v>
          </cell>
          <cell r="M34">
            <v>-36659.997000000032</v>
          </cell>
          <cell r="N34">
            <v>192904.39100000006</v>
          </cell>
          <cell r="O34">
            <v>62961.584000000032</v>
          </cell>
          <cell r="P34">
            <v>135586.35200000007</v>
          </cell>
          <cell r="Q34">
            <v>40529.341999999946</v>
          </cell>
          <cell r="R34">
            <v>105951.11699999997</v>
          </cell>
          <cell r="S34">
            <v>115818.50099999993</v>
          </cell>
          <cell r="T34">
            <v>-26881.048999999999</v>
          </cell>
          <cell r="U34">
            <v>67807.008000000031</v>
          </cell>
          <cell r="V34">
            <v>177407.62599999993</v>
          </cell>
          <cell r="W34">
            <v>70357.741999999853</v>
          </cell>
          <cell r="X34">
            <v>0</v>
          </cell>
          <cell r="Y34">
            <v>0</v>
          </cell>
          <cell r="Z34">
            <v>1563300.5220000036</v>
          </cell>
          <cell r="AA34">
            <v>43794.785000000003</v>
          </cell>
          <cell r="AB34">
            <v>0</v>
          </cell>
          <cell r="AC34">
            <v>9077.1129999999994</v>
          </cell>
          <cell r="AD34">
            <v>19834.739999999998</v>
          </cell>
          <cell r="AH34">
            <v>72706.638000000006</v>
          </cell>
          <cell r="AI34">
            <v>1636007.1600000039</v>
          </cell>
          <cell r="AJ34">
            <v>30905.680999999982</v>
          </cell>
          <cell r="AK34">
            <v>9545.1300099999935</v>
          </cell>
          <cell r="AL34">
            <v>-91917.815999999933</v>
          </cell>
          <cell r="AN34">
            <v>-51467.004990000045</v>
          </cell>
          <cell r="AO34">
            <v>149661.0429999996</v>
          </cell>
          <cell r="AP34">
            <v>0</v>
          </cell>
          <cell r="AS34">
            <v>149661.0429999996</v>
          </cell>
          <cell r="AT34">
            <v>4070.4430000000002</v>
          </cell>
          <cell r="AU34">
            <v>-2807.8359999999993</v>
          </cell>
          <cell r="AV34">
            <v>60637.017999999996</v>
          </cell>
          <cell r="BA34">
            <v>61899.625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1679.85</v>
          </cell>
        </row>
        <row r="35">
          <cell r="F35">
            <v>2133150.6690025036</v>
          </cell>
          <cell r="G35">
            <v>259970.79778036138</v>
          </cell>
          <cell r="H35">
            <v>187526.45460145004</v>
          </cell>
          <cell r="I35">
            <v>114892.54698576644</v>
          </cell>
          <cell r="J35">
            <v>77502.998851426877</v>
          </cell>
          <cell r="K35">
            <v>163518.14968799925</v>
          </cell>
          <cell r="L35">
            <v>161067.92497109526</v>
          </cell>
          <cell r="M35">
            <v>65265.565800281103</v>
          </cell>
          <cell r="N35">
            <v>161779.71996918708</v>
          </cell>
          <cell r="O35">
            <v>79716.168721313821</v>
          </cell>
          <cell r="P35">
            <v>94938.866821904376</v>
          </cell>
          <cell r="Q35">
            <v>84355.609232468327</v>
          </cell>
          <cell r="R35">
            <v>93615.07608546906</v>
          </cell>
          <cell r="S35">
            <v>149424.90448635066</v>
          </cell>
          <cell r="T35">
            <v>17814.19935236232</v>
          </cell>
          <cell r="U35">
            <v>34441.810436807951</v>
          </cell>
          <cell r="V35">
            <v>102461.73682366707</v>
          </cell>
          <cell r="W35">
            <v>49932.445206713157</v>
          </cell>
          <cell r="X35">
            <v>0</v>
          </cell>
          <cell r="Y35">
            <v>0</v>
          </cell>
          <cell r="Z35">
            <v>1898224.9758146245</v>
          </cell>
          <cell r="AA35">
            <v>0</v>
          </cell>
          <cell r="AB35">
            <v>175.684</v>
          </cell>
          <cell r="AC35">
            <v>0</v>
          </cell>
          <cell r="AD35">
            <v>0</v>
          </cell>
          <cell r="AH35">
            <v>175.684</v>
          </cell>
          <cell r="AI35">
            <v>1898400.6598146243</v>
          </cell>
          <cell r="AJ35">
            <v>25537.581454602103</v>
          </cell>
          <cell r="AK35">
            <v>6723.8472532772321</v>
          </cell>
          <cell r="AL35">
            <v>14413.70148</v>
          </cell>
          <cell r="AN35">
            <v>46675.130187879331</v>
          </cell>
          <cell r="AO35">
            <v>138799.33000000002</v>
          </cell>
          <cell r="AP35">
            <v>0</v>
          </cell>
          <cell r="AS35">
            <v>138799.33000000002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17689.939999999999</v>
          </cell>
          <cell r="BD35">
            <v>0</v>
          </cell>
          <cell r="BE35">
            <v>0</v>
          </cell>
          <cell r="BF35">
            <v>31585.608999999997</v>
          </cell>
          <cell r="BG35">
            <v>0</v>
          </cell>
          <cell r="BJ35">
            <v>49275.548999999999</v>
          </cell>
        </row>
        <row r="36">
          <cell r="F36">
            <v>-335369.99599249708</v>
          </cell>
          <cell r="G36">
            <v>65846.897219638922</v>
          </cell>
          <cell r="H36">
            <v>-173113.21760145031</v>
          </cell>
          <cell r="I36">
            <v>-102827.98298576631</v>
          </cell>
          <cell r="J36">
            <v>-88504.561851426959</v>
          </cell>
          <cell r="K36">
            <v>20797.695312000724</v>
          </cell>
          <cell r="L36">
            <v>-29159.797971095395</v>
          </cell>
          <cell r="M36">
            <v>-101925.56280028113</v>
          </cell>
          <cell r="N36">
            <v>31124.671030812984</v>
          </cell>
          <cell r="O36">
            <v>-16754.584721313789</v>
          </cell>
          <cell r="P36">
            <v>40647.485178095696</v>
          </cell>
          <cell r="Q36">
            <v>-43826.267232468381</v>
          </cell>
          <cell r="R36">
            <v>12336.04091453091</v>
          </cell>
          <cell r="S36">
            <v>-33606.403486350726</v>
          </cell>
          <cell r="T36">
            <v>-44695.248352362323</v>
          </cell>
          <cell r="U36">
            <v>33365.19756319208</v>
          </cell>
          <cell r="V36">
            <v>74945.889176332857</v>
          </cell>
          <cell r="W36">
            <v>20425.296793286696</v>
          </cell>
          <cell r="X36">
            <v>0</v>
          </cell>
          <cell r="Y36">
            <v>0</v>
          </cell>
          <cell r="Z36">
            <v>-334924.45381462085</v>
          </cell>
          <cell r="AA36">
            <v>43794.785000000003</v>
          </cell>
          <cell r="AB36">
            <v>-175.684</v>
          </cell>
          <cell r="AC36">
            <v>9077.1129999999994</v>
          </cell>
          <cell r="AD36">
            <v>19834.739999999998</v>
          </cell>
          <cell r="AH36">
            <v>72530.954000000012</v>
          </cell>
          <cell r="AI36">
            <v>-262393.49981462047</v>
          </cell>
          <cell r="AJ36">
            <v>5368.0995453978794</v>
          </cell>
          <cell r="AK36">
            <v>2821.2827567227614</v>
          </cell>
          <cell r="AL36">
            <v>-106331.51747999994</v>
          </cell>
          <cell r="AN36">
            <v>-98142.135177879376</v>
          </cell>
          <cell r="AO36">
            <v>10861.712999999581</v>
          </cell>
          <cell r="AP36">
            <v>0</v>
          </cell>
          <cell r="AS36">
            <v>10861.712999999581</v>
          </cell>
          <cell r="AT36">
            <v>4070.4430000000002</v>
          </cell>
          <cell r="AU36">
            <v>-2807.8359999999993</v>
          </cell>
          <cell r="AV36">
            <v>60637.017999999996</v>
          </cell>
          <cell r="BA36">
            <v>61899.625</v>
          </cell>
          <cell r="BB36">
            <v>0</v>
          </cell>
          <cell r="BC36">
            <v>-16010.089999999998</v>
          </cell>
          <cell r="BD36">
            <v>0</v>
          </cell>
          <cell r="BE36">
            <v>0</v>
          </cell>
          <cell r="BF36">
            <v>-31585.608999999997</v>
          </cell>
          <cell r="BG36">
            <v>0</v>
          </cell>
          <cell r="BJ36">
            <v>-47595.699000000001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-9902</v>
          </cell>
          <cell r="AK38">
            <v>-7142</v>
          </cell>
          <cell r="AL38">
            <v>-14366</v>
          </cell>
          <cell r="AN38">
            <v>-31410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-696203</v>
          </cell>
          <cell r="Z39">
            <v>0</v>
          </cell>
          <cell r="AH39">
            <v>0</v>
          </cell>
          <cell r="AI39">
            <v>0</v>
          </cell>
          <cell r="AJ39">
            <v>-290008</v>
          </cell>
          <cell r="AK39">
            <v>-125002</v>
          </cell>
          <cell r="AL39">
            <v>-281193</v>
          </cell>
          <cell r="AN39">
            <v>-696203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-696203</v>
          </cell>
          <cell r="K40">
            <v>13172.402</v>
          </cell>
          <cell r="L40">
            <v>-20722.556</v>
          </cell>
          <cell r="M40">
            <v>-833.52</v>
          </cell>
          <cell r="N40">
            <v>1286.0909999999999</v>
          </cell>
          <cell r="O40">
            <v>0</v>
          </cell>
          <cell r="P40">
            <v>0</v>
          </cell>
          <cell r="Z40">
            <v>-7097.5830000000005</v>
          </cell>
          <cell r="AH40">
            <v>0</v>
          </cell>
          <cell r="AI40">
            <v>-7097.5830000000005</v>
          </cell>
          <cell r="AJ40">
            <v>-262164.08399999997</v>
          </cell>
          <cell r="AK40">
            <v>-92182.84</v>
          </cell>
          <cell r="AL40">
            <v>-334758.49300000002</v>
          </cell>
          <cell r="AN40">
            <v>-689105.41700000002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-13172.402</v>
          </cell>
          <cell r="L41">
            <v>20722.556</v>
          </cell>
          <cell r="M41">
            <v>833.52</v>
          </cell>
          <cell r="N41">
            <v>-1286.0909999999999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7097.5830000000005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7097.5830000000005</v>
          </cell>
          <cell r="AJ41">
            <v>-27843.916000000027</v>
          </cell>
          <cell r="AK41">
            <v>-32819.160000000003</v>
          </cell>
          <cell r="AL41">
            <v>53565.493000000017</v>
          </cell>
          <cell r="AN41">
            <v>-7097.5829999999842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-13172.402</v>
          </cell>
          <cell r="L43">
            <v>20722.556</v>
          </cell>
          <cell r="M43">
            <v>833.52</v>
          </cell>
          <cell r="N43">
            <v>-1286.0909999999999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7097.5830000000005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7097.5830000000005</v>
          </cell>
          <cell r="AJ43">
            <v>-27843.916000000027</v>
          </cell>
          <cell r="AK43">
            <v>-32819.160000000003</v>
          </cell>
          <cell r="AL43">
            <v>53565.493000000017</v>
          </cell>
          <cell r="AN43">
            <v>-7097.5829999999842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34905</v>
          </cell>
          <cell r="H45">
            <v>21485</v>
          </cell>
          <cell r="I45">
            <v>10445</v>
          </cell>
          <cell r="J45">
            <v>7404.5</v>
          </cell>
          <cell r="K45">
            <v>16897</v>
          </cell>
          <cell r="L45">
            <v>17850</v>
          </cell>
          <cell r="M45">
            <v>4580</v>
          </cell>
          <cell r="N45">
            <v>18366</v>
          </cell>
          <cell r="O45">
            <v>8188</v>
          </cell>
          <cell r="P45">
            <v>10864</v>
          </cell>
          <cell r="Q45">
            <v>9434</v>
          </cell>
          <cell r="R45">
            <v>9715</v>
          </cell>
          <cell r="S45">
            <v>17767</v>
          </cell>
          <cell r="T45">
            <v>1228</v>
          </cell>
          <cell r="U45">
            <v>3896</v>
          </cell>
          <cell r="V45">
            <v>13076.5</v>
          </cell>
          <cell r="W45">
            <v>4678</v>
          </cell>
          <cell r="X45">
            <v>0</v>
          </cell>
          <cell r="Y45">
            <v>0</v>
          </cell>
          <cell r="Z45">
            <v>210779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210779</v>
          </cell>
          <cell r="AJ45">
            <v>14671</v>
          </cell>
          <cell r="AK45">
            <v>5808</v>
          </cell>
          <cell r="AL45">
            <v>6048</v>
          </cell>
          <cell r="AN45">
            <v>26527</v>
          </cell>
          <cell r="AO45">
            <v>9724.5229999999992</v>
          </cell>
          <cell r="AP45">
            <v>0</v>
          </cell>
          <cell r="AS45">
            <v>9724.5229999999992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30010662.719000004</v>
          </cell>
          <cell r="G46">
            <v>3382032.5330000003</v>
          </cell>
          <cell r="H46">
            <v>2095091.91</v>
          </cell>
          <cell r="I46">
            <v>1017451.8</v>
          </cell>
          <cell r="J46">
            <v>704991.23600000003</v>
          </cell>
          <cell r="K46">
            <v>1794102.5</v>
          </cell>
          <cell r="L46">
            <v>1700780.2</v>
          </cell>
          <cell r="M46">
            <v>453453</v>
          </cell>
          <cell r="N46">
            <v>1908460.9</v>
          </cell>
          <cell r="O46">
            <v>791570.5</v>
          </cell>
          <cell r="P46">
            <v>1085930.05</v>
          </cell>
          <cell r="Q46">
            <v>882506.66899999999</v>
          </cell>
          <cell r="R46">
            <v>1047306</v>
          </cell>
          <cell r="S46">
            <v>1783042.6</v>
          </cell>
          <cell r="T46">
            <v>138477.1</v>
          </cell>
          <cell r="U46">
            <v>414872.25</v>
          </cell>
          <cell r="V46">
            <v>1256967.1189999999</v>
          </cell>
          <cell r="W46">
            <v>565731.36399999994</v>
          </cell>
          <cell r="X46">
            <v>0</v>
          </cell>
          <cell r="Y46">
            <v>0</v>
          </cell>
          <cell r="Z46">
            <v>21022767.731000002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21113607.731000002</v>
          </cell>
          <cell r="AJ46">
            <v>389852.5</v>
          </cell>
          <cell r="AK46">
            <v>54000</v>
          </cell>
          <cell r="AL46">
            <v>102528</v>
          </cell>
          <cell r="AN46">
            <v>546380.5</v>
          </cell>
          <cell r="AO46">
            <v>8276995.1200000001</v>
          </cell>
          <cell r="AP46">
            <v>0</v>
          </cell>
          <cell r="AS46">
            <v>8276995.1200000001</v>
          </cell>
          <cell r="AT46">
            <v>5512.5</v>
          </cell>
          <cell r="AU46">
            <v>5850</v>
          </cell>
          <cell r="AV46">
            <v>60637.017999999996</v>
          </cell>
          <cell r="BA46">
            <v>71999.517999999996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1679.85</v>
          </cell>
        </row>
        <row r="47">
          <cell r="F47">
            <v>28212882.045990001</v>
          </cell>
          <cell r="G47">
            <v>3056214.838</v>
          </cell>
          <cell r="H47">
            <v>2080678.6730000002</v>
          </cell>
          <cell r="I47">
            <v>1005387.2359999999</v>
          </cell>
          <cell r="J47">
            <v>715992.79900000012</v>
          </cell>
          <cell r="K47">
            <v>1622959.057</v>
          </cell>
          <cell r="L47">
            <v>1548149.517</v>
          </cell>
          <cell r="M47">
            <v>489279.47700000001</v>
          </cell>
          <cell r="N47">
            <v>1716842.5999999999</v>
          </cell>
          <cell r="O47">
            <v>728608.91599999997</v>
          </cell>
          <cell r="P47">
            <v>950343.69799999997</v>
          </cell>
          <cell r="Q47">
            <v>841977.32700000005</v>
          </cell>
          <cell r="R47">
            <v>941354.88300000003</v>
          </cell>
          <cell r="S47">
            <v>1667224.0990000002</v>
          </cell>
          <cell r="T47">
            <v>165358.149</v>
          </cell>
          <cell r="U47">
            <v>347065.24199999997</v>
          </cell>
          <cell r="V47">
            <v>1079559.493</v>
          </cell>
          <cell r="W47">
            <v>495373.62200000009</v>
          </cell>
          <cell r="X47">
            <v>0</v>
          </cell>
          <cell r="Y47">
            <v>0</v>
          </cell>
          <cell r="Z47">
            <v>19452369.626000002</v>
          </cell>
          <cell r="AA47">
            <v>6205.2149999999992</v>
          </cell>
          <cell r="AB47">
            <v>0</v>
          </cell>
          <cell r="AC47">
            <v>3422.8870000000002</v>
          </cell>
          <cell r="AD47">
            <v>8505.26</v>
          </cell>
          <cell r="AH47">
            <v>18133.362000000001</v>
          </cell>
          <cell r="AI47">
            <v>19470502.988000002</v>
          </cell>
          <cell r="AJ47">
            <v>386790.73500000004</v>
          </cell>
          <cell r="AK47">
            <v>77274.02999000001</v>
          </cell>
          <cell r="AL47">
            <v>140880.32299999992</v>
          </cell>
          <cell r="AN47">
            <v>604945.08798999991</v>
          </cell>
          <cell r="AO47">
            <v>8127334.0770000005</v>
          </cell>
          <cell r="AP47">
            <v>0</v>
          </cell>
          <cell r="AS47">
            <v>8127334.0770000005</v>
          </cell>
          <cell r="AT47">
            <v>1442.057</v>
          </cell>
          <cell r="AU47">
            <v>8657.8359999999993</v>
          </cell>
          <cell r="AV47">
            <v>0</v>
          </cell>
          <cell r="BA47">
            <v>10099.893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1797780.6730100028</v>
          </cell>
          <cell r="G48">
            <v>325817.6950000003</v>
          </cell>
          <cell r="H48">
            <v>14413.236999999732</v>
          </cell>
          <cell r="I48">
            <v>12064.564000000129</v>
          </cell>
          <cell r="J48">
            <v>-11001.563000000082</v>
          </cell>
          <cell r="K48">
            <v>171143.44299999997</v>
          </cell>
          <cell r="L48">
            <v>152630.68299999996</v>
          </cell>
          <cell r="M48">
            <v>-35826.477000000014</v>
          </cell>
          <cell r="N48">
            <v>191618.30000000005</v>
          </cell>
          <cell r="O48">
            <v>62961.584000000032</v>
          </cell>
          <cell r="P48">
            <v>135586.35200000007</v>
          </cell>
          <cell r="Q48">
            <v>40529.341999999946</v>
          </cell>
          <cell r="R48">
            <v>105951.11699999997</v>
          </cell>
          <cell r="S48">
            <v>115818.50099999993</v>
          </cell>
          <cell r="T48">
            <v>-26881.048999999999</v>
          </cell>
          <cell r="U48">
            <v>67807.008000000031</v>
          </cell>
          <cell r="V48">
            <v>177407.62599999993</v>
          </cell>
          <cell r="W48">
            <v>70357.741999999853</v>
          </cell>
          <cell r="X48">
            <v>0</v>
          </cell>
          <cell r="Y48">
            <v>0</v>
          </cell>
          <cell r="Z48">
            <v>1570398.1050000004</v>
          </cell>
          <cell r="AA48">
            <v>43794.785000000003</v>
          </cell>
          <cell r="AB48">
            <v>0</v>
          </cell>
          <cell r="AC48">
            <v>9077.1129999999994</v>
          </cell>
          <cell r="AD48">
            <v>19834.739999999998</v>
          </cell>
          <cell r="AH48">
            <v>72706.638000000006</v>
          </cell>
          <cell r="AI48">
            <v>1643104.7430000007</v>
          </cell>
          <cell r="AJ48">
            <v>3061.7649999999558</v>
          </cell>
          <cell r="AK48">
            <v>-23274.02999000001</v>
          </cell>
          <cell r="AL48">
            <v>-38352.322999999917</v>
          </cell>
          <cell r="AN48">
            <v>-58564.587989999913</v>
          </cell>
          <cell r="AO48">
            <v>149661.0429999996</v>
          </cell>
          <cell r="AP48">
            <v>0</v>
          </cell>
          <cell r="AS48">
            <v>149661.0429999996</v>
          </cell>
          <cell r="AT48">
            <v>4070.4430000000002</v>
          </cell>
          <cell r="AU48">
            <v>-2807.8359999999993</v>
          </cell>
          <cell r="AV48">
            <v>60637.017999999996</v>
          </cell>
          <cell r="BA48">
            <v>61899.625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1679.85</v>
          </cell>
        </row>
        <row r="49">
          <cell r="F49">
            <v>2133150.6690025036</v>
          </cell>
          <cell r="G49">
            <v>259970.79778036138</v>
          </cell>
          <cell r="H49">
            <v>187526.45460145004</v>
          </cell>
          <cell r="I49">
            <v>114892.54698576644</v>
          </cell>
          <cell r="J49">
            <v>77502.998851426877</v>
          </cell>
          <cell r="K49">
            <v>163518.14968799925</v>
          </cell>
          <cell r="L49">
            <v>161067.92497109526</v>
          </cell>
          <cell r="M49">
            <v>65265.565800281103</v>
          </cell>
          <cell r="N49">
            <v>161779.71996918708</v>
          </cell>
          <cell r="O49">
            <v>79716.168721313821</v>
          </cell>
          <cell r="P49">
            <v>94938.866821904376</v>
          </cell>
          <cell r="Q49">
            <v>84355.609232468327</v>
          </cell>
          <cell r="R49">
            <v>93615.07608546906</v>
          </cell>
          <cell r="S49">
            <v>149424.90448635066</v>
          </cell>
          <cell r="T49">
            <v>17814.19935236232</v>
          </cell>
          <cell r="U49">
            <v>34441.810436807951</v>
          </cell>
          <cell r="V49">
            <v>102461.73682366707</v>
          </cell>
          <cell r="W49">
            <v>49932.445206713157</v>
          </cell>
          <cell r="X49">
            <v>0</v>
          </cell>
          <cell r="Y49">
            <v>0</v>
          </cell>
          <cell r="Z49">
            <v>1898224.9758146245</v>
          </cell>
          <cell r="AA49">
            <v>0</v>
          </cell>
          <cell r="AB49">
            <v>175.684</v>
          </cell>
          <cell r="AC49">
            <v>0</v>
          </cell>
          <cell r="AD49">
            <v>0</v>
          </cell>
          <cell r="AH49">
            <v>175.684</v>
          </cell>
          <cell r="AI49">
            <v>1898400.6598146243</v>
          </cell>
          <cell r="AJ49">
            <v>25537.581454602103</v>
          </cell>
          <cell r="AK49">
            <v>6723.8472532772321</v>
          </cell>
          <cell r="AL49">
            <v>14413.70148</v>
          </cell>
          <cell r="AN49">
            <v>46675.130187879331</v>
          </cell>
          <cell r="AO49">
            <v>138799.33000000002</v>
          </cell>
          <cell r="AP49">
            <v>0</v>
          </cell>
          <cell r="AS49">
            <v>138799.33000000002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17689.939999999999</v>
          </cell>
          <cell r="BD49">
            <v>0</v>
          </cell>
          <cell r="BE49">
            <v>0</v>
          </cell>
          <cell r="BF49">
            <v>31585.608999999997</v>
          </cell>
          <cell r="BG49">
            <v>0</v>
          </cell>
          <cell r="BJ49">
            <v>49275.548999999999</v>
          </cell>
        </row>
        <row r="50">
          <cell r="F50">
            <v>-335369.9959925008</v>
          </cell>
          <cell r="G50">
            <v>65846.897219638922</v>
          </cell>
          <cell r="H50">
            <v>-173113.21760145031</v>
          </cell>
          <cell r="I50">
            <v>-102827.98298576631</v>
          </cell>
          <cell r="J50">
            <v>-88504.561851426959</v>
          </cell>
          <cell r="K50">
            <v>7625.2933120007219</v>
          </cell>
          <cell r="L50">
            <v>-8437.2419710952963</v>
          </cell>
          <cell r="M50">
            <v>-101092.04280028111</v>
          </cell>
          <cell r="N50">
            <v>29838.580030812969</v>
          </cell>
          <cell r="O50">
            <v>-16754.584721313789</v>
          </cell>
          <cell r="P50">
            <v>40647.485178095696</v>
          </cell>
          <cell r="Q50">
            <v>-43826.267232468381</v>
          </cell>
          <cell r="R50">
            <v>12336.04091453091</v>
          </cell>
          <cell r="S50">
            <v>-33606.403486350726</v>
          </cell>
          <cell r="T50">
            <v>-44695.248352362323</v>
          </cell>
          <cell r="U50">
            <v>33365.19756319208</v>
          </cell>
          <cell r="V50">
            <v>74945.889176332857</v>
          </cell>
          <cell r="W50">
            <v>20425.296793286696</v>
          </cell>
          <cell r="X50">
            <v>0</v>
          </cell>
          <cell r="Y50">
            <v>0</v>
          </cell>
          <cell r="Z50">
            <v>-327826.87081462401</v>
          </cell>
          <cell r="AA50">
            <v>43794.785000000003</v>
          </cell>
          <cell r="AB50">
            <v>-175.684</v>
          </cell>
          <cell r="AC50">
            <v>9077.1129999999994</v>
          </cell>
          <cell r="AD50">
            <v>19834.739999999998</v>
          </cell>
          <cell r="AH50">
            <v>72530.954000000012</v>
          </cell>
          <cell r="AI50">
            <v>-255295.91681462363</v>
          </cell>
          <cell r="AJ50">
            <v>-22475.816454602147</v>
          </cell>
          <cell r="AK50">
            <v>-29997.877243277242</v>
          </cell>
          <cell r="AL50">
            <v>-52766.02447999992</v>
          </cell>
          <cell r="AN50">
            <v>-105239.71817787924</v>
          </cell>
          <cell r="AO50">
            <v>10861.712999999581</v>
          </cell>
          <cell r="AP50">
            <v>0</v>
          </cell>
          <cell r="AS50">
            <v>10861.712999999581</v>
          </cell>
          <cell r="AT50">
            <v>4070.4430000000002</v>
          </cell>
          <cell r="AU50">
            <v>-2807.8359999999993</v>
          </cell>
          <cell r="AV50">
            <v>60637.017999999996</v>
          </cell>
          <cell r="BA50">
            <v>61899.625</v>
          </cell>
          <cell r="BB50">
            <v>0</v>
          </cell>
          <cell r="BC50">
            <v>-16010.089999999998</v>
          </cell>
          <cell r="BD50">
            <v>0</v>
          </cell>
          <cell r="BE50">
            <v>0</v>
          </cell>
          <cell r="BF50">
            <v>-31585.608999999997</v>
          </cell>
          <cell r="BG50">
            <v>0</v>
          </cell>
          <cell r="BJ50">
            <v>-47595.699000000001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J6" t="str">
            <v>기타 계</v>
          </cell>
        </row>
        <row r="7">
          <cell r="G7">
            <v>62102</v>
          </cell>
          <cell r="H7">
            <v>37389</v>
          </cell>
          <cell r="I7">
            <v>18888</v>
          </cell>
          <cell r="J7">
            <v>12789</v>
          </cell>
          <cell r="K7">
            <v>30628</v>
          </cell>
          <cell r="L7">
            <v>30296</v>
          </cell>
          <cell r="M7">
            <v>9797</v>
          </cell>
          <cell r="N7">
            <v>34533</v>
          </cell>
          <cell r="O7">
            <v>14014</v>
          </cell>
          <cell r="P7">
            <v>19934</v>
          </cell>
          <cell r="Q7">
            <v>18967</v>
          </cell>
          <cell r="R7">
            <v>18848</v>
          </cell>
          <cell r="S7">
            <v>34763</v>
          </cell>
          <cell r="T7">
            <v>3406</v>
          </cell>
          <cell r="U7">
            <v>6521.5</v>
          </cell>
          <cell r="V7">
            <v>25126.5</v>
          </cell>
          <cell r="W7">
            <v>10656.5</v>
          </cell>
          <cell r="Z7">
            <v>388658.5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388658.5</v>
          </cell>
          <cell r="AJ7">
            <v>45153</v>
          </cell>
          <cell r="AK7">
            <v>13950</v>
          </cell>
          <cell r="AL7">
            <v>47086</v>
          </cell>
          <cell r="AN7">
            <v>106189</v>
          </cell>
          <cell r="AO7">
            <v>18460.025000000001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57380378.073999994</v>
          </cell>
          <cell r="G8">
            <v>6088302.568</v>
          </cell>
          <cell r="H8">
            <v>3697373.7119999998</v>
          </cell>
          <cell r="I8">
            <v>1818623.6</v>
          </cell>
          <cell r="J8">
            <v>1231197.0019999999</v>
          </cell>
          <cell r="K8">
            <v>3240339.1</v>
          </cell>
          <cell r="L8">
            <v>2920609.4</v>
          </cell>
          <cell r="M8">
            <v>946109.9</v>
          </cell>
          <cell r="N8">
            <v>3573750.2</v>
          </cell>
          <cell r="O8">
            <v>1330984.3999999999</v>
          </cell>
          <cell r="P8">
            <v>2001324.7000000002</v>
          </cell>
          <cell r="Q8">
            <v>1814580.169</v>
          </cell>
          <cell r="R8">
            <v>2026097.9</v>
          </cell>
          <cell r="S8">
            <v>3502308.3370000003</v>
          </cell>
          <cell r="T8">
            <v>386849.9</v>
          </cell>
          <cell r="U8">
            <v>708432.027</v>
          </cell>
          <cell r="V8">
            <v>2419325.0559999999</v>
          </cell>
          <cell r="W8">
            <v>1290951.8319999999</v>
          </cell>
          <cell r="Z8">
            <v>38997159.802999996</v>
          </cell>
          <cell r="AA8">
            <v>100000</v>
          </cell>
          <cell r="AB8">
            <v>0</v>
          </cell>
          <cell r="AC8">
            <v>25000</v>
          </cell>
          <cell r="AD8">
            <v>56680</v>
          </cell>
          <cell r="AH8">
            <v>181680</v>
          </cell>
          <cell r="AI8">
            <v>39178839.802999996</v>
          </cell>
          <cell r="AJ8">
            <v>1251728.5</v>
          </cell>
          <cell r="AK8">
            <v>190502</v>
          </cell>
          <cell r="AL8">
            <v>852101</v>
          </cell>
          <cell r="AN8">
            <v>2294331.5</v>
          </cell>
          <cell r="AO8">
            <v>15757114.804000001</v>
          </cell>
          <cell r="AP8">
            <v>0</v>
          </cell>
          <cell r="AS8">
            <v>15757114.804000001</v>
          </cell>
          <cell r="AT8">
            <v>11025</v>
          </cell>
          <cell r="AU8">
            <v>11700</v>
          </cell>
          <cell r="AV8">
            <v>124007.26699999999</v>
          </cell>
          <cell r="BA8">
            <v>146732.26699999999</v>
          </cell>
          <cell r="BB8">
            <v>0</v>
          </cell>
          <cell r="BC8">
            <v>3359.7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3359.7</v>
          </cell>
        </row>
        <row r="9">
          <cell r="G9">
            <v>98037.14160574539</v>
          </cell>
          <cell r="H9">
            <v>98889.344780550426</v>
          </cell>
          <cell r="I9">
            <v>96284.603981363834</v>
          </cell>
          <cell r="J9">
            <v>96269.997810618486</v>
          </cell>
          <cell r="K9">
            <v>105796.62726916547</v>
          </cell>
          <cell r="L9">
            <v>96402.475574333235</v>
          </cell>
          <cell r="M9">
            <v>96571.389200775753</v>
          </cell>
          <cell r="N9">
            <v>103487.97382214114</v>
          </cell>
          <cell r="O9">
            <v>94975.338946767501</v>
          </cell>
          <cell r="P9">
            <v>100397.54690478579</v>
          </cell>
          <cell r="Q9">
            <v>95670.383771814202</v>
          </cell>
          <cell r="R9">
            <v>107496.70522071306</v>
          </cell>
          <cell r="S9">
            <v>100748.16146477578</v>
          </cell>
          <cell r="T9">
            <v>113578.94891368174</v>
          </cell>
          <cell r="U9">
            <v>108630.22724833245</v>
          </cell>
          <cell r="V9">
            <v>96285.796111674921</v>
          </cell>
          <cell r="W9">
            <v>121142.19790738047</v>
          </cell>
          <cell r="Z9">
            <v>100337.853933466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100805.30800947361</v>
          </cell>
          <cell r="AJ9">
            <v>27721.934312227317</v>
          </cell>
          <cell r="AK9">
            <v>13656.05734767025</v>
          </cell>
          <cell r="AL9">
            <v>18096.695408401647</v>
          </cell>
          <cell r="AO9">
            <v>853580.36102334643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54056844.407679997</v>
          </cell>
          <cell r="G10">
            <v>5544492.0508199995</v>
          </cell>
          <cell r="H10">
            <v>3671901.4638799997</v>
          </cell>
          <cell r="I10">
            <v>1819378.4167999998</v>
          </cell>
          <cell r="J10">
            <v>1277028.39084</v>
          </cell>
          <cell r="K10">
            <v>2815762.7590999999</v>
          </cell>
          <cell r="L10">
            <v>2626855.3397300001</v>
          </cell>
          <cell r="M10">
            <v>973920.03433000017</v>
          </cell>
          <cell r="N10">
            <v>3197000.2571900003</v>
          </cell>
          <cell r="O10">
            <v>1256306.2489700001</v>
          </cell>
          <cell r="P10">
            <v>1752602.5257899999</v>
          </cell>
          <cell r="Q10">
            <v>1688283.8216400002</v>
          </cell>
          <cell r="R10">
            <v>1805132.9233300001</v>
          </cell>
          <cell r="S10">
            <v>3300958.1149599999</v>
          </cell>
          <cell r="T10">
            <v>395083.21504000004</v>
          </cell>
          <cell r="U10">
            <v>596982.73930000002</v>
          </cell>
          <cell r="V10">
            <v>2064683.9946700002</v>
          </cell>
          <cell r="W10">
            <v>1109652.75719</v>
          </cell>
          <cell r="Z10">
            <v>35896025.053579994</v>
          </cell>
          <cell r="AA10">
            <v>1129.7640000000001</v>
          </cell>
          <cell r="AB10">
            <v>0</v>
          </cell>
          <cell r="AC10">
            <v>6874.4070000000002</v>
          </cell>
          <cell r="AD10">
            <v>17044.800000000003</v>
          </cell>
          <cell r="AH10">
            <v>25048.971000000005</v>
          </cell>
          <cell r="AI10">
            <v>35921074.024579994</v>
          </cell>
          <cell r="AJ10">
            <v>1130984.78306</v>
          </cell>
          <cell r="AK10">
            <v>270724.49875999999</v>
          </cell>
          <cell r="AL10">
            <v>969086.30327999988</v>
          </cell>
          <cell r="AN10">
            <v>2370795.5850999998</v>
          </cell>
          <cell r="AO10">
            <v>15461543.269000001</v>
          </cell>
          <cell r="AP10">
            <v>0</v>
          </cell>
          <cell r="AS10">
            <v>15461543.269000001</v>
          </cell>
          <cell r="AT10">
            <v>272.16899999999998</v>
          </cell>
          <cell r="AU10">
            <v>354.48</v>
          </cell>
          <cell r="AV10">
            <v>0</v>
          </cell>
          <cell r="BA10">
            <v>626.649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J10">
            <v>302804.88</v>
          </cell>
        </row>
        <row r="11">
          <cell r="G11">
            <v>89280.410466973684</v>
          </cell>
          <cell r="H11">
            <v>98208.068252159719</v>
          </cell>
          <cell r="I11">
            <v>96324.566751376522</v>
          </cell>
          <cell r="J11">
            <v>99853.654768942069</v>
          </cell>
          <cell r="K11">
            <v>91934.267960689569</v>
          </cell>
          <cell r="L11">
            <v>86706.342082453135</v>
          </cell>
          <cell r="M11">
            <v>99410.026980708397</v>
          </cell>
          <cell r="N11">
            <v>92578.12113601483</v>
          </cell>
          <cell r="O11">
            <v>89646.514126587703</v>
          </cell>
          <cell r="P11">
            <v>87920.26315792113</v>
          </cell>
          <cell r="Q11">
            <v>89011.6424126114</v>
          </cell>
          <cell r="R11">
            <v>95773.181416065374</v>
          </cell>
          <cell r="S11">
            <v>94956.077293674316</v>
          </cell>
          <cell r="T11">
            <v>115996.24634174987</v>
          </cell>
          <cell r="U11">
            <v>91540.709852027911</v>
          </cell>
          <cell r="V11">
            <v>82171.571634330292</v>
          </cell>
          <cell r="W11">
            <v>104129.19412471262</v>
          </cell>
          <cell r="Z11">
            <v>92358.780403824931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92423.230225454987</v>
          </cell>
          <cell r="AJ11">
            <v>25047.832548446393</v>
          </cell>
          <cell r="AK11">
            <v>19406.774104659497</v>
          </cell>
          <cell r="AL11">
            <v>20581.198302680201</v>
          </cell>
          <cell r="AO11">
            <v>837568.92360654974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3323533.6663199961</v>
          </cell>
          <cell r="G12">
            <v>543810.51718000043</v>
          </cell>
          <cell r="H12">
            <v>25472.24812000012</v>
          </cell>
          <cell r="I12">
            <v>-754.81679999968037</v>
          </cell>
          <cell r="J12">
            <v>-45831.388840000145</v>
          </cell>
          <cell r="K12">
            <v>424576.34090000018</v>
          </cell>
          <cell r="L12">
            <v>293754.06026999978</v>
          </cell>
          <cell r="M12">
            <v>-27810.134330000146</v>
          </cell>
          <cell r="N12">
            <v>376749.94280999992</v>
          </cell>
          <cell r="O12">
            <v>74678.151029999834</v>
          </cell>
          <cell r="P12">
            <v>248722.17421000032</v>
          </cell>
          <cell r="Q12">
            <v>126296.34735999978</v>
          </cell>
          <cell r="R12">
            <v>220964.97666999977</v>
          </cell>
          <cell r="S12">
            <v>201350.22204000037</v>
          </cell>
          <cell r="T12">
            <v>-8233.3150400000159</v>
          </cell>
          <cell r="U12">
            <v>111449.28769999999</v>
          </cell>
          <cell r="V12">
            <v>354641.06132999971</v>
          </cell>
          <cell r="W12">
            <v>181299.0748099999</v>
          </cell>
          <cell r="Z12">
            <v>3101134.7494200012</v>
          </cell>
          <cell r="AA12">
            <v>98870.236000000004</v>
          </cell>
          <cell r="AB12">
            <v>0</v>
          </cell>
          <cell r="AC12">
            <v>18125.593000000001</v>
          </cell>
          <cell r="AD12">
            <v>39635.199999999997</v>
          </cell>
          <cell r="AH12">
            <v>156631.02899999998</v>
          </cell>
          <cell r="AI12">
            <v>3257765.7784200013</v>
          </cell>
          <cell r="AJ12">
            <v>120743.71693999995</v>
          </cell>
          <cell r="AK12">
            <v>-80222.498759999988</v>
          </cell>
          <cell r="AL12">
            <v>-116985.30327999988</v>
          </cell>
          <cell r="AN12">
            <v>-76464.085099999793</v>
          </cell>
          <cell r="AO12">
            <v>295571.53500000015</v>
          </cell>
          <cell r="AP12">
            <v>0</v>
          </cell>
          <cell r="AS12">
            <v>295571.53500000015</v>
          </cell>
          <cell r="AT12">
            <v>10752.831</v>
          </cell>
          <cell r="AU12">
            <v>11345.52</v>
          </cell>
          <cell r="AV12">
            <v>124007.26699999999</v>
          </cell>
          <cell r="BA12">
            <v>146105.61799999999</v>
          </cell>
          <cell r="BB12">
            <v>0</v>
          </cell>
          <cell r="BC12">
            <v>3359.7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J12">
            <v>-299445.18</v>
          </cell>
        </row>
        <row r="13">
          <cell r="F13">
            <v>1819356.4299999997</v>
          </cell>
          <cell r="G13">
            <v>129918.541</v>
          </cell>
          <cell r="H13">
            <v>131021.62299999998</v>
          </cell>
          <cell r="I13">
            <v>107244.21300000002</v>
          </cell>
          <cell r="J13">
            <v>72212.035000000003</v>
          </cell>
          <cell r="K13">
            <v>102206.30499999999</v>
          </cell>
          <cell r="L13">
            <v>106735.93699999998</v>
          </cell>
          <cell r="M13">
            <v>80749.313999999998</v>
          </cell>
          <cell r="N13">
            <v>83429.801999999996</v>
          </cell>
          <cell r="O13">
            <v>66782.417000000001</v>
          </cell>
          <cell r="P13">
            <v>69179.262000000002</v>
          </cell>
          <cell r="Q13">
            <v>61061.661999999997</v>
          </cell>
          <cell r="R13">
            <v>55028.897000000004</v>
          </cell>
          <cell r="S13">
            <v>89534.206999999995</v>
          </cell>
          <cell r="T13">
            <v>20485.683000000001</v>
          </cell>
          <cell r="U13">
            <v>21277.105</v>
          </cell>
          <cell r="V13">
            <v>59798.914000000004</v>
          </cell>
          <cell r="W13">
            <v>32688.382000000001</v>
          </cell>
          <cell r="Z13">
            <v>1289354.2989999999</v>
          </cell>
          <cell r="AA13">
            <v>0</v>
          </cell>
          <cell r="AB13">
            <v>456.68799999999999</v>
          </cell>
          <cell r="AC13">
            <v>0</v>
          </cell>
          <cell r="AD13">
            <v>0</v>
          </cell>
          <cell r="AH13">
            <v>456.68799999999999</v>
          </cell>
          <cell r="AI13">
            <v>1289810.987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271423.886</v>
          </cell>
          <cell r="AP13">
            <v>0</v>
          </cell>
          <cell r="AS13">
            <v>271423.886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19734.656999999999</v>
          </cell>
          <cell r="BG13">
            <v>238386.9</v>
          </cell>
          <cell r="BJ13">
            <v>258121.557</v>
          </cell>
        </row>
        <row r="14">
          <cell r="F14">
            <v>1311474.1079999998</v>
          </cell>
          <cell r="G14">
            <v>86236.631999999998</v>
          </cell>
          <cell r="H14">
            <v>91729.237999999983</v>
          </cell>
          <cell r="I14">
            <v>70200.83600000001</v>
          </cell>
          <cell r="J14">
            <v>52501.03</v>
          </cell>
          <cell r="K14">
            <v>67845.533999999985</v>
          </cell>
          <cell r="L14">
            <v>71643.639999999985</v>
          </cell>
          <cell r="M14">
            <v>54115.42</v>
          </cell>
          <cell r="N14">
            <v>54996.895999999993</v>
          </cell>
          <cell r="O14">
            <v>46268.563999999998</v>
          </cell>
          <cell r="P14">
            <v>46488.83</v>
          </cell>
          <cell r="Q14">
            <v>42353.048000000003</v>
          </cell>
          <cell r="R14">
            <v>37344.738000000005</v>
          </cell>
          <cell r="S14">
            <v>64705.621999999996</v>
          </cell>
          <cell r="T14">
            <v>15031.394</v>
          </cell>
          <cell r="U14">
            <v>14798.972</v>
          </cell>
          <cell r="V14">
            <v>44929.086000000003</v>
          </cell>
          <cell r="W14">
            <v>21720.488000000001</v>
          </cell>
          <cell r="Z14">
            <v>882909.96799999988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882909.96799999988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190177.24</v>
          </cell>
          <cell r="AP14">
            <v>0</v>
          </cell>
          <cell r="AS14">
            <v>190177.24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J14">
            <v>238386.9</v>
          </cell>
        </row>
        <row r="15">
          <cell r="F15">
            <v>507882.32200000004</v>
          </cell>
          <cell r="G15">
            <v>43681.909</v>
          </cell>
          <cell r="H15">
            <v>39292.384999999995</v>
          </cell>
          <cell r="I15">
            <v>37043.377</v>
          </cell>
          <cell r="J15">
            <v>19711.005000000001</v>
          </cell>
          <cell r="K15">
            <v>34360.771000000008</v>
          </cell>
          <cell r="L15">
            <v>35092.296999999999</v>
          </cell>
          <cell r="M15">
            <v>26633.894</v>
          </cell>
          <cell r="N15">
            <v>28432.906000000003</v>
          </cell>
          <cell r="O15">
            <v>20513.853000000003</v>
          </cell>
          <cell r="P15">
            <v>22690.432000000001</v>
          </cell>
          <cell r="Q15">
            <v>18708.613999999998</v>
          </cell>
          <cell r="R15">
            <v>17684.159</v>
          </cell>
          <cell r="S15">
            <v>24828.584999999999</v>
          </cell>
          <cell r="T15">
            <v>5454.2890000000007</v>
          </cell>
          <cell r="U15">
            <v>6478.1330000000007</v>
          </cell>
          <cell r="V15">
            <v>14869.828</v>
          </cell>
          <cell r="W15">
            <v>10967.894</v>
          </cell>
          <cell r="Z15">
            <v>406444.33100000001</v>
          </cell>
          <cell r="AA15">
            <v>0</v>
          </cell>
          <cell r="AB15">
            <v>456.68799999999999</v>
          </cell>
          <cell r="AC15">
            <v>0</v>
          </cell>
          <cell r="AD15">
            <v>0</v>
          </cell>
          <cell r="AH15">
            <v>456.68799999999999</v>
          </cell>
          <cell r="AI15">
            <v>406901.01900000003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81246.645999999993</v>
          </cell>
          <cell r="AP15">
            <v>0</v>
          </cell>
          <cell r="AS15">
            <v>81246.645999999993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19734.656999999999</v>
          </cell>
          <cell r="BG15">
            <v>0</v>
          </cell>
          <cell r="BJ15">
            <v>19734.656999999999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1504177.2363199964</v>
          </cell>
          <cell r="G17">
            <v>413891.97618000046</v>
          </cell>
          <cell r="H17">
            <v>-105549.37487999986</v>
          </cell>
          <cell r="I17">
            <v>-107999.0297999997</v>
          </cell>
          <cell r="J17">
            <v>-118043.42384000015</v>
          </cell>
          <cell r="K17">
            <v>322370.03590000019</v>
          </cell>
          <cell r="L17">
            <v>187018.12326999981</v>
          </cell>
          <cell r="M17">
            <v>-108559.44833000014</v>
          </cell>
          <cell r="N17">
            <v>293320.1408099999</v>
          </cell>
          <cell r="O17">
            <v>7895.7340299998323</v>
          </cell>
          <cell r="P17">
            <v>179542.91221000033</v>
          </cell>
          <cell r="Q17">
            <v>65234.685359999785</v>
          </cell>
          <cell r="R17">
            <v>165936.07966999977</v>
          </cell>
          <cell r="S17">
            <v>111816.01504000038</v>
          </cell>
          <cell r="T17">
            <v>-28718.998040000017</v>
          </cell>
          <cell r="U17">
            <v>90172.18269999999</v>
          </cell>
          <cell r="V17">
            <v>294842.14732999972</v>
          </cell>
          <cell r="W17">
            <v>148610.69280999989</v>
          </cell>
          <cell r="Z17">
            <v>1811780.4504200013</v>
          </cell>
          <cell r="AA17">
            <v>98870.236000000004</v>
          </cell>
          <cell r="AB17">
            <v>-456.68799999999999</v>
          </cell>
          <cell r="AC17">
            <v>18125.593000000001</v>
          </cell>
          <cell r="AD17">
            <v>39635.199999999997</v>
          </cell>
          <cell r="AH17">
            <v>156174.34099999999</v>
          </cell>
          <cell r="AI17">
            <v>1967954.7914200013</v>
          </cell>
          <cell r="AJ17">
            <v>120743.71693999995</v>
          </cell>
          <cell r="AK17">
            <v>-80222.498759999988</v>
          </cell>
          <cell r="AL17">
            <v>-116985.30327999988</v>
          </cell>
          <cell r="AN17">
            <v>-76464.085099999793</v>
          </cell>
          <cell r="AO17">
            <v>24147.64900000015</v>
          </cell>
          <cell r="AP17">
            <v>0</v>
          </cell>
          <cell r="AS17">
            <v>24147.64900000015</v>
          </cell>
          <cell r="AT17">
            <v>10752.831</v>
          </cell>
          <cell r="AU17">
            <v>11345.52</v>
          </cell>
          <cell r="AV17">
            <v>124007.26699999999</v>
          </cell>
          <cell r="BA17">
            <v>146105.61799999999</v>
          </cell>
          <cell r="BB17">
            <v>0</v>
          </cell>
          <cell r="BC17">
            <v>3359.7</v>
          </cell>
          <cell r="BD17">
            <v>0</v>
          </cell>
          <cell r="BE17">
            <v>0</v>
          </cell>
          <cell r="BF17">
            <v>-19734.656999999999</v>
          </cell>
          <cell r="BG17">
            <v>-541191.78</v>
          </cell>
          <cell r="BJ17">
            <v>-557566.73699999996</v>
          </cell>
        </row>
        <row r="18">
          <cell r="F18">
            <v>1175024.3683200001</v>
          </cell>
          <cell r="G18">
            <v>60249.832180000005</v>
          </cell>
          <cell r="H18">
            <v>70980.727119999996</v>
          </cell>
          <cell r="I18">
            <v>41284.985200000003</v>
          </cell>
          <cell r="J18">
            <v>36162.352160000002</v>
          </cell>
          <cell r="K18">
            <v>162126.21890000001</v>
          </cell>
          <cell r="L18">
            <v>74356.596270000009</v>
          </cell>
          <cell r="M18">
            <v>29416.100670000003</v>
          </cell>
          <cell r="N18">
            <v>48100.253809999995</v>
          </cell>
          <cell r="O18">
            <v>25217.222029999997</v>
          </cell>
          <cell r="P18">
            <v>63583.572209999998</v>
          </cell>
          <cell r="Q18">
            <v>31684.95436</v>
          </cell>
          <cell r="R18">
            <v>30195.071669999998</v>
          </cell>
          <cell r="S18">
            <v>70900.263040000005</v>
          </cell>
          <cell r="T18">
            <v>11827.712960000001</v>
          </cell>
          <cell r="U18">
            <v>22248.077700000002</v>
          </cell>
          <cell r="V18">
            <v>41957.581330000001</v>
          </cell>
          <cell r="W18">
            <v>26378.039810000002</v>
          </cell>
          <cell r="Z18">
            <v>846669.56141999993</v>
          </cell>
          <cell r="AA18">
            <v>11338.111999999999</v>
          </cell>
          <cell r="AB18">
            <v>0</v>
          </cell>
          <cell r="AC18">
            <v>0</v>
          </cell>
          <cell r="AD18">
            <v>0</v>
          </cell>
          <cell r="AH18">
            <v>11338.111999999999</v>
          </cell>
          <cell r="AI18">
            <v>858007.67342000012</v>
          </cell>
          <cell r="AJ18">
            <v>65663.881939999992</v>
          </cell>
          <cell r="AK18">
            <v>29089.970229999999</v>
          </cell>
          <cell r="AL18">
            <v>110766.60973</v>
          </cell>
          <cell r="AN18">
            <v>205520.46189999999</v>
          </cell>
          <cell r="AO18">
            <v>11588.687</v>
          </cell>
          <cell r="AP18">
            <v>0</v>
          </cell>
          <cell r="AS18">
            <v>11588.687</v>
          </cell>
          <cell r="AT18">
            <v>2625.7840000000001</v>
          </cell>
          <cell r="AU18">
            <v>16979.216</v>
          </cell>
          <cell r="AV18">
            <v>0</v>
          </cell>
          <cell r="BA18">
            <v>19605</v>
          </cell>
          <cell r="BB18">
            <v>0</v>
          </cell>
          <cell r="BC18">
            <v>35379.881999999998</v>
          </cell>
          <cell r="BD18">
            <v>0</v>
          </cell>
          <cell r="BE18">
            <v>0</v>
          </cell>
          <cell r="BF18">
            <v>44922.663999999997</v>
          </cell>
          <cell r="BG18">
            <v>0</v>
          </cell>
          <cell r="BJ18">
            <v>80302.546000000002</v>
          </cell>
        </row>
        <row r="19">
          <cell r="F19">
            <v>1040631.1263200002</v>
          </cell>
          <cell r="G19">
            <v>56335.392180000003</v>
          </cell>
          <cell r="H19">
            <v>66349.662119999994</v>
          </cell>
          <cell r="I19">
            <v>37742.494200000001</v>
          </cell>
          <cell r="J19">
            <v>33778.37816</v>
          </cell>
          <cell r="K19">
            <v>158374.08990000002</v>
          </cell>
          <cell r="L19">
            <v>71227.795270000002</v>
          </cell>
          <cell r="M19">
            <v>27028.904670000004</v>
          </cell>
          <cell r="N19">
            <v>44973.646809999998</v>
          </cell>
          <cell r="O19">
            <v>23717.152029999997</v>
          </cell>
          <cell r="P19">
            <v>61146.04221</v>
          </cell>
          <cell r="Q19">
            <v>30024.754359999999</v>
          </cell>
          <cell r="R19">
            <v>28278.005669999999</v>
          </cell>
          <cell r="S19">
            <v>67723.86404</v>
          </cell>
          <cell r="T19">
            <v>11086.91396</v>
          </cell>
          <cell r="U19">
            <v>21362.3397</v>
          </cell>
          <cell r="V19">
            <v>40290.816330000001</v>
          </cell>
          <cell r="W19">
            <v>24727.300810000001</v>
          </cell>
          <cell r="Z19">
            <v>804167.5524200002</v>
          </cell>
          <cell r="AA19">
            <v>11338.111999999999</v>
          </cell>
          <cell r="AB19">
            <v>0</v>
          </cell>
          <cell r="AC19">
            <v>0</v>
          </cell>
          <cell r="AD19">
            <v>0</v>
          </cell>
          <cell r="AH19">
            <v>11338.111999999999</v>
          </cell>
          <cell r="AI19">
            <v>815505.66442000016</v>
          </cell>
          <cell r="AJ19">
            <v>65663.881939999992</v>
          </cell>
          <cell r="AK19">
            <v>29089.970229999999</v>
          </cell>
          <cell r="AL19">
            <v>110766.60973</v>
          </cell>
          <cell r="AN19">
            <v>205520.46189999999</v>
          </cell>
          <cell r="AO19">
            <v>0</v>
          </cell>
          <cell r="AP19">
            <v>0</v>
          </cell>
          <cell r="AS19">
            <v>0</v>
          </cell>
          <cell r="AT19">
            <v>2625.7840000000001</v>
          </cell>
          <cell r="AU19">
            <v>16979.216</v>
          </cell>
          <cell r="AV19">
            <v>0</v>
          </cell>
          <cell r="BA19">
            <v>19605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134393.242</v>
          </cell>
          <cell r="G20">
            <v>3914.44</v>
          </cell>
          <cell r="H20">
            <v>4631.0650000000005</v>
          </cell>
          <cell r="I20">
            <v>3542.491</v>
          </cell>
          <cell r="J20">
            <v>2383.9740000000002</v>
          </cell>
          <cell r="K20">
            <v>3752.1289999999999</v>
          </cell>
          <cell r="L20">
            <v>3128.8009999999999</v>
          </cell>
          <cell r="M20">
            <v>2387.1959999999999</v>
          </cell>
          <cell r="N20">
            <v>3126.607</v>
          </cell>
          <cell r="O20">
            <v>1500.07</v>
          </cell>
          <cell r="P20">
            <v>2437.5299999999997</v>
          </cell>
          <cell r="Q20">
            <v>1660.1999999999998</v>
          </cell>
          <cell r="R20">
            <v>1917.0659999999998</v>
          </cell>
          <cell r="S20">
            <v>3176.3990000000003</v>
          </cell>
          <cell r="T20">
            <v>740.79899999999998</v>
          </cell>
          <cell r="U20">
            <v>885.73800000000006</v>
          </cell>
          <cell r="V20">
            <v>1666.7649999999999</v>
          </cell>
          <cell r="W20">
            <v>1650.739</v>
          </cell>
          <cell r="Z20">
            <v>42502.008999999998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H20">
            <v>0</v>
          </cell>
          <cell r="AI20">
            <v>42502.008999999998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11588.687</v>
          </cell>
          <cell r="AP20">
            <v>0</v>
          </cell>
          <cell r="AS20">
            <v>11588.687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35379.881999999998</v>
          </cell>
          <cell r="BD20">
            <v>0</v>
          </cell>
          <cell r="BE20">
            <v>0</v>
          </cell>
          <cell r="BF20">
            <v>44922.663999999997</v>
          </cell>
          <cell r="BG20">
            <v>0</v>
          </cell>
          <cell r="BJ20">
            <v>80302.546000000002</v>
          </cell>
        </row>
        <row r="21">
          <cell r="F21">
            <v>329152.86799999629</v>
          </cell>
          <cell r="G21">
            <v>353642.14400000044</v>
          </cell>
          <cell r="H21">
            <v>-176530.10199999984</v>
          </cell>
          <cell r="I21">
            <v>-149284.01499999969</v>
          </cell>
          <cell r="J21">
            <v>-154205.77600000016</v>
          </cell>
          <cell r="K21">
            <v>160243.81700000018</v>
          </cell>
          <cell r="L21">
            <v>112661.5269999998</v>
          </cell>
          <cell r="M21">
            <v>-137975.54900000014</v>
          </cell>
          <cell r="N21">
            <v>245219.8869999999</v>
          </cell>
          <cell r="O21">
            <v>-17321.488000000165</v>
          </cell>
          <cell r="P21">
            <v>115959.34000000033</v>
          </cell>
          <cell r="Q21">
            <v>33549.730999999781</v>
          </cell>
          <cell r="R21">
            <v>135741.00799999977</v>
          </cell>
          <cell r="S21">
            <v>40915.752000000371</v>
          </cell>
          <cell r="T21">
            <v>-40546.711000000018</v>
          </cell>
          <cell r="U21">
            <v>67924.104999999981</v>
          </cell>
          <cell r="V21">
            <v>252884.5659999997</v>
          </cell>
          <cell r="W21">
            <v>122232.65299999989</v>
          </cell>
          <cell r="Z21">
            <v>965110.88900000136</v>
          </cell>
          <cell r="AA21">
            <v>87532.124000000011</v>
          </cell>
          <cell r="AB21">
            <v>-456.68799999999999</v>
          </cell>
          <cell r="AC21">
            <v>18125.593000000001</v>
          </cell>
          <cell r="AD21">
            <v>39635.199999999997</v>
          </cell>
          <cell r="AH21">
            <v>144836.22899999999</v>
          </cell>
          <cell r="AI21">
            <v>1109947.1180000012</v>
          </cell>
          <cell r="AJ21">
            <v>55079.834999999963</v>
          </cell>
          <cell r="AK21">
            <v>-109312.46898999999</v>
          </cell>
          <cell r="AL21">
            <v>-227751.91300999987</v>
          </cell>
          <cell r="AN21">
            <v>-281984.54699999979</v>
          </cell>
          <cell r="AO21">
            <v>12558.962000000151</v>
          </cell>
          <cell r="AP21">
            <v>0</v>
          </cell>
          <cell r="AS21">
            <v>12558.962000000151</v>
          </cell>
          <cell r="AT21">
            <v>8127.0470000000005</v>
          </cell>
          <cell r="AU21">
            <v>-5633.6959999999999</v>
          </cell>
          <cell r="AV21">
            <v>124007.26699999999</v>
          </cell>
          <cell r="BA21">
            <v>126500.61799999999</v>
          </cell>
          <cell r="BB21">
            <v>0</v>
          </cell>
          <cell r="BC21">
            <v>-32020.181999999997</v>
          </cell>
          <cell r="BD21">
            <v>0</v>
          </cell>
          <cell r="BE21">
            <v>0</v>
          </cell>
          <cell r="BF21">
            <v>-64657.320999999996</v>
          </cell>
          <cell r="BG21">
            <v>-541191.78</v>
          </cell>
          <cell r="BJ21">
            <v>-637869.28299999994</v>
          </cell>
        </row>
        <row r="22">
          <cell r="F22">
            <v>3228484.5399982752</v>
          </cell>
          <cell r="G22">
            <v>440804.20601500483</v>
          </cell>
          <cell r="H22">
            <v>266459.44886209536</v>
          </cell>
          <cell r="I22">
            <v>131455.16300891904</v>
          </cell>
          <cell r="J22">
            <v>88508.55726518431</v>
          </cell>
          <cell r="K22">
            <v>247713.68024759236</v>
          </cell>
          <cell r="L22">
            <v>220695.80562168354</v>
          </cell>
          <cell r="M22">
            <v>74492.868856103436</v>
          </cell>
          <cell r="N22">
            <v>275363.26668794395</v>
          </cell>
          <cell r="O22">
            <v>100068.47586187339</v>
          </cell>
          <cell r="P22">
            <v>153676.74139260961</v>
          </cell>
          <cell r="Q22">
            <v>142478.49175328517</v>
          </cell>
          <cell r="R22">
            <v>157181.05924024421</v>
          </cell>
          <cell r="S22">
            <v>258450.89159488003</v>
          </cell>
          <cell r="T22">
            <v>30302.56621307868</v>
          </cell>
          <cell r="U22">
            <v>50651.156460160957</v>
          </cell>
          <cell r="V22">
            <v>177773.97184550232</v>
          </cell>
          <cell r="W22">
            <v>98011.736021317483</v>
          </cell>
          <cell r="Z22">
            <v>2914088.0869474784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2914088.0869474784</v>
          </cell>
          <cell r="AJ22">
            <v>52490.280727474317</v>
          </cell>
          <cell r="AK22">
            <v>7265.853523322121</v>
          </cell>
          <cell r="AL22">
            <v>36488.909889999995</v>
          </cell>
          <cell r="AN22">
            <v>96245.044140796439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218151.40891</v>
          </cell>
          <cell r="BJ22">
            <v>218151.40891</v>
          </cell>
        </row>
        <row r="23">
          <cell r="F23">
            <v>463420.34399827535</v>
          </cell>
          <cell r="G23">
            <v>45697.947608964969</v>
          </cell>
          <cell r="H23">
            <v>27555.042400840139</v>
          </cell>
          <cell r="I23">
            <v>13615.87203141871</v>
          </cell>
          <cell r="J23">
            <v>9140.5358796857217</v>
          </cell>
          <cell r="K23">
            <v>37279.950275494892</v>
          </cell>
          <cell r="L23">
            <v>33138.661254364924</v>
          </cell>
          <cell r="M23">
            <v>11274.126428216314</v>
          </cell>
          <cell r="N23">
            <v>41504.215611609528</v>
          </cell>
          <cell r="O23">
            <v>15010.832723252177</v>
          </cell>
          <cell r="P23">
            <v>23147.662605117519</v>
          </cell>
          <cell r="Q23">
            <v>21552.237406131921</v>
          </cell>
          <cell r="R23">
            <v>23722.073409681205</v>
          </cell>
          <cell r="S23">
            <v>27064.211380808316</v>
          </cell>
          <cell r="T23">
            <v>3268.7854583038156</v>
          </cell>
          <cell r="U23">
            <v>5215.4197123992108</v>
          </cell>
          <cell r="V23">
            <v>18574.639553383255</v>
          </cell>
          <cell r="W23">
            <v>10413.086117806344</v>
          </cell>
          <cell r="Z23">
            <v>367175.29985747888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367175.29985747888</v>
          </cell>
          <cell r="AJ23">
            <v>52490.280727474317</v>
          </cell>
          <cell r="AK23">
            <v>7265.853523322121</v>
          </cell>
          <cell r="AL23">
            <v>36488.909889999995</v>
          </cell>
          <cell r="AN23">
            <v>96245.044140796439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1023776.6319999998</v>
          </cell>
          <cell r="G24">
            <v>159307.37318604058</v>
          </cell>
          <cell r="H24">
            <v>96528.897476356389</v>
          </cell>
          <cell r="I24">
            <v>47548.366253164102</v>
          </cell>
          <cell r="J24">
            <v>32104.705754447292</v>
          </cell>
          <cell r="K24">
            <v>84818.220182401157</v>
          </cell>
          <cell r="L24">
            <v>76008.127843870141</v>
          </cell>
          <cell r="M24">
            <v>25135.890551931268</v>
          </cell>
          <cell r="N24">
            <v>93915.523763339108</v>
          </cell>
          <cell r="O24">
            <v>34551.678444846126</v>
          </cell>
          <cell r="P24">
            <v>52502.845728515429</v>
          </cell>
          <cell r="Q24">
            <v>48141.590745299356</v>
          </cell>
          <cell r="R24">
            <v>53427.018445777168</v>
          </cell>
          <cell r="S24">
            <v>92497.783933365383</v>
          </cell>
          <cell r="T24">
            <v>10524.912983780821</v>
          </cell>
          <cell r="U24">
            <v>18424.514485403819</v>
          </cell>
          <cell r="V24">
            <v>63762.481113651622</v>
          </cell>
          <cell r="W24">
            <v>34576.70110781012</v>
          </cell>
          <cell r="Z24">
            <v>1023776.6319999998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1023776.6319999998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1741287.564</v>
          </cell>
          <cell r="G25">
            <v>235798.8852199993</v>
          </cell>
          <cell r="H25">
            <v>142375.50898489886</v>
          </cell>
          <cell r="I25">
            <v>70290.924724336233</v>
          </cell>
          <cell r="J25">
            <v>47263.3156310513</v>
          </cell>
          <cell r="K25">
            <v>125615.50978969631</v>
          </cell>
          <cell r="L25">
            <v>111549.01652344846</v>
          </cell>
          <cell r="M25">
            <v>38082.85187595585</v>
          </cell>
          <cell r="N25">
            <v>139943.52731299534</v>
          </cell>
          <cell r="O25">
            <v>50505.964693775088</v>
          </cell>
          <cell r="P25">
            <v>78026.23305897665</v>
          </cell>
          <cell r="Q25">
            <v>72784.663601853899</v>
          </cell>
          <cell r="R25">
            <v>80031.96738478585</v>
          </cell>
          <cell r="S25">
            <v>138888.89628070634</v>
          </cell>
          <cell r="T25">
            <v>16508.867770994046</v>
          </cell>
          <cell r="U25">
            <v>27011.222262357929</v>
          </cell>
          <cell r="V25">
            <v>95436.851178467448</v>
          </cell>
          <cell r="W25">
            <v>53021.948795701028</v>
          </cell>
          <cell r="Z25">
            <v>1523136.15509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1523136.15509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218151.40891</v>
          </cell>
          <cell r="BJ25">
            <v>218151.40891</v>
          </cell>
        </row>
        <row r="26">
          <cell r="F26">
            <v>-2899331.6719982792</v>
          </cell>
          <cell r="G26">
            <v>-87162.062015004398</v>
          </cell>
          <cell r="H26">
            <v>-442989.5508620952</v>
          </cell>
          <cell r="I26">
            <v>-280739.17800891877</v>
          </cell>
          <cell r="J26">
            <v>-242714.33326518448</v>
          </cell>
          <cell r="K26">
            <v>-87469.863247592177</v>
          </cell>
          <cell r="L26">
            <v>-108034.27862168374</v>
          </cell>
          <cell r="M26">
            <v>-212468.41785610357</v>
          </cell>
          <cell r="N26">
            <v>-30143.379687944049</v>
          </cell>
          <cell r="O26">
            <v>-117389.96386187355</v>
          </cell>
          <cell r="P26">
            <v>-37717.401392609274</v>
          </cell>
          <cell r="Q26">
            <v>-108928.76075328539</v>
          </cell>
          <cell r="R26">
            <v>-21440.051240244444</v>
          </cell>
          <cell r="S26">
            <v>-217535.13959487964</v>
          </cell>
          <cell r="T26">
            <v>-70849.277213078691</v>
          </cell>
          <cell r="U26">
            <v>17272.948539839024</v>
          </cell>
          <cell r="V26">
            <v>75110.594154497376</v>
          </cell>
          <cell r="W26">
            <v>24220.916978682406</v>
          </cell>
          <cell r="Z26">
            <v>-1948977.197947477</v>
          </cell>
          <cell r="AA26">
            <v>87532.124000000011</v>
          </cell>
          <cell r="AB26">
            <v>-456.68799999999999</v>
          </cell>
          <cell r="AC26">
            <v>18125.593000000001</v>
          </cell>
          <cell r="AD26">
            <v>39635.199999999997</v>
          </cell>
          <cell r="AH26">
            <v>144836.22899999999</v>
          </cell>
          <cell r="AI26">
            <v>-1804140.9689474772</v>
          </cell>
          <cell r="AJ26">
            <v>2589.5542725256455</v>
          </cell>
          <cell r="AK26">
            <v>-116578.32251332211</v>
          </cell>
          <cell r="AL26">
            <v>-264240.82289999985</v>
          </cell>
          <cell r="AN26">
            <v>-378229.5911407962</v>
          </cell>
          <cell r="AO26">
            <v>12558.962000000151</v>
          </cell>
          <cell r="AP26">
            <v>0</v>
          </cell>
          <cell r="AS26">
            <v>12558.962000000151</v>
          </cell>
          <cell r="AT26">
            <v>8127.0470000000005</v>
          </cell>
          <cell r="AU26">
            <v>-5633.6959999999999</v>
          </cell>
          <cell r="AV26">
            <v>124007.26699999999</v>
          </cell>
          <cell r="BA26">
            <v>126500.61799999999</v>
          </cell>
          <cell r="BB26">
            <v>0</v>
          </cell>
          <cell r="BC26">
            <v>-32020.181999999997</v>
          </cell>
          <cell r="BD26">
            <v>0</v>
          </cell>
          <cell r="BE26">
            <v>0</v>
          </cell>
          <cell r="BF26">
            <v>-64657.320999999996</v>
          </cell>
          <cell r="BG26">
            <v>-759343.18891000003</v>
          </cell>
          <cell r="BJ26">
            <v>-856020.69190999994</v>
          </cell>
        </row>
        <row r="27">
          <cell r="F27">
            <v>-2899331.6719982764</v>
          </cell>
          <cell r="G27">
            <v>-87162.062015003918</v>
          </cell>
          <cell r="H27">
            <v>-442989.55086209549</v>
          </cell>
          <cell r="I27">
            <v>-280739.17800891883</v>
          </cell>
          <cell r="J27">
            <v>-242714.33326518445</v>
          </cell>
          <cell r="K27">
            <v>-87469.863247592177</v>
          </cell>
          <cell r="L27">
            <v>-108034.27862168378</v>
          </cell>
          <cell r="M27">
            <v>-212468.41785610351</v>
          </cell>
          <cell r="N27">
            <v>-30143.37968794406</v>
          </cell>
          <cell r="O27">
            <v>-117389.96386187332</v>
          </cell>
          <cell r="P27">
            <v>-37717.401392609529</v>
          </cell>
          <cell r="Q27">
            <v>-108928.76075328529</v>
          </cell>
          <cell r="R27">
            <v>-21440.051240244207</v>
          </cell>
          <cell r="S27">
            <v>-217535.13959488011</v>
          </cell>
          <cell r="T27">
            <v>-70849.277213078705</v>
          </cell>
          <cell r="U27">
            <v>17272.948539839075</v>
          </cell>
          <cell r="V27">
            <v>75110.594154497405</v>
          </cell>
          <cell r="W27">
            <v>24220.916978682399</v>
          </cell>
          <cell r="Z27">
            <v>-1948977.1979474786</v>
          </cell>
          <cell r="AA27">
            <v>87532.124000000011</v>
          </cell>
          <cell r="AB27">
            <v>-456.68799999999999</v>
          </cell>
          <cell r="AC27">
            <v>18125.593000000001</v>
          </cell>
          <cell r="AD27">
            <v>39635.199999999997</v>
          </cell>
          <cell r="AH27">
            <v>144836.22899999999</v>
          </cell>
          <cell r="AI27">
            <v>-1804140.9689474786</v>
          </cell>
          <cell r="AJ27">
            <v>2589.5542725256419</v>
          </cell>
          <cell r="AK27">
            <v>-116578.32251332214</v>
          </cell>
          <cell r="AL27">
            <v>-264240.82289999991</v>
          </cell>
          <cell r="AN27">
            <v>-378229.59114079643</v>
          </cell>
          <cell r="AO27">
            <v>12558.961999999234</v>
          </cell>
          <cell r="AP27">
            <v>0</v>
          </cell>
          <cell r="AS27">
            <v>12558.961999999234</v>
          </cell>
          <cell r="AT27">
            <v>8127.0470000000005</v>
          </cell>
          <cell r="AU27">
            <v>-5633.6960000000008</v>
          </cell>
          <cell r="AV27">
            <v>124007.26699999999</v>
          </cell>
          <cell r="BA27">
            <v>126500.61799999999</v>
          </cell>
          <cell r="BB27">
            <v>0</v>
          </cell>
          <cell r="BC27">
            <v>-32020.181999999997</v>
          </cell>
          <cell r="BD27">
            <v>0</v>
          </cell>
          <cell r="BE27">
            <v>0</v>
          </cell>
          <cell r="BF27">
            <v>-64657.320999999996</v>
          </cell>
          <cell r="BG27">
            <v>-759343.18891000003</v>
          </cell>
          <cell r="BJ27">
            <v>-856020.69191000005</v>
          </cell>
        </row>
        <row r="28">
          <cell r="F28">
            <v>0</v>
          </cell>
          <cell r="G28">
            <v>-4.8021320253610611E-10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-2.3283064365386963E-10</v>
          </cell>
          <cell r="P28">
            <v>2.5465851649641991E-10</v>
          </cell>
          <cell r="Q28">
            <v>0</v>
          </cell>
          <cell r="R28">
            <v>-2.3646862246096134E-10</v>
          </cell>
          <cell r="S28">
            <v>4.6566128730773926E-10</v>
          </cell>
          <cell r="T28">
            <v>0</v>
          </cell>
          <cell r="U28">
            <v>-5.0931703299283981E-11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0</v>
          </cell>
          <cell r="AJ28">
            <v>3.637978807091713E-12</v>
          </cell>
          <cell r="AK28">
            <v>0</v>
          </cell>
          <cell r="AL28">
            <v>0</v>
          </cell>
          <cell r="AN28">
            <v>0</v>
          </cell>
          <cell r="AO28">
            <v>9.1677065938711166E-10</v>
          </cell>
          <cell r="AP28">
            <v>0</v>
          </cell>
          <cell r="AS28">
            <v>9.1677065938711166E-10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62102</v>
          </cell>
          <cell r="H31">
            <v>37389</v>
          </cell>
          <cell r="I31">
            <v>18888</v>
          </cell>
          <cell r="J31">
            <v>12789</v>
          </cell>
          <cell r="K31">
            <v>30628</v>
          </cell>
          <cell r="L31">
            <v>30296</v>
          </cell>
          <cell r="M31">
            <v>9797</v>
          </cell>
          <cell r="N31">
            <v>34533</v>
          </cell>
          <cell r="O31">
            <v>14014</v>
          </cell>
          <cell r="P31">
            <v>19934</v>
          </cell>
          <cell r="Q31">
            <v>18967</v>
          </cell>
          <cell r="R31">
            <v>18848</v>
          </cell>
          <cell r="S31">
            <v>34763</v>
          </cell>
          <cell r="T31">
            <v>3406</v>
          </cell>
          <cell r="U31">
            <v>6521.5</v>
          </cell>
          <cell r="V31">
            <v>25126.5</v>
          </cell>
          <cell r="W31">
            <v>10656.5</v>
          </cell>
          <cell r="X31">
            <v>0</v>
          </cell>
          <cell r="Y31">
            <v>0</v>
          </cell>
          <cell r="Z31">
            <v>388658.5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388658.5</v>
          </cell>
          <cell r="AJ31">
            <v>45153</v>
          </cell>
          <cell r="AK31">
            <v>13950</v>
          </cell>
          <cell r="AL31">
            <v>47086</v>
          </cell>
          <cell r="AN31">
            <v>106189</v>
          </cell>
          <cell r="AO31">
            <v>18460.025000000001</v>
          </cell>
          <cell r="AP31">
            <v>0</v>
          </cell>
          <cell r="AS31">
            <v>18460.025000000001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57380378.073999994</v>
          </cell>
          <cell r="G32">
            <v>6088302.568</v>
          </cell>
          <cell r="H32">
            <v>3697373.7119999998</v>
          </cell>
          <cell r="I32">
            <v>1818623.6</v>
          </cell>
          <cell r="J32">
            <v>1231197.0019999999</v>
          </cell>
          <cell r="K32">
            <v>3240339.1</v>
          </cell>
          <cell r="L32">
            <v>2920609.4</v>
          </cell>
          <cell r="M32">
            <v>946109.9</v>
          </cell>
          <cell r="N32">
            <v>3573750.2</v>
          </cell>
          <cell r="O32">
            <v>1330984.3999999999</v>
          </cell>
          <cell r="P32">
            <v>2001324.7000000002</v>
          </cell>
          <cell r="Q32">
            <v>1814580.169</v>
          </cell>
          <cell r="R32">
            <v>2026097.9</v>
          </cell>
          <cell r="S32">
            <v>3502308.3370000003</v>
          </cell>
          <cell r="T32">
            <v>386849.9</v>
          </cell>
          <cell r="U32">
            <v>708432.027</v>
          </cell>
          <cell r="V32">
            <v>2419325.0559999999</v>
          </cell>
          <cell r="W32">
            <v>1290951.8319999999</v>
          </cell>
          <cell r="X32">
            <v>0</v>
          </cell>
          <cell r="Y32">
            <v>0</v>
          </cell>
          <cell r="Z32">
            <v>38997159.802999996</v>
          </cell>
          <cell r="AA32">
            <v>100000</v>
          </cell>
          <cell r="AB32">
            <v>0</v>
          </cell>
          <cell r="AC32">
            <v>25000</v>
          </cell>
          <cell r="AD32">
            <v>56680</v>
          </cell>
          <cell r="AH32">
            <v>181680</v>
          </cell>
          <cell r="AI32">
            <v>39178839.802999996</v>
          </cell>
          <cell r="AJ32">
            <v>1251728.5</v>
          </cell>
          <cell r="AK32">
            <v>190502</v>
          </cell>
          <cell r="AL32">
            <v>852101</v>
          </cell>
          <cell r="AN32">
            <v>2294331.5</v>
          </cell>
          <cell r="AO32">
            <v>15757114.804000001</v>
          </cell>
          <cell r="AP32">
            <v>0</v>
          </cell>
          <cell r="AS32">
            <v>15757114.804000001</v>
          </cell>
          <cell r="AT32">
            <v>11025</v>
          </cell>
          <cell r="AU32">
            <v>11700</v>
          </cell>
          <cell r="AV32">
            <v>124007.26699999999</v>
          </cell>
          <cell r="BA32">
            <v>146732.26699999999</v>
          </cell>
          <cell r="BB32">
            <v>0</v>
          </cell>
          <cell r="BC32">
            <v>3359.7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3359.7</v>
          </cell>
        </row>
        <row r="33">
          <cell r="F33">
            <v>55097475.533999994</v>
          </cell>
          <cell r="G33">
            <v>5600827.443</v>
          </cell>
          <cell r="H33">
            <v>3738251.1259999997</v>
          </cell>
          <cell r="I33">
            <v>1857120.9109999998</v>
          </cell>
          <cell r="J33">
            <v>1310806.7690000001</v>
          </cell>
          <cell r="K33">
            <v>2974136.8489999999</v>
          </cell>
          <cell r="L33">
            <v>2698083.1350000002</v>
          </cell>
          <cell r="M33">
            <v>1000948.9390000001</v>
          </cell>
          <cell r="N33">
            <v>3241973.9040000001</v>
          </cell>
          <cell r="O33">
            <v>1280023.4010000001</v>
          </cell>
          <cell r="P33">
            <v>1813748.568</v>
          </cell>
          <cell r="Q33">
            <v>1718308.5760000001</v>
          </cell>
          <cell r="R33">
            <v>1833410.9290000002</v>
          </cell>
          <cell r="S33">
            <v>3368681.9789999998</v>
          </cell>
          <cell r="T33">
            <v>406170.12900000002</v>
          </cell>
          <cell r="U33">
            <v>618345.07900000003</v>
          </cell>
          <cell r="V33">
            <v>2104974.8110000002</v>
          </cell>
          <cell r="W33">
            <v>1134380.058</v>
          </cell>
          <cell r="X33">
            <v>0</v>
          </cell>
          <cell r="Y33">
            <v>0</v>
          </cell>
          <cell r="Z33">
            <v>36700192.605999999</v>
          </cell>
          <cell r="AA33">
            <v>12467.876</v>
          </cell>
          <cell r="AB33">
            <v>0</v>
          </cell>
          <cell r="AC33">
            <v>6874.4070000000002</v>
          </cell>
          <cell r="AD33">
            <v>17044.800000000003</v>
          </cell>
          <cell r="AH33">
            <v>36387.082999999999</v>
          </cell>
          <cell r="AI33">
            <v>36736579.688999996</v>
          </cell>
          <cell r="AJ33">
            <v>1196648.665</v>
          </cell>
          <cell r="AK33">
            <v>299814.46898999996</v>
          </cell>
          <cell r="AL33">
            <v>1079852.9130099998</v>
          </cell>
          <cell r="AN33">
            <v>2576316.0469999998</v>
          </cell>
          <cell r="AO33">
            <v>15461543.269000001</v>
          </cell>
          <cell r="AP33">
            <v>0</v>
          </cell>
          <cell r="AS33">
            <v>15461543.269000001</v>
          </cell>
          <cell r="AT33">
            <v>2897.953</v>
          </cell>
          <cell r="AU33">
            <v>17333.696</v>
          </cell>
          <cell r="AV33">
            <v>0</v>
          </cell>
          <cell r="BA33">
            <v>20231.649000000001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J33">
            <v>302804.88</v>
          </cell>
        </row>
        <row r="34">
          <cell r="F34">
            <v>2282902.5399999991</v>
          </cell>
          <cell r="G34">
            <v>487475.125</v>
          </cell>
          <cell r="H34">
            <v>-40877.413999999873</v>
          </cell>
          <cell r="I34">
            <v>-38497.310999999754</v>
          </cell>
          <cell r="J34">
            <v>-79609.767000000225</v>
          </cell>
          <cell r="K34">
            <v>266202.25100000016</v>
          </cell>
          <cell r="L34">
            <v>222526.26499999966</v>
          </cell>
          <cell r="M34">
            <v>-54839.039000000106</v>
          </cell>
          <cell r="N34">
            <v>331776.29600000009</v>
          </cell>
          <cell r="O34">
            <v>50960.998999999836</v>
          </cell>
          <cell r="P34">
            <v>187576.13200000022</v>
          </cell>
          <cell r="Q34">
            <v>96271.592999999877</v>
          </cell>
          <cell r="R34">
            <v>192686.97099999967</v>
          </cell>
          <cell r="S34">
            <v>133626.35800000047</v>
          </cell>
          <cell r="T34">
            <v>-19320.228999999992</v>
          </cell>
          <cell r="U34">
            <v>90086.947999999975</v>
          </cell>
          <cell r="V34">
            <v>314350.24499999965</v>
          </cell>
          <cell r="W34">
            <v>156571.77399999998</v>
          </cell>
          <cell r="X34">
            <v>0</v>
          </cell>
          <cell r="Y34">
            <v>0</v>
          </cell>
          <cell r="Z34">
            <v>2296967.1969999969</v>
          </cell>
          <cell r="AA34">
            <v>87532.123999999996</v>
          </cell>
          <cell r="AB34">
            <v>0</v>
          </cell>
          <cell r="AC34">
            <v>18125.593000000001</v>
          </cell>
          <cell r="AD34">
            <v>39635.199999999997</v>
          </cell>
          <cell r="AH34">
            <v>145292.91700000002</v>
          </cell>
          <cell r="AI34">
            <v>2442260.1140000001</v>
          </cell>
          <cell r="AJ34">
            <v>55079.834999999963</v>
          </cell>
          <cell r="AK34">
            <v>-109312.46898999996</v>
          </cell>
          <cell r="AL34">
            <v>-227751.91300999979</v>
          </cell>
          <cell r="AN34">
            <v>-281984.54699999979</v>
          </cell>
          <cell r="AO34">
            <v>295571.53500000015</v>
          </cell>
          <cell r="AP34">
            <v>0</v>
          </cell>
          <cell r="AS34">
            <v>295571.53500000015</v>
          </cell>
          <cell r="AT34">
            <v>8127.0470000000005</v>
          </cell>
          <cell r="AU34">
            <v>-5633.6959999999999</v>
          </cell>
          <cell r="AV34">
            <v>124007.26699999999</v>
          </cell>
          <cell r="BA34">
            <v>126500.61799999999</v>
          </cell>
          <cell r="BB34">
            <v>0</v>
          </cell>
          <cell r="BC34">
            <v>3359.7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J34">
            <v>-299445.18</v>
          </cell>
        </row>
        <row r="35">
          <cell r="F35">
            <v>5182234.2119982745</v>
          </cell>
          <cell r="G35">
            <v>574637.18701500481</v>
          </cell>
          <cell r="H35">
            <v>402112.13686209533</v>
          </cell>
          <cell r="I35">
            <v>242241.86700891907</v>
          </cell>
          <cell r="J35">
            <v>163104.56626518432</v>
          </cell>
          <cell r="K35">
            <v>353672.11424759234</v>
          </cell>
          <cell r="L35">
            <v>330560.54362168349</v>
          </cell>
          <cell r="M35">
            <v>157629.37885610343</v>
          </cell>
          <cell r="N35">
            <v>361919.67568794399</v>
          </cell>
          <cell r="O35">
            <v>168350.96286187338</v>
          </cell>
          <cell r="P35">
            <v>225293.53339260959</v>
          </cell>
          <cell r="Q35">
            <v>205200.35375328519</v>
          </cell>
          <cell r="R35">
            <v>214127.0222402442</v>
          </cell>
          <cell r="S35">
            <v>351161.49759488</v>
          </cell>
          <cell r="T35">
            <v>51529.048213078684</v>
          </cell>
          <cell r="U35">
            <v>72813.999460160951</v>
          </cell>
          <cell r="V35">
            <v>239239.65084550233</v>
          </cell>
          <cell r="W35">
            <v>132350.85702131747</v>
          </cell>
          <cell r="X35">
            <v>0</v>
          </cell>
          <cell r="Y35">
            <v>0</v>
          </cell>
          <cell r="Z35">
            <v>4245944.3949474785</v>
          </cell>
          <cell r="AA35">
            <v>0</v>
          </cell>
          <cell r="AB35">
            <v>456.68799999999999</v>
          </cell>
          <cell r="AC35">
            <v>0</v>
          </cell>
          <cell r="AD35">
            <v>0</v>
          </cell>
          <cell r="AH35">
            <v>456.68799999999999</v>
          </cell>
          <cell r="AI35">
            <v>4246401.0829474786</v>
          </cell>
          <cell r="AJ35">
            <v>52490.280727474317</v>
          </cell>
          <cell r="AK35">
            <v>7265.853523322121</v>
          </cell>
          <cell r="AL35">
            <v>36488.909889999995</v>
          </cell>
          <cell r="AN35">
            <v>96245.044140796439</v>
          </cell>
          <cell r="AO35">
            <v>283012.57299999997</v>
          </cell>
          <cell r="AP35">
            <v>0</v>
          </cell>
          <cell r="AS35">
            <v>283012.57299999997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35379.881999999998</v>
          </cell>
          <cell r="BD35">
            <v>0</v>
          </cell>
          <cell r="BE35">
            <v>0</v>
          </cell>
          <cell r="BF35">
            <v>64657.320999999996</v>
          </cell>
          <cell r="BG35">
            <v>456538.30891000002</v>
          </cell>
          <cell r="BJ35">
            <v>556575.51191</v>
          </cell>
        </row>
        <row r="36">
          <cell r="F36">
            <v>-2899331.6719982754</v>
          </cell>
          <cell r="G36">
            <v>-87162.062015004805</v>
          </cell>
          <cell r="H36">
            <v>-442989.5508620952</v>
          </cell>
          <cell r="I36">
            <v>-280739.17800891883</v>
          </cell>
          <cell r="J36">
            <v>-242714.33326518454</v>
          </cell>
          <cell r="K36">
            <v>-87469.863247592177</v>
          </cell>
          <cell r="L36">
            <v>-108034.27862168383</v>
          </cell>
          <cell r="M36">
            <v>-212468.41785610354</v>
          </cell>
          <cell r="N36">
            <v>-30143.379687943903</v>
          </cell>
          <cell r="O36">
            <v>-117389.96386187355</v>
          </cell>
          <cell r="P36">
            <v>-37717.401392609376</v>
          </cell>
          <cell r="Q36">
            <v>-108928.76075328531</v>
          </cell>
          <cell r="R36">
            <v>-21440.051240244531</v>
          </cell>
          <cell r="S36">
            <v>-217535.13959487953</v>
          </cell>
          <cell r="T36">
            <v>-70849.277213078676</v>
          </cell>
          <cell r="U36">
            <v>17272.948539839024</v>
          </cell>
          <cell r="V36">
            <v>75110.594154497318</v>
          </cell>
          <cell r="W36">
            <v>24220.916978682508</v>
          </cell>
          <cell r="X36">
            <v>0</v>
          </cell>
          <cell r="Y36">
            <v>0</v>
          </cell>
          <cell r="Z36">
            <v>-1948977.1979474816</v>
          </cell>
          <cell r="AA36">
            <v>87532.123999999996</v>
          </cell>
          <cell r="AB36">
            <v>-456.68799999999999</v>
          </cell>
          <cell r="AC36">
            <v>18125.593000000001</v>
          </cell>
          <cell r="AD36">
            <v>39635.199999999997</v>
          </cell>
          <cell r="AH36">
            <v>144836.22900000002</v>
          </cell>
          <cell r="AI36">
            <v>-1804140.9689474786</v>
          </cell>
          <cell r="AJ36">
            <v>2589.5542725256455</v>
          </cell>
          <cell r="AK36">
            <v>-116578.32251332208</v>
          </cell>
          <cell r="AL36">
            <v>-264240.8228999998</v>
          </cell>
          <cell r="AN36">
            <v>-378229.5911407962</v>
          </cell>
          <cell r="AO36">
            <v>12558.962000000174</v>
          </cell>
          <cell r="AP36">
            <v>0</v>
          </cell>
          <cell r="AS36">
            <v>12558.962000000174</v>
          </cell>
          <cell r="AT36">
            <v>8127.0470000000005</v>
          </cell>
          <cell r="AU36">
            <v>-5633.6959999999999</v>
          </cell>
          <cell r="AV36">
            <v>124007.26699999999</v>
          </cell>
          <cell r="BA36">
            <v>126500.61799999999</v>
          </cell>
          <cell r="BB36">
            <v>0</v>
          </cell>
          <cell r="BC36">
            <v>-32020.181999999997</v>
          </cell>
          <cell r="BD36">
            <v>0</v>
          </cell>
          <cell r="BE36">
            <v>0</v>
          </cell>
          <cell r="BF36">
            <v>-64657.320999999996</v>
          </cell>
          <cell r="BG36">
            <v>-759343.18891000003</v>
          </cell>
          <cell r="BJ36">
            <v>-856020.69191000005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N38">
            <v>-30260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-647732</v>
          </cell>
          <cell r="Z39">
            <v>0</v>
          </cell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N39">
            <v>-647732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-647732</v>
          </cell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Z40">
            <v>78201.733999999997</v>
          </cell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N40">
            <v>-725933.73399999994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N41">
            <v>78201.733999999939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N43">
            <v>78201.733999999939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62102</v>
          </cell>
          <cell r="H45">
            <v>37389</v>
          </cell>
          <cell r="I45">
            <v>18888</v>
          </cell>
          <cell r="J45">
            <v>12789</v>
          </cell>
          <cell r="K45">
            <v>30628</v>
          </cell>
          <cell r="L45">
            <v>30296</v>
          </cell>
          <cell r="M45">
            <v>9797</v>
          </cell>
          <cell r="N45">
            <v>34533</v>
          </cell>
          <cell r="O45">
            <v>14014</v>
          </cell>
          <cell r="P45">
            <v>19934</v>
          </cell>
          <cell r="Q45">
            <v>18967</v>
          </cell>
          <cell r="R45">
            <v>18848</v>
          </cell>
          <cell r="S45">
            <v>34763</v>
          </cell>
          <cell r="T45">
            <v>3406</v>
          </cell>
          <cell r="U45">
            <v>6521.5</v>
          </cell>
          <cell r="V45">
            <v>25126.5</v>
          </cell>
          <cell r="W45">
            <v>10656.5</v>
          </cell>
          <cell r="X45">
            <v>0</v>
          </cell>
          <cell r="Y45">
            <v>0</v>
          </cell>
          <cell r="Z45">
            <v>388658.5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388658.5</v>
          </cell>
          <cell r="AJ45">
            <v>35181</v>
          </cell>
          <cell r="AK45">
            <v>13950</v>
          </cell>
          <cell r="AL45">
            <v>26798</v>
          </cell>
          <cell r="AN45">
            <v>75929</v>
          </cell>
          <cell r="AO45">
            <v>18460.025000000001</v>
          </cell>
          <cell r="AP45">
            <v>0</v>
          </cell>
          <cell r="AS45">
            <v>18460.025000000001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56732646.073999994</v>
          </cell>
          <cell r="G46">
            <v>6088302.568</v>
          </cell>
          <cell r="H46">
            <v>3697373.7119999998</v>
          </cell>
          <cell r="I46">
            <v>1818623.6</v>
          </cell>
          <cell r="J46">
            <v>1231197.0019999999</v>
          </cell>
          <cell r="K46">
            <v>3240339.1</v>
          </cell>
          <cell r="L46">
            <v>2920609.4</v>
          </cell>
          <cell r="M46">
            <v>946109.9</v>
          </cell>
          <cell r="N46">
            <v>3573750.2</v>
          </cell>
          <cell r="O46">
            <v>1330984.3999999999</v>
          </cell>
          <cell r="P46">
            <v>2001324.7000000002</v>
          </cell>
          <cell r="Q46">
            <v>1814580.169</v>
          </cell>
          <cell r="R46">
            <v>2026097.9</v>
          </cell>
          <cell r="S46">
            <v>3502308.3370000003</v>
          </cell>
          <cell r="T46">
            <v>386849.9</v>
          </cell>
          <cell r="U46">
            <v>708432.027</v>
          </cell>
          <cell r="V46">
            <v>2419325.0559999999</v>
          </cell>
          <cell r="W46">
            <v>1290951.8319999999</v>
          </cell>
          <cell r="X46">
            <v>0</v>
          </cell>
          <cell r="Y46">
            <v>0</v>
          </cell>
          <cell r="Z46">
            <v>38997159.802999996</v>
          </cell>
          <cell r="AA46">
            <v>100000</v>
          </cell>
          <cell r="AB46">
            <v>0</v>
          </cell>
          <cell r="AC46">
            <v>25000</v>
          </cell>
          <cell r="AD46">
            <v>56680</v>
          </cell>
          <cell r="AH46">
            <v>181680</v>
          </cell>
          <cell r="AI46">
            <v>39178839.802999996</v>
          </cell>
          <cell r="AJ46">
            <v>961448.5</v>
          </cell>
          <cell r="AK46">
            <v>190502</v>
          </cell>
          <cell r="AL46">
            <v>494649</v>
          </cell>
          <cell r="AN46">
            <v>1646599.5</v>
          </cell>
          <cell r="AO46">
            <v>15757114.804000001</v>
          </cell>
          <cell r="AP46">
            <v>0</v>
          </cell>
          <cell r="AS46">
            <v>15757114.804000001</v>
          </cell>
          <cell r="AT46">
            <v>11025</v>
          </cell>
          <cell r="AU46">
            <v>11700</v>
          </cell>
          <cell r="AV46">
            <v>124007.26699999999</v>
          </cell>
          <cell r="BA46">
            <v>146732.26699999999</v>
          </cell>
          <cell r="BB46">
            <v>0</v>
          </cell>
          <cell r="BC46">
            <v>3359.7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3359.7</v>
          </cell>
        </row>
        <row r="47">
          <cell r="F47">
            <v>54449743.534000002</v>
          </cell>
          <cell r="G47">
            <v>5600827.443</v>
          </cell>
          <cell r="H47">
            <v>3738251.1259999997</v>
          </cell>
          <cell r="I47">
            <v>1857120.9109999998</v>
          </cell>
          <cell r="J47">
            <v>1310806.7690000001</v>
          </cell>
          <cell r="K47">
            <v>2987963.355</v>
          </cell>
          <cell r="L47">
            <v>2761578.5090000001</v>
          </cell>
          <cell r="M47">
            <v>999578.30500000017</v>
          </cell>
          <cell r="N47">
            <v>3244224.392</v>
          </cell>
          <cell r="O47">
            <v>1280023.4010000001</v>
          </cell>
          <cell r="P47">
            <v>1813748.568</v>
          </cell>
          <cell r="Q47">
            <v>1718308.5760000001</v>
          </cell>
          <cell r="R47">
            <v>1833410.9290000002</v>
          </cell>
          <cell r="S47">
            <v>3368681.9789999998</v>
          </cell>
          <cell r="T47">
            <v>406170.12900000002</v>
          </cell>
          <cell r="U47">
            <v>618345.07900000003</v>
          </cell>
          <cell r="V47">
            <v>2104974.8110000002</v>
          </cell>
          <cell r="W47">
            <v>1134380.058</v>
          </cell>
          <cell r="X47">
            <v>0</v>
          </cell>
          <cell r="Y47">
            <v>0</v>
          </cell>
          <cell r="Z47">
            <v>36778394.340000004</v>
          </cell>
          <cell r="AA47">
            <v>12467.876</v>
          </cell>
          <cell r="AB47">
            <v>0</v>
          </cell>
          <cell r="AC47">
            <v>6874.4070000000002</v>
          </cell>
          <cell r="AD47">
            <v>17044.800000000003</v>
          </cell>
          <cell r="AH47">
            <v>36387.082999999999</v>
          </cell>
          <cell r="AI47">
            <v>36814781.423</v>
          </cell>
          <cell r="AJ47">
            <v>930676.39600000007</v>
          </cell>
          <cell r="AK47">
            <v>299814.46898999996</v>
          </cell>
          <cell r="AL47">
            <v>619891.4480099997</v>
          </cell>
          <cell r="AN47">
            <v>1850382.3129999998</v>
          </cell>
          <cell r="AO47">
            <v>15461543.269000001</v>
          </cell>
          <cell r="AP47">
            <v>0</v>
          </cell>
          <cell r="AS47">
            <v>15461543.269000001</v>
          </cell>
          <cell r="AT47">
            <v>2897.953</v>
          </cell>
          <cell r="AU47">
            <v>17333.696</v>
          </cell>
          <cell r="AV47">
            <v>0</v>
          </cell>
          <cell r="BA47">
            <v>20231.649000000001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J47">
            <v>302804.88</v>
          </cell>
        </row>
        <row r="48">
          <cell r="F48">
            <v>2282902.5399999917</v>
          </cell>
          <cell r="G48">
            <v>487475.125</v>
          </cell>
          <cell r="H48">
            <v>-40877.413999999873</v>
          </cell>
          <cell r="I48">
            <v>-38497.310999999754</v>
          </cell>
          <cell r="J48">
            <v>-79609.767000000225</v>
          </cell>
          <cell r="K48">
            <v>252375.74500000011</v>
          </cell>
          <cell r="L48">
            <v>159030.89099999983</v>
          </cell>
          <cell r="M48">
            <v>-53468.405000000144</v>
          </cell>
          <cell r="N48">
            <v>329525.80800000019</v>
          </cell>
          <cell r="O48">
            <v>50960.998999999836</v>
          </cell>
          <cell r="P48">
            <v>187576.13200000022</v>
          </cell>
          <cell r="Q48">
            <v>96271.592999999877</v>
          </cell>
          <cell r="R48">
            <v>192686.97099999967</v>
          </cell>
          <cell r="S48">
            <v>133626.35800000047</v>
          </cell>
          <cell r="T48">
            <v>-19320.228999999992</v>
          </cell>
          <cell r="U48">
            <v>90086.947999999975</v>
          </cell>
          <cell r="V48">
            <v>314350.24499999965</v>
          </cell>
          <cell r="W48">
            <v>156571.77399999998</v>
          </cell>
          <cell r="X48">
            <v>0</v>
          </cell>
          <cell r="Y48">
            <v>0</v>
          </cell>
          <cell r="Z48">
            <v>2218765.4629999921</v>
          </cell>
          <cell r="AA48">
            <v>87532.123999999996</v>
          </cell>
          <cell r="AB48">
            <v>0</v>
          </cell>
          <cell r="AC48">
            <v>18125.593000000001</v>
          </cell>
          <cell r="AD48">
            <v>39635.199999999997</v>
          </cell>
          <cell r="AH48">
            <v>145292.91700000002</v>
          </cell>
          <cell r="AI48">
            <v>2364058.3799999952</v>
          </cell>
          <cell r="AJ48">
            <v>30772.103999999934</v>
          </cell>
          <cell r="AK48">
            <v>-109312.46898999996</v>
          </cell>
          <cell r="AL48">
            <v>-125242.4480099997</v>
          </cell>
          <cell r="AN48">
            <v>-203782.81299999985</v>
          </cell>
          <cell r="AO48">
            <v>295571.53500000015</v>
          </cell>
          <cell r="AP48">
            <v>0</v>
          </cell>
          <cell r="AS48">
            <v>295571.53500000015</v>
          </cell>
          <cell r="AT48">
            <v>8127.0470000000005</v>
          </cell>
          <cell r="AU48">
            <v>-5633.6959999999999</v>
          </cell>
          <cell r="AV48">
            <v>124007.26699999999</v>
          </cell>
          <cell r="BA48">
            <v>126500.61799999999</v>
          </cell>
          <cell r="BB48">
            <v>0</v>
          </cell>
          <cell r="BC48">
            <v>3359.7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J48">
            <v>-299445.18</v>
          </cell>
        </row>
        <row r="49">
          <cell r="F49">
            <v>5182234.2119982745</v>
          </cell>
          <cell r="G49">
            <v>574637.18701500481</v>
          </cell>
          <cell r="H49">
            <v>402112.13686209533</v>
          </cell>
          <cell r="I49">
            <v>242241.86700891907</v>
          </cell>
          <cell r="J49">
            <v>163104.56626518432</v>
          </cell>
          <cell r="K49">
            <v>353672.11424759234</v>
          </cell>
          <cell r="L49">
            <v>330560.54362168349</v>
          </cell>
          <cell r="M49">
            <v>157629.37885610343</v>
          </cell>
          <cell r="N49">
            <v>361919.67568794399</v>
          </cell>
          <cell r="O49">
            <v>168350.96286187338</v>
          </cell>
          <cell r="P49">
            <v>225293.53339260959</v>
          </cell>
          <cell r="Q49">
            <v>205200.35375328519</v>
          </cell>
          <cell r="R49">
            <v>214127.0222402442</v>
          </cell>
          <cell r="S49">
            <v>351161.49759488</v>
          </cell>
          <cell r="T49">
            <v>51529.048213078684</v>
          </cell>
          <cell r="U49">
            <v>72813.999460160951</v>
          </cell>
          <cell r="V49">
            <v>239239.65084550233</v>
          </cell>
          <cell r="W49">
            <v>132350.85702131747</v>
          </cell>
          <cell r="X49">
            <v>0</v>
          </cell>
          <cell r="Y49">
            <v>0</v>
          </cell>
          <cell r="Z49">
            <v>4245944.3949474785</v>
          </cell>
          <cell r="AA49">
            <v>0</v>
          </cell>
          <cell r="AB49">
            <v>456.68799999999999</v>
          </cell>
          <cell r="AC49">
            <v>0</v>
          </cell>
          <cell r="AD49">
            <v>0</v>
          </cell>
          <cell r="AH49">
            <v>456.68799999999999</v>
          </cell>
          <cell r="AI49">
            <v>4246401.0829474786</v>
          </cell>
          <cell r="AJ49">
            <v>52490.280727474317</v>
          </cell>
          <cell r="AK49">
            <v>7265.853523322121</v>
          </cell>
          <cell r="AL49">
            <v>36488.909889999995</v>
          </cell>
          <cell r="AN49">
            <v>96245.044140796439</v>
          </cell>
          <cell r="AO49">
            <v>283012.57299999997</v>
          </cell>
          <cell r="AP49">
            <v>0</v>
          </cell>
          <cell r="AS49">
            <v>283012.57299999997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35379.881999999998</v>
          </cell>
          <cell r="BD49">
            <v>0</v>
          </cell>
          <cell r="BE49">
            <v>0</v>
          </cell>
          <cell r="BF49">
            <v>64657.320999999996</v>
          </cell>
          <cell r="BG49">
            <v>456538.30891000002</v>
          </cell>
          <cell r="BJ49">
            <v>556575.51191</v>
          </cell>
        </row>
        <row r="50">
          <cell r="F50">
            <v>-2899331.6719982829</v>
          </cell>
          <cell r="G50">
            <v>-87162.062015004805</v>
          </cell>
          <cell r="H50">
            <v>-442989.5508620952</v>
          </cell>
          <cell r="I50">
            <v>-280739.17800891883</v>
          </cell>
          <cell r="J50">
            <v>-242714.33326518454</v>
          </cell>
          <cell r="K50">
            <v>-101296.36924759223</v>
          </cell>
          <cell r="L50">
            <v>-171529.65262168366</v>
          </cell>
          <cell r="M50">
            <v>-211097.78385610358</v>
          </cell>
          <cell r="N50">
            <v>-32393.867687943799</v>
          </cell>
          <cell r="O50">
            <v>-117389.96386187355</v>
          </cell>
          <cell r="P50">
            <v>-37717.401392609376</v>
          </cell>
          <cell r="Q50">
            <v>-108928.76075328531</v>
          </cell>
          <cell r="R50">
            <v>-21440.051240244531</v>
          </cell>
          <cell r="S50">
            <v>-217535.13959487953</v>
          </cell>
          <cell r="T50">
            <v>-70849.277213078676</v>
          </cell>
          <cell r="U50">
            <v>17272.948539839024</v>
          </cell>
          <cell r="V50">
            <v>75110.594154497318</v>
          </cell>
          <cell r="W50">
            <v>24220.916978682508</v>
          </cell>
          <cell r="X50">
            <v>0</v>
          </cell>
          <cell r="Y50">
            <v>0</v>
          </cell>
          <cell r="Z50">
            <v>-2027178.9319474865</v>
          </cell>
          <cell r="AA50">
            <v>87532.123999999996</v>
          </cell>
          <cell r="AB50">
            <v>-456.68799999999999</v>
          </cell>
          <cell r="AC50">
            <v>18125.593000000001</v>
          </cell>
          <cell r="AD50">
            <v>39635.199999999997</v>
          </cell>
          <cell r="AH50">
            <v>144836.22900000002</v>
          </cell>
          <cell r="AI50">
            <v>-1882342.7029474834</v>
          </cell>
          <cell r="AJ50">
            <v>-21718.176727474383</v>
          </cell>
          <cell r="AK50">
            <v>-116578.32251332208</v>
          </cell>
          <cell r="AL50">
            <v>-161731.35789999971</v>
          </cell>
          <cell r="AN50">
            <v>-300027.85714079626</v>
          </cell>
          <cell r="AO50">
            <v>12558.962000000174</v>
          </cell>
          <cell r="AP50">
            <v>0</v>
          </cell>
          <cell r="AS50">
            <v>12558.962000000174</v>
          </cell>
          <cell r="AT50">
            <v>8127.0470000000005</v>
          </cell>
          <cell r="AU50">
            <v>-5633.6959999999999</v>
          </cell>
          <cell r="AV50">
            <v>124007.26699999999</v>
          </cell>
          <cell r="BA50">
            <v>126500.61799999999</v>
          </cell>
          <cell r="BB50">
            <v>0</v>
          </cell>
          <cell r="BC50">
            <v>-32020.181999999997</v>
          </cell>
          <cell r="BD50">
            <v>0</v>
          </cell>
          <cell r="BE50">
            <v>0</v>
          </cell>
          <cell r="BF50">
            <v>-64657.320999999996</v>
          </cell>
          <cell r="BG50">
            <v>-759343.18891000003</v>
          </cell>
          <cell r="BJ50">
            <v>-856020.69191000005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J6" t="str">
            <v>기타 계</v>
          </cell>
        </row>
        <row r="7">
          <cell r="G7">
            <v>37712</v>
          </cell>
          <cell r="H7">
            <v>23500</v>
          </cell>
          <cell r="I7">
            <v>18470</v>
          </cell>
          <cell r="J7">
            <v>5877</v>
          </cell>
          <cell r="K7">
            <v>16650</v>
          </cell>
          <cell r="L7">
            <v>16841</v>
          </cell>
          <cell r="M7">
            <v>8639</v>
          </cell>
          <cell r="N7">
            <v>14978</v>
          </cell>
          <cell r="O7">
            <v>9558</v>
          </cell>
          <cell r="P7">
            <v>15453</v>
          </cell>
          <cell r="Q7">
            <v>13997</v>
          </cell>
          <cell r="R7">
            <v>4788.5</v>
          </cell>
          <cell r="S7">
            <v>17471</v>
          </cell>
          <cell r="T7">
            <v>3406.5</v>
          </cell>
          <cell r="U7">
            <v>5554</v>
          </cell>
          <cell r="V7">
            <v>2263</v>
          </cell>
          <cell r="W7">
            <v>2398.5</v>
          </cell>
          <cell r="Z7">
            <v>217556.5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217556.5</v>
          </cell>
          <cell r="AJ7">
            <v>18623</v>
          </cell>
          <cell r="AK7">
            <v>23046</v>
          </cell>
          <cell r="AL7">
            <v>23603</v>
          </cell>
          <cell r="AN7">
            <v>65272</v>
          </cell>
          <cell r="AO7">
            <v>6645.402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J7">
            <v>0</v>
          </cell>
        </row>
        <row r="8">
          <cell r="F8">
            <v>30448812.223999996</v>
          </cell>
          <cell r="G8">
            <v>3774208</v>
          </cell>
          <cell r="H8">
            <v>2356758.5210000002</v>
          </cell>
          <cell r="I8">
            <v>1919294.9169999999</v>
          </cell>
          <cell r="J8">
            <v>570041.39099999995</v>
          </cell>
          <cell r="K8">
            <v>1875643.9</v>
          </cell>
          <cell r="L8">
            <v>1729334.32</v>
          </cell>
          <cell r="M8">
            <v>890185.7</v>
          </cell>
          <cell r="N8">
            <v>1493437.4</v>
          </cell>
          <cell r="O8">
            <v>924586.43</v>
          </cell>
          <cell r="P8">
            <v>1538533.2</v>
          </cell>
          <cell r="Q8">
            <v>1431989.7</v>
          </cell>
          <cell r="R8">
            <v>487720.15</v>
          </cell>
          <cell r="S8">
            <v>1754061.155</v>
          </cell>
          <cell r="T8">
            <v>364364.7</v>
          </cell>
          <cell r="U8">
            <v>576858.68000000005</v>
          </cell>
          <cell r="V8">
            <v>226082</v>
          </cell>
          <cell r="W8">
            <v>308442.42599999998</v>
          </cell>
          <cell r="Z8">
            <v>22221542.589999996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22312382.589999996</v>
          </cell>
          <cell r="AJ8">
            <v>535572</v>
          </cell>
          <cell r="AK8">
            <v>318718</v>
          </cell>
          <cell r="AL8">
            <v>442796.5</v>
          </cell>
          <cell r="AN8">
            <v>1297086.5</v>
          </cell>
          <cell r="AO8">
            <v>6765657.9749999996</v>
          </cell>
          <cell r="AP8">
            <v>0</v>
          </cell>
          <cell r="AS8">
            <v>6765657.9749999996</v>
          </cell>
          <cell r="AT8">
            <v>5250</v>
          </cell>
          <cell r="AU8">
            <v>5450</v>
          </cell>
          <cell r="AV8">
            <v>61282.758999999998</v>
          </cell>
          <cell r="BA8">
            <v>71982.758999999991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J8">
            <v>1702.4</v>
          </cell>
        </row>
        <row r="9">
          <cell r="G9">
            <v>100079.76240984302</v>
          </cell>
          <cell r="H9">
            <v>100287.59663829788</v>
          </cell>
          <cell r="I9">
            <v>103914.18067135895</v>
          </cell>
          <cell r="J9">
            <v>96995.302194997435</v>
          </cell>
          <cell r="K9">
            <v>112651.28528528528</v>
          </cell>
          <cell r="L9">
            <v>102685.96401638858</v>
          </cell>
          <cell r="M9">
            <v>103042.67855075818</v>
          </cell>
          <cell r="N9">
            <v>99708.73280811857</v>
          </cell>
          <cell r="O9">
            <v>96734.299016530655</v>
          </cell>
          <cell r="P9">
            <v>99562.104445738689</v>
          </cell>
          <cell r="Q9">
            <v>102306.90147888834</v>
          </cell>
          <cell r="R9">
            <v>101852.38592461105</v>
          </cell>
          <cell r="S9">
            <v>100398.44055864004</v>
          </cell>
          <cell r="T9">
            <v>106961.60281814178</v>
          </cell>
          <cell r="U9">
            <v>103863.64422038171</v>
          </cell>
          <cell r="V9">
            <v>99903.66769774635</v>
          </cell>
          <cell r="W9">
            <v>128598.05128205127</v>
          </cell>
          <cell r="Z9">
            <v>102141.47860440849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102559.02531066642</v>
          </cell>
          <cell r="AJ9">
            <v>28758.631799387855</v>
          </cell>
          <cell r="AK9">
            <v>13829.645057710666</v>
          </cell>
          <cell r="AL9">
            <v>18760.178790831673</v>
          </cell>
          <cell r="AO9">
            <v>1018096.1174357849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J9">
            <v>0</v>
          </cell>
        </row>
        <row r="10">
          <cell r="F10">
            <v>27156435.784520004</v>
          </cell>
          <cell r="G10">
            <v>3224009.4117700001</v>
          </cell>
          <cell r="H10">
            <v>2125008.26853</v>
          </cell>
          <cell r="I10">
            <v>1726460.6037099999</v>
          </cell>
          <cell r="J10">
            <v>568368.15691000002</v>
          </cell>
          <cell r="K10">
            <v>1550110.5554599999</v>
          </cell>
          <cell r="L10">
            <v>1516989.73682</v>
          </cell>
          <cell r="M10">
            <v>816585.71221000003</v>
          </cell>
          <cell r="N10">
            <v>1383222.9256700003</v>
          </cell>
          <cell r="O10">
            <v>789255.23151999991</v>
          </cell>
          <cell r="P10">
            <v>1243233.66105</v>
          </cell>
          <cell r="Q10">
            <v>1160412.93294</v>
          </cell>
          <cell r="R10">
            <v>512858.27837999997</v>
          </cell>
          <cell r="S10">
            <v>1557584.9283199999</v>
          </cell>
          <cell r="T10">
            <v>311613.29123000003</v>
          </cell>
          <cell r="U10">
            <v>450626.07020999998</v>
          </cell>
          <cell r="V10">
            <v>260174.28799000001</v>
          </cell>
          <cell r="W10">
            <v>268747.34667</v>
          </cell>
          <cell r="Z10">
            <v>19465261.399390001</v>
          </cell>
          <cell r="AA10">
            <v>481.589</v>
          </cell>
          <cell r="AB10">
            <v>0</v>
          </cell>
          <cell r="AC10">
            <v>3465.1660000000002</v>
          </cell>
          <cell r="AD10">
            <v>8719.8960000000006</v>
          </cell>
          <cell r="AH10">
            <v>12666.651000000002</v>
          </cell>
          <cell r="AI10">
            <v>19477928.050390001</v>
          </cell>
          <cell r="AJ10">
            <v>449063.26029000001</v>
          </cell>
          <cell r="AK10">
            <v>260329.14069999999</v>
          </cell>
          <cell r="AL10">
            <v>376251.48214000004</v>
          </cell>
          <cell r="AN10">
            <v>1085643.88313</v>
          </cell>
          <cell r="AO10">
            <v>6592577.2970000003</v>
          </cell>
          <cell r="AP10">
            <v>0</v>
          </cell>
          <cell r="AS10">
            <v>6592577.2970000003</v>
          </cell>
          <cell r="AT10">
            <v>117.896</v>
          </cell>
          <cell r="AU10">
            <v>168.65799999999999</v>
          </cell>
          <cell r="AV10">
            <v>0</v>
          </cell>
          <cell r="BA10">
            <v>286.55399999999997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J10">
            <v>0</v>
          </cell>
        </row>
        <row r="11">
          <cell r="G11">
            <v>85490.279268402635</v>
          </cell>
          <cell r="H11">
            <v>90425.883767234045</v>
          </cell>
          <cell r="I11">
            <v>93473.773887926363</v>
          </cell>
          <cell r="J11">
            <v>96710.593314616301</v>
          </cell>
          <cell r="K11">
            <v>93099.733060660656</v>
          </cell>
          <cell r="L11">
            <v>90077.176938424091</v>
          </cell>
          <cell r="M11">
            <v>94523.175391827768</v>
          </cell>
          <cell r="N11">
            <v>92350.308830952068</v>
          </cell>
          <cell r="O11">
            <v>82575.353789495712</v>
          </cell>
          <cell r="P11">
            <v>80452.57626674432</v>
          </cell>
          <cell r="Q11">
            <v>82904.403296420656</v>
          </cell>
          <cell r="R11">
            <v>107102.07337997285</v>
          </cell>
          <cell r="S11">
            <v>89152.591627268033</v>
          </cell>
          <cell r="T11">
            <v>91476.087253779551</v>
          </cell>
          <cell r="U11">
            <v>81135.410552754765</v>
          </cell>
          <cell r="V11">
            <v>114968.75297834733</v>
          </cell>
          <cell r="W11">
            <v>112048.09116948093</v>
          </cell>
          <cell r="Z11">
            <v>89472.21250291304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89530.43485434819</v>
          </cell>
          <cell r="AJ11">
            <v>24113.368430972452</v>
          </cell>
          <cell r="AK11">
            <v>11296.066158986374</v>
          </cell>
          <cell r="AL11">
            <v>15940.833035631065</v>
          </cell>
          <cell r="AO11">
            <v>992050.9394315047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J11">
            <v>0</v>
          </cell>
        </row>
        <row r="12">
          <cell r="F12">
            <v>3292376.4394799918</v>
          </cell>
          <cell r="G12">
            <v>550198.58822999988</v>
          </cell>
          <cell r="H12">
            <v>231750.25247000018</v>
          </cell>
          <cell r="I12">
            <v>192834.31328999996</v>
          </cell>
          <cell r="J12">
            <v>1673.2340899999253</v>
          </cell>
          <cell r="K12">
            <v>325533.34453999996</v>
          </cell>
          <cell r="L12">
            <v>212344.58318000007</v>
          </cell>
          <cell r="M12">
            <v>73599.987789999926</v>
          </cell>
          <cell r="N12">
            <v>110214.47432999965</v>
          </cell>
          <cell r="O12">
            <v>135331.19848000014</v>
          </cell>
          <cell r="P12">
            <v>295299.53894999996</v>
          </cell>
          <cell r="Q12">
            <v>271576.76705999998</v>
          </cell>
          <cell r="R12">
            <v>-25138.128379999951</v>
          </cell>
          <cell r="S12">
            <v>196476.22668000008</v>
          </cell>
          <cell r="T12">
            <v>52751.40876999998</v>
          </cell>
          <cell r="U12">
            <v>126232.60979000008</v>
          </cell>
          <cell r="V12">
            <v>-34092.287990000012</v>
          </cell>
          <cell r="W12">
            <v>39695.079329999979</v>
          </cell>
          <cell r="Z12">
            <v>2756281.1906099995</v>
          </cell>
          <cell r="AA12">
            <v>49518.411</v>
          </cell>
          <cell r="AB12">
            <v>0</v>
          </cell>
          <cell r="AC12">
            <v>9034.8339999999989</v>
          </cell>
          <cell r="AD12">
            <v>19620.103999999999</v>
          </cell>
          <cell r="AH12">
            <v>78173.349000000002</v>
          </cell>
          <cell r="AI12">
            <v>2834454.5396099947</v>
          </cell>
          <cell r="AJ12">
            <v>86508.739709999994</v>
          </cell>
          <cell r="AK12">
            <v>58388.859300000011</v>
          </cell>
          <cell r="AL12">
            <v>66545.017859999964</v>
          </cell>
          <cell r="AN12">
            <v>211442.61687000003</v>
          </cell>
          <cell r="AO12">
            <v>173080.67799999937</v>
          </cell>
          <cell r="AP12">
            <v>0</v>
          </cell>
          <cell r="AS12">
            <v>173080.67799999937</v>
          </cell>
          <cell r="AT12">
            <v>5132.1040000000003</v>
          </cell>
          <cell r="AU12">
            <v>5281.3419999999996</v>
          </cell>
          <cell r="AV12">
            <v>61282.758999999998</v>
          </cell>
          <cell r="BA12">
            <v>71696.205000000002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J12">
            <v>1702.4</v>
          </cell>
        </row>
        <row r="13">
          <cell r="F13">
            <v>777716.70400000003</v>
          </cell>
          <cell r="G13">
            <v>69404.165999999997</v>
          </cell>
          <cell r="H13">
            <v>60364.035000000003</v>
          </cell>
          <cell r="I13">
            <v>48475.173000000003</v>
          </cell>
          <cell r="J13">
            <v>33639.072</v>
          </cell>
          <cell r="K13">
            <v>45125.733999999997</v>
          </cell>
          <cell r="L13">
            <v>50204.634999999995</v>
          </cell>
          <cell r="M13">
            <v>40772.25</v>
          </cell>
          <cell r="N13">
            <v>46581.540999999997</v>
          </cell>
          <cell r="O13">
            <v>26026.021999999997</v>
          </cell>
          <cell r="P13">
            <v>43473.695999999996</v>
          </cell>
          <cell r="Q13">
            <v>40569.436000000002</v>
          </cell>
          <cell r="R13">
            <v>27338.503000000001</v>
          </cell>
          <cell r="S13">
            <v>44454.539999999994</v>
          </cell>
          <cell r="T13">
            <v>10827.094999999999</v>
          </cell>
          <cell r="U13">
            <v>11546.019</v>
          </cell>
          <cell r="V13">
            <v>26587.575000000001</v>
          </cell>
          <cell r="W13">
            <v>14525.569</v>
          </cell>
          <cell r="Z13">
            <v>639915.06099999999</v>
          </cell>
          <cell r="AA13">
            <v>0</v>
          </cell>
          <cell r="AB13">
            <v>181.733</v>
          </cell>
          <cell r="AC13">
            <v>0</v>
          </cell>
          <cell r="AD13">
            <v>0</v>
          </cell>
          <cell r="AH13">
            <v>181.733</v>
          </cell>
          <cell r="AI13">
            <v>640096.79399999999</v>
          </cell>
          <cell r="AJ13">
            <v>460</v>
          </cell>
          <cell r="AK13">
            <v>0</v>
          </cell>
          <cell r="AL13">
            <v>0</v>
          </cell>
          <cell r="AN13">
            <v>460</v>
          </cell>
          <cell r="AO13">
            <v>125685.614</v>
          </cell>
          <cell r="AP13">
            <v>0</v>
          </cell>
          <cell r="AS13">
            <v>125685.614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11474.296</v>
          </cell>
          <cell r="BJ13">
            <v>11474.296</v>
          </cell>
        </row>
        <row r="14">
          <cell r="F14">
            <v>519014.7</v>
          </cell>
          <cell r="G14">
            <v>45765.475999999995</v>
          </cell>
          <cell r="H14">
            <v>40781.061000000002</v>
          </cell>
          <cell r="I14">
            <v>34289.834000000003</v>
          </cell>
          <cell r="J14">
            <v>22514.784</v>
          </cell>
          <cell r="K14">
            <v>30886.002</v>
          </cell>
          <cell r="L14">
            <v>33662.964999999997</v>
          </cell>
          <cell r="M14">
            <v>25713.41</v>
          </cell>
          <cell r="N14">
            <v>31858.461999999996</v>
          </cell>
          <cell r="O14">
            <v>17444.573</v>
          </cell>
          <cell r="P14">
            <v>31156.613000000001</v>
          </cell>
          <cell r="Q14">
            <v>24894.996999999999</v>
          </cell>
          <cell r="R14">
            <v>18018.038</v>
          </cell>
          <cell r="S14">
            <v>29262.780999999999</v>
          </cell>
          <cell r="T14">
            <v>6855.6719999999996</v>
          </cell>
          <cell r="U14">
            <v>6915.8850000000002</v>
          </cell>
          <cell r="V14">
            <v>20163.453000000001</v>
          </cell>
          <cell r="W14">
            <v>10360.079</v>
          </cell>
          <cell r="Z14">
            <v>430544.08500000002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430544.08500000002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88470.614999999991</v>
          </cell>
          <cell r="AP14">
            <v>0</v>
          </cell>
          <cell r="AS14">
            <v>88470.614999999991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J14">
            <v>0</v>
          </cell>
        </row>
        <row r="15">
          <cell r="F15">
            <v>258702.00399999999</v>
          </cell>
          <cell r="G15">
            <v>23638.690000000002</v>
          </cell>
          <cell r="H15">
            <v>19582.974000000002</v>
          </cell>
          <cell r="I15">
            <v>14185.339</v>
          </cell>
          <cell r="J15">
            <v>11124.288</v>
          </cell>
          <cell r="K15">
            <v>14239.732</v>
          </cell>
          <cell r="L15">
            <v>16541.669999999998</v>
          </cell>
          <cell r="M15">
            <v>15058.839999999998</v>
          </cell>
          <cell r="N15">
            <v>14723.079000000002</v>
          </cell>
          <cell r="O15">
            <v>8581.4489999999987</v>
          </cell>
          <cell r="P15">
            <v>12317.082999999999</v>
          </cell>
          <cell r="Q15">
            <v>15674.439000000002</v>
          </cell>
          <cell r="R15">
            <v>9320.4650000000001</v>
          </cell>
          <cell r="S15">
            <v>15191.758999999998</v>
          </cell>
          <cell r="T15">
            <v>3971.4230000000002</v>
          </cell>
          <cell r="U15">
            <v>4630.134</v>
          </cell>
          <cell r="V15">
            <v>6424.1219999999994</v>
          </cell>
          <cell r="W15">
            <v>4165.49</v>
          </cell>
          <cell r="Z15">
            <v>209370.97599999997</v>
          </cell>
          <cell r="AA15">
            <v>0</v>
          </cell>
          <cell r="AB15">
            <v>181.733</v>
          </cell>
          <cell r="AC15">
            <v>0</v>
          </cell>
          <cell r="AD15">
            <v>0</v>
          </cell>
          <cell r="AH15">
            <v>181.733</v>
          </cell>
          <cell r="AI15">
            <v>209552.70899999997</v>
          </cell>
          <cell r="AJ15">
            <v>460</v>
          </cell>
          <cell r="AK15">
            <v>0</v>
          </cell>
          <cell r="AL15">
            <v>0</v>
          </cell>
          <cell r="AN15">
            <v>460</v>
          </cell>
          <cell r="AO15">
            <v>37214.999000000003</v>
          </cell>
          <cell r="AP15">
            <v>0</v>
          </cell>
          <cell r="AS15">
            <v>37214.999000000003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11474.296</v>
          </cell>
          <cell r="BJ15">
            <v>11474.296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J16">
            <v>0</v>
          </cell>
        </row>
        <row r="17">
          <cell r="F17">
            <v>2514659.7354799919</v>
          </cell>
          <cell r="G17">
            <v>480794.42222999991</v>
          </cell>
          <cell r="H17">
            <v>171386.21747000018</v>
          </cell>
          <cell r="I17">
            <v>144359.14028999995</v>
          </cell>
          <cell r="J17">
            <v>-31965.837910000075</v>
          </cell>
          <cell r="K17">
            <v>280407.61053999997</v>
          </cell>
          <cell r="L17">
            <v>162139.94818000006</v>
          </cell>
          <cell r="M17">
            <v>32827.737789999926</v>
          </cell>
          <cell r="N17">
            <v>63632.933329999651</v>
          </cell>
          <cell r="O17">
            <v>109305.17648000014</v>
          </cell>
          <cell r="P17">
            <v>251825.84294999996</v>
          </cell>
          <cell r="Q17">
            <v>231007.33106</v>
          </cell>
          <cell r="R17">
            <v>-52476.631379999948</v>
          </cell>
          <cell r="S17">
            <v>152021.6866800001</v>
          </cell>
          <cell r="T17">
            <v>41924.313769999979</v>
          </cell>
          <cell r="U17">
            <v>114686.59079000007</v>
          </cell>
          <cell r="V17">
            <v>-60679.862990000009</v>
          </cell>
          <cell r="W17">
            <v>25169.510329999979</v>
          </cell>
          <cell r="Z17">
            <v>2116366.1296099992</v>
          </cell>
          <cell r="AA17">
            <v>49518.411</v>
          </cell>
          <cell r="AB17">
            <v>-181.733</v>
          </cell>
          <cell r="AC17">
            <v>9034.8339999999989</v>
          </cell>
          <cell r="AD17">
            <v>19620.103999999999</v>
          </cell>
          <cell r="AH17">
            <v>77991.616000000009</v>
          </cell>
          <cell r="AI17">
            <v>2194357.745609995</v>
          </cell>
          <cell r="AJ17">
            <v>86048.739709999994</v>
          </cell>
          <cell r="AK17">
            <v>58388.859300000011</v>
          </cell>
          <cell r="AL17">
            <v>66545.017859999964</v>
          </cell>
          <cell r="AN17">
            <v>210982.61687000003</v>
          </cell>
          <cell r="AO17">
            <v>47395.063999999373</v>
          </cell>
          <cell r="AP17">
            <v>0</v>
          </cell>
          <cell r="AS17">
            <v>47395.063999999373</v>
          </cell>
          <cell r="AT17">
            <v>5132.1040000000003</v>
          </cell>
          <cell r="AU17">
            <v>5281.3419999999996</v>
          </cell>
          <cell r="AV17">
            <v>61282.758999999998</v>
          </cell>
          <cell r="BA17">
            <v>71696.205000000002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-11474.296</v>
          </cell>
          <cell r="BJ17">
            <v>-9771.8960000000006</v>
          </cell>
        </row>
        <row r="18">
          <cell r="F18">
            <v>566941.70347999991</v>
          </cell>
          <cell r="G18">
            <v>29488.772229999999</v>
          </cell>
          <cell r="H18">
            <v>33428.135470000001</v>
          </cell>
          <cell r="I18">
            <v>18771.260289999998</v>
          </cell>
          <cell r="J18">
            <v>18655.162090000002</v>
          </cell>
          <cell r="K18">
            <v>78959.386540000007</v>
          </cell>
          <cell r="L18">
            <v>43332.349180000005</v>
          </cell>
          <cell r="M18">
            <v>16015.851789999999</v>
          </cell>
          <cell r="N18">
            <v>28764.586329999998</v>
          </cell>
          <cell r="O18">
            <v>10770.938480000001</v>
          </cell>
          <cell r="P18">
            <v>31368.18895</v>
          </cell>
          <cell r="Q18">
            <v>14565.444060000002</v>
          </cell>
          <cell r="R18">
            <v>13574.36562</v>
          </cell>
          <cell r="S18">
            <v>34862.448680000001</v>
          </cell>
          <cell r="T18">
            <v>5631.6017699999993</v>
          </cell>
          <cell r="U18">
            <v>10233.583790000001</v>
          </cell>
          <cell r="V18">
            <v>20742.273010000004</v>
          </cell>
          <cell r="W18">
            <v>10302.074330000001</v>
          </cell>
          <cell r="Z18">
            <v>419466.42261000001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425492.68560999999</v>
          </cell>
          <cell r="AJ18">
            <v>33414.343699999998</v>
          </cell>
          <cell r="AK18">
            <v>9866.8463100000008</v>
          </cell>
          <cell r="AL18">
            <v>42650.888859999999</v>
          </cell>
          <cell r="AN18">
            <v>85932.078869999998</v>
          </cell>
          <cell r="AO18">
            <v>5550.3850000000002</v>
          </cell>
          <cell r="AP18">
            <v>855.83600000000001</v>
          </cell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15330.277</v>
          </cell>
          <cell r="BD18">
            <v>0</v>
          </cell>
          <cell r="BE18">
            <v>0</v>
          </cell>
          <cell r="BF18">
            <v>23977.940999999999</v>
          </cell>
          <cell r="BJ18">
            <v>39308.218000000001</v>
          </cell>
        </row>
        <row r="19">
          <cell r="F19">
            <v>498810.17947999993</v>
          </cell>
          <cell r="G19">
            <v>27161.150229999999</v>
          </cell>
          <cell r="H19">
            <v>31483.000469999999</v>
          </cell>
          <cell r="I19">
            <v>17000.013289999999</v>
          </cell>
          <cell r="J19">
            <v>17463.17409</v>
          </cell>
          <cell r="K19">
            <v>77083.320540000001</v>
          </cell>
          <cell r="L19">
            <v>41767.947180000003</v>
          </cell>
          <cell r="M19">
            <v>14822.252789999999</v>
          </cell>
          <cell r="N19">
            <v>27201.281329999998</v>
          </cell>
          <cell r="O19">
            <v>10020.902480000001</v>
          </cell>
          <cell r="P19">
            <v>30149.42295</v>
          </cell>
          <cell r="Q19">
            <v>13360.056060000001</v>
          </cell>
          <cell r="R19">
            <v>12472.21062</v>
          </cell>
          <cell r="S19">
            <v>33274.24768</v>
          </cell>
          <cell r="T19">
            <v>5261.2017699999997</v>
          </cell>
          <cell r="U19">
            <v>9790.71479</v>
          </cell>
          <cell r="V19">
            <v>19615.409010000003</v>
          </cell>
          <cell r="W19">
            <v>9476.7043300000005</v>
          </cell>
          <cell r="Z19">
            <v>397403.00960999995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403075.60060999996</v>
          </cell>
          <cell r="AJ19">
            <v>33414.343699999998</v>
          </cell>
          <cell r="AK19">
            <v>9866.8463100000008</v>
          </cell>
          <cell r="AL19">
            <v>42650.888859999999</v>
          </cell>
          <cell r="AN19">
            <v>85932.078869999998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J19">
            <v>0</v>
          </cell>
        </row>
        <row r="20">
          <cell r="F20">
            <v>68131.524000000005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5550.3850000000002</v>
          </cell>
          <cell r="AP20">
            <v>855.83600000000001</v>
          </cell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15330.277</v>
          </cell>
          <cell r="BD20">
            <v>0</v>
          </cell>
          <cell r="BE20">
            <v>0</v>
          </cell>
          <cell r="BF20">
            <v>23977.940999999999</v>
          </cell>
          <cell r="BJ20">
            <v>39308.218000000001</v>
          </cell>
        </row>
        <row r="21">
          <cell r="F21">
            <v>1947718.031999992</v>
          </cell>
          <cell r="G21">
            <v>451305.64999999991</v>
          </cell>
          <cell r="H21">
            <v>137958.08200000017</v>
          </cell>
          <cell r="I21">
            <v>125587.87999999995</v>
          </cell>
          <cell r="J21">
            <v>-50621.000000000073</v>
          </cell>
          <cell r="K21">
            <v>201448.22399999996</v>
          </cell>
          <cell r="L21">
            <v>118807.59900000006</v>
          </cell>
          <cell r="M21">
            <v>16811.885999999926</v>
          </cell>
          <cell r="N21">
            <v>34868.346999999652</v>
          </cell>
          <cell r="O21">
            <v>98534.238000000143</v>
          </cell>
          <cell r="P21">
            <v>220457.65399999995</v>
          </cell>
          <cell r="Q21">
            <v>216441.88699999999</v>
          </cell>
          <cell r="R21">
            <v>-66050.996999999945</v>
          </cell>
          <cell r="S21">
            <v>117159.2380000001</v>
          </cell>
          <cell r="T21">
            <v>36292.711999999978</v>
          </cell>
          <cell r="U21">
            <v>104453.00700000007</v>
          </cell>
          <cell r="V21">
            <v>-81422.136000000013</v>
          </cell>
          <cell r="W21">
            <v>14867.435999999978</v>
          </cell>
          <cell r="Z21">
            <v>1696899.7069999992</v>
          </cell>
          <cell r="AA21">
            <v>43845.82</v>
          </cell>
          <cell r="AB21">
            <v>-535.40499999999997</v>
          </cell>
          <cell r="AC21">
            <v>9034.8339999999989</v>
          </cell>
          <cell r="AD21">
            <v>19620.103999999999</v>
          </cell>
          <cell r="AH21">
            <v>71965.353000000003</v>
          </cell>
          <cell r="AI21">
            <v>1768865.0599999949</v>
          </cell>
          <cell r="AJ21">
            <v>52634.396009999997</v>
          </cell>
          <cell r="AK21">
            <v>48522.01299000001</v>
          </cell>
          <cell r="AL21">
            <v>23894.128999999964</v>
          </cell>
          <cell r="AN21">
            <v>125050.53800000003</v>
          </cell>
          <cell r="AO21">
            <v>41844.678999999371</v>
          </cell>
          <cell r="AP21">
            <v>-855.83600000000001</v>
          </cell>
          <cell r="AS21">
            <v>40988.842999999375</v>
          </cell>
          <cell r="AT21">
            <v>3819.2120000000004</v>
          </cell>
          <cell r="AU21">
            <v>-3208.2660000000005</v>
          </cell>
          <cell r="AV21">
            <v>61282.758999999998</v>
          </cell>
          <cell r="BA21">
            <v>61893.705000000002</v>
          </cell>
          <cell r="BB21">
            <v>0</v>
          </cell>
          <cell r="BC21">
            <v>-13627.877</v>
          </cell>
          <cell r="BD21">
            <v>0</v>
          </cell>
          <cell r="BE21">
            <v>0</v>
          </cell>
          <cell r="BF21">
            <v>-35452.237000000001</v>
          </cell>
          <cell r="BJ21">
            <v>-49080.114000000001</v>
          </cell>
        </row>
        <row r="22">
          <cell r="F22">
            <v>788461.615998958</v>
          </cell>
          <cell r="G22">
            <v>177843.38610572024</v>
          </cell>
          <cell r="H22">
            <v>111052.15070503511</v>
          </cell>
          <cell r="I22">
            <v>90438.552134587517</v>
          </cell>
          <cell r="J22">
            <v>26860.758918388921</v>
          </cell>
          <cell r="K22">
            <v>90708.772309219174</v>
          </cell>
          <cell r="L22">
            <v>83633.035609477025</v>
          </cell>
          <cell r="M22">
            <v>43050.63022582425</v>
          </cell>
          <cell r="N22">
            <v>72224.729371429334</v>
          </cell>
          <cell r="O22">
            <v>44714.297825436806</v>
          </cell>
          <cell r="P22">
            <v>74405.625571556709</v>
          </cell>
          <cell r="Q22">
            <v>69253.032330095855</v>
          </cell>
          <cell r="R22">
            <v>23586.831187395554</v>
          </cell>
          <cell r="S22">
            <v>79043.413587909963</v>
          </cell>
          <cell r="T22">
            <v>16419.398831584491</v>
          </cell>
          <cell r="U22">
            <v>25995.03392173109</v>
          </cell>
          <cell r="V22">
            <v>10187.953242019012</v>
          </cell>
          <cell r="W22">
            <v>13899.368432440038</v>
          </cell>
          <cell r="Z22">
            <v>1053316.970309851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1053316.970309851</v>
          </cell>
          <cell r="AJ22">
            <v>18940.383467107669</v>
          </cell>
          <cell r="AK22">
            <v>11271.390471999326</v>
          </cell>
          <cell r="AL22">
            <v>15659.39875</v>
          </cell>
          <cell r="AN22">
            <v>45871.172689106999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-310726.527</v>
          </cell>
          <cell r="BF22">
            <v>0</v>
          </cell>
          <cell r="BJ22">
            <v>-310726.527</v>
          </cell>
        </row>
        <row r="23">
          <cell r="F23">
            <v>213440.81499895791</v>
          </cell>
          <cell r="G23">
            <v>27404.025841837454</v>
          </cell>
          <cell r="H23">
            <v>17112.112372305561</v>
          </cell>
          <cell r="I23">
            <v>13935.74691791636</v>
          </cell>
          <cell r="J23">
            <v>4138.995256721666</v>
          </cell>
          <cell r="K23">
            <v>15945.890030644667</v>
          </cell>
          <cell r="L23">
            <v>14702.031069404846</v>
          </cell>
          <cell r="M23">
            <v>7567.9628094930176</v>
          </cell>
          <cell r="N23">
            <v>12696.54039770123</v>
          </cell>
          <cell r="O23">
            <v>7860.4225122936941</v>
          </cell>
          <cell r="P23">
            <v>13079.924827786252</v>
          </cell>
          <cell r="Q23">
            <v>12174.13938819402</v>
          </cell>
          <cell r="R23">
            <v>4146.3797459792459</v>
          </cell>
          <cell r="S23">
            <v>9126.8011431461091</v>
          </cell>
          <cell r="T23">
            <v>1895.8769772665594</v>
          </cell>
          <cell r="U23">
            <v>3001.5341512182094</v>
          </cell>
          <cell r="V23">
            <v>1176.3589029738014</v>
          </cell>
          <cell r="W23">
            <v>1604.899964968188</v>
          </cell>
          <cell r="Z23">
            <v>167569.6423098509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167569.6423098509</v>
          </cell>
          <cell r="AJ23">
            <v>18940.383467107669</v>
          </cell>
          <cell r="AK23">
            <v>11271.390471999326</v>
          </cell>
          <cell r="AL23">
            <v>15659.39875</v>
          </cell>
          <cell r="AN23">
            <v>45871.172689106999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J23">
            <v>0</v>
          </cell>
        </row>
        <row r="24">
          <cell r="F24">
            <v>377509.51500000001</v>
          </cell>
          <cell r="G24">
            <v>64117.935369180879</v>
          </cell>
          <cell r="H24">
            <v>40037.668970614315</v>
          </cell>
          <cell r="I24">
            <v>32605.841395758627</v>
          </cell>
          <cell r="J24">
            <v>9684.1183808353871</v>
          </cell>
          <cell r="K24">
            <v>31864.278374641348</v>
          </cell>
          <cell r="L24">
            <v>29378.705720899954</v>
          </cell>
          <cell r="M24">
            <v>15122.873243649803</v>
          </cell>
          <cell r="N24">
            <v>25371.1832233723</v>
          </cell>
          <cell r="O24">
            <v>15707.288247484423</v>
          </cell>
          <cell r="P24">
            <v>26137.290864981216</v>
          </cell>
          <cell r="Q24">
            <v>24327.282183158088</v>
          </cell>
          <cell r="R24">
            <v>8285.6082801867851</v>
          </cell>
          <cell r="S24">
            <v>29798.776265081509</v>
          </cell>
          <cell r="T24">
            <v>6189.9906643754084</v>
          </cell>
          <cell r="U24">
            <v>9799.9335387426981</v>
          </cell>
          <cell r="V24">
            <v>3840.7822420320108</v>
          </cell>
          <cell r="W24">
            <v>5239.9580350053193</v>
          </cell>
          <cell r="Z24">
            <v>377509.51500000001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377509.51500000001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J24">
            <v>0</v>
          </cell>
        </row>
        <row r="25">
          <cell r="F25">
            <v>197511.28600000008</v>
          </cell>
          <cell r="G25">
            <v>86321.424894701893</v>
          </cell>
          <cell r="H25">
            <v>53902.369362115234</v>
          </cell>
          <cell r="I25">
            <v>43896.963820912519</v>
          </cell>
          <cell r="J25">
            <v>13037.64528083187</v>
          </cell>
          <cell r="K25">
            <v>42898.603903933159</v>
          </cell>
          <cell r="L25">
            <v>39552.298819172232</v>
          </cell>
          <cell r="M25">
            <v>20359.794172681428</v>
          </cell>
          <cell r="N25">
            <v>34157.005750355798</v>
          </cell>
          <cell r="O25">
            <v>21146.587065658692</v>
          </cell>
          <cell r="P25">
            <v>35188.409878789236</v>
          </cell>
          <cell r="Q25">
            <v>32751.610758743744</v>
          </cell>
          <cell r="R25">
            <v>11154.843161229521</v>
          </cell>
          <cell r="S25">
            <v>40117.836179682345</v>
          </cell>
          <cell r="T25">
            <v>8333.5311899425233</v>
          </cell>
          <cell r="U25">
            <v>13193.566231770184</v>
          </cell>
          <cell r="V25">
            <v>5170.8120970131995</v>
          </cell>
          <cell r="W25">
            <v>7054.5104324665317</v>
          </cell>
          <cell r="Z25">
            <v>508237.81300000008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508237.81300000008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-310726.527</v>
          </cell>
          <cell r="BF25">
            <v>0</v>
          </cell>
          <cell r="BJ25">
            <v>-310726.527</v>
          </cell>
        </row>
        <row r="26">
          <cell r="F26">
            <v>1159256.416001034</v>
          </cell>
          <cell r="G26">
            <v>273462.26389427966</v>
          </cell>
          <cell r="H26">
            <v>26905.931294965063</v>
          </cell>
          <cell r="I26">
            <v>35149.32786541243</v>
          </cell>
          <cell r="J26">
            <v>-77481.758918388994</v>
          </cell>
          <cell r="K26">
            <v>110739.45169078078</v>
          </cell>
          <cell r="L26">
            <v>35174.563390523035</v>
          </cell>
          <cell r="M26">
            <v>-26238.744225824325</v>
          </cell>
          <cell r="N26">
            <v>-37356.382371429681</v>
          </cell>
          <cell r="O26">
            <v>53819.940174563337</v>
          </cell>
          <cell r="P26">
            <v>146052.02842844324</v>
          </cell>
          <cell r="Q26">
            <v>147188.85466990413</v>
          </cell>
          <cell r="R26">
            <v>-89637.828187395498</v>
          </cell>
          <cell r="S26">
            <v>38115.824412090136</v>
          </cell>
          <cell r="T26">
            <v>19873.313168415487</v>
          </cell>
          <cell r="U26">
            <v>78457.973078268988</v>
          </cell>
          <cell r="V26">
            <v>-91610.089242019021</v>
          </cell>
          <cell r="W26">
            <v>968.06756755993956</v>
          </cell>
          <cell r="Z26">
            <v>643582.73669014825</v>
          </cell>
          <cell r="AA26">
            <v>43845.82</v>
          </cell>
          <cell r="AB26">
            <v>-535.40499999999997</v>
          </cell>
          <cell r="AC26">
            <v>9034.8339999999989</v>
          </cell>
          <cell r="AD26">
            <v>19620.103999999999</v>
          </cell>
          <cell r="AH26">
            <v>71965.353000000003</v>
          </cell>
          <cell r="AI26">
            <v>715548.08969014394</v>
          </cell>
          <cell r="AJ26">
            <v>33694.012542892327</v>
          </cell>
          <cell r="AK26">
            <v>37250.622518000688</v>
          </cell>
          <cell r="AL26">
            <v>8234.7302499999641</v>
          </cell>
          <cell r="AN26">
            <v>79179.36531089303</v>
          </cell>
          <cell r="AO26">
            <v>41844.678999999371</v>
          </cell>
          <cell r="AP26">
            <v>-855.83600000000001</v>
          </cell>
          <cell r="AS26">
            <v>40988.842999999375</v>
          </cell>
          <cell r="AT26">
            <v>3819.2120000000004</v>
          </cell>
          <cell r="AU26">
            <v>-3208.2660000000005</v>
          </cell>
          <cell r="AV26">
            <v>61282.758999999998</v>
          </cell>
          <cell r="BA26">
            <v>61893.705000000002</v>
          </cell>
          <cell r="BB26">
            <v>0</v>
          </cell>
          <cell r="BC26">
            <v>-13627.877</v>
          </cell>
          <cell r="BD26">
            <v>0</v>
          </cell>
          <cell r="BE26">
            <v>310726.527</v>
          </cell>
          <cell r="BF26">
            <v>-35452.237000000001</v>
          </cell>
          <cell r="BJ26">
            <v>261646.413</v>
          </cell>
        </row>
        <row r="27">
          <cell r="F27">
            <v>1159256.4160010412</v>
          </cell>
          <cell r="G27">
            <v>273462.2638942796</v>
          </cell>
          <cell r="H27">
            <v>26905.931294965088</v>
          </cell>
          <cell r="I27">
            <v>35149.327865412444</v>
          </cell>
          <cell r="J27">
            <v>-77481.758918388994</v>
          </cell>
          <cell r="K27">
            <v>110739.45169078078</v>
          </cell>
          <cell r="L27">
            <v>35174.563390523035</v>
          </cell>
          <cell r="M27">
            <v>-26238.744225824317</v>
          </cell>
          <cell r="N27">
            <v>-37356.382371429681</v>
          </cell>
          <cell r="O27">
            <v>53819.940174563329</v>
          </cell>
          <cell r="P27">
            <v>146052.02842844324</v>
          </cell>
          <cell r="Q27">
            <v>147188.8546699041</v>
          </cell>
          <cell r="R27">
            <v>-89637.828187395498</v>
          </cell>
          <cell r="S27">
            <v>38115.824412090122</v>
          </cell>
          <cell r="T27">
            <v>19873.313168415487</v>
          </cell>
          <cell r="U27">
            <v>78457.973078268988</v>
          </cell>
          <cell r="V27">
            <v>-91610.089242019021</v>
          </cell>
          <cell r="W27">
            <v>968.06756755994581</v>
          </cell>
          <cell r="Z27">
            <v>643582.73669014871</v>
          </cell>
          <cell r="AA27">
            <v>43845.82</v>
          </cell>
          <cell r="AB27">
            <v>-535.40499999999997</v>
          </cell>
          <cell r="AC27">
            <v>9034.8339999999989</v>
          </cell>
          <cell r="AD27">
            <v>19620.103999999999</v>
          </cell>
          <cell r="AH27">
            <v>71965.353000000003</v>
          </cell>
          <cell r="AI27">
            <v>715548.08969014871</v>
          </cell>
          <cell r="AJ27">
            <v>33694.012542892335</v>
          </cell>
          <cell r="AK27">
            <v>37250.62251800068</v>
          </cell>
          <cell r="AL27">
            <v>8234.7302499999641</v>
          </cell>
          <cell r="AN27">
            <v>79179.365310892987</v>
          </cell>
          <cell r="AO27">
            <v>41844.678999999378</v>
          </cell>
          <cell r="AP27">
            <v>-855.83600000000001</v>
          </cell>
          <cell r="AS27">
            <v>40988.842999999375</v>
          </cell>
          <cell r="AT27">
            <v>3819.2120000000004</v>
          </cell>
          <cell r="AU27">
            <v>-3208.2660000000005</v>
          </cell>
          <cell r="AV27">
            <v>61282.758999999998</v>
          </cell>
          <cell r="BA27">
            <v>61893.705000000002</v>
          </cell>
          <cell r="BB27">
            <v>0</v>
          </cell>
          <cell r="BC27">
            <v>-13627.877</v>
          </cell>
          <cell r="BD27">
            <v>0</v>
          </cell>
          <cell r="BE27">
            <v>310726.527</v>
          </cell>
          <cell r="BF27">
            <v>-35452.237000000001</v>
          </cell>
          <cell r="BJ27">
            <v>261646.41300000003</v>
          </cell>
        </row>
        <row r="28">
          <cell r="F28">
            <v>-7.2177499532699585E-9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-6.2527760746888816E-12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-4.7730281949043274E-9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J28">
            <v>0</v>
          </cell>
        </row>
        <row r="31">
          <cell r="G31">
            <v>37712</v>
          </cell>
          <cell r="H31">
            <v>23500</v>
          </cell>
          <cell r="I31">
            <v>18470</v>
          </cell>
          <cell r="J31">
            <v>5877</v>
          </cell>
          <cell r="K31">
            <v>16650</v>
          </cell>
          <cell r="L31">
            <v>16841</v>
          </cell>
          <cell r="M31">
            <v>8639</v>
          </cell>
          <cell r="N31">
            <v>14978</v>
          </cell>
          <cell r="O31">
            <v>9558</v>
          </cell>
          <cell r="P31">
            <v>15453</v>
          </cell>
          <cell r="Q31">
            <v>13997</v>
          </cell>
          <cell r="R31">
            <v>4788.5</v>
          </cell>
          <cell r="S31">
            <v>17471</v>
          </cell>
          <cell r="T31">
            <v>3406.5</v>
          </cell>
          <cell r="U31">
            <v>5554</v>
          </cell>
          <cell r="V31">
            <v>2263</v>
          </cell>
          <cell r="W31">
            <v>2398.5</v>
          </cell>
          <cell r="X31">
            <v>0</v>
          </cell>
          <cell r="Y31">
            <v>0</v>
          </cell>
          <cell r="Z31">
            <v>217556.5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217556.5</v>
          </cell>
          <cell r="AJ31">
            <v>18623</v>
          </cell>
          <cell r="AK31">
            <v>23046</v>
          </cell>
          <cell r="AL31">
            <v>23603</v>
          </cell>
          <cell r="AN31">
            <v>65272</v>
          </cell>
          <cell r="AO31">
            <v>6645.402</v>
          </cell>
          <cell r="AP31">
            <v>0</v>
          </cell>
          <cell r="AS31">
            <v>6645.402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J31">
            <v>0</v>
          </cell>
        </row>
        <row r="32">
          <cell r="F32">
            <v>30448812.223999996</v>
          </cell>
          <cell r="G32">
            <v>3774208</v>
          </cell>
          <cell r="H32">
            <v>2356758.5210000002</v>
          </cell>
          <cell r="I32">
            <v>1919294.9169999999</v>
          </cell>
          <cell r="J32">
            <v>570041.39099999995</v>
          </cell>
          <cell r="K32">
            <v>1875643.9</v>
          </cell>
          <cell r="L32">
            <v>1729334.32</v>
          </cell>
          <cell r="M32">
            <v>890185.7</v>
          </cell>
          <cell r="N32">
            <v>1493437.4</v>
          </cell>
          <cell r="O32">
            <v>924586.43</v>
          </cell>
          <cell r="P32">
            <v>1538533.2</v>
          </cell>
          <cell r="Q32">
            <v>1431989.7</v>
          </cell>
          <cell r="R32">
            <v>487720.15</v>
          </cell>
          <cell r="S32">
            <v>1754061.155</v>
          </cell>
          <cell r="T32">
            <v>364364.7</v>
          </cell>
          <cell r="U32">
            <v>576858.68000000005</v>
          </cell>
          <cell r="V32">
            <v>226082</v>
          </cell>
          <cell r="W32">
            <v>308442.42599999998</v>
          </cell>
          <cell r="X32">
            <v>0</v>
          </cell>
          <cell r="Y32">
            <v>0</v>
          </cell>
          <cell r="Z32">
            <v>22221542.589999996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22312382.589999996</v>
          </cell>
          <cell r="AJ32">
            <v>535572</v>
          </cell>
          <cell r="AK32">
            <v>318718</v>
          </cell>
          <cell r="AL32">
            <v>442796.5</v>
          </cell>
          <cell r="AN32">
            <v>1297086.5</v>
          </cell>
          <cell r="AO32">
            <v>6765657.9749999996</v>
          </cell>
          <cell r="AP32">
            <v>0</v>
          </cell>
          <cell r="AS32">
            <v>6765657.9749999996</v>
          </cell>
          <cell r="AT32">
            <v>5250</v>
          </cell>
          <cell r="AU32">
            <v>5450</v>
          </cell>
          <cell r="AV32">
            <v>61282.758999999998</v>
          </cell>
          <cell r="BA32">
            <v>71982.758999999991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J32">
            <v>1702.4</v>
          </cell>
        </row>
        <row r="33">
          <cell r="F33">
            <v>27655245.963999998</v>
          </cell>
          <cell r="G33">
            <v>3251170.5619999999</v>
          </cell>
          <cell r="H33">
            <v>2156491.2689999999</v>
          </cell>
          <cell r="I33">
            <v>1743460.6169999999</v>
          </cell>
          <cell r="J33">
            <v>585831.33100000001</v>
          </cell>
          <cell r="K33">
            <v>1627193.8759999999</v>
          </cell>
          <cell r="L33">
            <v>1558757.6839999999</v>
          </cell>
          <cell r="M33">
            <v>831407.96500000008</v>
          </cell>
          <cell r="N33">
            <v>1410424.2070000002</v>
          </cell>
          <cell r="O33">
            <v>799276.13399999996</v>
          </cell>
          <cell r="P33">
            <v>1273383.084</v>
          </cell>
          <cell r="Q33">
            <v>1173772.9890000001</v>
          </cell>
          <cell r="R33">
            <v>525330.48899999994</v>
          </cell>
          <cell r="S33">
            <v>1590859.176</v>
          </cell>
          <cell r="T33">
            <v>316874.49300000002</v>
          </cell>
          <cell r="U33">
            <v>460416.78499999997</v>
          </cell>
          <cell r="V33">
            <v>279789.69700000004</v>
          </cell>
          <cell r="W33">
            <v>278224.05099999998</v>
          </cell>
          <cell r="X33">
            <v>0</v>
          </cell>
          <cell r="Y33">
            <v>0</v>
          </cell>
          <cell r="Z33">
            <v>19862664.408999998</v>
          </cell>
          <cell r="AA33">
            <v>6154.18</v>
          </cell>
          <cell r="AB33">
            <v>0</v>
          </cell>
          <cell r="AC33">
            <v>3465.1660000000002</v>
          </cell>
          <cell r="AD33">
            <v>8719.8960000000006</v>
          </cell>
          <cell r="AH33">
            <v>18339.242000000002</v>
          </cell>
          <cell r="AI33">
            <v>19881003.650999997</v>
          </cell>
          <cell r="AJ33">
            <v>482477.60398999997</v>
          </cell>
          <cell r="AK33">
            <v>270195.98700999998</v>
          </cell>
          <cell r="AL33">
            <v>418902.37100000004</v>
          </cell>
          <cell r="AN33">
            <v>1171575.9620000001</v>
          </cell>
          <cell r="AO33">
            <v>6592577.2970000003</v>
          </cell>
          <cell r="AP33">
            <v>0</v>
          </cell>
          <cell r="AS33">
            <v>6592577.2970000003</v>
          </cell>
          <cell r="AT33">
            <v>1430.788</v>
          </cell>
          <cell r="AU33">
            <v>8658.2659999999996</v>
          </cell>
          <cell r="AV33">
            <v>0</v>
          </cell>
          <cell r="BA33">
            <v>10089.054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J33">
            <v>0</v>
          </cell>
        </row>
        <row r="34">
          <cell r="F34">
            <v>2793566.2599999979</v>
          </cell>
          <cell r="G34">
            <v>523037.43800000008</v>
          </cell>
          <cell r="H34">
            <v>200267.25200000033</v>
          </cell>
          <cell r="I34">
            <v>175834.30000000005</v>
          </cell>
          <cell r="J34">
            <v>-15789.940000000061</v>
          </cell>
          <cell r="K34">
            <v>248450.02399999998</v>
          </cell>
          <cell r="L34">
            <v>170576.63600000017</v>
          </cell>
          <cell r="M34">
            <v>58777.73499999987</v>
          </cell>
          <cell r="N34">
            <v>83013.192999999737</v>
          </cell>
          <cell r="O34">
            <v>125310.29600000009</v>
          </cell>
          <cell r="P34">
            <v>265150.11599999992</v>
          </cell>
          <cell r="Q34">
            <v>258216.71099999989</v>
          </cell>
          <cell r="R34">
            <v>-37610.33899999992</v>
          </cell>
          <cell r="S34">
            <v>163201.97900000005</v>
          </cell>
          <cell r="T34">
            <v>47490.206999999995</v>
          </cell>
          <cell r="U34">
            <v>116441.89500000008</v>
          </cell>
          <cell r="V34">
            <v>-53707.697000000044</v>
          </cell>
          <cell r="W34">
            <v>30218.375</v>
          </cell>
          <cell r="X34">
            <v>0</v>
          </cell>
          <cell r="Y34">
            <v>0</v>
          </cell>
          <cell r="Z34">
            <v>2358878.180999998</v>
          </cell>
          <cell r="AA34">
            <v>43845.82</v>
          </cell>
          <cell r="AB34">
            <v>0</v>
          </cell>
          <cell r="AC34">
            <v>9034.8339999999989</v>
          </cell>
          <cell r="AD34">
            <v>19620.103999999999</v>
          </cell>
          <cell r="AH34">
            <v>72500.758000000002</v>
          </cell>
          <cell r="AI34">
            <v>2431378.9389999993</v>
          </cell>
          <cell r="AJ34">
            <v>53094.396010000026</v>
          </cell>
          <cell r="AK34">
            <v>48522.012990000017</v>
          </cell>
          <cell r="AL34">
            <v>23894.128999999957</v>
          </cell>
          <cell r="AN34">
            <v>125510.53799999994</v>
          </cell>
          <cell r="AO34">
            <v>173080.67799999937</v>
          </cell>
          <cell r="AP34">
            <v>0</v>
          </cell>
          <cell r="AS34">
            <v>173080.67799999937</v>
          </cell>
          <cell r="AT34">
            <v>3819.212</v>
          </cell>
          <cell r="AU34">
            <v>-3208.2659999999996</v>
          </cell>
          <cell r="AV34">
            <v>61282.758999999998</v>
          </cell>
          <cell r="BA34">
            <v>61893.704999999987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J34">
            <v>1702.4</v>
          </cell>
        </row>
        <row r="35">
          <cell r="F35">
            <v>1634309.8439989581</v>
          </cell>
          <cell r="G35">
            <v>249575.17410572025</v>
          </cell>
          <cell r="H35">
            <v>173361.32070503512</v>
          </cell>
          <cell r="I35">
            <v>140684.97213458753</v>
          </cell>
          <cell r="J35">
            <v>61691.818918388919</v>
          </cell>
          <cell r="K35">
            <v>137710.57230921916</v>
          </cell>
          <cell r="L35">
            <v>135402.07260947704</v>
          </cell>
          <cell r="M35">
            <v>85016.479225824252</v>
          </cell>
          <cell r="N35">
            <v>120369.57537142932</v>
          </cell>
          <cell r="O35">
            <v>71490.355825436796</v>
          </cell>
          <cell r="P35">
            <v>119098.08757155671</v>
          </cell>
          <cell r="Q35">
            <v>111027.85633009586</v>
          </cell>
          <cell r="R35">
            <v>52027.489187395549</v>
          </cell>
          <cell r="S35">
            <v>125086.15458790996</v>
          </cell>
          <cell r="T35">
            <v>27616.893831584493</v>
          </cell>
          <cell r="U35">
            <v>37983.921921731089</v>
          </cell>
          <cell r="V35">
            <v>37902.392242019014</v>
          </cell>
          <cell r="W35">
            <v>29250.307432440037</v>
          </cell>
          <cell r="X35">
            <v>0</v>
          </cell>
          <cell r="Y35">
            <v>0</v>
          </cell>
          <cell r="Z35">
            <v>1715295.4443098512</v>
          </cell>
          <cell r="AA35">
            <v>0</v>
          </cell>
          <cell r="AB35">
            <v>535.40499999999997</v>
          </cell>
          <cell r="AC35">
            <v>0</v>
          </cell>
          <cell r="AD35">
            <v>0</v>
          </cell>
          <cell r="AH35">
            <v>535.40499999999997</v>
          </cell>
          <cell r="AI35">
            <v>1715830.8493098512</v>
          </cell>
          <cell r="AJ35">
            <v>19400.383467107669</v>
          </cell>
          <cell r="AK35">
            <v>11271.390471999326</v>
          </cell>
          <cell r="AL35">
            <v>15659.39875</v>
          </cell>
          <cell r="AN35">
            <v>46331.172689106999</v>
          </cell>
          <cell r="AO35">
            <v>131235.99900000001</v>
          </cell>
          <cell r="AP35">
            <v>855.83600000000001</v>
          </cell>
          <cell r="AS35">
            <v>132091.83500000002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15330.277</v>
          </cell>
          <cell r="BD35">
            <v>0</v>
          </cell>
          <cell r="BE35">
            <v>-310726.527</v>
          </cell>
          <cell r="BF35">
            <v>35452.237000000001</v>
          </cell>
          <cell r="BJ35">
            <v>-259944.01300000001</v>
          </cell>
        </row>
        <row r="36">
          <cell r="F36">
            <v>1159256.4160010398</v>
          </cell>
          <cell r="G36">
            <v>273462.26389427984</v>
          </cell>
          <cell r="H36">
            <v>26905.931294965209</v>
          </cell>
          <cell r="I36">
            <v>35149.327865412517</v>
          </cell>
          <cell r="J36">
            <v>-77481.75891838898</v>
          </cell>
          <cell r="K36">
            <v>110739.45169078081</v>
          </cell>
          <cell r="L36">
            <v>35174.563390523137</v>
          </cell>
          <cell r="M36">
            <v>-26238.744225824383</v>
          </cell>
          <cell r="N36">
            <v>-37356.382371429587</v>
          </cell>
          <cell r="O36">
            <v>53819.940174563293</v>
          </cell>
          <cell r="P36">
            <v>146052.02842844321</v>
          </cell>
          <cell r="Q36">
            <v>147188.85466990405</v>
          </cell>
          <cell r="R36">
            <v>-89637.828187395469</v>
          </cell>
          <cell r="S36">
            <v>38115.824412090093</v>
          </cell>
          <cell r="T36">
            <v>19873.313168415501</v>
          </cell>
          <cell r="U36">
            <v>78457.973078268988</v>
          </cell>
          <cell r="V36">
            <v>-91610.08924201905</v>
          </cell>
          <cell r="W36">
            <v>968.06756755996321</v>
          </cell>
          <cell r="X36">
            <v>0</v>
          </cell>
          <cell r="Y36">
            <v>0</v>
          </cell>
          <cell r="Z36">
            <v>643582.73669014685</v>
          </cell>
          <cell r="AA36">
            <v>43845.82</v>
          </cell>
          <cell r="AB36">
            <v>-535.40499999999997</v>
          </cell>
          <cell r="AC36">
            <v>9034.8339999999989</v>
          </cell>
          <cell r="AD36">
            <v>19620.103999999999</v>
          </cell>
          <cell r="AH36">
            <v>71965.353000000003</v>
          </cell>
          <cell r="AI36">
            <v>715548.08969014813</v>
          </cell>
          <cell r="AJ36">
            <v>33694.012542892357</v>
          </cell>
          <cell r="AK36">
            <v>37250.622518000688</v>
          </cell>
          <cell r="AL36">
            <v>8234.7302499999569</v>
          </cell>
          <cell r="AN36">
            <v>79179.365310892943</v>
          </cell>
          <cell r="AO36">
            <v>41844.678999999363</v>
          </cell>
          <cell r="AP36">
            <v>-855.83600000000001</v>
          </cell>
          <cell r="AS36">
            <v>40988.842999999353</v>
          </cell>
          <cell r="AT36">
            <v>3819.212</v>
          </cell>
          <cell r="AU36">
            <v>-3208.2659999999996</v>
          </cell>
          <cell r="AV36">
            <v>61282.758999999998</v>
          </cell>
          <cell r="BA36">
            <v>61893.704999999987</v>
          </cell>
          <cell r="BB36">
            <v>0</v>
          </cell>
          <cell r="BC36">
            <v>-13627.877</v>
          </cell>
          <cell r="BD36">
            <v>0</v>
          </cell>
          <cell r="BE36">
            <v>310726.527</v>
          </cell>
          <cell r="BF36">
            <v>-35452.237000000001</v>
          </cell>
          <cell r="BJ36">
            <v>261646.413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-11761</v>
          </cell>
          <cell r="AK38">
            <v>-12262</v>
          </cell>
          <cell r="AL38">
            <v>-17699</v>
          </cell>
          <cell r="AN38">
            <v>-41722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-891722.5</v>
          </cell>
          <cell r="Z39">
            <v>0</v>
          </cell>
          <cell r="AH39">
            <v>0</v>
          </cell>
          <cell r="AI39">
            <v>0</v>
          </cell>
          <cell r="AJ39">
            <v>-341512</v>
          </cell>
          <cell r="AK39">
            <v>-196742</v>
          </cell>
          <cell r="AL39">
            <v>-353468.5</v>
          </cell>
          <cell r="AN39">
            <v>-891722.5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-891722.5</v>
          </cell>
          <cell r="K40">
            <v>-54081.855000000003</v>
          </cell>
          <cell r="L40">
            <v>-61166.57</v>
          </cell>
          <cell r="M40">
            <v>-1704.7660000000001</v>
          </cell>
          <cell r="N40">
            <v>-4677.9549999999999</v>
          </cell>
          <cell r="O40">
            <v>-1935.239</v>
          </cell>
          <cell r="P40">
            <v>0</v>
          </cell>
          <cell r="Z40">
            <v>-123566.38500000001</v>
          </cell>
          <cell r="AH40">
            <v>0</v>
          </cell>
          <cell r="AI40">
            <v>-123566.38500000001</v>
          </cell>
          <cell r="AJ40">
            <v>-304695.875</v>
          </cell>
          <cell r="AK40">
            <v>-149421.46599999999</v>
          </cell>
          <cell r="AL40">
            <v>-314038.77399999998</v>
          </cell>
          <cell r="AN40">
            <v>-768156.11499999999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54081.855000000003</v>
          </cell>
          <cell r="L41">
            <v>61166.57</v>
          </cell>
          <cell r="M41">
            <v>1704.7660000000001</v>
          </cell>
          <cell r="N41">
            <v>4677.9549999999999</v>
          </cell>
          <cell r="O41">
            <v>1935.239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123566.38500000001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123566.38500000001</v>
          </cell>
          <cell r="AJ41">
            <v>-36816.125</v>
          </cell>
          <cell r="AK41">
            <v>-47320.534000000014</v>
          </cell>
          <cell r="AL41">
            <v>-39429.726000000024</v>
          </cell>
          <cell r="AN41">
            <v>-123566.38500000001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54081.855000000003</v>
          </cell>
          <cell r="L43">
            <v>61166.57</v>
          </cell>
          <cell r="M43">
            <v>1704.7660000000001</v>
          </cell>
          <cell r="N43">
            <v>4677.9549999999999</v>
          </cell>
          <cell r="O43">
            <v>1935.239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123566.38500000001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123566.38500000001</v>
          </cell>
          <cell r="AJ43">
            <v>-36816.125</v>
          </cell>
          <cell r="AK43">
            <v>-47320.534000000014</v>
          </cell>
          <cell r="AL43">
            <v>-39429.726000000024</v>
          </cell>
          <cell r="AN43">
            <v>-123566.38500000001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J43">
            <v>0</v>
          </cell>
        </row>
        <row r="45">
          <cell r="G45">
            <v>37712</v>
          </cell>
          <cell r="H45">
            <v>23500</v>
          </cell>
          <cell r="I45">
            <v>18470</v>
          </cell>
          <cell r="J45">
            <v>5877</v>
          </cell>
          <cell r="K45">
            <v>16650</v>
          </cell>
          <cell r="L45">
            <v>16841</v>
          </cell>
          <cell r="M45">
            <v>8639</v>
          </cell>
          <cell r="N45">
            <v>14978</v>
          </cell>
          <cell r="O45">
            <v>9558</v>
          </cell>
          <cell r="P45">
            <v>15453</v>
          </cell>
          <cell r="Q45">
            <v>13997</v>
          </cell>
          <cell r="R45">
            <v>4788.5</v>
          </cell>
          <cell r="S45">
            <v>17471</v>
          </cell>
          <cell r="T45">
            <v>3406.5</v>
          </cell>
          <cell r="U45">
            <v>5554</v>
          </cell>
          <cell r="V45">
            <v>2263</v>
          </cell>
          <cell r="W45">
            <v>2398.5</v>
          </cell>
          <cell r="X45">
            <v>0</v>
          </cell>
          <cell r="Y45">
            <v>0</v>
          </cell>
          <cell r="Z45">
            <v>217556.5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217556.5</v>
          </cell>
          <cell r="AJ45">
            <v>6862</v>
          </cell>
          <cell r="AK45">
            <v>10784</v>
          </cell>
          <cell r="AL45">
            <v>5904</v>
          </cell>
          <cell r="AN45">
            <v>23550</v>
          </cell>
          <cell r="AO45">
            <v>6645.402</v>
          </cell>
          <cell r="AP45">
            <v>0</v>
          </cell>
          <cell r="AS45">
            <v>6645.402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J45">
            <v>0</v>
          </cell>
        </row>
        <row r="46">
          <cell r="F46">
            <v>29557089.723999996</v>
          </cell>
          <cell r="G46">
            <v>3774208</v>
          </cell>
          <cell r="H46">
            <v>2356758.5210000002</v>
          </cell>
          <cell r="I46">
            <v>1919294.9169999999</v>
          </cell>
          <cell r="J46">
            <v>570041.39099999995</v>
          </cell>
          <cell r="K46">
            <v>1875643.9</v>
          </cell>
          <cell r="L46">
            <v>1729334.32</v>
          </cell>
          <cell r="M46">
            <v>890185.7</v>
          </cell>
          <cell r="N46">
            <v>1493437.4</v>
          </cell>
          <cell r="O46">
            <v>924586.43</v>
          </cell>
          <cell r="P46">
            <v>1538533.2</v>
          </cell>
          <cell r="Q46">
            <v>1431989.7</v>
          </cell>
          <cell r="R46">
            <v>487720.15</v>
          </cell>
          <cell r="S46">
            <v>1754061.155</v>
          </cell>
          <cell r="T46">
            <v>364364.7</v>
          </cell>
          <cell r="U46">
            <v>576858.68000000005</v>
          </cell>
          <cell r="V46">
            <v>226082</v>
          </cell>
          <cell r="W46">
            <v>308442.42599999998</v>
          </cell>
          <cell r="X46">
            <v>0</v>
          </cell>
          <cell r="Y46">
            <v>0</v>
          </cell>
          <cell r="Z46">
            <v>22221542.589999996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22312382.589999996</v>
          </cell>
          <cell r="AJ46">
            <v>194060</v>
          </cell>
          <cell r="AK46">
            <v>121976</v>
          </cell>
          <cell r="AL46">
            <v>89328</v>
          </cell>
          <cell r="AN46">
            <v>405364</v>
          </cell>
          <cell r="AO46">
            <v>6765657.9749999996</v>
          </cell>
          <cell r="AP46">
            <v>0</v>
          </cell>
          <cell r="AS46">
            <v>6765657.9749999996</v>
          </cell>
          <cell r="AT46">
            <v>5250</v>
          </cell>
          <cell r="AU46">
            <v>5450</v>
          </cell>
          <cell r="AV46">
            <v>61282.758999999998</v>
          </cell>
          <cell r="BA46">
            <v>71982.758999999991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J46">
            <v>1702.4</v>
          </cell>
        </row>
        <row r="47">
          <cell r="F47">
            <v>26763523.463999998</v>
          </cell>
          <cell r="G47">
            <v>3251170.5619999999</v>
          </cell>
          <cell r="H47">
            <v>2156491.2689999999</v>
          </cell>
          <cell r="I47">
            <v>1743460.6169999999</v>
          </cell>
          <cell r="J47">
            <v>585831.33100000001</v>
          </cell>
          <cell r="K47">
            <v>1573112.0209999999</v>
          </cell>
          <cell r="L47">
            <v>1497591.1139999998</v>
          </cell>
          <cell r="M47">
            <v>829703.19900000014</v>
          </cell>
          <cell r="N47">
            <v>1405746.2520000001</v>
          </cell>
          <cell r="O47">
            <v>797340.89500000002</v>
          </cell>
          <cell r="P47">
            <v>1273383.084</v>
          </cell>
          <cell r="Q47">
            <v>1173772.9890000001</v>
          </cell>
          <cell r="R47">
            <v>525330.48899999994</v>
          </cell>
          <cell r="S47">
            <v>1590859.176</v>
          </cell>
          <cell r="T47">
            <v>316874.49300000002</v>
          </cell>
          <cell r="U47">
            <v>460416.78499999997</v>
          </cell>
          <cell r="V47">
            <v>279789.69700000004</v>
          </cell>
          <cell r="W47">
            <v>278224.05099999998</v>
          </cell>
          <cell r="X47">
            <v>0</v>
          </cell>
          <cell r="Y47">
            <v>0</v>
          </cell>
          <cell r="Z47">
            <v>19739098.024</v>
          </cell>
          <cell r="AA47">
            <v>6154.18</v>
          </cell>
          <cell r="AB47">
            <v>0</v>
          </cell>
          <cell r="AC47">
            <v>3465.1660000000002</v>
          </cell>
          <cell r="AD47">
            <v>8719.8960000000006</v>
          </cell>
          <cell r="AH47">
            <v>18339.242000000002</v>
          </cell>
          <cell r="AI47">
            <v>19757437.265999999</v>
          </cell>
          <cell r="AJ47">
            <v>177781.72898999997</v>
          </cell>
          <cell r="AK47">
            <v>120774.52101</v>
          </cell>
          <cell r="AL47">
            <v>104863.59700000007</v>
          </cell>
          <cell r="AN47">
            <v>403419.84700000007</v>
          </cell>
          <cell r="AO47">
            <v>6592577.2970000003</v>
          </cell>
          <cell r="AP47">
            <v>0</v>
          </cell>
          <cell r="AS47">
            <v>6592577.2970000003</v>
          </cell>
          <cell r="AT47">
            <v>1430.788</v>
          </cell>
          <cell r="AU47">
            <v>8658.2659999999996</v>
          </cell>
          <cell r="AV47">
            <v>0</v>
          </cell>
          <cell r="BA47">
            <v>10089.054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J47">
            <v>0</v>
          </cell>
        </row>
        <row r="48">
          <cell r="F48">
            <v>2793566.2599999979</v>
          </cell>
          <cell r="G48">
            <v>523037.43800000008</v>
          </cell>
          <cell r="H48">
            <v>200267.25200000033</v>
          </cell>
          <cell r="I48">
            <v>175834.30000000005</v>
          </cell>
          <cell r="J48">
            <v>-15789.940000000061</v>
          </cell>
          <cell r="K48">
            <v>302531.87899999996</v>
          </cell>
          <cell r="L48">
            <v>231743.20600000024</v>
          </cell>
          <cell r="M48">
            <v>60482.500999999815</v>
          </cell>
          <cell r="N48">
            <v>87691.147999999812</v>
          </cell>
          <cell r="O48">
            <v>127245.53500000003</v>
          </cell>
          <cell r="P48">
            <v>265150.11599999992</v>
          </cell>
          <cell r="Q48">
            <v>258216.71099999989</v>
          </cell>
          <cell r="R48">
            <v>-37610.33899999992</v>
          </cell>
          <cell r="S48">
            <v>163201.97900000005</v>
          </cell>
          <cell r="T48">
            <v>47490.206999999995</v>
          </cell>
          <cell r="U48">
            <v>116441.89500000008</v>
          </cell>
          <cell r="V48">
            <v>-53707.697000000044</v>
          </cell>
          <cell r="W48">
            <v>30218.375</v>
          </cell>
          <cell r="X48">
            <v>0</v>
          </cell>
          <cell r="Y48">
            <v>0</v>
          </cell>
          <cell r="Z48">
            <v>2482444.5659999959</v>
          </cell>
          <cell r="AA48">
            <v>43845.82</v>
          </cell>
          <cell r="AB48">
            <v>0</v>
          </cell>
          <cell r="AC48">
            <v>9034.8339999999989</v>
          </cell>
          <cell r="AD48">
            <v>19620.103999999999</v>
          </cell>
          <cell r="AH48">
            <v>72500.758000000002</v>
          </cell>
          <cell r="AI48">
            <v>2554945.3239999972</v>
          </cell>
          <cell r="AJ48">
            <v>16278.271010000026</v>
          </cell>
          <cell r="AK48">
            <v>1201.4789900000033</v>
          </cell>
          <cell r="AL48">
            <v>-15535.597000000067</v>
          </cell>
          <cell r="AN48">
            <v>1944.1529999999329</v>
          </cell>
          <cell r="AO48">
            <v>173080.67799999937</v>
          </cell>
          <cell r="AP48">
            <v>0</v>
          </cell>
          <cell r="AS48">
            <v>173080.67799999937</v>
          </cell>
          <cell r="AT48">
            <v>3819.212</v>
          </cell>
          <cell r="AU48">
            <v>-3208.2659999999996</v>
          </cell>
          <cell r="AV48">
            <v>61282.758999999998</v>
          </cell>
          <cell r="BA48">
            <v>61893.704999999987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J48">
            <v>1702.4</v>
          </cell>
        </row>
        <row r="49">
          <cell r="F49">
            <v>1634309.8439989581</v>
          </cell>
          <cell r="G49">
            <v>249575.17410572025</v>
          </cell>
          <cell r="H49">
            <v>173361.32070503512</v>
          </cell>
          <cell r="I49">
            <v>140684.97213458753</v>
          </cell>
          <cell r="J49">
            <v>61691.818918388919</v>
          </cell>
          <cell r="K49">
            <v>137710.57230921916</v>
          </cell>
          <cell r="L49">
            <v>135402.07260947704</v>
          </cell>
          <cell r="M49">
            <v>85016.479225824252</v>
          </cell>
          <cell r="N49">
            <v>120369.57537142932</v>
          </cell>
          <cell r="O49">
            <v>71490.355825436796</v>
          </cell>
          <cell r="P49">
            <v>119098.08757155671</v>
          </cell>
          <cell r="Q49">
            <v>111027.85633009586</v>
          </cell>
          <cell r="R49">
            <v>52027.489187395549</v>
          </cell>
          <cell r="S49">
            <v>125086.15458790996</v>
          </cell>
          <cell r="T49">
            <v>27616.893831584493</v>
          </cell>
          <cell r="U49">
            <v>37983.921921731089</v>
          </cell>
          <cell r="V49">
            <v>37902.392242019014</v>
          </cell>
          <cell r="W49">
            <v>29250.307432440037</v>
          </cell>
          <cell r="X49">
            <v>0</v>
          </cell>
          <cell r="Y49">
            <v>0</v>
          </cell>
          <cell r="Z49">
            <v>1715295.4443098512</v>
          </cell>
          <cell r="AA49">
            <v>0</v>
          </cell>
          <cell r="AB49">
            <v>535.40499999999997</v>
          </cell>
          <cell r="AC49">
            <v>0</v>
          </cell>
          <cell r="AD49">
            <v>0</v>
          </cell>
          <cell r="AH49">
            <v>535.40499999999997</v>
          </cell>
          <cell r="AI49">
            <v>1715830.8493098512</v>
          </cell>
          <cell r="AJ49">
            <v>19400.383467107669</v>
          </cell>
          <cell r="AK49">
            <v>11271.390471999326</v>
          </cell>
          <cell r="AL49">
            <v>15659.39875</v>
          </cell>
          <cell r="AN49">
            <v>46331.172689106999</v>
          </cell>
          <cell r="AO49">
            <v>131235.99900000001</v>
          </cell>
          <cell r="AP49">
            <v>855.83600000000001</v>
          </cell>
          <cell r="AS49">
            <v>132091.83500000002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15330.277</v>
          </cell>
          <cell r="BD49">
            <v>0</v>
          </cell>
          <cell r="BE49">
            <v>-310726.527</v>
          </cell>
          <cell r="BF49">
            <v>35452.237000000001</v>
          </cell>
          <cell r="BJ49">
            <v>-259944.01300000001</v>
          </cell>
        </row>
        <row r="50">
          <cell r="F50">
            <v>1159256.4160010398</v>
          </cell>
          <cell r="G50">
            <v>273462.26389427984</v>
          </cell>
          <cell r="H50">
            <v>26905.931294965209</v>
          </cell>
          <cell r="I50">
            <v>35149.327865412517</v>
          </cell>
          <cell r="J50">
            <v>-77481.75891838898</v>
          </cell>
          <cell r="K50">
            <v>164821.3066907808</v>
          </cell>
          <cell r="L50">
            <v>96341.133390523202</v>
          </cell>
          <cell r="M50">
            <v>-24533.978225824438</v>
          </cell>
          <cell r="N50">
            <v>-32678.427371429512</v>
          </cell>
          <cell r="O50">
            <v>55755.179174563236</v>
          </cell>
          <cell r="P50">
            <v>146052.02842844321</v>
          </cell>
          <cell r="Q50">
            <v>147188.85466990405</v>
          </cell>
          <cell r="R50">
            <v>-89637.828187395469</v>
          </cell>
          <cell r="S50">
            <v>38115.824412090093</v>
          </cell>
          <cell r="T50">
            <v>19873.313168415501</v>
          </cell>
          <cell r="U50">
            <v>78457.973078268988</v>
          </cell>
          <cell r="V50">
            <v>-91610.08924201905</v>
          </cell>
          <cell r="W50">
            <v>968.06756755996321</v>
          </cell>
          <cell r="X50">
            <v>0</v>
          </cell>
          <cell r="Y50">
            <v>0</v>
          </cell>
          <cell r="Z50">
            <v>767149.12169014476</v>
          </cell>
          <cell r="AA50">
            <v>43845.82</v>
          </cell>
          <cell r="AB50">
            <v>-535.40499999999997</v>
          </cell>
          <cell r="AC50">
            <v>9034.8339999999989</v>
          </cell>
          <cell r="AD50">
            <v>19620.103999999999</v>
          </cell>
          <cell r="AH50">
            <v>71965.353000000003</v>
          </cell>
          <cell r="AI50">
            <v>839114.47469014605</v>
          </cell>
          <cell r="AJ50">
            <v>-3122.1124571076434</v>
          </cell>
          <cell r="AK50">
            <v>-10069.911481999323</v>
          </cell>
          <cell r="AL50">
            <v>-31194.995750000067</v>
          </cell>
          <cell r="AN50">
            <v>-44387.019689107066</v>
          </cell>
          <cell r="AO50">
            <v>41844.678999999363</v>
          </cell>
          <cell r="AP50">
            <v>-855.83600000000001</v>
          </cell>
          <cell r="AS50">
            <v>40988.842999999353</v>
          </cell>
          <cell r="AT50">
            <v>3819.212</v>
          </cell>
          <cell r="AU50">
            <v>-3208.2659999999996</v>
          </cell>
          <cell r="AV50">
            <v>61282.758999999998</v>
          </cell>
          <cell r="BA50">
            <v>61893.704999999987</v>
          </cell>
          <cell r="BB50">
            <v>0</v>
          </cell>
          <cell r="BC50">
            <v>-13627.877</v>
          </cell>
          <cell r="BD50">
            <v>0</v>
          </cell>
          <cell r="BE50">
            <v>310726.527</v>
          </cell>
          <cell r="BF50">
            <v>-35452.237000000001</v>
          </cell>
          <cell r="BJ50">
            <v>261646.413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/>
          <cell r="BH6"/>
          <cell r="BI6"/>
          <cell r="BJ6" t="str">
            <v>기타 계</v>
          </cell>
          <cell r="BK6"/>
        </row>
        <row r="7">
          <cell r="F7"/>
          <cell r="G7">
            <v>83473</v>
          </cell>
          <cell r="H7">
            <v>51840</v>
          </cell>
          <cell r="I7">
            <v>41352</v>
          </cell>
          <cell r="J7">
            <v>11158</v>
          </cell>
          <cell r="K7">
            <v>40465</v>
          </cell>
          <cell r="L7">
            <v>40751</v>
          </cell>
          <cell r="M7">
            <v>20978</v>
          </cell>
          <cell r="N7">
            <v>36495.5</v>
          </cell>
          <cell r="O7">
            <v>23422</v>
          </cell>
          <cell r="P7">
            <v>32768</v>
          </cell>
          <cell r="Q7">
            <v>28751.5</v>
          </cell>
          <cell r="R7">
            <v>10171.5</v>
          </cell>
          <cell r="S7">
            <v>40470</v>
          </cell>
          <cell r="T7">
            <v>6939.5</v>
          </cell>
          <cell r="U7">
            <v>12917</v>
          </cell>
          <cell r="V7">
            <v>8830</v>
          </cell>
          <cell r="W7">
            <v>5660</v>
          </cell>
          <cell r="X7"/>
          <cell r="Y7"/>
          <cell r="Z7">
            <v>496442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496442</v>
          </cell>
          <cell r="AJ7">
            <v>45828</v>
          </cell>
          <cell r="AK7">
            <v>50918</v>
          </cell>
          <cell r="AL7">
            <v>53043</v>
          </cell>
          <cell r="AM7"/>
          <cell r="AN7">
            <v>149789</v>
          </cell>
          <cell r="AO7">
            <v>13070.494999999999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/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67616410.784999996</v>
          </cell>
          <cell r="G8">
            <v>8145406.9000000004</v>
          </cell>
          <cell r="H8">
            <v>5123569.8490000004</v>
          </cell>
          <cell r="I8">
            <v>4220621.8449999997</v>
          </cell>
          <cell r="J8">
            <v>1056884.9909999999</v>
          </cell>
          <cell r="K8">
            <v>4393804.7659999998</v>
          </cell>
          <cell r="L8">
            <v>4067820.62</v>
          </cell>
          <cell r="M8">
            <v>2115895.9</v>
          </cell>
          <cell r="N8">
            <v>3711543.05</v>
          </cell>
          <cell r="O8">
            <v>2236502.33</v>
          </cell>
          <cell r="P8">
            <v>3382204.3</v>
          </cell>
          <cell r="Q8">
            <v>2906525.5999999996</v>
          </cell>
          <cell r="R8">
            <v>1048327.75</v>
          </cell>
          <cell r="S8">
            <v>3979338.051</v>
          </cell>
          <cell r="T8">
            <v>776639.8</v>
          </cell>
          <cell r="U8">
            <v>1329620.26</v>
          </cell>
          <cell r="V8">
            <v>874290.73600000003</v>
          </cell>
          <cell r="W8">
            <v>728191.72499999998</v>
          </cell>
          <cell r="X8"/>
          <cell r="Y8"/>
          <cell r="Z8">
            <v>50097188.472999997</v>
          </cell>
          <cell r="AA8">
            <v>100000</v>
          </cell>
          <cell r="AB8">
            <v>0</v>
          </cell>
          <cell r="AC8">
            <v>25000</v>
          </cell>
          <cell r="AD8">
            <v>56680</v>
          </cell>
          <cell r="AE8"/>
          <cell r="AF8"/>
          <cell r="AG8"/>
          <cell r="AH8">
            <v>181680</v>
          </cell>
          <cell r="AI8">
            <v>50278868.472999997</v>
          </cell>
          <cell r="AJ8">
            <v>1315618</v>
          </cell>
          <cell r="AK8">
            <v>692030</v>
          </cell>
          <cell r="AL8">
            <v>1008958.5</v>
          </cell>
          <cell r="AM8"/>
          <cell r="AN8">
            <v>3016606.5</v>
          </cell>
          <cell r="AO8">
            <v>14173615.142000001</v>
          </cell>
          <cell r="AP8">
            <v>0</v>
          </cell>
          <cell r="AQ8"/>
          <cell r="AR8"/>
          <cell r="AS8">
            <v>14173615.142000001</v>
          </cell>
          <cell r="AT8">
            <v>10500</v>
          </cell>
          <cell r="AU8">
            <v>10900</v>
          </cell>
          <cell r="AV8">
            <v>122515.87</v>
          </cell>
          <cell r="AW8"/>
          <cell r="AX8"/>
          <cell r="AY8"/>
          <cell r="AZ8"/>
          <cell r="BA8">
            <v>143915.87</v>
          </cell>
          <cell r="BB8">
            <v>0</v>
          </cell>
          <cell r="BC8">
            <v>3404.8</v>
          </cell>
          <cell r="BD8">
            <v>0</v>
          </cell>
          <cell r="BE8">
            <v>0</v>
          </cell>
          <cell r="BF8">
            <v>0</v>
          </cell>
          <cell r="BG8"/>
          <cell r="BH8"/>
          <cell r="BI8"/>
          <cell r="BJ8">
            <v>3404.8</v>
          </cell>
          <cell r="BK8"/>
          <cell r="BL8"/>
          <cell r="BM8"/>
          <cell r="BN8"/>
          <cell r="BO8"/>
        </row>
        <row r="9">
          <cell r="F9"/>
          <cell r="G9">
            <v>97581.336480059414</v>
          </cell>
          <cell r="H9">
            <v>98834.294926697534</v>
          </cell>
          <cell r="I9">
            <v>102065.72463242407</v>
          </cell>
          <cell r="J9">
            <v>94719.931080838855</v>
          </cell>
          <cell r="K9">
            <v>108582.84359322871</v>
          </cell>
          <cell r="L9">
            <v>99821.369291551135</v>
          </cell>
          <cell r="M9">
            <v>100862.61321384307</v>
          </cell>
          <cell r="N9">
            <v>101698.64914852515</v>
          </cell>
          <cell r="O9">
            <v>95487.248313551361</v>
          </cell>
          <cell r="P9">
            <v>103216.68395996094</v>
          </cell>
          <cell r="Q9">
            <v>101091.26828165486</v>
          </cell>
          <cell r="R9">
            <v>103065.20670500908</v>
          </cell>
          <cell r="S9">
            <v>98328.096145292802</v>
          </cell>
          <cell r="T9">
            <v>111915.81526046546</v>
          </cell>
          <cell r="U9">
            <v>102935.68630486955</v>
          </cell>
          <cell r="V9">
            <v>99013.673386183465</v>
          </cell>
          <cell r="W9">
            <v>128655.78180212015</v>
          </cell>
          <cell r="X9"/>
          <cell r="Y9"/>
          <cell r="Z9">
            <v>100912.47008311142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101278.43428436755</v>
          </cell>
          <cell r="AJ9">
            <v>28707.733263507027</v>
          </cell>
          <cell r="AK9">
            <v>13591.067991672884</v>
          </cell>
          <cell r="AL9">
            <v>19021.520276002488</v>
          </cell>
          <cell r="AM9"/>
          <cell r="AN9"/>
          <cell r="AO9">
            <v>1084397.7326030883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/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60251956.876449995</v>
          </cell>
          <cell r="G10">
            <v>7153502.5293400008</v>
          </cell>
          <cell r="H10">
            <v>4691199.5457099993</v>
          </cell>
          <cell r="I10">
            <v>3838452.1186699998</v>
          </cell>
          <cell r="J10">
            <v>1075187.80372</v>
          </cell>
          <cell r="K10">
            <v>3631671.4201799999</v>
          </cell>
          <cell r="L10">
            <v>3558678.90337</v>
          </cell>
          <cell r="M10">
            <v>1907634.3012699999</v>
          </cell>
          <cell r="N10">
            <v>3271777.7359500001</v>
          </cell>
          <cell r="O10">
            <v>1911595.5922399999</v>
          </cell>
          <cell r="P10">
            <v>2709964.8451300003</v>
          </cell>
          <cell r="Q10">
            <v>2380449.0049999999</v>
          </cell>
          <cell r="R10">
            <v>1036844.7877799999</v>
          </cell>
          <cell r="S10">
            <v>3625927.6727999998</v>
          </cell>
          <cell r="T10">
            <v>655826.06526000006</v>
          </cell>
          <cell r="U10">
            <v>1026526.22575</v>
          </cell>
          <cell r="V10">
            <v>834463.59519000002</v>
          </cell>
          <cell r="W10">
            <v>627673.66090000002</v>
          </cell>
          <cell r="X10"/>
          <cell r="Y10"/>
          <cell r="Z10">
            <v>43937375.808260001</v>
          </cell>
          <cell r="AA10">
            <v>996.39100000000008</v>
          </cell>
          <cell r="AB10">
            <v>0</v>
          </cell>
          <cell r="AC10">
            <v>6936.3520000000008</v>
          </cell>
          <cell r="AD10">
            <v>17464.317999999999</v>
          </cell>
          <cell r="AE10"/>
          <cell r="AF10"/>
          <cell r="AG10"/>
          <cell r="AH10">
            <v>25397.061000000002</v>
          </cell>
          <cell r="AI10">
            <v>43962772.869259998</v>
          </cell>
          <cell r="AJ10">
            <v>1118754.71477</v>
          </cell>
          <cell r="AK10">
            <v>558981.43619000004</v>
          </cell>
          <cell r="AL10">
            <v>807752.72823000001</v>
          </cell>
          <cell r="AM10"/>
          <cell r="AN10">
            <v>2485488.8791899998</v>
          </cell>
          <cell r="AO10">
            <v>13803102.256999999</v>
          </cell>
          <cell r="AP10">
            <v>0</v>
          </cell>
          <cell r="AQ10"/>
          <cell r="AR10"/>
          <cell r="AS10">
            <v>13803102.256999999</v>
          </cell>
          <cell r="AT10">
            <v>243.923</v>
          </cell>
          <cell r="AU10">
            <v>348.94799999999998</v>
          </cell>
          <cell r="AV10">
            <v>0</v>
          </cell>
          <cell r="AW10"/>
          <cell r="AX10"/>
          <cell r="AY10"/>
          <cell r="AZ10"/>
          <cell r="BA10">
            <v>592.87099999999998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/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85698.39983395829</v>
          </cell>
          <cell r="H11">
            <v>90493.818397183626</v>
          </cell>
          <cell r="I11">
            <v>92823.856613223063</v>
          </cell>
          <cell r="J11">
            <v>96360.262029037462</v>
          </cell>
          <cell r="K11">
            <v>89748.459660941546</v>
          </cell>
          <cell r="L11">
            <v>87327.400637284969</v>
          </cell>
          <cell r="M11">
            <v>90934.993863571362</v>
          </cell>
          <cell r="N11">
            <v>89648.798782041617</v>
          </cell>
          <cell r="O11">
            <v>81615.386911450769</v>
          </cell>
          <cell r="P11">
            <v>82701.563877258304</v>
          </cell>
          <cell r="Q11">
            <v>82793.90657878718</v>
          </cell>
          <cell r="R11">
            <v>101936.27171803568</v>
          </cell>
          <cell r="S11">
            <v>89595.445337286874</v>
          </cell>
          <cell r="T11">
            <v>94506.241841631258</v>
          </cell>
          <cell r="U11">
            <v>79470.947259425564</v>
          </cell>
          <cell r="V11">
            <v>94503.238413363535</v>
          </cell>
          <cell r="W11">
            <v>110896.40651943463</v>
          </cell>
          <cell r="X11"/>
          <cell r="Y11"/>
          <cell r="Z11">
            <v>88504.549994279281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88555.708157770699</v>
          </cell>
          <cell r="AJ11">
            <v>24412.034449899624</v>
          </cell>
          <cell r="AK11">
            <v>10978.071334105818</v>
          </cell>
          <cell r="AL11">
            <v>15228.262508342288</v>
          </cell>
          <cell r="AM11"/>
          <cell r="AN11"/>
          <cell r="AO11">
            <v>1056050.4599864045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/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7364453.9085500017</v>
          </cell>
          <cell r="G12">
            <v>991904.37065999955</v>
          </cell>
          <cell r="H12">
            <v>432370.30329000112</v>
          </cell>
          <cell r="I12">
            <v>382169.72632999998</v>
          </cell>
          <cell r="J12">
            <v>-18302.812720000045</v>
          </cell>
          <cell r="K12">
            <v>762133.34581999993</v>
          </cell>
          <cell r="L12">
            <v>509141.71663000016</v>
          </cell>
          <cell r="M12">
            <v>208261.59872999997</v>
          </cell>
          <cell r="N12">
            <v>439765.3140499997</v>
          </cell>
          <cell r="O12">
            <v>324906.73776000016</v>
          </cell>
          <cell r="P12">
            <v>672239.45486999955</v>
          </cell>
          <cell r="Q12">
            <v>526076.59499999974</v>
          </cell>
          <cell r="R12">
            <v>11482.962220000103</v>
          </cell>
          <cell r="S12">
            <v>353410.37820000015</v>
          </cell>
          <cell r="T12">
            <v>120813.73473999999</v>
          </cell>
          <cell r="U12">
            <v>303094.03425000003</v>
          </cell>
          <cell r="V12">
            <v>39827.140810000012</v>
          </cell>
          <cell r="W12">
            <v>100518.06409999996</v>
          </cell>
          <cell r="X12"/>
          <cell r="Y12"/>
          <cell r="Z12">
            <v>6159812.6647400009</v>
          </cell>
          <cell r="AA12">
            <v>99003.608999999997</v>
          </cell>
          <cell r="AB12">
            <v>0</v>
          </cell>
          <cell r="AC12">
            <v>18063.648000000001</v>
          </cell>
          <cell r="AD12">
            <v>39215.682000000001</v>
          </cell>
          <cell r="AE12"/>
          <cell r="AF12"/>
          <cell r="AG12"/>
          <cell r="AH12">
            <v>156282.93900000001</v>
          </cell>
          <cell r="AI12">
            <v>6316095.6037399992</v>
          </cell>
          <cell r="AJ12">
            <v>196863.28523000004</v>
          </cell>
          <cell r="AK12">
            <v>133048.56380999996</v>
          </cell>
          <cell r="AL12">
            <v>201205.77176999999</v>
          </cell>
          <cell r="AM12"/>
          <cell r="AN12">
            <v>531117.62081000023</v>
          </cell>
          <cell r="AO12">
            <v>370512.88500000164</v>
          </cell>
          <cell r="AP12">
            <v>0</v>
          </cell>
          <cell r="AQ12"/>
          <cell r="AR12"/>
          <cell r="AS12">
            <v>370512.88500000164</v>
          </cell>
          <cell r="AT12">
            <v>10256.076999999999</v>
          </cell>
          <cell r="AU12">
            <v>10551.052</v>
          </cell>
          <cell r="AV12">
            <v>122515.87</v>
          </cell>
          <cell r="AW12"/>
          <cell r="AX12"/>
          <cell r="AY12"/>
          <cell r="AZ12"/>
          <cell r="BA12">
            <v>143322.99900000001</v>
          </cell>
          <cell r="BB12">
            <v>0</v>
          </cell>
          <cell r="BC12">
            <v>3404.8</v>
          </cell>
          <cell r="BD12">
            <v>0</v>
          </cell>
          <cell r="BE12">
            <v>0</v>
          </cell>
          <cell r="BF12">
            <v>0</v>
          </cell>
          <cell r="BG12"/>
          <cell r="BH12"/>
          <cell r="BI12"/>
          <cell r="BJ12">
            <v>3404.8</v>
          </cell>
          <cell r="BK12"/>
          <cell r="BL12"/>
          <cell r="BM12"/>
          <cell r="BN12"/>
          <cell r="BO12"/>
        </row>
        <row r="13">
          <cell r="F13">
            <v>1557490.9890000001</v>
          </cell>
          <cell r="G13">
            <v>144353.58100000001</v>
          </cell>
          <cell r="H13">
            <v>124591.037</v>
          </cell>
          <cell r="I13">
            <v>102430.65699999999</v>
          </cell>
          <cell r="J13">
            <v>65641.986000000004</v>
          </cell>
          <cell r="K13">
            <v>95993.796999999991</v>
          </cell>
          <cell r="L13">
            <v>105935.51199999999</v>
          </cell>
          <cell r="M13">
            <v>76097.054000000004</v>
          </cell>
          <cell r="N13">
            <v>89571.935999999987</v>
          </cell>
          <cell r="O13">
            <v>51904.103999999999</v>
          </cell>
          <cell r="P13">
            <v>87478.346000000005</v>
          </cell>
          <cell r="Q13">
            <v>74975.831000000006</v>
          </cell>
          <cell r="R13">
            <v>55251.521000000001</v>
          </cell>
          <cell r="S13">
            <v>89540.862999999998</v>
          </cell>
          <cell r="T13">
            <v>19833.277999999998</v>
          </cell>
          <cell r="U13">
            <v>20844.224999999999</v>
          </cell>
          <cell r="V13">
            <v>55190.828000000001</v>
          </cell>
          <cell r="W13">
            <v>29741.506999999998</v>
          </cell>
          <cell r="X13"/>
          <cell r="Y13"/>
          <cell r="Z13">
            <v>1289376.0630000001</v>
          </cell>
          <cell r="AA13">
            <v>0</v>
          </cell>
          <cell r="AB13">
            <v>468.48</v>
          </cell>
          <cell r="AC13">
            <v>0</v>
          </cell>
          <cell r="AD13">
            <v>0</v>
          </cell>
          <cell r="AE13"/>
          <cell r="AF13"/>
          <cell r="AG13"/>
          <cell r="AH13">
            <v>468.48</v>
          </cell>
          <cell r="AI13">
            <v>1289844.5430000001</v>
          </cell>
          <cell r="AJ13">
            <v>920</v>
          </cell>
          <cell r="AK13">
            <v>0</v>
          </cell>
          <cell r="AL13">
            <v>0</v>
          </cell>
          <cell r="AM13"/>
          <cell r="AN13">
            <v>920</v>
          </cell>
          <cell r="AO13">
            <v>243160.804</v>
          </cell>
          <cell r="AP13">
            <v>0</v>
          </cell>
          <cell r="AQ13"/>
          <cell r="AR13"/>
          <cell r="AS13">
            <v>243160.804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23565.642</v>
          </cell>
          <cell r="BG13"/>
          <cell r="BH13"/>
          <cell r="BI13"/>
          <cell r="BJ13">
            <v>23565.642</v>
          </cell>
          <cell r="BK13"/>
          <cell r="BL13"/>
          <cell r="BM13"/>
          <cell r="BN13"/>
          <cell r="BO13"/>
        </row>
        <row r="14">
          <cell r="F14">
            <v>1037734.8020000001</v>
          </cell>
          <cell r="G14">
            <v>90921.611999999994</v>
          </cell>
          <cell r="H14">
            <v>81604.411999999997</v>
          </cell>
          <cell r="I14">
            <v>68779.929999999993</v>
          </cell>
          <cell r="J14">
            <v>45724.808000000005</v>
          </cell>
          <cell r="K14">
            <v>60906.843999999997</v>
          </cell>
          <cell r="L14">
            <v>67325.929999999993</v>
          </cell>
          <cell r="M14">
            <v>50872.39</v>
          </cell>
          <cell r="N14">
            <v>63233.923999999992</v>
          </cell>
          <cell r="O14">
            <v>34889.135999999999</v>
          </cell>
          <cell r="P14">
            <v>62313.226000000002</v>
          </cell>
          <cell r="Q14">
            <v>51012.873999999996</v>
          </cell>
          <cell r="R14">
            <v>36125.745999999999</v>
          </cell>
          <cell r="S14">
            <v>58553.941999999995</v>
          </cell>
          <cell r="T14">
            <v>14033.343999999999</v>
          </cell>
          <cell r="U14">
            <v>13751.12</v>
          </cell>
          <cell r="V14">
            <v>40102.476000000002</v>
          </cell>
          <cell r="W14">
            <v>20720.157999999999</v>
          </cell>
          <cell r="X14"/>
          <cell r="Y14"/>
          <cell r="Z14">
            <v>860871.87200000021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860871.87200000021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176862.93</v>
          </cell>
          <cell r="AP14">
            <v>0</v>
          </cell>
          <cell r="AQ14"/>
          <cell r="AR14"/>
          <cell r="AS14">
            <v>176862.93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/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519756.18699999998</v>
          </cell>
          <cell r="G15">
            <v>53431.968999999997</v>
          </cell>
          <cell r="H15">
            <v>42986.625</v>
          </cell>
          <cell r="I15">
            <v>33650.726999999999</v>
          </cell>
          <cell r="J15">
            <v>19917.178</v>
          </cell>
          <cell r="K15">
            <v>35086.953000000001</v>
          </cell>
          <cell r="L15">
            <v>38609.581999999995</v>
          </cell>
          <cell r="M15">
            <v>25224.663999999997</v>
          </cell>
          <cell r="N15">
            <v>26338.012000000002</v>
          </cell>
          <cell r="O15">
            <v>17014.968000000001</v>
          </cell>
          <cell r="P15">
            <v>25165.119999999999</v>
          </cell>
          <cell r="Q15">
            <v>23962.957000000002</v>
          </cell>
          <cell r="R15">
            <v>19125.775000000001</v>
          </cell>
          <cell r="S15">
            <v>30986.920999999998</v>
          </cell>
          <cell r="T15">
            <v>5799.9340000000002</v>
          </cell>
          <cell r="U15">
            <v>7093.1049999999996</v>
          </cell>
          <cell r="V15">
            <v>15088.352000000001</v>
          </cell>
          <cell r="W15">
            <v>9021.3489999999983</v>
          </cell>
          <cell r="X15"/>
          <cell r="Y15"/>
          <cell r="Z15">
            <v>428504.19099999999</v>
          </cell>
          <cell r="AA15">
            <v>0</v>
          </cell>
          <cell r="AB15">
            <v>468.48</v>
          </cell>
          <cell r="AC15">
            <v>0</v>
          </cell>
          <cell r="AD15">
            <v>0</v>
          </cell>
          <cell r="AE15"/>
          <cell r="AF15"/>
          <cell r="AG15"/>
          <cell r="AH15">
            <v>468.48</v>
          </cell>
          <cell r="AI15">
            <v>428972.67099999997</v>
          </cell>
          <cell r="AJ15">
            <v>920</v>
          </cell>
          <cell r="AK15">
            <v>0</v>
          </cell>
          <cell r="AL15">
            <v>0</v>
          </cell>
          <cell r="AM15"/>
          <cell r="AN15">
            <v>920</v>
          </cell>
          <cell r="AO15">
            <v>66297.874000000011</v>
          </cell>
          <cell r="AP15">
            <v>0</v>
          </cell>
          <cell r="AQ15"/>
          <cell r="AR15"/>
          <cell r="AS15">
            <v>66297.874000000011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23565.642</v>
          </cell>
          <cell r="BG15"/>
          <cell r="BH15"/>
          <cell r="BI15"/>
          <cell r="BJ15">
            <v>23565.642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/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5806962.9195500016</v>
          </cell>
          <cell r="G17">
            <v>847550.78965999954</v>
          </cell>
          <cell r="H17">
            <v>307779.26629000111</v>
          </cell>
          <cell r="I17">
            <v>279739.06932999997</v>
          </cell>
          <cell r="J17">
            <v>-83944.79872000005</v>
          </cell>
          <cell r="K17">
            <v>666139.54881999991</v>
          </cell>
          <cell r="L17">
            <v>403206.20463000017</v>
          </cell>
          <cell r="M17">
            <v>132164.54472999997</v>
          </cell>
          <cell r="N17">
            <v>350193.37804999971</v>
          </cell>
          <cell r="O17">
            <v>273002.63376000017</v>
          </cell>
          <cell r="P17">
            <v>584761.10886999953</v>
          </cell>
          <cell r="Q17">
            <v>451100.76399999973</v>
          </cell>
          <cell r="R17">
            <v>-43768.558779999898</v>
          </cell>
          <cell r="S17">
            <v>263869.51520000014</v>
          </cell>
          <cell r="T17">
            <v>100980.45673999999</v>
          </cell>
          <cell r="U17">
            <v>282249.80925000005</v>
          </cell>
          <cell r="V17">
            <v>-15363.68718999999</v>
          </cell>
          <cell r="W17">
            <v>70776.557099999962</v>
          </cell>
          <cell r="X17"/>
          <cell r="Y17"/>
          <cell r="Z17">
            <v>4870436.6017400008</v>
          </cell>
          <cell r="AA17">
            <v>99003.608999999997</v>
          </cell>
          <cell r="AB17">
            <v>-468.48</v>
          </cell>
          <cell r="AC17">
            <v>18063.648000000001</v>
          </cell>
          <cell r="AD17">
            <v>39215.682000000001</v>
          </cell>
          <cell r="AE17"/>
          <cell r="AF17"/>
          <cell r="AG17"/>
          <cell r="AH17">
            <v>155814.459</v>
          </cell>
          <cell r="AI17">
            <v>5026251.0607399996</v>
          </cell>
          <cell r="AJ17">
            <v>195943.28523000004</v>
          </cell>
          <cell r="AK17">
            <v>133048.56380999996</v>
          </cell>
          <cell r="AL17">
            <v>201205.77176999999</v>
          </cell>
          <cell r="AM17"/>
          <cell r="AN17">
            <v>530197.62081000023</v>
          </cell>
          <cell r="AO17">
            <v>127352.08100000164</v>
          </cell>
          <cell r="AP17">
            <v>0</v>
          </cell>
          <cell r="AQ17"/>
          <cell r="AR17"/>
          <cell r="AS17">
            <v>127352.08100000164</v>
          </cell>
          <cell r="AT17">
            <v>10256.076999999999</v>
          </cell>
          <cell r="AU17">
            <v>10551.052</v>
          </cell>
          <cell r="AV17">
            <v>122515.87</v>
          </cell>
          <cell r="AW17"/>
          <cell r="AX17"/>
          <cell r="AY17"/>
          <cell r="AZ17"/>
          <cell r="BA17">
            <v>143322.99900000001</v>
          </cell>
          <cell r="BB17">
            <v>0</v>
          </cell>
          <cell r="BC17">
            <v>3404.8</v>
          </cell>
          <cell r="BD17">
            <v>0</v>
          </cell>
          <cell r="BE17">
            <v>0</v>
          </cell>
          <cell r="BF17">
            <v>-23565.642</v>
          </cell>
          <cell r="BG17"/>
          <cell r="BH17"/>
          <cell r="BI17"/>
          <cell r="BJ17">
            <v>-20160.842000000001</v>
          </cell>
          <cell r="BK17"/>
          <cell r="BL17"/>
          <cell r="BM17"/>
          <cell r="BN17"/>
          <cell r="BO17"/>
        </row>
        <row r="18">
          <cell r="F18">
            <v>1153165.63155</v>
          </cell>
          <cell r="G18">
            <v>59018.745659999993</v>
          </cell>
          <cell r="H18">
            <v>66896.562290000002</v>
          </cell>
          <cell r="I18">
            <v>37874.87833</v>
          </cell>
          <cell r="J18">
            <v>37027.763280000006</v>
          </cell>
          <cell r="K18">
            <v>165880.17382</v>
          </cell>
          <cell r="L18">
            <v>86310.203630000004</v>
          </cell>
          <cell r="M18">
            <v>32913.489729999994</v>
          </cell>
          <cell r="N18">
            <v>58359.190049999997</v>
          </cell>
          <cell r="O18">
            <v>22207.84676</v>
          </cell>
          <cell r="P18">
            <v>64403.227870000002</v>
          </cell>
          <cell r="Q18">
            <v>29201.195999999996</v>
          </cell>
          <cell r="R18">
            <v>24970.273219999999</v>
          </cell>
          <cell r="S18">
            <v>70126.319199999998</v>
          </cell>
          <cell r="T18">
            <v>11263.210739999999</v>
          </cell>
          <cell r="U18">
            <v>20467.165250000002</v>
          </cell>
          <cell r="V18">
            <v>41493.734810000009</v>
          </cell>
          <cell r="W18">
            <v>20533.624100000001</v>
          </cell>
          <cell r="X18"/>
          <cell r="Y18"/>
          <cell r="Z18">
            <v>848947.60473999998</v>
          </cell>
          <cell r="AA18">
            <v>11345.182000000001</v>
          </cell>
          <cell r="AB18">
            <v>707.34400000000005</v>
          </cell>
          <cell r="AC18">
            <v>0</v>
          </cell>
          <cell r="AD18">
            <v>0</v>
          </cell>
          <cell r="AE18"/>
          <cell r="AF18"/>
          <cell r="AG18"/>
          <cell r="AH18">
            <v>12052.526000000002</v>
          </cell>
          <cell r="AI18">
            <v>861000.13074000017</v>
          </cell>
          <cell r="AJ18">
            <v>66952.313219999996</v>
          </cell>
          <cell r="AK18">
            <v>20994.76482</v>
          </cell>
          <cell r="AL18">
            <v>91414.700769999996</v>
          </cell>
          <cell r="AM18"/>
          <cell r="AN18">
            <v>179361.77880999999</v>
          </cell>
          <cell r="AO18">
            <v>10240.190999999999</v>
          </cell>
          <cell r="AP18">
            <v>1711.672</v>
          </cell>
          <cell r="AQ18"/>
          <cell r="AR18"/>
          <cell r="AS18">
            <v>11951.862999999999</v>
          </cell>
          <cell r="AT18">
            <v>2625.7840000000001</v>
          </cell>
          <cell r="AU18">
            <v>16979.216</v>
          </cell>
          <cell r="AV18">
            <v>0</v>
          </cell>
          <cell r="AW18"/>
          <cell r="AX18"/>
          <cell r="AY18"/>
          <cell r="AZ18"/>
          <cell r="BA18">
            <v>19605</v>
          </cell>
          <cell r="BB18">
            <v>0</v>
          </cell>
          <cell r="BC18">
            <v>33290.976999999999</v>
          </cell>
          <cell r="BD18">
            <v>0</v>
          </cell>
          <cell r="BE18">
            <v>0</v>
          </cell>
          <cell r="BF18">
            <v>47955.881999999998</v>
          </cell>
          <cell r="BG18"/>
          <cell r="BH18"/>
          <cell r="BI18"/>
          <cell r="BJ18">
            <v>81246.858999999997</v>
          </cell>
          <cell r="BK18"/>
          <cell r="BL18"/>
          <cell r="BM18"/>
          <cell r="BN18"/>
          <cell r="BO18"/>
        </row>
        <row r="19">
          <cell r="F19">
            <v>1015132.7395500001</v>
          </cell>
          <cell r="G19">
            <v>54363.501659999994</v>
          </cell>
          <cell r="H19">
            <v>63006.292289999998</v>
          </cell>
          <cell r="I19">
            <v>34332.384330000001</v>
          </cell>
          <cell r="J19">
            <v>34643.787280000004</v>
          </cell>
          <cell r="K19">
            <v>162128.04181999998</v>
          </cell>
          <cell r="L19">
            <v>83181.39963</v>
          </cell>
          <cell r="M19">
            <v>30526.291729999997</v>
          </cell>
          <cell r="N19">
            <v>55232.580049999997</v>
          </cell>
          <cell r="O19">
            <v>20707.77476</v>
          </cell>
          <cell r="P19">
            <v>61965.695870000003</v>
          </cell>
          <cell r="Q19">
            <v>26790.42</v>
          </cell>
          <cell r="R19">
            <v>22765.963219999998</v>
          </cell>
          <cell r="S19">
            <v>66949.917199999996</v>
          </cell>
          <cell r="T19">
            <v>10522.410739999999</v>
          </cell>
          <cell r="U19">
            <v>19581.427250000001</v>
          </cell>
          <cell r="V19">
            <v>39240.006810000006</v>
          </cell>
          <cell r="W19">
            <v>18882.884099999999</v>
          </cell>
          <cell r="X19"/>
          <cell r="Y19"/>
          <cell r="Z19">
            <v>804820.7787400001</v>
          </cell>
          <cell r="AA19">
            <v>11345.182000000001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11345.182000000001</v>
          </cell>
          <cell r="AI19">
            <v>816165.96074000013</v>
          </cell>
          <cell r="AJ19">
            <v>66952.313219999996</v>
          </cell>
          <cell r="AK19">
            <v>20994.76482</v>
          </cell>
          <cell r="AL19">
            <v>91414.700769999996</v>
          </cell>
          <cell r="AM19"/>
          <cell r="AN19">
            <v>179361.77880999999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2625.7840000000001</v>
          </cell>
          <cell r="AU19">
            <v>16979.216</v>
          </cell>
          <cell r="AV19">
            <v>0</v>
          </cell>
          <cell r="AW19"/>
          <cell r="AX19"/>
          <cell r="AY19"/>
          <cell r="AZ19"/>
          <cell r="BA19">
            <v>19605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/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138032.89199999999</v>
          </cell>
          <cell r="G20">
            <v>4655.2439999999997</v>
          </cell>
          <cell r="H20">
            <v>3890.27</v>
          </cell>
          <cell r="I20">
            <v>3542.4940000000001</v>
          </cell>
          <cell r="J20">
            <v>2383.9760000000001</v>
          </cell>
          <cell r="K20">
            <v>3752.1320000000001</v>
          </cell>
          <cell r="L20">
            <v>3128.8040000000001</v>
          </cell>
          <cell r="M20">
            <v>2387.1979999999999</v>
          </cell>
          <cell r="N20">
            <v>3126.61</v>
          </cell>
          <cell r="O20">
            <v>1500.0719999999999</v>
          </cell>
          <cell r="P20">
            <v>2437.5320000000002</v>
          </cell>
          <cell r="Q20">
            <v>2410.7759999999998</v>
          </cell>
          <cell r="R20">
            <v>2204.31</v>
          </cell>
          <cell r="S20">
            <v>3176.402</v>
          </cell>
          <cell r="T20">
            <v>740.8</v>
          </cell>
          <cell r="U20">
            <v>885.73800000000006</v>
          </cell>
          <cell r="V20">
            <v>2253.7280000000001</v>
          </cell>
          <cell r="W20">
            <v>1650.74</v>
          </cell>
          <cell r="X20"/>
          <cell r="Y20"/>
          <cell r="Z20">
            <v>44126.826000000001</v>
          </cell>
          <cell r="AA20">
            <v>0</v>
          </cell>
          <cell r="AB20">
            <v>707.34400000000005</v>
          </cell>
          <cell r="AC20">
            <v>0</v>
          </cell>
          <cell r="AD20">
            <v>0</v>
          </cell>
          <cell r="AE20"/>
          <cell r="AF20"/>
          <cell r="AG20"/>
          <cell r="AH20">
            <v>707.34400000000005</v>
          </cell>
          <cell r="AI20">
            <v>44834.17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10240.190999999999</v>
          </cell>
          <cell r="AP20">
            <v>1711.672</v>
          </cell>
          <cell r="AQ20"/>
          <cell r="AR20"/>
          <cell r="AS20">
            <v>11951.862999999999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33290.976999999999</v>
          </cell>
          <cell r="BD20">
            <v>0</v>
          </cell>
          <cell r="BE20">
            <v>0</v>
          </cell>
          <cell r="BF20">
            <v>47955.881999999998</v>
          </cell>
          <cell r="BG20"/>
          <cell r="BH20"/>
          <cell r="BI20"/>
          <cell r="BJ20">
            <v>81246.858999999997</v>
          </cell>
          <cell r="BK20"/>
          <cell r="BL20"/>
          <cell r="BM20"/>
          <cell r="BN20"/>
          <cell r="BO20"/>
        </row>
        <row r="21">
          <cell r="F21">
            <v>4653797.2880000016</v>
          </cell>
          <cell r="G21">
            <v>788532.04399999953</v>
          </cell>
          <cell r="H21">
            <v>240882.7040000011</v>
          </cell>
          <cell r="I21">
            <v>241864.19099999996</v>
          </cell>
          <cell r="J21">
            <v>-120972.56200000006</v>
          </cell>
          <cell r="K21">
            <v>500259.37499999988</v>
          </cell>
          <cell r="L21">
            <v>316896.00100000016</v>
          </cell>
          <cell r="M21">
            <v>99251.054999999964</v>
          </cell>
          <cell r="N21">
            <v>291834.18799999973</v>
          </cell>
          <cell r="O21">
            <v>250794.78700000019</v>
          </cell>
          <cell r="P21">
            <v>520357.88099999953</v>
          </cell>
          <cell r="Q21">
            <v>421899.56799999974</v>
          </cell>
          <cell r="R21">
            <v>-68738.831999999893</v>
          </cell>
          <cell r="S21">
            <v>193743.19600000014</v>
          </cell>
          <cell r="T21">
            <v>89717.245999999999</v>
          </cell>
          <cell r="U21">
            <v>261782.64400000006</v>
          </cell>
          <cell r="V21">
            <v>-56857.421999999999</v>
          </cell>
          <cell r="W21">
            <v>50242.932999999961</v>
          </cell>
          <cell r="X21"/>
          <cell r="Y21"/>
          <cell r="Z21">
            <v>4021488.9970000009</v>
          </cell>
          <cell r="AA21">
            <v>87658.426999999996</v>
          </cell>
          <cell r="AB21">
            <v>-1175.8240000000001</v>
          </cell>
          <cell r="AC21">
            <v>18063.648000000001</v>
          </cell>
          <cell r="AD21">
            <v>39215.682000000001</v>
          </cell>
          <cell r="AE21"/>
          <cell r="AF21"/>
          <cell r="AG21"/>
          <cell r="AH21">
            <v>143761.93299999999</v>
          </cell>
          <cell r="AI21">
            <v>4165250.9299999997</v>
          </cell>
          <cell r="AJ21">
            <v>128990.97201000004</v>
          </cell>
          <cell r="AK21">
            <v>112053.79898999997</v>
          </cell>
          <cell r="AL21">
            <v>109791.071</v>
          </cell>
          <cell r="AM21"/>
          <cell r="AN21">
            <v>350835.84200000024</v>
          </cell>
          <cell r="AO21">
            <v>117111.89000000164</v>
          </cell>
          <cell r="AP21">
            <v>-1711.672</v>
          </cell>
          <cell r="AQ21"/>
          <cell r="AR21"/>
          <cell r="AS21">
            <v>115400.21800000164</v>
          </cell>
          <cell r="AT21">
            <v>7630.2929999999997</v>
          </cell>
          <cell r="AU21">
            <v>-6428.1640000000007</v>
          </cell>
          <cell r="AV21">
            <v>122515.87</v>
          </cell>
          <cell r="AW21"/>
          <cell r="AX21"/>
          <cell r="AY21"/>
          <cell r="AZ21"/>
          <cell r="BA21">
            <v>123717.99900000001</v>
          </cell>
          <cell r="BB21">
            <v>0</v>
          </cell>
          <cell r="BC21">
            <v>-29886.177</v>
          </cell>
          <cell r="BD21">
            <v>0</v>
          </cell>
          <cell r="BE21">
            <v>0</v>
          </cell>
          <cell r="BF21">
            <v>-71521.524000000005</v>
          </cell>
          <cell r="BG21"/>
          <cell r="BH21"/>
          <cell r="BI21"/>
          <cell r="BJ21">
            <v>-101407.701</v>
          </cell>
          <cell r="BK21"/>
          <cell r="BL21"/>
          <cell r="BM21"/>
          <cell r="BN21"/>
          <cell r="BO21"/>
        </row>
        <row r="22">
          <cell r="F22">
            <v>2379472.3350011199</v>
          </cell>
          <cell r="G22">
            <v>421609.80322412989</v>
          </cell>
          <cell r="H22">
            <v>265347.50529738481</v>
          </cell>
          <cell r="I22">
            <v>218775.47586886922</v>
          </cell>
          <cell r="J22">
            <v>54010.31737683111</v>
          </cell>
          <cell r="K22">
            <v>231826.02465020365</v>
          </cell>
          <cell r="L22">
            <v>214681.3597053194</v>
          </cell>
          <cell r="M22">
            <v>111739.19493419127</v>
          </cell>
          <cell r="N22">
            <v>196526.94491146441</v>
          </cell>
          <cell r="O22">
            <v>118233.81344102486</v>
          </cell>
          <cell r="P22">
            <v>177724.60068761287</v>
          </cell>
          <cell r="Q22">
            <v>151885.74158058607</v>
          </cell>
          <cell r="R22">
            <v>55003.173654483071</v>
          </cell>
          <cell r="S22">
            <v>198689.42947891759</v>
          </cell>
          <cell r="T22">
            <v>38586.111322391182</v>
          </cell>
          <cell r="U22">
            <v>66468.614591495978</v>
          </cell>
          <cell r="V22">
            <v>45040.062149254052</v>
          </cell>
          <cell r="W22">
            <v>36467.944679588254</v>
          </cell>
          <cell r="X22"/>
          <cell r="Y22"/>
          <cell r="Z22">
            <v>2602616.1175537482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2602616.1175537482</v>
          </cell>
          <cell r="AJ22">
            <v>37862.492370790926</v>
          </cell>
          <cell r="AK22">
            <v>20327.07477658111</v>
          </cell>
          <cell r="AL22">
            <v>29393.177300000003</v>
          </cell>
          <cell r="AM22"/>
          <cell r="AN22">
            <v>87582.744447372039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-310726.527</v>
          </cell>
          <cell r="BF22">
            <v>0</v>
          </cell>
          <cell r="BG22"/>
          <cell r="BH22"/>
          <cell r="BI22"/>
          <cell r="BJ22">
            <v>-310726.527</v>
          </cell>
          <cell r="BK22"/>
          <cell r="BL22"/>
          <cell r="BM22"/>
          <cell r="BN22"/>
          <cell r="BO22"/>
        </row>
        <row r="23">
          <cell r="F23">
            <v>467586.90200111957</v>
          </cell>
          <cell r="G23">
            <v>61535.795089680832</v>
          </cell>
          <cell r="H23">
            <v>38716.291902917881</v>
          </cell>
          <cell r="I23">
            <v>31905.270032122909</v>
          </cell>
          <cell r="J23">
            <v>7940.4313833159886</v>
          </cell>
          <cell r="K23">
            <v>36296.785474588803</v>
          </cell>
          <cell r="L23">
            <v>33600.859508427922</v>
          </cell>
          <cell r="M23">
            <v>17473.723978913025</v>
          </cell>
          <cell r="N23">
            <v>30622.494524085363</v>
          </cell>
          <cell r="O23">
            <v>18462.86800043983</v>
          </cell>
          <cell r="P23">
            <v>27979.829871867529</v>
          </cell>
          <cell r="Q23">
            <v>24090.822843333564</v>
          </cell>
          <cell r="R23">
            <v>8677.0143081797905</v>
          </cell>
          <cell r="S23">
            <v>22052.635871162784</v>
          </cell>
          <cell r="T23">
            <v>4290.6350474445126</v>
          </cell>
          <cell r="U23">
            <v>7374.0559664452439</v>
          </cell>
          <cell r="V23">
            <v>4941.5707765403849</v>
          </cell>
          <cell r="W23">
            <v>4043.0729742811172</v>
          </cell>
          <cell r="X23"/>
          <cell r="Y23"/>
          <cell r="Z23">
            <v>380004.15755374753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380004.15755374753</v>
          </cell>
          <cell r="AJ23">
            <v>37862.492370790926</v>
          </cell>
          <cell r="AK23">
            <v>20327.07477658111</v>
          </cell>
          <cell r="AL23">
            <v>29393.177300000003</v>
          </cell>
          <cell r="AM23"/>
          <cell r="AN23">
            <v>87582.744447372039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/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951986.03600000008</v>
          </cell>
          <cell r="G24">
            <v>154201.98749162717</v>
          </cell>
          <cell r="H24">
            <v>97057.626558114338</v>
          </cell>
          <cell r="I24">
            <v>80032.842471536977</v>
          </cell>
          <cell r="J24">
            <v>19717.256941032083</v>
          </cell>
          <cell r="K24">
            <v>83759.911562471898</v>
          </cell>
          <cell r="L24">
            <v>77571.507411261497</v>
          </cell>
          <cell r="M24">
            <v>40382.977867077949</v>
          </cell>
          <cell r="N24">
            <v>71083.114791549742</v>
          </cell>
          <cell r="O24">
            <v>42743.966975571122</v>
          </cell>
          <cell r="P24">
            <v>64132.670912557594</v>
          </cell>
          <cell r="Q24">
            <v>54715.322606580186</v>
          </cell>
          <cell r="R24">
            <v>19838.91560249589</v>
          </cell>
          <cell r="S24">
            <v>75658.496783893745</v>
          </cell>
          <cell r="T24">
            <v>14686.380887475698</v>
          </cell>
          <cell r="U24">
            <v>25313.254931758012</v>
          </cell>
          <cell r="V24">
            <v>17199.421575522189</v>
          </cell>
          <cell r="W24">
            <v>13890.380629473915</v>
          </cell>
          <cell r="X24"/>
          <cell r="Y24"/>
          <cell r="Z24">
            <v>951986.03600000008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951986.03600000008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/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959899.39700000035</v>
          </cell>
          <cell r="G25">
            <v>205872.02064282191</v>
          </cell>
          <cell r="H25">
            <v>129573.58683635258</v>
          </cell>
          <cell r="I25">
            <v>106837.36336520936</v>
          </cell>
          <cell r="J25">
            <v>26352.629052483037</v>
          </cell>
          <cell r="K25">
            <v>111769.32761314293</v>
          </cell>
          <cell r="L25">
            <v>103508.99278562999</v>
          </cell>
          <cell r="M25">
            <v>53882.493088200295</v>
          </cell>
          <cell r="N25">
            <v>94821.335595829296</v>
          </cell>
          <cell r="O25">
            <v>57026.978465013912</v>
          </cell>
          <cell r="P25">
            <v>85612.099903187744</v>
          </cell>
          <cell r="Q25">
            <v>73079.596130672318</v>
          </cell>
          <cell r="R25">
            <v>26487.24374380739</v>
          </cell>
          <cell r="S25">
            <v>100978.29682386106</v>
          </cell>
          <cell r="T25">
            <v>19609.095387470974</v>
          </cell>
          <cell r="U25">
            <v>33781.303693292721</v>
          </cell>
          <cell r="V25">
            <v>22899.069797191481</v>
          </cell>
          <cell r="W25">
            <v>18534.491075833219</v>
          </cell>
          <cell r="X25"/>
          <cell r="Y25"/>
          <cell r="Z25">
            <v>1270625.9240000003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1270625.9240000003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-310726.527</v>
          </cell>
          <cell r="BF25">
            <v>0</v>
          </cell>
          <cell r="BG25"/>
          <cell r="BH25"/>
          <cell r="BI25"/>
          <cell r="BJ25">
            <v>-310726.527</v>
          </cell>
          <cell r="BK25"/>
          <cell r="BL25"/>
          <cell r="BM25"/>
          <cell r="BN25"/>
          <cell r="BO25"/>
        </row>
        <row r="26">
          <cell r="F26">
            <v>2274324.9529988817</v>
          </cell>
          <cell r="G26">
            <v>366922.24077586964</v>
          </cell>
          <cell r="H26">
            <v>-24464.801297383703</v>
          </cell>
          <cell r="I26">
            <v>23088.715131130739</v>
          </cell>
          <cell r="J26">
            <v>-174982.87937683117</v>
          </cell>
          <cell r="K26">
            <v>268433.35034979624</v>
          </cell>
          <cell r="L26">
            <v>102214.64129468077</v>
          </cell>
          <cell r="M26">
            <v>-12488.139934191306</v>
          </cell>
          <cell r="N26">
            <v>95307.243088535324</v>
          </cell>
          <cell r="O26">
            <v>132560.97355897533</v>
          </cell>
          <cell r="P26">
            <v>342633.28031238669</v>
          </cell>
          <cell r="Q26">
            <v>270013.82641941367</v>
          </cell>
          <cell r="R26">
            <v>-123742.00565448296</v>
          </cell>
          <cell r="S26">
            <v>-4946.2334789174492</v>
          </cell>
          <cell r="T26">
            <v>51131.134677608818</v>
          </cell>
          <cell r="U26">
            <v>195314.02940850408</v>
          </cell>
          <cell r="V26">
            <v>-101897.48414925404</v>
          </cell>
          <cell r="W26">
            <v>13774.988320411707</v>
          </cell>
          <cell r="X26"/>
          <cell r="Y26"/>
          <cell r="Z26">
            <v>1418872.8794462527</v>
          </cell>
          <cell r="AA26">
            <v>87658.426999999996</v>
          </cell>
          <cell r="AB26">
            <v>-1175.8240000000001</v>
          </cell>
          <cell r="AC26">
            <v>18063.648000000001</v>
          </cell>
          <cell r="AD26">
            <v>39215.682000000001</v>
          </cell>
          <cell r="AE26"/>
          <cell r="AF26"/>
          <cell r="AG26"/>
          <cell r="AH26">
            <v>143761.93299999999</v>
          </cell>
          <cell r="AI26">
            <v>1562634.8124462515</v>
          </cell>
          <cell r="AJ26">
            <v>91128.479639209108</v>
          </cell>
          <cell r="AK26">
            <v>91726.724213418856</v>
          </cell>
          <cell r="AL26">
            <v>80397.893699999986</v>
          </cell>
          <cell r="AM26"/>
          <cell r="AN26">
            <v>263253.0975526282</v>
          </cell>
          <cell r="AO26">
            <v>117111.89000000164</v>
          </cell>
          <cell r="AP26">
            <v>-1711.672</v>
          </cell>
          <cell r="AQ26"/>
          <cell r="AR26"/>
          <cell r="AS26">
            <v>115400.21800000164</v>
          </cell>
          <cell r="AT26">
            <v>7630.2929999999997</v>
          </cell>
          <cell r="AU26">
            <v>-6428.1640000000007</v>
          </cell>
          <cell r="AV26">
            <v>122515.87</v>
          </cell>
          <cell r="AW26"/>
          <cell r="AX26"/>
          <cell r="AY26"/>
          <cell r="AZ26"/>
          <cell r="BA26">
            <v>123717.99900000001</v>
          </cell>
          <cell r="BB26">
            <v>0</v>
          </cell>
          <cell r="BC26">
            <v>-29886.177</v>
          </cell>
          <cell r="BD26">
            <v>0</v>
          </cell>
          <cell r="BE26">
            <v>310726.527</v>
          </cell>
          <cell r="BF26">
            <v>-71521.524000000005</v>
          </cell>
          <cell r="BG26"/>
          <cell r="BH26"/>
          <cell r="BI26"/>
          <cell r="BJ26">
            <v>209318.826</v>
          </cell>
          <cell r="BK26"/>
          <cell r="BL26"/>
          <cell r="BM26"/>
          <cell r="BN26"/>
          <cell r="BO26"/>
        </row>
        <row r="27">
          <cell r="F27">
            <v>2274324.9529988794</v>
          </cell>
          <cell r="G27">
            <v>366922.24077587016</v>
          </cell>
          <cell r="H27">
            <v>-24464.801297384143</v>
          </cell>
          <cell r="I27">
            <v>23088.715131130735</v>
          </cell>
          <cell r="J27">
            <v>-174982.87937683117</v>
          </cell>
          <cell r="K27">
            <v>268433.35034979624</v>
          </cell>
          <cell r="L27">
            <v>102214.64129468049</v>
          </cell>
          <cell r="M27">
            <v>-12488.139934191291</v>
          </cell>
          <cell r="N27">
            <v>95307.243088535324</v>
          </cell>
          <cell r="O27">
            <v>132560.97355897521</v>
          </cell>
          <cell r="P27">
            <v>342633.2803123871</v>
          </cell>
          <cell r="Q27">
            <v>270013.82641941385</v>
          </cell>
          <cell r="R27">
            <v>-123742.00565448301</v>
          </cell>
          <cell r="S27">
            <v>-4946.2334789174274</v>
          </cell>
          <cell r="T27">
            <v>51131.13467760881</v>
          </cell>
          <cell r="U27">
            <v>195314.02940850414</v>
          </cell>
          <cell r="V27">
            <v>-101897.48414925407</v>
          </cell>
          <cell r="W27">
            <v>13774.98832041172</v>
          </cell>
          <cell r="X27"/>
          <cell r="Y27"/>
          <cell r="Z27">
            <v>1418872.879446252</v>
          </cell>
          <cell r="AA27">
            <v>87658.426999999996</v>
          </cell>
          <cell r="AB27">
            <v>-1175.8240000000001</v>
          </cell>
          <cell r="AC27">
            <v>18063.648000000001</v>
          </cell>
          <cell r="AD27">
            <v>39215.682000000001</v>
          </cell>
          <cell r="AE27"/>
          <cell r="AF27"/>
          <cell r="AG27"/>
          <cell r="AH27">
            <v>143761.93300000002</v>
          </cell>
          <cell r="AI27">
            <v>1562634.812446252</v>
          </cell>
          <cell r="AJ27">
            <v>91128.479639209007</v>
          </cell>
          <cell r="AK27">
            <v>91726.724213418842</v>
          </cell>
          <cell r="AL27">
            <v>80397.893699999986</v>
          </cell>
          <cell r="AM27"/>
          <cell r="AN27">
            <v>263253.09755262779</v>
          </cell>
          <cell r="AO27">
            <v>117111.8899999998</v>
          </cell>
          <cell r="AP27">
            <v>-1711.672</v>
          </cell>
          <cell r="AQ27"/>
          <cell r="AR27"/>
          <cell r="AS27">
            <v>115400.21799999979</v>
          </cell>
          <cell r="AT27">
            <v>7630.2930000000006</v>
          </cell>
          <cell r="AU27">
            <v>-6428.1640000000007</v>
          </cell>
          <cell r="AV27">
            <v>122515.87</v>
          </cell>
          <cell r="AW27"/>
          <cell r="AX27"/>
          <cell r="AY27"/>
          <cell r="AZ27"/>
          <cell r="BA27">
            <v>123717.999</v>
          </cell>
          <cell r="BB27">
            <v>0</v>
          </cell>
          <cell r="BC27">
            <v>-29886.177000000003</v>
          </cell>
          <cell r="BD27">
            <v>0</v>
          </cell>
          <cell r="BE27">
            <v>310726.527</v>
          </cell>
          <cell r="BF27">
            <v>-71521.524000000005</v>
          </cell>
          <cell r="BG27"/>
          <cell r="BH27"/>
          <cell r="BI27"/>
          <cell r="BJ27">
            <v>209318.82599999997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-5.2386894822120667E-10</v>
          </cell>
          <cell r="H28">
            <v>4.4019543565809727E-10</v>
          </cell>
          <cell r="I28">
            <v>0</v>
          </cell>
          <cell r="J28">
            <v>0</v>
          </cell>
          <cell r="K28">
            <v>0</v>
          </cell>
          <cell r="L28">
            <v>2.7648638933897018E-10</v>
          </cell>
          <cell r="M28">
            <v>-1.4551915228366852E-11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-2.1827872842550278E-11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1.8480932340025902E-9</v>
          </cell>
          <cell r="AP28">
            <v>0</v>
          </cell>
          <cell r="AQ28"/>
          <cell r="AR28"/>
          <cell r="AS28">
            <v>1.8480932340025902E-9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/>
          <cell r="BH28"/>
          <cell r="BI28"/>
          <cell r="BJ28">
            <v>0</v>
          </cell>
        </row>
        <row r="29">
          <cell r="F29">
            <v>3149681.8979988815</v>
          </cell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83473</v>
          </cell>
          <cell r="H31">
            <v>51840</v>
          </cell>
          <cell r="I31">
            <v>41352</v>
          </cell>
          <cell r="J31">
            <v>11158</v>
          </cell>
          <cell r="K31">
            <v>40465</v>
          </cell>
          <cell r="L31">
            <v>40751</v>
          </cell>
          <cell r="M31">
            <v>20978</v>
          </cell>
          <cell r="N31">
            <v>36495.5</v>
          </cell>
          <cell r="O31">
            <v>23422</v>
          </cell>
          <cell r="P31">
            <v>32768</v>
          </cell>
          <cell r="Q31">
            <v>28751.5</v>
          </cell>
          <cell r="R31">
            <v>10171.5</v>
          </cell>
          <cell r="S31">
            <v>40470</v>
          </cell>
          <cell r="T31">
            <v>6939.5</v>
          </cell>
          <cell r="U31">
            <v>12917</v>
          </cell>
          <cell r="V31">
            <v>8830</v>
          </cell>
          <cell r="W31">
            <v>5660</v>
          </cell>
          <cell r="X31">
            <v>0</v>
          </cell>
          <cell r="Y31">
            <v>0</v>
          </cell>
          <cell r="Z31">
            <v>496442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496442</v>
          </cell>
          <cell r="AJ31">
            <v>45828</v>
          </cell>
          <cell r="AK31">
            <v>50918</v>
          </cell>
          <cell r="AL31">
            <v>53043</v>
          </cell>
          <cell r="AM31"/>
          <cell r="AN31">
            <v>149789</v>
          </cell>
          <cell r="AO31">
            <v>13070.494999999999</v>
          </cell>
          <cell r="AP31">
            <v>0</v>
          </cell>
          <cell r="AQ31"/>
          <cell r="AR31"/>
          <cell r="AS31">
            <v>13070.494999999999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/>
          <cell r="BH31"/>
          <cell r="BI31"/>
          <cell r="BJ31">
            <v>0</v>
          </cell>
        </row>
        <row r="32">
          <cell r="F32">
            <v>67616410.784999996</v>
          </cell>
          <cell r="G32">
            <v>8145406.9000000004</v>
          </cell>
          <cell r="H32">
            <v>5123569.8490000004</v>
          </cell>
          <cell r="I32">
            <v>4220621.8449999997</v>
          </cell>
          <cell r="J32">
            <v>1056884.9909999999</v>
          </cell>
          <cell r="K32">
            <v>4393804.7659999998</v>
          </cell>
          <cell r="L32">
            <v>4067820.62</v>
          </cell>
          <cell r="M32">
            <v>2115895.9</v>
          </cell>
          <cell r="N32">
            <v>3711543.05</v>
          </cell>
          <cell r="O32">
            <v>2236502.33</v>
          </cell>
          <cell r="P32">
            <v>3382204.3</v>
          </cell>
          <cell r="Q32">
            <v>2906525.5999999996</v>
          </cell>
          <cell r="R32">
            <v>1048327.75</v>
          </cell>
          <cell r="S32">
            <v>3979338.051</v>
          </cell>
          <cell r="T32">
            <v>776639.8</v>
          </cell>
          <cell r="U32">
            <v>1329620.26</v>
          </cell>
          <cell r="V32">
            <v>874290.73600000003</v>
          </cell>
          <cell r="W32">
            <v>728191.72499999998</v>
          </cell>
          <cell r="X32">
            <v>0</v>
          </cell>
          <cell r="Y32">
            <v>0</v>
          </cell>
          <cell r="Z32">
            <v>50097188.472999997</v>
          </cell>
          <cell r="AA32">
            <v>100000</v>
          </cell>
          <cell r="AB32">
            <v>0</v>
          </cell>
          <cell r="AC32">
            <v>25000</v>
          </cell>
          <cell r="AD32">
            <v>56680</v>
          </cell>
          <cell r="AE32"/>
          <cell r="AF32"/>
          <cell r="AG32"/>
          <cell r="AH32">
            <v>181680</v>
          </cell>
          <cell r="AI32">
            <v>50278868.472999997</v>
          </cell>
          <cell r="AJ32">
            <v>1315618</v>
          </cell>
          <cell r="AK32">
            <v>692030</v>
          </cell>
          <cell r="AL32">
            <v>1008958.5</v>
          </cell>
          <cell r="AM32"/>
          <cell r="AN32">
            <v>3016606.5</v>
          </cell>
          <cell r="AO32">
            <v>14173615.142000001</v>
          </cell>
          <cell r="AP32">
            <v>0</v>
          </cell>
          <cell r="AQ32"/>
          <cell r="AR32"/>
          <cell r="AS32">
            <v>14173615.142000001</v>
          </cell>
          <cell r="AT32">
            <v>10500</v>
          </cell>
          <cell r="AU32">
            <v>10900</v>
          </cell>
          <cell r="AV32">
            <v>122515.87</v>
          </cell>
          <cell r="AW32"/>
          <cell r="AX32"/>
          <cell r="AY32"/>
          <cell r="AZ32"/>
          <cell r="BA32">
            <v>143915.87</v>
          </cell>
          <cell r="BB32">
            <v>0</v>
          </cell>
          <cell r="BC32">
            <v>3404.8</v>
          </cell>
          <cell r="BD32">
            <v>0</v>
          </cell>
          <cell r="BE32">
            <v>0</v>
          </cell>
          <cell r="BF32">
            <v>0</v>
          </cell>
          <cell r="BG32"/>
          <cell r="BH32"/>
          <cell r="BI32"/>
          <cell r="BJ32">
            <v>3404.8</v>
          </cell>
        </row>
        <row r="33">
          <cell r="F33">
            <v>61267089.615999989</v>
          </cell>
          <cell r="G33">
            <v>7207866.0310000004</v>
          </cell>
          <cell r="H33">
            <v>4754205.8379999995</v>
          </cell>
          <cell r="I33">
            <v>3872784.5029999996</v>
          </cell>
          <cell r="J33">
            <v>1109831.591</v>
          </cell>
          <cell r="K33">
            <v>3793799.4619999998</v>
          </cell>
          <cell r="L33">
            <v>3641860.3029999998</v>
          </cell>
          <cell r="M33">
            <v>1938160.5929999999</v>
          </cell>
          <cell r="N33">
            <v>3327010.3160000001</v>
          </cell>
          <cell r="O33">
            <v>1932303.3669999999</v>
          </cell>
          <cell r="P33">
            <v>2771930.5410000002</v>
          </cell>
          <cell r="Q33">
            <v>2407239.4249999998</v>
          </cell>
          <cell r="R33">
            <v>1059610.7509999999</v>
          </cell>
          <cell r="S33">
            <v>3692877.59</v>
          </cell>
          <cell r="T33">
            <v>666348.47600000002</v>
          </cell>
          <cell r="U33">
            <v>1046107.6529999999</v>
          </cell>
          <cell r="V33">
            <v>873703.60200000007</v>
          </cell>
          <cell r="W33">
            <v>646556.54500000004</v>
          </cell>
          <cell r="X33">
            <v>0</v>
          </cell>
          <cell r="Y33">
            <v>0</v>
          </cell>
          <cell r="Z33">
            <v>44742196.58699999</v>
          </cell>
          <cell r="AA33">
            <v>12341.573</v>
          </cell>
          <cell r="AB33">
            <v>0</v>
          </cell>
          <cell r="AC33">
            <v>6936.3520000000008</v>
          </cell>
          <cell r="AD33">
            <v>17464.317999999999</v>
          </cell>
          <cell r="AE33"/>
          <cell r="AF33"/>
          <cell r="AG33"/>
          <cell r="AH33">
            <v>36742.243000000002</v>
          </cell>
          <cell r="AI33">
            <v>44778938.829999991</v>
          </cell>
          <cell r="AJ33">
            <v>1185707.0279899999</v>
          </cell>
          <cell r="AK33">
            <v>579976.20101000008</v>
          </cell>
          <cell r="AL33">
            <v>899167.429</v>
          </cell>
          <cell r="AM33"/>
          <cell r="AN33">
            <v>2664850.6579999998</v>
          </cell>
          <cell r="AO33">
            <v>13803102.256999999</v>
          </cell>
          <cell r="AP33">
            <v>0</v>
          </cell>
          <cell r="AQ33"/>
          <cell r="AR33"/>
          <cell r="AS33">
            <v>13803102.256999999</v>
          </cell>
          <cell r="AT33">
            <v>2869.7070000000003</v>
          </cell>
          <cell r="AU33">
            <v>17328.164000000001</v>
          </cell>
          <cell r="AV33">
            <v>0</v>
          </cell>
          <cell r="AW33"/>
          <cell r="AX33"/>
          <cell r="AY33"/>
          <cell r="AZ33"/>
          <cell r="BA33">
            <v>20197.870999999999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/>
          <cell r="BH33"/>
          <cell r="BI33"/>
          <cell r="BJ33">
            <v>0</v>
          </cell>
        </row>
        <row r="34">
          <cell r="F34">
            <v>6349321.1690000072</v>
          </cell>
          <cell r="G34">
            <v>937540.86899999995</v>
          </cell>
          <cell r="H34">
            <v>369364.01100000087</v>
          </cell>
          <cell r="I34">
            <v>347837.34200000018</v>
          </cell>
          <cell r="J34">
            <v>-52946.600000000093</v>
          </cell>
          <cell r="K34">
            <v>600005.304</v>
          </cell>
          <cell r="L34">
            <v>425960.31700000027</v>
          </cell>
          <cell r="M34">
            <v>177735.30700000003</v>
          </cell>
          <cell r="N34">
            <v>384532.73399999971</v>
          </cell>
          <cell r="O34">
            <v>304198.96300000022</v>
          </cell>
          <cell r="P34">
            <v>610273.75899999961</v>
          </cell>
          <cell r="Q34">
            <v>499286.17499999981</v>
          </cell>
          <cell r="R34">
            <v>-11283.000999999931</v>
          </cell>
          <cell r="S34">
            <v>286460.46100000013</v>
          </cell>
          <cell r="T34">
            <v>110291.32400000002</v>
          </cell>
          <cell r="U34">
            <v>283512.60700000008</v>
          </cell>
          <cell r="V34">
            <v>587.13399999996182</v>
          </cell>
          <cell r="W34">
            <v>81635.179999999935</v>
          </cell>
          <cell r="X34">
            <v>0</v>
          </cell>
          <cell r="Y34">
            <v>0</v>
          </cell>
          <cell r="Z34">
            <v>5354991.8860000074</v>
          </cell>
          <cell r="AA34">
            <v>87658.426999999996</v>
          </cell>
          <cell r="AB34">
            <v>0</v>
          </cell>
          <cell r="AC34">
            <v>18063.648000000001</v>
          </cell>
          <cell r="AD34">
            <v>39215.682000000001</v>
          </cell>
          <cell r="AE34"/>
          <cell r="AF34"/>
          <cell r="AG34"/>
          <cell r="AH34">
            <v>144937.75699999998</v>
          </cell>
          <cell r="AI34">
            <v>5499929.6430000067</v>
          </cell>
          <cell r="AJ34">
            <v>129910.97201000014</v>
          </cell>
          <cell r="AK34">
            <v>112053.79898999992</v>
          </cell>
          <cell r="AL34">
            <v>109791.071</v>
          </cell>
          <cell r="AM34"/>
          <cell r="AN34">
            <v>351755.84200000018</v>
          </cell>
          <cell r="AO34">
            <v>370512.88500000164</v>
          </cell>
          <cell r="AP34">
            <v>0</v>
          </cell>
          <cell r="AQ34"/>
          <cell r="AR34"/>
          <cell r="AS34">
            <v>370512.88500000164</v>
          </cell>
          <cell r="AT34">
            <v>7630.2929999999997</v>
          </cell>
          <cell r="AU34">
            <v>-6428.1640000000007</v>
          </cell>
          <cell r="AV34">
            <v>122515.87</v>
          </cell>
          <cell r="AW34"/>
          <cell r="AX34"/>
          <cell r="AY34"/>
          <cell r="AZ34"/>
          <cell r="BA34">
            <v>123717.999</v>
          </cell>
          <cell r="BB34">
            <v>0</v>
          </cell>
          <cell r="BC34">
            <v>3404.8</v>
          </cell>
          <cell r="BD34">
            <v>0</v>
          </cell>
          <cell r="BE34">
            <v>0</v>
          </cell>
          <cell r="BF34">
            <v>0</v>
          </cell>
          <cell r="BG34"/>
          <cell r="BH34"/>
          <cell r="BI34"/>
          <cell r="BJ34">
            <v>3404.8</v>
          </cell>
        </row>
        <row r="35">
          <cell r="F35">
            <v>4074996.216001119</v>
          </cell>
          <cell r="G35">
            <v>570618.62822412979</v>
          </cell>
          <cell r="H35">
            <v>393828.81229738484</v>
          </cell>
          <cell r="I35">
            <v>324748.62686886924</v>
          </cell>
          <cell r="J35">
            <v>122036.27937683111</v>
          </cell>
          <cell r="K35">
            <v>331571.95365020365</v>
          </cell>
          <cell r="L35">
            <v>323745.67570531939</v>
          </cell>
          <cell r="M35">
            <v>190223.44693419128</v>
          </cell>
          <cell r="N35">
            <v>289225.49091146438</v>
          </cell>
          <cell r="O35">
            <v>171637.98944102484</v>
          </cell>
          <cell r="P35">
            <v>267640.47868761286</v>
          </cell>
          <cell r="Q35">
            <v>229272.34858058608</v>
          </cell>
          <cell r="R35">
            <v>112459.00465448307</v>
          </cell>
          <cell r="S35">
            <v>291406.69447891758</v>
          </cell>
          <cell r="T35">
            <v>59160.189322391183</v>
          </cell>
          <cell r="U35">
            <v>88198.577591495981</v>
          </cell>
          <cell r="V35">
            <v>102484.61814925406</v>
          </cell>
          <cell r="W35">
            <v>67860.191679588257</v>
          </cell>
          <cell r="X35">
            <v>0</v>
          </cell>
          <cell r="Y35">
            <v>0</v>
          </cell>
          <cell r="Z35">
            <v>3936119.0065537472</v>
          </cell>
          <cell r="AA35">
            <v>0</v>
          </cell>
          <cell r="AB35">
            <v>1175.8240000000001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1175.8240000000001</v>
          </cell>
          <cell r="AI35">
            <v>3937294.8305537472</v>
          </cell>
          <cell r="AJ35">
            <v>38782.492370790926</v>
          </cell>
          <cell r="AK35">
            <v>20327.07477658111</v>
          </cell>
          <cell r="AL35">
            <v>29393.177300000003</v>
          </cell>
          <cell r="AM35"/>
          <cell r="AN35">
            <v>88502.744447372039</v>
          </cell>
          <cell r="AO35">
            <v>253400.995</v>
          </cell>
          <cell r="AP35">
            <v>1711.672</v>
          </cell>
          <cell r="AQ35"/>
          <cell r="AR35"/>
          <cell r="AS35">
            <v>255112.66699999999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33290.976999999999</v>
          </cell>
          <cell r="BD35">
            <v>0</v>
          </cell>
          <cell r="BE35">
            <v>-310726.527</v>
          </cell>
          <cell r="BF35">
            <v>71521.524000000005</v>
          </cell>
          <cell r="BG35"/>
          <cell r="BH35"/>
          <cell r="BI35"/>
          <cell r="BJ35">
            <v>-205914.02599999998</v>
          </cell>
        </row>
        <row r="36">
          <cell r="F36">
            <v>2274324.9529988882</v>
          </cell>
          <cell r="G36">
            <v>366922.24077587016</v>
          </cell>
          <cell r="H36">
            <v>-24464.801297383965</v>
          </cell>
          <cell r="I36">
            <v>23088.715131130943</v>
          </cell>
          <cell r="J36">
            <v>-174982.8793768312</v>
          </cell>
          <cell r="K36">
            <v>268433.35034979635</v>
          </cell>
          <cell r="L36">
            <v>102214.64129468089</v>
          </cell>
          <cell r="M36">
            <v>-12488.139934191247</v>
          </cell>
          <cell r="N36">
            <v>95307.243088535324</v>
          </cell>
          <cell r="O36">
            <v>132560.97355897538</v>
          </cell>
          <cell r="P36">
            <v>342633.28031238675</v>
          </cell>
          <cell r="Q36">
            <v>270013.82641941373</v>
          </cell>
          <cell r="R36">
            <v>-123742.005654483</v>
          </cell>
          <cell r="S36">
            <v>-4946.2334789174492</v>
          </cell>
          <cell r="T36">
            <v>51131.134677608839</v>
          </cell>
          <cell r="U36">
            <v>195314.02940850408</v>
          </cell>
          <cell r="V36">
            <v>-101897.4841492541</v>
          </cell>
          <cell r="W36">
            <v>13774.988320411678</v>
          </cell>
          <cell r="X36">
            <v>0</v>
          </cell>
          <cell r="Y36">
            <v>0</v>
          </cell>
          <cell r="Z36">
            <v>1418872.8794462602</v>
          </cell>
          <cell r="AA36">
            <v>87658.426999999996</v>
          </cell>
          <cell r="AB36">
            <v>-1175.8240000000001</v>
          </cell>
          <cell r="AC36">
            <v>18063.648000000001</v>
          </cell>
          <cell r="AD36">
            <v>39215.682000000001</v>
          </cell>
          <cell r="AE36"/>
          <cell r="AF36"/>
          <cell r="AG36"/>
          <cell r="AH36">
            <v>143761.93299999999</v>
          </cell>
          <cell r="AI36">
            <v>1562634.8124462594</v>
          </cell>
          <cell r="AJ36">
            <v>91128.479639209225</v>
          </cell>
          <cell r="AK36">
            <v>91726.724213418813</v>
          </cell>
          <cell r="AL36">
            <v>80397.893699999986</v>
          </cell>
          <cell r="AM36"/>
          <cell r="AN36">
            <v>263253.09755262814</v>
          </cell>
          <cell r="AO36">
            <v>117111.89000000164</v>
          </cell>
          <cell r="AP36">
            <v>-1711.672</v>
          </cell>
          <cell r="AQ36"/>
          <cell r="AR36"/>
          <cell r="AS36">
            <v>115400.21800000165</v>
          </cell>
          <cell r="AT36">
            <v>7630.2929999999997</v>
          </cell>
          <cell r="AU36">
            <v>-6428.1640000000007</v>
          </cell>
          <cell r="AV36">
            <v>122515.87</v>
          </cell>
          <cell r="AW36"/>
          <cell r="AX36"/>
          <cell r="AY36"/>
          <cell r="AZ36"/>
          <cell r="BA36">
            <v>123717.999</v>
          </cell>
          <cell r="BB36">
            <v>0</v>
          </cell>
          <cell r="BC36">
            <v>-29886.177</v>
          </cell>
          <cell r="BD36">
            <v>0</v>
          </cell>
          <cell r="BE36">
            <v>310726.527</v>
          </cell>
          <cell r="BF36">
            <v>-71521.524000000005</v>
          </cell>
          <cell r="BG36"/>
          <cell r="BH36"/>
          <cell r="BI36"/>
          <cell r="BJ36">
            <v>209318.82599999997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-29721</v>
          </cell>
          <cell r="AK38">
            <v>-25238</v>
          </cell>
          <cell r="AL38">
            <v>-42499</v>
          </cell>
          <cell r="AM38"/>
          <cell r="AN38">
            <v>-97458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-2107076.5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-859968</v>
          </cell>
          <cell r="AK39">
            <v>-400374</v>
          </cell>
          <cell r="AL39">
            <v>-846734.5</v>
          </cell>
          <cell r="AM39"/>
          <cell r="AN39">
            <v>-2107076.5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-2107076.5</v>
          </cell>
          <cell r="G40"/>
          <cell r="H40"/>
          <cell r="I40"/>
          <cell r="J40"/>
          <cell r="K40">
            <v>-158853.04500000001</v>
          </cell>
          <cell r="L40">
            <v>-140187.14000000001</v>
          </cell>
          <cell r="M40">
            <v>-7222.6479999999992</v>
          </cell>
          <cell r="N40">
            <v>-11726.48</v>
          </cell>
          <cell r="O40">
            <v>-4715.1959999999999</v>
          </cell>
          <cell r="P40">
            <v>-1099.306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-323803.815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-323803.815</v>
          </cell>
          <cell r="AJ40">
            <v>-769825.15899999999</v>
          </cell>
          <cell r="AK40">
            <v>-294975.59299999999</v>
          </cell>
          <cell r="AL40">
            <v>-718471.93299999996</v>
          </cell>
          <cell r="AM40"/>
          <cell r="AN40">
            <v>-1783272.6849999998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158853.04500000001</v>
          </cell>
          <cell r="L41">
            <v>140187.14000000001</v>
          </cell>
          <cell r="M41">
            <v>7222.6479999999992</v>
          </cell>
          <cell r="N41">
            <v>11726.48</v>
          </cell>
          <cell r="O41">
            <v>4715.1959999999999</v>
          </cell>
          <cell r="P41">
            <v>1099.306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323803.815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323803.815</v>
          </cell>
          <cell r="AJ41">
            <v>-90142.841000000015</v>
          </cell>
          <cell r="AK41">
            <v>-105398.40700000001</v>
          </cell>
          <cell r="AL41">
            <v>-128262.56700000004</v>
          </cell>
          <cell r="AM41"/>
          <cell r="AN41">
            <v>-323803.81500000018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/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158853.04500000001</v>
          </cell>
          <cell r="L43">
            <v>140187.14000000001</v>
          </cell>
          <cell r="M43">
            <v>7222.6479999999992</v>
          </cell>
          <cell r="N43">
            <v>11726.48</v>
          </cell>
          <cell r="O43">
            <v>4715.1959999999999</v>
          </cell>
          <cell r="P43">
            <v>1099.306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323803.815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323803.815</v>
          </cell>
          <cell r="AJ43">
            <v>-90142.841000000015</v>
          </cell>
          <cell r="AK43">
            <v>-105398.40700000001</v>
          </cell>
          <cell r="AL43">
            <v>-128262.56700000004</v>
          </cell>
          <cell r="AM43"/>
          <cell r="AN43">
            <v>-323803.81500000018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/>
          <cell r="BH43"/>
          <cell r="BI43"/>
          <cell r="BJ43">
            <v>0</v>
          </cell>
        </row>
        <row r="45">
          <cell r="F45"/>
          <cell r="G45">
            <v>83473</v>
          </cell>
          <cell r="H45">
            <v>51840</v>
          </cell>
          <cell r="I45">
            <v>41352</v>
          </cell>
          <cell r="J45">
            <v>11158</v>
          </cell>
          <cell r="K45">
            <v>40465</v>
          </cell>
          <cell r="L45">
            <v>40751</v>
          </cell>
          <cell r="M45">
            <v>20978</v>
          </cell>
          <cell r="N45">
            <v>36495.5</v>
          </cell>
          <cell r="O45">
            <v>23422</v>
          </cell>
          <cell r="P45">
            <v>32768</v>
          </cell>
          <cell r="Q45">
            <v>28751.5</v>
          </cell>
          <cell r="R45">
            <v>10171.5</v>
          </cell>
          <cell r="S45">
            <v>40470</v>
          </cell>
          <cell r="T45">
            <v>6939.5</v>
          </cell>
          <cell r="U45">
            <v>12917</v>
          </cell>
          <cell r="V45">
            <v>8830</v>
          </cell>
          <cell r="W45">
            <v>5660</v>
          </cell>
          <cell r="X45">
            <v>0</v>
          </cell>
          <cell r="Y45">
            <v>0</v>
          </cell>
          <cell r="Z45">
            <v>496442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496442</v>
          </cell>
          <cell r="AJ45">
            <v>16107</v>
          </cell>
          <cell r="AK45">
            <v>25680</v>
          </cell>
          <cell r="AL45">
            <v>10544</v>
          </cell>
          <cell r="AM45"/>
          <cell r="AN45">
            <v>52331</v>
          </cell>
          <cell r="AO45">
            <v>13070.494999999999</v>
          </cell>
          <cell r="AP45">
            <v>0</v>
          </cell>
          <cell r="AQ45"/>
          <cell r="AR45"/>
          <cell r="AS45">
            <v>13070.494999999999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/>
          <cell r="BH45"/>
          <cell r="BI45"/>
          <cell r="BJ45">
            <v>0</v>
          </cell>
        </row>
        <row r="46">
          <cell r="F46">
            <v>65509334.284999989</v>
          </cell>
          <cell r="G46">
            <v>8145406.9000000004</v>
          </cell>
          <cell r="H46">
            <v>5123569.8490000004</v>
          </cell>
          <cell r="I46">
            <v>4220621.8449999997</v>
          </cell>
          <cell r="J46">
            <v>1056884.9909999999</v>
          </cell>
          <cell r="K46">
            <v>4393804.7659999998</v>
          </cell>
          <cell r="L46">
            <v>4067820.62</v>
          </cell>
          <cell r="M46">
            <v>2115895.9</v>
          </cell>
          <cell r="N46">
            <v>3711543.05</v>
          </cell>
          <cell r="O46">
            <v>2236502.33</v>
          </cell>
          <cell r="P46">
            <v>3382204.3</v>
          </cell>
          <cell r="Q46">
            <v>2906525.5999999996</v>
          </cell>
          <cell r="R46">
            <v>1048327.75</v>
          </cell>
          <cell r="S46">
            <v>3979338.051</v>
          </cell>
          <cell r="T46">
            <v>776639.8</v>
          </cell>
          <cell r="U46">
            <v>1329620.26</v>
          </cell>
          <cell r="V46">
            <v>874290.73600000003</v>
          </cell>
          <cell r="W46">
            <v>728191.72499999998</v>
          </cell>
          <cell r="X46">
            <v>0</v>
          </cell>
          <cell r="Y46">
            <v>0</v>
          </cell>
          <cell r="Z46">
            <v>50097188.472999997</v>
          </cell>
          <cell r="AA46">
            <v>100000</v>
          </cell>
          <cell r="AB46">
            <v>0</v>
          </cell>
          <cell r="AC46">
            <v>25000</v>
          </cell>
          <cell r="AD46">
            <v>56680</v>
          </cell>
          <cell r="AE46"/>
          <cell r="AF46"/>
          <cell r="AG46"/>
          <cell r="AH46">
            <v>181680</v>
          </cell>
          <cell r="AI46">
            <v>50278868.472999997</v>
          </cell>
          <cell r="AJ46">
            <v>455650</v>
          </cell>
          <cell r="AK46">
            <v>291656</v>
          </cell>
          <cell r="AL46">
            <v>162224</v>
          </cell>
          <cell r="AM46"/>
          <cell r="AN46">
            <v>909530</v>
          </cell>
          <cell r="AO46">
            <v>14173615.142000001</v>
          </cell>
          <cell r="AP46">
            <v>0</v>
          </cell>
          <cell r="AQ46"/>
          <cell r="AR46"/>
          <cell r="AS46">
            <v>14173615.142000001</v>
          </cell>
          <cell r="AT46">
            <v>10500</v>
          </cell>
          <cell r="AU46">
            <v>10900</v>
          </cell>
          <cell r="AV46">
            <v>122515.87</v>
          </cell>
          <cell r="AW46"/>
          <cell r="AX46"/>
          <cell r="AY46"/>
          <cell r="AZ46"/>
          <cell r="BA46">
            <v>143915.87</v>
          </cell>
          <cell r="BB46">
            <v>0</v>
          </cell>
          <cell r="BC46">
            <v>3404.8</v>
          </cell>
          <cell r="BD46">
            <v>0</v>
          </cell>
          <cell r="BE46">
            <v>0</v>
          </cell>
          <cell r="BF46">
            <v>0</v>
          </cell>
          <cell r="BG46"/>
          <cell r="BH46"/>
          <cell r="BI46"/>
          <cell r="BJ46">
            <v>3404.8</v>
          </cell>
        </row>
        <row r="47">
          <cell r="F47">
            <v>59160013.115999989</v>
          </cell>
          <cell r="G47">
            <v>7207866.0310000004</v>
          </cell>
          <cell r="H47">
            <v>4754205.8379999995</v>
          </cell>
          <cell r="I47">
            <v>3872784.5029999996</v>
          </cell>
          <cell r="J47">
            <v>1109831.591</v>
          </cell>
          <cell r="K47">
            <v>3634946.4169999999</v>
          </cell>
          <cell r="L47">
            <v>3501673.1629999997</v>
          </cell>
          <cell r="M47">
            <v>1930937.9449999998</v>
          </cell>
          <cell r="N47">
            <v>3315283.8360000001</v>
          </cell>
          <cell r="O47">
            <v>1927588.1709999999</v>
          </cell>
          <cell r="P47">
            <v>2770831.2350000003</v>
          </cell>
          <cell r="Q47">
            <v>2407239.4249999998</v>
          </cell>
          <cell r="R47">
            <v>1059610.7509999999</v>
          </cell>
          <cell r="S47">
            <v>3692877.59</v>
          </cell>
          <cell r="T47">
            <v>666348.47600000002</v>
          </cell>
          <cell r="U47">
            <v>1046107.6529999999</v>
          </cell>
          <cell r="V47">
            <v>873703.60200000007</v>
          </cell>
          <cell r="W47">
            <v>646556.54500000004</v>
          </cell>
          <cell r="X47">
            <v>0</v>
          </cell>
          <cell r="Y47">
            <v>0</v>
          </cell>
          <cell r="Z47">
            <v>44418392.771999992</v>
          </cell>
          <cell r="AA47">
            <v>12341.573</v>
          </cell>
          <cell r="AB47">
            <v>0</v>
          </cell>
          <cell r="AC47">
            <v>6936.3520000000008</v>
          </cell>
          <cell r="AD47">
            <v>17464.317999999999</v>
          </cell>
          <cell r="AE47"/>
          <cell r="AF47"/>
          <cell r="AG47"/>
          <cell r="AH47">
            <v>36742.243000000002</v>
          </cell>
          <cell r="AI47">
            <v>44455135.014999993</v>
          </cell>
          <cell r="AJ47">
            <v>415881.86898999987</v>
          </cell>
          <cell r="AK47">
            <v>285000.60801000008</v>
          </cell>
          <cell r="AL47">
            <v>180695.49600000004</v>
          </cell>
          <cell r="AM47"/>
          <cell r="AN47">
            <v>881577.973</v>
          </cell>
          <cell r="AO47">
            <v>13803102.256999999</v>
          </cell>
          <cell r="AP47">
            <v>0</v>
          </cell>
          <cell r="AQ47"/>
          <cell r="AR47"/>
          <cell r="AS47">
            <v>13803102.256999999</v>
          </cell>
          <cell r="AT47">
            <v>2869.7070000000003</v>
          </cell>
          <cell r="AU47">
            <v>17328.164000000001</v>
          </cell>
          <cell r="AV47">
            <v>0</v>
          </cell>
          <cell r="AW47"/>
          <cell r="AX47"/>
          <cell r="AY47"/>
          <cell r="AZ47"/>
          <cell r="BA47">
            <v>20197.870999999999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/>
          <cell r="BH47"/>
          <cell r="BI47"/>
          <cell r="BJ47">
            <v>0</v>
          </cell>
        </row>
        <row r="48">
          <cell r="F48">
            <v>6349321.1689999998</v>
          </cell>
          <cell r="G48">
            <v>937540.86899999995</v>
          </cell>
          <cell r="H48">
            <v>369364.01100000087</v>
          </cell>
          <cell r="I48">
            <v>347837.34200000018</v>
          </cell>
          <cell r="J48">
            <v>-52946.600000000093</v>
          </cell>
          <cell r="K48">
            <v>758858.34899999993</v>
          </cell>
          <cell r="L48">
            <v>566147.4570000004</v>
          </cell>
          <cell r="M48">
            <v>184957.95500000007</v>
          </cell>
          <cell r="N48">
            <v>396259.21399999969</v>
          </cell>
          <cell r="O48">
            <v>308914.15900000022</v>
          </cell>
          <cell r="P48">
            <v>611373.06499999948</v>
          </cell>
          <cell r="Q48">
            <v>499286.17499999981</v>
          </cell>
          <cell r="R48">
            <v>-11283.000999999931</v>
          </cell>
          <cell r="S48">
            <v>286460.46100000013</v>
          </cell>
          <cell r="T48">
            <v>110291.32400000002</v>
          </cell>
          <cell r="U48">
            <v>283512.60700000008</v>
          </cell>
          <cell r="V48">
            <v>587.13399999996182</v>
          </cell>
          <cell r="W48">
            <v>81635.179999999935</v>
          </cell>
          <cell r="X48">
            <v>0</v>
          </cell>
          <cell r="Y48">
            <v>0</v>
          </cell>
          <cell r="Z48">
            <v>5678795.701000005</v>
          </cell>
          <cell r="AA48">
            <v>87658.426999999996</v>
          </cell>
          <cell r="AB48">
            <v>0</v>
          </cell>
          <cell r="AC48">
            <v>18063.648000000001</v>
          </cell>
          <cell r="AD48">
            <v>39215.682000000001</v>
          </cell>
          <cell r="AE48"/>
          <cell r="AF48"/>
          <cell r="AG48"/>
          <cell r="AH48">
            <v>144937.75699999998</v>
          </cell>
          <cell r="AI48">
            <v>5823733.4580000043</v>
          </cell>
          <cell r="AJ48">
            <v>39768.131010000128</v>
          </cell>
          <cell r="AK48">
            <v>6655.3919899999164</v>
          </cell>
          <cell r="AL48">
            <v>-18471.496000000043</v>
          </cell>
          <cell r="AM48"/>
          <cell r="AN48">
            <v>27952.027000000002</v>
          </cell>
          <cell r="AO48">
            <v>370512.88500000164</v>
          </cell>
          <cell r="AP48">
            <v>0</v>
          </cell>
          <cell r="AQ48"/>
          <cell r="AR48"/>
          <cell r="AS48">
            <v>370512.88500000164</v>
          </cell>
          <cell r="AT48">
            <v>7630.2929999999997</v>
          </cell>
          <cell r="AU48">
            <v>-6428.1640000000007</v>
          </cell>
          <cell r="AV48">
            <v>122515.87</v>
          </cell>
          <cell r="AW48"/>
          <cell r="AX48"/>
          <cell r="AY48"/>
          <cell r="AZ48"/>
          <cell r="BA48">
            <v>123717.999</v>
          </cell>
          <cell r="BB48">
            <v>0</v>
          </cell>
          <cell r="BC48">
            <v>3404.8</v>
          </cell>
          <cell r="BD48">
            <v>0</v>
          </cell>
          <cell r="BE48">
            <v>0</v>
          </cell>
          <cell r="BF48">
            <v>0</v>
          </cell>
          <cell r="BG48"/>
          <cell r="BH48"/>
          <cell r="BI48"/>
          <cell r="BJ48">
            <v>3404.8</v>
          </cell>
        </row>
        <row r="49">
          <cell r="F49">
            <v>4074996.216001119</v>
          </cell>
          <cell r="G49">
            <v>570618.62822412979</v>
          </cell>
          <cell r="H49">
            <v>393828.81229738484</v>
          </cell>
          <cell r="I49">
            <v>324748.62686886924</v>
          </cell>
          <cell r="J49">
            <v>122036.27937683111</v>
          </cell>
          <cell r="K49">
            <v>331571.95365020365</v>
          </cell>
          <cell r="L49">
            <v>323745.67570531939</v>
          </cell>
          <cell r="M49">
            <v>190223.44693419128</v>
          </cell>
          <cell r="N49">
            <v>289225.49091146438</v>
          </cell>
          <cell r="O49">
            <v>171637.98944102484</v>
          </cell>
          <cell r="P49">
            <v>267640.47868761286</v>
          </cell>
          <cell r="Q49">
            <v>229272.34858058608</v>
          </cell>
          <cell r="R49">
            <v>112459.00465448307</v>
          </cell>
          <cell r="S49">
            <v>291406.69447891758</v>
          </cell>
          <cell r="T49">
            <v>59160.189322391183</v>
          </cell>
          <cell r="U49">
            <v>88198.577591495981</v>
          </cell>
          <cell r="V49">
            <v>102484.61814925406</v>
          </cell>
          <cell r="W49">
            <v>67860.191679588257</v>
          </cell>
          <cell r="X49">
            <v>0</v>
          </cell>
          <cell r="Y49">
            <v>0</v>
          </cell>
          <cell r="Z49">
            <v>3936119.0065537472</v>
          </cell>
          <cell r="AA49">
            <v>0</v>
          </cell>
          <cell r="AB49">
            <v>1175.8240000000001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1175.8240000000001</v>
          </cell>
          <cell r="AI49">
            <v>3937294.8305537472</v>
          </cell>
          <cell r="AJ49">
            <v>38782.492370790926</v>
          </cell>
          <cell r="AK49">
            <v>20327.07477658111</v>
          </cell>
          <cell r="AL49">
            <v>29393.177300000003</v>
          </cell>
          <cell r="AM49"/>
          <cell r="AN49">
            <v>88502.744447372039</v>
          </cell>
          <cell r="AO49">
            <v>253400.995</v>
          </cell>
          <cell r="AP49">
            <v>1711.672</v>
          </cell>
          <cell r="AQ49"/>
          <cell r="AR49"/>
          <cell r="AS49">
            <v>255112.66699999999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33290.976999999999</v>
          </cell>
          <cell r="BD49">
            <v>0</v>
          </cell>
          <cell r="BE49">
            <v>-310726.527</v>
          </cell>
          <cell r="BF49">
            <v>71521.524000000005</v>
          </cell>
          <cell r="BG49"/>
          <cell r="BH49"/>
          <cell r="BI49"/>
          <cell r="BJ49">
            <v>-205914.02599999998</v>
          </cell>
        </row>
        <row r="50">
          <cell r="F50">
            <v>2274324.9529988808</v>
          </cell>
          <cell r="G50">
            <v>366922.24077587016</v>
          </cell>
          <cell r="H50">
            <v>-24464.801297383965</v>
          </cell>
          <cell r="I50">
            <v>23088.715131130943</v>
          </cell>
          <cell r="J50">
            <v>-174982.8793768312</v>
          </cell>
          <cell r="K50">
            <v>427286.39534979628</v>
          </cell>
          <cell r="L50">
            <v>242401.78129468102</v>
          </cell>
          <cell r="M50">
            <v>-5265.4919341912027</v>
          </cell>
          <cell r="N50">
            <v>107033.72308853531</v>
          </cell>
          <cell r="O50">
            <v>137276.16955897538</v>
          </cell>
          <cell r="P50">
            <v>343732.58631238661</v>
          </cell>
          <cell r="Q50">
            <v>270013.82641941373</v>
          </cell>
          <cell r="R50">
            <v>-123742.005654483</v>
          </cell>
          <cell r="S50">
            <v>-4946.2334789174492</v>
          </cell>
          <cell r="T50">
            <v>51131.134677608839</v>
          </cell>
          <cell r="U50">
            <v>195314.02940850408</v>
          </cell>
          <cell r="V50">
            <v>-101897.4841492541</v>
          </cell>
          <cell r="W50">
            <v>13774.988320411678</v>
          </cell>
          <cell r="X50">
            <v>0</v>
          </cell>
          <cell r="Y50">
            <v>0</v>
          </cell>
          <cell r="Z50">
            <v>1742676.6944462578</v>
          </cell>
          <cell r="AA50">
            <v>87658.426999999996</v>
          </cell>
          <cell r="AB50">
            <v>-1175.8240000000001</v>
          </cell>
          <cell r="AC50">
            <v>18063.648000000001</v>
          </cell>
          <cell r="AD50">
            <v>39215.682000000001</v>
          </cell>
          <cell r="AE50"/>
          <cell r="AF50"/>
          <cell r="AG50"/>
          <cell r="AH50">
            <v>143761.93299999999</v>
          </cell>
          <cell r="AI50">
            <v>1886438.627446257</v>
          </cell>
          <cell r="AJ50">
            <v>985.63863920920267</v>
          </cell>
          <cell r="AK50">
            <v>-13671.682786581194</v>
          </cell>
          <cell r="AL50">
            <v>-47864.673300000046</v>
          </cell>
          <cell r="AM50"/>
          <cell r="AN50">
            <v>-60550.717447372037</v>
          </cell>
          <cell r="AO50">
            <v>117111.89000000164</v>
          </cell>
          <cell r="AP50">
            <v>-1711.672</v>
          </cell>
          <cell r="AQ50"/>
          <cell r="AR50"/>
          <cell r="AS50">
            <v>115400.21800000165</v>
          </cell>
          <cell r="AT50">
            <v>7630.2929999999997</v>
          </cell>
          <cell r="AU50">
            <v>-6428.1640000000007</v>
          </cell>
          <cell r="AV50">
            <v>122515.87</v>
          </cell>
          <cell r="AW50"/>
          <cell r="AX50"/>
          <cell r="AY50"/>
          <cell r="AZ50"/>
          <cell r="BA50">
            <v>123717.999</v>
          </cell>
          <cell r="BB50">
            <v>0</v>
          </cell>
          <cell r="BC50">
            <v>-29886.177</v>
          </cell>
          <cell r="BD50">
            <v>0</v>
          </cell>
          <cell r="BE50">
            <v>310726.527</v>
          </cell>
          <cell r="BF50">
            <v>-71521.524000000005</v>
          </cell>
          <cell r="BG50"/>
          <cell r="BH50"/>
          <cell r="BI50"/>
          <cell r="BJ50">
            <v>209318.82599999997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227000</v>
          </cell>
          <cell r="U5">
            <v>210779</v>
          </cell>
        </row>
        <row r="9">
          <cell r="E9">
            <v>282.32017746932223</v>
          </cell>
          <cell r="F9">
            <v>286.27817332847638</v>
          </cell>
          <cell r="G9">
            <v>100651.75789748978</v>
          </cell>
          <cell r="H9">
            <v>100372.0736010067</v>
          </cell>
        </row>
        <row r="10">
          <cell r="E10">
            <v>30.200771691077314</v>
          </cell>
          <cell r="F10">
            <v>30.743195823615398</v>
          </cell>
          <cell r="G10">
            <v>92851.253417747765</v>
          </cell>
          <cell r="H10">
            <v>94804.669124689841</v>
          </cell>
        </row>
        <row r="11">
          <cell r="E11">
            <v>0</v>
          </cell>
          <cell r="F11">
            <v>1.57626348880447</v>
          </cell>
        </row>
        <row r="12">
          <cell r="E12">
            <v>28.6140225993882</v>
          </cell>
          <cell r="F12">
            <v>29.428370557150899</v>
          </cell>
          <cell r="G12">
            <v>63737.281594625543</v>
          </cell>
          <cell r="H12">
            <v>63532.472458168799</v>
          </cell>
        </row>
        <row r="13">
          <cell r="E13">
            <v>23.508772397088951</v>
          </cell>
          <cell r="F13">
            <v>22.975402286887533</v>
          </cell>
          <cell r="G13">
            <v>40118.371698254057</v>
          </cell>
          <cell r="H13">
            <v>35902.300124700872</v>
          </cell>
        </row>
        <row r="14">
          <cell r="E14">
            <v>0</v>
          </cell>
          <cell r="F14">
            <v>0</v>
          </cell>
        </row>
        <row r="15">
          <cell r="E15">
            <v>364.64374415687666</v>
          </cell>
          <cell r="F15">
            <v>371.00140548493465</v>
          </cell>
        </row>
        <row r="16">
          <cell r="E16">
            <v>823.10764029336258</v>
          </cell>
          <cell r="F16">
            <v>811.60010946215118</v>
          </cell>
          <cell r="G16">
            <v>13208.392215038331</v>
          </cell>
          <cell r="H16">
            <v>13429.362459529739</v>
          </cell>
        </row>
        <row r="17">
          <cell r="E17">
            <v>901.06818225526888</v>
          </cell>
          <cell r="F17">
            <v>895.51526878261359</v>
          </cell>
          <cell r="G17">
            <v>15926.658682360323</v>
          </cell>
          <cell r="H17">
            <v>15906.871935896323</v>
          </cell>
        </row>
        <row r="19">
          <cell r="E19">
            <v>3.1033173280647293</v>
          </cell>
          <cell r="F19">
            <v>2.8565047615893726</v>
          </cell>
        </row>
        <row r="20">
          <cell r="Q20">
            <v>61826.371311572286</v>
          </cell>
          <cell r="R20">
            <v>62127.797510632554</v>
          </cell>
        </row>
        <row r="21">
          <cell r="Q21">
            <v>18221.682434345825</v>
          </cell>
          <cell r="R21">
            <v>18572.10689330539</v>
          </cell>
        </row>
        <row r="22">
          <cell r="Q22">
            <v>322.56607929515417</v>
          </cell>
          <cell r="R22">
            <v>363.17779911911782</v>
          </cell>
        </row>
        <row r="50">
          <cell r="Q50">
            <v>89862.63838666091</v>
          </cell>
          <cell r="R50">
            <v>90556.991564914206</v>
          </cell>
        </row>
        <row r="56">
          <cell r="L56">
            <v>-102601.7346383806</v>
          </cell>
        </row>
        <row r="61">
          <cell r="T61">
            <v>100532.46493763285</v>
          </cell>
          <cell r="U61">
            <v>99735.994266764363</v>
          </cell>
        </row>
        <row r="80">
          <cell r="H80">
            <v>666051.94999999995</v>
          </cell>
          <cell r="I80">
            <v>600235.18099999987</v>
          </cell>
          <cell r="L80">
            <v>65816.769000000204</v>
          </cell>
        </row>
        <row r="85">
          <cell r="H85">
            <v>380871.33735123434</v>
          </cell>
          <cell r="I85">
            <v>431411.95652999997</v>
          </cell>
          <cell r="L85">
            <v>-50540.619178765657</v>
          </cell>
          <cell r="Q85">
            <v>100532.46493763285</v>
          </cell>
          <cell r="R85">
            <v>99735.994266764363</v>
          </cell>
        </row>
        <row r="86">
          <cell r="H86">
            <v>1375127.3397193975</v>
          </cell>
          <cell r="I86">
            <v>941972.64800000109</v>
          </cell>
          <cell r="K86">
            <v>-167400.61266179592</v>
          </cell>
          <cell r="M86">
            <v>-178428.49424044997</v>
          </cell>
        </row>
        <row r="89">
          <cell r="Q89">
            <v>80370.61982521326</v>
          </cell>
          <cell r="R89">
            <v>81063.082203057071</v>
          </cell>
        </row>
        <row r="90">
          <cell r="Q90">
            <v>20161.845112419585</v>
          </cell>
          <cell r="R90">
            <v>18672.912063707292</v>
          </cell>
        </row>
      </sheetData>
      <sheetData sheetId="1">
        <row r="5">
          <cell r="T5">
            <v>83000</v>
          </cell>
          <cell r="U5">
            <v>74239.5</v>
          </cell>
        </row>
        <row r="9">
          <cell r="E9">
            <v>309.73837349397593</v>
          </cell>
          <cell r="F9">
            <v>305.4722583877849</v>
          </cell>
          <cell r="G9">
            <v>100000</v>
          </cell>
          <cell r="H9">
            <v>99828.190082572924</v>
          </cell>
        </row>
        <row r="10">
          <cell r="E10">
            <v>5.7981927710843379</v>
          </cell>
          <cell r="F10">
            <v>21.317142296103196</v>
          </cell>
          <cell r="G10">
            <v>98000</v>
          </cell>
          <cell r="H10">
            <v>101340.92633411867</v>
          </cell>
        </row>
        <row r="11">
          <cell r="E11">
            <v>0</v>
          </cell>
          <cell r="F11">
            <v>0</v>
          </cell>
        </row>
        <row r="12">
          <cell r="E12">
            <v>35.636927710843366</v>
          </cell>
          <cell r="F12">
            <v>22.346262924467617</v>
          </cell>
          <cell r="G12">
            <v>64199.606641952894</v>
          </cell>
          <cell r="H12">
            <v>64163.589769546132</v>
          </cell>
        </row>
        <row r="13">
          <cell r="E13">
            <v>20.040602409638552</v>
          </cell>
          <cell r="F13">
            <v>22.51153874801097</v>
          </cell>
          <cell r="G13">
            <v>47312.193919572928</v>
          </cell>
          <cell r="H13">
            <v>39110.60661851956</v>
          </cell>
        </row>
        <row r="14">
          <cell r="E14">
            <v>0</v>
          </cell>
          <cell r="F14">
            <v>0</v>
          </cell>
        </row>
        <row r="15">
          <cell r="E15">
            <v>371.21409638554218</v>
          </cell>
          <cell r="F15">
            <v>371.64720235636673</v>
          </cell>
        </row>
        <row r="16">
          <cell r="E16">
            <v>863.68620991977059</v>
          </cell>
          <cell r="F16">
            <v>850.77916562954977</v>
          </cell>
          <cell r="G16">
            <v>15830.424059196184</v>
          </cell>
          <cell r="H16">
            <v>15625.458841358539</v>
          </cell>
        </row>
        <row r="17">
          <cell r="E17">
            <v>869.85447644123406</v>
          </cell>
          <cell r="F17">
            <v>861.72328943359196</v>
          </cell>
          <cell r="G17">
            <v>14235.496134573663</v>
          </cell>
          <cell r="H17">
            <v>14147.446083642259</v>
          </cell>
        </row>
        <row r="19">
          <cell r="E19">
            <v>3.2006024096385541</v>
          </cell>
          <cell r="F19">
            <v>2.9348207333175349</v>
          </cell>
        </row>
        <row r="20">
          <cell r="Q20">
            <v>63564.232771239127</v>
          </cell>
          <cell r="R20">
            <v>62953.991522497206</v>
          </cell>
        </row>
        <row r="21">
          <cell r="Q21">
            <v>17869.215922221658</v>
          </cell>
          <cell r="R21">
            <v>18773.667075193825</v>
          </cell>
        </row>
        <row r="22">
          <cell r="Q22">
            <v>408.46385542168673</v>
          </cell>
          <cell r="R22">
            <v>546.60157768222916</v>
          </cell>
        </row>
        <row r="50">
          <cell r="Q50">
            <v>90115.663082866231</v>
          </cell>
          <cell r="R50">
            <v>91038.577959846967</v>
          </cell>
        </row>
        <row r="56">
          <cell r="L56">
            <v>-68150.335333452414</v>
          </cell>
        </row>
        <row r="61">
          <cell r="T61">
            <v>97568.731966322273</v>
          </cell>
          <cell r="U61">
            <v>96965.552073670318</v>
          </cell>
        </row>
        <row r="80">
          <cell r="H80">
            <v>222489.66</v>
          </cell>
          <cell r="I80">
            <v>207461.60399999999</v>
          </cell>
          <cell r="L80">
            <v>15028.056000000004</v>
          </cell>
        </row>
        <row r="85">
          <cell r="H85">
            <v>104584.45123946668</v>
          </cell>
          <cell r="I85">
            <v>104409.43747</v>
          </cell>
          <cell r="L85">
            <v>175.01376946668279</v>
          </cell>
          <cell r="Q85">
            <v>97568.731966322273</v>
          </cell>
          <cell r="R85">
            <v>96965.552073670318</v>
          </cell>
        </row>
        <row r="86">
          <cell r="H86">
            <v>291530.60608738579</v>
          </cell>
          <cell r="I86">
            <v>126596.35100000032</v>
          </cell>
          <cell r="K86">
            <v>-44540.311223151992</v>
          </cell>
          <cell r="M86">
            <v>-67446.678300248925</v>
          </cell>
        </row>
        <row r="89">
          <cell r="Q89">
            <v>81841.912548882465</v>
          </cell>
          <cell r="R89">
            <v>82274.26017537326</v>
          </cell>
        </row>
        <row r="90">
          <cell r="Q90">
            <v>15726.819417439809</v>
          </cell>
          <cell r="R90">
            <v>14691.291898297059</v>
          </cell>
        </row>
      </sheetData>
      <sheetData sheetId="2">
        <row r="5">
          <cell r="T5">
            <v>105000</v>
          </cell>
          <cell r="U5">
            <v>95894</v>
          </cell>
        </row>
        <row r="9">
          <cell r="E9">
            <v>248.7039551003443</v>
          </cell>
          <cell r="F9">
            <v>257.18997263470953</v>
          </cell>
          <cell r="G9">
            <v>100000.00000000001</v>
          </cell>
          <cell r="H9">
            <v>99995.156381995475</v>
          </cell>
        </row>
        <row r="10">
          <cell r="E10">
            <v>59.731668322614766</v>
          </cell>
          <cell r="F10">
            <v>48.883897850017561</v>
          </cell>
          <cell r="G10">
            <v>92434.137068859869</v>
          </cell>
          <cell r="H10">
            <v>92523.322554650309</v>
          </cell>
        </row>
        <row r="11">
          <cell r="E11">
            <v>0</v>
          </cell>
          <cell r="F11">
            <v>3.4406844420578708</v>
          </cell>
        </row>
        <row r="12">
          <cell r="E12">
            <v>24.685220286296385</v>
          </cell>
          <cell r="F12">
            <v>34.506748177368387</v>
          </cell>
          <cell r="G12">
            <v>62898.752577213629</v>
          </cell>
          <cell r="H12">
            <v>62746.914882217083</v>
          </cell>
        </row>
        <row r="13">
          <cell r="E13">
            <v>27.39448889656374</v>
          </cell>
          <cell r="F13">
            <v>25.765051942419294</v>
          </cell>
          <cell r="G13">
            <v>35568.721345937847</v>
          </cell>
          <cell r="H13">
            <v>33561.746862099513</v>
          </cell>
        </row>
        <row r="14">
          <cell r="E14">
            <v>0</v>
          </cell>
          <cell r="F14">
            <v>0</v>
          </cell>
        </row>
        <row r="15">
          <cell r="E15">
            <v>360.5153326058192</v>
          </cell>
          <cell r="F15">
            <v>369.78635504657262</v>
          </cell>
        </row>
        <row r="16">
          <cell r="E16">
            <v>796.36265641192711</v>
          </cell>
          <cell r="F16">
            <v>804.35096759536555</v>
          </cell>
          <cell r="G16">
            <v>10971.224311123258</v>
          </cell>
          <cell r="H16">
            <v>11765.692212880238</v>
          </cell>
        </row>
        <row r="17">
          <cell r="E17">
            <v>916.79062692689138</v>
          </cell>
          <cell r="F17">
            <v>891.26068278981393</v>
          </cell>
          <cell r="G17">
            <v>17638.975241785673</v>
          </cell>
          <cell r="H17">
            <v>17719.732418011969</v>
          </cell>
        </row>
        <row r="19">
          <cell r="E19">
            <v>3.1742574616256536</v>
          </cell>
          <cell r="F19">
            <v>2.8814738016068069</v>
          </cell>
        </row>
        <row r="20">
          <cell r="Q20">
            <v>60522.616417623889</v>
          </cell>
          <cell r="R20">
            <v>61371.4079390322</v>
          </cell>
        </row>
        <row r="21">
          <cell r="Q21">
            <v>18745.733438913168</v>
          </cell>
          <cell r="R21">
            <v>19047.984747723</v>
          </cell>
        </row>
        <row r="22">
          <cell r="Q22">
            <v>264.95238095238096</v>
          </cell>
          <cell r="R22">
            <v>266.51917635638898</v>
          </cell>
        </row>
        <row r="50">
          <cell r="Q50">
            <v>89203.785750846975</v>
          </cell>
          <cell r="R50">
            <v>90293.150509097672</v>
          </cell>
        </row>
        <row r="56">
          <cell r="L56">
            <v>-61267.620306146004</v>
          </cell>
        </row>
        <row r="61">
          <cell r="T61">
            <v>100469.21645369435</v>
          </cell>
          <cell r="U61">
            <v>100787.78490345353</v>
          </cell>
        </row>
        <row r="80">
          <cell r="H80">
            <v>324918.84999999998</v>
          </cell>
          <cell r="I80">
            <v>288378.30499999999</v>
          </cell>
          <cell r="L80">
            <v>36540.545000000013</v>
          </cell>
        </row>
        <row r="85">
          <cell r="H85">
            <v>188919.8959361981</v>
          </cell>
          <cell r="I85">
            <v>240606.00454999998</v>
          </cell>
          <cell r="L85">
            <v>-51686.10861380188</v>
          </cell>
          <cell r="Q85">
            <v>100469.21645369435</v>
          </cell>
          <cell r="R85">
            <v>100787.78490345353</v>
          </cell>
        </row>
        <row r="86">
          <cell r="H86">
            <v>669031.47786277544</v>
          </cell>
          <cell r="I86">
            <v>519312.17699999968</v>
          </cell>
          <cell r="K86">
            <v>30505.159043590418</v>
          </cell>
          <cell r="M86">
            <v>-103811.27598641824</v>
          </cell>
        </row>
        <row r="89">
          <cell r="Q89">
            <v>79533.302237489435</v>
          </cell>
          <cell r="R89">
            <v>80685.911863111585</v>
          </cell>
        </row>
        <row r="90">
          <cell r="Q90">
            <v>20935.91421620491</v>
          </cell>
          <cell r="R90">
            <v>20101.873040341947</v>
          </cell>
        </row>
      </sheetData>
      <sheetData sheetId="3"/>
      <sheetData sheetId="4">
        <row r="5">
          <cell r="T5">
            <v>39000</v>
          </cell>
          <cell r="U5">
            <v>40645.5</v>
          </cell>
        </row>
        <row r="9">
          <cell r="E9">
            <v>314.47384615384624</v>
          </cell>
          <cell r="F9">
            <v>320.66528717274593</v>
          </cell>
          <cell r="G9">
            <v>103405.68862275449</v>
          </cell>
          <cell r="H9">
            <v>102031.43853460997</v>
          </cell>
        </row>
        <row r="10">
          <cell r="E10">
            <v>2.6282051282051282</v>
          </cell>
          <cell r="F10">
            <v>4.6816469894467865</v>
          </cell>
          <cell r="G10">
            <v>94200</v>
          </cell>
          <cell r="H10">
            <v>97484.932113357441</v>
          </cell>
        </row>
        <row r="11">
          <cell r="E11">
            <v>0</v>
          </cell>
          <cell r="F11">
            <v>0</v>
          </cell>
        </row>
        <row r="12">
          <cell r="E12">
            <v>24.245384615384612</v>
          </cell>
          <cell r="F12">
            <v>30.19450692285956</v>
          </cell>
          <cell r="G12">
            <v>64589.602038981793</v>
          </cell>
          <cell r="H12">
            <v>64821.120300701354</v>
          </cell>
        </row>
        <row r="13">
          <cell r="E13">
            <v>20.428205128205128</v>
          </cell>
          <cell r="F13">
            <v>17.179334864921316</v>
          </cell>
          <cell r="G13">
            <v>41525.078448600485</v>
          </cell>
          <cell r="H13">
            <v>36626.82789482364</v>
          </cell>
        </row>
        <row r="14">
          <cell r="E14">
            <v>0</v>
          </cell>
          <cell r="F14">
            <v>0</v>
          </cell>
        </row>
        <row r="15">
          <cell r="E15">
            <v>361.77564102564116</v>
          </cell>
          <cell r="F15">
            <v>372.72077594997359</v>
          </cell>
        </row>
        <row r="16">
          <cell r="E16">
            <v>808.75384615384621</v>
          </cell>
          <cell r="F16">
            <v>757.76306252073186</v>
          </cell>
          <cell r="G16">
            <v>13180.011244480798</v>
          </cell>
          <cell r="H16">
            <v>13157.614927713581</v>
          </cell>
        </row>
        <row r="17">
          <cell r="E17">
            <v>925.16769230769239</v>
          </cell>
          <cell r="F17">
            <v>966.95008415543555</v>
          </cell>
          <cell r="G17">
            <v>14742.276443768349</v>
          </cell>
          <cell r="H17">
            <v>14775.871132718385</v>
          </cell>
        </row>
        <row r="19">
          <cell r="E19">
            <v>2.7052820512820515</v>
          </cell>
          <cell r="F19">
            <v>2.6549985871715176</v>
          </cell>
        </row>
        <row r="20">
          <cell r="Q20">
            <v>61637.954970860308</v>
          </cell>
          <cell r="R20">
            <v>62428.521665417647</v>
          </cell>
        </row>
        <row r="21">
          <cell r="Q21">
            <v>17560.896922210839</v>
          </cell>
          <cell r="R21">
            <v>17074.096711181002</v>
          </cell>
        </row>
        <row r="22">
          <cell r="Q22">
            <v>294.87179487179486</v>
          </cell>
          <cell r="R22">
            <v>260.36706512525029</v>
          </cell>
        </row>
        <row r="50">
          <cell r="Q50">
            <v>91097.983950133246</v>
          </cell>
          <cell r="R50">
            <v>90310.994704964556</v>
          </cell>
        </row>
        <row r="56">
          <cell r="L56">
            <v>32538.915230481005</v>
          </cell>
        </row>
        <row r="61">
          <cell r="T61">
            <v>107010.18102564102</v>
          </cell>
          <cell r="U61">
            <v>102295.47925625638</v>
          </cell>
        </row>
        <row r="80">
          <cell r="H80">
            <v>118643.44</v>
          </cell>
          <cell r="I80">
            <v>104395.27200000001</v>
          </cell>
          <cell r="L80">
            <v>14248.167999999981</v>
          </cell>
        </row>
        <row r="85">
          <cell r="H85">
            <v>87366.990175569648</v>
          </cell>
          <cell r="I85">
            <v>86396.514510000008</v>
          </cell>
          <cell r="L85">
            <v>970.47566556964421</v>
          </cell>
          <cell r="Q85">
            <v>107010.18102564102</v>
          </cell>
          <cell r="R85">
            <v>102295.47925625638</v>
          </cell>
        </row>
        <row r="86">
          <cell r="H86">
            <v>414565.25576923386</v>
          </cell>
          <cell r="I86">
            <v>296064.11999999965</v>
          </cell>
          <cell r="K86">
            <v>-191315.52574897473</v>
          </cell>
          <cell r="M86">
            <v>25056.83108368906</v>
          </cell>
        </row>
        <row r="89">
          <cell r="Q89">
            <v>79493.72368794294</v>
          </cell>
          <cell r="R89">
            <v>79762.985441723897</v>
          </cell>
        </row>
        <row r="90">
          <cell r="Q90">
            <v>27516.457337698084</v>
          </cell>
          <cell r="R90">
            <v>22532.493814532485</v>
          </cell>
        </row>
      </sheetData>
      <sheetData sheetId="5">
        <row r="2">
          <cell r="N2">
            <v>32000</v>
          </cell>
        </row>
        <row r="5">
          <cell r="T5">
            <v>32000</v>
          </cell>
          <cell r="U5">
            <v>34905</v>
          </cell>
        </row>
        <row r="9">
          <cell r="E9">
            <v>325</v>
          </cell>
          <cell r="F9">
            <v>295.62575724217857</v>
          </cell>
          <cell r="G9">
            <v>100000</v>
          </cell>
          <cell r="H9">
            <v>99696.342219124883</v>
          </cell>
        </row>
        <row r="10">
          <cell r="E10">
            <v>0</v>
          </cell>
          <cell r="F10">
            <v>6.6650347624565445</v>
          </cell>
          <cell r="G10">
            <v>0</v>
          </cell>
          <cell r="H10">
            <v>102200.02868604862</v>
          </cell>
        </row>
        <row r="11">
          <cell r="E11">
            <v>0</v>
          </cell>
          <cell r="F11">
            <v>0</v>
          </cell>
        </row>
        <row r="12">
          <cell r="E12">
            <v>38</v>
          </cell>
          <cell r="F12">
            <v>29.397701911935105</v>
          </cell>
          <cell r="G12">
            <v>64100.000000000007</v>
          </cell>
          <cell r="H12">
            <v>64128.278486229334</v>
          </cell>
        </row>
        <row r="13">
          <cell r="E13">
            <v>15</v>
          </cell>
          <cell r="F13">
            <v>29.77019466975667</v>
          </cell>
          <cell r="G13">
            <v>46100</v>
          </cell>
          <cell r="H13">
            <v>38504.902248891631</v>
          </cell>
        </row>
        <row r="14">
          <cell r="E14">
            <v>0</v>
          </cell>
          <cell r="F14">
            <v>0</v>
          </cell>
        </row>
        <row r="15">
          <cell r="E15">
            <v>378</v>
          </cell>
          <cell r="F15">
            <v>361.4586885863269</v>
          </cell>
        </row>
        <row r="16">
          <cell r="E16">
            <v>848</v>
          </cell>
          <cell r="F16">
            <v>866.61949594438056</v>
          </cell>
          <cell r="G16">
            <v>15799.999999999998</v>
          </cell>
          <cell r="H16">
            <v>15567.401470231096</v>
          </cell>
        </row>
        <row r="17">
          <cell r="E17">
            <v>872</v>
          </cell>
          <cell r="F17">
            <v>861.5197566628043</v>
          </cell>
          <cell r="G17">
            <v>15032.258064516132</v>
          </cell>
          <cell r="H17">
            <v>14997.034229911553</v>
          </cell>
        </row>
        <row r="19">
          <cell r="E19">
            <v>3.39</v>
          </cell>
          <cell r="F19">
            <v>2.9996610660486689</v>
          </cell>
        </row>
        <row r="20">
          <cell r="Q20">
            <v>65295.20903225807</v>
          </cell>
          <cell r="R20">
            <v>62170.619988412502</v>
          </cell>
        </row>
        <row r="21">
          <cell r="Q21">
            <v>17450.281315789471</v>
          </cell>
          <cell r="R21">
            <v>18234.547972190037</v>
          </cell>
        </row>
        <row r="22">
          <cell r="Q22">
            <v>359.375</v>
          </cell>
          <cell r="R22">
            <v>362.6255214368482</v>
          </cell>
        </row>
        <row r="50">
          <cell r="Q50">
            <v>89991.11106733403</v>
          </cell>
          <cell r="R50">
            <v>86627.36123986094</v>
          </cell>
        </row>
        <row r="56">
          <cell r="L56">
            <v>116116.64830437042</v>
          </cell>
        </row>
        <row r="80">
          <cell r="H80">
            <v>70773.7</v>
          </cell>
          <cell r="I80">
            <v>58276.017999999996</v>
          </cell>
          <cell r="L80">
            <v>12497.681999999999</v>
          </cell>
        </row>
        <row r="85">
          <cell r="H85">
            <v>29486.990222222223</v>
          </cell>
          <cell r="I85">
            <v>30117.650260000002</v>
          </cell>
          <cell r="L85">
            <v>-630.66003777777792</v>
          </cell>
          <cell r="Q85">
            <v>98492.940625000003</v>
          </cell>
          <cell r="R85">
            <v>96859.207213209738</v>
          </cell>
        </row>
        <row r="86">
          <cell r="H86">
            <v>171797.85562308936</v>
          </cell>
          <cell r="I86">
            <v>265584.45900000044</v>
          </cell>
          <cell r="K86">
            <v>-56396.477374999929</v>
          </cell>
          <cell r="M86">
            <v>22199.410485318222</v>
          </cell>
        </row>
        <row r="89">
          <cell r="Q89">
            <v>83104.865348047548</v>
          </cell>
          <cell r="R89">
            <v>80767.793482039386</v>
          </cell>
        </row>
      </sheetData>
      <sheetData sheetId="6">
        <row r="2">
          <cell r="N2">
            <v>25000</v>
          </cell>
        </row>
        <row r="5">
          <cell r="T5">
            <v>25000</v>
          </cell>
          <cell r="U5">
            <v>21485</v>
          </cell>
        </row>
        <row r="9">
          <cell r="E9">
            <v>308</v>
          </cell>
          <cell r="F9">
            <v>325.24356760530623</v>
          </cell>
          <cell r="G9">
            <v>100000</v>
          </cell>
          <cell r="H9">
            <v>99888.856070852737</v>
          </cell>
        </row>
        <row r="10">
          <cell r="E10">
            <v>19.25</v>
          </cell>
          <cell r="F10">
            <v>39.135120316499886</v>
          </cell>
          <cell r="G10">
            <v>98000</v>
          </cell>
          <cell r="H10">
            <v>100926.15755660622</v>
          </cell>
        </row>
        <row r="11">
          <cell r="E11">
            <v>0</v>
          </cell>
          <cell r="F11">
            <v>0</v>
          </cell>
        </row>
        <row r="12">
          <cell r="E12">
            <v>38.5</v>
          </cell>
          <cell r="F12">
            <v>15.049714219222722</v>
          </cell>
          <cell r="G12">
            <v>64400.000000000007</v>
          </cell>
          <cell r="H12">
            <v>64508.793770184195</v>
          </cell>
        </row>
        <row r="13">
          <cell r="E13">
            <v>19.25</v>
          </cell>
          <cell r="F13">
            <v>12.972262974168014</v>
          </cell>
          <cell r="G13">
            <v>47600</v>
          </cell>
          <cell r="H13">
            <v>39610.982161434535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392.40066511519683</v>
          </cell>
        </row>
        <row r="16">
          <cell r="E16">
            <v>904.67981693363856</v>
          </cell>
          <cell r="F16">
            <v>896.58924831277682</v>
          </cell>
          <cell r="G16">
            <v>16000</v>
          </cell>
          <cell r="H16">
            <v>15782.027719145595</v>
          </cell>
        </row>
        <row r="17">
          <cell r="E17">
            <v>835.0890617848969</v>
          </cell>
          <cell r="F17">
            <v>823.79823132418005</v>
          </cell>
          <cell r="G17">
            <v>14318.131256952171</v>
          </cell>
          <cell r="H17">
            <v>13725.107906779385</v>
          </cell>
        </row>
        <row r="19">
          <cell r="E19">
            <v>3.33</v>
          </cell>
          <cell r="F19">
            <v>3.1902583197579713</v>
          </cell>
        </row>
        <row r="20">
          <cell r="Q20">
            <v>65311.191868819413</v>
          </cell>
          <cell r="R20">
            <v>66042.949453106819</v>
          </cell>
        </row>
        <row r="21">
          <cell r="Q21">
            <v>17753.832852233678</v>
          </cell>
          <cell r="R21">
            <v>19400.539027228297</v>
          </cell>
        </row>
        <row r="22">
          <cell r="Q22">
            <v>600</v>
          </cell>
          <cell r="R22">
            <v>760.42573888759603</v>
          </cell>
        </row>
        <row r="50">
          <cell r="Q50">
            <v>90979.008819929179</v>
          </cell>
          <cell r="R50">
            <v>95297.956853618802</v>
          </cell>
        </row>
        <row r="56">
          <cell r="L56">
            <v>-92792.589693821777</v>
          </cell>
        </row>
        <row r="80">
          <cell r="H80">
            <v>63168.009999999995</v>
          </cell>
          <cell r="I80">
            <v>61478.066999999995</v>
          </cell>
          <cell r="L80">
            <v>1689.9430000000038</v>
          </cell>
        </row>
        <row r="85">
          <cell r="H85">
            <v>35308.774017244461</v>
          </cell>
          <cell r="I85">
            <v>35517.608809999998</v>
          </cell>
          <cell r="L85">
            <v>-208.83479275554032</v>
          </cell>
          <cell r="Q85">
            <v>97727.914736189952</v>
          </cell>
          <cell r="R85">
            <v>97514.16848964394</v>
          </cell>
        </row>
        <row r="86">
          <cell r="H86">
            <v>70245.863889275017</v>
          </cell>
          <cell r="I86">
            <v>-49380.360000000168</v>
          </cell>
          <cell r="K86">
            <v>-4592.3381070410705</v>
          </cell>
          <cell r="M86">
            <v>-23722.404295656597</v>
          </cell>
        </row>
        <row r="89">
          <cell r="Q89">
            <v>83665.024721053094</v>
          </cell>
          <cell r="R89">
            <v>86203.914219222715</v>
          </cell>
        </row>
      </sheetData>
      <sheetData sheetId="7">
        <row r="2">
          <cell r="N2">
            <v>16000</v>
          </cell>
        </row>
        <row r="5">
          <cell r="T5">
            <v>16000</v>
          </cell>
          <cell r="U5">
            <v>10445</v>
          </cell>
        </row>
        <row r="9">
          <cell r="E9">
            <v>302.39281249999999</v>
          </cell>
          <cell r="F9">
            <v>302.82834179033017</v>
          </cell>
          <cell r="G9">
            <v>100000</v>
          </cell>
          <cell r="H9">
            <v>99999.999367697339</v>
          </cell>
        </row>
        <row r="10">
          <cell r="E10">
            <v>0</v>
          </cell>
          <cell r="F10">
            <v>48.177694590713266</v>
          </cell>
          <cell r="G10">
            <v>0</v>
          </cell>
          <cell r="H10">
            <v>101641.16595493125</v>
          </cell>
        </row>
        <row r="11">
          <cell r="E11">
            <v>0</v>
          </cell>
          <cell r="F11">
            <v>0</v>
          </cell>
        </row>
        <row r="12">
          <cell r="E12">
            <v>29.960312500000001</v>
          </cell>
          <cell r="F12">
            <v>8.8566874102441364</v>
          </cell>
          <cell r="G12">
            <v>64300</v>
          </cell>
          <cell r="H12">
            <v>64129.876194625125</v>
          </cell>
        </row>
        <row r="13">
          <cell r="E13">
            <v>25.1325</v>
          </cell>
          <cell r="F13">
            <v>9.0396438487314548</v>
          </cell>
          <cell r="G13">
            <v>48200</v>
          </cell>
          <cell r="H13">
            <v>41289.67365494345</v>
          </cell>
        </row>
        <row r="14">
          <cell r="E14">
            <v>0</v>
          </cell>
          <cell r="F14">
            <v>0</v>
          </cell>
        </row>
        <row r="15">
          <cell r="E15">
            <v>357.48562499999997</v>
          </cell>
          <cell r="F15">
            <v>368.90236764001901</v>
          </cell>
        </row>
        <row r="16">
          <cell r="E16">
            <v>864.56</v>
          </cell>
          <cell r="F16">
            <v>773.20924250837697</v>
          </cell>
          <cell r="G16">
            <v>16333.333333333332</v>
          </cell>
          <cell r="H16">
            <v>16166.772034550619</v>
          </cell>
        </row>
        <row r="17">
          <cell r="E17">
            <v>866.66843749999998</v>
          </cell>
          <cell r="F17">
            <v>903.48731450454704</v>
          </cell>
          <cell r="G17">
            <v>12580.64516129032</v>
          </cell>
          <cell r="H17">
            <v>12127.749346317796</v>
          </cell>
        </row>
        <row r="19">
          <cell r="E19">
            <v>2.87</v>
          </cell>
          <cell r="F19">
            <v>2.343882240306367</v>
          </cell>
        </row>
        <row r="20">
          <cell r="Q20">
            <v>60467.910595094079</v>
          </cell>
          <cell r="R20">
            <v>61528.135375777885</v>
          </cell>
        </row>
        <row r="21">
          <cell r="Q21">
            <v>18669.473139909736</v>
          </cell>
          <cell r="R21">
            <v>18878.625370990903</v>
          </cell>
        </row>
        <row r="22">
          <cell r="Q22">
            <v>297.03125</v>
          </cell>
          <cell r="R22">
            <v>463.6550502632839</v>
          </cell>
        </row>
        <row r="50">
          <cell r="Q50">
            <v>90568.016786977692</v>
          </cell>
          <cell r="R50">
            <v>94445.778650071792</v>
          </cell>
        </row>
        <row r="56">
          <cell r="L56">
            <v>-40503.225920017932</v>
          </cell>
        </row>
        <row r="80">
          <cell r="H80">
            <v>52777.32</v>
          </cell>
          <cell r="I80">
            <v>53032.188000000002</v>
          </cell>
          <cell r="L80">
            <v>-254.86799999999948</v>
          </cell>
        </row>
        <row r="85">
          <cell r="H85">
            <v>21361.274222222222</v>
          </cell>
          <cell r="I85">
            <v>20672.318739999999</v>
          </cell>
          <cell r="L85">
            <v>688.95548222222283</v>
          </cell>
          <cell r="Q85">
            <v>96618.603425000008</v>
          </cell>
          <cell r="R85">
            <v>97410.416467209201</v>
          </cell>
        </row>
        <row r="86">
          <cell r="H86">
            <v>22670.791986134835</v>
          </cell>
          <cell r="I86">
            <v>-42738.867999999915</v>
          </cell>
          <cell r="K86">
            <v>8270.4872258750165</v>
          </cell>
          <cell r="M86">
            <v>-33611.008774213959</v>
          </cell>
        </row>
        <row r="89">
          <cell r="Q89">
            <v>79434.414985003823</v>
          </cell>
          <cell r="R89">
            <v>80870.415797032081</v>
          </cell>
        </row>
      </sheetData>
      <sheetData sheetId="8">
        <row r="2">
          <cell r="N2">
            <v>10000</v>
          </cell>
        </row>
        <row r="5">
          <cell r="T5">
            <v>10000</v>
          </cell>
          <cell r="U5">
            <v>7404.5</v>
          </cell>
        </row>
        <row r="9">
          <cell r="E9">
            <v>277</v>
          </cell>
          <cell r="F9">
            <v>297.72526479540056</v>
          </cell>
          <cell r="G9">
            <v>100000</v>
          </cell>
          <cell r="H9">
            <v>100000.00000000006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29.684685830233335</v>
          </cell>
          <cell r="G12">
            <v>63800</v>
          </cell>
          <cell r="H12">
            <v>63832.45131651788</v>
          </cell>
        </row>
        <row r="13">
          <cell r="E13">
            <v>30</v>
          </cell>
          <cell r="F13">
            <v>35.375452147446744</v>
          </cell>
          <cell r="G13">
            <v>47600</v>
          </cell>
          <cell r="H13">
            <v>40170.812903662954</v>
          </cell>
        </row>
        <row r="14">
          <cell r="E14">
            <v>0</v>
          </cell>
          <cell r="F14">
            <v>0</v>
          </cell>
        </row>
        <row r="15">
          <cell r="E15">
            <v>337</v>
          </cell>
          <cell r="F15">
            <v>362.78540277308065</v>
          </cell>
        </row>
        <row r="16">
          <cell r="E16">
            <v>810</v>
          </cell>
          <cell r="F16">
            <v>753.27223537368968</v>
          </cell>
          <cell r="G16">
            <v>14600</v>
          </cell>
          <cell r="H16">
            <v>14610.667559775271</v>
          </cell>
        </row>
        <row r="17">
          <cell r="E17">
            <v>955</v>
          </cell>
          <cell r="F17">
            <v>913.88704768346327</v>
          </cell>
          <cell r="G17">
            <v>14129.661229172611</v>
          </cell>
          <cell r="H17">
            <v>14335.186081519731</v>
          </cell>
        </row>
        <row r="19">
          <cell r="E19">
            <v>2.8</v>
          </cell>
          <cell r="F19">
            <v>2.7246060196144741</v>
          </cell>
        </row>
        <row r="20">
          <cell r="Q20">
            <v>58611.826473859845</v>
          </cell>
          <cell r="R20">
            <v>59649.127358809608</v>
          </cell>
        </row>
        <row r="21">
          <cell r="Q21">
            <v>18217.852789473684</v>
          </cell>
          <cell r="R21">
            <v>19320.945823469734</v>
          </cell>
        </row>
        <row r="22">
          <cell r="Q22">
            <v>265</v>
          </cell>
          <cell r="R22">
            <v>901.450118363206</v>
          </cell>
        </row>
        <row r="50">
          <cell r="Q50">
            <v>87632.099263333526</v>
          </cell>
          <cell r="R50">
            <v>94443.9529252621</v>
          </cell>
        </row>
        <row r="56">
          <cell r="L56">
            <v>-50356.631535806941</v>
          </cell>
        </row>
        <row r="80">
          <cell r="H80">
            <v>35770.630000000005</v>
          </cell>
          <cell r="I80">
            <v>34675.330999999998</v>
          </cell>
          <cell r="L80">
            <v>1095.2990000000045</v>
          </cell>
        </row>
        <row r="85">
          <cell r="H85">
            <v>18427.412777777779</v>
          </cell>
          <cell r="I85">
            <v>18101.859660000002</v>
          </cell>
          <cell r="L85">
            <v>325.55311777777706</v>
          </cell>
          <cell r="Q85">
            <v>95733.513000000006</v>
          </cell>
          <cell r="R85">
            <v>95239.125600270549</v>
          </cell>
        </row>
        <row r="86">
          <cell r="H86">
            <v>26816.094588886928</v>
          </cell>
          <cell r="I86">
            <v>-46868.880000000041</v>
          </cell>
          <cell r="K86">
            <v>-3654.758852500016</v>
          </cell>
          <cell r="M86">
            <v>-21094.436318357824</v>
          </cell>
        </row>
        <row r="89">
          <cell r="Q89">
            <v>77094.679263333528</v>
          </cell>
          <cell r="R89">
            <v>79871.523300642555</v>
          </cell>
        </row>
      </sheetData>
      <sheetData sheetId="9">
        <row r="2">
          <cell r="N2">
            <v>19000</v>
          </cell>
        </row>
        <row r="5">
          <cell r="T5">
            <v>19000</v>
          </cell>
          <cell r="U5">
            <v>16897</v>
          </cell>
        </row>
        <row r="9">
          <cell r="E9">
            <v>222.12656842105264</v>
          </cell>
          <cell r="F9">
            <v>218.83771918415604</v>
          </cell>
          <cell r="G9">
            <v>99999.999999999985</v>
          </cell>
          <cell r="H9">
            <v>100000.00054030107</v>
          </cell>
        </row>
        <row r="10">
          <cell r="E10">
            <v>137.87166315789474</v>
          </cell>
          <cell r="F10">
            <v>146.48299142772689</v>
          </cell>
          <cell r="G10">
            <v>92899.999999999985</v>
          </cell>
          <cell r="H10">
            <v>92908.765006196321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22.978610526315794</v>
          </cell>
          <cell r="F13">
            <v>23.096635530594163</v>
          </cell>
          <cell r="G13">
            <v>36500</v>
          </cell>
          <cell r="H13">
            <v>34535.192892979103</v>
          </cell>
        </row>
        <row r="14">
          <cell r="E14">
            <v>0</v>
          </cell>
          <cell r="F14">
            <v>0</v>
          </cell>
        </row>
        <row r="15">
          <cell r="E15">
            <v>382.97684210526319</v>
          </cell>
          <cell r="F15">
            <v>388.41734614247707</v>
          </cell>
        </row>
        <row r="16">
          <cell r="E16">
            <v>819.81240000000003</v>
          </cell>
          <cell r="F16">
            <v>889.71327224357083</v>
          </cell>
          <cell r="G16">
            <v>11711.816996181076</v>
          </cell>
          <cell r="H16">
            <v>11721.350343865244</v>
          </cell>
        </row>
        <row r="17">
          <cell r="E17">
            <v>900.04105263157885</v>
          </cell>
          <cell r="F17">
            <v>829.95093112621919</v>
          </cell>
          <cell r="G17">
            <v>18098.1180856834</v>
          </cell>
          <cell r="H17">
            <v>18122.36601603292</v>
          </cell>
        </row>
        <row r="19">
          <cell r="E19">
            <v>3.2582991642105257</v>
          </cell>
          <cell r="F19">
            <v>2.8321992314513751</v>
          </cell>
        </row>
        <row r="20">
          <cell r="Q20">
            <v>64721.339091036469</v>
          </cell>
          <cell r="R20">
            <v>64330.919302394323</v>
          </cell>
        </row>
        <row r="21">
          <cell r="Q21">
            <v>20070.599795321639</v>
          </cell>
          <cell r="R21">
            <v>19898.366597694352</v>
          </cell>
        </row>
        <row r="22">
          <cell r="Q22">
            <v>263.15789473684208</v>
          </cell>
          <cell r="R22">
            <v>179.45344368903341</v>
          </cell>
        </row>
        <row r="50">
          <cell r="Q50">
            <v>93609.89956733826</v>
          </cell>
          <cell r="R50">
            <v>92555.066981968659</v>
          </cell>
        </row>
        <row r="56">
          <cell r="L56">
            <v>54652.776999314498</v>
          </cell>
        </row>
        <row r="80">
          <cell r="H80">
            <v>48081.760000000002</v>
          </cell>
          <cell r="I80">
            <v>49127.203999999998</v>
          </cell>
          <cell r="L80">
            <v>-1045.4439999999965</v>
          </cell>
        </row>
        <row r="85">
          <cell r="H85">
            <v>47691.919888888886</v>
          </cell>
          <cell r="I85">
            <v>84589.022010000001</v>
          </cell>
          <cell r="L85">
            <v>-36897.102121111122</v>
          </cell>
          <cell r="Q85">
            <v>107699.90204421052</v>
          </cell>
          <cell r="R85">
            <v>106178.75954311417</v>
          </cell>
        </row>
        <row r="86">
          <cell r="H86">
            <v>171936.36717168434</v>
          </cell>
          <cell r="I86">
            <v>133312.5780000001</v>
          </cell>
          <cell r="K86">
            <v>-25702.744841025156</v>
          </cell>
          <cell r="M86">
            <v>-29631.275208862382</v>
          </cell>
        </row>
        <row r="89">
          <cell r="Q89">
            <v>85055.096781094951</v>
          </cell>
          <cell r="R89">
            <v>84408.739343777706</v>
          </cell>
        </row>
      </sheetData>
      <sheetData sheetId="10">
        <row r="2">
          <cell r="N2">
            <v>19000</v>
          </cell>
        </row>
        <row r="5">
          <cell r="T5">
            <v>19000</v>
          </cell>
          <cell r="U5">
            <v>17850</v>
          </cell>
        </row>
        <row r="9">
          <cell r="E9">
            <v>249</v>
          </cell>
          <cell r="F9">
            <v>228.4321040927623</v>
          </cell>
          <cell r="G9">
            <v>100000</v>
          </cell>
          <cell r="H9">
            <v>100003.59192708995</v>
          </cell>
        </row>
        <row r="10">
          <cell r="E10">
            <v>60</v>
          </cell>
          <cell r="F10">
            <v>46.436332927410369</v>
          </cell>
          <cell r="G10">
            <v>92100</v>
          </cell>
          <cell r="H10">
            <v>92100.004398872057</v>
          </cell>
        </row>
        <row r="11">
          <cell r="E11">
            <v>0</v>
          </cell>
          <cell r="F11">
            <v>0</v>
          </cell>
        </row>
        <row r="12">
          <cell r="E12">
            <v>29</v>
          </cell>
          <cell r="F12">
            <v>52.208932069677573</v>
          </cell>
          <cell r="G12">
            <v>65000</v>
          </cell>
          <cell r="H12">
            <v>64000.640522413138</v>
          </cell>
        </row>
        <row r="13">
          <cell r="E13">
            <v>24</v>
          </cell>
          <cell r="F13">
            <v>33.274692116270415</v>
          </cell>
          <cell r="G13">
            <v>35300</v>
          </cell>
          <cell r="H13">
            <v>33824.38357843204</v>
          </cell>
        </row>
        <row r="14">
          <cell r="E14">
            <v>0</v>
          </cell>
          <cell r="F14">
            <v>0</v>
          </cell>
        </row>
        <row r="15">
          <cell r="E15">
            <v>362</v>
          </cell>
          <cell r="F15">
            <v>360.35206120612065</v>
          </cell>
        </row>
        <row r="16">
          <cell r="E16">
            <v>822</v>
          </cell>
          <cell r="F16">
            <v>844.1026632074969</v>
          </cell>
          <cell r="G16">
            <v>11333.333333333334</v>
          </cell>
          <cell r="H16">
            <v>14085.974297614684</v>
          </cell>
        </row>
        <row r="17">
          <cell r="E17">
            <v>913.05789473684206</v>
          </cell>
          <cell r="F17">
            <v>884.49028432254988</v>
          </cell>
          <cell r="G17">
            <v>17729.400877031996</v>
          </cell>
          <cell r="H17">
            <v>17976.719578999993</v>
          </cell>
        </row>
        <row r="19">
          <cell r="E19">
            <v>3.2</v>
          </cell>
          <cell r="F19">
            <v>3.1976481177529519</v>
          </cell>
        </row>
        <row r="20">
          <cell r="Q20">
            <v>61468.169439728357</v>
          </cell>
          <cell r="R20">
            <v>62051.25080743368</v>
          </cell>
        </row>
        <row r="21">
          <cell r="Q21">
            <v>17084.365493271642</v>
          </cell>
          <cell r="R21">
            <v>16212.384285487375</v>
          </cell>
        </row>
        <row r="22">
          <cell r="Q22">
            <v>157.89473684210526</v>
          </cell>
          <cell r="R22">
            <v>284.8161169058082</v>
          </cell>
        </row>
        <row r="50">
          <cell r="Q50">
            <v>86913.471248789472</v>
          </cell>
          <cell r="R50">
            <v>85786.824111822934</v>
          </cell>
        </row>
        <row r="56">
          <cell r="L56">
            <v>24091.724560891635</v>
          </cell>
        </row>
        <row r="80">
          <cell r="H80">
            <v>49812.069999999992</v>
          </cell>
          <cell r="I80">
            <v>52841.233999999997</v>
          </cell>
          <cell r="L80">
            <v>-3029.1640000000043</v>
          </cell>
        </row>
        <row r="85">
          <cell r="H85">
            <v>28623.784111111112</v>
          </cell>
          <cell r="I85">
            <v>43122.734770000003</v>
          </cell>
          <cell r="L85">
            <v>-14498.950658888894</v>
          </cell>
          <cell r="Q85">
            <v>99300.38903157899</v>
          </cell>
          <cell r="R85">
            <v>95281.803921568629</v>
          </cell>
        </row>
        <row r="86">
          <cell r="H86">
            <v>156915.58376188963</v>
          </cell>
          <cell r="I86">
            <v>77502.493999999861</v>
          </cell>
          <cell r="K86">
            <v>-71731.744213684942</v>
          </cell>
          <cell r="M86">
            <v>-14244.955450207955</v>
          </cell>
        </row>
        <row r="89">
          <cell r="Q89">
            <v>78710.429669842109</v>
          </cell>
          <cell r="R89">
            <v>78548.451209826875</v>
          </cell>
        </row>
      </sheetData>
      <sheetData sheetId="11">
        <row r="2">
          <cell r="N2">
            <v>12000</v>
          </cell>
        </row>
        <row r="5">
          <cell r="T5">
            <v>12000</v>
          </cell>
          <cell r="U5">
            <v>4580</v>
          </cell>
        </row>
        <row r="9">
          <cell r="E9">
            <v>214.2</v>
          </cell>
          <cell r="F9">
            <v>242.3947918073373</v>
          </cell>
          <cell r="G9">
            <v>100000</v>
          </cell>
          <cell r="H9">
            <v>100000.00185707911</v>
          </cell>
        </row>
        <row r="10">
          <cell r="E10">
            <v>105.39999999999999</v>
          </cell>
          <cell r="F10">
            <v>91.931129867206863</v>
          </cell>
          <cell r="G10">
            <v>92100.000000000015</v>
          </cell>
          <cell r="H10">
            <v>92100.014883094249</v>
          </cell>
        </row>
        <row r="11">
          <cell r="E11">
            <v>0</v>
          </cell>
          <cell r="F11">
            <v>0</v>
          </cell>
        </row>
        <row r="12">
          <cell r="E12">
            <v>3.4</v>
          </cell>
          <cell r="F12">
            <v>0</v>
          </cell>
          <cell r="G12">
            <v>64000</v>
          </cell>
          <cell r="H12">
            <v>0</v>
          </cell>
        </row>
        <row r="13">
          <cell r="E13">
            <v>17</v>
          </cell>
          <cell r="F13">
            <v>22.068431240153036</v>
          </cell>
          <cell r="G13">
            <v>35000</v>
          </cell>
          <cell r="H13">
            <v>33235.121576696984</v>
          </cell>
        </row>
        <row r="14">
          <cell r="E14">
            <v>0</v>
          </cell>
          <cell r="F14">
            <v>0</v>
          </cell>
        </row>
        <row r="15">
          <cell r="E15">
            <v>339.99999999999994</v>
          </cell>
          <cell r="F15">
            <v>356.39435291469715</v>
          </cell>
        </row>
        <row r="16">
          <cell r="E16">
            <v>770</v>
          </cell>
          <cell r="F16">
            <v>817.69074949358549</v>
          </cell>
          <cell r="G16">
            <v>9066.6666666666661</v>
          </cell>
          <cell r="H16">
            <v>9105.140379851362</v>
          </cell>
        </row>
        <row r="17">
          <cell r="E17">
            <v>950</v>
          </cell>
          <cell r="F17">
            <v>878.8296196263783</v>
          </cell>
          <cell r="G17">
            <v>15626.218829274856</v>
          </cell>
          <cell r="H17">
            <v>16321.892159072288</v>
          </cell>
        </row>
        <row r="19">
          <cell r="E19">
            <v>3.3</v>
          </cell>
          <cell r="F19">
            <v>3.2271100607697507</v>
          </cell>
        </row>
        <row r="20">
          <cell r="Q20">
            <v>56736.181221144449</v>
          </cell>
          <cell r="R20">
            <v>58070.774926851227</v>
          </cell>
        </row>
        <row r="21">
          <cell r="Q21">
            <v>19804.267967836262</v>
          </cell>
          <cell r="R21">
            <v>24408.036236776952</v>
          </cell>
        </row>
        <row r="22">
          <cell r="Q22">
            <v>366.66666666666663</v>
          </cell>
          <cell r="R22">
            <v>806.18478505514292</v>
          </cell>
        </row>
        <row r="50">
          <cell r="Q50">
            <v>84857.460855647383</v>
          </cell>
          <cell r="R50">
            <v>104715.13639432816</v>
          </cell>
        </row>
        <row r="56">
          <cell r="L56">
            <v>-87082.131208358784</v>
          </cell>
        </row>
        <row r="80">
          <cell r="H80">
            <v>37900.409999999996</v>
          </cell>
          <cell r="I80">
            <v>35634.233999999997</v>
          </cell>
          <cell r="L80">
            <v>2266.1759999999977</v>
          </cell>
        </row>
        <row r="85">
          <cell r="H85">
            <v>13565.532222222222</v>
          </cell>
          <cell r="I85">
            <v>14543.96421</v>
          </cell>
          <cell r="L85">
            <v>-978.4319877777782</v>
          </cell>
          <cell r="Q85">
            <v>96300.27499999998</v>
          </cell>
          <cell r="R85">
            <v>99140.018005851904</v>
          </cell>
        </row>
        <row r="86">
          <cell r="H86">
            <v>85847.827510009054</v>
          </cell>
          <cell r="I86">
            <v>-73487.828000000038</v>
          </cell>
          <cell r="K86">
            <v>12616.978175000098</v>
          </cell>
          <cell r="M86">
            <v>-86158.246488872566</v>
          </cell>
        </row>
        <row r="89">
          <cell r="Q89">
            <v>76907.115855647382</v>
          </cell>
          <cell r="R89">
            <v>83284.995948683325</v>
          </cell>
        </row>
      </sheetData>
      <sheetData sheetId="12">
        <row r="2">
          <cell r="N2">
            <v>18000</v>
          </cell>
        </row>
        <row r="5">
          <cell r="T5">
            <v>18000</v>
          </cell>
          <cell r="U5">
            <v>18366</v>
          </cell>
        </row>
        <row r="9">
          <cell r="E9">
            <v>240.73858443193078</v>
          </cell>
          <cell r="F9">
            <v>295.21353527106481</v>
          </cell>
          <cell r="G9">
            <v>100000</v>
          </cell>
          <cell r="H9">
            <v>100002.62000050822</v>
          </cell>
        </row>
        <row r="10">
          <cell r="E10">
            <v>69.30353188191944</v>
          </cell>
          <cell r="F10">
            <v>52.828547245808842</v>
          </cell>
          <cell r="G10">
            <v>92100</v>
          </cell>
          <cell r="H10">
            <v>92099.996860594954</v>
          </cell>
        </row>
        <row r="11">
          <cell r="E11">
            <v>0</v>
          </cell>
          <cell r="F11">
            <v>0</v>
          </cell>
        </row>
        <row r="12">
          <cell r="E12">
            <v>29.180434476597661</v>
          </cell>
          <cell r="F12">
            <v>20.786309601567602</v>
          </cell>
          <cell r="G12">
            <v>62000</v>
          </cell>
          <cell r="H12">
            <v>62085.577981789764</v>
          </cell>
        </row>
        <row r="13">
          <cell r="E13">
            <v>25.532880167022956</v>
          </cell>
          <cell r="F13">
            <v>11.018566840844766</v>
          </cell>
          <cell r="G13">
            <v>35500</v>
          </cell>
          <cell r="H13">
            <v>33241.52358277754</v>
          </cell>
        </row>
        <row r="14">
          <cell r="E14">
            <v>0</v>
          </cell>
          <cell r="F14">
            <v>0</v>
          </cell>
        </row>
        <row r="15">
          <cell r="E15">
            <v>364.75543095747082</v>
          </cell>
          <cell r="F15">
            <v>379.84695895928604</v>
          </cell>
        </row>
        <row r="16">
          <cell r="E16">
            <v>791.12461111111111</v>
          </cell>
          <cell r="F16">
            <v>799.18789462225152</v>
          </cell>
          <cell r="G16">
            <v>11362.368853771199</v>
          </cell>
          <cell r="H16">
            <v>11272.561753031459</v>
          </cell>
        </row>
        <row r="17">
          <cell r="E17">
            <v>914.21683828104744</v>
          </cell>
          <cell r="F17">
            <v>902.74874809492701</v>
          </cell>
          <cell r="G17">
            <v>19374.351197032116</v>
          </cell>
          <cell r="H17">
            <v>18806.430694651288</v>
          </cell>
        </row>
        <row r="19">
          <cell r="E19">
            <v>3.1004211631385012</v>
          </cell>
          <cell r="F19">
            <v>2.6205584585238388</v>
          </cell>
        </row>
        <row r="20">
          <cell r="Q20">
            <v>62735.414382411131</v>
          </cell>
          <cell r="R20">
            <v>64474.985793598949</v>
          </cell>
        </row>
        <row r="21">
          <cell r="Q21">
            <v>19006.745000000003</v>
          </cell>
          <cell r="R21">
            <v>20283.081428260397</v>
          </cell>
        </row>
        <row r="22">
          <cell r="Q22">
            <v>222.2222222222222</v>
          </cell>
          <cell r="R22">
            <v>323.98671892009577</v>
          </cell>
        </row>
        <row r="50">
          <cell r="Q50">
            <v>90366.326604633359</v>
          </cell>
          <cell r="R50">
            <v>92532.984977139116</v>
          </cell>
        </row>
        <row r="56">
          <cell r="L56">
            <v>-34103.596109303086</v>
          </cell>
        </row>
        <row r="80">
          <cell r="H80">
            <v>48031.08</v>
          </cell>
          <cell r="I80">
            <v>40529.691999999995</v>
          </cell>
          <cell r="L80">
            <v>7501.3880000000063</v>
          </cell>
        </row>
        <row r="85">
          <cell r="H85">
            <v>25386.879444444443</v>
          </cell>
          <cell r="I85">
            <v>23348.260469999997</v>
          </cell>
          <cell r="L85">
            <v>2038.618974444445</v>
          </cell>
          <cell r="Q85">
            <v>102000.12397777778</v>
          </cell>
          <cell r="R85">
            <v>103912.71371011651</v>
          </cell>
        </row>
        <row r="86">
          <cell r="H86">
            <v>135990.39327215467</v>
          </cell>
          <cell r="I86">
            <v>150811.39700000003</v>
          </cell>
          <cell r="K86">
            <v>35126.623024133158</v>
          </cell>
          <cell r="M86">
            <v>4257.9698385708543</v>
          </cell>
        </row>
        <row r="89">
          <cell r="Q89">
            <v>81964.381604633352</v>
          </cell>
          <cell r="R89">
            <v>85082.053940779442</v>
          </cell>
        </row>
      </sheetData>
      <sheetData sheetId="13">
        <row r="2">
          <cell r="N2">
            <v>10000</v>
          </cell>
        </row>
        <row r="5">
          <cell r="T5">
            <v>10000</v>
          </cell>
          <cell r="U5">
            <v>8188</v>
          </cell>
        </row>
        <row r="9">
          <cell r="E9">
            <v>265.3515965761398</v>
          </cell>
          <cell r="F9">
            <v>218.2370073260075</v>
          </cell>
          <cell r="G9">
            <v>100000</v>
          </cell>
          <cell r="H9">
            <v>99915.883812822547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40.682417582417592</v>
          </cell>
        </row>
        <row r="12">
          <cell r="E12">
            <v>54.580030948236278</v>
          </cell>
          <cell r="F12">
            <v>79.275586080586123</v>
          </cell>
          <cell r="G12">
            <v>62199.999999999985</v>
          </cell>
          <cell r="H12">
            <v>62117.646352144286</v>
          </cell>
        </row>
        <row r="13">
          <cell r="E13">
            <v>36.453589113277872</v>
          </cell>
          <cell r="F13">
            <v>19.389081807081809</v>
          </cell>
          <cell r="G13">
            <v>36000</v>
          </cell>
          <cell r="H13">
            <v>34095.243109139999</v>
          </cell>
        </row>
        <row r="14">
          <cell r="E14">
            <v>0</v>
          </cell>
          <cell r="F14">
            <v>0</v>
          </cell>
        </row>
        <row r="15">
          <cell r="E15">
            <v>356.38521663765397</v>
          </cell>
          <cell r="F15">
            <v>357.58409279609299</v>
          </cell>
        </row>
        <row r="16">
          <cell r="E16">
            <v>780.4</v>
          </cell>
          <cell r="F16">
            <v>757.88888888888835</v>
          </cell>
          <cell r="G16">
            <v>9600</v>
          </cell>
          <cell r="H16">
            <v>9449.5599401331747</v>
          </cell>
        </row>
        <row r="17">
          <cell r="E17">
            <v>881.07532400000002</v>
          </cell>
          <cell r="F17">
            <v>848.4316239316239</v>
          </cell>
          <cell r="G17">
            <v>17919.980082137983</v>
          </cell>
          <cell r="H17">
            <v>17207.567651581496</v>
          </cell>
        </row>
        <row r="19">
          <cell r="E19">
            <v>3.0603768414200587</v>
          </cell>
          <cell r="F19">
            <v>2.6262417582417572</v>
          </cell>
        </row>
        <row r="20">
          <cell r="Q20">
            <v>56631.152983923203</v>
          </cell>
          <cell r="R20">
            <v>55975.094017094016</v>
          </cell>
        </row>
        <row r="21">
          <cell r="Q21">
            <v>17602.722923976609</v>
          </cell>
          <cell r="R21">
            <v>18217.279853479853</v>
          </cell>
        </row>
        <row r="22">
          <cell r="Q22">
            <v>140</v>
          </cell>
          <cell r="R22">
            <v>64.351159951159943</v>
          </cell>
        </row>
        <row r="50">
          <cell r="Q50">
            <v>85065.141907899815</v>
          </cell>
          <cell r="R50">
            <v>87541.281807081803</v>
          </cell>
        </row>
        <row r="56">
          <cell r="L56">
            <v>-20272.901388116486</v>
          </cell>
        </row>
        <row r="80">
          <cell r="H80">
            <v>29028.299999999996</v>
          </cell>
          <cell r="I80">
            <v>29323.786</v>
          </cell>
          <cell r="L80">
            <v>-295.48600000000283</v>
          </cell>
        </row>
        <row r="85">
          <cell r="H85">
            <v>11488.955888888886</v>
          </cell>
          <cell r="I85">
            <v>12572.666669999999</v>
          </cell>
          <cell r="L85">
            <v>-1083.7107811111132</v>
          </cell>
          <cell r="Q85">
            <v>94724.25</v>
          </cell>
          <cell r="R85">
            <v>96674.462628236448</v>
          </cell>
        </row>
        <row r="86">
          <cell r="H86">
            <v>56073.825032113091</v>
          </cell>
          <cell r="I86">
            <v>32887.763999999996</v>
          </cell>
          <cell r="K86">
            <v>15968.341000000035</v>
          </cell>
          <cell r="M86">
            <v>-17502.303862885543</v>
          </cell>
        </row>
        <row r="89">
          <cell r="Q89">
            <v>74373.875907899812</v>
          </cell>
          <cell r="R89">
            <v>74256.72503052502</v>
          </cell>
        </row>
      </sheetData>
      <sheetData sheetId="14">
        <row r="2">
          <cell r="N2">
            <v>7000</v>
          </cell>
        </row>
        <row r="5">
          <cell r="T5">
            <v>7000</v>
          </cell>
          <cell r="U5">
            <v>10864</v>
          </cell>
        </row>
        <row r="9">
          <cell r="E9">
            <v>255</v>
          </cell>
          <cell r="F9">
            <v>262.89498251104578</v>
          </cell>
          <cell r="G9">
            <v>100000</v>
          </cell>
          <cell r="H9">
            <v>99999.999999999956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64.199999999999989</v>
          </cell>
          <cell r="F12">
            <v>63.903820876288641</v>
          </cell>
          <cell r="G12">
            <v>64500</v>
          </cell>
          <cell r="H12">
            <v>63998.270020771044</v>
          </cell>
        </row>
        <row r="13">
          <cell r="E13">
            <v>36.5</v>
          </cell>
          <cell r="F13">
            <v>31.485419734904269</v>
          </cell>
          <cell r="G13">
            <v>33000</v>
          </cell>
          <cell r="H13">
            <v>31056.155454519947</v>
          </cell>
        </row>
        <row r="14">
          <cell r="E14">
            <v>0</v>
          </cell>
          <cell r="F14">
            <v>0</v>
          </cell>
        </row>
        <row r="15">
          <cell r="E15">
            <v>355.7</v>
          </cell>
          <cell r="F15">
            <v>358.2842231222387</v>
          </cell>
        </row>
        <row r="16">
          <cell r="E16">
            <v>831.19999999999993</v>
          </cell>
          <cell r="F16">
            <v>805.7018593519889</v>
          </cell>
          <cell r="G16">
            <v>11000</v>
          </cell>
          <cell r="H16">
            <v>11361.626478254379</v>
          </cell>
        </row>
        <row r="17">
          <cell r="E17">
            <v>895.2</v>
          </cell>
          <cell r="F17">
            <v>894.26684462444837</v>
          </cell>
          <cell r="G17">
            <v>17410.058688981204</v>
          </cell>
          <cell r="H17">
            <v>17024.596732066831</v>
          </cell>
        </row>
        <row r="19">
          <cell r="E19">
            <v>3.08</v>
          </cell>
          <cell r="F19">
            <v>2.7227540500736365</v>
          </cell>
        </row>
        <row r="20">
          <cell r="Q20">
            <v>57730.684538375972</v>
          </cell>
          <cell r="R20">
            <v>57729.783781296021</v>
          </cell>
        </row>
        <row r="21">
          <cell r="Q21">
            <v>17628.08387537994</v>
          </cell>
          <cell r="R21">
            <v>16608.605025773199</v>
          </cell>
        </row>
        <row r="22">
          <cell r="Q22">
            <v>428.57142857142856</v>
          </cell>
          <cell r="R22">
            <v>88.398011782032398</v>
          </cell>
        </row>
        <row r="50">
          <cell r="Q50">
            <v>92039.853678697633</v>
          </cell>
          <cell r="R50">
            <v>84675.033321060386</v>
          </cell>
        </row>
        <row r="56">
          <cell r="L56">
            <v>80011.388825370988</v>
          </cell>
        </row>
        <row r="80">
          <cell r="H80">
            <v>37386.92</v>
          </cell>
          <cell r="I80">
            <v>25617.365000000002</v>
          </cell>
          <cell r="L80">
            <v>11769.555</v>
          </cell>
        </row>
        <row r="85">
          <cell r="H85">
            <v>31510.304111111112</v>
          </cell>
          <cell r="I85">
            <v>31652.88046</v>
          </cell>
          <cell r="L85">
            <v>-142.57634888888811</v>
          </cell>
          <cell r="Q85">
            <v>100000.31456228573</v>
          </cell>
          <cell r="R85">
            <v>99956.742452135499</v>
          </cell>
        </row>
        <row r="86">
          <cell r="H86">
            <v>-13173.997925994427</v>
          </cell>
          <cell r="I86">
            <v>108750.22300000013</v>
          </cell>
          <cell r="K86">
            <v>-473.36740467207341</v>
          </cell>
          <cell r="M86">
            <v>30759.220854184474</v>
          </cell>
        </row>
        <row r="89">
          <cell r="Q89">
            <v>75787.339842327347</v>
          </cell>
          <cell r="R89">
            <v>74426.786818851251</v>
          </cell>
        </row>
      </sheetData>
      <sheetData sheetId="15">
        <row r="2">
          <cell r="N2">
            <v>11000</v>
          </cell>
        </row>
        <row r="5">
          <cell r="T5">
            <v>11000</v>
          </cell>
          <cell r="U5">
            <v>9434</v>
          </cell>
        </row>
        <row r="9">
          <cell r="E9">
            <v>290.69999999999993</v>
          </cell>
          <cell r="F9">
            <v>295.74348632605472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17.100000000000001</v>
          </cell>
          <cell r="F12">
            <v>22.483788424846288</v>
          </cell>
          <cell r="G12">
            <v>61400.000000000007</v>
          </cell>
          <cell r="H12">
            <v>60958.377378448014</v>
          </cell>
        </row>
        <row r="13">
          <cell r="E13">
            <v>34.200000000000003</v>
          </cell>
          <cell r="F13">
            <v>28.326165995336041</v>
          </cell>
          <cell r="G13">
            <v>35300.000000000007</v>
          </cell>
          <cell r="H13">
            <v>32570.66176001446</v>
          </cell>
        </row>
        <row r="14">
          <cell r="E14">
            <v>0</v>
          </cell>
          <cell r="F14">
            <v>0</v>
          </cell>
        </row>
        <row r="15">
          <cell r="E15">
            <v>341.99999999999994</v>
          </cell>
          <cell r="F15">
            <v>346.55344074623707</v>
          </cell>
        </row>
        <row r="16">
          <cell r="E16">
            <v>736.71821120475965</v>
          </cell>
          <cell r="F16">
            <v>684.98039007843965</v>
          </cell>
          <cell r="G16">
            <v>11133.333333333332</v>
          </cell>
          <cell r="H16">
            <v>11133.133088985713</v>
          </cell>
        </row>
        <row r="17">
          <cell r="E17">
            <v>976.57995438770445</v>
          </cell>
          <cell r="F17">
            <v>1035.9571761712955</v>
          </cell>
          <cell r="G17">
            <v>14763.292547274748</v>
          </cell>
          <cell r="H17">
            <v>14600.264293651422</v>
          </cell>
        </row>
        <row r="19">
          <cell r="E19">
            <v>3.0779999999999998</v>
          </cell>
          <cell r="F19">
            <v>2.9070924316302729</v>
          </cell>
        </row>
        <row r="20">
          <cell r="Q20">
            <v>56101.464980509561</v>
          </cell>
          <cell r="R20">
            <v>56795.273584905663</v>
          </cell>
        </row>
        <row r="21">
          <cell r="Q21">
            <v>18265.33086124402</v>
          </cell>
          <cell r="R21">
            <v>19212.007737969048</v>
          </cell>
        </row>
        <row r="22">
          <cell r="Q22">
            <v>409.09090909090912</v>
          </cell>
          <cell r="R22">
            <v>349.05766376934491</v>
          </cell>
        </row>
        <row r="50">
          <cell r="Q50">
            <v>86910.155841753571</v>
          </cell>
          <cell r="R50">
            <v>87657.325418698325</v>
          </cell>
        </row>
        <row r="56">
          <cell r="L56">
            <v>-7048.7912288967027</v>
          </cell>
        </row>
        <row r="80">
          <cell r="H80">
            <v>38191.99</v>
          </cell>
          <cell r="I80">
            <v>28185.103999999999</v>
          </cell>
          <cell r="L80">
            <v>10006.885999999999</v>
          </cell>
        </row>
        <row r="85">
          <cell r="H85">
            <v>15214.708214248669</v>
          </cell>
          <cell r="I85">
            <v>15843.334560000001</v>
          </cell>
          <cell r="L85">
            <v>-628.62634575133222</v>
          </cell>
          <cell r="Q85">
            <v>96715.633060173175</v>
          </cell>
          <cell r="R85">
            <v>93545.332732669063</v>
          </cell>
        </row>
        <row r="86">
          <cell r="H86">
            <v>54453.551188366699</v>
          </cell>
          <cell r="I86">
            <v>11519.028999999902</v>
          </cell>
          <cell r="K86">
            <v>-29908.613289673791</v>
          </cell>
          <cell r="M86">
            <v>-15355.377324045083</v>
          </cell>
        </row>
        <row r="89">
          <cell r="Q89">
            <v>74775.886750844496</v>
          </cell>
          <cell r="R89">
            <v>76356.338986644056</v>
          </cell>
        </row>
      </sheetData>
      <sheetData sheetId="16">
        <row r="2">
          <cell r="N2">
            <v>9000</v>
          </cell>
        </row>
        <row r="5">
          <cell r="T5">
            <v>9000</v>
          </cell>
          <cell r="U5">
            <v>9715</v>
          </cell>
        </row>
        <row r="9">
          <cell r="E9">
            <v>291.39999999999998</v>
          </cell>
          <cell r="F9">
            <v>303.66855440254795</v>
          </cell>
          <cell r="G9">
            <v>100000</v>
          </cell>
          <cell r="H9">
            <v>100000.00033834011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32.400000000000006</v>
          </cell>
          <cell r="F12">
            <v>42.944424124113844</v>
          </cell>
          <cell r="G12">
            <v>60199.999999999993</v>
          </cell>
          <cell r="H12">
            <v>60200.065993891345</v>
          </cell>
        </row>
        <row r="13">
          <cell r="E13">
            <v>36</v>
          </cell>
          <cell r="F13">
            <v>41.850510633925808</v>
          </cell>
          <cell r="G13">
            <v>37000</v>
          </cell>
          <cell r="H13">
            <v>35006.943492788749</v>
          </cell>
        </row>
        <row r="14">
          <cell r="E14">
            <v>0</v>
          </cell>
          <cell r="F14">
            <v>0</v>
          </cell>
        </row>
        <row r="15">
          <cell r="E15">
            <v>359.79999999999995</v>
          </cell>
          <cell r="F15">
            <v>388.46348916058759</v>
          </cell>
        </row>
        <row r="16">
          <cell r="E16">
            <v>801.90000000000009</v>
          </cell>
          <cell r="F16">
            <v>735.80930853796372</v>
          </cell>
          <cell r="G16">
            <v>11533.333333333334</v>
          </cell>
          <cell r="H16">
            <v>12126.410153439887</v>
          </cell>
        </row>
        <row r="17">
          <cell r="E17">
            <v>904.3</v>
          </cell>
          <cell r="F17">
            <v>887.37121134285417</v>
          </cell>
          <cell r="G17">
            <v>19459.67437494596</v>
          </cell>
          <cell r="H17">
            <v>19837.294645784819</v>
          </cell>
        </row>
        <row r="19">
          <cell r="E19">
            <v>3.24</v>
          </cell>
          <cell r="F19">
            <v>3.0553940203431624</v>
          </cell>
        </row>
        <row r="20">
          <cell r="Q20">
            <v>62184.443537263622</v>
          </cell>
          <cell r="R20">
            <v>63598.380150005141</v>
          </cell>
        </row>
        <row r="21">
          <cell r="Q21">
            <v>20249.176571940607</v>
          </cell>
          <cell r="R21">
            <v>21557.321380869209</v>
          </cell>
        </row>
        <row r="22">
          <cell r="Q22">
            <v>280</v>
          </cell>
          <cell r="R22">
            <v>316.43296003287787</v>
          </cell>
        </row>
        <row r="50">
          <cell r="Q50">
            <v>93403.104454685061</v>
          </cell>
          <cell r="R50">
            <v>95436.780540429463</v>
          </cell>
        </row>
        <row r="56">
          <cell r="L56">
            <v>-19825.492822734606</v>
          </cell>
        </row>
        <row r="80">
          <cell r="H80">
            <v>36486.320000000007</v>
          </cell>
          <cell r="I80">
            <v>27119.686000000002</v>
          </cell>
          <cell r="L80">
            <v>9366.6340000000037</v>
          </cell>
        </row>
        <row r="85">
          <cell r="H85">
            <v>15437.812055282729</v>
          </cell>
          <cell r="I85">
            <v>14933.1414</v>
          </cell>
          <cell r="L85">
            <v>504.67065528272849</v>
          </cell>
          <cell r="Q85">
            <v>101504.44444444444</v>
          </cell>
          <cell r="R85">
            <v>107802.98507462686</v>
          </cell>
        </row>
        <row r="86">
          <cell r="H86">
            <v>20987.927852551657</v>
          </cell>
          <cell r="I86">
            <v>78016.51999999996</v>
          </cell>
          <cell r="K86">
            <v>61190.322222222268</v>
          </cell>
          <cell r="M86">
            <v>5792.4580926779599</v>
          </cell>
        </row>
        <row r="89">
          <cell r="Q89">
            <v>82713.620109204232</v>
          </cell>
          <cell r="R89">
            <v>85472.134490907236</v>
          </cell>
        </row>
      </sheetData>
      <sheetData sheetId="17">
        <row r="2">
          <cell r="N2">
            <v>18000</v>
          </cell>
        </row>
        <row r="5">
          <cell r="T5">
            <v>18000</v>
          </cell>
          <cell r="U5">
            <v>17767</v>
          </cell>
        </row>
        <row r="9">
          <cell r="E9">
            <v>324.53333333333342</v>
          </cell>
          <cell r="F9">
            <v>368.80550511544709</v>
          </cell>
          <cell r="G9">
            <v>100000</v>
          </cell>
          <cell r="H9">
            <v>100105.78090193027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26.738888888888884</v>
          </cell>
          <cell r="F12">
            <v>20.302623693185001</v>
          </cell>
          <cell r="G12">
            <v>64300</v>
          </cell>
          <cell r="H12">
            <v>64502.31187662125</v>
          </cell>
        </row>
        <row r="13">
          <cell r="E13">
            <v>30.705555555555559</v>
          </cell>
          <cell r="F13">
            <v>17.646116173757481</v>
          </cell>
          <cell r="G13">
            <v>42900.000000000007</v>
          </cell>
          <cell r="H13">
            <v>38670.430199234499</v>
          </cell>
        </row>
        <row r="14">
          <cell r="E14">
            <v>0</v>
          </cell>
          <cell r="F14">
            <v>0</v>
          </cell>
        </row>
        <row r="15">
          <cell r="E15">
            <v>381.97777777777787</v>
          </cell>
          <cell r="F15">
            <v>406.75424498238959</v>
          </cell>
        </row>
        <row r="16">
          <cell r="E16">
            <v>871</v>
          </cell>
          <cell r="F16">
            <v>781.90138089115021</v>
          </cell>
          <cell r="G16">
            <v>11400</v>
          </cell>
          <cell r="H16">
            <v>11372.828504769454</v>
          </cell>
        </row>
        <row r="17">
          <cell r="E17">
            <v>876</v>
          </cell>
          <cell r="F17">
            <v>940.80784927601064</v>
          </cell>
          <cell r="G17">
            <v>13225.806451612902</v>
          </cell>
          <cell r="H17">
            <v>13184.489574958267</v>
          </cell>
        </row>
        <row r="19">
          <cell r="E19">
            <v>2.8</v>
          </cell>
          <cell r="F19">
            <v>2.9650584223178855</v>
          </cell>
        </row>
        <row r="20">
          <cell r="Q20">
            <v>59385.118673835132</v>
          </cell>
          <cell r="R20">
            <v>63389.307262257498</v>
          </cell>
        </row>
        <row r="21">
          <cell r="Q21">
            <v>19889.769609929084</v>
          </cell>
          <cell r="R21">
            <v>20267.765136691451</v>
          </cell>
        </row>
        <row r="22">
          <cell r="Q22">
            <v>250</v>
          </cell>
          <cell r="R22">
            <v>195.25510147034157</v>
          </cell>
        </row>
        <row r="50">
          <cell r="Q50">
            <v>88544.125940294325</v>
          </cell>
          <cell r="R50">
            <v>91971.712640465121</v>
          </cell>
        </row>
        <row r="56">
          <cell r="L56">
            <v>-60493.161908790804</v>
          </cell>
        </row>
        <row r="80">
          <cell r="H80">
            <v>46935.64</v>
          </cell>
          <cell r="I80">
            <v>42532.993999999999</v>
          </cell>
          <cell r="L80">
            <v>4402.6460000000034</v>
          </cell>
        </row>
        <row r="85">
          <cell r="H85">
            <v>36746.377888888885</v>
          </cell>
          <cell r="I85">
            <v>35155.649509999996</v>
          </cell>
          <cell r="L85">
            <v>1590.7283788888847</v>
          </cell>
          <cell r="Q85">
            <v>103000</v>
          </cell>
          <cell r="R85">
            <v>100356.98767377723</v>
          </cell>
        </row>
        <row r="86">
          <cell r="H86">
            <v>176523.71518581343</v>
          </cell>
          <cell r="I86">
            <v>71697.308999999979</v>
          </cell>
          <cell r="K86">
            <v>-46958.399999999987</v>
          </cell>
          <cell r="M86">
            <v>-3368.2186559114234</v>
          </cell>
        </row>
        <row r="89">
          <cell r="Q89">
            <v>79524.888283764216</v>
          </cell>
          <cell r="R89">
            <v>83852.327500419284</v>
          </cell>
        </row>
      </sheetData>
      <sheetData sheetId="18">
        <row r="2">
          <cell r="N2">
            <v>7000</v>
          </cell>
        </row>
        <row r="5">
          <cell r="T5">
            <v>7000</v>
          </cell>
          <cell r="U5">
            <v>13076.5</v>
          </cell>
        </row>
        <row r="9">
          <cell r="E9">
            <v>274.54000000000002</v>
          </cell>
          <cell r="F9">
            <v>267.55011203303638</v>
          </cell>
          <cell r="G9">
            <v>100000</v>
          </cell>
          <cell r="H9">
            <v>99909.999632312072</v>
          </cell>
        </row>
        <row r="10">
          <cell r="E10">
            <v>0</v>
          </cell>
          <cell r="F10">
            <v>14.570872175276261</v>
          </cell>
          <cell r="G10">
            <v>0</v>
          </cell>
          <cell r="H10">
            <v>97484.932113357441</v>
          </cell>
        </row>
        <row r="11">
          <cell r="E11">
            <v>0</v>
          </cell>
          <cell r="F11">
            <v>0</v>
          </cell>
        </row>
        <row r="12">
          <cell r="E12">
            <v>38.51</v>
          </cell>
          <cell r="F12">
            <v>49.744201430046253</v>
          </cell>
          <cell r="G12">
            <v>65000</v>
          </cell>
          <cell r="H12">
            <v>64999.99654101616</v>
          </cell>
        </row>
        <row r="13">
          <cell r="E13">
            <v>18.8</v>
          </cell>
          <cell r="F13">
            <v>23.185259052498758</v>
          </cell>
          <cell r="G13">
            <v>36000.000000000007</v>
          </cell>
          <cell r="H13">
            <v>34142.233491139516</v>
          </cell>
        </row>
        <row r="14">
          <cell r="E14">
            <v>0</v>
          </cell>
          <cell r="F14">
            <v>0</v>
          </cell>
        </row>
        <row r="15">
          <cell r="E15">
            <v>331.85</v>
          </cell>
          <cell r="F15">
            <v>355.0504446908576</v>
          </cell>
        </row>
        <row r="16">
          <cell r="E16">
            <v>742.54</v>
          </cell>
          <cell r="F16">
            <v>655.1049592780945</v>
          </cell>
          <cell r="G16">
            <v>13333.333333333334</v>
          </cell>
          <cell r="H16">
            <v>13384.876051773887</v>
          </cell>
        </row>
        <row r="17">
          <cell r="E17">
            <v>992.06000000000006</v>
          </cell>
          <cell r="F17">
            <v>1055.316024930218</v>
          </cell>
          <cell r="G17">
            <v>15310.502654704607</v>
          </cell>
          <cell r="H17">
            <v>15561.873181138335</v>
          </cell>
        </row>
        <row r="19">
          <cell r="E19">
            <v>2.2599999999999998</v>
          </cell>
          <cell r="F19">
            <v>2.1012465109165288</v>
          </cell>
        </row>
        <row r="20">
          <cell r="Q20">
            <v>57235.360596959588</v>
          </cell>
          <cell r="R20">
            <v>58832.025389056704</v>
          </cell>
        </row>
        <row r="21">
          <cell r="Q21">
            <v>16015.328779128673</v>
          </cell>
          <cell r="R21">
            <v>14475.24911100065</v>
          </cell>
        </row>
        <row r="22">
          <cell r="Q22">
            <v>428.57142857142856</v>
          </cell>
          <cell r="R22">
            <v>226.62440255420029</v>
          </cell>
        </row>
        <row r="50">
          <cell r="Q50">
            <v>87710.756518945404</v>
          </cell>
          <cell r="R50">
            <v>81015.441823117813</v>
          </cell>
        </row>
        <row r="56">
          <cell r="L56">
            <v>87551.279279989423</v>
          </cell>
        </row>
        <row r="80">
          <cell r="H80">
            <v>30706.14</v>
          </cell>
          <cell r="I80">
            <v>27403.620000000003</v>
          </cell>
          <cell r="L80">
            <v>3302.5199999999986</v>
          </cell>
        </row>
        <row r="85">
          <cell r="H85">
            <v>21324.747777777779</v>
          </cell>
          <cell r="I85">
            <v>20984.665659999999</v>
          </cell>
          <cell r="L85">
            <v>340.08211777777717</v>
          </cell>
          <cell r="Q85">
            <v>96862.617142857125</v>
          </cell>
          <cell r="R85">
            <v>96124.124880510833</v>
          </cell>
        </row>
        <row r="86">
          <cell r="H86">
            <v>12032.136589604273</v>
          </cell>
          <cell r="I86">
            <v>149180.40499999985</v>
          </cell>
          <cell r="K86">
            <v>-9656.8940685712823</v>
          </cell>
          <cell r="M86">
            <v>55611.28108119953</v>
          </cell>
        </row>
        <row r="89">
          <cell r="Q89">
            <v>73679.260804659702</v>
          </cell>
          <cell r="R89">
            <v>73533.898902611545</v>
          </cell>
        </row>
      </sheetData>
      <sheetData sheetId="19">
        <row r="2">
          <cell r="N2">
            <v>5000</v>
          </cell>
        </row>
        <row r="5">
          <cell r="T5">
            <v>5000</v>
          </cell>
          <cell r="U5">
            <v>3896</v>
          </cell>
        </row>
        <row r="9">
          <cell r="E9">
            <v>280.7</v>
          </cell>
          <cell r="F9">
            <v>261.91992813141684</v>
          </cell>
          <cell r="G9">
            <v>100000</v>
          </cell>
          <cell r="H9">
            <v>100000</v>
          </cell>
        </row>
        <row r="10">
          <cell r="E10">
            <v>20.5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31.9</v>
          </cell>
          <cell r="F12">
            <v>50.343957905544144</v>
          </cell>
          <cell r="G12">
            <v>64899.999999999993</v>
          </cell>
          <cell r="H12">
            <v>64898.11923173676</v>
          </cell>
        </row>
        <row r="13">
          <cell r="E13">
            <v>18</v>
          </cell>
          <cell r="F13">
            <v>17.571878850102678</v>
          </cell>
          <cell r="G13">
            <v>39300</v>
          </cell>
          <cell r="H13">
            <v>36341.725771705642</v>
          </cell>
        </row>
        <row r="14">
          <cell r="E14">
            <v>0</v>
          </cell>
          <cell r="F14">
            <v>0</v>
          </cell>
        </row>
        <row r="15">
          <cell r="E15">
            <v>351.09999999999997</v>
          </cell>
          <cell r="F15">
            <v>329.83576488706365</v>
          </cell>
        </row>
        <row r="16">
          <cell r="E16">
            <v>810</v>
          </cell>
          <cell r="F16">
            <v>825.90220739219751</v>
          </cell>
          <cell r="G16">
            <v>14200</v>
          </cell>
          <cell r="H16">
            <v>14273.221525212761</v>
          </cell>
        </row>
        <row r="17">
          <cell r="E17">
            <v>905</v>
          </cell>
          <cell r="F17">
            <v>880.08085215605752</v>
          </cell>
          <cell r="G17">
            <v>15212.903225806451</v>
          </cell>
          <cell r="H17">
            <v>14996.214121870804</v>
          </cell>
        </row>
        <row r="19">
          <cell r="E19">
            <v>2.93</v>
          </cell>
          <cell r="F19">
            <v>2.6376206365503077</v>
          </cell>
        </row>
        <row r="20">
          <cell r="Q20">
            <v>60158.087419354837</v>
          </cell>
          <cell r="R20">
            <v>57232.127310061602</v>
          </cell>
        </row>
        <row r="21">
          <cell r="Q21">
            <v>13619.218764032072</v>
          </cell>
          <cell r="R21">
            <v>14209.419917864476</v>
          </cell>
        </row>
        <row r="22">
          <cell r="Q22">
            <v>90</v>
          </cell>
          <cell r="R22">
            <v>123.23998973305953</v>
          </cell>
        </row>
        <row r="50">
          <cell r="Q50">
            <v>86014.40618338692</v>
          </cell>
          <cell r="R50">
            <v>86340.881416837772</v>
          </cell>
        </row>
        <row r="56">
          <cell r="L56">
            <v>-1271.9444595245557</v>
          </cell>
        </row>
        <row r="80">
          <cell r="H80">
            <v>11841.88</v>
          </cell>
          <cell r="I80">
            <v>9497.2340000000004</v>
          </cell>
          <cell r="L80">
            <v>2344.6459999999997</v>
          </cell>
        </row>
        <row r="85">
          <cell r="H85">
            <v>11015.231888888889</v>
          </cell>
          <cell r="I85">
            <v>11124.040050000001</v>
          </cell>
          <cell r="L85">
            <v>-108.80816111111199</v>
          </cell>
          <cell r="Q85">
            <v>111520.24799999999</v>
          </cell>
          <cell r="R85">
            <v>106486.71714579055</v>
          </cell>
        </row>
        <row r="86">
          <cell r="H86">
            <v>104672.09719417656</v>
          </cell>
          <cell r="I86">
            <v>57866.905000000035</v>
          </cell>
          <cell r="K86">
            <v>-19610.636207999989</v>
          </cell>
          <cell r="M86">
            <v>-28158.449365540844</v>
          </cell>
        </row>
        <row r="89">
          <cell r="Q89">
            <v>73867.306183386914</v>
          </cell>
          <cell r="R89">
            <v>71564.787217659134</v>
          </cell>
        </row>
      </sheetData>
      <sheetData sheetId="20">
        <row r="2">
          <cell r="N2">
            <v>2000</v>
          </cell>
        </row>
        <row r="5">
          <cell r="T5">
            <v>2000</v>
          </cell>
          <cell r="U5">
            <v>1228</v>
          </cell>
        </row>
        <row r="9">
          <cell r="E9">
            <v>320.3</v>
          </cell>
          <cell r="F9">
            <v>323.89251628664499</v>
          </cell>
          <cell r="G9">
            <v>100000</v>
          </cell>
          <cell r="H9">
            <v>100000.00502841036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17.600000000000001</v>
          </cell>
          <cell r="F12">
            <v>15.55211726384365</v>
          </cell>
          <cell r="G12">
            <v>64000</v>
          </cell>
          <cell r="H12">
            <v>63999.999999999985</v>
          </cell>
        </row>
        <row r="13">
          <cell r="E13">
            <v>11.2</v>
          </cell>
          <cell r="F13">
            <v>9.6864820846905531</v>
          </cell>
          <cell r="G13">
            <v>49000</v>
          </cell>
          <cell r="H13">
            <v>47368.137873055908</v>
          </cell>
        </row>
        <row r="14">
          <cell r="E14">
            <v>0</v>
          </cell>
          <cell r="F14">
            <v>0</v>
          </cell>
        </row>
        <row r="15">
          <cell r="E15">
            <v>349.1</v>
          </cell>
          <cell r="F15">
            <v>349.13111563517919</v>
          </cell>
        </row>
        <row r="16">
          <cell r="E16">
            <v>837.86</v>
          </cell>
          <cell r="F16">
            <v>862.33306188925076</v>
          </cell>
          <cell r="G16">
            <v>13666.666666666664</v>
          </cell>
          <cell r="H16">
            <v>13655.629895792512</v>
          </cell>
        </row>
        <row r="17">
          <cell r="E17">
            <v>921.01</v>
          </cell>
          <cell r="F17">
            <v>920.86970684039102</v>
          </cell>
          <cell r="G17">
            <v>13806.451612903224</v>
          </cell>
          <cell r="H17">
            <v>13679.491487653293</v>
          </cell>
        </row>
        <row r="19">
          <cell r="E19">
            <v>2.9380000000000002</v>
          </cell>
          <cell r="F19">
            <v>3.0245928338762216</v>
          </cell>
        </row>
        <row r="20">
          <cell r="Q20">
            <v>59673.633333333339</v>
          </cell>
          <cell r="R20">
            <v>59999.397394136802</v>
          </cell>
        </row>
        <row r="21">
          <cell r="Q21">
            <v>14804.798846409913</v>
          </cell>
          <cell r="R21">
            <v>14101.69381107492</v>
          </cell>
        </row>
        <row r="22">
          <cell r="Q22">
            <v>525</v>
          </cell>
          <cell r="R22">
            <v>1781.2687296416941</v>
          </cell>
        </row>
        <row r="50">
          <cell r="Q50">
            <v>109002.59338368318</v>
          </cell>
          <cell r="R50">
            <v>130142.26058631921</v>
          </cell>
        </row>
        <row r="56">
          <cell r="L56">
            <v>-25959.508244837059</v>
          </cell>
        </row>
        <row r="80">
          <cell r="H80">
            <v>12740.220000000001</v>
          </cell>
          <cell r="I80">
            <v>9265.5589999999993</v>
          </cell>
          <cell r="L80">
            <v>3474.6610000000001</v>
          </cell>
        </row>
        <row r="85">
          <cell r="H85">
            <v>5952.9711111111101</v>
          </cell>
          <cell r="I85">
            <v>5913.8550800000003</v>
          </cell>
          <cell r="L85">
            <v>39.116031111110487</v>
          </cell>
          <cell r="Q85">
            <v>112000</v>
          </cell>
          <cell r="R85">
            <v>112766.3680781759</v>
          </cell>
        </row>
        <row r="86">
          <cell r="H86">
            <v>-12698.377878477477</v>
          </cell>
          <cell r="I86">
            <v>-36517.006999999998</v>
          </cell>
          <cell r="K86">
            <v>941.100000000009</v>
          </cell>
          <cell r="M86">
            <v>-2313.9979077965836</v>
          </cell>
        </row>
        <row r="89">
          <cell r="Q89">
            <v>75003.432179743249</v>
          </cell>
          <cell r="R89">
            <v>75882.359934853419</v>
          </cell>
        </row>
      </sheetData>
      <sheetData sheetId="21">
        <row r="2">
          <cell r="N2">
            <v>7000</v>
          </cell>
        </row>
        <row r="5">
          <cell r="T5">
            <v>7000</v>
          </cell>
          <cell r="U5">
            <v>4678</v>
          </cell>
        </row>
        <row r="9">
          <cell r="E9">
            <v>351</v>
          </cell>
          <cell r="F9">
            <v>333.32748427672965</v>
          </cell>
          <cell r="G9">
            <v>117000</v>
          </cell>
          <cell r="H9">
            <v>116999.99966817893</v>
          </cell>
        </row>
        <row r="10">
          <cell r="E10">
            <v>0</v>
          </cell>
          <cell r="F10">
            <v>3.0097132526164513E-18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351</v>
          </cell>
          <cell r="F15">
            <v>333.32748427672965</v>
          </cell>
        </row>
        <row r="16">
          <cell r="E16">
            <v>705.7</v>
          </cell>
          <cell r="F16">
            <v>869.83517675124756</v>
          </cell>
          <cell r="G16">
            <v>17666.666666666668</v>
          </cell>
          <cell r="H16">
            <v>17869.353571971737</v>
          </cell>
        </row>
        <row r="17">
          <cell r="E17">
            <v>1000.3</v>
          </cell>
          <cell r="F17">
            <v>903.43201040988947</v>
          </cell>
          <cell r="G17">
            <v>17535.712589893774</v>
          </cell>
          <cell r="H17">
            <v>18717.019006295421</v>
          </cell>
        </row>
        <row r="19">
          <cell r="E19">
            <v>2.68</v>
          </cell>
          <cell r="F19">
            <v>2.9388722619822163</v>
          </cell>
        </row>
        <row r="20">
          <cell r="Q20">
            <v>73451.839970337402</v>
          </cell>
          <cell r="R20">
            <v>73938.417263066585</v>
          </cell>
        </row>
        <row r="21">
          <cell r="Q21">
            <v>16720.876288659794</v>
          </cell>
          <cell r="R21">
            <v>15267.454998915637</v>
          </cell>
        </row>
        <row r="22">
          <cell r="Q22">
            <v>357.14285714285717</v>
          </cell>
          <cell r="R22">
            <v>319.45911949685535</v>
          </cell>
        </row>
        <row r="50">
          <cell r="Q50">
            <v>99567.799116140057</v>
          </cell>
          <cell r="R50">
            <v>102976.96790284103</v>
          </cell>
        </row>
        <row r="56">
          <cell r="L56">
            <v>-15719.665065478226</v>
          </cell>
        </row>
        <row r="80">
          <cell r="H80">
            <v>16419.560000000001</v>
          </cell>
          <cell r="I80">
            <v>15695.865000000002</v>
          </cell>
          <cell r="L80">
            <v>723.69500000000016</v>
          </cell>
        </row>
        <row r="85">
          <cell r="H85">
            <v>12327.661508902982</v>
          </cell>
          <cell r="I85">
            <v>13218.304210000002</v>
          </cell>
          <cell r="L85">
            <v>-890.64270109702034</v>
          </cell>
          <cell r="Q85">
            <v>122822.5</v>
          </cell>
          <cell r="R85">
            <v>120936.46410756886</v>
          </cell>
        </row>
        <row r="86">
          <cell r="H86">
            <v>134035.68467811667</v>
          </cell>
          <cell r="I86">
            <v>53836.507999999871</v>
          </cell>
          <cell r="K86">
            <v>-8696.511500000006</v>
          </cell>
          <cell r="M86">
            <v>-55616.05241154143</v>
          </cell>
        </row>
        <row r="89">
          <cell r="Q89">
            <v>90529.859116140055</v>
          </cell>
          <cell r="R89">
            <v>89525.331381479074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102142.72966989514</v>
          </cell>
        </row>
        <row r="89">
          <cell r="Q89">
            <v>80266.473564591928</v>
          </cell>
        </row>
        <row r="90">
          <cell r="Q90">
            <v>21876.256105303211</v>
          </cell>
        </row>
      </sheetData>
      <sheetData sheetId="1">
        <row r="5">
          <cell r="T5">
            <v>85559</v>
          </cell>
        </row>
        <row r="85">
          <cell r="Q85">
            <v>100756.03555768623</v>
          </cell>
        </row>
        <row r="89">
          <cell r="Q89">
            <v>81462.705810840824</v>
          </cell>
        </row>
        <row r="90">
          <cell r="Q90">
            <v>19293.329746845411</v>
          </cell>
        </row>
      </sheetData>
      <sheetData sheetId="2">
        <row r="5">
          <cell r="T5">
            <v>100904.5</v>
          </cell>
        </row>
        <row r="85">
          <cell r="Q85">
            <v>102784.6211021312</v>
          </cell>
        </row>
        <row r="89">
          <cell r="Q89">
            <v>80130.479625951601</v>
          </cell>
        </row>
        <row r="90">
          <cell r="Q90">
            <v>22654.141476179604</v>
          </cell>
        </row>
      </sheetData>
      <sheetData sheetId="3">
        <row r="5">
          <cell r="T5">
            <v>31093</v>
          </cell>
        </row>
        <row r="85">
          <cell r="Q85">
            <v>103875.42689286635</v>
          </cell>
        </row>
        <row r="89">
          <cell r="Q89">
            <v>77415.678549596225</v>
          </cell>
        </row>
        <row r="90">
          <cell r="Q90">
            <v>26459.748343270126</v>
          </cell>
        </row>
      </sheetData>
      <sheetData sheetId="4">
        <row r="2">
          <cell r="N2">
            <v>37712</v>
          </cell>
        </row>
        <row r="85">
          <cell r="Q85">
            <v>100079.76240984302</v>
          </cell>
        </row>
        <row r="89">
          <cell r="Q89">
            <v>79851.286653587144</v>
          </cell>
        </row>
      </sheetData>
      <sheetData sheetId="5">
        <row r="2">
          <cell r="N2">
            <v>23500</v>
          </cell>
        </row>
        <row r="85">
          <cell r="Q85">
            <v>100287.59663829788</v>
          </cell>
        </row>
        <row r="89">
          <cell r="Q89">
            <v>82090.723134518848</v>
          </cell>
        </row>
      </sheetData>
      <sheetData sheetId="6">
        <row r="2">
          <cell r="N2">
            <v>18434</v>
          </cell>
        </row>
        <row r="85">
          <cell r="Q85">
            <v>103935.69040902681</v>
          </cell>
        </row>
        <row r="89">
          <cell r="Q89">
            <v>84337.303199566159</v>
          </cell>
        </row>
      </sheetData>
      <sheetData sheetId="7">
        <row r="2">
          <cell r="N2">
            <v>5877</v>
          </cell>
        </row>
        <row r="85">
          <cell r="Q85">
            <v>96995.302194997435</v>
          </cell>
        </row>
        <row r="89">
          <cell r="Q89">
            <v>80274.495155532888</v>
          </cell>
        </row>
      </sheetData>
      <sheetData sheetId="8">
        <row r="2">
          <cell r="N2">
            <v>16650</v>
          </cell>
        </row>
        <row r="85">
          <cell r="Q85">
            <v>112651.28528528528</v>
          </cell>
        </row>
        <row r="89">
          <cell r="Q89">
            <v>86432.204146443779</v>
          </cell>
        </row>
      </sheetData>
      <sheetData sheetId="9">
        <row r="2">
          <cell r="N2">
            <v>16841</v>
          </cell>
        </row>
        <row r="85">
          <cell r="Q85">
            <v>102685.96401638858</v>
          </cell>
        </row>
        <row r="89">
          <cell r="Q89">
            <v>81711.866575619031</v>
          </cell>
        </row>
      </sheetData>
      <sheetData sheetId="10">
        <row r="2">
          <cell r="N2">
            <v>8639</v>
          </cell>
        </row>
        <row r="85">
          <cell r="Q85">
            <v>103042.67855075818</v>
          </cell>
        </row>
        <row r="89">
          <cell r="Q89">
            <v>83785.983678666496</v>
          </cell>
        </row>
      </sheetData>
      <sheetData sheetId="11">
        <row r="2">
          <cell r="N2">
            <v>14978</v>
          </cell>
        </row>
        <row r="85">
          <cell r="Q85">
            <v>99708.73280811857</v>
          </cell>
        </row>
        <row r="89">
          <cell r="Q89">
            <v>84310.743290158905</v>
          </cell>
        </row>
      </sheetData>
      <sheetData sheetId="12">
        <row r="2">
          <cell r="N2">
            <v>9558</v>
          </cell>
        </row>
        <row r="85">
          <cell r="Q85">
            <v>96734.299016530655</v>
          </cell>
        </row>
        <row r="89">
          <cell r="Q89">
            <v>71459.126281648874</v>
          </cell>
        </row>
      </sheetData>
      <sheetData sheetId="13">
        <row r="2">
          <cell r="N2">
            <v>15453</v>
          </cell>
        </row>
        <row r="85">
          <cell r="Q85">
            <v>99562.104445738689</v>
          </cell>
        </row>
        <row r="89">
          <cell r="Q89">
            <v>73759.235811816485</v>
          </cell>
        </row>
      </sheetData>
      <sheetData sheetId="14">
        <row r="2">
          <cell r="N2">
            <v>13997</v>
          </cell>
        </row>
        <row r="85">
          <cell r="Q85">
            <v>102306.90147888834</v>
          </cell>
        </row>
        <row r="89">
          <cell r="Q89">
            <v>74620.402199528675</v>
          </cell>
        </row>
      </sheetData>
      <sheetData sheetId="15">
        <row r="2">
          <cell r="N2">
            <v>4788.5</v>
          </cell>
        </row>
        <row r="85">
          <cell r="Q85">
            <v>101852.38592461105</v>
          </cell>
        </row>
        <row r="89">
          <cell r="Q89">
            <v>86917.518011903521</v>
          </cell>
        </row>
      </sheetData>
      <sheetData sheetId="16">
        <row r="2">
          <cell r="N2">
            <v>17471</v>
          </cell>
        </row>
        <row r="85">
          <cell r="Q85">
            <v>100398.44055864004</v>
          </cell>
        </row>
        <row r="89">
          <cell r="Q89">
            <v>79376.801578676444</v>
          </cell>
        </row>
      </sheetData>
      <sheetData sheetId="17">
        <row r="2">
          <cell r="N2">
            <v>3377.5</v>
          </cell>
        </row>
        <row r="85">
          <cell r="Q85">
            <v>106985.04811250925</v>
          </cell>
        </row>
        <row r="89">
          <cell r="Q89">
            <v>72527.647076239824</v>
          </cell>
        </row>
      </sheetData>
      <sheetData sheetId="18">
        <row r="2">
          <cell r="N2">
            <v>5554</v>
          </cell>
        </row>
        <row r="85">
          <cell r="Q85">
            <v>103863.64422038171</v>
          </cell>
        </row>
        <row r="89">
          <cell r="Q89">
            <v>70822.396290961464</v>
          </cell>
        </row>
      </sheetData>
      <sheetData sheetId="19">
        <row r="2">
          <cell r="N2">
            <v>2263</v>
          </cell>
        </row>
        <row r="85">
          <cell r="Q85">
            <v>99903.66769774635</v>
          </cell>
        </row>
        <row r="89">
          <cell r="Q89">
            <v>73666.573133009282</v>
          </cell>
        </row>
      </sheetData>
      <sheetData sheetId="20">
        <row r="2">
          <cell r="N2">
            <v>2398.5</v>
          </cell>
        </row>
        <row r="85">
          <cell r="Q85">
            <v>128598.05128205127</v>
          </cell>
        </row>
        <row r="89">
          <cell r="Q89">
            <v>88785.068025795714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Q3">
            <v>18460.025000000001</v>
          </cell>
        </row>
        <row r="4">
          <cell r="E4">
            <v>0</v>
          </cell>
          <cell r="F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Q5">
            <v>18460.025000000001</v>
          </cell>
        </row>
        <row r="6">
          <cell r="E6">
            <v>6607708.5209999997</v>
          </cell>
          <cell r="F6">
            <v>7241703.784</v>
          </cell>
          <cell r="Q6">
            <v>13849412.305</v>
          </cell>
        </row>
        <row r="7">
          <cell r="E7">
            <v>872411.16300000064</v>
          </cell>
          <cell r="F7">
            <v>1035291.3360000001</v>
          </cell>
          <cell r="Q7">
            <v>1907702.4990000008</v>
          </cell>
        </row>
        <row r="8">
          <cell r="E8">
            <v>7480119.6840000004</v>
          </cell>
          <cell r="F8">
            <v>8276995.1200000001</v>
          </cell>
          <cell r="Q8">
            <v>15757114.804000001</v>
          </cell>
        </row>
        <row r="9">
          <cell r="E9">
            <v>6490572.2549999999</v>
          </cell>
          <cell r="F9">
            <v>7128840.7779999999</v>
          </cell>
          <cell r="Q9">
            <v>13619413.033</v>
          </cell>
        </row>
        <row r="10">
          <cell r="E10">
            <v>843636.93700000085</v>
          </cell>
          <cell r="F10">
            <v>998493.29900000058</v>
          </cell>
          <cell r="Q10">
            <v>1842130.2360000014</v>
          </cell>
        </row>
        <row r="11">
          <cell r="E11">
            <v>7334209.1920000007</v>
          </cell>
          <cell r="F11">
            <v>8127334.0770000005</v>
          </cell>
          <cell r="Q11">
            <v>15461543.269000001</v>
          </cell>
        </row>
        <row r="12">
          <cell r="E12">
            <v>117136.26599999983</v>
          </cell>
          <cell r="F12">
            <v>112863.00600000005</v>
          </cell>
          <cell r="Q12">
            <v>229999.27199999988</v>
          </cell>
        </row>
        <row r="13">
          <cell r="E13">
            <v>28774.225999999791</v>
          </cell>
          <cell r="F13">
            <v>36798.036999999546</v>
          </cell>
          <cell r="Q13">
            <v>65572.262999999337</v>
          </cell>
        </row>
        <row r="14">
          <cell r="E14">
            <v>145910.49199999962</v>
          </cell>
          <cell r="F14">
            <v>149661.0429999996</v>
          </cell>
          <cell r="Q14">
            <v>295571.53500000015</v>
          </cell>
        </row>
        <row r="15">
          <cell r="E15">
            <v>70886.78</v>
          </cell>
          <cell r="F15">
            <v>70297.97</v>
          </cell>
          <cell r="Q15">
            <v>141184.75</v>
          </cell>
        </row>
        <row r="16">
          <cell r="E16">
            <v>15847.56</v>
          </cell>
          <cell r="F16">
            <v>15847.56</v>
          </cell>
          <cell r="Q16">
            <v>31695.119999999999</v>
          </cell>
        </row>
        <row r="17">
          <cell r="E17">
            <v>8648.6849999999995</v>
          </cell>
          <cell r="F17">
            <v>8648.6849999999995</v>
          </cell>
          <cell r="Q17">
            <v>17297.37</v>
          </cell>
        </row>
        <row r="18">
          <cell r="E18">
            <v>95383.024999999994</v>
          </cell>
          <cell r="F18">
            <v>94794.214999999997</v>
          </cell>
          <cell r="Q18">
            <v>190177.24</v>
          </cell>
        </row>
        <row r="19">
          <cell r="E19">
            <v>11423.789000000001</v>
          </cell>
          <cell r="F19">
            <v>9490.2829999999994</v>
          </cell>
          <cell r="Q19">
            <v>20914.072</v>
          </cell>
        </row>
        <row r="20">
          <cell r="E20">
            <v>1332.098</v>
          </cell>
          <cell r="F20">
            <v>4867.2749999999996</v>
          </cell>
          <cell r="Q20">
            <v>6199.3729999999996</v>
          </cell>
        </row>
        <row r="21">
          <cell r="E21">
            <v>2590.9499999999998</v>
          </cell>
          <cell r="F21">
            <v>2655.01</v>
          </cell>
          <cell r="Q21">
            <v>5245.96</v>
          </cell>
        </row>
        <row r="22">
          <cell r="E22">
            <v>0</v>
          </cell>
          <cell r="F22">
            <v>0</v>
          </cell>
          <cell r="Q22">
            <v>0</v>
          </cell>
        </row>
        <row r="23">
          <cell r="E23">
            <v>1579.2090000000001</v>
          </cell>
          <cell r="F23">
            <v>1603.9970000000001</v>
          </cell>
          <cell r="Q23">
            <v>3183.2060000000001</v>
          </cell>
        </row>
        <row r="24">
          <cell r="E24">
            <v>452.53500000000003</v>
          </cell>
          <cell r="F24">
            <v>341.00099999999998</v>
          </cell>
          <cell r="Q24">
            <v>793.53600000000006</v>
          </cell>
        </row>
        <row r="25">
          <cell r="E25">
            <v>170.892</v>
          </cell>
          <cell r="F25">
            <v>170.892</v>
          </cell>
          <cell r="Q25">
            <v>341.78399999999999</v>
          </cell>
        </row>
        <row r="26">
          <cell r="E26">
            <v>3462.85</v>
          </cell>
          <cell r="F26">
            <v>3462.85</v>
          </cell>
          <cell r="Q26">
            <v>6925.7</v>
          </cell>
        </row>
        <row r="27">
          <cell r="E27">
            <v>0</v>
          </cell>
          <cell r="F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Q28">
            <v>1023.0500000000001</v>
          </cell>
        </row>
        <row r="29">
          <cell r="E29">
            <v>122.22</v>
          </cell>
          <cell r="F29">
            <v>130.61000000000001</v>
          </cell>
          <cell r="Q29">
            <v>252.83</v>
          </cell>
        </row>
        <row r="30">
          <cell r="E30">
            <v>6089.4709999999995</v>
          </cell>
          <cell r="F30">
            <v>6078.3440000000001</v>
          </cell>
          <cell r="Q30">
            <v>12167.814999999999</v>
          </cell>
        </row>
        <row r="31">
          <cell r="E31">
            <v>14376.107</v>
          </cell>
          <cell r="F31">
            <v>9399.77</v>
          </cell>
          <cell r="Q31">
            <v>23775.877</v>
          </cell>
        </row>
        <row r="32">
          <cell r="E32">
            <v>0</v>
          </cell>
          <cell r="F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Q33">
            <v>423.44299999999998</v>
          </cell>
        </row>
        <row r="34">
          <cell r="E34">
            <v>0</v>
          </cell>
          <cell r="F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Q36">
            <v>81246.646000000008</v>
          </cell>
        </row>
        <row r="37">
          <cell r="E37">
            <v>138418.897</v>
          </cell>
          <cell r="F37">
            <v>133004.989</v>
          </cell>
          <cell r="Q37">
            <v>271423.886</v>
          </cell>
        </row>
        <row r="38">
          <cell r="E38">
            <v>7491.5949999996228</v>
          </cell>
          <cell r="F38">
            <v>16656.053999999596</v>
          </cell>
          <cell r="Q38">
            <v>24147.64900000015</v>
          </cell>
        </row>
        <row r="39">
          <cell r="E39">
            <v>5794.3459999999995</v>
          </cell>
          <cell r="F39">
            <v>5794.3410000000003</v>
          </cell>
          <cell r="Q39">
            <v>11588.687</v>
          </cell>
        </row>
        <row r="40">
          <cell r="E40">
            <v>1697.2489999996233</v>
          </cell>
          <cell r="F40">
            <v>10861.712999999596</v>
          </cell>
          <cell r="Q40">
            <v>12558.962000000151</v>
          </cell>
        </row>
        <row r="41">
          <cell r="E41">
            <v>2.2690131598162048E-4</v>
          </cell>
          <cell r="F41">
            <v>1.3122773231742095E-3</v>
          </cell>
          <cell r="Q41">
            <v>7.9703436550528984E-4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756420.01123690419</v>
          </cell>
          <cell r="F43">
            <v>744684.72993482568</v>
          </cell>
          <cell r="Q43">
            <v>750238.00374051498</v>
          </cell>
        </row>
        <row r="46">
          <cell r="E46">
            <v>856289.61953188269</v>
          </cell>
          <cell r="F46">
            <v>851146.6444163894</v>
          </cell>
          <cell r="Q46">
            <v>853580.36102334643</v>
          </cell>
        </row>
        <row r="47">
          <cell r="E47">
            <v>839586.45902662503</v>
          </cell>
          <cell r="F47">
            <v>835756.57921730459</v>
          </cell>
          <cell r="Q47">
            <v>837568.92360654974</v>
          </cell>
        </row>
        <row r="49">
          <cell r="E49">
            <v>0.88336935773018566</v>
          </cell>
          <cell r="F49">
            <v>0.87491942172366532</v>
          </cell>
          <cell r="Q49">
            <v>0.87893072286839435</v>
          </cell>
        </row>
        <row r="50">
          <cell r="E50">
            <v>0.11663064226981433</v>
          </cell>
          <cell r="F50">
            <v>0.12508057827633468</v>
          </cell>
          <cell r="Q50">
            <v>0.12106927713160556</v>
          </cell>
        </row>
        <row r="52">
          <cell r="E52">
            <v>1.7727214453804725E-2</v>
          </cell>
          <cell r="F52">
            <v>1.5585145342365754E-2</v>
          </cell>
          <cell r="Q52">
            <v>1.6607150320520396E-2</v>
          </cell>
        </row>
        <row r="53">
          <cell r="E53">
            <v>3.2982413820855441E-2</v>
          </cell>
          <cell r="F53">
            <v>3.5543653965244372E-2</v>
          </cell>
          <cell r="Q53">
            <v>3.4372373593037533E-2</v>
          </cell>
        </row>
        <row r="54">
          <cell r="E54">
            <v>1.9506438153937915E-2</v>
          </cell>
          <cell r="F54">
            <v>1.8081567142448622E-2</v>
          </cell>
          <cell r="Q54">
            <v>1.8757973060205681E-2</v>
          </cell>
        </row>
      </sheetData>
      <sheetData sheetId="1"/>
      <sheetData sheetId="2">
        <row r="8">
          <cell r="G8">
            <v>9724.5229999999992</v>
          </cell>
        </row>
        <row r="9">
          <cell r="G9">
            <v>7241703.784</v>
          </cell>
          <cell r="J9">
            <v>1035291.3360000001</v>
          </cell>
        </row>
        <row r="10">
          <cell r="F10">
            <v>872058.82352941169</v>
          </cell>
          <cell r="G10">
            <v>744684.72993482568</v>
          </cell>
        </row>
        <row r="11">
          <cell r="G11">
            <v>7128840.7779999999</v>
          </cell>
          <cell r="J11">
            <v>998493.29900000058</v>
          </cell>
        </row>
        <row r="15">
          <cell r="F15">
            <v>2.3946880269814501E-2</v>
          </cell>
          <cell r="G15">
            <v>1.5585145342365754E-2</v>
          </cell>
        </row>
        <row r="19">
          <cell r="M19">
            <v>94794.214999999997</v>
          </cell>
        </row>
        <row r="37">
          <cell r="M37">
            <v>38210.773999999998</v>
          </cell>
        </row>
        <row r="40">
          <cell r="M40">
            <v>5794.3410000000003</v>
          </cell>
        </row>
        <row r="41">
          <cell r="M41">
            <v>10861.712999999596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7000</v>
          </cell>
          <cell r="R47">
            <v>14671</v>
          </cell>
        </row>
        <row r="48">
          <cell r="Q48">
            <v>9714.1881741670295</v>
          </cell>
          <cell r="R48">
            <v>9902</v>
          </cell>
        </row>
        <row r="85">
          <cell r="S85">
            <v>31410</v>
          </cell>
        </row>
        <row r="86">
          <cell r="S86">
            <v>26527</v>
          </cell>
        </row>
      </sheetData>
      <sheetData sheetId="1">
        <row r="8">
          <cell r="F8">
            <v>7566</v>
          </cell>
        </row>
        <row r="59">
          <cell r="F59">
            <v>1424</v>
          </cell>
          <cell r="I59">
            <v>0</v>
          </cell>
          <cell r="L59">
            <v>3664</v>
          </cell>
          <cell r="R59">
            <v>720</v>
          </cell>
        </row>
        <row r="60">
          <cell r="F60">
            <v>1808</v>
          </cell>
          <cell r="I60">
            <v>496</v>
          </cell>
          <cell r="L60">
            <v>0</v>
          </cell>
          <cell r="R60">
            <v>0</v>
          </cell>
        </row>
        <row r="61">
          <cell r="F61">
            <v>2394</v>
          </cell>
          <cell r="I61">
            <v>2444</v>
          </cell>
          <cell r="L61">
            <v>0</v>
          </cell>
          <cell r="R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  <cell r="R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  <cell r="R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  <cell r="R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  <cell r="R65">
            <v>0</v>
          </cell>
        </row>
        <row r="66">
          <cell r="F66">
            <v>4202</v>
          </cell>
          <cell r="I66">
            <v>2940</v>
          </cell>
          <cell r="L66">
            <v>0</v>
          </cell>
          <cell r="R66">
            <v>0</v>
          </cell>
        </row>
        <row r="71">
          <cell r="F71">
            <v>16376</v>
          </cell>
          <cell r="I71">
            <v>0</v>
          </cell>
          <cell r="L71">
            <v>31144</v>
          </cell>
          <cell r="R71">
            <v>6480</v>
          </cell>
        </row>
        <row r="72">
          <cell r="F72">
            <v>63298</v>
          </cell>
          <cell r="I72">
            <v>61704</v>
          </cell>
          <cell r="L72">
            <v>0</v>
          </cell>
          <cell r="R72">
            <v>0</v>
          </cell>
        </row>
        <row r="86">
          <cell r="F86">
            <v>-2618.9080616287865</v>
          </cell>
          <cell r="I86">
            <v>0</v>
          </cell>
          <cell r="L86">
            <v>-19626.969224210156</v>
          </cell>
          <cell r="R86">
            <v>-3056.553063603963</v>
          </cell>
        </row>
        <row r="87">
          <cell r="F87">
            <v>6684.5087684833979</v>
          </cell>
          <cell r="I87">
            <v>21439.204327682266</v>
          </cell>
          <cell r="L87">
            <v>0</v>
          </cell>
          <cell r="R87">
            <v>0</v>
          </cell>
        </row>
      </sheetData>
      <sheetData sheetId="2">
        <row r="59">
          <cell r="F59">
            <v>1280</v>
          </cell>
          <cell r="I59">
            <v>4768</v>
          </cell>
          <cell r="L59">
            <v>0</v>
          </cell>
          <cell r="N59">
            <v>0</v>
          </cell>
          <cell r="O59">
            <v>6048</v>
          </cell>
        </row>
        <row r="60">
          <cell r="F60">
            <v>6200</v>
          </cell>
          <cell r="I60">
            <v>5494</v>
          </cell>
          <cell r="L60">
            <v>0</v>
          </cell>
        </row>
        <row r="61">
          <cell r="F61">
            <v>752</v>
          </cell>
          <cell r="I61">
            <v>1056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864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6952</v>
          </cell>
          <cell r="I66">
            <v>7414</v>
          </cell>
          <cell r="L66">
            <v>0</v>
          </cell>
          <cell r="N66">
            <v>11960.346799999999</v>
          </cell>
          <cell r="O66">
            <v>14366</v>
          </cell>
        </row>
        <row r="71">
          <cell r="F71">
            <v>16640</v>
          </cell>
          <cell r="I71">
            <v>85888</v>
          </cell>
          <cell r="L71">
            <v>0</v>
          </cell>
        </row>
        <row r="72">
          <cell r="F72">
            <v>117524</v>
          </cell>
          <cell r="I72">
            <v>163669</v>
          </cell>
          <cell r="L72">
            <v>0</v>
          </cell>
        </row>
        <row r="86">
          <cell r="F86">
            <v>-13832.249614468474</v>
          </cell>
          <cell r="I86">
            <v>-28371.328473567613</v>
          </cell>
          <cell r="L86">
            <v>0</v>
          </cell>
        </row>
        <row r="87">
          <cell r="F87">
            <v>-48998.171066246716</v>
          </cell>
          <cell r="I87">
            <v>-15129.768325717188</v>
          </cell>
          <cell r="L87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434000</v>
          </cell>
        </row>
        <row r="85">
          <cell r="Q85">
            <v>100559.86996429774</v>
          </cell>
          <cell r="R85">
            <v>100282.95748359266</v>
          </cell>
        </row>
        <row r="89">
          <cell r="Q89">
            <v>80335.614118076905</v>
          </cell>
          <cell r="R89">
            <v>81815.649760285844</v>
          </cell>
        </row>
      </sheetData>
      <sheetData sheetId="1">
        <row r="5">
          <cell r="U5">
            <v>131168</v>
          </cell>
        </row>
        <row r="85">
          <cell r="Q85">
            <v>97486.591313220357</v>
          </cell>
          <cell r="R85">
            <v>97851.268109902041</v>
          </cell>
        </row>
        <row r="89">
          <cell r="Q89">
            <v>81835.72778804155</v>
          </cell>
          <cell r="R89">
            <v>83605.223298299243</v>
          </cell>
        </row>
      </sheetData>
      <sheetData sheetId="2">
        <row r="85">
          <cell r="Q85">
            <v>100500.1554928339</v>
          </cell>
          <cell r="R85">
            <v>100867.09655870675</v>
          </cell>
        </row>
        <row r="89">
          <cell r="Q89">
            <v>79483.261839425351</v>
          </cell>
          <cell r="R89">
            <v>80740.081721491471</v>
          </cell>
        </row>
      </sheetData>
      <sheetData sheetId="3"/>
      <sheetData sheetId="4">
        <row r="85">
          <cell r="Q85">
            <v>107599.91352941174</v>
          </cell>
          <cell r="R85">
            <v>102977.57780273701</v>
          </cell>
        </row>
        <row r="89">
          <cell r="Q89">
            <v>79414.129768426574</v>
          </cell>
          <cell r="R89">
            <v>81312.557262666043</v>
          </cell>
        </row>
      </sheetData>
      <sheetData sheetId="5">
        <row r="2">
          <cell r="N2">
            <v>62000</v>
          </cell>
        </row>
        <row r="85">
          <cell r="Q85">
            <v>98219.130999999979</v>
          </cell>
          <cell r="R85">
            <v>98025.663399063473</v>
          </cell>
        </row>
        <row r="89">
          <cell r="Q89">
            <v>82566.624014714194</v>
          </cell>
          <cell r="R89">
            <v>82531.062187079748</v>
          </cell>
        </row>
      </sheetData>
      <sheetData sheetId="6">
        <row r="2">
          <cell r="N2">
            <v>50000</v>
          </cell>
        </row>
        <row r="85">
          <cell r="Q85">
            <v>97359.534736189962</v>
          </cell>
          <cell r="R85">
            <v>98889.344780550426</v>
          </cell>
        </row>
        <row r="89">
          <cell r="Q89">
            <v>83665.024721053094</v>
          </cell>
          <cell r="R89">
            <v>87267.399652638604</v>
          </cell>
        </row>
      </sheetData>
      <sheetData sheetId="7">
        <row r="2">
          <cell r="N2">
            <v>30000</v>
          </cell>
        </row>
        <row r="85">
          <cell r="Q85">
            <v>96266.345814285713</v>
          </cell>
          <cell r="R85">
            <v>96284.603981363834</v>
          </cell>
        </row>
        <row r="89">
          <cell r="Q89">
            <v>79356.81976663784</v>
          </cell>
          <cell r="R89">
            <v>80397.387847994061</v>
          </cell>
        </row>
      </sheetData>
      <sheetData sheetId="8">
        <row r="2">
          <cell r="N2">
            <v>17000</v>
          </cell>
        </row>
        <row r="85">
          <cell r="Q85">
            <v>97241.400000000009</v>
          </cell>
          <cell r="R85">
            <v>96287.156766064014</v>
          </cell>
        </row>
        <row r="89">
          <cell r="Q89">
            <v>77127.92809863927</v>
          </cell>
          <cell r="R89">
            <v>82811.251466103684</v>
          </cell>
        </row>
      </sheetData>
      <sheetData sheetId="9">
        <row r="2">
          <cell r="N2">
            <v>36000</v>
          </cell>
        </row>
        <row r="85">
          <cell r="Q85">
            <v>107700.25336352941</v>
          </cell>
          <cell r="R85">
            <v>105796.62726916547</v>
          </cell>
        </row>
        <row r="89">
          <cell r="Q89">
            <v>84823.952051936794</v>
          </cell>
          <cell r="R89">
            <v>84537.42596996449</v>
          </cell>
        </row>
      </sheetData>
      <sheetData sheetId="10">
        <row r="2">
          <cell r="N2">
            <v>34000</v>
          </cell>
        </row>
        <row r="85">
          <cell r="Q85">
            <v>99300.16933333331</v>
          </cell>
          <cell r="R85">
            <v>96402.475574333235</v>
          </cell>
        </row>
        <row r="89">
          <cell r="Q89">
            <v>78874.154215811126</v>
          </cell>
          <cell r="R89">
            <v>77993.925104515671</v>
          </cell>
        </row>
      </sheetData>
      <sheetData sheetId="11">
        <row r="2">
          <cell r="N2">
            <v>24000</v>
          </cell>
        </row>
        <row r="85">
          <cell r="Q85">
            <v>96300.27499999998</v>
          </cell>
          <cell r="R85">
            <v>96617.04616670149</v>
          </cell>
        </row>
        <row r="89">
          <cell r="Q89">
            <v>77158.582398529776</v>
          </cell>
          <cell r="R89">
            <v>79590.53603509505</v>
          </cell>
        </row>
      </sheetData>
      <sheetData sheetId="12">
        <row r="2">
          <cell r="N2">
            <v>36000</v>
          </cell>
        </row>
        <row r="85">
          <cell r="Q85">
            <v>101999.68326666666</v>
          </cell>
          <cell r="R85">
            <v>103487.97382214114</v>
          </cell>
        </row>
        <row r="89">
          <cell r="Q89">
            <v>81923.10148159496</v>
          </cell>
          <cell r="R89">
            <v>85181.269977714095</v>
          </cell>
        </row>
      </sheetData>
      <sheetData sheetId="13">
        <row r="2">
          <cell r="N2">
            <v>20000</v>
          </cell>
        </row>
        <row r="85">
          <cell r="Q85">
            <v>94478.75</v>
          </cell>
          <cell r="R85">
            <v>94975.338946767501</v>
          </cell>
        </row>
        <row r="89">
          <cell r="Q89">
            <v>74478.645338243383</v>
          </cell>
          <cell r="R89">
            <v>74723.736729452066</v>
          </cell>
        </row>
      </sheetData>
      <sheetData sheetId="14">
        <row r="2">
          <cell r="N2">
            <v>14000</v>
          </cell>
        </row>
        <row r="85">
          <cell r="Q85">
            <v>100000.31456228578</v>
          </cell>
          <cell r="R85">
            <v>100397.54690478579</v>
          </cell>
        </row>
        <row r="89">
          <cell r="Q89">
            <v>75787.339842327347</v>
          </cell>
          <cell r="R89">
            <v>75938.512992876495</v>
          </cell>
        </row>
      </sheetData>
      <sheetData sheetId="15">
        <row r="2">
          <cell r="N2">
            <v>21000</v>
          </cell>
        </row>
        <row r="85">
          <cell r="Q85">
            <v>97465.893488888876</v>
          </cell>
          <cell r="R85">
            <v>95670.383771814202</v>
          </cell>
        </row>
        <row r="89">
          <cell r="Q89">
            <v>74770.401296299038</v>
          </cell>
          <cell r="R89">
            <v>76909.190857805661</v>
          </cell>
        </row>
      </sheetData>
      <sheetData sheetId="16">
        <row r="2">
          <cell r="N2">
            <v>17000</v>
          </cell>
        </row>
        <row r="85">
          <cell r="Q85">
            <v>102132.75</v>
          </cell>
          <cell r="R85">
            <v>107496.70522071306</v>
          </cell>
        </row>
        <row r="89">
          <cell r="Q89">
            <v>82654.529951423101</v>
          </cell>
          <cell r="R89">
            <v>85315.024594508621</v>
          </cell>
        </row>
      </sheetData>
      <sheetData sheetId="17">
        <row r="2">
          <cell r="N2">
            <v>31000</v>
          </cell>
        </row>
        <row r="85">
          <cell r="Q85">
            <v>103000</v>
          </cell>
          <cell r="R85">
            <v>100748.16146477578</v>
          </cell>
        </row>
        <row r="89">
          <cell r="Q89">
            <v>79215.306567939027</v>
          </cell>
          <cell r="R89">
            <v>85903.774810144707</v>
          </cell>
        </row>
      </sheetData>
      <sheetData sheetId="18">
        <row r="2">
          <cell r="N2">
            <v>14000</v>
          </cell>
        </row>
        <row r="85">
          <cell r="Q85">
            <v>96862.617142857125</v>
          </cell>
          <cell r="R85">
            <v>96285.796111674921</v>
          </cell>
        </row>
        <row r="89">
          <cell r="Q89">
            <v>73604.145379127775</v>
          </cell>
          <cell r="R89">
            <v>74212.461443602442</v>
          </cell>
        </row>
      </sheetData>
      <sheetData sheetId="19">
        <row r="2">
          <cell r="N2">
            <v>10000</v>
          </cell>
        </row>
        <row r="85">
          <cell r="Q85">
            <v>111520.24799999999</v>
          </cell>
          <cell r="R85">
            <v>108630.22724833245</v>
          </cell>
        </row>
        <row r="89">
          <cell r="Q89">
            <v>73867.306183386914</v>
          </cell>
          <cell r="R89">
            <v>73564.860384880769</v>
          </cell>
        </row>
      </sheetData>
      <sheetData sheetId="20">
        <row r="2">
          <cell r="N2">
            <v>4000</v>
          </cell>
        </row>
        <row r="85">
          <cell r="Q85">
            <v>112000</v>
          </cell>
          <cell r="R85">
            <v>113578.94891368174</v>
          </cell>
        </row>
        <row r="89">
          <cell r="Q89">
            <v>76003.432179743249</v>
          </cell>
          <cell r="R89">
            <v>75816.065179095705</v>
          </cell>
        </row>
      </sheetData>
      <sheetData sheetId="21">
        <row r="2">
          <cell r="N2">
            <v>14000</v>
          </cell>
        </row>
        <row r="85">
          <cell r="Q85">
            <v>122822.5</v>
          </cell>
          <cell r="R85">
            <v>120474.68774383138</v>
          </cell>
        </row>
        <row r="89">
          <cell r="Q89">
            <v>90529.859116140055</v>
          </cell>
          <cell r="R89">
            <v>90181.471449561737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100912.98333484432</v>
          </cell>
        </row>
        <row r="89">
          <cell r="Q89">
            <v>80371.425295388792</v>
          </cell>
        </row>
      </sheetData>
      <sheetData sheetId="1">
        <row r="85">
          <cell r="Q85">
            <v>98745.595728138811</v>
          </cell>
        </row>
        <row r="89">
          <cell r="Q89">
            <v>81932.740732853854</v>
          </cell>
        </row>
      </sheetData>
      <sheetData sheetId="2">
        <row r="85">
          <cell r="Q85">
            <v>102063.49666047168</v>
          </cell>
        </row>
        <row r="89">
          <cell r="Q89">
            <v>79702.413499584232</v>
          </cell>
        </row>
      </sheetData>
      <sheetData sheetId="3">
        <row r="85">
          <cell r="Q85">
            <v>102758.58762493733</v>
          </cell>
        </row>
        <row r="89">
          <cell r="Q89">
            <v>78542.727122031429</v>
          </cell>
        </row>
      </sheetData>
      <sheetData sheetId="4">
        <row r="85">
          <cell r="Q85">
            <v>97581.336480059414</v>
          </cell>
        </row>
        <row r="89">
          <cell r="Q89">
            <v>80540.047562012682</v>
          </cell>
        </row>
      </sheetData>
      <sheetData sheetId="5">
        <row r="85">
          <cell r="Q85">
            <v>98834.294926697534</v>
          </cell>
        </row>
        <row r="89">
          <cell r="Q89">
            <v>83169.15364884671</v>
          </cell>
        </row>
      </sheetData>
      <sheetData sheetId="6">
        <row r="85">
          <cell r="Q85">
            <v>102073.71103204571</v>
          </cell>
        </row>
        <row r="89">
          <cell r="Q89">
            <v>84198.572673152317</v>
          </cell>
        </row>
      </sheetData>
      <sheetData sheetId="7">
        <row r="85">
          <cell r="Q85">
            <v>94719.931080838855</v>
          </cell>
        </row>
        <row r="89">
          <cell r="Q89">
            <v>78222.8405511811</v>
          </cell>
        </row>
      </sheetData>
      <sheetData sheetId="8">
        <row r="85">
          <cell r="Q85">
            <v>108582.84359322871</v>
          </cell>
        </row>
        <row r="89">
          <cell r="Q89">
            <v>84409.345412832728</v>
          </cell>
        </row>
      </sheetData>
      <sheetData sheetId="9">
        <row r="85">
          <cell r="Q85">
            <v>99821.369291551135</v>
          </cell>
        </row>
        <row r="89">
          <cell r="Q89">
            <v>80640.021839954847</v>
          </cell>
        </row>
      </sheetData>
      <sheetData sheetId="10">
        <row r="85">
          <cell r="Q85">
            <v>100865.56806257751</v>
          </cell>
        </row>
        <row r="89">
          <cell r="Q89">
            <v>81962.048125536574</v>
          </cell>
        </row>
      </sheetData>
      <sheetData sheetId="11">
        <row r="85">
          <cell r="Q85">
            <v>101698.64914852515</v>
          </cell>
        </row>
        <row r="89">
          <cell r="Q89">
            <v>82925.774713462146</v>
          </cell>
        </row>
      </sheetData>
      <sheetData sheetId="12">
        <row r="85">
          <cell r="Q85">
            <v>95487.248313551361</v>
          </cell>
        </row>
        <row r="89">
          <cell r="Q89">
            <v>72690.595209631982</v>
          </cell>
        </row>
      </sheetData>
      <sheetData sheetId="13">
        <row r="85">
          <cell r="Q85">
            <v>103216.68395996094</v>
          </cell>
        </row>
        <row r="89">
          <cell r="Q89">
            <v>75624.313676439182</v>
          </cell>
        </row>
      </sheetData>
      <sheetData sheetId="14">
        <row r="85">
          <cell r="Q85">
            <v>101091.26828165486</v>
          </cell>
        </row>
        <row r="89">
          <cell r="Q89">
            <v>74548.294705728942</v>
          </cell>
        </row>
      </sheetData>
      <sheetData sheetId="15">
        <row r="85">
          <cell r="Q85">
            <v>103065.20670500908</v>
          </cell>
        </row>
        <row r="89">
          <cell r="Q89">
            <v>84815.78491771064</v>
          </cell>
        </row>
      </sheetData>
      <sheetData sheetId="16">
        <row r="85">
          <cell r="Q85">
            <v>98328.096145292802</v>
          </cell>
        </row>
        <row r="89">
          <cell r="Q89">
            <v>81310.324983943487</v>
          </cell>
        </row>
      </sheetData>
      <sheetData sheetId="17">
        <row r="85">
          <cell r="Q85">
            <v>111948.06453946892</v>
          </cell>
        </row>
        <row r="89">
          <cell r="Q89">
            <v>74467.080963750806</v>
          </cell>
        </row>
      </sheetData>
      <sheetData sheetId="18">
        <row r="85">
          <cell r="Q85">
            <v>102935.68630486955</v>
          </cell>
        </row>
        <row r="89">
          <cell r="Q89">
            <v>70126.652318649838</v>
          </cell>
        </row>
      </sheetData>
      <sheetData sheetId="19">
        <row r="85">
          <cell r="Q85">
            <v>99013.673386183465</v>
          </cell>
        </row>
        <row r="89">
          <cell r="Q89">
            <v>74049.869422423566</v>
          </cell>
        </row>
      </sheetData>
      <sheetData sheetId="20">
        <row r="85">
          <cell r="Q85">
            <v>128655.78180212015</v>
          </cell>
        </row>
        <row r="89">
          <cell r="Q89">
            <v>89930.057722859681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영업이익"/>
      <sheetName val="공헌이익"/>
      <sheetName val="재료비단가"/>
      <sheetName val="원단위"/>
      <sheetName val="건자재"/>
      <sheetName val="골재사업소(당월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K10">
            <v>9800</v>
          </cell>
          <cell r="L10">
            <v>8735.5020000000004</v>
          </cell>
          <cell r="N10">
            <v>6425.0929999999998</v>
          </cell>
        </row>
        <row r="12">
          <cell r="K12">
            <v>8555000</v>
          </cell>
          <cell r="L12">
            <v>6607708.5209999997</v>
          </cell>
          <cell r="N12">
            <v>5915781.3609999996</v>
          </cell>
        </row>
        <row r="13">
          <cell r="K13">
            <v>2176322.8120547961</v>
          </cell>
          <cell r="L13">
            <v>872411.16300000064</v>
          </cell>
          <cell r="N13">
            <v>1492175.8060000008</v>
          </cell>
        </row>
        <row r="15">
          <cell r="K15">
            <v>8349642.5</v>
          </cell>
          <cell r="L15">
            <v>6490572.2549999999</v>
          </cell>
          <cell r="N15">
            <v>5751185.5190000003</v>
          </cell>
        </row>
        <row r="16">
          <cell r="K16">
            <v>2091539.8042655755</v>
          </cell>
          <cell r="L16">
            <v>843636.93700000085</v>
          </cell>
          <cell r="N16">
            <v>1459339.4409999996</v>
          </cell>
        </row>
        <row r="24">
          <cell r="K24">
            <v>87502.28</v>
          </cell>
          <cell r="L24">
            <v>95383.024999999994</v>
          </cell>
          <cell r="N24">
            <v>88392.314999999988</v>
          </cell>
        </row>
        <row r="25">
          <cell r="K25">
            <v>35276.907999999996</v>
          </cell>
          <cell r="L25">
            <v>48830.217999999993</v>
          </cell>
          <cell r="N25">
            <v>33772.680999999997</v>
          </cell>
        </row>
      </sheetData>
      <sheetData sheetId="8">
        <row r="8">
          <cell r="G8">
            <v>9819.6666666666661</v>
          </cell>
          <cell r="H8">
            <v>0</v>
          </cell>
          <cell r="J8">
            <v>6618.1935483870966</v>
          </cell>
          <cell r="K8">
            <v>0</v>
          </cell>
          <cell r="M8">
            <v>0</v>
          </cell>
          <cell r="N8">
            <v>0</v>
          </cell>
          <cell r="S8">
            <v>9034.7927999999993</v>
          </cell>
          <cell r="T8">
            <v>11966</v>
          </cell>
          <cell r="V8">
            <v>6691.5025666666661</v>
          </cell>
          <cell r="W8">
            <v>8322</v>
          </cell>
          <cell r="Z8">
            <v>0</v>
          </cell>
          <cell r="AE8">
            <v>213.98601398601397</v>
          </cell>
          <cell r="AF8">
            <v>500</v>
          </cell>
          <cell r="AH8">
            <v>14440.149208907764</v>
          </cell>
          <cell r="AI8">
            <v>9472</v>
          </cell>
        </row>
        <row r="10">
          <cell r="G10">
            <v>8000</v>
          </cell>
          <cell r="H10">
            <v>1000</v>
          </cell>
          <cell r="J10">
            <v>7000</v>
          </cell>
          <cell r="K10">
            <v>0</v>
          </cell>
          <cell r="M10">
            <v>5000</v>
          </cell>
          <cell r="N10">
            <v>0</v>
          </cell>
          <cell r="S10">
            <v>8000</v>
          </cell>
          <cell r="T10">
            <v>848</v>
          </cell>
          <cell r="V10">
            <v>7000</v>
          </cell>
          <cell r="W10">
            <v>5536</v>
          </cell>
          <cell r="Y10">
            <v>4000</v>
          </cell>
          <cell r="Z10">
            <v>0</v>
          </cell>
          <cell r="AE10">
            <v>0</v>
          </cell>
          <cell r="AF10">
            <v>0</v>
          </cell>
          <cell r="AH10">
            <v>5000</v>
          </cell>
          <cell r="AI10">
            <v>10608</v>
          </cell>
        </row>
        <row r="12">
          <cell r="AR12">
            <v>90818.290804614197</v>
          </cell>
          <cell r="AS12">
            <v>48251.999999999993</v>
          </cell>
        </row>
        <row r="13">
          <cell r="G13">
            <v>147395.86666666667</v>
          </cell>
          <cell r="H13">
            <v>0</v>
          </cell>
          <cell r="J13">
            <v>137883.09677419355</v>
          </cell>
          <cell r="K13">
            <v>0</v>
          </cell>
          <cell r="M13">
            <v>0</v>
          </cell>
          <cell r="N13">
            <v>0</v>
          </cell>
          <cell r="S13">
            <v>158108.87400000001</v>
          </cell>
          <cell r="T13">
            <v>181421</v>
          </cell>
          <cell r="V13">
            <v>156549.99164999995</v>
          </cell>
          <cell r="W13">
            <v>176031</v>
          </cell>
          <cell r="Z13">
            <v>0</v>
          </cell>
          <cell r="AE13">
            <v>8131.4685314685312</v>
          </cell>
          <cell r="AF13">
            <v>19000</v>
          </cell>
          <cell r="AH13">
            <v>386625.14376726619</v>
          </cell>
          <cell r="AI13">
            <v>271280</v>
          </cell>
        </row>
        <row r="15">
          <cell r="G15">
            <v>92000</v>
          </cell>
          <cell r="H15">
            <v>11500</v>
          </cell>
          <cell r="J15">
            <v>105000</v>
          </cell>
          <cell r="K15">
            <v>0</v>
          </cell>
          <cell r="M15">
            <v>45000</v>
          </cell>
          <cell r="N15">
            <v>0</v>
          </cell>
          <cell r="S15">
            <v>104000</v>
          </cell>
          <cell r="T15">
            <v>11024</v>
          </cell>
          <cell r="V15">
            <v>126000</v>
          </cell>
          <cell r="W15">
            <v>99904</v>
          </cell>
          <cell r="Y15">
            <v>36000</v>
          </cell>
          <cell r="Z15">
            <v>0</v>
          </cell>
          <cell r="AE15">
            <v>0</v>
          </cell>
          <cell r="AF15">
            <v>0</v>
          </cell>
          <cell r="AH15">
            <v>137500</v>
          </cell>
          <cell r="AI15">
            <v>281588</v>
          </cell>
        </row>
        <row r="17">
          <cell r="AR17">
            <v>1640194.4413895949</v>
          </cell>
          <cell r="AS17">
            <v>1051748</v>
          </cell>
        </row>
        <row r="18">
          <cell r="G18">
            <v>19246.896705999316</v>
          </cell>
          <cell r="H18">
            <v>0</v>
          </cell>
          <cell r="J18">
            <v>18004.722799437681</v>
          </cell>
          <cell r="K18">
            <v>0</v>
          </cell>
          <cell r="M18">
            <v>0</v>
          </cell>
          <cell r="N18">
            <v>0</v>
          </cell>
          <cell r="S18">
            <v>630.36429238703613</v>
          </cell>
          <cell r="T18">
            <v>-99230.286210428312</v>
          </cell>
          <cell r="V18">
            <v>624.14918412263592</v>
          </cell>
          <cell r="W18">
            <v>-20126.23815919226</v>
          </cell>
          <cell r="Y18">
            <v>0</v>
          </cell>
          <cell r="Z18">
            <v>0</v>
          </cell>
          <cell r="AE18">
            <v>308.07678386270544</v>
          </cell>
          <cell r="AF18">
            <v>3887.2959999999998</v>
          </cell>
          <cell r="AH18">
            <v>14648.059005740795</v>
          </cell>
          <cell r="AI18">
            <v>6739.2529999999997</v>
          </cell>
        </row>
        <row r="19">
          <cell r="G19">
            <v>12013.325319063246</v>
          </cell>
          <cell r="H19">
            <v>-119399.60527004489</v>
          </cell>
          <cell r="J19">
            <v>13710.860418496093</v>
          </cell>
          <cell r="K19">
            <v>0</v>
          </cell>
          <cell r="M19">
            <v>5876.0830364983258</v>
          </cell>
          <cell r="N19">
            <v>0</v>
          </cell>
          <cell r="S19">
            <v>414.63761488967248</v>
          </cell>
          <cell r="T19">
            <v>-8778.6542346856113</v>
          </cell>
          <cell r="V19">
            <v>502.34941803941092</v>
          </cell>
          <cell r="W19">
            <v>-29774.12680569385</v>
          </cell>
          <cell r="Y19">
            <v>143.52840515411742</v>
          </cell>
          <cell r="Z19">
            <v>0</v>
          </cell>
          <cell r="AE19">
            <v>0</v>
          </cell>
          <cell r="AF19">
            <v>0</v>
          </cell>
          <cell r="AH19">
            <v>-9145.5385160520436</v>
          </cell>
          <cell r="AI19">
            <v>-13405.094999999999</v>
          </cell>
        </row>
        <row r="20">
          <cell r="AR20">
            <v>76977.514467638888</v>
          </cell>
          <cell r="AS20">
            <v>-280087.45596291707</v>
          </cell>
        </row>
        <row r="21">
          <cell r="G21">
            <v>0</v>
          </cell>
          <cell r="H21">
            <v>0</v>
          </cell>
          <cell r="J21">
            <v>0</v>
          </cell>
          <cell r="K21">
            <v>0</v>
          </cell>
          <cell r="N21">
            <v>0</v>
          </cell>
          <cell r="S21">
            <v>9034.7927999999993</v>
          </cell>
          <cell r="T21">
            <v>6878</v>
          </cell>
          <cell r="V21">
            <v>6564.1718999999994</v>
          </cell>
          <cell r="W21">
            <v>4770</v>
          </cell>
          <cell r="Z21">
            <v>0</v>
          </cell>
          <cell r="AE21">
            <v>213.98601398601397</v>
          </cell>
          <cell r="AF21">
            <v>500</v>
          </cell>
          <cell r="AH21">
            <v>3530.7692307692309</v>
          </cell>
          <cell r="AI21">
            <v>2400</v>
          </cell>
        </row>
        <row r="22">
          <cell r="G22">
            <v>8199.8666666666668</v>
          </cell>
          <cell r="H22">
            <v>0</v>
          </cell>
          <cell r="J22">
            <v>5332</v>
          </cell>
          <cell r="K22">
            <v>0</v>
          </cell>
          <cell r="N22">
            <v>0</v>
          </cell>
          <cell r="S22">
            <v>0</v>
          </cell>
          <cell r="T22">
            <v>5088</v>
          </cell>
          <cell r="V22">
            <v>0</v>
          </cell>
          <cell r="W22">
            <v>2480</v>
          </cell>
          <cell r="Z22">
            <v>0</v>
          </cell>
          <cell r="AE22">
            <v>0</v>
          </cell>
          <cell r="AF22">
            <v>0</v>
          </cell>
          <cell r="AH22">
            <v>4067.8321678321677</v>
          </cell>
          <cell r="AI22">
            <v>2704</v>
          </cell>
        </row>
        <row r="23">
          <cell r="G23">
            <v>1232</v>
          </cell>
          <cell r="H23">
            <v>0</v>
          </cell>
          <cell r="J23">
            <v>1064</v>
          </cell>
          <cell r="K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Z23">
            <v>0</v>
          </cell>
          <cell r="AE23">
            <v>0</v>
          </cell>
          <cell r="AF23">
            <v>0</v>
          </cell>
          <cell r="AH23">
            <v>1913.2867132867134</v>
          </cell>
          <cell r="AI23">
            <v>1488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N24">
            <v>0</v>
          </cell>
          <cell r="S24">
            <v>0</v>
          </cell>
          <cell r="T24">
            <v>0</v>
          </cell>
          <cell r="V24">
            <v>127.33066666666667</v>
          </cell>
          <cell r="W24">
            <v>1072</v>
          </cell>
          <cell r="Z24">
            <v>0</v>
          </cell>
          <cell r="AE24">
            <v>0</v>
          </cell>
          <cell r="AF24">
            <v>0</v>
          </cell>
          <cell r="AH24">
            <v>4356.2387193972736</v>
          </cell>
          <cell r="AI24">
            <v>2880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0</v>
          </cell>
          <cell r="Z25">
            <v>0</v>
          </cell>
          <cell r="AE25">
            <v>0</v>
          </cell>
          <cell r="AF25">
            <v>0</v>
          </cell>
          <cell r="AH25">
            <v>572.02237762237758</v>
          </cell>
          <cell r="AI25">
            <v>0</v>
          </cell>
        </row>
        <row r="26">
          <cell r="G26">
            <v>387.8</v>
          </cell>
          <cell r="H26">
            <v>0</v>
          </cell>
          <cell r="J26">
            <v>222.19354838709677</v>
          </cell>
          <cell r="K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Z26">
            <v>0</v>
          </cell>
          <cell r="AE26">
            <v>0</v>
          </cell>
          <cell r="AF26">
            <v>0</v>
          </cell>
          <cell r="AH26">
            <v>0</v>
          </cell>
          <cell r="AI26">
            <v>0</v>
          </cell>
        </row>
        <row r="35">
          <cell r="G35">
            <v>0</v>
          </cell>
          <cell r="H35">
            <v>0</v>
          </cell>
          <cell r="J35">
            <v>0</v>
          </cell>
          <cell r="K35">
            <v>0</v>
          </cell>
          <cell r="S35">
            <v>158108.87400000001</v>
          </cell>
          <cell r="T35">
            <v>120365</v>
          </cell>
          <cell r="V35">
            <v>154258.03964999996</v>
          </cell>
          <cell r="W35">
            <v>112095</v>
          </cell>
          <cell r="AE35">
            <v>8131.4685314685312</v>
          </cell>
          <cell r="AF35">
            <v>19000</v>
          </cell>
          <cell r="AH35">
            <v>0</v>
          </cell>
          <cell r="AI35">
            <v>76800</v>
          </cell>
        </row>
        <row r="36">
          <cell r="G36">
            <v>131197.86666666667</v>
          </cell>
          <cell r="H36">
            <v>0</v>
          </cell>
          <cell r="J36">
            <v>117304</v>
          </cell>
          <cell r="K36">
            <v>0</v>
          </cell>
          <cell r="S36">
            <v>0</v>
          </cell>
          <cell r="T36">
            <v>61056</v>
          </cell>
          <cell r="V36">
            <v>0</v>
          </cell>
          <cell r="W36">
            <v>44640</v>
          </cell>
          <cell r="AE36">
            <v>0</v>
          </cell>
          <cell r="AF36">
            <v>0</v>
          </cell>
          <cell r="AH36">
            <v>8131.4685314685312</v>
          </cell>
          <cell r="AI36">
            <v>74360</v>
          </cell>
        </row>
        <row r="37">
          <cell r="G37">
            <v>12320</v>
          </cell>
          <cell r="H37">
            <v>0</v>
          </cell>
          <cell r="J37">
            <v>17024</v>
          </cell>
          <cell r="K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0</v>
          </cell>
          <cell r="AF37">
            <v>0</v>
          </cell>
          <cell r="AH37">
            <v>107688.46153846155</v>
          </cell>
          <cell r="AI37">
            <v>40920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S38">
            <v>0</v>
          </cell>
          <cell r="T38">
            <v>0</v>
          </cell>
          <cell r="V38">
            <v>2291.9520000000002</v>
          </cell>
          <cell r="W38">
            <v>19296</v>
          </cell>
          <cell r="AE38">
            <v>0</v>
          </cell>
          <cell r="AF38">
            <v>0</v>
          </cell>
          <cell r="AH38">
            <v>107797.55244755244</v>
          </cell>
          <cell r="AI38">
            <v>79200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AE39">
            <v>0</v>
          </cell>
          <cell r="AF39">
            <v>0</v>
          </cell>
          <cell r="AH39">
            <v>49745.454545454544</v>
          </cell>
          <cell r="AI39">
            <v>0</v>
          </cell>
        </row>
        <row r="40">
          <cell r="G40">
            <v>3878</v>
          </cell>
          <cell r="H40">
            <v>0</v>
          </cell>
          <cell r="J40">
            <v>3555.0967741935483</v>
          </cell>
          <cell r="K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  <cell r="AH40">
            <v>113262.20670432912</v>
          </cell>
          <cell r="AI40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9819.6666666666661</v>
          </cell>
          <cell r="H6">
            <v>17637.466666666667</v>
          </cell>
          <cell r="I6">
            <v>24056.49306666667</v>
          </cell>
          <cell r="J6">
            <v>25419.693066666667</v>
          </cell>
          <cell r="K6">
            <v>13723.800000000001</v>
          </cell>
          <cell r="L6">
            <v>13278.266666666666</v>
          </cell>
          <cell r="M6">
            <v>13015.8</v>
          </cell>
          <cell r="N6">
            <v>11373.533333333333</v>
          </cell>
          <cell r="O6">
            <v>13690.800000000001</v>
          </cell>
          <cell r="P6">
            <v>13088.599999999999</v>
          </cell>
          <cell r="Q6">
            <v>15254.8</v>
          </cell>
          <cell r="R6">
            <v>15319.666666666666</v>
          </cell>
        </row>
        <row r="7">
          <cell r="G7">
            <v>8000</v>
          </cell>
          <cell r="H7">
            <v>8000</v>
          </cell>
          <cell r="I7">
            <v>11000</v>
          </cell>
          <cell r="J7">
            <v>11000</v>
          </cell>
          <cell r="K7">
            <v>13500</v>
          </cell>
          <cell r="L7">
            <v>13500</v>
          </cell>
          <cell r="M7">
            <v>9000</v>
          </cell>
          <cell r="N7">
            <v>9000</v>
          </cell>
          <cell r="O7">
            <v>9000</v>
          </cell>
          <cell r="P7">
            <v>12000</v>
          </cell>
          <cell r="Q7">
            <v>12000</v>
          </cell>
          <cell r="R7">
            <v>10964</v>
          </cell>
        </row>
        <row r="8">
          <cell r="G8">
            <v>17819.666666666664</v>
          </cell>
          <cell r="H8">
            <v>25637.466666666667</v>
          </cell>
          <cell r="I8">
            <v>35056.49306666667</v>
          </cell>
          <cell r="J8">
            <v>36419.693066666667</v>
          </cell>
          <cell r="K8">
            <v>27223.800000000003</v>
          </cell>
          <cell r="L8">
            <v>26778.266666666666</v>
          </cell>
          <cell r="M8">
            <v>22015.8</v>
          </cell>
          <cell r="N8">
            <v>20373.533333333333</v>
          </cell>
          <cell r="O8">
            <v>22690.800000000003</v>
          </cell>
          <cell r="P8">
            <v>25088.6</v>
          </cell>
          <cell r="Q8">
            <v>27254.799999999999</v>
          </cell>
          <cell r="R8">
            <v>26283.666666666664</v>
          </cell>
        </row>
        <row r="9">
          <cell r="G9">
            <v>6618.1935483870966</v>
          </cell>
          <cell r="H9">
            <v>8060.1935483870966</v>
          </cell>
          <cell r="I9">
            <v>16743.60404731183</v>
          </cell>
          <cell r="J9">
            <v>17628.551612903226</v>
          </cell>
          <cell r="K9">
            <v>9154.4516129032254</v>
          </cell>
          <cell r="L9">
            <v>8840.8709677419356</v>
          </cell>
          <cell r="M9">
            <v>8632.9569892473119</v>
          </cell>
          <cell r="N9">
            <v>7575.9569892473119</v>
          </cell>
          <cell r="O9">
            <v>9077.6236559139797</v>
          </cell>
          <cell r="P9">
            <v>8653.2150537634407</v>
          </cell>
          <cell r="Q9">
            <v>10144.634408602149</v>
          </cell>
          <cell r="R9">
            <v>10227.634408602149</v>
          </cell>
        </row>
        <row r="10">
          <cell r="G10">
            <v>7000</v>
          </cell>
          <cell r="H10">
            <v>7000</v>
          </cell>
          <cell r="I10">
            <v>7000</v>
          </cell>
          <cell r="J10">
            <v>7000</v>
          </cell>
          <cell r="K10">
            <v>7000</v>
          </cell>
          <cell r="L10">
            <v>7000</v>
          </cell>
          <cell r="M10">
            <v>7000</v>
          </cell>
          <cell r="N10">
            <v>7000</v>
          </cell>
          <cell r="O10">
            <v>7000</v>
          </cell>
          <cell r="P10">
            <v>7000</v>
          </cell>
          <cell r="Q10">
            <v>7000</v>
          </cell>
          <cell r="R10">
            <v>7000</v>
          </cell>
        </row>
        <row r="11">
          <cell r="G11">
            <v>13618.193548387097</v>
          </cell>
          <cell r="H11">
            <v>15060.193548387097</v>
          </cell>
          <cell r="I11">
            <v>23743.60404731183</v>
          </cell>
          <cell r="J11">
            <v>24628.551612903226</v>
          </cell>
          <cell r="K11">
            <v>16154.451612903225</v>
          </cell>
          <cell r="L11">
            <v>15840.870967741936</v>
          </cell>
          <cell r="M11">
            <v>15632.956989247312</v>
          </cell>
          <cell r="N11">
            <v>14575.956989247312</v>
          </cell>
          <cell r="O11">
            <v>16077.62365591398</v>
          </cell>
          <cell r="P11">
            <v>15653.215053763441</v>
          </cell>
          <cell r="Q11">
            <v>17144.634408602149</v>
          </cell>
          <cell r="R11">
            <v>17227.634408602149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5000</v>
          </cell>
          <cell r="H16">
            <v>5000</v>
          </cell>
          <cell r="I16">
            <v>5000</v>
          </cell>
          <cell r="J16">
            <v>6000</v>
          </cell>
          <cell r="K16">
            <v>6000</v>
          </cell>
          <cell r="L16">
            <v>5000</v>
          </cell>
          <cell r="M16">
            <v>5000</v>
          </cell>
          <cell r="N16">
            <v>5000</v>
          </cell>
          <cell r="O16">
            <v>5000</v>
          </cell>
          <cell r="P16">
            <v>5000</v>
          </cell>
          <cell r="Q16">
            <v>5000</v>
          </cell>
          <cell r="R16">
            <v>5000</v>
          </cell>
        </row>
        <row r="17">
          <cell r="G17">
            <v>5000</v>
          </cell>
          <cell r="H17">
            <v>5000</v>
          </cell>
          <cell r="I17">
            <v>5000</v>
          </cell>
          <cell r="J17">
            <v>6000</v>
          </cell>
          <cell r="K17">
            <v>6000</v>
          </cell>
          <cell r="L17">
            <v>5000</v>
          </cell>
          <cell r="M17">
            <v>5000</v>
          </cell>
          <cell r="N17">
            <v>5000</v>
          </cell>
          <cell r="O17">
            <v>5000</v>
          </cell>
          <cell r="P17">
            <v>5000</v>
          </cell>
          <cell r="Q17">
            <v>5000</v>
          </cell>
          <cell r="R17">
            <v>5000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16437.860215053763</v>
          </cell>
          <cell r="H24">
            <v>25697.660215053766</v>
          </cell>
          <cell r="I24">
            <v>40800.097113978496</v>
          </cell>
          <cell r="J24">
            <v>43048.244679569892</v>
          </cell>
          <cell r="K24">
            <v>22878.251612903226</v>
          </cell>
          <cell r="L24">
            <v>22119.137634408602</v>
          </cell>
          <cell r="M24">
            <v>21648.756989247311</v>
          </cell>
          <cell r="N24">
            <v>18949.490322580645</v>
          </cell>
          <cell r="O24">
            <v>22768.423655913983</v>
          </cell>
          <cell r="P24">
            <v>21741.815053763439</v>
          </cell>
          <cell r="Q24">
            <v>25399.434408602148</v>
          </cell>
          <cell r="R24">
            <v>25547.301075268813</v>
          </cell>
        </row>
        <row r="25">
          <cell r="G25">
            <v>20000</v>
          </cell>
          <cell r="H25">
            <v>20000</v>
          </cell>
          <cell r="I25">
            <v>23000</v>
          </cell>
          <cell r="J25">
            <v>24000</v>
          </cell>
          <cell r="K25">
            <v>26500</v>
          </cell>
          <cell r="L25">
            <v>25500</v>
          </cell>
          <cell r="M25">
            <v>21000</v>
          </cell>
          <cell r="N25">
            <v>21000</v>
          </cell>
          <cell r="O25">
            <v>21000</v>
          </cell>
          <cell r="P25">
            <v>24000</v>
          </cell>
          <cell r="Q25">
            <v>24000</v>
          </cell>
          <cell r="R25">
            <v>22964</v>
          </cell>
        </row>
        <row r="26">
          <cell r="G26">
            <v>36437.860215053763</v>
          </cell>
          <cell r="H26">
            <v>45697.660215053766</v>
          </cell>
          <cell r="I26">
            <v>63800.097113978496</v>
          </cell>
          <cell r="J26">
            <v>67048.244679569892</v>
          </cell>
          <cell r="K26">
            <v>49378.25161290323</v>
          </cell>
          <cell r="L26">
            <v>47619.137634408602</v>
          </cell>
          <cell r="M26">
            <v>42648.756989247311</v>
          </cell>
          <cell r="N26">
            <v>39949.490322580648</v>
          </cell>
          <cell r="O26">
            <v>43768.423655913983</v>
          </cell>
          <cell r="P26">
            <v>45741.815053763436</v>
          </cell>
          <cell r="Q26">
            <v>49399.434408602145</v>
          </cell>
          <cell r="R26">
            <v>48511.301075268813</v>
          </cell>
        </row>
        <row r="27">
          <cell r="G27">
            <v>15010.271903323264</v>
          </cell>
          <cell r="H27">
            <v>14337.962367989356</v>
          </cell>
          <cell r="I27">
            <v>13889.526446797468</v>
          </cell>
          <cell r="J27">
            <v>13927.363156517105</v>
          </cell>
          <cell r="K27">
            <v>15007.301184803042</v>
          </cell>
          <cell r="L27">
            <v>14948.175966742649</v>
          </cell>
          <cell r="M27">
            <v>15047.957098295918</v>
          </cell>
          <cell r="N27">
            <v>14910.488092237534</v>
          </cell>
          <cell r="O27">
            <v>15049.902124054108</v>
          </cell>
          <cell r="P27">
            <v>14781.046101187294</v>
          </cell>
          <cell r="Q27">
            <v>14931.929622151716</v>
          </cell>
          <cell r="R27">
            <v>14936.452055092583</v>
          </cell>
        </row>
        <row r="28">
          <cell r="G28">
            <v>11500</v>
          </cell>
          <cell r="H28">
            <v>11500</v>
          </cell>
          <cell r="I28">
            <v>11500</v>
          </cell>
          <cell r="J28">
            <v>11500</v>
          </cell>
          <cell r="K28">
            <v>11500</v>
          </cell>
          <cell r="L28">
            <v>11500</v>
          </cell>
          <cell r="M28">
            <v>11500</v>
          </cell>
          <cell r="N28">
            <v>11500</v>
          </cell>
          <cell r="O28">
            <v>11500</v>
          </cell>
          <cell r="P28">
            <v>11500</v>
          </cell>
          <cell r="Q28">
            <v>11500</v>
          </cell>
          <cell r="R28">
            <v>11500</v>
          </cell>
        </row>
        <row r="29">
          <cell r="G29">
            <v>13434.362782693281</v>
          </cell>
          <cell r="H29">
            <v>13452.395192452714</v>
          </cell>
          <cell r="I29">
            <v>13139.742637424792</v>
          </cell>
          <cell r="J29">
            <v>13194.21599152558</v>
          </cell>
          <cell r="K29">
            <v>13268.0669120402</v>
          </cell>
          <cell r="L29">
            <v>13209.811937043474</v>
          </cell>
          <cell r="M29">
            <v>13597.561751106023</v>
          </cell>
          <cell r="N29">
            <v>13403.906375264642</v>
          </cell>
          <cell r="O29">
            <v>13641.88129109595</v>
          </cell>
          <cell r="P29">
            <v>13211.705714946229</v>
          </cell>
          <cell r="Q29">
            <v>13420.887329938212</v>
          </cell>
          <cell r="R29">
            <v>13502.966354263104</v>
          </cell>
        </row>
        <row r="30">
          <cell r="G30">
            <v>20833.947476165409</v>
          </cell>
          <cell r="H30">
            <v>21042.558811522977</v>
          </cell>
          <cell r="I30">
            <v>19767.858868481104</v>
          </cell>
          <cell r="J30">
            <v>19798.51115794374</v>
          </cell>
          <cell r="K30">
            <v>20860.586071292655</v>
          </cell>
          <cell r="L30">
            <v>20798.848456764223</v>
          </cell>
          <cell r="M30">
            <v>20914.422723621032</v>
          </cell>
          <cell r="N30">
            <v>20762.962626532153</v>
          </cell>
          <cell r="O30">
            <v>20908.993993264779</v>
          </cell>
          <cell r="P30">
            <v>20624.177227930697</v>
          </cell>
          <cell r="Q30">
            <v>20807.861775545312</v>
          </cell>
          <cell r="R30">
            <v>20817.536297402145</v>
          </cell>
        </row>
        <row r="31">
          <cell r="G31">
            <v>15000</v>
          </cell>
          <cell r="H31">
            <v>15000</v>
          </cell>
          <cell r="I31">
            <v>15000</v>
          </cell>
          <cell r="J31">
            <v>15000</v>
          </cell>
          <cell r="K31">
            <v>15000</v>
          </cell>
          <cell r="L31">
            <v>15000</v>
          </cell>
          <cell r="M31">
            <v>15000</v>
          </cell>
          <cell r="N31">
            <v>15000</v>
          </cell>
          <cell r="O31">
            <v>15000</v>
          </cell>
          <cell r="P31">
            <v>15000</v>
          </cell>
          <cell r="Q31">
            <v>15000</v>
          </cell>
          <cell r="R31">
            <v>15000</v>
          </cell>
        </row>
        <row r="32">
          <cell r="G32">
            <v>17835.192010687791</v>
          </cell>
          <cell r="H32">
            <v>18233.968633398021</v>
          </cell>
          <cell r="I32">
            <v>18362.21665793614</v>
          </cell>
          <cell r="J32">
            <v>18434.664081853072</v>
          </cell>
          <cell r="K32">
            <v>18321.093955925462</v>
          </cell>
          <cell r="L32">
            <v>18236.366931599965</v>
          </cell>
          <cell r="M32">
            <v>18266.109989579501</v>
          </cell>
          <cell r="N32">
            <v>17995.340684762949</v>
          </cell>
          <cell r="O32">
            <v>18336.290536703989</v>
          </cell>
          <cell r="P32">
            <v>18109.087486922541</v>
          </cell>
          <cell r="Q32">
            <v>18436.56405872617</v>
          </cell>
          <cell r="R32">
            <v>18453.732125804378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9000</v>
          </cell>
          <cell r="H38">
            <v>9000</v>
          </cell>
          <cell r="I38">
            <v>9000</v>
          </cell>
          <cell r="J38">
            <v>9000</v>
          </cell>
          <cell r="K38">
            <v>9000</v>
          </cell>
          <cell r="L38">
            <v>9000</v>
          </cell>
          <cell r="M38">
            <v>9000</v>
          </cell>
          <cell r="N38">
            <v>9000</v>
          </cell>
          <cell r="O38">
            <v>9000</v>
          </cell>
          <cell r="P38">
            <v>9000</v>
          </cell>
          <cell r="Q38">
            <v>9000</v>
          </cell>
          <cell r="R38">
            <v>9000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17354.993880505335</v>
          </cell>
          <cell r="H45">
            <v>16440.890982752957</v>
          </cell>
          <cell r="I45">
            <v>16301.885178498263</v>
          </cell>
          <cell r="J45">
            <v>16331.63855358719</v>
          </cell>
          <cell r="K45">
            <v>17349.421298548361</v>
          </cell>
          <cell r="L45">
            <v>17286.650522745884</v>
          </cell>
          <cell r="M45">
            <v>17387.349861006696</v>
          </cell>
          <cell r="N45">
            <v>17250.292202939494</v>
          </cell>
          <cell r="O45">
            <v>17385.884261328909</v>
          </cell>
          <cell r="P45">
            <v>17106.604942618873</v>
          </cell>
          <cell r="Q45">
            <v>17278.800129068997</v>
          </cell>
          <cell r="R45">
            <v>17290.891742452019</v>
          </cell>
        </row>
        <row r="46">
          <cell r="G46">
            <v>12100</v>
          </cell>
          <cell r="H46">
            <v>12100</v>
          </cell>
          <cell r="I46">
            <v>12021.739130434784</v>
          </cell>
          <cell r="J46">
            <v>11895.833333333334</v>
          </cell>
          <cell r="K46">
            <v>11858.490566037735</v>
          </cell>
          <cell r="L46">
            <v>11970.588235294117</v>
          </cell>
          <cell r="M46">
            <v>12071.428571428571</v>
          </cell>
          <cell r="N46">
            <v>12071.428571428571</v>
          </cell>
          <cell r="O46">
            <v>12071.428571428571</v>
          </cell>
          <cell r="P46">
            <v>12000</v>
          </cell>
          <cell r="Q46">
            <v>12000</v>
          </cell>
          <cell r="R46">
            <v>12022.557045810836</v>
          </cell>
        </row>
        <row r="47">
          <cell r="G47">
            <v>14470.634673081671</v>
          </cell>
          <cell r="H47">
            <v>14541.060242043404</v>
          </cell>
          <cell r="I47">
            <v>14758.888168170968</v>
          </cell>
          <cell r="J47">
            <v>14743.836728276592</v>
          </cell>
          <cell r="K47">
            <v>14402.584185880971</v>
          </cell>
          <cell r="L47">
            <v>14439.90454908366</v>
          </cell>
          <cell r="M47">
            <v>14769.82112249537</v>
          </cell>
          <cell r="N47">
            <v>14527.951182226716</v>
          </cell>
          <cell r="O47">
            <v>14836.019309251127</v>
          </cell>
          <cell r="P47">
            <v>14427.250866292832</v>
          </cell>
          <cell r="Q47">
            <v>14714.17151308641</v>
          </cell>
          <cell r="R47">
            <v>14796.997839545647</v>
          </cell>
        </row>
        <row r="48">
          <cell r="G48">
            <v>147395.86666666667</v>
          </cell>
          <cell r="H48">
            <v>252885.33333333334</v>
          </cell>
          <cell r="I48">
            <v>334133.29666666663</v>
          </cell>
          <cell r="J48">
            <v>354029.29666666663</v>
          </cell>
          <cell r="K48">
            <v>205957.2</v>
          </cell>
          <cell r="L48">
            <v>198485.86666666667</v>
          </cell>
          <cell r="M48">
            <v>195861.19999999998</v>
          </cell>
          <cell r="N48">
            <v>169584.93333333332</v>
          </cell>
          <cell r="O48">
            <v>206045.2</v>
          </cell>
          <cell r="P48">
            <v>193463.19999999998</v>
          </cell>
          <cell r="Q48">
            <v>227783.59999999998</v>
          </cell>
          <cell r="R48">
            <v>228821.46666666665</v>
          </cell>
        </row>
        <row r="49">
          <cell r="G49">
            <v>92000</v>
          </cell>
          <cell r="H49">
            <v>92000</v>
          </cell>
          <cell r="I49">
            <v>126500</v>
          </cell>
          <cell r="J49">
            <v>126500</v>
          </cell>
          <cell r="K49">
            <v>155250</v>
          </cell>
          <cell r="L49">
            <v>155250</v>
          </cell>
          <cell r="M49">
            <v>103500</v>
          </cell>
          <cell r="N49">
            <v>103500</v>
          </cell>
          <cell r="O49">
            <v>103500</v>
          </cell>
          <cell r="P49">
            <v>138000</v>
          </cell>
          <cell r="Q49">
            <v>138000</v>
          </cell>
          <cell r="R49">
            <v>126086</v>
          </cell>
        </row>
        <row r="50">
          <cell r="G50">
            <v>239395.86666666667</v>
          </cell>
          <cell r="H50">
            <v>344885.33333333337</v>
          </cell>
          <cell r="I50">
            <v>460633.29666666663</v>
          </cell>
          <cell r="J50">
            <v>480529.29666666663</v>
          </cell>
          <cell r="K50">
            <v>361207.2</v>
          </cell>
          <cell r="L50">
            <v>353735.8666666667</v>
          </cell>
          <cell r="M50">
            <v>299361.19999999995</v>
          </cell>
          <cell r="N50">
            <v>273084.93333333335</v>
          </cell>
          <cell r="O50">
            <v>309545.2</v>
          </cell>
          <cell r="P50">
            <v>331463.19999999995</v>
          </cell>
          <cell r="Q50">
            <v>365783.6</v>
          </cell>
          <cell r="R50">
            <v>354907.46666666667</v>
          </cell>
        </row>
        <row r="51">
          <cell r="G51">
            <v>137883.09677419355</v>
          </cell>
          <cell r="H51">
            <v>169607.09677419355</v>
          </cell>
          <cell r="I51">
            <v>330985.20175698923</v>
          </cell>
          <cell r="J51">
            <v>349019.07580645161</v>
          </cell>
          <cell r="K51">
            <v>190967.22580645161</v>
          </cell>
          <cell r="L51">
            <v>183879.93548387097</v>
          </cell>
          <cell r="M51">
            <v>180553.31182795699</v>
          </cell>
          <cell r="N51">
            <v>157299.31182795699</v>
          </cell>
          <cell r="O51">
            <v>189803.97849462368</v>
          </cell>
          <cell r="P51">
            <v>178465.44086021505</v>
          </cell>
          <cell r="Q51">
            <v>211088.15053763438</v>
          </cell>
          <cell r="R51">
            <v>212914.15053763438</v>
          </cell>
        </row>
        <row r="52">
          <cell r="G52">
            <v>105000</v>
          </cell>
          <cell r="H52">
            <v>105000</v>
          </cell>
          <cell r="I52">
            <v>105000</v>
          </cell>
          <cell r="J52">
            <v>105000</v>
          </cell>
          <cell r="K52">
            <v>105000</v>
          </cell>
          <cell r="L52">
            <v>105000</v>
          </cell>
          <cell r="M52">
            <v>105000</v>
          </cell>
          <cell r="N52">
            <v>105000</v>
          </cell>
          <cell r="O52">
            <v>105000</v>
          </cell>
          <cell r="P52">
            <v>105000</v>
          </cell>
          <cell r="Q52">
            <v>105000</v>
          </cell>
          <cell r="R52">
            <v>105000</v>
          </cell>
        </row>
        <row r="53">
          <cell r="G53">
            <v>242883.09677419355</v>
          </cell>
          <cell r="H53">
            <v>274607.09677419357</v>
          </cell>
          <cell r="I53">
            <v>435985.20175698923</v>
          </cell>
          <cell r="J53">
            <v>454019.07580645161</v>
          </cell>
          <cell r="K53">
            <v>295967.22580645164</v>
          </cell>
          <cell r="L53">
            <v>288879.93548387097</v>
          </cell>
          <cell r="M53">
            <v>285553.31182795699</v>
          </cell>
          <cell r="N53">
            <v>262299.31182795699</v>
          </cell>
          <cell r="O53">
            <v>294803.97849462368</v>
          </cell>
          <cell r="P53">
            <v>283465.44086021505</v>
          </cell>
          <cell r="Q53">
            <v>316088.15053763438</v>
          </cell>
          <cell r="R53">
            <v>317914.15053763438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45000</v>
          </cell>
          <cell r="H58">
            <v>45000</v>
          </cell>
          <cell r="I58">
            <v>45000</v>
          </cell>
          <cell r="J58">
            <v>54000</v>
          </cell>
          <cell r="K58">
            <v>54000</v>
          </cell>
          <cell r="L58">
            <v>45000</v>
          </cell>
          <cell r="M58">
            <v>45000</v>
          </cell>
          <cell r="N58">
            <v>45000</v>
          </cell>
          <cell r="O58">
            <v>45000</v>
          </cell>
          <cell r="P58">
            <v>45000</v>
          </cell>
          <cell r="Q58">
            <v>45000</v>
          </cell>
          <cell r="R58">
            <v>45000</v>
          </cell>
        </row>
        <row r="59">
          <cell r="G59">
            <v>45000</v>
          </cell>
          <cell r="H59">
            <v>45000</v>
          </cell>
          <cell r="I59">
            <v>45000</v>
          </cell>
          <cell r="J59">
            <v>54000</v>
          </cell>
          <cell r="K59">
            <v>54000</v>
          </cell>
          <cell r="L59">
            <v>45000</v>
          </cell>
          <cell r="M59">
            <v>45000</v>
          </cell>
          <cell r="N59">
            <v>45000</v>
          </cell>
          <cell r="O59">
            <v>45000</v>
          </cell>
          <cell r="P59">
            <v>45000</v>
          </cell>
          <cell r="Q59">
            <v>45000</v>
          </cell>
          <cell r="R59">
            <v>45000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285278.96344086021</v>
          </cell>
          <cell r="H66">
            <v>422492.43010752689</v>
          </cell>
          <cell r="I66">
            <v>665118.49842365587</v>
          </cell>
          <cell r="J66">
            <v>703048.37247311824</v>
          </cell>
          <cell r="K66">
            <v>396924.42580645159</v>
          </cell>
          <cell r="L66">
            <v>382365.80215053761</v>
          </cell>
          <cell r="M66">
            <v>376414.511827957</v>
          </cell>
          <cell r="N66">
            <v>326884.24516129028</v>
          </cell>
          <cell r="O66">
            <v>395849.17849462369</v>
          </cell>
          <cell r="P66">
            <v>371928.64086021506</v>
          </cell>
          <cell r="Q66">
            <v>438871.75053763436</v>
          </cell>
          <cell r="R66">
            <v>441735.61720430106</v>
          </cell>
        </row>
        <row r="67">
          <cell r="G67">
            <v>242000</v>
          </cell>
          <cell r="H67">
            <v>242000</v>
          </cell>
          <cell r="I67">
            <v>276500</v>
          </cell>
          <cell r="J67">
            <v>285500</v>
          </cell>
          <cell r="K67">
            <v>314250</v>
          </cell>
          <cell r="L67">
            <v>305250</v>
          </cell>
          <cell r="M67">
            <v>253500</v>
          </cell>
          <cell r="N67">
            <v>253500</v>
          </cell>
          <cell r="O67">
            <v>253500</v>
          </cell>
          <cell r="P67">
            <v>288000</v>
          </cell>
          <cell r="Q67">
            <v>288000</v>
          </cell>
          <cell r="R67">
            <v>276086</v>
          </cell>
        </row>
        <row r="68">
          <cell r="G68">
            <v>527278.96344086016</v>
          </cell>
          <cell r="H68">
            <v>664492.43010752695</v>
          </cell>
          <cell r="I68">
            <v>941618.49842365587</v>
          </cell>
          <cell r="J68">
            <v>988548.37247311824</v>
          </cell>
          <cell r="K68">
            <v>711174.42580645159</v>
          </cell>
          <cell r="L68">
            <v>687615.80215053761</v>
          </cell>
          <cell r="M68">
            <v>629914.511827957</v>
          </cell>
          <cell r="N68">
            <v>580384.24516129028</v>
          </cell>
          <cell r="O68">
            <v>649349.17849462363</v>
          </cell>
          <cell r="P68">
            <v>659928.64086021506</v>
          </cell>
          <cell r="Q68">
            <v>726871.75053763436</v>
          </cell>
          <cell r="R68">
            <v>717821.61720430106</v>
          </cell>
        </row>
        <row r="69">
          <cell r="G69">
            <v>119416.86983535677</v>
          </cell>
          <cell r="H69">
            <v>210575.1600490764</v>
          </cell>
          <cell r="I69">
            <v>246981.58952835973</v>
          </cell>
          <cell r="J69">
            <v>274095.79793103476</v>
          </cell>
          <cell r="K69">
            <v>155197.68434783511</v>
          </cell>
          <cell r="L69">
            <v>180350.58711671986</v>
          </cell>
          <cell r="M69">
            <v>159878.74128331867</v>
          </cell>
          <cell r="N69">
            <v>150202.55561146149</v>
          </cell>
          <cell r="O69">
            <v>160866.73346438046</v>
          </cell>
          <cell r="P69">
            <v>160932.55624297276</v>
          </cell>
          <cell r="Q69">
            <v>174629.0790942882</v>
          </cell>
          <cell r="R69">
            <v>203216.04049154301</v>
          </cell>
        </row>
        <row r="70">
          <cell r="G70">
            <v>97287.921383908571</v>
          </cell>
          <cell r="H70">
            <v>95512.655656856121</v>
          </cell>
          <cell r="I70">
            <v>112934.06222108183</v>
          </cell>
          <cell r="J70">
            <v>118610.94346552438</v>
          </cell>
          <cell r="K70">
            <v>152666.80793189741</v>
          </cell>
          <cell r="L70">
            <v>183362.25557118788</v>
          </cell>
          <cell r="M70">
            <v>110550.92053887337</v>
          </cell>
          <cell r="N70">
            <v>118856.9076015504</v>
          </cell>
          <cell r="O70">
            <v>105749.8905235212</v>
          </cell>
          <cell r="P70">
            <v>147547.53563526069</v>
          </cell>
          <cell r="Q70">
            <v>137369.80813458443</v>
          </cell>
          <cell r="R70">
            <v>145437.93389429347</v>
          </cell>
        </row>
        <row r="71">
          <cell r="G71">
            <v>216704.79121926535</v>
          </cell>
          <cell r="H71">
            <v>306087.8157059325</v>
          </cell>
          <cell r="I71">
            <v>359915.65174944157</v>
          </cell>
          <cell r="J71">
            <v>392706.74139655917</v>
          </cell>
          <cell r="K71">
            <v>307864.49227973248</v>
          </cell>
          <cell r="L71">
            <v>363712.84268790775</v>
          </cell>
          <cell r="M71">
            <v>270429.66182219202</v>
          </cell>
          <cell r="N71">
            <v>269059.46321301186</v>
          </cell>
          <cell r="O71">
            <v>266616.62398790166</v>
          </cell>
          <cell r="P71">
            <v>308480.09187823348</v>
          </cell>
          <cell r="Q71">
            <v>311998.88722887263</v>
          </cell>
          <cell r="R71">
            <v>348653.97438583651</v>
          </cell>
        </row>
        <row r="72">
          <cell r="G72">
            <v>80483.786704871847</v>
          </cell>
          <cell r="H72">
            <v>96231.311364338762</v>
          </cell>
          <cell r="I72">
            <v>171902.11102584287</v>
          </cell>
          <cell r="J72">
            <v>190085.37624883119</v>
          </cell>
          <cell r="K72">
            <v>103524.51156362557</v>
          </cell>
          <cell r="L72">
            <v>120080.1512488142</v>
          </cell>
          <cell r="M72">
            <v>106042.37134819901</v>
          </cell>
          <cell r="N72">
            <v>100050.53554047641</v>
          </cell>
          <cell r="O72">
            <v>106661.96753629218</v>
          </cell>
          <cell r="P72">
            <v>106396.7130420613</v>
          </cell>
          <cell r="Q72">
            <v>116130.54019209839</v>
          </cell>
          <cell r="R72">
            <v>135670.01249665092</v>
          </cell>
        </row>
        <row r="73">
          <cell r="G73">
            <v>85126.931210920011</v>
          </cell>
          <cell r="H73">
            <v>83573.573699749119</v>
          </cell>
          <cell r="I73">
            <v>71867.130504324799</v>
          </cell>
          <cell r="J73">
            <v>75479.691296242789</v>
          </cell>
          <cell r="K73">
            <v>79160.567075798666</v>
          </cell>
          <cell r="L73">
            <v>95076.725110986314</v>
          </cell>
          <cell r="M73">
            <v>85984.049308012618</v>
          </cell>
          <cell r="N73">
            <v>92444.261467872537</v>
          </cell>
          <cell r="O73">
            <v>82249.914851627604</v>
          </cell>
          <cell r="P73">
            <v>86069.395787235408</v>
          </cell>
          <cell r="Q73">
            <v>80132.388078507589</v>
          </cell>
          <cell r="R73">
            <v>92855.302559289892</v>
          </cell>
        </row>
        <row r="74">
          <cell r="G74">
            <v>165610.71791579184</v>
          </cell>
          <cell r="H74">
            <v>179804.88506408787</v>
          </cell>
          <cell r="I74">
            <v>243769.24153016767</v>
          </cell>
          <cell r="J74">
            <v>265565.06754507398</v>
          </cell>
          <cell r="K74">
            <v>182685.07863942423</v>
          </cell>
          <cell r="L74">
            <v>215156.87635980052</v>
          </cell>
          <cell r="M74">
            <v>192026.42065621162</v>
          </cell>
          <cell r="N74">
            <v>192494.79700834895</v>
          </cell>
          <cell r="O74">
            <v>188911.88238791979</v>
          </cell>
          <cell r="P74">
            <v>192466.10882929672</v>
          </cell>
          <cell r="Q74">
            <v>196262.92827060597</v>
          </cell>
          <cell r="R74">
            <v>228525.31505594082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60804.950864942854</v>
          </cell>
          <cell r="H79">
            <v>59695.409785535077</v>
          </cell>
          <cell r="I79">
            <v>51333.664645946279</v>
          </cell>
          <cell r="J79">
            <v>64696.87825392239</v>
          </cell>
          <cell r="K79">
            <v>67851.914636398855</v>
          </cell>
          <cell r="L79">
            <v>67911.946507847359</v>
          </cell>
          <cell r="M79">
            <v>61417.178077151875</v>
          </cell>
          <cell r="N79">
            <v>66031.615334194663</v>
          </cell>
          <cell r="O79">
            <v>58749.939179733999</v>
          </cell>
          <cell r="P79">
            <v>61478.13984802529</v>
          </cell>
          <cell r="Q79">
            <v>57237.420056076844</v>
          </cell>
          <cell r="R79">
            <v>66325.216113778486</v>
          </cell>
        </row>
        <row r="80">
          <cell r="G80">
            <v>60804.950864942854</v>
          </cell>
          <cell r="H80">
            <v>59695.409785535077</v>
          </cell>
          <cell r="I80">
            <v>51333.664645946279</v>
          </cell>
          <cell r="J80">
            <v>64696.87825392239</v>
          </cell>
          <cell r="K80">
            <v>67851.914636398855</v>
          </cell>
          <cell r="L80">
            <v>67911.946507847359</v>
          </cell>
          <cell r="M80">
            <v>61417.178077151875</v>
          </cell>
          <cell r="N80">
            <v>66031.615334194663</v>
          </cell>
          <cell r="O80">
            <v>58749.939179733999</v>
          </cell>
          <cell r="P80">
            <v>61478.13984802529</v>
          </cell>
          <cell r="Q80">
            <v>57237.420056076844</v>
          </cell>
          <cell r="R80">
            <v>66325.216113778486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199900.65654022864</v>
          </cell>
          <cell r="H87">
            <v>306806.47141341516</v>
          </cell>
          <cell r="I87">
            <v>418883.7005542026</v>
          </cell>
          <cell r="J87">
            <v>464181.17417986598</v>
          </cell>
          <cell r="K87">
            <v>258722.19591146067</v>
          </cell>
          <cell r="L87">
            <v>300430.73836553405</v>
          </cell>
          <cell r="M87">
            <v>265921.1126315177</v>
          </cell>
          <cell r="N87">
            <v>250253.0911519379</v>
          </cell>
          <cell r="O87">
            <v>267528.70100067265</v>
          </cell>
          <cell r="P87">
            <v>267329.26928503404</v>
          </cell>
          <cell r="Q87">
            <v>290759.61928638659</v>
          </cell>
          <cell r="R87">
            <v>338886.05298819393</v>
          </cell>
        </row>
        <row r="88">
          <cell r="G88">
            <v>243219.80345977144</v>
          </cell>
          <cell r="H88">
            <v>238781.63914214031</v>
          </cell>
          <cell r="I88">
            <v>236134.8573713529</v>
          </cell>
          <cell r="J88">
            <v>258787.51301568956</v>
          </cell>
          <cell r="K88">
            <v>299679.28964409494</v>
          </cell>
          <cell r="L88">
            <v>346350.92719002155</v>
          </cell>
          <cell r="M88">
            <v>257952.14792403788</v>
          </cell>
          <cell r="N88">
            <v>277332.78440361761</v>
          </cell>
          <cell r="O88">
            <v>246749.74455488281</v>
          </cell>
          <cell r="P88">
            <v>295095.07127052138</v>
          </cell>
          <cell r="Q88">
            <v>274739.61626916885</v>
          </cell>
          <cell r="R88">
            <v>304618.45256736182</v>
          </cell>
        </row>
        <row r="89">
          <cell r="G89">
            <v>443120.46000000008</v>
          </cell>
          <cell r="H89">
            <v>545588.11055555544</v>
          </cell>
          <cell r="I89">
            <v>655018.55792555551</v>
          </cell>
          <cell r="J89">
            <v>722968.68719555554</v>
          </cell>
          <cell r="K89">
            <v>558401.48555555567</v>
          </cell>
          <cell r="L89">
            <v>646781.66555555561</v>
          </cell>
          <cell r="M89">
            <v>523873.26055555558</v>
          </cell>
          <cell r="N89">
            <v>527585.87555555557</v>
          </cell>
          <cell r="O89">
            <v>514278.44555555546</v>
          </cell>
          <cell r="P89">
            <v>562424.34055555542</v>
          </cell>
          <cell r="Q89">
            <v>565499.23555555544</v>
          </cell>
          <cell r="R89">
            <v>643504.50555555569</v>
          </cell>
        </row>
        <row r="90">
          <cell r="G90">
            <v>12160.990172988571</v>
          </cell>
          <cell r="H90">
            <v>11939.081957107015</v>
          </cell>
          <cell r="I90">
            <v>10266.732929189257</v>
          </cell>
          <cell r="J90">
            <v>10782.813042320398</v>
          </cell>
          <cell r="K90">
            <v>11308.652439399808</v>
          </cell>
          <cell r="L90">
            <v>13582.389301569472</v>
          </cell>
          <cell r="M90">
            <v>12283.435615430375</v>
          </cell>
          <cell r="N90">
            <v>13206.323066838933</v>
          </cell>
          <cell r="O90">
            <v>11749.9878359468</v>
          </cell>
          <cell r="P90">
            <v>12295.627969605059</v>
          </cell>
          <cell r="Q90">
            <v>11447.484011215369</v>
          </cell>
          <cell r="R90">
            <v>13265.043222755698</v>
          </cell>
        </row>
        <row r="91">
          <cell r="G91">
            <v>27978.996831309894</v>
          </cell>
          <cell r="H91">
            <v>42310.173284256947</v>
          </cell>
          <cell r="I91">
            <v>87151.707138306898</v>
          </cell>
          <cell r="J91">
            <v>79933.498735631874</v>
          </cell>
          <cell r="K91">
            <v>50759.515652164904</v>
          </cell>
          <cell r="L91">
            <v>18135.279549946805</v>
          </cell>
          <cell r="M91">
            <v>35982.458716681314</v>
          </cell>
          <cell r="N91">
            <v>19382.377721871831</v>
          </cell>
          <cell r="O91">
            <v>45178.466535619547</v>
          </cell>
          <cell r="P91">
            <v>32530.643757027225</v>
          </cell>
          <cell r="Q91">
            <v>53154.520905711775</v>
          </cell>
          <cell r="R91">
            <v>25605.426175123634</v>
          </cell>
        </row>
        <row r="92">
          <cell r="G92">
            <v>-5287.9213839085714</v>
          </cell>
          <cell r="H92">
            <v>-3512.6556568561209</v>
          </cell>
          <cell r="I92">
            <v>13565.937778918174</v>
          </cell>
          <cell r="J92">
            <v>7889.0565344756178</v>
          </cell>
          <cell r="K92">
            <v>2583.1920681025949</v>
          </cell>
          <cell r="L92">
            <v>-28112.255571187881</v>
          </cell>
          <cell r="M92">
            <v>-7050.9205388733681</v>
          </cell>
          <cell r="N92">
            <v>-15356.907601550396</v>
          </cell>
          <cell r="O92">
            <v>-2249.8905235212005</v>
          </cell>
          <cell r="P92">
            <v>-9547.5356352606905</v>
          </cell>
          <cell r="Q92">
            <v>630.19186541557428</v>
          </cell>
          <cell r="R92">
            <v>-19351.93389429347</v>
          </cell>
        </row>
        <row r="93">
          <cell r="G93">
            <v>22691.075447401323</v>
          </cell>
          <cell r="H93">
            <v>38797.517627400826</v>
          </cell>
          <cell r="I93">
            <v>100717.64491722507</v>
          </cell>
          <cell r="J93">
            <v>87822.555270107492</v>
          </cell>
          <cell r="K93">
            <v>53342.707720267499</v>
          </cell>
          <cell r="L93">
            <v>-9976.9760212410765</v>
          </cell>
          <cell r="M93">
            <v>28931.538177807946</v>
          </cell>
          <cell r="N93">
            <v>4025.4701203214354</v>
          </cell>
          <cell r="O93">
            <v>42928.576012098347</v>
          </cell>
          <cell r="P93">
            <v>22983.108121766534</v>
          </cell>
          <cell r="Q93">
            <v>53784.71277112735</v>
          </cell>
          <cell r="R93">
            <v>6253.4922808301635</v>
          </cell>
        </row>
        <row r="94">
          <cell r="G94">
            <v>57399.310069321698</v>
          </cell>
          <cell r="H94">
            <v>73375.785409854783</v>
          </cell>
          <cell r="I94">
            <v>159083.09073114637</v>
          </cell>
          <cell r="J94">
            <v>158933.69955762042</v>
          </cell>
          <cell r="K94">
            <v>87442.714242826041</v>
          </cell>
          <cell r="L94">
            <v>63799.784235056766</v>
          </cell>
          <cell r="M94">
            <v>74510.940479757977</v>
          </cell>
          <cell r="N94">
            <v>57248.776287480578</v>
          </cell>
          <cell r="O94">
            <v>83142.010958331492</v>
          </cell>
          <cell r="P94">
            <v>72068.727818153755</v>
          </cell>
          <cell r="Q94">
            <v>94957.610345535999</v>
          </cell>
          <cell r="R94">
            <v>77244.138040983467</v>
          </cell>
        </row>
        <row r="95">
          <cell r="G95">
            <v>19873.068789079989</v>
          </cell>
          <cell r="H95">
            <v>21426.426300250881</v>
          </cell>
          <cell r="I95">
            <v>33132.869495675201</v>
          </cell>
          <cell r="J95">
            <v>29520.308703757211</v>
          </cell>
          <cell r="K95">
            <v>25839.432924201334</v>
          </cell>
          <cell r="L95">
            <v>9923.2748890136863</v>
          </cell>
          <cell r="M95">
            <v>19015.950691987382</v>
          </cell>
          <cell r="N95">
            <v>12555.738532127463</v>
          </cell>
          <cell r="O95">
            <v>22750.085148372396</v>
          </cell>
          <cell r="P95">
            <v>18930.604212764592</v>
          </cell>
          <cell r="Q95">
            <v>24867.611921492411</v>
          </cell>
          <cell r="R95">
            <v>12144.697440710108</v>
          </cell>
        </row>
        <row r="96">
          <cell r="G96">
            <v>77272.378858401687</v>
          </cell>
          <cell r="H96">
            <v>94802.211710105665</v>
          </cell>
          <cell r="I96">
            <v>192215.96022682157</v>
          </cell>
          <cell r="J96">
            <v>188454.00826137763</v>
          </cell>
          <cell r="K96">
            <v>113282.14716702737</v>
          </cell>
          <cell r="L96">
            <v>73723.059124070453</v>
          </cell>
          <cell r="M96">
            <v>93526.891171745359</v>
          </cell>
          <cell r="N96">
            <v>69804.514819608041</v>
          </cell>
          <cell r="O96">
            <v>105892.09610670389</v>
          </cell>
          <cell r="P96">
            <v>90999.332030918347</v>
          </cell>
          <cell r="Q96">
            <v>119825.22226702841</v>
          </cell>
          <cell r="R96">
            <v>89388.835481693575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-15804.950864942854</v>
          </cell>
          <cell r="H101">
            <v>-14695.409785535077</v>
          </cell>
          <cell r="I101">
            <v>-6333.6646459462791</v>
          </cell>
          <cell r="J101">
            <v>-10696.87825392239</v>
          </cell>
          <cell r="K101">
            <v>-13851.914636398855</v>
          </cell>
          <cell r="L101">
            <v>-22911.946507847359</v>
          </cell>
          <cell r="M101">
            <v>-16417.178077151875</v>
          </cell>
          <cell r="N101">
            <v>-21031.615334194663</v>
          </cell>
          <cell r="O101">
            <v>-13749.939179733999</v>
          </cell>
          <cell r="P101">
            <v>-16478.13984802529</v>
          </cell>
          <cell r="Q101">
            <v>-12237.420056076844</v>
          </cell>
          <cell r="R101">
            <v>-21325.216113778486</v>
          </cell>
        </row>
        <row r="102">
          <cell r="G102">
            <v>-15804.950864942854</v>
          </cell>
          <cell r="H102">
            <v>-14695.409785535077</v>
          </cell>
          <cell r="I102">
            <v>-6333.6646459462791</v>
          </cell>
          <cell r="J102">
            <v>-10696.87825392239</v>
          </cell>
          <cell r="K102">
            <v>-13851.914636398855</v>
          </cell>
          <cell r="L102">
            <v>-22911.946507847359</v>
          </cell>
          <cell r="M102">
            <v>-16417.178077151875</v>
          </cell>
          <cell r="N102">
            <v>-21031.615334194663</v>
          </cell>
          <cell r="O102">
            <v>-13749.939179733999</v>
          </cell>
          <cell r="P102">
            <v>-16478.13984802529</v>
          </cell>
          <cell r="Q102">
            <v>-12237.420056076844</v>
          </cell>
          <cell r="R102">
            <v>-21325.216113778486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85378.306900631593</v>
          </cell>
          <cell r="H109">
            <v>115685.95869411173</v>
          </cell>
          <cell r="I109">
            <v>246234.79786945326</v>
          </cell>
          <cell r="J109">
            <v>238867.1982932523</v>
          </cell>
          <cell r="K109">
            <v>138202.22989499095</v>
          </cell>
          <cell r="L109">
            <v>81935.063785003571</v>
          </cell>
          <cell r="M109">
            <v>110493.39919643929</v>
          </cell>
          <cell r="N109">
            <v>76631.154009352409</v>
          </cell>
          <cell r="O109">
            <v>128320.47749395104</v>
          </cell>
          <cell r="P109">
            <v>104599.37157518098</v>
          </cell>
          <cell r="Q109">
            <v>148112.13125124777</v>
          </cell>
          <cell r="R109">
            <v>102849.5642161071</v>
          </cell>
        </row>
        <row r="110">
          <cell r="G110">
            <v>-1219.8034597714359</v>
          </cell>
          <cell r="H110">
            <v>3218.3608578596832</v>
          </cell>
          <cell r="I110">
            <v>40365.142628647096</v>
          </cell>
          <cell r="J110">
            <v>26712.486984310439</v>
          </cell>
          <cell r="K110">
            <v>14570.710355905074</v>
          </cell>
          <cell r="L110">
            <v>-41100.927190021554</v>
          </cell>
          <cell r="M110">
            <v>-4452.1479240378612</v>
          </cell>
          <cell r="N110">
            <v>-23832.784403617596</v>
          </cell>
          <cell r="O110">
            <v>6750.2554451171964</v>
          </cell>
          <cell r="P110">
            <v>-7095.0712705213882</v>
          </cell>
          <cell r="Q110">
            <v>13260.383730831141</v>
          </cell>
          <cell r="R110">
            <v>-28532.452567361848</v>
          </cell>
        </row>
        <row r="111">
          <cell r="G111">
            <v>84158.503440860164</v>
          </cell>
          <cell r="H111">
            <v>118904.31955197142</v>
          </cell>
          <cell r="I111">
            <v>286599.94049810036</v>
          </cell>
          <cell r="J111">
            <v>265579.6852775627</v>
          </cell>
          <cell r="K111">
            <v>152772.94025089603</v>
          </cell>
          <cell r="L111">
            <v>40834.136594982017</v>
          </cell>
          <cell r="M111">
            <v>106041.25127240142</v>
          </cell>
          <cell r="N111">
            <v>52798.369605734813</v>
          </cell>
          <cell r="O111">
            <v>135070.73293906823</v>
          </cell>
          <cell r="P111">
            <v>97504.300304659584</v>
          </cell>
          <cell r="Q111">
            <v>161372.51498207892</v>
          </cell>
          <cell r="R111">
            <v>74317.111648745253</v>
          </cell>
        </row>
        <row r="112">
          <cell r="G112">
            <v>15306.615161365504</v>
          </cell>
          <cell r="H112">
            <v>20523.554581222968</v>
          </cell>
          <cell r="I112">
            <v>34835.288137607844</v>
          </cell>
          <cell r="J112">
            <v>26756.018990732387</v>
          </cell>
          <cell r="K112">
            <v>15988.587058639101</v>
          </cell>
          <cell r="L112">
            <v>18151.026098844119</v>
          </cell>
          <cell r="M112">
            <v>15040.416403331348</v>
          </cell>
          <cell r="N112">
            <v>15855.365099737362</v>
          </cell>
          <cell r="O112">
            <v>17134.695253099886</v>
          </cell>
          <cell r="P112">
            <v>15875.48421860517</v>
          </cell>
          <cell r="Q112">
            <v>16346.837320651051</v>
          </cell>
          <cell r="R112">
            <v>15924.438162624447</v>
          </cell>
        </row>
        <row r="113">
          <cell r="G113">
            <v>68851.888279494655</v>
          </cell>
          <cell r="H113">
            <v>98380.764970748452</v>
          </cell>
          <cell r="I113">
            <v>251764.6523604925</v>
          </cell>
          <cell r="J113">
            <v>238823.66628683032</v>
          </cell>
          <cell r="K113">
            <v>136784.35319225694</v>
          </cell>
          <cell r="L113">
            <v>22683.110496137899</v>
          </cell>
          <cell r="M113">
            <v>91000.83486907008</v>
          </cell>
          <cell r="N113">
            <v>36943.004505997451</v>
          </cell>
          <cell r="O113">
            <v>117936.03768596835</v>
          </cell>
          <cell r="P113">
            <v>81628.816086054416</v>
          </cell>
          <cell r="Q113">
            <v>145025.67766142788</v>
          </cell>
          <cell r="R113">
            <v>58392.67348612081</v>
          </cell>
        </row>
        <row r="115">
          <cell r="G115">
            <v>11834.705</v>
          </cell>
          <cell r="H115">
            <v>23534.010555555556</v>
          </cell>
          <cell r="I115">
            <v>23534.010555555556</v>
          </cell>
          <cell r="J115">
            <v>23534.010555555556</v>
          </cell>
          <cell r="K115">
            <v>23534.010555555556</v>
          </cell>
          <cell r="L115">
            <v>23534.010555555556</v>
          </cell>
          <cell r="M115">
            <v>23534.010555555556</v>
          </cell>
          <cell r="N115">
            <v>23534.010555555556</v>
          </cell>
          <cell r="O115">
            <v>23534.010555555556</v>
          </cell>
          <cell r="P115">
            <v>23534.010555555556</v>
          </cell>
          <cell r="Q115">
            <v>23534.010555555556</v>
          </cell>
          <cell r="R115">
            <v>23534.010555555556</v>
          </cell>
        </row>
        <row r="116">
          <cell r="G116">
            <v>80686.593279494657</v>
          </cell>
          <cell r="H116">
            <v>121914.775526304</v>
          </cell>
          <cell r="I116">
            <v>275298.66291604808</v>
          </cell>
          <cell r="J116">
            <v>262357.6768423859</v>
          </cell>
          <cell r="K116">
            <v>160318.36374781249</v>
          </cell>
          <cell r="L116">
            <v>46217.121051693452</v>
          </cell>
          <cell r="M116">
            <v>114534.84542462564</v>
          </cell>
          <cell r="N116">
            <v>60477.015061553007</v>
          </cell>
          <cell r="O116">
            <v>141470.04824152391</v>
          </cell>
          <cell r="P116">
            <v>105162.82664160998</v>
          </cell>
          <cell r="Q116">
            <v>168559.68821698343</v>
          </cell>
          <cell r="R116">
            <v>81926.684041676373</v>
          </cell>
        </row>
        <row r="119">
          <cell r="G119">
            <v>19246.896705999316</v>
          </cell>
          <cell r="H119">
            <v>37440.686177854819</v>
          </cell>
          <cell r="I119">
            <v>89338.679537601623</v>
          </cell>
          <cell r="J119">
            <v>85530.032679488766</v>
          </cell>
          <cell r="K119">
            <v>39612.95761632931</v>
          </cell>
          <cell r="L119">
            <v>6547.6634356579607</v>
          </cell>
          <cell r="M119">
            <v>28295.161301706747</v>
          </cell>
          <cell r="N119">
            <v>10794.533119246813</v>
          </cell>
          <cell r="O119">
            <v>37422.322653194948</v>
          </cell>
          <cell r="P119">
            <v>23930.120613699248</v>
          </cell>
          <cell r="Q119">
            <v>45447.454692970954</v>
          </cell>
          <cell r="R119">
            <v>18613.952087039324</v>
          </cell>
        </row>
        <row r="120">
          <cell r="G120">
            <v>12013.325319063246</v>
          </cell>
          <cell r="H120">
            <v>13620.968377087813</v>
          </cell>
          <cell r="I120">
            <v>33822.857746442707</v>
          </cell>
          <cell r="J120">
            <v>30561.168908409261</v>
          </cell>
          <cell r="K120">
            <v>29860.144097584962</v>
          </cell>
          <cell r="L120">
            <v>5121.3961248587566</v>
          </cell>
          <cell r="M120">
            <v>14952.166098883539</v>
          </cell>
          <cell r="N120">
            <v>6588.0509304799398</v>
          </cell>
          <cell r="O120">
            <v>18797.86762616007</v>
          </cell>
          <cell r="P120">
            <v>17069.688936658222</v>
          </cell>
          <cell r="Q120">
            <v>27533.802906047636</v>
          </cell>
          <cell r="R120">
            <v>10256.724585483706</v>
          </cell>
        </row>
        <row r="121">
          <cell r="G121">
            <v>18004.722799437681</v>
          </cell>
          <cell r="H121">
            <v>25111.009800988722</v>
          </cell>
          <cell r="I121">
            <v>88496.95964588369</v>
          </cell>
          <cell r="J121">
            <v>84319.61207887638</v>
          </cell>
          <cell r="K121">
            <v>36729.847861492366</v>
          </cell>
          <cell r="L121">
            <v>6065.8421193325285</v>
          </cell>
          <cell r="M121">
            <v>26083.701528068861</v>
          </cell>
          <cell r="N121">
            <v>10012.520557024409</v>
          </cell>
          <cell r="O121">
            <v>34472.560991888589</v>
          </cell>
          <cell r="P121">
            <v>22074.996821938003</v>
          </cell>
          <cell r="Q121">
            <v>42116.373425400998</v>
          </cell>
          <cell r="R121">
            <v>17319.938791116645</v>
          </cell>
        </row>
        <row r="122">
          <cell r="G122">
            <v>13710.860418496093</v>
          </cell>
          <cell r="H122">
            <v>15545.67043037196</v>
          </cell>
          <cell r="I122">
            <v>28074.308801395135</v>
          </cell>
          <cell r="J122">
            <v>25366.978145319936</v>
          </cell>
          <cell r="K122">
            <v>20195.266539429442</v>
          </cell>
          <cell r="L122">
            <v>3463.7461714020574</v>
          </cell>
          <cell r="M122">
            <v>15168.86415828765</v>
          </cell>
          <cell r="N122">
            <v>6683.5299294724036</v>
          </cell>
          <cell r="O122">
            <v>19070.30049030732</v>
          </cell>
          <cell r="P122">
            <v>12987.806799631255</v>
          </cell>
          <cell r="Q122">
            <v>20949.632645905807</v>
          </cell>
          <cell r="R122">
            <v>8541.4406157367921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5876.0830364983258</v>
          </cell>
          <cell r="H124">
            <v>6662.4301844451256</v>
          </cell>
          <cell r="I124">
            <v>12031.846629169344</v>
          </cell>
          <cell r="J124">
            <v>13045.874474735969</v>
          </cell>
          <cell r="K124">
            <v>10386.137077420855</v>
          </cell>
          <cell r="L124">
            <v>1484.4626448865961</v>
          </cell>
          <cell r="M124">
            <v>6500.9417821232782</v>
          </cell>
          <cell r="N124">
            <v>2864.3699697738871</v>
          </cell>
          <cell r="O124">
            <v>8172.9859244174222</v>
          </cell>
          <cell r="P124">
            <v>5566.2029141276807</v>
          </cell>
          <cell r="Q124">
            <v>8978.4139911024886</v>
          </cell>
          <cell r="R124">
            <v>3660.6174067443394</v>
          </cell>
        </row>
        <row r="126">
          <cell r="G126">
            <v>0.27954057887082512</v>
          </cell>
          <cell r="H126">
            <v>0.38056917110765565</v>
          </cell>
          <cell r="I126">
            <v>0.35484997079606262</v>
          </cell>
          <cell r="J126">
            <v>0.35813047345469562</v>
          </cell>
          <cell r="K126">
            <v>0.28960152745432372</v>
          </cell>
          <cell r="L126">
            <v>0.28865809372893492</v>
          </cell>
          <cell r="M126">
            <v>0.31093298586125256</v>
          </cell>
          <cell r="N126">
            <v>0.29219423984571674</v>
          </cell>
          <cell r="O126">
            <v>0.31731032674542142</v>
          </cell>
          <cell r="P126">
            <v>0.29315775679597911</v>
          </cell>
          <cell r="Q126">
            <v>0.31337522724128253</v>
          </cell>
          <cell r="R126">
            <v>0.3187720475148928</v>
          </cell>
        </row>
        <row r="127">
          <cell r="G127">
            <v>0.1744806949999225</v>
          </cell>
          <cell r="H127">
            <v>0.13845153959859668</v>
          </cell>
          <cell r="I127">
            <v>0.13434315512255871</v>
          </cell>
          <cell r="J127">
            <v>0.12796541223726504</v>
          </cell>
          <cell r="K127">
            <v>0.21830087579984461</v>
          </cell>
          <cell r="L127">
            <v>0.22578015152422515</v>
          </cell>
          <cell r="M127">
            <v>0.16430801014514179</v>
          </cell>
          <cell r="N127">
            <v>0.17833013363627243</v>
          </cell>
          <cell r="O127">
            <v>0.15939036103802037</v>
          </cell>
          <cell r="P127">
            <v>0.20911351842544279</v>
          </cell>
          <cell r="Q127">
            <v>0.18985467504814654</v>
          </cell>
          <cell r="R127">
            <v>0.17565088174840288</v>
          </cell>
        </row>
        <row r="128">
          <cell r="G128">
            <v>0.26149933210763976</v>
          </cell>
          <cell r="H128">
            <v>0.2552430834264704</v>
          </cell>
          <cell r="I128">
            <v>0.35150669014158575</v>
          </cell>
          <cell r="J128">
            <v>0.35306221276080502</v>
          </cell>
          <cell r="K128">
            <v>0.26852375293149805</v>
          </cell>
          <cell r="L128">
            <v>0.26741668081039055</v>
          </cell>
          <cell r="M128">
            <v>0.28663145305861748</v>
          </cell>
          <cell r="N128">
            <v>0.27102615747993486</v>
          </cell>
          <cell r="O128">
            <v>0.29229878897305045</v>
          </cell>
          <cell r="P128">
            <v>0.27043142214222715</v>
          </cell>
          <cell r="Q128">
            <v>0.29040632048432474</v>
          </cell>
          <cell r="R128">
            <v>0.29661150546966092</v>
          </cell>
        </row>
        <row r="129">
          <cell r="G129">
            <v>0.19913557581512892</v>
          </cell>
          <cell r="H129">
            <v>0.15801534410709403</v>
          </cell>
          <cell r="I129">
            <v>0.11151012875785506</v>
          </cell>
          <cell r="J129">
            <v>0.10621635007836228</v>
          </cell>
          <cell r="K129">
            <v>0.147643104405692</v>
          </cell>
          <cell r="L129">
            <v>0.15270155175551459</v>
          </cell>
          <cell r="M129">
            <v>0.16668928565449168</v>
          </cell>
          <cell r="N129">
            <v>0.1809146283266532</v>
          </cell>
          <cell r="O129">
            <v>0.16170036627045545</v>
          </cell>
          <cell r="P129">
            <v>0.1591081118454456</v>
          </cell>
          <cell r="Q129">
            <v>0.14445464405837236</v>
          </cell>
          <cell r="R129">
            <v>0.14627589568693036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8.5343818206483818E-2</v>
          </cell>
          <cell r="H131">
            <v>6.772086176018316E-2</v>
          </cell>
          <cell r="I131">
            <v>4.7790055181937879E-2</v>
          </cell>
          <cell r="J131">
            <v>5.4625551468872033E-2</v>
          </cell>
          <cell r="K131">
            <v>7.5930739408641604E-2</v>
          </cell>
          <cell r="L131">
            <v>6.5443522180934827E-2</v>
          </cell>
          <cell r="M131">
            <v>7.1438265280496432E-2</v>
          </cell>
          <cell r="N131">
            <v>7.7534840711422803E-2</v>
          </cell>
          <cell r="O131">
            <v>6.9300156973052335E-2</v>
          </cell>
          <cell r="P131">
            <v>6.8189190790905255E-2</v>
          </cell>
          <cell r="Q131">
            <v>6.1909133167873866E-2</v>
          </cell>
          <cell r="R131">
            <v>6.2689669580113017E-2</v>
          </cell>
        </row>
        <row r="132">
          <cell r="G132">
            <v>1.0000000000000002</v>
          </cell>
          <cell r="H132">
            <v>1</v>
          </cell>
          <cell r="I132">
            <v>1</v>
          </cell>
          <cell r="J132">
            <v>1</v>
          </cell>
          <cell r="K132">
            <v>1.0000000000000002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0.99999999999999989</v>
          </cell>
          <cell r="Q132">
            <v>1.0000000000000002</v>
          </cell>
          <cell r="R132">
            <v>0.99999999999999989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5598.666666666667</v>
          </cell>
          <cell r="I6">
            <v>11160.626399999999</v>
          </cell>
          <cell r="J6">
            <v>11160.626399999999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8199.8666666666668</v>
          </cell>
          <cell r="H7">
            <v>10419</v>
          </cell>
          <cell r="I7">
            <v>10944.466666666667</v>
          </cell>
          <cell r="J7">
            <v>11988.466666666667</v>
          </cell>
          <cell r="K7">
            <v>11453.2</v>
          </cell>
          <cell r="L7">
            <v>10950.533333333333</v>
          </cell>
          <cell r="M7">
            <v>10950.533333333333</v>
          </cell>
          <cell r="N7">
            <v>9308.2666666666664</v>
          </cell>
          <cell r="O7">
            <v>11522.866666666667</v>
          </cell>
          <cell r="P7">
            <v>10429.533333333333</v>
          </cell>
          <cell r="Q7">
            <v>12539.266666666666</v>
          </cell>
          <cell r="R7">
            <v>12604.133333333333</v>
          </cell>
        </row>
        <row r="8">
          <cell r="G8">
            <v>1232</v>
          </cell>
          <cell r="H8">
            <v>1232</v>
          </cell>
          <cell r="I8">
            <v>1334.6666666666667</v>
          </cell>
          <cell r="J8">
            <v>1540</v>
          </cell>
          <cell r="K8">
            <v>1540</v>
          </cell>
          <cell r="L8">
            <v>1540</v>
          </cell>
          <cell r="M8">
            <v>1334.6666666666667</v>
          </cell>
          <cell r="N8">
            <v>1334.6666666666667</v>
          </cell>
          <cell r="O8">
            <v>1437.3333333333333</v>
          </cell>
          <cell r="P8">
            <v>1642.6666666666667</v>
          </cell>
          <cell r="Q8">
            <v>1642.6666666666667</v>
          </cell>
          <cell r="R8">
            <v>1642.6666666666667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387.8</v>
          </cell>
          <cell r="H11">
            <v>387.8</v>
          </cell>
          <cell r="I11">
            <v>616.73333333333323</v>
          </cell>
          <cell r="J11">
            <v>730.6</v>
          </cell>
          <cell r="K11">
            <v>730.6</v>
          </cell>
          <cell r="L11">
            <v>787.73333333333335</v>
          </cell>
          <cell r="M11">
            <v>730.6</v>
          </cell>
          <cell r="N11">
            <v>730.6</v>
          </cell>
          <cell r="O11">
            <v>730.6</v>
          </cell>
          <cell r="P11">
            <v>1016.4</v>
          </cell>
          <cell r="Q11">
            <v>1072.8666666666666</v>
          </cell>
          <cell r="R11">
            <v>1072.8666666666666</v>
          </cell>
        </row>
        <row r="12">
          <cell r="G12">
            <v>8000</v>
          </cell>
          <cell r="H12">
            <v>8000</v>
          </cell>
          <cell r="I12">
            <v>11000</v>
          </cell>
          <cell r="J12">
            <v>11000</v>
          </cell>
          <cell r="K12">
            <v>13500</v>
          </cell>
          <cell r="L12">
            <v>13500</v>
          </cell>
          <cell r="M12">
            <v>9000</v>
          </cell>
          <cell r="N12">
            <v>9000</v>
          </cell>
          <cell r="O12">
            <v>9000</v>
          </cell>
          <cell r="P12">
            <v>12000</v>
          </cell>
          <cell r="Q12">
            <v>12000</v>
          </cell>
          <cell r="R12">
            <v>10964</v>
          </cell>
        </row>
        <row r="13">
          <cell r="G13">
            <v>17819.666666666664</v>
          </cell>
          <cell r="H13">
            <v>25637.466666666667</v>
          </cell>
          <cell r="I13">
            <v>35056.49306666667</v>
          </cell>
          <cell r="J13">
            <v>36419.693066666667</v>
          </cell>
          <cell r="K13">
            <v>27223.800000000003</v>
          </cell>
          <cell r="L13">
            <v>26778.266666666666</v>
          </cell>
          <cell r="M13">
            <v>22015.8</v>
          </cell>
          <cell r="N13">
            <v>20373.533333333333</v>
          </cell>
          <cell r="O13">
            <v>22690.800000000003</v>
          </cell>
          <cell r="P13">
            <v>25088.6</v>
          </cell>
          <cell r="Q13">
            <v>27254.799999999999</v>
          </cell>
          <cell r="R13">
            <v>26283.666666666664</v>
          </cell>
        </row>
        <row r="14">
          <cell r="G14">
            <v>0</v>
          </cell>
          <cell r="H14">
            <v>0</v>
          </cell>
          <cell r="I14">
            <v>8108.6147999999994</v>
          </cell>
          <cell r="J14">
            <v>8108.1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5332</v>
          </cell>
          <cell r="H15">
            <v>6774</v>
          </cell>
          <cell r="I15">
            <v>7136</v>
          </cell>
          <cell r="J15">
            <v>7782</v>
          </cell>
          <cell r="K15">
            <v>7416</v>
          </cell>
          <cell r="L15">
            <v>7071</v>
          </cell>
          <cell r="M15">
            <v>7071</v>
          </cell>
          <cell r="N15">
            <v>6014</v>
          </cell>
          <cell r="O15">
            <v>7427</v>
          </cell>
          <cell r="P15">
            <v>6669</v>
          </cell>
          <cell r="Q15">
            <v>8129</v>
          </cell>
          <cell r="R15">
            <v>8212</v>
          </cell>
        </row>
        <row r="16">
          <cell r="G16">
            <v>1064</v>
          </cell>
          <cell r="H16">
            <v>1064</v>
          </cell>
          <cell r="I16">
            <v>1152.6666666666667</v>
          </cell>
          <cell r="J16">
            <v>1330</v>
          </cell>
          <cell r="K16">
            <v>1330</v>
          </cell>
          <cell r="L16">
            <v>1330</v>
          </cell>
          <cell r="M16">
            <v>1152.6666666666667</v>
          </cell>
          <cell r="N16">
            <v>1152.6666666666667</v>
          </cell>
          <cell r="O16">
            <v>1241.3333333333333</v>
          </cell>
          <cell r="P16">
            <v>1418.6666666666667</v>
          </cell>
          <cell r="Q16">
            <v>1418.6666666666667</v>
          </cell>
          <cell r="R16">
            <v>1418.6666666666667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222.19354838709677</v>
          </cell>
          <cell r="H19">
            <v>222.19354838709677</v>
          </cell>
          <cell r="I19">
            <v>346.32258064516128</v>
          </cell>
          <cell r="J19">
            <v>408.45161290322579</v>
          </cell>
          <cell r="K19">
            <v>408.45161290322579</v>
          </cell>
          <cell r="L19">
            <v>439.87096774193549</v>
          </cell>
          <cell r="M19">
            <v>409.29032258064518</v>
          </cell>
          <cell r="N19">
            <v>409.29032258064518</v>
          </cell>
          <cell r="O19">
            <v>409.29032258064518</v>
          </cell>
          <cell r="P19">
            <v>565.54838709677415</v>
          </cell>
          <cell r="Q19">
            <v>596.9677419354839</v>
          </cell>
          <cell r="R19">
            <v>596.9677419354839</v>
          </cell>
        </row>
        <row r="20">
          <cell r="G20">
            <v>7000</v>
          </cell>
          <cell r="H20">
            <v>7000</v>
          </cell>
          <cell r="I20">
            <v>7000</v>
          </cell>
          <cell r="J20">
            <v>7000</v>
          </cell>
          <cell r="K20">
            <v>7000</v>
          </cell>
          <cell r="L20">
            <v>7000</v>
          </cell>
          <cell r="M20">
            <v>7000</v>
          </cell>
          <cell r="N20">
            <v>7000</v>
          </cell>
          <cell r="O20">
            <v>7000</v>
          </cell>
          <cell r="P20">
            <v>7000</v>
          </cell>
          <cell r="Q20">
            <v>7000</v>
          </cell>
          <cell r="R20">
            <v>7000</v>
          </cell>
        </row>
        <row r="21">
          <cell r="G21">
            <v>13618.193548387097</v>
          </cell>
          <cell r="H21">
            <v>15060.193548387097</v>
          </cell>
          <cell r="I21">
            <v>23743.60404731183</v>
          </cell>
          <cell r="J21">
            <v>24628.551612903226</v>
          </cell>
          <cell r="K21">
            <v>16154.451612903225</v>
          </cell>
          <cell r="L21">
            <v>15840.870967741936</v>
          </cell>
          <cell r="M21">
            <v>15632.956989247312</v>
          </cell>
          <cell r="N21">
            <v>14575.956989247312</v>
          </cell>
          <cell r="O21">
            <v>16077.62365591398</v>
          </cell>
          <cell r="P21">
            <v>15653.215053763441</v>
          </cell>
          <cell r="Q21">
            <v>17144.634408602149</v>
          </cell>
          <cell r="R21">
            <v>17227.634408602149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5000</v>
          </cell>
          <cell r="H36">
            <v>5000</v>
          </cell>
          <cell r="I36">
            <v>5000</v>
          </cell>
          <cell r="J36">
            <v>6000</v>
          </cell>
          <cell r="K36">
            <v>6000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</row>
        <row r="37">
          <cell r="G37">
            <v>5000</v>
          </cell>
          <cell r="H37">
            <v>5000</v>
          </cell>
          <cell r="I37">
            <v>5000</v>
          </cell>
          <cell r="J37">
            <v>6000</v>
          </cell>
          <cell r="K37">
            <v>6000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5598.666666666667</v>
          </cell>
          <cell r="I54">
            <v>19269.241199999997</v>
          </cell>
          <cell r="J54">
            <v>19268.7264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13531.866666666667</v>
          </cell>
          <cell r="H55">
            <v>17193</v>
          </cell>
          <cell r="I55">
            <v>18080.466666666667</v>
          </cell>
          <cell r="J55">
            <v>19770.466666666667</v>
          </cell>
          <cell r="K55">
            <v>18869.2</v>
          </cell>
          <cell r="L55">
            <v>18021.533333333333</v>
          </cell>
          <cell r="M55">
            <v>18021.533333333333</v>
          </cell>
          <cell r="N55">
            <v>15322.266666666666</v>
          </cell>
          <cell r="O55">
            <v>18949.866666666669</v>
          </cell>
          <cell r="P55">
            <v>17098.533333333333</v>
          </cell>
          <cell r="Q55">
            <v>20668.266666666666</v>
          </cell>
          <cell r="R55">
            <v>20816.133333333331</v>
          </cell>
        </row>
        <row r="56">
          <cell r="G56">
            <v>2296</v>
          </cell>
          <cell r="H56">
            <v>2296</v>
          </cell>
          <cell r="I56">
            <v>2487.3333333333335</v>
          </cell>
          <cell r="J56">
            <v>2870</v>
          </cell>
          <cell r="K56">
            <v>2870</v>
          </cell>
          <cell r="L56">
            <v>2870</v>
          </cell>
          <cell r="M56">
            <v>2487.3333333333335</v>
          </cell>
          <cell r="N56">
            <v>2487.3333333333335</v>
          </cell>
          <cell r="O56">
            <v>2678.6666666666665</v>
          </cell>
          <cell r="P56">
            <v>3061.3333333333335</v>
          </cell>
          <cell r="Q56">
            <v>3061.3333333333335</v>
          </cell>
          <cell r="R56">
            <v>3061.3333333333335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609.99354838709678</v>
          </cell>
          <cell r="H59">
            <v>609.99354838709678</v>
          </cell>
          <cell r="I59">
            <v>963.05591397849457</v>
          </cell>
          <cell r="J59">
            <v>1139.0516129032258</v>
          </cell>
          <cell r="K59">
            <v>1139.0516129032258</v>
          </cell>
          <cell r="L59">
            <v>1227.6043010752687</v>
          </cell>
          <cell r="M59">
            <v>1139.8903225806453</v>
          </cell>
          <cell r="N59">
            <v>1139.8903225806453</v>
          </cell>
          <cell r="O59">
            <v>1139.8903225806453</v>
          </cell>
          <cell r="P59">
            <v>1581.9483870967742</v>
          </cell>
          <cell r="Q59">
            <v>1669.8344086021505</v>
          </cell>
          <cell r="R59">
            <v>1669.8344086021505</v>
          </cell>
        </row>
        <row r="60">
          <cell r="G60">
            <v>20000</v>
          </cell>
          <cell r="H60">
            <v>20000</v>
          </cell>
          <cell r="I60">
            <v>23000</v>
          </cell>
          <cell r="J60">
            <v>24000</v>
          </cell>
          <cell r="K60">
            <v>26500</v>
          </cell>
          <cell r="L60">
            <v>25500</v>
          </cell>
          <cell r="M60">
            <v>21000</v>
          </cell>
          <cell r="N60">
            <v>21000</v>
          </cell>
          <cell r="O60">
            <v>21000</v>
          </cell>
          <cell r="P60">
            <v>24000</v>
          </cell>
          <cell r="Q60">
            <v>24000</v>
          </cell>
          <cell r="R60">
            <v>22964</v>
          </cell>
        </row>
        <row r="61">
          <cell r="G61">
            <v>36437.860215053763</v>
          </cell>
          <cell r="H61">
            <v>45697.660215053766</v>
          </cell>
          <cell r="I61">
            <v>63800.097113978496</v>
          </cell>
          <cell r="J61">
            <v>67048.244679569892</v>
          </cell>
          <cell r="K61">
            <v>49378.25161290323</v>
          </cell>
          <cell r="L61">
            <v>47619.137634408602</v>
          </cell>
          <cell r="M61">
            <v>42648.756989247311</v>
          </cell>
          <cell r="N61">
            <v>39949.490322580648</v>
          </cell>
          <cell r="O61">
            <v>43768.423655913983</v>
          </cell>
          <cell r="P61">
            <v>45741.815053763436</v>
          </cell>
          <cell r="Q61">
            <v>49399.434408602145</v>
          </cell>
          <cell r="R61">
            <v>48511.301075268813</v>
          </cell>
        </row>
        <row r="63">
          <cell r="G63">
            <v>9819.6666666666661</v>
          </cell>
          <cell r="H63">
            <v>17637.466666666667</v>
          </cell>
          <cell r="I63">
            <v>24056.49306666667</v>
          </cell>
          <cell r="J63">
            <v>25419.693066666667</v>
          </cell>
          <cell r="K63">
            <v>13723.800000000001</v>
          </cell>
          <cell r="L63">
            <v>13278.266666666666</v>
          </cell>
          <cell r="M63">
            <v>13015.8</v>
          </cell>
          <cell r="N63">
            <v>11373.533333333333</v>
          </cell>
          <cell r="O63">
            <v>13690.800000000001</v>
          </cell>
          <cell r="P63">
            <v>13088.599999999999</v>
          </cell>
          <cell r="Q63">
            <v>15254.8</v>
          </cell>
          <cell r="R63">
            <v>15319.666666666666</v>
          </cell>
        </row>
        <row r="64">
          <cell r="G64">
            <v>8000</v>
          </cell>
          <cell r="H64">
            <v>8000</v>
          </cell>
          <cell r="I64">
            <v>11000</v>
          </cell>
          <cell r="J64">
            <v>11000</v>
          </cell>
          <cell r="K64">
            <v>13500</v>
          </cell>
          <cell r="L64">
            <v>13500</v>
          </cell>
          <cell r="M64">
            <v>9000</v>
          </cell>
          <cell r="N64">
            <v>9000</v>
          </cell>
          <cell r="O64">
            <v>9000</v>
          </cell>
          <cell r="P64">
            <v>12000</v>
          </cell>
          <cell r="Q64">
            <v>12000</v>
          </cell>
          <cell r="R64">
            <v>10964</v>
          </cell>
        </row>
        <row r="65">
          <cell r="G65">
            <v>17819.666666666664</v>
          </cell>
          <cell r="H65">
            <v>25637.466666666667</v>
          </cell>
          <cell r="I65">
            <v>35056.49306666667</v>
          </cell>
          <cell r="J65">
            <v>36419.693066666667</v>
          </cell>
          <cell r="K65">
            <v>27223.800000000003</v>
          </cell>
          <cell r="L65">
            <v>26778.266666666666</v>
          </cell>
          <cell r="M65">
            <v>22015.8</v>
          </cell>
          <cell r="N65">
            <v>20373.533333333333</v>
          </cell>
          <cell r="O65">
            <v>22690.800000000003</v>
          </cell>
          <cell r="P65">
            <v>25088.6</v>
          </cell>
          <cell r="Q65">
            <v>27254.799999999999</v>
          </cell>
          <cell r="R65">
            <v>26283.666666666664</v>
          </cell>
        </row>
        <row r="66">
          <cell r="G66">
            <v>6618.1935483870966</v>
          </cell>
          <cell r="H66">
            <v>8060.1935483870966</v>
          </cell>
          <cell r="I66">
            <v>16743.60404731183</v>
          </cell>
          <cell r="J66">
            <v>17628.551612903226</v>
          </cell>
          <cell r="K66">
            <v>9154.4516129032254</v>
          </cell>
          <cell r="L66">
            <v>8840.8709677419356</v>
          </cell>
          <cell r="M66">
            <v>8632.9569892473119</v>
          </cell>
          <cell r="N66">
            <v>7575.9569892473119</v>
          </cell>
          <cell r="O66">
            <v>9077.6236559139797</v>
          </cell>
          <cell r="P66">
            <v>8653.2150537634407</v>
          </cell>
          <cell r="Q66">
            <v>10144.634408602149</v>
          </cell>
          <cell r="R66">
            <v>10227.634408602149</v>
          </cell>
        </row>
        <row r="67">
          <cell r="G67">
            <v>7000</v>
          </cell>
          <cell r="H67">
            <v>7000</v>
          </cell>
          <cell r="I67">
            <v>7000</v>
          </cell>
          <cell r="J67">
            <v>7000</v>
          </cell>
          <cell r="K67">
            <v>7000</v>
          </cell>
          <cell r="L67">
            <v>7000</v>
          </cell>
          <cell r="M67">
            <v>7000</v>
          </cell>
          <cell r="N67">
            <v>7000</v>
          </cell>
          <cell r="O67">
            <v>7000</v>
          </cell>
          <cell r="P67">
            <v>7000</v>
          </cell>
          <cell r="Q67">
            <v>7000</v>
          </cell>
          <cell r="R67">
            <v>7000</v>
          </cell>
        </row>
        <row r="68">
          <cell r="G68">
            <v>13618.193548387097</v>
          </cell>
          <cell r="H68">
            <v>15060.193548387097</v>
          </cell>
          <cell r="I68">
            <v>23743.60404731183</v>
          </cell>
          <cell r="J68">
            <v>24628.551612903226</v>
          </cell>
          <cell r="K68">
            <v>16154.451612903225</v>
          </cell>
          <cell r="L68">
            <v>15840.870967741936</v>
          </cell>
          <cell r="M68">
            <v>15632.956989247312</v>
          </cell>
          <cell r="N68">
            <v>14575.956989247312</v>
          </cell>
          <cell r="O68">
            <v>16077.62365591398</v>
          </cell>
          <cell r="P68">
            <v>15653.215053763441</v>
          </cell>
          <cell r="Q68">
            <v>17144.634408602149</v>
          </cell>
          <cell r="R68">
            <v>17227.634408602149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5000</v>
          </cell>
          <cell r="H73">
            <v>5000</v>
          </cell>
          <cell r="I73">
            <v>5000</v>
          </cell>
          <cell r="J73">
            <v>6000</v>
          </cell>
          <cell r="K73">
            <v>6000</v>
          </cell>
          <cell r="L73">
            <v>5000</v>
          </cell>
          <cell r="M73">
            <v>5000</v>
          </cell>
          <cell r="N73">
            <v>5000</v>
          </cell>
          <cell r="O73">
            <v>5000</v>
          </cell>
          <cell r="P73">
            <v>5000</v>
          </cell>
          <cell r="Q73">
            <v>5000</v>
          </cell>
          <cell r="R73">
            <v>5000</v>
          </cell>
        </row>
        <row r="74">
          <cell r="G74">
            <v>5000</v>
          </cell>
          <cell r="H74">
            <v>5000</v>
          </cell>
          <cell r="I74">
            <v>5000</v>
          </cell>
          <cell r="J74">
            <v>6000</v>
          </cell>
          <cell r="K74">
            <v>6000</v>
          </cell>
          <cell r="L74">
            <v>5000</v>
          </cell>
          <cell r="M74">
            <v>5000</v>
          </cell>
          <cell r="N74">
            <v>5000</v>
          </cell>
          <cell r="O74">
            <v>5000</v>
          </cell>
          <cell r="P74">
            <v>5000</v>
          </cell>
          <cell r="Q74">
            <v>5000</v>
          </cell>
          <cell r="R74">
            <v>5000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16437.860215053763</v>
          </cell>
          <cell r="H81">
            <v>25697.660215053766</v>
          </cell>
          <cell r="I81">
            <v>40800.097113978496</v>
          </cell>
          <cell r="J81">
            <v>43048.244679569892</v>
          </cell>
          <cell r="K81">
            <v>22878.251612903226</v>
          </cell>
          <cell r="L81">
            <v>22119.137634408602</v>
          </cell>
          <cell r="M81">
            <v>21648.756989247311</v>
          </cell>
          <cell r="N81">
            <v>18949.490322580645</v>
          </cell>
          <cell r="O81">
            <v>22768.423655913983</v>
          </cell>
          <cell r="P81">
            <v>21741.815053763439</v>
          </cell>
          <cell r="Q81">
            <v>25399.434408602148</v>
          </cell>
          <cell r="R81">
            <v>25547.301075268813</v>
          </cell>
        </row>
        <row r="82">
          <cell r="G82">
            <v>20000</v>
          </cell>
          <cell r="H82">
            <v>20000</v>
          </cell>
          <cell r="I82">
            <v>23000</v>
          </cell>
          <cell r="J82">
            <v>24000</v>
          </cell>
          <cell r="K82">
            <v>26500</v>
          </cell>
          <cell r="L82">
            <v>25500</v>
          </cell>
          <cell r="M82">
            <v>21000</v>
          </cell>
          <cell r="N82">
            <v>21000</v>
          </cell>
          <cell r="O82">
            <v>21000</v>
          </cell>
          <cell r="P82">
            <v>24000</v>
          </cell>
          <cell r="Q82">
            <v>24000</v>
          </cell>
          <cell r="R82">
            <v>22964</v>
          </cell>
        </row>
        <row r="83">
          <cell r="G83">
            <v>36437.860215053763</v>
          </cell>
          <cell r="H83">
            <v>45697.660215053766</v>
          </cell>
          <cell r="I83">
            <v>63800.097113978496</v>
          </cell>
          <cell r="J83">
            <v>67048.244679569892</v>
          </cell>
          <cell r="K83">
            <v>49378.25161290323</v>
          </cell>
          <cell r="L83">
            <v>47619.137634408602</v>
          </cell>
          <cell r="M83">
            <v>42648.756989247311</v>
          </cell>
          <cell r="N83">
            <v>39949.490322580648</v>
          </cell>
          <cell r="O83">
            <v>43768.423655913983</v>
          </cell>
          <cell r="P83">
            <v>45741.815053763436</v>
          </cell>
          <cell r="Q83">
            <v>49399.434408602145</v>
          </cell>
          <cell r="R83">
            <v>48511.301075268813</v>
          </cell>
        </row>
      </sheetData>
      <sheetData sheetId="3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12500</v>
          </cell>
          <cell r="I6">
            <v>12500</v>
          </cell>
          <cell r="J6">
            <v>12500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16000</v>
          </cell>
          <cell r="H7">
            <v>16000</v>
          </cell>
          <cell r="I7">
            <v>16000</v>
          </cell>
          <cell r="J7">
            <v>16000</v>
          </cell>
          <cell r="K7">
            <v>16000</v>
          </cell>
          <cell r="L7">
            <v>16000</v>
          </cell>
          <cell r="M7">
            <v>16000</v>
          </cell>
          <cell r="N7">
            <v>16000</v>
          </cell>
          <cell r="O7">
            <v>16000</v>
          </cell>
          <cell r="P7">
            <v>16000</v>
          </cell>
          <cell r="Q7">
            <v>16000</v>
          </cell>
          <cell r="R7">
            <v>16000</v>
          </cell>
        </row>
        <row r="8">
          <cell r="G8">
            <v>10000</v>
          </cell>
          <cell r="H8">
            <v>10000</v>
          </cell>
          <cell r="I8">
            <v>10000</v>
          </cell>
          <cell r="J8">
            <v>10000</v>
          </cell>
          <cell r="K8">
            <v>10000</v>
          </cell>
          <cell r="L8">
            <v>10000</v>
          </cell>
          <cell r="M8">
            <v>10000</v>
          </cell>
          <cell r="N8">
            <v>10000</v>
          </cell>
          <cell r="O8">
            <v>10000</v>
          </cell>
          <cell r="P8">
            <v>10000</v>
          </cell>
          <cell r="Q8">
            <v>10000</v>
          </cell>
          <cell r="R8">
            <v>10000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10000</v>
          </cell>
          <cell r="H11">
            <v>10000</v>
          </cell>
          <cell r="I11">
            <v>10000</v>
          </cell>
          <cell r="J11">
            <v>10000</v>
          </cell>
          <cell r="K11">
            <v>10000</v>
          </cell>
          <cell r="L11">
            <v>10000</v>
          </cell>
          <cell r="M11">
            <v>10000</v>
          </cell>
          <cell r="N11">
            <v>10000</v>
          </cell>
          <cell r="O11">
            <v>10000</v>
          </cell>
          <cell r="P11">
            <v>10000</v>
          </cell>
          <cell r="Q11">
            <v>10000</v>
          </cell>
          <cell r="R11">
            <v>10000</v>
          </cell>
        </row>
        <row r="12">
          <cell r="G12">
            <v>11500</v>
          </cell>
          <cell r="H12">
            <v>11500</v>
          </cell>
          <cell r="I12">
            <v>11500</v>
          </cell>
          <cell r="J12">
            <v>11500</v>
          </cell>
          <cell r="K12">
            <v>11500</v>
          </cell>
          <cell r="L12">
            <v>11500</v>
          </cell>
          <cell r="M12">
            <v>11500</v>
          </cell>
          <cell r="N12">
            <v>11500</v>
          </cell>
          <cell r="O12">
            <v>11500</v>
          </cell>
          <cell r="P12">
            <v>11500</v>
          </cell>
          <cell r="Q12">
            <v>11500</v>
          </cell>
          <cell r="R12">
            <v>11500</v>
          </cell>
        </row>
        <row r="13">
          <cell r="G13">
            <v>13434.362782693281</v>
          </cell>
          <cell r="H13">
            <v>13452.395192452714</v>
          </cell>
          <cell r="I13">
            <v>13139.742637424792</v>
          </cell>
          <cell r="J13">
            <v>13194.21599152558</v>
          </cell>
          <cell r="K13">
            <v>13268.0669120402</v>
          </cell>
          <cell r="L13">
            <v>13209.811937043474</v>
          </cell>
          <cell r="M13">
            <v>13597.561751106023</v>
          </cell>
          <cell r="N13">
            <v>13403.906375264642</v>
          </cell>
          <cell r="O13">
            <v>13641.88129109595</v>
          </cell>
          <cell r="P13">
            <v>13211.705714946229</v>
          </cell>
          <cell r="Q13">
            <v>13420.887329938212</v>
          </cell>
          <cell r="R13">
            <v>13502.966354263104</v>
          </cell>
        </row>
        <row r="14">
          <cell r="G14">
            <v>0</v>
          </cell>
          <cell r="H14">
            <v>18500</v>
          </cell>
          <cell r="I14">
            <v>18500</v>
          </cell>
          <cell r="J14">
            <v>18500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22000</v>
          </cell>
          <cell r="H15">
            <v>22000</v>
          </cell>
          <cell r="I15">
            <v>22000</v>
          </cell>
          <cell r="J15">
            <v>22000</v>
          </cell>
          <cell r="K15">
            <v>22000</v>
          </cell>
          <cell r="L15">
            <v>22000</v>
          </cell>
          <cell r="M15">
            <v>22000</v>
          </cell>
          <cell r="N15">
            <v>22000</v>
          </cell>
          <cell r="O15">
            <v>22000</v>
          </cell>
          <cell r="P15">
            <v>22000</v>
          </cell>
          <cell r="Q15">
            <v>22000</v>
          </cell>
          <cell r="R15">
            <v>22000</v>
          </cell>
        </row>
        <row r="16">
          <cell r="G16">
            <v>16000</v>
          </cell>
          <cell r="H16">
            <v>16000</v>
          </cell>
          <cell r="I16">
            <v>16000</v>
          </cell>
          <cell r="J16">
            <v>16000</v>
          </cell>
          <cell r="K16">
            <v>16000</v>
          </cell>
          <cell r="L16">
            <v>16000</v>
          </cell>
          <cell r="M16">
            <v>16000</v>
          </cell>
          <cell r="N16">
            <v>16000</v>
          </cell>
          <cell r="O16">
            <v>16000</v>
          </cell>
          <cell r="P16">
            <v>16000</v>
          </cell>
          <cell r="Q16">
            <v>16000</v>
          </cell>
          <cell r="R16">
            <v>16000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16000</v>
          </cell>
          <cell r="H19">
            <v>16000</v>
          </cell>
          <cell r="I19">
            <v>16000</v>
          </cell>
          <cell r="J19">
            <v>16000</v>
          </cell>
          <cell r="K19">
            <v>16000</v>
          </cell>
          <cell r="L19">
            <v>16000</v>
          </cell>
          <cell r="M19">
            <v>16000</v>
          </cell>
          <cell r="N19">
            <v>16000</v>
          </cell>
          <cell r="O19">
            <v>16000</v>
          </cell>
          <cell r="P19">
            <v>16000</v>
          </cell>
          <cell r="Q19">
            <v>16000</v>
          </cell>
          <cell r="R19">
            <v>16000</v>
          </cell>
        </row>
        <row r="20">
          <cell r="G20">
            <v>15000</v>
          </cell>
          <cell r="H20">
            <v>15000</v>
          </cell>
          <cell r="I20">
            <v>15000</v>
          </cell>
          <cell r="J20">
            <v>15000</v>
          </cell>
          <cell r="K20">
            <v>15000</v>
          </cell>
          <cell r="L20">
            <v>15000</v>
          </cell>
          <cell r="M20">
            <v>15000</v>
          </cell>
          <cell r="N20">
            <v>15000</v>
          </cell>
          <cell r="O20">
            <v>15000</v>
          </cell>
          <cell r="P20">
            <v>15000</v>
          </cell>
          <cell r="Q20">
            <v>15000</v>
          </cell>
          <cell r="R20">
            <v>15000</v>
          </cell>
        </row>
        <row r="21">
          <cell r="G21">
            <v>17835.192010687791</v>
          </cell>
          <cell r="H21">
            <v>18233.968633398021</v>
          </cell>
          <cell r="I21">
            <v>18362.21665793614</v>
          </cell>
          <cell r="J21">
            <v>18434.664081853072</v>
          </cell>
          <cell r="K21">
            <v>18321.093955925462</v>
          </cell>
          <cell r="L21">
            <v>18236.366931599965</v>
          </cell>
          <cell r="M21">
            <v>18266.109989579501</v>
          </cell>
          <cell r="N21">
            <v>17995.340684762949</v>
          </cell>
          <cell r="O21">
            <v>18336.290536703989</v>
          </cell>
          <cell r="P21">
            <v>18109.087486922541</v>
          </cell>
          <cell r="Q21">
            <v>18436.56405872617</v>
          </cell>
          <cell r="R21">
            <v>18453.732125804378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10500</v>
          </cell>
          <cell r="H23">
            <v>10500</v>
          </cell>
          <cell r="I23">
            <v>10500</v>
          </cell>
          <cell r="J23">
            <v>10500</v>
          </cell>
          <cell r="K23">
            <v>10500</v>
          </cell>
          <cell r="L23">
            <v>10500</v>
          </cell>
          <cell r="M23">
            <v>10500</v>
          </cell>
          <cell r="N23">
            <v>10500</v>
          </cell>
          <cell r="O23">
            <v>10500</v>
          </cell>
          <cell r="P23">
            <v>10500</v>
          </cell>
          <cell r="Q23">
            <v>10500</v>
          </cell>
          <cell r="R23">
            <v>10500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9000</v>
          </cell>
          <cell r="H36">
            <v>9000</v>
          </cell>
          <cell r="I36">
            <v>9000</v>
          </cell>
          <cell r="J36">
            <v>9000</v>
          </cell>
          <cell r="K36">
            <v>9000</v>
          </cell>
          <cell r="L36">
            <v>9000</v>
          </cell>
          <cell r="M36">
            <v>9000</v>
          </cell>
          <cell r="N36">
            <v>9000</v>
          </cell>
          <cell r="O36">
            <v>9000</v>
          </cell>
          <cell r="P36">
            <v>9000</v>
          </cell>
          <cell r="Q36">
            <v>9000</v>
          </cell>
          <cell r="R36">
            <v>9000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12500.000000000002</v>
          </cell>
          <cell r="I54">
            <v>15024.836774579375</v>
          </cell>
          <cell r="J54">
            <v>15024.743929105765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18364.197105104984</v>
          </cell>
          <cell r="H55">
            <v>18363.9853428721</v>
          </cell>
          <cell r="I55">
            <v>18368.080469899374</v>
          </cell>
          <cell r="J55">
            <v>18361.704495257236</v>
          </cell>
          <cell r="K55">
            <v>18358.12859050728</v>
          </cell>
          <cell r="L55">
            <v>18354.183698760375</v>
          </cell>
          <cell r="M55">
            <v>18354.183698760375</v>
          </cell>
          <cell r="N55">
            <v>18355.004046398706</v>
          </cell>
          <cell r="O55">
            <v>18351.573274042385</v>
          </cell>
          <cell r="P55">
            <v>18340.200718970049</v>
          </cell>
          <cell r="Q55">
            <v>18359.849560034061</v>
          </cell>
          <cell r="R55">
            <v>18367.010203624111</v>
          </cell>
        </row>
        <row r="56">
          <cell r="G56">
            <v>12780.48780487805</v>
          </cell>
          <cell r="H56">
            <v>12780.48780487805</v>
          </cell>
          <cell r="I56">
            <v>12780.48780487805</v>
          </cell>
          <cell r="J56">
            <v>12780.48780487805</v>
          </cell>
          <cell r="K56">
            <v>12780.48780487805</v>
          </cell>
          <cell r="L56">
            <v>12780.48780487805</v>
          </cell>
          <cell r="M56">
            <v>12780.48780487805</v>
          </cell>
          <cell r="N56">
            <v>12780.48780487805</v>
          </cell>
          <cell r="O56">
            <v>12780.48780487805</v>
          </cell>
          <cell r="P56">
            <v>12780.48780487805</v>
          </cell>
          <cell r="Q56">
            <v>12780.48780487805</v>
          </cell>
          <cell r="R56">
            <v>12780.48780487805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12185.533427111866</v>
          </cell>
          <cell r="H59">
            <v>12185.533427111866</v>
          </cell>
          <cell r="I59">
            <v>12157.647810174152</v>
          </cell>
          <cell r="J59">
            <v>12151.535233046168</v>
          </cell>
          <cell r="K59">
            <v>12151.535233046168</v>
          </cell>
          <cell r="L59">
            <v>12149.899445725217</v>
          </cell>
          <cell r="M59">
            <v>12154.366860422339</v>
          </cell>
          <cell r="N59">
            <v>12154.366860422339</v>
          </cell>
          <cell r="O59">
            <v>12154.366860422339</v>
          </cell>
          <cell r="P59">
            <v>12145.006973841975</v>
          </cell>
          <cell r="Q59">
            <v>12145.006973841975</v>
          </cell>
          <cell r="R59">
            <v>12145.006973841975</v>
          </cell>
        </row>
        <row r="60">
          <cell r="G60">
            <v>12100</v>
          </cell>
          <cell r="H60">
            <v>12100</v>
          </cell>
          <cell r="I60">
            <v>12021.739130434784</v>
          </cell>
          <cell r="J60">
            <v>11895.833333333334</v>
          </cell>
          <cell r="K60">
            <v>11858.490566037735</v>
          </cell>
          <cell r="L60">
            <v>11970.588235294117</v>
          </cell>
          <cell r="M60">
            <v>12071.428571428571</v>
          </cell>
          <cell r="N60">
            <v>12071.428571428571</v>
          </cell>
          <cell r="O60">
            <v>12071.428571428571</v>
          </cell>
          <cell r="P60">
            <v>12000</v>
          </cell>
          <cell r="Q60">
            <v>12000</v>
          </cell>
          <cell r="R60">
            <v>12022.557045810836</v>
          </cell>
        </row>
        <row r="61">
          <cell r="G61">
            <v>14470.634673081675</v>
          </cell>
          <cell r="H61">
            <v>14541.060242043404</v>
          </cell>
          <cell r="I61">
            <v>14758.888168170968</v>
          </cell>
          <cell r="J61">
            <v>14743.836728276594</v>
          </cell>
          <cell r="K61">
            <v>14402.584185880971</v>
          </cell>
          <cell r="L61">
            <v>14439.90454908366</v>
          </cell>
          <cell r="M61">
            <v>14769.821122495367</v>
          </cell>
          <cell r="N61">
            <v>14527.951182226716</v>
          </cell>
          <cell r="O61">
            <v>14836.019309251127</v>
          </cell>
          <cell r="P61">
            <v>14427.250866292832</v>
          </cell>
          <cell r="Q61">
            <v>14714.17151308641</v>
          </cell>
          <cell r="R61">
            <v>14796.997839545647</v>
          </cell>
        </row>
        <row r="62">
          <cell r="G62">
            <v>0</v>
          </cell>
          <cell r="H62">
            <v>69983.333333333343</v>
          </cell>
          <cell r="I62">
            <v>139507.82999999999</v>
          </cell>
          <cell r="J62">
            <v>139507.82999999999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131197.86666666667</v>
          </cell>
          <cell r="H63">
            <v>166704</v>
          </cell>
          <cell r="I63">
            <v>175111.46666666667</v>
          </cell>
          <cell r="J63">
            <v>191815.46666666667</v>
          </cell>
          <cell r="K63">
            <v>183251.20000000001</v>
          </cell>
          <cell r="L63">
            <v>175208.53333333333</v>
          </cell>
          <cell r="M63">
            <v>175208.53333333333</v>
          </cell>
          <cell r="N63">
            <v>148932.26666666666</v>
          </cell>
          <cell r="O63">
            <v>184365.86666666667</v>
          </cell>
          <cell r="P63">
            <v>166872.53333333333</v>
          </cell>
          <cell r="Q63">
            <v>200628.26666666666</v>
          </cell>
          <cell r="R63">
            <v>201666.13333333333</v>
          </cell>
        </row>
        <row r="64">
          <cell r="G64">
            <v>12320</v>
          </cell>
          <cell r="H64">
            <v>12320</v>
          </cell>
          <cell r="I64">
            <v>13346.666666666668</v>
          </cell>
          <cell r="J64">
            <v>15400</v>
          </cell>
          <cell r="K64">
            <v>15400</v>
          </cell>
          <cell r="L64">
            <v>15400</v>
          </cell>
          <cell r="M64">
            <v>13346.666666666668</v>
          </cell>
          <cell r="N64">
            <v>13346.666666666668</v>
          </cell>
          <cell r="O64">
            <v>14373.333333333332</v>
          </cell>
          <cell r="P64">
            <v>16426.666666666668</v>
          </cell>
          <cell r="Q64">
            <v>16426.666666666668</v>
          </cell>
          <cell r="R64">
            <v>16426.666666666668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3878</v>
          </cell>
          <cell r="H67">
            <v>3878</v>
          </cell>
          <cell r="I67">
            <v>6167.3333333333321</v>
          </cell>
          <cell r="J67">
            <v>7306</v>
          </cell>
          <cell r="K67">
            <v>7306</v>
          </cell>
          <cell r="L67">
            <v>7877.333333333333</v>
          </cell>
          <cell r="M67">
            <v>7306</v>
          </cell>
          <cell r="N67">
            <v>7306</v>
          </cell>
          <cell r="O67">
            <v>7306</v>
          </cell>
          <cell r="P67">
            <v>10164</v>
          </cell>
          <cell r="Q67">
            <v>10728.666666666666</v>
          </cell>
          <cell r="R67">
            <v>10728.666666666666</v>
          </cell>
        </row>
        <row r="68">
          <cell r="G68">
            <v>92000</v>
          </cell>
          <cell r="H68">
            <v>92000</v>
          </cell>
          <cell r="I68">
            <v>126500</v>
          </cell>
          <cell r="J68">
            <v>126500</v>
          </cell>
          <cell r="K68">
            <v>155250</v>
          </cell>
          <cell r="L68">
            <v>155250</v>
          </cell>
          <cell r="M68">
            <v>103500</v>
          </cell>
          <cell r="N68">
            <v>103500</v>
          </cell>
          <cell r="O68">
            <v>103500</v>
          </cell>
          <cell r="P68">
            <v>138000</v>
          </cell>
          <cell r="Q68">
            <v>138000</v>
          </cell>
          <cell r="R68">
            <v>126086</v>
          </cell>
        </row>
        <row r="69">
          <cell r="G69">
            <v>239395.86666666667</v>
          </cell>
          <cell r="H69">
            <v>344885.33333333337</v>
          </cell>
          <cell r="I69">
            <v>460633.29666666663</v>
          </cell>
          <cell r="J69">
            <v>480529.29666666663</v>
          </cell>
          <cell r="K69">
            <v>361207.2</v>
          </cell>
          <cell r="L69">
            <v>353735.8666666667</v>
          </cell>
          <cell r="M69">
            <v>299361.19999999995</v>
          </cell>
          <cell r="N69">
            <v>273084.93333333335</v>
          </cell>
          <cell r="O69">
            <v>309545.2</v>
          </cell>
          <cell r="P69">
            <v>331463.19999999995</v>
          </cell>
          <cell r="Q69">
            <v>365783.6</v>
          </cell>
          <cell r="R69">
            <v>354907.46666666667</v>
          </cell>
        </row>
        <row r="70">
          <cell r="G70">
            <v>0</v>
          </cell>
          <cell r="H70">
            <v>0</v>
          </cell>
          <cell r="I70">
            <v>150009.37379999997</v>
          </cell>
          <cell r="J70">
            <v>149999.85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117304</v>
          </cell>
          <cell r="H71">
            <v>149028</v>
          </cell>
          <cell r="I71">
            <v>156992</v>
          </cell>
          <cell r="J71">
            <v>171204</v>
          </cell>
          <cell r="K71">
            <v>163152</v>
          </cell>
          <cell r="L71">
            <v>155562</v>
          </cell>
          <cell r="M71">
            <v>155562</v>
          </cell>
          <cell r="N71">
            <v>132308</v>
          </cell>
          <cell r="O71">
            <v>163394</v>
          </cell>
          <cell r="P71">
            <v>146718</v>
          </cell>
          <cell r="Q71">
            <v>178838</v>
          </cell>
          <cell r="R71">
            <v>180664</v>
          </cell>
        </row>
        <row r="72">
          <cell r="G72">
            <v>17024</v>
          </cell>
          <cell r="H72">
            <v>17024</v>
          </cell>
          <cell r="I72">
            <v>18442.666666666668</v>
          </cell>
          <cell r="J72">
            <v>21280</v>
          </cell>
          <cell r="K72">
            <v>21280</v>
          </cell>
          <cell r="L72">
            <v>21280</v>
          </cell>
          <cell r="M72">
            <v>18442.666666666668</v>
          </cell>
          <cell r="N72">
            <v>18442.666666666668</v>
          </cell>
          <cell r="O72">
            <v>19861.333333333332</v>
          </cell>
          <cell r="P72">
            <v>22698.666666666668</v>
          </cell>
          <cell r="Q72">
            <v>22698.666666666668</v>
          </cell>
          <cell r="R72">
            <v>22698.666666666668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3555.0967741935483</v>
          </cell>
          <cell r="H75">
            <v>3555.0967741935483</v>
          </cell>
          <cell r="I75">
            <v>5541.1612903225805</v>
          </cell>
          <cell r="J75">
            <v>6535.2258064516127</v>
          </cell>
          <cell r="K75">
            <v>6535.2258064516127</v>
          </cell>
          <cell r="L75">
            <v>7037.9354838709678</v>
          </cell>
          <cell r="M75">
            <v>6548.6451612903238</v>
          </cell>
          <cell r="N75">
            <v>6548.6451612903238</v>
          </cell>
          <cell r="O75">
            <v>6548.6451612903238</v>
          </cell>
          <cell r="P75">
            <v>9048.7741935483864</v>
          </cell>
          <cell r="Q75">
            <v>9551.4838709677424</v>
          </cell>
          <cell r="R75">
            <v>9551.4838709677424</v>
          </cell>
        </row>
        <row r="76">
          <cell r="G76">
            <v>105000</v>
          </cell>
          <cell r="H76">
            <v>105000</v>
          </cell>
          <cell r="I76">
            <v>105000</v>
          </cell>
          <cell r="J76">
            <v>105000</v>
          </cell>
          <cell r="K76">
            <v>105000</v>
          </cell>
          <cell r="L76">
            <v>105000</v>
          </cell>
          <cell r="M76">
            <v>105000</v>
          </cell>
          <cell r="N76">
            <v>105000</v>
          </cell>
          <cell r="O76">
            <v>105000</v>
          </cell>
          <cell r="P76">
            <v>105000</v>
          </cell>
          <cell r="Q76">
            <v>105000</v>
          </cell>
          <cell r="R76">
            <v>105000</v>
          </cell>
        </row>
        <row r="77">
          <cell r="G77">
            <v>242883.09677419355</v>
          </cell>
          <cell r="H77">
            <v>274607.09677419357</v>
          </cell>
          <cell r="I77">
            <v>435985.20175698923</v>
          </cell>
          <cell r="J77">
            <v>454019.07580645161</v>
          </cell>
          <cell r="K77">
            <v>295967.22580645164</v>
          </cell>
          <cell r="L77">
            <v>288879.93548387097</v>
          </cell>
          <cell r="M77">
            <v>285553.31182795699</v>
          </cell>
          <cell r="N77">
            <v>262299.31182795699</v>
          </cell>
          <cell r="O77">
            <v>294803.97849462368</v>
          </cell>
          <cell r="P77">
            <v>283465.44086021505</v>
          </cell>
          <cell r="Q77">
            <v>316088.15053763438</v>
          </cell>
          <cell r="R77">
            <v>317914.15053763438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45000</v>
          </cell>
          <cell r="H92">
            <v>45000</v>
          </cell>
          <cell r="I92">
            <v>45000</v>
          </cell>
          <cell r="J92">
            <v>54000</v>
          </cell>
          <cell r="K92">
            <v>54000</v>
          </cell>
          <cell r="L92">
            <v>45000</v>
          </cell>
          <cell r="M92">
            <v>45000</v>
          </cell>
          <cell r="N92">
            <v>45000</v>
          </cell>
          <cell r="O92">
            <v>45000</v>
          </cell>
          <cell r="P92">
            <v>45000</v>
          </cell>
          <cell r="Q92">
            <v>45000</v>
          </cell>
          <cell r="R92">
            <v>45000</v>
          </cell>
        </row>
        <row r="93">
          <cell r="G93">
            <v>45000</v>
          </cell>
          <cell r="H93">
            <v>45000</v>
          </cell>
          <cell r="I93">
            <v>45000</v>
          </cell>
          <cell r="J93">
            <v>54000</v>
          </cell>
          <cell r="K93">
            <v>54000</v>
          </cell>
          <cell r="L93">
            <v>45000</v>
          </cell>
          <cell r="M93">
            <v>45000</v>
          </cell>
          <cell r="N93">
            <v>45000</v>
          </cell>
          <cell r="O93">
            <v>45000</v>
          </cell>
          <cell r="P93">
            <v>45000</v>
          </cell>
          <cell r="Q93">
            <v>45000</v>
          </cell>
          <cell r="R93">
            <v>45000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69983.333333333343</v>
          </cell>
          <cell r="I110">
            <v>289517.20379999996</v>
          </cell>
          <cell r="J110">
            <v>289507.68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248501.86666666667</v>
          </cell>
          <cell r="H111">
            <v>315732</v>
          </cell>
          <cell r="I111">
            <v>332103.46666666667</v>
          </cell>
          <cell r="J111">
            <v>363019.46666666667</v>
          </cell>
          <cell r="K111">
            <v>346403.2</v>
          </cell>
          <cell r="L111">
            <v>330770.53333333333</v>
          </cell>
          <cell r="M111">
            <v>330770.53333333333</v>
          </cell>
          <cell r="N111">
            <v>281240.26666666666</v>
          </cell>
          <cell r="O111">
            <v>347759.8666666667</v>
          </cell>
          <cell r="P111">
            <v>313590.53333333333</v>
          </cell>
          <cell r="Q111">
            <v>379466.26666666666</v>
          </cell>
          <cell r="R111">
            <v>382330.1333333333</v>
          </cell>
        </row>
        <row r="112">
          <cell r="G112">
            <v>29344</v>
          </cell>
          <cell r="H112">
            <v>29344</v>
          </cell>
          <cell r="I112">
            <v>31789.333333333336</v>
          </cell>
          <cell r="J112">
            <v>36680</v>
          </cell>
          <cell r="K112">
            <v>36680</v>
          </cell>
          <cell r="L112">
            <v>36680</v>
          </cell>
          <cell r="M112">
            <v>31789.333333333336</v>
          </cell>
          <cell r="N112">
            <v>31789.333333333336</v>
          </cell>
          <cell r="O112">
            <v>34234.666666666664</v>
          </cell>
          <cell r="P112">
            <v>39125.333333333336</v>
          </cell>
          <cell r="Q112">
            <v>39125.333333333336</v>
          </cell>
          <cell r="R112">
            <v>39125.333333333336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7433.0967741935483</v>
          </cell>
          <cell r="H115">
            <v>7433.0967741935483</v>
          </cell>
          <cell r="I115">
            <v>11708.494623655912</v>
          </cell>
          <cell r="J115">
            <v>13841.225806451614</v>
          </cell>
          <cell r="K115">
            <v>13841.225806451614</v>
          </cell>
          <cell r="L115">
            <v>14915.268817204302</v>
          </cell>
          <cell r="M115">
            <v>13854.645161290324</v>
          </cell>
          <cell r="N115">
            <v>13854.645161290324</v>
          </cell>
          <cell r="O115">
            <v>13854.645161290324</v>
          </cell>
          <cell r="P115">
            <v>19212.774193548386</v>
          </cell>
          <cell r="Q115">
            <v>20280.150537634407</v>
          </cell>
          <cell r="R115">
            <v>20280.150537634407</v>
          </cell>
        </row>
        <row r="116">
          <cell r="G116">
            <v>242000</v>
          </cell>
          <cell r="H116">
            <v>242000</v>
          </cell>
          <cell r="I116">
            <v>276500</v>
          </cell>
          <cell r="J116">
            <v>285500</v>
          </cell>
          <cell r="K116">
            <v>314250</v>
          </cell>
          <cell r="L116">
            <v>305250</v>
          </cell>
          <cell r="M116">
            <v>253500</v>
          </cell>
          <cell r="N116">
            <v>253500</v>
          </cell>
          <cell r="O116">
            <v>253500</v>
          </cell>
          <cell r="P116">
            <v>288000</v>
          </cell>
          <cell r="Q116">
            <v>288000</v>
          </cell>
          <cell r="R116">
            <v>276086</v>
          </cell>
        </row>
        <row r="117">
          <cell r="G117">
            <v>527278.96344086027</v>
          </cell>
          <cell r="H117">
            <v>664492.43010752695</v>
          </cell>
          <cell r="I117">
            <v>941618.49842365587</v>
          </cell>
          <cell r="J117">
            <v>988548.37247311836</v>
          </cell>
          <cell r="K117">
            <v>711174.42580645159</v>
          </cell>
          <cell r="L117">
            <v>687615.80215053761</v>
          </cell>
          <cell r="M117">
            <v>629914.51182795689</v>
          </cell>
          <cell r="N117">
            <v>580384.24516129028</v>
          </cell>
          <cell r="O117">
            <v>649349.17849462363</v>
          </cell>
          <cell r="P117">
            <v>659928.64086021506</v>
          </cell>
          <cell r="Q117">
            <v>726871.75053763436</v>
          </cell>
          <cell r="R117">
            <v>717821.61720430106</v>
          </cell>
        </row>
        <row r="119">
          <cell r="G119">
            <v>147395.86666666667</v>
          </cell>
          <cell r="H119">
            <v>252885.33333333334</v>
          </cell>
          <cell r="I119">
            <v>334133.29666666663</v>
          </cell>
          <cell r="J119">
            <v>354029.29666666663</v>
          </cell>
          <cell r="K119">
            <v>205957.2</v>
          </cell>
          <cell r="L119">
            <v>198485.86666666667</v>
          </cell>
          <cell r="M119">
            <v>195861.19999999998</v>
          </cell>
          <cell r="N119">
            <v>169584.93333333332</v>
          </cell>
          <cell r="O119">
            <v>206045.2</v>
          </cell>
          <cell r="P119">
            <v>193463.19999999998</v>
          </cell>
          <cell r="Q119">
            <v>227783.59999999998</v>
          </cell>
          <cell r="R119">
            <v>228821.46666666665</v>
          </cell>
        </row>
        <row r="120">
          <cell r="G120">
            <v>92000</v>
          </cell>
          <cell r="H120">
            <v>92000</v>
          </cell>
          <cell r="I120">
            <v>126500</v>
          </cell>
          <cell r="J120">
            <v>126500</v>
          </cell>
          <cell r="K120">
            <v>155250</v>
          </cell>
          <cell r="L120">
            <v>155250</v>
          </cell>
          <cell r="M120">
            <v>103500</v>
          </cell>
          <cell r="N120">
            <v>103500</v>
          </cell>
          <cell r="O120">
            <v>103500</v>
          </cell>
          <cell r="P120">
            <v>138000</v>
          </cell>
          <cell r="Q120">
            <v>138000</v>
          </cell>
          <cell r="R120">
            <v>126086</v>
          </cell>
        </row>
        <row r="121">
          <cell r="G121">
            <v>239395.86666666667</v>
          </cell>
          <cell r="H121">
            <v>344885.33333333337</v>
          </cell>
          <cell r="I121">
            <v>460633.29666666663</v>
          </cell>
          <cell r="J121">
            <v>480529.29666666663</v>
          </cell>
          <cell r="K121">
            <v>361207.2</v>
          </cell>
          <cell r="L121">
            <v>353735.8666666667</v>
          </cell>
          <cell r="M121">
            <v>299361.19999999995</v>
          </cell>
          <cell r="N121">
            <v>273084.93333333335</v>
          </cell>
          <cell r="O121">
            <v>309545.2</v>
          </cell>
          <cell r="P121">
            <v>331463.19999999995</v>
          </cell>
          <cell r="Q121">
            <v>365783.6</v>
          </cell>
          <cell r="R121">
            <v>354907.46666666667</v>
          </cell>
        </row>
        <row r="122">
          <cell r="G122">
            <v>137883.09677419355</v>
          </cell>
          <cell r="H122">
            <v>169607.09677419355</v>
          </cell>
          <cell r="I122">
            <v>330985.20175698923</v>
          </cell>
          <cell r="J122">
            <v>349019.07580645161</v>
          </cell>
          <cell r="K122">
            <v>190967.22580645161</v>
          </cell>
          <cell r="L122">
            <v>183879.93548387097</v>
          </cell>
          <cell r="M122">
            <v>180553.31182795699</v>
          </cell>
          <cell r="N122">
            <v>157299.31182795699</v>
          </cell>
          <cell r="O122">
            <v>189803.97849462368</v>
          </cell>
          <cell r="P122">
            <v>178465.44086021505</v>
          </cell>
          <cell r="Q122">
            <v>211088.15053763438</v>
          </cell>
          <cell r="R122">
            <v>212914.15053763438</v>
          </cell>
        </row>
        <row r="123">
          <cell r="G123">
            <v>105000</v>
          </cell>
          <cell r="H123">
            <v>105000</v>
          </cell>
          <cell r="I123">
            <v>105000</v>
          </cell>
          <cell r="J123">
            <v>105000</v>
          </cell>
          <cell r="K123">
            <v>105000</v>
          </cell>
          <cell r="L123">
            <v>105000</v>
          </cell>
          <cell r="M123">
            <v>105000</v>
          </cell>
          <cell r="N123">
            <v>105000</v>
          </cell>
          <cell r="O123">
            <v>105000</v>
          </cell>
          <cell r="P123">
            <v>105000</v>
          </cell>
          <cell r="Q123">
            <v>105000</v>
          </cell>
          <cell r="R123">
            <v>105000</v>
          </cell>
        </row>
        <row r="124">
          <cell r="G124">
            <v>242883.09677419355</v>
          </cell>
          <cell r="H124">
            <v>274607.09677419357</v>
          </cell>
          <cell r="I124">
            <v>435985.20175698923</v>
          </cell>
          <cell r="J124">
            <v>454019.07580645161</v>
          </cell>
          <cell r="K124">
            <v>295967.22580645164</v>
          </cell>
          <cell r="L124">
            <v>288879.93548387097</v>
          </cell>
          <cell r="M124">
            <v>285553.31182795699</v>
          </cell>
          <cell r="N124">
            <v>262299.31182795699</v>
          </cell>
          <cell r="O124">
            <v>294803.97849462368</v>
          </cell>
          <cell r="P124">
            <v>283465.44086021505</v>
          </cell>
          <cell r="Q124">
            <v>316088.15053763438</v>
          </cell>
          <cell r="R124">
            <v>317914.15053763438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45000</v>
          </cell>
          <cell r="H129">
            <v>45000</v>
          </cell>
          <cell r="I129">
            <v>45000</v>
          </cell>
          <cell r="J129">
            <v>54000</v>
          </cell>
          <cell r="K129">
            <v>54000</v>
          </cell>
          <cell r="L129">
            <v>45000</v>
          </cell>
          <cell r="M129">
            <v>45000</v>
          </cell>
          <cell r="N129">
            <v>45000</v>
          </cell>
          <cell r="O129">
            <v>45000</v>
          </cell>
          <cell r="P129">
            <v>45000</v>
          </cell>
          <cell r="Q129">
            <v>45000</v>
          </cell>
          <cell r="R129">
            <v>45000</v>
          </cell>
        </row>
        <row r="130">
          <cell r="G130">
            <v>45000</v>
          </cell>
          <cell r="H130">
            <v>45000</v>
          </cell>
          <cell r="I130">
            <v>45000</v>
          </cell>
          <cell r="J130">
            <v>54000</v>
          </cell>
          <cell r="K130">
            <v>54000</v>
          </cell>
          <cell r="L130">
            <v>45000</v>
          </cell>
          <cell r="M130">
            <v>45000</v>
          </cell>
          <cell r="N130">
            <v>45000</v>
          </cell>
          <cell r="O130">
            <v>45000</v>
          </cell>
          <cell r="P130">
            <v>45000</v>
          </cell>
          <cell r="Q130">
            <v>45000</v>
          </cell>
          <cell r="R130">
            <v>45000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285278.96344086021</v>
          </cell>
          <cell r="H137">
            <v>422492.43010752689</v>
          </cell>
          <cell r="I137">
            <v>665118.49842365587</v>
          </cell>
          <cell r="J137">
            <v>703048.37247311824</v>
          </cell>
          <cell r="K137">
            <v>396924.42580645159</v>
          </cell>
          <cell r="L137">
            <v>382365.80215053761</v>
          </cell>
          <cell r="M137">
            <v>376414.511827957</v>
          </cell>
          <cell r="N137">
            <v>326884.24516129028</v>
          </cell>
          <cell r="O137">
            <v>395849.17849462369</v>
          </cell>
          <cell r="P137">
            <v>371928.64086021506</v>
          </cell>
          <cell r="Q137">
            <v>438871.75053763436</v>
          </cell>
          <cell r="R137">
            <v>441735.61720430106</v>
          </cell>
        </row>
        <row r="138">
          <cell r="G138">
            <v>242000</v>
          </cell>
          <cell r="H138">
            <v>242000</v>
          </cell>
          <cell r="I138">
            <v>276500</v>
          </cell>
          <cell r="J138">
            <v>285500</v>
          </cell>
          <cell r="K138">
            <v>314250</v>
          </cell>
          <cell r="L138">
            <v>305250</v>
          </cell>
          <cell r="M138">
            <v>253500</v>
          </cell>
          <cell r="N138">
            <v>253500</v>
          </cell>
          <cell r="O138">
            <v>253500</v>
          </cell>
          <cell r="P138">
            <v>288000</v>
          </cell>
          <cell r="Q138">
            <v>288000</v>
          </cell>
          <cell r="R138">
            <v>276086</v>
          </cell>
        </row>
        <row r="139">
          <cell r="G139">
            <v>527278.96344086016</v>
          </cell>
          <cell r="H139">
            <v>664492.43010752695</v>
          </cell>
          <cell r="I139">
            <v>941618.49842365587</v>
          </cell>
          <cell r="J139">
            <v>988548.37247311824</v>
          </cell>
          <cell r="K139">
            <v>711174.42580645159</v>
          </cell>
          <cell r="L139">
            <v>687615.80215053761</v>
          </cell>
          <cell r="M139">
            <v>629914.511827957</v>
          </cell>
          <cell r="N139">
            <v>580384.24516129028</v>
          </cell>
          <cell r="O139">
            <v>649349.17849462363</v>
          </cell>
          <cell r="P139">
            <v>659928.64086021506</v>
          </cell>
          <cell r="Q139">
            <v>726871.75053763436</v>
          </cell>
          <cell r="R139">
            <v>717821.61720430106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  <sheetName val="2025년_예산요구안_부산크라샤"/>
    </sheetNames>
    <sheetDataSet>
      <sheetData sheetId="0">
        <row r="5">
          <cell r="G5" t="str">
            <v>1월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8000</v>
          </cell>
          <cell r="H7">
            <v>0</v>
          </cell>
          <cell r="I7">
            <v>0</v>
          </cell>
          <cell r="J7">
            <v>0</v>
          </cell>
          <cell r="K7">
            <v>10000</v>
          </cell>
          <cell r="L7">
            <v>10000</v>
          </cell>
          <cell r="M7">
            <v>8000</v>
          </cell>
          <cell r="N7">
            <v>8000</v>
          </cell>
          <cell r="O7">
            <v>8000</v>
          </cell>
          <cell r="P7">
            <v>9000</v>
          </cell>
          <cell r="Q7">
            <v>8000</v>
          </cell>
          <cell r="R7">
            <v>8000</v>
          </cell>
        </row>
        <row r="8">
          <cell r="G8">
            <v>17034.792799999999</v>
          </cell>
          <cell r="H8">
            <v>4496.666666666667</v>
          </cell>
          <cell r="I8">
            <v>0.1</v>
          </cell>
          <cell r="J8">
            <v>0.1</v>
          </cell>
          <cell r="K8">
            <v>21160.626400000001</v>
          </cell>
          <cell r="L8">
            <v>20629.167999999998</v>
          </cell>
          <cell r="M8">
            <v>19160.626400000001</v>
          </cell>
          <cell r="N8">
            <v>17034.792799999999</v>
          </cell>
          <cell r="O8">
            <v>19160.626400000001</v>
          </cell>
          <cell r="P8">
            <v>19097.709600000002</v>
          </cell>
          <cell r="Q8">
            <v>19160.626400000001</v>
          </cell>
          <cell r="R8">
            <v>19692.084799999997</v>
          </cell>
        </row>
        <row r="9">
          <cell r="G9">
            <v>6691.5025666666661</v>
          </cell>
          <cell r="H9">
            <v>7463.6801333333333</v>
          </cell>
          <cell r="I9">
            <v>0</v>
          </cell>
          <cell r="J9">
            <v>0</v>
          </cell>
          <cell r="K9">
            <v>8243.1753333333345</v>
          </cell>
          <cell r="L9">
            <v>7856.5013333333336</v>
          </cell>
          <cell r="M9">
            <v>8242.5813333333335</v>
          </cell>
          <cell r="N9">
            <v>6692.0433333333331</v>
          </cell>
          <cell r="O9">
            <v>8243.3019999999997</v>
          </cell>
          <cell r="P9">
            <v>7463.8453333333327</v>
          </cell>
          <cell r="Q9">
            <v>8257.4467999999997</v>
          </cell>
          <cell r="R9">
            <v>8643.5467999999983</v>
          </cell>
        </row>
        <row r="10">
          <cell r="G10">
            <v>7000</v>
          </cell>
          <cell r="H10">
            <v>0</v>
          </cell>
          <cell r="I10">
            <v>0</v>
          </cell>
          <cell r="J10">
            <v>0</v>
          </cell>
          <cell r="K10">
            <v>8000</v>
          </cell>
          <cell r="L10">
            <v>8000</v>
          </cell>
          <cell r="M10">
            <v>8000</v>
          </cell>
          <cell r="N10">
            <v>7000</v>
          </cell>
          <cell r="O10">
            <v>7000</v>
          </cell>
          <cell r="P10">
            <v>9000</v>
          </cell>
          <cell r="Q10">
            <v>8000</v>
          </cell>
          <cell r="R10">
            <v>7574</v>
          </cell>
        </row>
        <row r="11">
          <cell r="G11">
            <v>13691.502566666666</v>
          </cell>
          <cell r="H11">
            <v>7463.6801333333333</v>
          </cell>
          <cell r="I11">
            <v>0</v>
          </cell>
          <cell r="J11">
            <v>0</v>
          </cell>
          <cell r="K11">
            <v>16243.175333333334</v>
          </cell>
          <cell r="L11">
            <v>15856.501333333334</v>
          </cell>
          <cell r="M11">
            <v>16242.581333333334</v>
          </cell>
          <cell r="N11">
            <v>13692.043333333333</v>
          </cell>
          <cell r="O11">
            <v>15243.302</v>
          </cell>
          <cell r="P11">
            <v>16463.845333333331</v>
          </cell>
          <cell r="Q11">
            <v>16257.4468</v>
          </cell>
          <cell r="R11">
            <v>16217.546799999998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4000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4000</v>
          </cell>
          <cell r="M13">
            <v>4000</v>
          </cell>
          <cell r="N13">
            <v>4000</v>
          </cell>
          <cell r="O13">
            <v>4000</v>
          </cell>
          <cell r="P13">
            <v>4000</v>
          </cell>
          <cell r="Q13">
            <v>4000</v>
          </cell>
          <cell r="R13">
            <v>4000</v>
          </cell>
        </row>
        <row r="14">
          <cell r="G14">
            <v>4000</v>
          </cell>
          <cell r="H14">
            <v>0</v>
          </cell>
          <cell r="I14">
            <v>0</v>
          </cell>
          <cell r="J14">
            <v>0</v>
          </cell>
          <cell r="K14">
            <v>4000</v>
          </cell>
          <cell r="L14">
            <v>4000</v>
          </cell>
          <cell r="M14">
            <v>4000</v>
          </cell>
          <cell r="N14">
            <v>4000</v>
          </cell>
          <cell r="O14">
            <v>4000</v>
          </cell>
          <cell r="P14">
            <v>4000</v>
          </cell>
          <cell r="Q14">
            <v>4000</v>
          </cell>
          <cell r="R14">
            <v>4000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15726.295366666665</v>
          </cell>
          <cell r="H24">
            <v>11960.346799999999</v>
          </cell>
          <cell r="I24">
            <v>0.1</v>
          </cell>
          <cell r="J24">
            <v>0.1</v>
          </cell>
          <cell r="K24">
            <v>19403.801733333334</v>
          </cell>
          <cell r="L24">
            <v>18485.669333333331</v>
          </cell>
          <cell r="M24">
            <v>19403.207733333333</v>
          </cell>
          <cell r="N24">
            <v>15726.836133333332</v>
          </cell>
          <cell r="O24">
            <v>19403.928399999997</v>
          </cell>
          <cell r="P24">
            <v>17561.554933333333</v>
          </cell>
          <cell r="Q24">
            <v>19418.073199999999</v>
          </cell>
          <cell r="R24">
            <v>20335.631599999997</v>
          </cell>
        </row>
        <row r="25">
          <cell r="G25">
            <v>19000</v>
          </cell>
          <cell r="H25">
            <v>0</v>
          </cell>
          <cell r="I25">
            <v>0</v>
          </cell>
          <cell r="J25">
            <v>0</v>
          </cell>
          <cell r="K25">
            <v>22000</v>
          </cell>
          <cell r="L25">
            <v>22000</v>
          </cell>
          <cell r="M25">
            <v>20000</v>
          </cell>
          <cell r="N25">
            <v>19000</v>
          </cell>
          <cell r="O25">
            <v>19000</v>
          </cell>
          <cell r="P25">
            <v>22000</v>
          </cell>
          <cell r="Q25">
            <v>20000</v>
          </cell>
          <cell r="R25">
            <v>19574</v>
          </cell>
        </row>
        <row r="26">
          <cell r="G26">
            <v>34726.295366666665</v>
          </cell>
          <cell r="H26">
            <v>11960.346799999999</v>
          </cell>
          <cell r="I26">
            <v>0.1</v>
          </cell>
          <cell r="J26">
            <v>0.1</v>
          </cell>
          <cell r="K26">
            <v>41403.801733333334</v>
          </cell>
          <cell r="L26">
            <v>40485.669333333331</v>
          </cell>
          <cell r="M26">
            <v>39403.207733333329</v>
          </cell>
          <cell r="N26">
            <v>34726.836133333331</v>
          </cell>
          <cell r="O26">
            <v>38403.928399999997</v>
          </cell>
          <cell r="P26">
            <v>39561.554933333333</v>
          </cell>
          <cell r="Q26">
            <v>39418.073199999999</v>
          </cell>
          <cell r="R26">
            <v>39909.631599999993</v>
          </cell>
        </row>
        <row r="27">
          <cell r="G27">
            <v>17500.000000000004</v>
          </cell>
          <cell r="H27">
            <v>17500</v>
          </cell>
          <cell r="I27">
            <v>0</v>
          </cell>
          <cell r="J27">
            <v>0</v>
          </cell>
          <cell r="K27">
            <v>17500</v>
          </cell>
          <cell r="L27">
            <v>17500</v>
          </cell>
          <cell r="M27">
            <v>17500</v>
          </cell>
          <cell r="N27">
            <v>17500.000000000004</v>
          </cell>
          <cell r="O27">
            <v>17500</v>
          </cell>
          <cell r="P27">
            <v>17500</v>
          </cell>
          <cell r="Q27">
            <v>17500</v>
          </cell>
          <cell r="R27">
            <v>17500</v>
          </cell>
        </row>
        <row r="28">
          <cell r="G28">
            <v>13000</v>
          </cell>
          <cell r="H28">
            <v>0</v>
          </cell>
          <cell r="I28">
            <v>0</v>
          </cell>
          <cell r="J28">
            <v>0</v>
          </cell>
          <cell r="K28">
            <v>13000</v>
          </cell>
          <cell r="L28">
            <v>13000</v>
          </cell>
          <cell r="M28">
            <v>13000</v>
          </cell>
          <cell r="N28">
            <v>13000</v>
          </cell>
          <cell r="O28">
            <v>13000</v>
          </cell>
          <cell r="P28">
            <v>13000</v>
          </cell>
          <cell r="Q28">
            <v>13000</v>
          </cell>
          <cell r="R28">
            <v>13000</v>
          </cell>
        </row>
        <row r="29">
          <cell r="G29">
            <v>15386.6781402824</v>
          </cell>
          <cell r="H29">
            <v>17500</v>
          </cell>
          <cell r="I29">
            <v>0</v>
          </cell>
          <cell r="J29">
            <v>0</v>
          </cell>
          <cell r="K29">
            <v>15373.4088892567</v>
          </cell>
          <cell r="L29">
            <v>15318.622641494801</v>
          </cell>
          <cell r="M29">
            <v>15621.147020537908</v>
          </cell>
          <cell r="N29">
            <v>15386.6781402824</v>
          </cell>
          <cell r="O29">
            <v>15621.147020537908</v>
          </cell>
          <cell r="P29">
            <v>15379.326848702316</v>
          </cell>
          <cell r="Q29">
            <v>15621.147020537908</v>
          </cell>
          <cell r="R29">
            <v>15671.854307675945</v>
          </cell>
        </row>
        <row r="30">
          <cell r="G30">
            <v>23395.342091004299</v>
          </cell>
          <cell r="H30">
            <v>23406.21793527736</v>
          </cell>
          <cell r="I30">
            <v>0</v>
          </cell>
          <cell r="J30">
            <v>0</v>
          </cell>
          <cell r="K30">
            <v>23409.875223649655</v>
          </cell>
          <cell r="L30">
            <v>23405.841378757905</v>
          </cell>
          <cell r="M30">
            <v>23410.265085241903</v>
          </cell>
          <cell r="N30">
            <v>23394.518266219638</v>
          </cell>
          <cell r="O30">
            <v>23409.792095449131</v>
          </cell>
          <cell r="P30">
            <v>23405.718928795239</v>
          </cell>
          <cell r="Q30">
            <v>23400.868147282523</v>
          </cell>
          <cell r="R30">
            <v>23405.296284159642</v>
          </cell>
        </row>
        <row r="31">
          <cell r="G31">
            <v>18000</v>
          </cell>
          <cell r="H31">
            <v>0</v>
          </cell>
          <cell r="I31">
            <v>0</v>
          </cell>
          <cell r="J31">
            <v>0</v>
          </cell>
          <cell r="K31">
            <v>18000</v>
          </cell>
          <cell r="L31">
            <v>18000</v>
          </cell>
          <cell r="M31">
            <v>18000</v>
          </cell>
          <cell r="N31">
            <v>18000</v>
          </cell>
          <cell r="O31">
            <v>18000</v>
          </cell>
          <cell r="P31">
            <v>18000</v>
          </cell>
          <cell r="Q31">
            <v>18000</v>
          </cell>
          <cell r="R31">
            <v>18000</v>
          </cell>
        </row>
        <row r="32">
          <cell r="G32">
            <v>20636.887023480991</v>
          </cell>
          <cell r="H32">
            <v>23406.21793527736</v>
          </cell>
          <cell r="I32">
            <v>0</v>
          </cell>
          <cell r="J32">
            <v>0</v>
          </cell>
          <cell r="K32">
            <v>20745.433025554157</v>
          </cell>
          <cell r="L32">
            <v>20678.459712340071</v>
          </cell>
          <cell r="M32">
            <v>20745.533427527444</v>
          </cell>
          <cell r="N32">
            <v>20636.593320743705</v>
          </cell>
          <cell r="O32">
            <v>20925.517712632081</v>
          </cell>
          <cell r="P32">
            <v>20450.669888055316</v>
          </cell>
          <cell r="Q32">
            <v>20743.197129822376</v>
          </cell>
          <cell r="R32">
            <v>20880.887718480331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9000</v>
          </cell>
          <cell r="H34">
            <v>0</v>
          </cell>
          <cell r="I34">
            <v>0</v>
          </cell>
          <cell r="J34">
            <v>0</v>
          </cell>
          <cell r="K34">
            <v>9000</v>
          </cell>
          <cell r="L34">
            <v>9000</v>
          </cell>
          <cell r="M34">
            <v>9000</v>
          </cell>
          <cell r="N34">
            <v>9000</v>
          </cell>
          <cell r="O34">
            <v>9000</v>
          </cell>
          <cell r="P34">
            <v>9000</v>
          </cell>
          <cell r="Q34">
            <v>9000</v>
          </cell>
          <cell r="R34">
            <v>9000</v>
          </cell>
        </row>
        <row r="35">
          <cell r="G35">
            <v>9000</v>
          </cell>
          <cell r="H35">
            <v>0</v>
          </cell>
          <cell r="I35">
            <v>0</v>
          </cell>
          <cell r="J35">
            <v>0</v>
          </cell>
          <cell r="K35">
            <v>9000</v>
          </cell>
          <cell r="L35">
            <v>9000</v>
          </cell>
          <cell r="M35">
            <v>9000</v>
          </cell>
          <cell r="N35">
            <v>9000</v>
          </cell>
          <cell r="O35">
            <v>9000</v>
          </cell>
          <cell r="P35">
            <v>9000</v>
          </cell>
          <cell r="Q35">
            <v>9000</v>
          </cell>
          <cell r="R35">
            <v>9000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20008.454522413998</v>
          </cell>
          <cell r="H45">
            <v>21185.689236591923</v>
          </cell>
          <cell r="I45">
            <v>0</v>
          </cell>
          <cell r="J45">
            <v>0</v>
          </cell>
          <cell r="K45">
            <v>20010.649115888376</v>
          </cell>
          <cell r="L45">
            <v>20010.011935732273</v>
          </cell>
          <cell r="M45">
            <v>20010.710668884731</v>
          </cell>
          <cell r="N45">
            <v>20008.220428586992</v>
          </cell>
          <cell r="O45">
            <v>20010.635990596627</v>
          </cell>
          <cell r="P45">
            <v>20009.992585166834</v>
          </cell>
          <cell r="Q45">
            <v>20009.317186012053</v>
          </cell>
          <cell r="R45">
            <v>20010.013251813627</v>
          </cell>
        </row>
        <row r="46">
          <cell r="G46">
            <v>14000</v>
          </cell>
          <cell r="H46">
            <v>0</v>
          </cell>
          <cell r="I46">
            <v>0</v>
          </cell>
          <cell r="J46">
            <v>0</v>
          </cell>
          <cell r="K46">
            <v>14090.909090909092</v>
          </cell>
          <cell r="L46">
            <v>14090.909090909092</v>
          </cell>
          <cell r="M46">
            <v>14200</v>
          </cell>
          <cell r="N46">
            <v>14000</v>
          </cell>
          <cell r="O46">
            <v>14000</v>
          </cell>
          <cell r="P46">
            <v>14318.181818181818</v>
          </cell>
          <cell r="Q46">
            <v>14200</v>
          </cell>
          <cell r="R46">
            <v>14117.298457137018</v>
          </cell>
        </row>
        <row r="47">
          <cell r="G47">
            <v>16721.013846106001</v>
          </cell>
          <cell r="H47">
            <v>21185.689236591923</v>
          </cell>
          <cell r="I47">
            <v>0</v>
          </cell>
          <cell r="J47">
            <v>0</v>
          </cell>
          <cell r="K47">
            <v>16865.182393089937</v>
          </cell>
          <cell r="L47">
            <v>16793.558688684316</v>
          </cell>
          <cell r="M47">
            <v>17061.351465334847</v>
          </cell>
          <cell r="N47">
            <v>16720.959023463551</v>
          </cell>
          <cell r="O47">
            <v>17036.927607645473</v>
          </cell>
          <cell r="P47">
            <v>16844.802615139542</v>
          </cell>
          <cell r="Q47">
            <v>17061.777281391827</v>
          </cell>
          <cell r="R47">
            <v>17119.883857810404</v>
          </cell>
        </row>
        <row r="48">
          <cell r="G48">
            <v>158108.87400000001</v>
          </cell>
          <cell r="H48">
            <v>78691.666666666672</v>
          </cell>
          <cell r="I48">
            <v>0</v>
          </cell>
          <cell r="J48">
            <v>0</v>
          </cell>
          <cell r="K48">
            <v>195310.962</v>
          </cell>
          <cell r="L48">
            <v>186010.44</v>
          </cell>
          <cell r="M48">
            <v>195310.962</v>
          </cell>
          <cell r="N48">
            <v>158108.87400000001</v>
          </cell>
          <cell r="O48">
            <v>195310.962</v>
          </cell>
          <cell r="P48">
            <v>176709.91800000001</v>
          </cell>
          <cell r="Q48">
            <v>195310.962</v>
          </cell>
          <cell r="R48">
            <v>204611.48399999997</v>
          </cell>
        </row>
        <row r="49">
          <cell r="G49">
            <v>104000</v>
          </cell>
          <cell r="H49">
            <v>0</v>
          </cell>
          <cell r="I49">
            <v>0</v>
          </cell>
          <cell r="J49">
            <v>0</v>
          </cell>
          <cell r="K49">
            <v>130000</v>
          </cell>
          <cell r="L49">
            <v>130000</v>
          </cell>
          <cell r="M49">
            <v>104000</v>
          </cell>
          <cell r="N49">
            <v>104000</v>
          </cell>
          <cell r="O49">
            <v>104000</v>
          </cell>
          <cell r="P49">
            <v>117000</v>
          </cell>
          <cell r="Q49">
            <v>104000</v>
          </cell>
          <cell r="R49">
            <v>104000</v>
          </cell>
        </row>
        <row r="50">
          <cell r="G50">
            <v>262108.87400000001</v>
          </cell>
          <cell r="H50">
            <v>78691.666666666672</v>
          </cell>
          <cell r="I50">
            <v>0</v>
          </cell>
          <cell r="J50">
            <v>0</v>
          </cell>
          <cell r="K50">
            <v>325310.962</v>
          </cell>
          <cell r="L50">
            <v>316010.44</v>
          </cell>
          <cell r="M50">
            <v>299310.962</v>
          </cell>
          <cell r="N50">
            <v>262108.87400000001</v>
          </cell>
          <cell r="O50">
            <v>299310.962</v>
          </cell>
          <cell r="P50">
            <v>293709.91800000001</v>
          </cell>
          <cell r="Q50">
            <v>299310.962</v>
          </cell>
          <cell r="R50">
            <v>308611.48399999994</v>
          </cell>
        </row>
        <row r="51">
          <cell r="G51">
            <v>156549.99164999995</v>
          </cell>
          <cell r="H51">
            <v>174696.5238</v>
          </cell>
          <cell r="I51">
            <v>0</v>
          </cell>
          <cell r="J51">
            <v>0</v>
          </cell>
          <cell r="K51">
            <v>192971.70600000001</v>
          </cell>
          <cell r="L51">
            <v>183888.024</v>
          </cell>
          <cell r="M51">
            <v>192961.014</v>
          </cell>
          <cell r="N51">
            <v>156557.13</v>
          </cell>
          <cell r="O51">
            <v>192973.986</v>
          </cell>
          <cell r="P51">
            <v>174696.666</v>
          </cell>
          <cell r="Q51">
            <v>193231.42379999999</v>
          </cell>
          <cell r="R51">
            <v>202304.77379999994</v>
          </cell>
        </row>
        <row r="52">
          <cell r="G52">
            <v>126000</v>
          </cell>
          <cell r="H52">
            <v>0</v>
          </cell>
          <cell r="I52">
            <v>0</v>
          </cell>
          <cell r="J52">
            <v>0</v>
          </cell>
          <cell r="K52">
            <v>144000</v>
          </cell>
          <cell r="L52">
            <v>144000</v>
          </cell>
          <cell r="M52">
            <v>144000</v>
          </cell>
          <cell r="N52">
            <v>126000</v>
          </cell>
          <cell r="O52">
            <v>126000</v>
          </cell>
          <cell r="P52">
            <v>162000</v>
          </cell>
          <cell r="Q52">
            <v>144000</v>
          </cell>
          <cell r="R52">
            <v>136332</v>
          </cell>
        </row>
        <row r="53">
          <cell r="G53">
            <v>282549.99164999998</v>
          </cell>
          <cell r="H53">
            <v>174696.5238</v>
          </cell>
          <cell r="I53">
            <v>0</v>
          </cell>
          <cell r="J53">
            <v>0</v>
          </cell>
          <cell r="K53">
            <v>336971.70600000001</v>
          </cell>
          <cell r="L53">
            <v>327888.02399999998</v>
          </cell>
          <cell r="M53">
            <v>336961.01399999997</v>
          </cell>
          <cell r="N53">
            <v>282557.13</v>
          </cell>
          <cell r="O53">
            <v>318973.98600000003</v>
          </cell>
          <cell r="P53">
            <v>336696.66599999997</v>
          </cell>
          <cell r="Q53">
            <v>337231.42379999999</v>
          </cell>
          <cell r="R53">
            <v>338636.77379999997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36000</v>
          </cell>
          <cell r="H55">
            <v>0</v>
          </cell>
          <cell r="I55">
            <v>0</v>
          </cell>
          <cell r="J55">
            <v>0</v>
          </cell>
          <cell r="K55">
            <v>36000</v>
          </cell>
          <cell r="L55">
            <v>36000</v>
          </cell>
          <cell r="M55">
            <v>36000</v>
          </cell>
          <cell r="N55">
            <v>36000</v>
          </cell>
          <cell r="O55">
            <v>36000</v>
          </cell>
          <cell r="P55">
            <v>36000</v>
          </cell>
          <cell r="Q55">
            <v>36000</v>
          </cell>
          <cell r="R55">
            <v>36000</v>
          </cell>
        </row>
        <row r="56">
          <cell r="G56">
            <v>36000</v>
          </cell>
          <cell r="H56">
            <v>0</v>
          </cell>
          <cell r="I56">
            <v>0</v>
          </cell>
          <cell r="J56">
            <v>0</v>
          </cell>
          <cell r="K56">
            <v>36000</v>
          </cell>
          <cell r="L56">
            <v>36000</v>
          </cell>
          <cell r="M56">
            <v>36000</v>
          </cell>
          <cell r="N56">
            <v>36000</v>
          </cell>
          <cell r="O56">
            <v>36000</v>
          </cell>
          <cell r="P56">
            <v>36000</v>
          </cell>
          <cell r="Q56">
            <v>36000</v>
          </cell>
          <cell r="R56">
            <v>36000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314658.86564999993</v>
          </cell>
          <cell r="H66">
            <v>253388.19046666665</v>
          </cell>
          <cell r="I66">
            <v>0</v>
          </cell>
          <cell r="J66">
            <v>0</v>
          </cell>
          <cell r="K66">
            <v>388282.66800000001</v>
          </cell>
          <cell r="L66">
            <v>369898.46400000004</v>
          </cell>
          <cell r="M66">
            <v>388271.97600000002</v>
          </cell>
          <cell r="N66">
            <v>314666.00400000002</v>
          </cell>
          <cell r="O66">
            <v>388284.94799999997</v>
          </cell>
          <cell r="P66">
            <v>351406.58400000003</v>
          </cell>
          <cell r="Q66">
            <v>388542.38579999999</v>
          </cell>
          <cell r="R66">
            <v>406916.2577999999</v>
          </cell>
        </row>
        <row r="67">
          <cell r="G67">
            <v>266000</v>
          </cell>
          <cell r="H67">
            <v>0</v>
          </cell>
          <cell r="I67">
            <v>0</v>
          </cell>
          <cell r="J67">
            <v>0</v>
          </cell>
          <cell r="K67">
            <v>310000</v>
          </cell>
          <cell r="L67">
            <v>310000</v>
          </cell>
          <cell r="M67">
            <v>284000</v>
          </cell>
          <cell r="N67">
            <v>266000</v>
          </cell>
          <cell r="O67">
            <v>266000</v>
          </cell>
          <cell r="P67">
            <v>315000</v>
          </cell>
          <cell r="Q67">
            <v>284000</v>
          </cell>
          <cell r="R67">
            <v>276332</v>
          </cell>
        </row>
        <row r="68">
          <cell r="G68">
            <v>580658.86564999993</v>
          </cell>
          <cell r="H68">
            <v>253388.19046666665</v>
          </cell>
          <cell r="I68">
            <v>0</v>
          </cell>
          <cell r="J68">
            <v>0</v>
          </cell>
          <cell r="K68">
            <v>698282.66800000006</v>
          </cell>
          <cell r="L68">
            <v>679898.46400000004</v>
          </cell>
          <cell r="M68">
            <v>672271.97600000002</v>
          </cell>
          <cell r="N68">
            <v>580666.00399999996</v>
          </cell>
          <cell r="O68">
            <v>654284.94799999997</v>
          </cell>
          <cell r="P68">
            <v>666406.58400000003</v>
          </cell>
          <cell r="Q68">
            <v>672542.38580000005</v>
          </cell>
          <cell r="R68">
            <v>683248.2577999999</v>
          </cell>
        </row>
        <row r="69">
          <cell r="G69">
            <v>146083.08682380492</v>
          </cell>
          <cell r="H69">
            <v>103896.65511259204</v>
          </cell>
          <cell r="I69">
            <v>223482.83166666667</v>
          </cell>
          <cell r="J69">
            <v>196960.16500000001</v>
          </cell>
          <cell r="K69">
            <v>159323.50326119742</v>
          </cell>
          <cell r="L69">
            <v>161301.74856907059</v>
          </cell>
          <cell r="M69">
            <v>165430.73641040028</v>
          </cell>
          <cell r="N69">
            <v>145842.32633079932</v>
          </cell>
          <cell r="O69">
            <v>173045.30766848318</v>
          </cell>
          <cell r="P69">
            <v>146191.84802834791</v>
          </cell>
          <cell r="Q69">
            <v>161818.4793860018</v>
          </cell>
          <cell r="R69">
            <v>178676.36713612609</v>
          </cell>
        </row>
        <row r="70">
          <cell r="G70">
            <v>129351.5767833037</v>
          </cell>
          <cell r="H70">
            <v>0</v>
          </cell>
          <cell r="I70">
            <v>0</v>
          </cell>
          <cell r="J70">
            <v>0</v>
          </cell>
          <cell r="K70">
            <v>142754.98305471227</v>
          </cell>
          <cell r="L70">
            <v>151753.88004881531</v>
          </cell>
          <cell r="M70">
            <v>118581.68563757338</v>
          </cell>
          <cell r="N70">
            <v>129138.3916016751</v>
          </cell>
          <cell r="O70">
            <v>124039.85329603592</v>
          </cell>
          <cell r="P70">
            <v>130299.51190665369</v>
          </cell>
          <cell r="Q70">
            <v>115992.39941299481</v>
          </cell>
          <cell r="R70">
            <v>122254.58175679747</v>
          </cell>
        </row>
        <row r="71">
          <cell r="G71">
            <v>275434.66360710864</v>
          </cell>
          <cell r="H71">
            <v>103896.65511259204</v>
          </cell>
          <cell r="I71">
            <v>223482.83166666667</v>
          </cell>
          <cell r="J71">
            <v>196960.16500000001</v>
          </cell>
          <cell r="K71">
            <v>302078.48631590966</v>
          </cell>
          <cell r="L71">
            <v>313055.62861788587</v>
          </cell>
          <cell r="M71">
            <v>284012.42204797367</v>
          </cell>
          <cell r="N71">
            <v>274980.71793247445</v>
          </cell>
          <cell r="O71">
            <v>297085.16096451908</v>
          </cell>
          <cell r="P71">
            <v>276491.35993500159</v>
          </cell>
          <cell r="Q71">
            <v>277810.87879899662</v>
          </cell>
          <cell r="R71">
            <v>300930.94889292354</v>
          </cell>
        </row>
        <row r="72">
          <cell r="G72">
            <v>108194.55100598212</v>
          </cell>
          <cell r="H72">
            <v>172450.27442927464</v>
          </cell>
          <cell r="I72">
            <v>0</v>
          </cell>
          <cell r="J72">
            <v>0</v>
          </cell>
          <cell r="K72">
            <v>117675.43550270224</v>
          </cell>
          <cell r="L72">
            <v>119225.45609420241</v>
          </cell>
          <cell r="M72">
            <v>122177.39856393298</v>
          </cell>
          <cell r="N72">
            <v>108024.96407442239</v>
          </cell>
          <cell r="O72">
            <v>127812.24634436493</v>
          </cell>
          <cell r="P72">
            <v>108059.48932000979</v>
          </cell>
          <cell r="Q72">
            <v>119725.13341964448</v>
          </cell>
          <cell r="R72">
            <v>132089.14986616312</v>
          </cell>
        </row>
        <row r="73">
          <cell r="G73">
            <v>113182.62968539074</v>
          </cell>
          <cell r="H73">
            <v>0</v>
          </cell>
          <cell r="I73">
            <v>0</v>
          </cell>
          <cell r="J73">
            <v>0</v>
          </cell>
          <cell r="K73">
            <v>114203.98644376981</v>
          </cell>
          <cell r="L73">
            <v>121403.10403905224</v>
          </cell>
          <cell r="M73">
            <v>118581.68563757338</v>
          </cell>
          <cell r="N73">
            <v>112996.09265146572</v>
          </cell>
          <cell r="O73">
            <v>108534.87163403143</v>
          </cell>
          <cell r="P73">
            <v>130299.51190665369</v>
          </cell>
          <cell r="Q73">
            <v>115992.39941299481</v>
          </cell>
          <cell r="R73">
            <v>115744.52527824801</v>
          </cell>
        </row>
        <row r="74">
          <cell r="G74">
            <v>221377.18069137287</v>
          </cell>
          <cell r="H74">
            <v>172450.27442927464</v>
          </cell>
          <cell r="I74">
            <v>0</v>
          </cell>
          <cell r="J74">
            <v>0</v>
          </cell>
          <cell r="K74">
            <v>231879.42194647205</v>
          </cell>
          <cell r="L74">
            <v>240628.56013325465</v>
          </cell>
          <cell r="M74">
            <v>240759.08420150634</v>
          </cell>
          <cell r="N74">
            <v>221021.05672588811</v>
          </cell>
          <cell r="O74">
            <v>236347.11797839636</v>
          </cell>
          <cell r="P74">
            <v>238359.00122666347</v>
          </cell>
          <cell r="Q74">
            <v>235717.53283263929</v>
          </cell>
          <cell r="R74">
            <v>247833.67514441113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64675.788391651848</v>
          </cell>
          <cell r="H76">
            <v>0</v>
          </cell>
          <cell r="I76">
            <v>0</v>
          </cell>
          <cell r="J76">
            <v>0</v>
          </cell>
          <cell r="K76">
            <v>57101.993221884906</v>
          </cell>
          <cell r="L76">
            <v>60701.55201952612</v>
          </cell>
          <cell r="M76">
            <v>59290.842818786688</v>
          </cell>
          <cell r="N76">
            <v>64569.195800837551</v>
          </cell>
          <cell r="O76">
            <v>62019.926648017958</v>
          </cell>
          <cell r="P76">
            <v>57910.894180734969</v>
          </cell>
          <cell r="Q76">
            <v>57996.199706497406</v>
          </cell>
          <cell r="R76">
            <v>61127.290878398737</v>
          </cell>
        </row>
        <row r="77">
          <cell r="G77">
            <v>64675.788391651848</v>
          </cell>
          <cell r="H77">
            <v>0</v>
          </cell>
          <cell r="I77">
            <v>0</v>
          </cell>
          <cell r="J77">
            <v>0</v>
          </cell>
          <cell r="K77">
            <v>57101.993221884906</v>
          </cell>
          <cell r="L77">
            <v>60701.55201952612</v>
          </cell>
          <cell r="M77">
            <v>59290.842818786688</v>
          </cell>
          <cell r="N77">
            <v>64569.195800837551</v>
          </cell>
          <cell r="O77">
            <v>62019.926648017958</v>
          </cell>
          <cell r="P77">
            <v>57910.894180734969</v>
          </cell>
          <cell r="Q77">
            <v>57996.199706497406</v>
          </cell>
          <cell r="R77">
            <v>61127.290878398737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254277.63782978704</v>
          </cell>
          <cell r="H87">
            <v>276346.92954186664</v>
          </cell>
          <cell r="I87">
            <v>223482.83166666667</v>
          </cell>
          <cell r="J87">
            <v>196960.16500000001</v>
          </cell>
          <cell r="K87">
            <v>276998.93876389967</v>
          </cell>
          <cell r="L87">
            <v>280527.20466327301</v>
          </cell>
          <cell r="M87">
            <v>287608.13497433322</v>
          </cell>
          <cell r="N87">
            <v>253867.29040522169</v>
          </cell>
          <cell r="O87">
            <v>300857.55401284812</v>
          </cell>
          <cell r="P87">
            <v>254251.33734835772</v>
          </cell>
          <cell r="Q87">
            <v>281543.61280564626</v>
          </cell>
          <cell r="R87">
            <v>310765.51700228918</v>
          </cell>
        </row>
        <row r="88">
          <cell r="G88">
            <v>307209.99486034631</v>
          </cell>
          <cell r="H88">
            <v>0</v>
          </cell>
          <cell r="I88">
            <v>0</v>
          </cell>
          <cell r="J88">
            <v>0</v>
          </cell>
          <cell r="K88">
            <v>314060.96272036695</v>
          </cell>
          <cell r="L88">
            <v>333858.53610739368</v>
          </cell>
          <cell r="M88">
            <v>296454.21409393346</v>
          </cell>
          <cell r="N88">
            <v>306703.68005397834</v>
          </cell>
          <cell r="O88">
            <v>294594.65157808532</v>
          </cell>
          <cell r="P88">
            <v>318509.91799404233</v>
          </cell>
          <cell r="Q88">
            <v>289980.99853248702</v>
          </cell>
          <cell r="R88">
            <v>299126.39791344421</v>
          </cell>
        </row>
        <row r="89">
          <cell r="G89">
            <v>561487.63269013329</v>
          </cell>
          <cell r="H89">
            <v>276346.92954186664</v>
          </cell>
          <cell r="I89">
            <v>223482.83166666667</v>
          </cell>
          <cell r="J89">
            <v>196960.16500000001</v>
          </cell>
          <cell r="K89">
            <v>591059.90148426662</v>
          </cell>
          <cell r="L89">
            <v>614385.74077066663</v>
          </cell>
          <cell r="M89">
            <v>584062.34906826669</v>
          </cell>
          <cell r="N89">
            <v>560570.97045919998</v>
          </cell>
          <cell r="O89">
            <v>595452.20559093344</v>
          </cell>
          <cell r="P89">
            <v>572761.25534240005</v>
          </cell>
          <cell r="Q89">
            <v>571524.61133813323</v>
          </cell>
          <cell r="R89">
            <v>609891.91491573339</v>
          </cell>
        </row>
        <row r="90">
          <cell r="G90">
            <v>16168.947097912962</v>
          </cell>
          <cell r="H90">
            <v>23105.260588419282</v>
          </cell>
          <cell r="I90">
            <v>2234828316.6666665</v>
          </cell>
          <cell r="J90">
            <v>1969601650</v>
          </cell>
          <cell r="K90">
            <v>14275.498305471227</v>
          </cell>
          <cell r="L90">
            <v>15175.38800488153</v>
          </cell>
          <cell r="M90">
            <v>14822.710704696672</v>
          </cell>
          <cell r="N90">
            <v>16142.298950209388</v>
          </cell>
          <cell r="O90">
            <v>15504.981662004489</v>
          </cell>
          <cell r="P90">
            <v>14477.723545183742</v>
          </cell>
          <cell r="Q90">
            <v>14499.049926624351</v>
          </cell>
          <cell r="R90">
            <v>15281.822719599684</v>
          </cell>
        </row>
        <row r="91">
          <cell r="G91">
            <v>12025.787176195096</v>
          </cell>
          <cell r="H91">
            <v>-25204.988445925366</v>
          </cell>
          <cell r="I91">
            <v>-223482.83166666667</v>
          </cell>
          <cell r="J91">
            <v>-196960.16500000001</v>
          </cell>
          <cell r="K91">
            <v>35987.458738802583</v>
          </cell>
          <cell r="L91">
            <v>24708.691430929408</v>
          </cell>
          <cell r="M91">
            <v>29880.225589599722</v>
          </cell>
          <cell r="N91">
            <v>12266.547669200692</v>
          </cell>
          <cell r="O91">
            <v>22265.654331516824</v>
          </cell>
          <cell r="P91">
            <v>30518.06997165209</v>
          </cell>
          <cell r="Q91">
            <v>33492.482613998203</v>
          </cell>
          <cell r="R91">
            <v>25935.116863873875</v>
          </cell>
        </row>
        <row r="92">
          <cell r="G92">
            <v>-25351.576783303695</v>
          </cell>
          <cell r="H92">
            <v>0</v>
          </cell>
          <cell r="I92">
            <v>0</v>
          </cell>
          <cell r="J92">
            <v>0</v>
          </cell>
          <cell r="K92">
            <v>-12754.983054712269</v>
          </cell>
          <cell r="L92">
            <v>-21753.880048815307</v>
          </cell>
          <cell r="M92">
            <v>-14581.685637573377</v>
          </cell>
          <cell r="N92">
            <v>-25138.391601675103</v>
          </cell>
          <cell r="O92">
            <v>-20039.853296035915</v>
          </cell>
          <cell r="P92">
            <v>-13299.511906653686</v>
          </cell>
          <cell r="Q92">
            <v>-11992.399412994811</v>
          </cell>
          <cell r="R92">
            <v>-18254.581756797474</v>
          </cell>
        </row>
        <row r="93">
          <cell r="G93">
            <v>-13325.7896071086</v>
          </cell>
          <cell r="H93">
            <v>-25204.988445925366</v>
          </cell>
          <cell r="I93">
            <v>-223482.83166666667</v>
          </cell>
          <cell r="J93">
            <v>-196960.16500000001</v>
          </cell>
          <cell r="K93">
            <v>23232.475684090314</v>
          </cell>
          <cell r="L93">
            <v>2954.8113821141014</v>
          </cell>
          <cell r="M93">
            <v>15298.539952026345</v>
          </cell>
          <cell r="N93">
            <v>-12871.84393247441</v>
          </cell>
          <cell r="O93">
            <v>2225.8010354809085</v>
          </cell>
          <cell r="P93">
            <v>17218.558064998404</v>
          </cell>
          <cell r="Q93">
            <v>21500.083201003392</v>
          </cell>
          <cell r="R93">
            <v>7680.5351070764009</v>
          </cell>
        </row>
        <row r="94">
          <cell r="G94">
            <v>48355.440644017828</v>
          </cell>
          <cell r="H94">
            <v>2246.2493707253598</v>
          </cell>
          <cell r="I94">
            <v>0</v>
          </cell>
          <cell r="J94">
            <v>0</v>
          </cell>
          <cell r="K94">
            <v>75296.270497297766</v>
          </cell>
          <cell r="L94">
            <v>64662.567905797594</v>
          </cell>
          <cell r="M94">
            <v>70783.615436067019</v>
          </cell>
          <cell r="N94">
            <v>48532.165925577618</v>
          </cell>
          <cell r="O94">
            <v>65161.739655635072</v>
          </cell>
          <cell r="P94">
            <v>66637.176679990211</v>
          </cell>
          <cell r="Q94">
            <v>73506.290380355509</v>
          </cell>
          <cell r="R94">
            <v>70215.623933836818</v>
          </cell>
        </row>
        <row r="95">
          <cell r="G95">
            <v>12817.370314609259</v>
          </cell>
          <cell r="H95">
            <v>0</v>
          </cell>
          <cell r="I95">
            <v>0</v>
          </cell>
          <cell r="J95">
            <v>0</v>
          </cell>
          <cell r="K95">
            <v>29796.013556230188</v>
          </cell>
          <cell r="L95">
            <v>22596.895960947761</v>
          </cell>
          <cell r="M95">
            <v>25418.314362426623</v>
          </cell>
          <cell r="N95">
            <v>13003.907348534281</v>
          </cell>
          <cell r="O95">
            <v>17465.128365968572</v>
          </cell>
          <cell r="P95">
            <v>31700.488093346314</v>
          </cell>
          <cell r="Q95">
            <v>28007.600587005189</v>
          </cell>
          <cell r="R95">
            <v>20587.474721751991</v>
          </cell>
        </row>
        <row r="96">
          <cell r="G96">
            <v>61172.810958627088</v>
          </cell>
          <cell r="H96">
            <v>2246.2493707253598</v>
          </cell>
          <cell r="I96">
            <v>0</v>
          </cell>
          <cell r="J96">
            <v>0</v>
          </cell>
          <cell r="K96">
            <v>105092.28405352795</v>
          </cell>
          <cell r="L96">
            <v>87259.463866745355</v>
          </cell>
          <cell r="M96">
            <v>96201.929798493642</v>
          </cell>
          <cell r="N96">
            <v>61536.073274111899</v>
          </cell>
          <cell r="O96">
            <v>82626.868021603645</v>
          </cell>
          <cell r="P96">
            <v>98337.664773336524</v>
          </cell>
          <cell r="Q96">
            <v>101513.8909673607</v>
          </cell>
          <cell r="R96">
            <v>90803.098655588808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-28675.788391651848</v>
          </cell>
          <cell r="H98">
            <v>0</v>
          </cell>
          <cell r="I98">
            <v>0</v>
          </cell>
          <cell r="J98">
            <v>0</v>
          </cell>
          <cell r="K98">
            <v>-21101.993221884906</v>
          </cell>
          <cell r="L98">
            <v>-24701.55201952612</v>
          </cell>
          <cell r="M98">
            <v>-23290.842818786688</v>
          </cell>
          <cell r="N98">
            <v>-28569.195800837551</v>
          </cell>
          <cell r="O98">
            <v>-26019.926648017958</v>
          </cell>
          <cell r="P98">
            <v>-21910.894180734969</v>
          </cell>
          <cell r="Q98">
            <v>-21996.199706497406</v>
          </cell>
          <cell r="R98">
            <v>-25127.290878398737</v>
          </cell>
        </row>
        <row r="99">
          <cell r="G99">
            <v>-28675.788391651848</v>
          </cell>
          <cell r="H99">
            <v>0</v>
          </cell>
          <cell r="I99">
            <v>0</v>
          </cell>
          <cell r="J99">
            <v>0</v>
          </cell>
          <cell r="K99">
            <v>-21101.993221884906</v>
          </cell>
          <cell r="L99">
            <v>-24701.55201952612</v>
          </cell>
          <cell r="M99">
            <v>-23290.842818786688</v>
          </cell>
          <cell r="N99">
            <v>-28569.195800837551</v>
          </cell>
          <cell r="O99">
            <v>-26019.926648017958</v>
          </cell>
          <cell r="P99">
            <v>-21910.894180734969</v>
          </cell>
          <cell r="Q99">
            <v>-21996.199706497406</v>
          </cell>
          <cell r="R99">
            <v>-25127.290878398737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60381.227820212924</v>
          </cell>
          <cell r="H109">
            <v>-22958.739075200006</v>
          </cell>
          <cell r="I109">
            <v>-223482.83166666667</v>
          </cell>
          <cell r="J109">
            <v>-196960.16500000001</v>
          </cell>
          <cell r="K109">
            <v>111283.72923610035</v>
          </cell>
          <cell r="L109">
            <v>89371.259336727002</v>
          </cell>
          <cell r="M109">
            <v>100663.84102566674</v>
          </cell>
          <cell r="N109">
            <v>60798.71359477831</v>
          </cell>
          <cell r="O109">
            <v>87427.393987151896</v>
          </cell>
          <cell r="P109">
            <v>97155.246651642301</v>
          </cell>
          <cell r="Q109">
            <v>106998.77299435371</v>
          </cell>
          <cell r="R109">
            <v>96150.740797710692</v>
          </cell>
        </row>
        <row r="110">
          <cell r="G110">
            <v>-41209.994860346284</v>
          </cell>
          <cell r="H110">
            <v>0</v>
          </cell>
          <cell r="I110">
            <v>0</v>
          </cell>
          <cell r="J110">
            <v>0</v>
          </cell>
          <cell r="K110">
            <v>-4060.9627203669879</v>
          </cell>
          <cell r="L110">
            <v>-23858.536107393666</v>
          </cell>
          <cell r="M110">
            <v>-12454.214093933442</v>
          </cell>
          <cell r="N110">
            <v>-40703.680053978373</v>
          </cell>
          <cell r="O110">
            <v>-28594.651578085301</v>
          </cell>
          <cell r="P110">
            <v>-3509.9179940423419</v>
          </cell>
          <cell r="Q110">
            <v>-5980.9985324870286</v>
          </cell>
          <cell r="R110">
            <v>-22794.39791344422</v>
          </cell>
        </row>
        <row r="111">
          <cell r="G111">
            <v>19171.23295986664</v>
          </cell>
          <cell r="H111">
            <v>-22958.739075200006</v>
          </cell>
          <cell r="I111">
            <v>-223482.83166666667</v>
          </cell>
          <cell r="J111">
            <v>-196960.16500000001</v>
          </cell>
          <cell r="K111">
            <v>107222.76651573335</v>
          </cell>
          <cell r="L111">
            <v>65512.723229333336</v>
          </cell>
          <cell r="M111">
            <v>88209.626931733306</v>
          </cell>
          <cell r="N111">
            <v>20095.033540799937</v>
          </cell>
          <cell r="O111">
            <v>58832.742409066595</v>
          </cell>
          <cell r="P111">
            <v>93645.328657599952</v>
          </cell>
          <cell r="Q111">
            <v>101017.77446186668</v>
          </cell>
          <cell r="R111">
            <v>73356.342884266473</v>
          </cell>
        </row>
        <row r="112">
          <cell r="G112">
            <v>16856.204045273767</v>
          </cell>
          <cell r="H112">
            <v>7826.16343189708</v>
          </cell>
          <cell r="I112">
            <v>0</v>
          </cell>
          <cell r="J112">
            <v>0</v>
          </cell>
          <cell r="K112">
            <v>15698.755219152457</v>
          </cell>
          <cell r="L112">
            <v>17821.994817749423</v>
          </cell>
          <cell r="M112">
            <v>16051.78205212071</v>
          </cell>
          <cell r="N112">
            <v>15863.062395615161</v>
          </cell>
          <cell r="O112">
            <v>17264.937823838532</v>
          </cell>
          <cell r="P112">
            <v>16031.319982833596</v>
          </cell>
          <cell r="Q112">
            <v>15125.007903778645</v>
          </cell>
          <cell r="R112">
            <v>15157.449107527089</v>
          </cell>
        </row>
        <row r="113">
          <cell r="G113">
            <v>2315.0289145928728</v>
          </cell>
          <cell r="H113">
            <v>-30784.902507097086</v>
          </cell>
          <cell r="I113">
            <v>-223482.83166666667</v>
          </cell>
          <cell r="J113">
            <v>-196960.16500000001</v>
          </cell>
          <cell r="K113">
            <v>91524.011296580895</v>
          </cell>
          <cell r="L113">
            <v>47690.728411583914</v>
          </cell>
          <cell r="M113">
            <v>72157.844879612589</v>
          </cell>
          <cell r="N113">
            <v>4231.9711451847761</v>
          </cell>
          <cell r="O113">
            <v>41567.804585228063</v>
          </cell>
          <cell r="P113">
            <v>77614.008674766359</v>
          </cell>
          <cell r="Q113">
            <v>85892.766558088028</v>
          </cell>
          <cell r="R113">
            <v>58198.89377673938</v>
          </cell>
        </row>
        <row r="115">
          <cell r="G115">
            <v>57289.855000000003</v>
          </cell>
          <cell r="H115">
            <v>57706.521666666667</v>
          </cell>
          <cell r="I115">
            <v>57706.521666666667</v>
          </cell>
          <cell r="J115">
            <v>57914.855000000003</v>
          </cell>
          <cell r="K115">
            <v>57914.855000000003</v>
          </cell>
          <cell r="L115">
            <v>57914.855000000003</v>
          </cell>
          <cell r="M115">
            <v>57914.855000000003</v>
          </cell>
          <cell r="N115">
            <v>58123.188333333339</v>
          </cell>
          <cell r="O115">
            <v>58123.188333333339</v>
          </cell>
          <cell r="P115">
            <v>58123.188333333339</v>
          </cell>
          <cell r="Q115">
            <v>58123.188333333339</v>
          </cell>
          <cell r="R115">
            <v>58123.188333333339</v>
          </cell>
        </row>
        <row r="116">
          <cell r="G116">
            <v>59604.88391459288</v>
          </cell>
          <cell r="H116">
            <v>26921.619159569582</v>
          </cell>
          <cell r="I116">
            <v>-165776.31</v>
          </cell>
          <cell r="J116">
            <v>-139045.31</v>
          </cell>
          <cell r="K116">
            <v>149438.86629658091</v>
          </cell>
          <cell r="L116">
            <v>105605.58341158391</v>
          </cell>
          <cell r="M116">
            <v>130072.6998796126</v>
          </cell>
          <cell r="N116">
            <v>62355.159478518115</v>
          </cell>
          <cell r="O116">
            <v>99690.992918561402</v>
          </cell>
          <cell r="P116">
            <v>135737.1970080997</v>
          </cell>
          <cell r="Q116">
            <v>144015.95489142137</v>
          </cell>
          <cell r="R116">
            <v>116322.08211007272</v>
          </cell>
        </row>
        <row r="119">
          <cell r="G119">
            <v>630.36429238703613</v>
          </cell>
          <cell r="H119">
            <v>-9560.4901001611524</v>
          </cell>
          <cell r="I119">
            <v>-60852.629596198458</v>
          </cell>
          <cell r="J119">
            <v>-53630.714612691307</v>
          </cell>
          <cell r="K119">
            <v>25599.436319439166</v>
          </cell>
          <cell r="L119">
            <v>13047.497303596239</v>
          </cell>
          <cell r="M119">
            <v>20963.566238679432</v>
          </cell>
          <cell r="N119">
            <v>1152.3185238267463</v>
          </cell>
          <cell r="O119">
            <v>12408.428356155466</v>
          </cell>
          <cell r="P119">
            <v>20580.77671779013</v>
          </cell>
          <cell r="Q119">
            <v>24943.853680458393</v>
          </cell>
          <cell r="R119">
            <v>17428.748462762647</v>
          </cell>
        </row>
        <row r="120">
          <cell r="G120">
            <v>414.63761488967248</v>
          </cell>
          <cell r="H120">
            <v>0</v>
          </cell>
          <cell r="I120">
            <v>-40027.313571309343</v>
          </cell>
          <cell r="J120">
            <v>-35276.921393544908</v>
          </cell>
          <cell r="K120">
            <v>17039.118989783539</v>
          </cell>
          <cell r="L120">
            <v>9118.7067213405389</v>
          </cell>
          <cell r="M120">
            <v>11162.76765265567</v>
          </cell>
          <cell r="N120">
            <v>757.96584623062722</v>
          </cell>
          <cell r="O120">
            <v>6607.2919606026435</v>
          </cell>
          <cell r="P120">
            <v>13626.574576201461</v>
          </cell>
          <cell r="Q120">
            <v>13282.207799312735</v>
          </cell>
          <cell r="R120">
            <v>8858.6906496769061</v>
          </cell>
        </row>
        <row r="121">
          <cell r="G121">
            <v>624.14918412263592</v>
          </cell>
          <cell r="H121">
            <v>-21224.412406935935</v>
          </cell>
          <cell r="I121">
            <v>-60252.65005154239</v>
          </cell>
          <cell r="J121">
            <v>-53101.939899972698</v>
          </cell>
          <cell r="K121">
            <v>25292.829693811742</v>
          </cell>
          <cell r="L121">
            <v>12898.62277248331</v>
          </cell>
          <cell r="M121">
            <v>20711.336204834977</v>
          </cell>
          <cell r="N121">
            <v>1141.0092069604646</v>
          </cell>
          <cell r="O121">
            <v>12259.95640676199</v>
          </cell>
          <cell r="P121">
            <v>20346.300405664599</v>
          </cell>
          <cell r="Q121">
            <v>24678.268502583309</v>
          </cell>
          <cell r="R121">
            <v>17232.263538914049</v>
          </cell>
        </row>
        <row r="122">
          <cell r="G122">
            <v>502.34941803941092</v>
          </cell>
          <cell r="H122">
            <v>0</v>
          </cell>
          <cell r="I122">
            <v>-48494.629903701709</v>
          </cell>
          <cell r="J122">
            <v>-42739.347072948636</v>
          </cell>
          <cell r="K122">
            <v>18874.101034837153</v>
          </cell>
          <cell r="L122">
            <v>10100.721291331058</v>
          </cell>
          <cell r="M122">
            <v>15456.139826754004</v>
          </cell>
          <cell r="N122">
            <v>918.30477524095215</v>
          </cell>
          <cell r="O122">
            <v>8004.9883368839719</v>
          </cell>
          <cell r="P122">
            <v>18867.564797817406</v>
          </cell>
          <cell r="Q122">
            <v>18390.749260586865</v>
          </cell>
          <cell r="R122">
            <v>11612.721285113001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143.52840515411742</v>
          </cell>
          <cell r="H124">
            <v>0</v>
          </cell>
          <cell r="I124">
            <v>-13855.608543914774</v>
          </cell>
          <cell r="J124">
            <v>-12211.242020842468</v>
          </cell>
          <cell r="K124">
            <v>4718.5252587092882</v>
          </cell>
          <cell r="L124">
            <v>2525.1803228327644</v>
          </cell>
          <cell r="M124">
            <v>3864.0349566885011</v>
          </cell>
          <cell r="N124">
            <v>262.37279292598635</v>
          </cell>
          <cell r="O124">
            <v>2287.1395248239919</v>
          </cell>
          <cell r="P124">
            <v>4192.7921772927575</v>
          </cell>
          <cell r="Q124">
            <v>4597.6873151467162</v>
          </cell>
          <cell r="R124">
            <v>3066.4698402727754</v>
          </cell>
        </row>
        <row r="126">
          <cell r="G126">
            <v>0.27229218970593017</v>
          </cell>
          <cell r="H126">
            <v>0.31055775141587982</v>
          </cell>
          <cell r="I126">
            <v>0</v>
          </cell>
          <cell r="J126">
            <v>0</v>
          </cell>
          <cell r="K126">
            <v>0.27970186136712188</v>
          </cell>
          <cell r="L126">
            <v>0.27358561586631264</v>
          </cell>
          <cell r="M126">
            <v>0.29052372993753944</v>
          </cell>
          <cell r="N126">
            <v>0.27228884231355832</v>
          </cell>
          <cell r="O126">
            <v>0.29851055353943434</v>
          </cell>
          <cell r="P126">
            <v>0.26516832552782821</v>
          </cell>
          <cell r="Q126">
            <v>0.29040691876642755</v>
          </cell>
          <cell r="R126">
            <v>0.29946872408988084</v>
          </cell>
        </row>
        <row r="127">
          <cell r="G127">
            <v>0.17910688383889659</v>
          </cell>
          <cell r="H127">
            <v>0</v>
          </cell>
          <cell r="I127">
            <v>0</v>
          </cell>
          <cell r="J127">
            <v>0</v>
          </cell>
          <cell r="K127">
            <v>0.18617102494086246</v>
          </cell>
          <cell r="L127">
            <v>0.19120502087205773</v>
          </cell>
          <cell r="M127">
            <v>0.15469929390601281</v>
          </cell>
          <cell r="N127">
            <v>0.17910468200924676</v>
          </cell>
          <cell r="O127">
            <v>0.15895215122692996</v>
          </cell>
          <cell r="P127">
            <v>0.17556849348295153</v>
          </cell>
          <cell r="Q127">
            <v>0.15463709380382074</v>
          </cell>
          <cell r="R127">
            <v>0.15221407272207466</v>
          </cell>
        </row>
        <row r="128">
          <cell r="G128">
            <v>0.26960751124458437</v>
          </cell>
          <cell r="H128">
            <v>0.68944224858412029</v>
          </cell>
          <cell r="I128">
            <v>0</v>
          </cell>
          <cell r="J128">
            <v>0</v>
          </cell>
          <cell r="K128">
            <v>0.27635184838928295</v>
          </cell>
          <cell r="L128">
            <v>0.2704639497464727</v>
          </cell>
          <cell r="M128">
            <v>0.28702819824219472</v>
          </cell>
          <cell r="N128">
            <v>0.26961649023971451</v>
          </cell>
          <cell r="O128">
            <v>0.29493875197630254</v>
          </cell>
          <cell r="P128">
            <v>0.26214726894114837</v>
          </cell>
          <cell r="Q128">
            <v>0.28731486353852342</v>
          </cell>
          <cell r="R128">
            <v>0.29609263030015437</v>
          </cell>
        </row>
        <row r="129">
          <cell r="G129">
            <v>0.2169948784971247</v>
          </cell>
          <cell r="H129">
            <v>0</v>
          </cell>
          <cell r="I129">
            <v>0</v>
          </cell>
          <cell r="J129">
            <v>0</v>
          </cell>
          <cell r="K129">
            <v>0.20622021224218612</v>
          </cell>
          <cell r="L129">
            <v>0.21179633081212548</v>
          </cell>
          <cell r="M129">
            <v>0.21419902233140237</v>
          </cell>
          <cell r="N129">
            <v>0.21699221089581819</v>
          </cell>
          <cell r="O129">
            <v>0.1925766447557036</v>
          </cell>
          <cell r="P129">
            <v>0.24309483713024058</v>
          </cell>
          <cell r="Q129">
            <v>0.21411289911298256</v>
          </cell>
          <cell r="R129">
            <v>0.19953508617640273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6.1998536713464204E-2</v>
          </cell>
          <cell r="H131">
            <v>0</v>
          </cell>
          <cell r="I131">
            <v>0</v>
          </cell>
          <cell r="J131">
            <v>0</v>
          </cell>
          <cell r="K131">
            <v>5.155505306054653E-2</v>
          </cell>
          <cell r="L131">
            <v>5.2949082703031371E-2</v>
          </cell>
          <cell r="M131">
            <v>5.3549755582850592E-2</v>
          </cell>
          <cell r="N131">
            <v>6.1997774541662339E-2</v>
          </cell>
          <cell r="O131">
            <v>5.5021898501629599E-2</v>
          </cell>
          <cell r="P131">
            <v>5.4021074917831244E-2</v>
          </cell>
          <cell r="Q131">
            <v>5.3528224778245641E-2</v>
          </cell>
          <cell r="R131">
            <v>5.2689486711487384E-2</v>
          </cell>
        </row>
        <row r="132">
          <cell r="G132">
            <v>1</v>
          </cell>
          <cell r="H132">
            <v>1</v>
          </cell>
          <cell r="I132">
            <v>0</v>
          </cell>
          <cell r="J132">
            <v>0</v>
          </cell>
          <cell r="K132">
            <v>0.99999999999999989</v>
          </cell>
          <cell r="L132">
            <v>0.99999999999999989</v>
          </cell>
          <cell r="M132">
            <v>1</v>
          </cell>
          <cell r="N132">
            <v>1.0000000000000002</v>
          </cell>
          <cell r="O132">
            <v>1</v>
          </cell>
          <cell r="P132">
            <v>1</v>
          </cell>
          <cell r="Q132">
            <v>0.99999999999999989</v>
          </cell>
          <cell r="R132">
            <v>1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8000</v>
          </cell>
          <cell r="H12">
            <v>0</v>
          </cell>
          <cell r="I12">
            <v>0</v>
          </cell>
          <cell r="J12">
            <v>0</v>
          </cell>
          <cell r="K12">
            <v>10000</v>
          </cell>
          <cell r="L12">
            <v>10000</v>
          </cell>
          <cell r="M12">
            <v>8000</v>
          </cell>
          <cell r="N12">
            <v>8000</v>
          </cell>
          <cell r="O12">
            <v>8000</v>
          </cell>
          <cell r="P12">
            <v>9000</v>
          </cell>
          <cell r="Q12">
            <v>8000</v>
          </cell>
          <cell r="R12">
            <v>8000</v>
          </cell>
        </row>
        <row r="13">
          <cell r="G13">
            <v>17034.792799999999</v>
          </cell>
          <cell r="H13">
            <v>4496.666666666667</v>
          </cell>
          <cell r="I13">
            <v>0.1</v>
          </cell>
          <cell r="J13">
            <v>0.1</v>
          </cell>
          <cell r="K13">
            <v>21160.626400000001</v>
          </cell>
          <cell r="L13">
            <v>20629.167999999998</v>
          </cell>
          <cell r="M13">
            <v>19160.626400000001</v>
          </cell>
          <cell r="N13">
            <v>17034.792799999999</v>
          </cell>
          <cell r="O13">
            <v>19160.626400000001</v>
          </cell>
          <cell r="P13">
            <v>19097.709600000002</v>
          </cell>
          <cell r="Q13">
            <v>19160.626400000001</v>
          </cell>
          <cell r="R13">
            <v>19692.084799999997</v>
          </cell>
        </row>
        <row r="14">
          <cell r="G14">
            <v>6564.1718999999994</v>
          </cell>
          <cell r="H14">
            <v>7336.4147999999996</v>
          </cell>
          <cell r="I14">
            <v>0</v>
          </cell>
          <cell r="J14">
            <v>0</v>
          </cell>
          <cell r="K14">
            <v>8108.1</v>
          </cell>
          <cell r="L14">
            <v>7722</v>
          </cell>
          <cell r="M14">
            <v>8108.1</v>
          </cell>
          <cell r="N14">
            <v>6563.7</v>
          </cell>
          <cell r="O14">
            <v>8108.1</v>
          </cell>
          <cell r="P14">
            <v>7335.9</v>
          </cell>
          <cell r="Q14">
            <v>8108.6147999999994</v>
          </cell>
          <cell r="R14">
            <v>8494.7147999999979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127.33066666666667</v>
          </cell>
          <cell r="H17">
            <v>127.26533333333333</v>
          </cell>
          <cell r="I17">
            <v>0</v>
          </cell>
          <cell r="J17">
            <v>0</v>
          </cell>
          <cell r="K17">
            <v>135.0753333333333</v>
          </cell>
          <cell r="L17">
            <v>134.50133333333332</v>
          </cell>
          <cell r="M17">
            <v>134.48133333333334</v>
          </cell>
          <cell r="N17">
            <v>128.34333333333333</v>
          </cell>
          <cell r="O17">
            <v>135.20200000000003</v>
          </cell>
          <cell r="P17">
            <v>127.94533333333334</v>
          </cell>
          <cell r="Q17">
            <v>148.83200000000002</v>
          </cell>
          <cell r="R17">
            <v>148.83200000000002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7000</v>
          </cell>
          <cell r="H20">
            <v>0</v>
          </cell>
          <cell r="I20">
            <v>0</v>
          </cell>
          <cell r="J20">
            <v>0</v>
          </cell>
          <cell r="K20">
            <v>8000</v>
          </cell>
          <cell r="L20">
            <v>8000</v>
          </cell>
          <cell r="M20">
            <v>8000</v>
          </cell>
          <cell r="N20">
            <v>7000</v>
          </cell>
          <cell r="O20">
            <v>7000</v>
          </cell>
          <cell r="P20">
            <v>9000</v>
          </cell>
          <cell r="Q20">
            <v>8000</v>
          </cell>
          <cell r="R20">
            <v>7574</v>
          </cell>
        </row>
        <row r="21">
          <cell r="G21">
            <v>13691.502566666666</v>
          </cell>
          <cell r="H21">
            <v>7463.6801333333333</v>
          </cell>
          <cell r="I21">
            <v>0</v>
          </cell>
          <cell r="J21">
            <v>0</v>
          </cell>
          <cell r="K21">
            <v>16243.175333333334</v>
          </cell>
          <cell r="L21">
            <v>15856.501333333334</v>
          </cell>
          <cell r="M21">
            <v>16242.581333333334</v>
          </cell>
          <cell r="N21">
            <v>13692.043333333333</v>
          </cell>
          <cell r="O21">
            <v>15243.302</v>
          </cell>
          <cell r="P21">
            <v>16463.845333333331</v>
          </cell>
          <cell r="Q21">
            <v>16257.4468</v>
          </cell>
          <cell r="R21">
            <v>16217.546799999998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4000</v>
          </cell>
          <cell r="H28">
            <v>0</v>
          </cell>
          <cell r="I28">
            <v>0</v>
          </cell>
          <cell r="J28">
            <v>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>
            <v>4000</v>
          </cell>
          <cell r="Q28">
            <v>4000</v>
          </cell>
          <cell r="R28">
            <v>4000</v>
          </cell>
        </row>
        <row r="29">
          <cell r="G29">
            <v>4000</v>
          </cell>
          <cell r="H29">
            <v>0</v>
          </cell>
          <cell r="I29">
            <v>0</v>
          </cell>
          <cell r="J29">
            <v>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>
            <v>4000</v>
          </cell>
          <cell r="Q29">
            <v>4000</v>
          </cell>
          <cell r="R29">
            <v>4000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15598.964699999999</v>
          </cell>
          <cell r="H54">
            <v>11833.081466666667</v>
          </cell>
          <cell r="I54">
            <v>0.1</v>
          </cell>
          <cell r="J54">
            <v>0.1</v>
          </cell>
          <cell r="K54">
            <v>19268.7264</v>
          </cell>
          <cell r="L54">
            <v>18351.167999999998</v>
          </cell>
          <cell r="M54">
            <v>19268.7264</v>
          </cell>
          <cell r="N54">
            <v>15598.4928</v>
          </cell>
          <cell r="O54">
            <v>19268.7264</v>
          </cell>
          <cell r="P54">
            <v>17433.6096</v>
          </cell>
          <cell r="Q54">
            <v>19269.241199999997</v>
          </cell>
          <cell r="R54">
            <v>20186.799599999998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127.33066666666667</v>
          </cell>
          <cell r="H57">
            <v>127.26533333333333</v>
          </cell>
          <cell r="I57">
            <v>0</v>
          </cell>
          <cell r="J57">
            <v>0</v>
          </cell>
          <cell r="K57">
            <v>135.0753333333333</v>
          </cell>
          <cell r="L57">
            <v>134.50133333333332</v>
          </cell>
          <cell r="M57">
            <v>134.48133333333334</v>
          </cell>
          <cell r="N57">
            <v>128.34333333333333</v>
          </cell>
          <cell r="O57">
            <v>135.20200000000003</v>
          </cell>
          <cell r="P57">
            <v>127.94533333333334</v>
          </cell>
          <cell r="Q57">
            <v>148.83200000000002</v>
          </cell>
          <cell r="R57">
            <v>148.83200000000002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19000</v>
          </cell>
          <cell r="H60">
            <v>0</v>
          </cell>
          <cell r="I60">
            <v>0</v>
          </cell>
          <cell r="J60">
            <v>0</v>
          </cell>
          <cell r="K60">
            <v>22000</v>
          </cell>
          <cell r="L60">
            <v>22000</v>
          </cell>
          <cell r="M60">
            <v>20000</v>
          </cell>
          <cell r="N60">
            <v>19000</v>
          </cell>
          <cell r="O60">
            <v>19000</v>
          </cell>
          <cell r="P60">
            <v>22000</v>
          </cell>
          <cell r="Q60">
            <v>20000</v>
          </cell>
          <cell r="R60">
            <v>19574</v>
          </cell>
        </row>
        <row r="61">
          <cell r="G61">
            <v>34726.295366666665</v>
          </cell>
          <cell r="H61">
            <v>11960.346799999999</v>
          </cell>
          <cell r="I61">
            <v>0.1</v>
          </cell>
          <cell r="J61">
            <v>0.1</v>
          </cell>
          <cell r="K61">
            <v>41403.801733333334</v>
          </cell>
          <cell r="L61">
            <v>40485.669333333331</v>
          </cell>
          <cell r="M61">
            <v>39403.207733333329</v>
          </cell>
          <cell r="N61">
            <v>34726.836133333331</v>
          </cell>
          <cell r="O61">
            <v>38403.928400000004</v>
          </cell>
          <cell r="P61">
            <v>39561.554933333333</v>
          </cell>
          <cell r="Q61">
            <v>39418.073199999999</v>
          </cell>
          <cell r="R61">
            <v>39909.631599999993</v>
          </cell>
        </row>
        <row r="63">
          <cell r="G63">
            <v>9034.7927999999993</v>
          </cell>
          <cell r="H63">
            <v>4496.666666666667</v>
          </cell>
          <cell r="I63">
            <v>0.1</v>
          </cell>
          <cell r="J63">
            <v>0.1</v>
          </cell>
          <cell r="K63">
            <v>11160.626399999999</v>
          </cell>
          <cell r="L63">
            <v>10629.168</v>
          </cell>
          <cell r="M63">
            <v>11160.626399999999</v>
          </cell>
          <cell r="N63">
            <v>9034.7927999999993</v>
          </cell>
          <cell r="O63">
            <v>11160.626399999999</v>
          </cell>
          <cell r="P63">
            <v>10097.7096</v>
          </cell>
          <cell r="Q63">
            <v>11160.626399999999</v>
          </cell>
          <cell r="R63">
            <v>11692.084799999999</v>
          </cell>
        </row>
        <row r="64">
          <cell r="G64">
            <v>8000</v>
          </cell>
          <cell r="H64">
            <v>0</v>
          </cell>
          <cell r="I64">
            <v>0</v>
          </cell>
          <cell r="J64">
            <v>0</v>
          </cell>
          <cell r="K64">
            <v>10000</v>
          </cell>
          <cell r="L64">
            <v>10000</v>
          </cell>
          <cell r="M64">
            <v>8000</v>
          </cell>
          <cell r="N64">
            <v>8000</v>
          </cell>
          <cell r="O64">
            <v>8000</v>
          </cell>
          <cell r="P64">
            <v>9000</v>
          </cell>
          <cell r="Q64">
            <v>8000</v>
          </cell>
          <cell r="R64">
            <v>8000</v>
          </cell>
        </row>
        <row r="65">
          <cell r="G65">
            <v>17034.792799999999</v>
          </cell>
          <cell r="H65">
            <v>4496.666666666667</v>
          </cell>
          <cell r="I65">
            <v>0.1</v>
          </cell>
          <cell r="J65">
            <v>0.1</v>
          </cell>
          <cell r="K65">
            <v>21160.626400000001</v>
          </cell>
          <cell r="L65">
            <v>20629.167999999998</v>
          </cell>
          <cell r="M65">
            <v>19160.626400000001</v>
          </cell>
          <cell r="N65">
            <v>17034.792799999999</v>
          </cell>
          <cell r="O65">
            <v>19160.626400000001</v>
          </cell>
          <cell r="P65">
            <v>19097.709600000002</v>
          </cell>
          <cell r="Q65">
            <v>19160.626400000001</v>
          </cell>
          <cell r="R65">
            <v>19692.084799999997</v>
          </cell>
        </row>
        <row r="66">
          <cell r="G66">
            <v>6691.5025666666661</v>
          </cell>
          <cell r="H66">
            <v>7463.6801333333333</v>
          </cell>
          <cell r="I66">
            <v>0</v>
          </cell>
          <cell r="J66">
            <v>0</v>
          </cell>
          <cell r="K66">
            <v>8243.1753333333345</v>
          </cell>
          <cell r="L66">
            <v>7856.5013333333336</v>
          </cell>
          <cell r="M66">
            <v>8242.5813333333335</v>
          </cell>
          <cell r="N66">
            <v>6692.0433333333331</v>
          </cell>
          <cell r="O66">
            <v>8243.3019999999997</v>
          </cell>
          <cell r="P66">
            <v>7463.8453333333327</v>
          </cell>
          <cell r="Q66">
            <v>8257.4467999999997</v>
          </cell>
          <cell r="R66">
            <v>8643.5467999999983</v>
          </cell>
        </row>
        <row r="67">
          <cell r="G67">
            <v>7000</v>
          </cell>
          <cell r="H67">
            <v>0</v>
          </cell>
          <cell r="I67">
            <v>0</v>
          </cell>
          <cell r="J67">
            <v>0</v>
          </cell>
          <cell r="K67">
            <v>8000</v>
          </cell>
          <cell r="L67">
            <v>8000</v>
          </cell>
          <cell r="M67">
            <v>8000</v>
          </cell>
          <cell r="N67">
            <v>7000</v>
          </cell>
          <cell r="O67">
            <v>7000</v>
          </cell>
          <cell r="P67">
            <v>9000</v>
          </cell>
          <cell r="Q67">
            <v>8000</v>
          </cell>
          <cell r="R67">
            <v>7574</v>
          </cell>
        </row>
        <row r="68">
          <cell r="G68">
            <v>13691.502566666666</v>
          </cell>
          <cell r="H68">
            <v>7463.6801333333333</v>
          </cell>
          <cell r="I68">
            <v>0</v>
          </cell>
          <cell r="J68">
            <v>0</v>
          </cell>
          <cell r="K68">
            <v>16243.175333333334</v>
          </cell>
          <cell r="L68">
            <v>15856.501333333334</v>
          </cell>
          <cell r="M68">
            <v>16242.581333333334</v>
          </cell>
          <cell r="N68">
            <v>13692.043333333333</v>
          </cell>
          <cell r="O68">
            <v>15243.302</v>
          </cell>
          <cell r="P68">
            <v>16463.845333333331</v>
          </cell>
          <cell r="Q68">
            <v>16257.4468</v>
          </cell>
          <cell r="R68">
            <v>16217.546799999998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4000</v>
          </cell>
          <cell r="H70">
            <v>0</v>
          </cell>
          <cell r="I70">
            <v>0</v>
          </cell>
          <cell r="J70">
            <v>0</v>
          </cell>
          <cell r="K70">
            <v>4000</v>
          </cell>
          <cell r="L70">
            <v>4000</v>
          </cell>
          <cell r="M70">
            <v>4000</v>
          </cell>
          <cell r="N70">
            <v>4000</v>
          </cell>
          <cell r="O70">
            <v>4000</v>
          </cell>
          <cell r="P70">
            <v>4000</v>
          </cell>
          <cell r="Q70">
            <v>4000</v>
          </cell>
          <cell r="R70">
            <v>4000</v>
          </cell>
        </row>
        <row r="71">
          <cell r="G71">
            <v>4000</v>
          </cell>
          <cell r="H71">
            <v>0</v>
          </cell>
          <cell r="I71">
            <v>0</v>
          </cell>
          <cell r="J71">
            <v>0</v>
          </cell>
          <cell r="K71">
            <v>4000</v>
          </cell>
          <cell r="L71">
            <v>4000</v>
          </cell>
          <cell r="M71">
            <v>4000</v>
          </cell>
          <cell r="N71">
            <v>4000</v>
          </cell>
          <cell r="O71">
            <v>4000</v>
          </cell>
          <cell r="P71">
            <v>4000</v>
          </cell>
          <cell r="Q71">
            <v>4000</v>
          </cell>
          <cell r="R71">
            <v>4000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15726.295366666665</v>
          </cell>
          <cell r="H81">
            <v>11960.346799999999</v>
          </cell>
          <cell r="I81">
            <v>0.1</v>
          </cell>
          <cell r="J81">
            <v>0.1</v>
          </cell>
          <cell r="K81">
            <v>19403.801733333334</v>
          </cell>
          <cell r="L81">
            <v>18485.669333333331</v>
          </cell>
          <cell r="M81">
            <v>19403.207733333333</v>
          </cell>
          <cell r="N81">
            <v>15726.836133333332</v>
          </cell>
          <cell r="O81">
            <v>19403.928399999997</v>
          </cell>
          <cell r="P81">
            <v>17561.554933333333</v>
          </cell>
          <cell r="Q81">
            <v>19418.073199999999</v>
          </cell>
          <cell r="R81">
            <v>20335.631599999997</v>
          </cell>
        </row>
        <row r="82">
          <cell r="G82">
            <v>19000</v>
          </cell>
          <cell r="H82">
            <v>0</v>
          </cell>
          <cell r="I82">
            <v>0</v>
          </cell>
          <cell r="J82">
            <v>0</v>
          </cell>
          <cell r="K82">
            <v>22000</v>
          </cell>
          <cell r="L82">
            <v>22000</v>
          </cell>
          <cell r="M82">
            <v>20000</v>
          </cell>
          <cell r="N82">
            <v>19000</v>
          </cell>
          <cell r="O82">
            <v>19000</v>
          </cell>
          <cell r="P82">
            <v>22000</v>
          </cell>
          <cell r="Q82">
            <v>20000</v>
          </cell>
          <cell r="R82">
            <v>19574</v>
          </cell>
        </row>
        <row r="83">
          <cell r="G83">
            <v>34726.295366666665</v>
          </cell>
          <cell r="H83">
            <v>11960.346799999999</v>
          </cell>
          <cell r="I83">
            <v>0.1</v>
          </cell>
          <cell r="J83">
            <v>0.1</v>
          </cell>
          <cell r="K83">
            <v>41403.801733333334</v>
          </cell>
          <cell r="L83">
            <v>40485.669333333331</v>
          </cell>
          <cell r="M83">
            <v>39403.207733333329</v>
          </cell>
          <cell r="N83">
            <v>34726.836133333331</v>
          </cell>
          <cell r="O83">
            <v>38403.928399999997</v>
          </cell>
          <cell r="P83">
            <v>39561.554933333333</v>
          </cell>
          <cell r="Q83">
            <v>39418.073199999999</v>
          </cell>
          <cell r="R83">
            <v>39909.631599999993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17500</v>
          </cell>
          <cell r="H6">
            <v>17500</v>
          </cell>
          <cell r="I6">
            <v>0</v>
          </cell>
          <cell r="J6">
            <v>0</v>
          </cell>
          <cell r="K6">
            <v>17500</v>
          </cell>
          <cell r="L6">
            <v>17500</v>
          </cell>
          <cell r="M6">
            <v>17500</v>
          </cell>
          <cell r="N6">
            <v>17500</v>
          </cell>
          <cell r="O6">
            <v>17500</v>
          </cell>
          <cell r="P6">
            <v>17500</v>
          </cell>
          <cell r="Q6">
            <v>17500</v>
          </cell>
          <cell r="R6">
            <v>17500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13000</v>
          </cell>
          <cell r="H12">
            <v>0</v>
          </cell>
          <cell r="I12">
            <v>0</v>
          </cell>
          <cell r="J12">
            <v>0</v>
          </cell>
          <cell r="K12">
            <v>13000</v>
          </cell>
          <cell r="L12">
            <v>13000</v>
          </cell>
          <cell r="M12">
            <v>13000</v>
          </cell>
          <cell r="N12">
            <v>13000</v>
          </cell>
          <cell r="O12">
            <v>13000</v>
          </cell>
          <cell r="P12">
            <v>13000</v>
          </cell>
          <cell r="Q12">
            <v>13000</v>
          </cell>
          <cell r="R12">
            <v>13000</v>
          </cell>
        </row>
        <row r="13">
          <cell r="G13">
            <v>15386.6781402824</v>
          </cell>
          <cell r="H13">
            <v>17500</v>
          </cell>
          <cell r="I13">
            <v>0</v>
          </cell>
          <cell r="J13">
            <v>0</v>
          </cell>
          <cell r="K13">
            <v>15373.4088892567</v>
          </cell>
          <cell r="L13">
            <v>15318.622641494801</v>
          </cell>
          <cell r="M13">
            <v>15621.147020537908</v>
          </cell>
          <cell r="N13">
            <v>15386.6781402824</v>
          </cell>
          <cell r="O13">
            <v>15621.147020537908</v>
          </cell>
          <cell r="P13">
            <v>15379.326848702316</v>
          </cell>
          <cell r="Q13">
            <v>15621.147020537908</v>
          </cell>
          <cell r="R13">
            <v>15671.854307675945</v>
          </cell>
        </row>
        <row r="14">
          <cell r="G14">
            <v>23500</v>
          </cell>
          <cell r="H14">
            <v>23500</v>
          </cell>
          <cell r="I14">
            <v>0</v>
          </cell>
          <cell r="J14">
            <v>0</v>
          </cell>
          <cell r="K14">
            <v>23500</v>
          </cell>
          <cell r="L14">
            <v>23500</v>
          </cell>
          <cell r="M14">
            <v>23500</v>
          </cell>
          <cell r="N14">
            <v>23500</v>
          </cell>
          <cell r="O14">
            <v>23500</v>
          </cell>
          <cell r="P14">
            <v>23500</v>
          </cell>
          <cell r="Q14">
            <v>23500</v>
          </cell>
          <cell r="R14">
            <v>23500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18000</v>
          </cell>
          <cell r="H17">
            <v>18000</v>
          </cell>
          <cell r="I17">
            <v>0</v>
          </cell>
          <cell r="J17">
            <v>0</v>
          </cell>
          <cell r="K17">
            <v>18000</v>
          </cell>
          <cell r="L17">
            <v>18000</v>
          </cell>
          <cell r="M17">
            <v>18000</v>
          </cell>
          <cell r="N17">
            <v>18000</v>
          </cell>
          <cell r="O17">
            <v>18000</v>
          </cell>
          <cell r="P17">
            <v>18000</v>
          </cell>
          <cell r="Q17">
            <v>18000</v>
          </cell>
          <cell r="R17">
            <v>18000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18000</v>
          </cell>
          <cell r="H20">
            <v>0</v>
          </cell>
          <cell r="I20">
            <v>0</v>
          </cell>
          <cell r="J20">
            <v>0</v>
          </cell>
          <cell r="K20">
            <v>18000</v>
          </cell>
          <cell r="L20">
            <v>18000</v>
          </cell>
          <cell r="M20">
            <v>18000</v>
          </cell>
          <cell r="N20">
            <v>18000</v>
          </cell>
          <cell r="O20">
            <v>18000</v>
          </cell>
          <cell r="P20">
            <v>18000</v>
          </cell>
          <cell r="Q20">
            <v>18000</v>
          </cell>
          <cell r="R20">
            <v>18000</v>
          </cell>
        </row>
        <row r="21">
          <cell r="G21">
            <v>20636.887023480991</v>
          </cell>
          <cell r="H21">
            <v>23406.21793527736</v>
          </cell>
          <cell r="I21">
            <v>0</v>
          </cell>
          <cell r="J21">
            <v>0</v>
          </cell>
          <cell r="K21">
            <v>20745.433025554157</v>
          </cell>
          <cell r="L21">
            <v>20678.459712340071</v>
          </cell>
          <cell r="M21">
            <v>20745.533427527444</v>
          </cell>
          <cell r="N21">
            <v>20636.593320743705</v>
          </cell>
          <cell r="O21">
            <v>20925.517712632081</v>
          </cell>
          <cell r="P21">
            <v>20450.669888055316</v>
          </cell>
          <cell r="Q21">
            <v>20743.197129822376</v>
          </cell>
          <cell r="R21">
            <v>20880.887718480331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9000</v>
          </cell>
          <cell r="H28">
            <v>0</v>
          </cell>
          <cell r="I28">
            <v>0</v>
          </cell>
          <cell r="J28">
            <v>0</v>
          </cell>
          <cell r="K28">
            <v>9000</v>
          </cell>
          <cell r="L28">
            <v>9000</v>
          </cell>
          <cell r="M28">
            <v>9000</v>
          </cell>
          <cell r="N28">
            <v>9000</v>
          </cell>
          <cell r="O28">
            <v>9000</v>
          </cell>
          <cell r="P28">
            <v>9000</v>
          </cell>
          <cell r="Q28">
            <v>9000</v>
          </cell>
          <cell r="R28">
            <v>9000</v>
          </cell>
        </row>
        <row r="29">
          <cell r="G29">
            <v>9000</v>
          </cell>
          <cell r="H29">
            <v>0</v>
          </cell>
          <cell r="I29">
            <v>0</v>
          </cell>
          <cell r="J29">
            <v>0</v>
          </cell>
          <cell r="K29">
            <v>9000</v>
          </cell>
          <cell r="L29">
            <v>9000</v>
          </cell>
          <cell r="M29">
            <v>9000</v>
          </cell>
          <cell r="N29">
            <v>9000</v>
          </cell>
          <cell r="O29">
            <v>9000</v>
          </cell>
          <cell r="P29">
            <v>9000</v>
          </cell>
          <cell r="Q29">
            <v>9000</v>
          </cell>
          <cell r="R29">
            <v>9000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20024.849062579135</v>
          </cell>
          <cell r="H54">
            <v>21219.951470291013</v>
          </cell>
          <cell r="I54">
            <v>0</v>
          </cell>
          <cell r="J54">
            <v>0</v>
          </cell>
          <cell r="K54">
            <v>20024.743929105767</v>
          </cell>
          <cell r="L54">
            <v>20024.743929105767</v>
          </cell>
          <cell r="M54">
            <v>20024.743929105767</v>
          </cell>
          <cell r="N54">
            <v>20024.743929105767</v>
          </cell>
          <cell r="O54">
            <v>20024.743929105767</v>
          </cell>
          <cell r="P54">
            <v>20024.743929105764</v>
          </cell>
          <cell r="Q54">
            <v>20024.83677457938</v>
          </cell>
          <cell r="R54">
            <v>20024.832554438195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18000</v>
          </cell>
          <cell r="H57">
            <v>18000</v>
          </cell>
          <cell r="I57">
            <v>0</v>
          </cell>
          <cell r="J57">
            <v>0</v>
          </cell>
          <cell r="K57">
            <v>18000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18000</v>
          </cell>
          <cell r="Q57">
            <v>18000</v>
          </cell>
          <cell r="R57">
            <v>18000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14000</v>
          </cell>
          <cell r="H60">
            <v>0</v>
          </cell>
          <cell r="I60">
            <v>0</v>
          </cell>
          <cell r="J60">
            <v>0</v>
          </cell>
          <cell r="K60">
            <v>14090.909090909092</v>
          </cell>
          <cell r="L60">
            <v>14090.909090909092</v>
          </cell>
          <cell r="M60">
            <v>14200</v>
          </cell>
          <cell r="N60">
            <v>14000</v>
          </cell>
          <cell r="O60">
            <v>14000</v>
          </cell>
          <cell r="P60">
            <v>14318.181818181818</v>
          </cell>
          <cell r="Q60">
            <v>14200</v>
          </cell>
          <cell r="R60">
            <v>14117.298457137018</v>
          </cell>
        </row>
        <row r="61">
          <cell r="G61">
            <v>16721.013846106005</v>
          </cell>
          <cell r="H61">
            <v>21185.689236591923</v>
          </cell>
          <cell r="I61">
            <v>0</v>
          </cell>
          <cell r="J61">
            <v>0</v>
          </cell>
          <cell r="K61">
            <v>16865.182393089937</v>
          </cell>
          <cell r="L61">
            <v>16793.558688684312</v>
          </cell>
          <cell r="M61">
            <v>17061.351465334847</v>
          </cell>
          <cell r="N61">
            <v>16720.959023463551</v>
          </cell>
          <cell r="O61">
            <v>17036.927607645473</v>
          </cell>
          <cell r="P61">
            <v>16844.802615139542</v>
          </cell>
          <cell r="Q61">
            <v>17061.777281391827</v>
          </cell>
          <cell r="R61">
            <v>17119.883857810404</v>
          </cell>
        </row>
        <row r="62">
          <cell r="G62">
            <v>158108.87400000001</v>
          </cell>
          <cell r="H62">
            <v>78691.666666666672</v>
          </cell>
          <cell r="I62">
            <v>0</v>
          </cell>
          <cell r="J62">
            <v>0</v>
          </cell>
          <cell r="K62">
            <v>195310.962</v>
          </cell>
          <cell r="L62">
            <v>186010.44</v>
          </cell>
          <cell r="M62">
            <v>195310.962</v>
          </cell>
          <cell r="N62">
            <v>158108.87400000001</v>
          </cell>
          <cell r="O62">
            <v>195310.962</v>
          </cell>
          <cell r="P62">
            <v>176709.91800000001</v>
          </cell>
          <cell r="Q62">
            <v>195310.962</v>
          </cell>
          <cell r="R62">
            <v>204611.48399999997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104000</v>
          </cell>
          <cell r="H68">
            <v>0</v>
          </cell>
          <cell r="I68">
            <v>0</v>
          </cell>
          <cell r="J68">
            <v>0</v>
          </cell>
          <cell r="K68">
            <v>130000</v>
          </cell>
          <cell r="L68">
            <v>130000</v>
          </cell>
          <cell r="M68">
            <v>104000</v>
          </cell>
          <cell r="N68">
            <v>104000</v>
          </cell>
          <cell r="O68">
            <v>104000</v>
          </cell>
          <cell r="P68">
            <v>117000</v>
          </cell>
          <cell r="Q68">
            <v>104000</v>
          </cell>
          <cell r="R68">
            <v>104000</v>
          </cell>
        </row>
        <row r="69">
          <cell r="G69">
            <v>262108.87400000001</v>
          </cell>
          <cell r="H69">
            <v>78691.666666666672</v>
          </cell>
          <cell r="I69">
            <v>0</v>
          </cell>
          <cell r="J69">
            <v>0</v>
          </cell>
          <cell r="K69">
            <v>325310.962</v>
          </cell>
          <cell r="L69">
            <v>316010.44</v>
          </cell>
          <cell r="M69">
            <v>299310.962</v>
          </cell>
          <cell r="N69">
            <v>262108.87400000001</v>
          </cell>
          <cell r="O69">
            <v>299310.962</v>
          </cell>
          <cell r="P69">
            <v>293709.91800000001</v>
          </cell>
          <cell r="Q69">
            <v>299310.962</v>
          </cell>
          <cell r="R69">
            <v>308611.48399999994</v>
          </cell>
        </row>
        <row r="70">
          <cell r="G70">
            <v>154258.03964999996</v>
          </cell>
          <cell r="H70">
            <v>172405.74779999998</v>
          </cell>
          <cell r="I70">
            <v>0</v>
          </cell>
          <cell r="J70">
            <v>0</v>
          </cell>
          <cell r="K70">
            <v>190540.35</v>
          </cell>
          <cell r="L70">
            <v>181467</v>
          </cell>
          <cell r="M70">
            <v>190540.35</v>
          </cell>
          <cell r="N70">
            <v>154246.95000000001</v>
          </cell>
          <cell r="O70">
            <v>190540.35</v>
          </cell>
          <cell r="P70">
            <v>172393.65</v>
          </cell>
          <cell r="Q70">
            <v>190552.44779999999</v>
          </cell>
          <cell r="R70">
            <v>199625.79779999994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2291.9520000000002</v>
          </cell>
          <cell r="H73">
            <v>2290.7759999999998</v>
          </cell>
          <cell r="I73">
            <v>0</v>
          </cell>
          <cell r="J73">
            <v>0</v>
          </cell>
          <cell r="K73">
            <v>2431.3559999999993</v>
          </cell>
          <cell r="L73">
            <v>2421.0239999999999</v>
          </cell>
          <cell r="M73">
            <v>2420.6640000000002</v>
          </cell>
          <cell r="N73">
            <v>2310.1799999999998</v>
          </cell>
          <cell r="O73">
            <v>2433.6360000000004</v>
          </cell>
          <cell r="P73">
            <v>2303.0160000000001</v>
          </cell>
          <cell r="Q73">
            <v>2678.9760000000006</v>
          </cell>
          <cell r="R73">
            <v>2678.9760000000006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126000</v>
          </cell>
          <cell r="H76">
            <v>0</v>
          </cell>
          <cell r="I76">
            <v>0</v>
          </cell>
          <cell r="J76">
            <v>0</v>
          </cell>
          <cell r="K76">
            <v>144000</v>
          </cell>
          <cell r="L76">
            <v>144000</v>
          </cell>
          <cell r="M76">
            <v>144000</v>
          </cell>
          <cell r="N76">
            <v>126000</v>
          </cell>
          <cell r="O76">
            <v>126000</v>
          </cell>
          <cell r="P76">
            <v>162000</v>
          </cell>
          <cell r="Q76">
            <v>144000</v>
          </cell>
          <cell r="R76">
            <v>136332</v>
          </cell>
        </row>
        <row r="77">
          <cell r="G77">
            <v>282549.99164999998</v>
          </cell>
          <cell r="H77">
            <v>174696.5238</v>
          </cell>
          <cell r="I77">
            <v>0</v>
          </cell>
          <cell r="J77">
            <v>0</v>
          </cell>
          <cell r="K77">
            <v>336971.70600000001</v>
          </cell>
          <cell r="L77">
            <v>327888.02399999998</v>
          </cell>
          <cell r="M77">
            <v>336961.01399999997</v>
          </cell>
          <cell r="N77">
            <v>282557.13</v>
          </cell>
          <cell r="O77">
            <v>318973.98600000003</v>
          </cell>
          <cell r="P77">
            <v>336696.66599999997</v>
          </cell>
          <cell r="Q77">
            <v>337231.42379999999</v>
          </cell>
          <cell r="R77">
            <v>338636.77379999997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36000</v>
          </cell>
          <cell r="H84">
            <v>0</v>
          </cell>
          <cell r="I84">
            <v>0</v>
          </cell>
          <cell r="J84">
            <v>0</v>
          </cell>
          <cell r="K84">
            <v>36000</v>
          </cell>
          <cell r="L84">
            <v>36000</v>
          </cell>
          <cell r="M84">
            <v>36000</v>
          </cell>
          <cell r="N84">
            <v>36000</v>
          </cell>
          <cell r="O84">
            <v>36000</v>
          </cell>
          <cell r="P84">
            <v>36000</v>
          </cell>
          <cell r="Q84">
            <v>36000</v>
          </cell>
          <cell r="R84">
            <v>36000</v>
          </cell>
        </row>
        <row r="85">
          <cell r="G85">
            <v>36000</v>
          </cell>
          <cell r="H85">
            <v>0</v>
          </cell>
          <cell r="I85">
            <v>0</v>
          </cell>
          <cell r="J85">
            <v>0</v>
          </cell>
          <cell r="K85">
            <v>36000</v>
          </cell>
          <cell r="L85">
            <v>36000</v>
          </cell>
          <cell r="M85">
            <v>36000</v>
          </cell>
          <cell r="N85">
            <v>36000</v>
          </cell>
          <cell r="O85">
            <v>36000</v>
          </cell>
          <cell r="P85">
            <v>36000</v>
          </cell>
          <cell r="Q85">
            <v>36000</v>
          </cell>
          <cell r="R85">
            <v>36000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312366.91365</v>
          </cell>
          <cell r="H110">
            <v>251097.41446666664</v>
          </cell>
          <cell r="I110">
            <v>0</v>
          </cell>
          <cell r="J110">
            <v>0</v>
          </cell>
          <cell r="K110">
            <v>385851.31200000003</v>
          </cell>
          <cell r="L110">
            <v>367477.44</v>
          </cell>
          <cell r="M110">
            <v>385851.31200000003</v>
          </cell>
          <cell r="N110">
            <v>312355.82400000002</v>
          </cell>
          <cell r="O110">
            <v>385851.31200000003</v>
          </cell>
          <cell r="P110">
            <v>349103.56799999997</v>
          </cell>
          <cell r="Q110">
            <v>385863.40980000002</v>
          </cell>
          <cell r="R110">
            <v>404237.28179999988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G113">
            <v>2291.9520000000002</v>
          </cell>
          <cell r="H113">
            <v>2290.7759999999998</v>
          </cell>
          <cell r="I113">
            <v>0</v>
          </cell>
          <cell r="J113">
            <v>0</v>
          </cell>
          <cell r="K113">
            <v>2431.3559999999993</v>
          </cell>
          <cell r="L113">
            <v>2421.0239999999999</v>
          </cell>
          <cell r="M113">
            <v>2420.6640000000002</v>
          </cell>
          <cell r="N113">
            <v>2310.1799999999998</v>
          </cell>
          <cell r="O113">
            <v>2433.6360000000004</v>
          </cell>
          <cell r="P113">
            <v>2303.0160000000001</v>
          </cell>
          <cell r="Q113">
            <v>2678.9760000000006</v>
          </cell>
          <cell r="R113">
            <v>2678.9760000000006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266000</v>
          </cell>
          <cell r="H116">
            <v>0</v>
          </cell>
          <cell r="I116">
            <v>0</v>
          </cell>
          <cell r="J116">
            <v>0</v>
          </cell>
          <cell r="K116">
            <v>310000</v>
          </cell>
          <cell r="L116">
            <v>310000</v>
          </cell>
          <cell r="M116">
            <v>284000</v>
          </cell>
          <cell r="N116">
            <v>266000</v>
          </cell>
          <cell r="O116">
            <v>266000</v>
          </cell>
          <cell r="P116">
            <v>315000</v>
          </cell>
          <cell r="Q116">
            <v>284000</v>
          </cell>
          <cell r="R116">
            <v>276332</v>
          </cell>
        </row>
        <row r="117">
          <cell r="G117">
            <v>580658.86565000005</v>
          </cell>
          <cell r="H117">
            <v>253388.19046666665</v>
          </cell>
          <cell r="I117">
            <v>0</v>
          </cell>
          <cell r="J117">
            <v>0</v>
          </cell>
          <cell r="K117">
            <v>698282.66800000006</v>
          </cell>
          <cell r="L117">
            <v>679898.46399999992</v>
          </cell>
          <cell r="M117">
            <v>672271.97600000002</v>
          </cell>
          <cell r="N117">
            <v>580666.00399999996</v>
          </cell>
          <cell r="O117">
            <v>654284.94800000009</v>
          </cell>
          <cell r="P117">
            <v>666406.58400000003</v>
          </cell>
          <cell r="Q117">
            <v>672542.38580000005</v>
          </cell>
          <cell r="R117">
            <v>683248.2577999999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158108.87400000001</v>
          </cell>
          <cell r="H119">
            <v>78691.666666666672</v>
          </cell>
          <cell r="I119">
            <v>0</v>
          </cell>
          <cell r="J119">
            <v>0</v>
          </cell>
          <cell r="K119">
            <v>195310.962</v>
          </cell>
          <cell r="L119">
            <v>186010.44</v>
          </cell>
          <cell r="M119">
            <v>195310.962</v>
          </cell>
          <cell r="N119">
            <v>158108.87400000001</v>
          </cell>
          <cell r="O119">
            <v>195310.962</v>
          </cell>
          <cell r="P119">
            <v>176709.91800000001</v>
          </cell>
          <cell r="Q119">
            <v>195310.962</v>
          </cell>
          <cell r="R119">
            <v>204611.48399999997</v>
          </cell>
        </row>
        <row r="120">
          <cell r="G120">
            <v>104000</v>
          </cell>
          <cell r="H120">
            <v>0</v>
          </cell>
          <cell r="I120">
            <v>0</v>
          </cell>
          <cell r="J120">
            <v>0</v>
          </cell>
          <cell r="K120">
            <v>130000</v>
          </cell>
          <cell r="L120">
            <v>130000</v>
          </cell>
          <cell r="M120">
            <v>104000</v>
          </cell>
          <cell r="N120">
            <v>104000</v>
          </cell>
          <cell r="O120">
            <v>104000</v>
          </cell>
          <cell r="P120">
            <v>117000</v>
          </cell>
          <cell r="Q120">
            <v>104000</v>
          </cell>
          <cell r="R120">
            <v>104000</v>
          </cell>
        </row>
        <row r="121">
          <cell r="G121">
            <v>262108.87400000001</v>
          </cell>
          <cell r="H121">
            <v>78691.666666666672</v>
          </cell>
          <cell r="I121">
            <v>0</v>
          </cell>
          <cell r="J121">
            <v>0</v>
          </cell>
          <cell r="K121">
            <v>325310.962</v>
          </cell>
          <cell r="L121">
            <v>316010.44</v>
          </cell>
          <cell r="M121">
            <v>299310.962</v>
          </cell>
          <cell r="N121">
            <v>262108.87400000001</v>
          </cell>
          <cell r="O121">
            <v>299310.962</v>
          </cell>
          <cell r="P121">
            <v>293709.91800000001</v>
          </cell>
          <cell r="Q121">
            <v>299310.962</v>
          </cell>
          <cell r="R121">
            <v>308611.48399999994</v>
          </cell>
        </row>
        <row r="122">
          <cell r="G122">
            <v>156549.99164999995</v>
          </cell>
          <cell r="H122">
            <v>174696.5238</v>
          </cell>
          <cell r="I122">
            <v>0</v>
          </cell>
          <cell r="J122">
            <v>0</v>
          </cell>
          <cell r="K122">
            <v>192971.70600000001</v>
          </cell>
          <cell r="L122">
            <v>183888.024</v>
          </cell>
          <cell r="M122">
            <v>192961.014</v>
          </cell>
          <cell r="N122">
            <v>156557.13</v>
          </cell>
          <cell r="O122">
            <v>192973.986</v>
          </cell>
          <cell r="P122">
            <v>174696.666</v>
          </cell>
          <cell r="Q122">
            <v>193231.42379999999</v>
          </cell>
          <cell r="R122">
            <v>202304.77379999994</v>
          </cell>
        </row>
        <row r="123">
          <cell r="G123">
            <v>126000</v>
          </cell>
          <cell r="H123">
            <v>0</v>
          </cell>
          <cell r="I123">
            <v>0</v>
          </cell>
          <cell r="J123">
            <v>0</v>
          </cell>
          <cell r="K123">
            <v>144000</v>
          </cell>
          <cell r="L123">
            <v>144000</v>
          </cell>
          <cell r="M123">
            <v>144000</v>
          </cell>
          <cell r="N123">
            <v>126000</v>
          </cell>
          <cell r="O123">
            <v>126000</v>
          </cell>
          <cell r="P123">
            <v>162000</v>
          </cell>
          <cell r="Q123">
            <v>144000</v>
          </cell>
          <cell r="R123">
            <v>136332</v>
          </cell>
        </row>
        <row r="124">
          <cell r="G124">
            <v>282549.99164999998</v>
          </cell>
          <cell r="H124">
            <v>174696.5238</v>
          </cell>
          <cell r="I124">
            <v>0</v>
          </cell>
          <cell r="J124">
            <v>0</v>
          </cell>
          <cell r="K124">
            <v>336971.70600000001</v>
          </cell>
          <cell r="L124">
            <v>327888.02399999998</v>
          </cell>
          <cell r="M124">
            <v>336961.01399999997</v>
          </cell>
          <cell r="N124">
            <v>282557.13</v>
          </cell>
          <cell r="O124">
            <v>318973.98600000003</v>
          </cell>
          <cell r="P124">
            <v>336696.66599999997</v>
          </cell>
          <cell r="Q124">
            <v>337231.42379999999</v>
          </cell>
          <cell r="R124">
            <v>338636.77379999997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36000</v>
          </cell>
          <cell r="H126">
            <v>0</v>
          </cell>
          <cell r="I126">
            <v>0</v>
          </cell>
          <cell r="J126">
            <v>0</v>
          </cell>
          <cell r="K126">
            <v>36000</v>
          </cell>
          <cell r="L126">
            <v>36000</v>
          </cell>
          <cell r="M126">
            <v>36000</v>
          </cell>
          <cell r="N126">
            <v>36000</v>
          </cell>
          <cell r="O126">
            <v>36000</v>
          </cell>
          <cell r="P126">
            <v>36000</v>
          </cell>
          <cell r="Q126">
            <v>36000</v>
          </cell>
          <cell r="R126">
            <v>36000</v>
          </cell>
        </row>
        <row r="127">
          <cell r="G127">
            <v>36000</v>
          </cell>
          <cell r="H127">
            <v>0</v>
          </cell>
          <cell r="I127">
            <v>0</v>
          </cell>
          <cell r="J127">
            <v>0</v>
          </cell>
          <cell r="K127">
            <v>36000</v>
          </cell>
          <cell r="L127">
            <v>36000</v>
          </cell>
          <cell r="M127">
            <v>36000</v>
          </cell>
          <cell r="N127">
            <v>36000</v>
          </cell>
          <cell r="O127">
            <v>36000</v>
          </cell>
          <cell r="P127">
            <v>36000</v>
          </cell>
          <cell r="Q127">
            <v>36000</v>
          </cell>
          <cell r="R127">
            <v>36000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314658.86564999993</v>
          </cell>
          <cell r="H137">
            <v>253388.19046666665</v>
          </cell>
          <cell r="I137">
            <v>0</v>
          </cell>
          <cell r="J137">
            <v>0</v>
          </cell>
          <cell r="K137">
            <v>388282.66800000001</v>
          </cell>
          <cell r="L137">
            <v>369898.46400000004</v>
          </cell>
          <cell r="M137">
            <v>388271.97600000002</v>
          </cell>
          <cell r="N137">
            <v>314666.00400000002</v>
          </cell>
          <cell r="O137">
            <v>388284.94799999997</v>
          </cell>
          <cell r="P137">
            <v>351406.58400000003</v>
          </cell>
          <cell r="Q137">
            <v>388542.38579999999</v>
          </cell>
          <cell r="R137">
            <v>406916.2577999999</v>
          </cell>
        </row>
        <row r="138">
          <cell r="G138">
            <v>266000</v>
          </cell>
          <cell r="H138">
            <v>0</v>
          </cell>
          <cell r="I138">
            <v>0</v>
          </cell>
          <cell r="J138">
            <v>0</v>
          </cell>
          <cell r="K138">
            <v>310000</v>
          </cell>
          <cell r="L138">
            <v>310000</v>
          </cell>
          <cell r="M138">
            <v>284000</v>
          </cell>
          <cell r="N138">
            <v>266000</v>
          </cell>
          <cell r="O138">
            <v>266000</v>
          </cell>
          <cell r="P138">
            <v>315000</v>
          </cell>
          <cell r="Q138">
            <v>284000</v>
          </cell>
          <cell r="R138">
            <v>276332</v>
          </cell>
        </row>
        <row r="139">
          <cell r="G139">
            <v>580658.86564999993</v>
          </cell>
          <cell r="H139">
            <v>253388.19046666665</v>
          </cell>
          <cell r="I139">
            <v>0</v>
          </cell>
          <cell r="J139">
            <v>0</v>
          </cell>
          <cell r="K139">
            <v>698282.66800000006</v>
          </cell>
          <cell r="L139">
            <v>679898.46400000004</v>
          </cell>
          <cell r="M139">
            <v>672271.97600000002</v>
          </cell>
          <cell r="N139">
            <v>580666.00399999996</v>
          </cell>
          <cell r="O139">
            <v>654284.94799999997</v>
          </cell>
          <cell r="P139">
            <v>666406.58400000003</v>
          </cell>
          <cell r="Q139">
            <v>672542.38580000005</v>
          </cell>
          <cell r="R139">
            <v>683248.2577999999</v>
          </cell>
        </row>
      </sheetData>
      <sheetData sheetId="4"/>
      <sheetData sheetId="5">
        <row r="4">
          <cell r="G4" t="str">
            <v>1월</v>
          </cell>
        </row>
      </sheetData>
      <sheetData sheetId="6">
        <row r="11">
          <cell r="I11">
            <v>6670.41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본사산출"/>
      <sheetName val="인별예산"/>
      <sheetName val="계정통제"/>
    </sheetNames>
    <sheetDataSet>
      <sheetData sheetId="0"/>
      <sheetData sheetId="1"/>
      <sheetData sheetId="2">
        <row r="6"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0</v>
          </cell>
          <cell r="H7">
            <v>2000</v>
          </cell>
          <cell r="I7">
            <v>5000</v>
          </cell>
          <cell r="J7">
            <v>2000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5000</v>
          </cell>
          <cell r="H8">
            <v>5000</v>
          </cell>
          <cell r="I8">
            <v>0</v>
          </cell>
          <cell r="J8">
            <v>5000</v>
          </cell>
          <cell r="K8">
            <v>7000</v>
          </cell>
          <cell r="L8">
            <v>7000</v>
          </cell>
          <cell r="M8">
            <v>7000</v>
          </cell>
          <cell r="N8">
            <v>5000</v>
          </cell>
          <cell r="O8">
            <v>5000</v>
          </cell>
          <cell r="P8">
            <v>6000</v>
          </cell>
          <cell r="Q8">
            <v>6000</v>
          </cell>
          <cell r="R8">
            <v>6692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5000</v>
          </cell>
          <cell r="H11">
            <v>7000</v>
          </cell>
          <cell r="I11">
            <v>5000</v>
          </cell>
          <cell r="J11">
            <v>7000</v>
          </cell>
          <cell r="K11">
            <v>7000</v>
          </cell>
          <cell r="L11">
            <v>7000</v>
          </cell>
          <cell r="M11">
            <v>7000</v>
          </cell>
          <cell r="N11">
            <v>5000</v>
          </cell>
          <cell r="O11">
            <v>5000</v>
          </cell>
          <cell r="P11">
            <v>6000</v>
          </cell>
          <cell r="Q11">
            <v>6000</v>
          </cell>
          <cell r="R11">
            <v>6692</v>
          </cell>
        </row>
        <row r="12">
          <cell r="G12">
            <v>213.98601398601397</v>
          </cell>
          <cell r="H12">
            <v>4593.2091531880096</v>
          </cell>
          <cell r="I12">
            <v>5114.4942120189553</v>
          </cell>
          <cell r="J12">
            <v>5116.1584147817566</v>
          </cell>
          <cell r="K12">
            <v>264.33566433566432</v>
          </cell>
          <cell r="L12">
            <v>251.74825174825176</v>
          </cell>
          <cell r="M12">
            <v>264.33566433566432</v>
          </cell>
          <cell r="N12">
            <v>213.98601398601397</v>
          </cell>
          <cell r="O12">
            <v>264.33566433566432</v>
          </cell>
          <cell r="P12">
            <v>239.16083916083917</v>
          </cell>
          <cell r="Q12">
            <v>264.33566433566432</v>
          </cell>
          <cell r="R12">
            <v>276.92307692307691</v>
          </cell>
        </row>
        <row r="13">
          <cell r="G13">
            <v>14440.149208907764</v>
          </cell>
          <cell r="H13">
            <v>5120.9790209790208</v>
          </cell>
          <cell r="I13">
            <v>4361.5384615384619</v>
          </cell>
          <cell r="J13">
            <v>5830.0699300699307</v>
          </cell>
          <cell r="K13">
            <v>17690.392945850268</v>
          </cell>
          <cell r="L13">
            <v>17204.476652649148</v>
          </cell>
          <cell r="M13">
            <v>17044.140686853581</v>
          </cell>
          <cell r="N13">
            <v>15240.566022917999</v>
          </cell>
          <cell r="O13">
            <v>17558.976932252597</v>
          </cell>
          <cell r="P13">
            <v>16675.146537834062</v>
          </cell>
          <cell r="Q13">
            <v>18906.43020671804</v>
          </cell>
          <cell r="R13">
            <v>19157.89873818657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14654.135222893778</v>
          </cell>
          <cell r="H16">
            <v>9714.1881741670295</v>
          </cell>
          <cell r="I16">
            <v>9476.0326735574163</v>
          </cell>
          <cell r="J16">
            <v>10946.228344851686</v>
          </cell>
          <cell r="K16">
            <v>17954.728610185932</v>
          </cell>
          <cell r="L16">
            <v>17456.224904397401</v>
          </cell>
          <cell r="M16">
            <v>17308.476351189245</v>
          </cell>
          <cell r="N16">
            <v>15454.552036904013</v>
          </cell>
          <cell r="O16">
            <v>17823.312596588261</v>
          </cell>
          <cell r="P16">
            <v>16914.307376994901</v>
          </cell>
          <cell r="Q16">
            <v>19170.765871053703</v>
          </cell>
          <cell r="R16">
            <v>19434.821815109648</v>
          </cell>
        </row>
        <row r="17">
          <cell r="G17">
            <v>213.98601398601397</v>
          </cell>
          <cell r="H17">
            <v>6593.2091531880096</v>
          </cell>
          <cell r="I17">
            <v>10114.494212018955</v>
          </cell>
          <cell r="J17">
            <v>7116.1584147817566</v>
          </cell>
          <cell r="K17">
            <v>264.33566433566432</v>
          </cell>
          <cell r="L17">
            <v>251.74825174825176</v>
          </cell>
          <cell r="M17">
            <v>264.33566433566432</v>
          </cell>
          <cell r="N17">
            <v>213.98601398601397</v>
          </cell>
          <cell r="O17">
            <v>264.33566433566432</v>
          </cell>
          <cell r="P17">
            <v>239.16083916083917</v>
          </cell>
          <cell r="Q17">
            <v>264.33566433566432</v>
          </cell>
          <cell r="R17">
            <v>276.92307692307691</v>
          </cell>
        </row>
        <row r="18">
          <cell r="G18">
            <v>19440.149208907766</v>
          </cell>
          <cell r="H18">
            <v>10120.979020979021</v>
          </cell>
          <cell r="I18">
            <v>4361.5384615384619</v>
          </cell>
          <cell r="J18">
            <v>10830.069930069931</v>
          </cell>
          <cell r="K18">
            <v>24690.392945850268</v>
          </cell>
          <cell r="L18">
            <v>24204.476652649148</v>
          </cell>
          <cell r="M18">
            <v>24044.140686853581</v>
          </cell>
          <cell r="N18">
            <v>20240.566022917999</v>
          </cell>
          <cell r="O18">
            <v>22558.976932252597</v>
          </cell>
          <cell r="P18">
            <v>22675.146537834062</v>
          </cell>
          <cell r="Q18">
            <v>24906.43020671804</v>
          </cell>
          <cell r="R18">
            <v>25849.89873818657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19654.135222893779</v>
          </cell>
          <cell r="H21">
            <v>16714.18817416703</v>
          </cell>
          <cell r="I21">
            <v>14476.032673557416</v>
          </cell>
          <cell r="J21">
            <v>17946.228344851686</v>
          </cell>
          <cell r="K21">
            <v>24954.728610185932</v>
          </cell>
          <cell r="L21">
            <v>24456.224904397401</v>
          </cell>
          <cell r="M21">
            <v>24308.476351189245</v>
          </cell>
          <cell r="N21">
            <v>20454.552036904013</v>
          </cell>
          <cell r="O21">
            <v>22823.312596588261</v>
          </cell>
          <cell r="P21">
            <v>22914.307376994901</v>
          </cell>
          <cell r="Q21">
            <v>25170.765871053703</v>
          </cell>
          <cell r="R21">
            <v>26126.821815109648</v>
          </cell>
        </row>
        <row r="24">
          <cell r="G24" t="str">
            <v>1월</v>
          </cell>
          <cell r="H24" t="str">
            <v>2월</v>
          </cell>
          <cell r="I24" t="str">
            <v>3월</v>
          </cell>
          <cell r="J24" t="str">
            <v>4월</v>
          </cell>
          <cell r="K24" t="str">
            <v>5월</v>
          </cell>
          <cell r="L24" t="str">
            <v>6월</v>
          </cell>
          <cell r="M24" t="str">
            <v>7월</v>
          </cell>
          <cell r="N24" t="str">
            <v>8월</v>
          </cell>
          <cell r="O24" t="str">
            <v>9월</v>
          </cell>
          <cell r="P24" t="str">
            <v>10월</v>
          </cell>
          <cell r="Q24" t="str">
            <v>11월</v>
          </cell>
          <cell r="R24" t="str">
            <v>12월</v>
          </cell>
        </row>
        <row r="25">
          <cell r="G25">
            <v>0</v>
          </cell>
          <cell r="H25">
            <v>35000</v>
          </cell>
          <cell r="I25">
            <v>35000</v>
          </cell>
          <cell r="J25">
            <v>35000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27500</v>
          </cell>
          <cell r="H26">
            <v>27500</v>
          </cell>
          <cell r="I26">
            <v>0</v>
          </cell>
          <cell r="J26">
            <v>27500</v>
          </cell>
          <cell r="K26">
            <v>27500</v>
          </cell>
          <cell r="L26">
            <v>27500</v>
          </cell>
          <cell r="M26">
            <v>27500</v>
          </cell>
          <cell r="N26">
            <v>27500</v>
          </cell>
          <cell r="O26">
            <v>27500</v>
          </cell>
          <cell r="P26">
            <v>27500</v>
          </cell>
          <cell r="Q26">
            <v>27500</v>
          </cell>
          <cell r="R26">
            <v>27500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27500</v>
          </cell>
          <cell r="H29">
            <v>29642.857142857141</v>
          </cell>
          <cell r="I29">
            <v>35000</v>
          </cell>
          <cell r="J29">
            <v>29642.857142857141</v>
          </cell>
          <cell r="K29">
            <v>27500</v>
          </cell>
          <cell r="L29">
            <v>27500</v>
          </cell>
          <cell r="M29">
            <v>27500</v>
          </cell>
          <cell r="N29">
            <v>27500</v>
          </cell>
          <cell r="O29">
            <v>27500</v>
          </cell>
          <cell r="P29">
            <v>27500</v>
          </cell>
          <cell r="Q29">
            <v>27500</v>
          </cell>
          <cell r="R29">
            <v>27500</v>
          </cell>
        </row>
        <row r="30">
          <cell r="G30">
            <v>38000</v>
          </cell>
          <cell r="H30">
            <v>34682.239238220187</v>
          </cell>
          <cell r="I30">
            <v>1963.9782211797753</v>
          </cell>
          <cell r="J30">
            <v>34680.833889447546</v>
          </cell>
          <cell r="K30">
            <v>38000</v>
          </cell>
          <cell r="L30">
            <v>38000</v>
          </cell>
          <cell r="M30">
            <v>38000</v>
          </cell>
          <cell r="N30">
            <v>38000</v>
          </cell>
          <cell r="O30">
            <v>38000</v>
          </cell>
          <cell r="P30">
            <v>38000</v>
          </cell>
          <cell r="Q30">
            <v>38000</v>
          </cell>
          <cell r="R30">
            <v>38000</v>
          </cell>
        </row>
        <row r="31">
          <cell r="G31">
            <v>26774.317783971848</v>
          </cell>
          <cell r="H31">
            <v>60575.51189028137</v>
          </cell>
          <cell r="I31">
            <v>32803.030303030304</v>
          </cell>
          <cell r="J31">
            <v>59800.548805716426</v>
          </cell>
          <cell r="K31">
            <v>26891.213210264519</v>
          </cell>
          <cell r="L31">
            <v>26826.746685941991</v>
          </cell>
          <cell r="M31">
            <v>26990.989944186505</v>
          </cell>
          <cell r="N31">
            <v>26628.537582991587</v>
          </cell>
          <cell r="O31">
            <v>26898.560323922924</v>
          </cell>
          <cell r="P31">
            <v>26760.553763396958</v>
          </cell>
          <cell r="Q31">
            <v>26782.699113055613</v>
          </cell>
          <cell r="R31">
            <v>26847.320029743922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26938.240045855226</v>
          </cell>
          <cell r="H34">
            <v>48332.263682703953</v>
          </cell>
          <cell r="I34">
            <v>16158.284678956456</v>
          </cell>
          <cell r="J34">
            <v>48059.843532905943</v>
          </cell>
          <cell r="K34">
            <v>27054.760574292181</v>
          </cell>
          <cell r="L34">
            <v>26987.883873596224</v>
          </cell>
          <cell r="M34">
            <v>27159.119935974119</v>
          </cell>
          <cell r="N34">
            <v>26785.988534012155</v>
          </cell>
          <cell r="O34">
            <v>27063.20460180087</v>
          </cell>
          <cell r="P34">
            <v>26919.474571310449</v>
          </cell>
          <cell r="Q34">
            <v>26937.368608366731</v>
          </cell>
          <cell r="R34">
            <v>27006.232443898421</v>
          </cell>
        </row>
        <row r="35">
          <cell r="G35">
            <v>38000</v>
          </cell>
          <cell r="H35">
            <v>34778.629555711072</v>
          </cell>
          <cell r="I35">
            <v>18295.008268912581</v>
          </cell>
          <cell r="J35">
            <v>34770.535689758646</v>
          </cell>
          <cell r="K35">
            <v>38000</v>
          </cell>
          <cell r="L35">
            <v>38000</v>
          </cell>
          <cell r="M35">
            <v>38000</v>
          </cell>
          <cell r="N35">
            <v>38000</v>
          </cell>
          <cell r="O35">
            <v>38000</v>
          </cell>
          <cell r="P35">
            <v>38000</v>
          </cell>
          <cell r="Q35">
            <v>38000</v>
          </cell>
          <cell r="R35">
            <v>38000</v>
          </cell>
        </row>
        <row r="36">
          <cell r="G36">
            <v>26960.963011904467</v>
          </cell>
          <cell r="H36">
            <v>44235.436576558452</v>
          </cell>
          <cell r="I36">
            <v>32803.030303030304</v>
          </cell>
          <cell r="J36">
            <v>44888.111021712262</v>
          </cell>
          <cell r="K36">
            <v>27063.811011259197</v>
          </cell>
          <cell r="L36">
            <v>27021.453362150598</v>
          </cell>
          <cell r="M36">
            <v>27139.178662473394</v>
          </cell>
          <cell r="N36">
            <v>26843.813780312768</v>
          </cell>
          <cell r="O36">
            <v>27031.86416963438</v>
          </cell>
          <cell r="P36">
            <v>26956.216332201777</v>
          </cell>
          <cell r="Q36">
            <v>26955.498076453649</v>
          </cell>
          <cell r="R36">
            <v>27016.285270389199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27081.15143518219</v>
          </cell>
          <cell r="H39">
            <v>40505.030650762361</v>
          </cell>
          <cell r="I39">
            <v>22666.184925500071</v>
          </cell>
          <cell r="J39">
            <v>40876.222425837776</v>
          </cell>
          <cell r="K39">
            <v>27179.653777045052</v>
          </cell>
          <cell r="L39">
            <v>27134.464668417997</v>
          </cell>
          <cell r="M39">
            <v>27257.281598338624</v>
          </cell>
          <cell r="N39">
            <v>26960.524613976078</v>
          </cell>
          <cell r="O39">
            <v>27158.895224349762</v>
          </cell>
          <cell r="P39">
            <v>27071.482332873176</v>
          </cell>
          <cell r="Q39">
            <v>27071.48404875871</v>
          </cell>
          <cell r="R39">
            <v>27132.703719617111</v>
          </cell>
        </row>
        <row r="42">
          <cell r="G42" t="str">
            <v>1월</v>
          </cell>
          <cell r="H42" t="str">
            <v>2월</v>
          </cell>
          <cell r="I42" t="str">
            <v>3월</v>
          </cell>
          <cell r="J42" t="str">
            <v>4월</v>
          </cell>
          <cell r="K42" t="str">
            <v>5월</v>
          </cell>
          <cell r="L42" t="str">
            <v>6월</v>
          </cell>
          <cell r="M42" t="str">
            <v>7월</v>
          </cell>
          <cell r="N42" t="str">
            <v>8월</v>
          </cell>
          <cell r="O42" t="str">
            <v>9월</v>
          </cell>
          <cell r="P42" t="str">
            <v>10월</v>
          </cell>
          <cell r="Q42" t="str">
            <v>11월</v>
          </cell>
          <cell r="R42" t="str">
            <v>12월</v>
          </cell>
          <cell r="S42" t="str">
            <v>계</v>
          </cell>
        </row>
        <row r="43">
          <cell r="G43">
            <v>0</v>
          </cell>
          <cell r="H43">
            <v>70000</v>
          </cell>
          <cell r="I43">
            <v>175000</v>
          </cell>
          <cell r="J43">
            <v>70000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315000</v>
          </cell>
        </row>
        <row r="44">
          <cell r="G44">
            <v>137500</v>
          </cell>
          <cell r="H44">
            <v>137500</v>
          </cell>
          <cell r="I44">
            <v>0</v>
          </cell>
          <cell r="J44">
            <v>137500</v>
          </cell>
          <cell r="K44">
            <v>192500</v>
          </cell>
          <cell r="L44">
            <v>192500</v>
          </cell>
          <cell r="M44">
            <v>192500</v>
          </cell>
          <cell r="N44">
            <v>137500</v>
          </cell>
          <cell r="O44">
            <v>137500</v>
          </cell>
          <cell r="P44">
            <v>165000</v>
          </cell>
          <cell r="Q44">
            <v>165000</v>
          </cell>
          <cell r="R44">
            <v>184030</v>
          </cell>
          <cell r="S44">
            <v>1779030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137500</v>
          </cell>
          <cell r="H47">
            <v>207500</v>
          </cell>
          <cell r="I47">
            <v>175000</v>
          </cell>
          <cell r="J47">
            <v>207500</v>
          </cell>
          <cell r="K47">
            <v>192500</v>
          </cell>
          <cell r="L47">
            <v>192500</v>
          </cell>
          <cell r="M47">
            <v>192500</v>
          </cell>
          <cell r="N47">
            <v>137500</v>
          </cell>
          <cell r="O47">
            <v>137500</v>
          </cell>
          <cell r="P47">
            <v>165000</v>
          </cell>
          <cell r="Q47">
            <v>165000</v>
          </cell>
          <cell r="R47">
            <v>184030</v>
          </cell>
          <cell r="S47">
            <v>2094030</v>
          </cell>
        </row>
        <row r="48">
          <cell r="G48">
            <v>8131.4685314685312</v>
          </cell>
          <cell r="H48">
            <v>159302.77872204929</v>
          </cell>
          <cell r="I48">
            <v>10044.755244755244</v>
          </cell>
          <cell r="J48">
            <v>177432.6401351454</v>
          </cell>
          <cell r="K48">
            <v>10044.755244755244</v>
          </cell>
          <cell r="L48">
            <v>9566.4335664335667</v>
          </cell>
          <cell r="M48">
            <v>10044.755244755244</v>
          </cell>
          <cell r="N48">
            <v>8131.4685314685312</v>
          </cell>
          <cell r="O48">
            <v>10044.755244755244</v>
          </cell>
          <cell r="P48">
            <v>9088.1118881118891</v>
          </cell>
          <cell r="Q48">
            <v>10044.755244755244</v>
          </cell>
          <cell r="R48">
            <v>10523.076923076922</v>
          </cell>
          <cell r="S48">
            <v>432399.75452153035</v>
          </cell>
        </row>
        <row r="49">
          <cell r="G49">
            <v>386625.14376726619</v>
          </cell>
          <cell r="H49">
            <v>310205.9255751961</v>
          </cell>
          <cell r="I49">
            <v>143071.67832167834</v>
          </cell>
          <cell r="J49">
            <v>348641.38139388664</v>
          </cell>
          <cell r="K49">
            <v>475716.12848021893</v>
          </cell>
          <cell r="L49">
            <v>461540.13702482189</v>
          </cell>
          <cell r="M49">
            <v>460038.22988616512</v>
          </cell>
          <cell r="N49">
            <v>405833.98512733658</v>
          </cell>
          <cell r="O49">
            <v>472311.2002385676</v>
          </cell>
          <cell r="P49">
            <v>446236.15543823107</v>
          </cell>
          <cell r="Q49">
            <v>506365.23152851511</v>
          </cell>
          <cell r="R49">
            <v>514338.23852152214</v>
          </cell>
          <cell r="S49">
            <v>4930923.4353034049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G52">
            <v>394756.61229873472</v>
          </cell>
          <cell r="H52">
            <v>469508.70429724536</v>
          </cell>
          <cell r="I52">
            <v>153116.43356643358</v>
          </cell>
          <cell r="J52">
            <v>526074.02152903203</v>
          </cell>
          <cell r="K52">
            <v>485760.88372497418</v>
          </cell>
          <cell r="L52">
            <v>471106.57059125544</v>
          </cell>
          <cell r="M52">
            <v>470082.98513092037</v>
          </cell>
          <cell r="N52">
            <v>413965.45365880511</v>
          </cell>
          <cell r="O52">
            <v>482355.95548332285</v>
          </cell>
          <cell r="P52">
            <v>455324.26732634299</v>
          </cell>
          <cell r="Q52">
            <v>516409.98677327036</v>
          </cell>
          <cell r="R52">
            <v>524861.31544459902</v>
          </cell>
          <cell r="S52">
            <v>5363323.189824936</v>
          </cell>
        </row>
        <row r="53">
          <cell r="G53">
            <v>8131.4685314685312</v>
          </cell>
          <cell r="H53">
            <v>229302.77872204929</v>
          </cell>
          <cell r="I53">
            <v>185044.75524475524</v>
          </cell>
          <cell r="J53">
            <v>247432.6401351454</v>
          </cell>
          <cell r="K53">
            <v>10044.755244755244</v>
          </cell>
          <cell r="L53">
            <v>9566.4335664335667</v>
          </cell>
          <cell r="M53">
            <v>10044.755244755244</v>
          </cell>
          <cell r="N53">
            <v>8131.4685314685312</v>
          </cell>
          <cell r="O53">
            <v>10044.755244755244</v>
          </cell>
          <cell r="P53">
            <v>9088.1118881118891</v>
          </cell>
          <cell r="Q53">
            <v>10044.755244755244</v>
          </cell>
          <cell r="R53">
            <v>10523.076923076922</v>
          </cell>
          <cell r="S53">
            <v>747399.75452153047</v>
          </cell>
        </row>
        <row r="54">
          <cell r="G54">
            <v>524125.14376726619</v>
          </cell>
          <cell r="H54">
            <v>447705.9255751961</v>
          </cell>
          <cell r="I54">
            <v>143071.67832167834</v>
          </cell>
          <cell r="J54">
            <v>486141.38139388664</v>
          </cell>
          <cell r="K54">
            <v>668216.12848021893</v>
          </cell>
          <cell r="L54">
            <v>654040.13702482195</v>
          </cell>
          <cell r="M54">
            <v>652538.22988616512</v>
          </cell>
          <cell r="N54">
            <v>543333.98512733658</v>
          </cell>
          <cell r="O54">
            <v>609811.20023856754</v>
          </cell>
          <cell r="P54">
            <v>611236.15543823107</v>
          </cell>
          <cell r="Q54">
            <v>671365.23152851511</v>
          </cell>
          <cell r="R54">
            <v>698368.23852152214</v>
          </cell>
          <cell r="S54">
            <v>6709953.4353034059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G57">
            <v>532256.61229873472</v>
          </cell>
          <cell r="H57">
            <v>677008.70429724536</v>
          </cell>
          <cell r="I57">
            <v>328116.43356643361</v>
          </cell>
          <cell r="J57">
            <v>733574.02152903203</v>
          </cell>
          <cell r="K57">
            <v>678260.88372497424</v>
          </cell>
          <cell r="L57">
            <v>663606.57059125556</v>
          </cell>
          <cell r="M57">
            <v>662582.98513092031</v>
          </cell>
          <cell r="N57">
            <v>551465.45365880511</v>
          </cell>
          <cell r="O57">
            <v>619855.95548332273</v>
          </cell>
          <cell r="P57">
            <v>620324.26732634299</v>
          </cell>
          <cell r="Q57">
            <v>681409.98677327042</v>
          </cell>
          <cell r="R57">
            <v>708891.31544459902</v>
          </cell>
          <cell r="S57">
            <v>7457353.189824936</v>
          </cell>
        </row>
        <row r="61">
          <cell r="G61">
            <v>-9145.5385160520436</v>
          </cell>
          <cell r="H61">
            <v>2101.2061842027215</v>
          </cell>
          <cell r="I61">
            <v>6787.8002327660342</v>
          </cell>
          <cell r="J61">
            <v>3761.5560514223289</v>
          </cell>
          <cell r="K61">
            <v>9436.5257496468785</v>
          </cell>
          <cell r="L61">
            <v>-12610.488015752338</v>
          </cell>
          <cell r="M61">
            <v>3430.9760370592048</v>
          </cell>
          <cell r="N61">
            <v>-47.499825874483577</v>
          </cell>
          <cell r="O61">
            <v>611.318093939145</v>
          </cell>
          <cell r="P61">
            <v>3420.6293692365089</v>
          </cell>
          <cell r="Q61">
            <v>5980.2372716005593</v>
          </cell>
          <cell r="R61">
            <v>8791.3008656443544</v>
          </cell>
        </row>
        <row r="62">
          <cell r="G62">
            <v>14956.135789603501</v>
          </cell>
          <cell r="H62">
            <v>204397.56062117257</v>
          </cell>
          <cell r="I62">
            <v>-24913.532471101731</v>
          </cell>
          <cell r="J62">
            <v>228583.36187974125</v>
          </cell>
          <cell r="K62">
            <v>61137.690010596663</v>
          </cell>
          <cell r="L62">
            <v>8320.6989160860394</v>
          </cell>
          <cell r="M62">
            <v>47517.078493356668</v>
          </cell>
          <cell r="N62">
            <v>40091.76410076076</v>
          </cell>
          <cell r="O62">
            <v>58514.586100921959</v>
          </cell>
          <cell r="P62">
            <v>47153.270502419029</v>
          </cell>
          <cell r="Q62">
            <v>63100.454239231985</v>
          </cell>
          <cell r="R62">
            <v>67699.801849611162</v>
          </cell>
        </row>
        <row r="63">
          <cell r="G63">
            <v>5810.597273551457</v>
          </cell>
          <cell r="H63">
            <v>206498.76680537529</v>
          </cell>
          <cell r="I63">
            <v>-18125.732238335695</v>
          </cell>
          <cell r="J63">
            <v>232344.91793116357</v>
          </cell>
          <cell r="K63">
            <v>70574.215760243547</v>
          </cell>
          <cell r="L63">
            <v>-4289.7890996662991</v>
          </cell>
          <cell r="M63">
            <v>50948.054530415873</v>
          </cell>
          <cell r="N63">
            <v>40044.264274886278</v>
          </cell>
          <cell r="O63">
            <v>59125.904194861105</v>
          </cell>
          <cell r="P63">
            <v>50573.899871655536</v>
          </cell>
          <cell r="Q63">
            <v>69080.691510832548</v>
          </cell>
          <cell r="R63">
            <v>76491.102715255518</v>
          </cell>
        </row>
        <row r="64">
          <cell r="G64">
            <v>0</v>
          </cell>
          <cell r="H64">
            <v>708.84064045393006</v>
          </cell>
          <cell r="I64">
            <v>6787.8002327660342</v>
          </cell>
          <cell r="J64">
            <v>1268.9586679497013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-9145.5385160520436</v>
          </cell>
          <cell r="H65">
            <v>1392.3655437487912</v>
          </cell>
          <cell r="I65">
            <v>0</v>
          </cell>
          <cell r="J65">
            <v>2492.5973834726278</v>
          </cell>
          <cell r="K65">
            <v>9436.5257496468785</v>
          </cell>
          <cell r="L65">
            <v>-12610.488015752338</v>
          </cell>
          <cell r="M65">
            <v>3430.9760370592048</v>
          </cell>
          <cell r="N65">
            <v>-47.499825874483577</v>
          </cell>
          <cell r="O65">
            <v>611.318093939145</v>
          </cell>
          <cell r="P65">
            <v>3420.6293692365089</v>
          </cell>
          <cell r="Q65">
            <v>5980.2372716005593</v>
          </cell>
          <cell r="R65">
            <v>8791.3008656443544</v>
          </cell>
        </row>
        <row r="66">
          <cell r="G66">
            <v>308.07678386270544</v>
          </cell>
          <cell r="H66">
            <v>69351.428574041769</v>
          </cell>
          <cell r="I66">
            <v>-1634.379342083497</v>
          </cell>
          <cell r="J66">
            <v>77095.898541820672</v>
          </cell>
          <cell r="K66">
            <v>1264.2292802107484</v>
          </cell>
          <cell r="L66">
            <v>168.96264746877293</v>
          </cell>
          <cell r="M66">
            <v>1015.3471589248468</v>
          </cell>
          <cell r="N66">
            <v>787.51720771630551</v>
          </cell>
          <cell r="O66">
            <v>1218.5289493170565</v>
          </cell>
          <cell r="P66">
            <v>941.16265915879296</v>
          </cell>
          <cell r="Q66">
            <v>1227.3748279470165</v>
          </cell>
          <cell r="R66">
            <v>1357.3304062941957</v>
          </cell>
        </row>
        <row r="67">
          <cell r="G67">
            <v>14648.059005740795</v>
          </cell>
          <cell r="H67">
            <v>135046.13204713081</v>
          </cell>
          <cell r="I67">
            <v>-23279.153129018232</v>
          </cell>
          <cell r="J67">
            <v>151487.46333792058</v>
          </cell>
          <cell r="K67">
            <v>59873.460730385916</v>
          </cell>
          <cell r="L67">
            <v>8151.7362686172673</v>
          </cell>
          <cell r="M67">
            <v>46501.731334431817</v>
          </cell>
          <cell r="N67">
            <v>39304.246893044452</v>
          </cell>
          <cell r="O67">
            <v>57296.057151604902</v>
          </cell>
          <cell r="P67">
            <v>46212.10784326023</v>
          </cell>
          <cell r="Q67">
            <v>61873.079411284962</v>
          </cell>
          <cell r="R67">
            <v>66342.471443316972</v>
          </cell>
        </row>
      </sheetData>
      <sheetData sheetId="3">
        <row r="6"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213.98601398601397</v>
          </cell>
          <cell r="H7">
            <v>239.16083916083917</v>
          </cell>
          <cell r="I7">
            <v>264.33566433566432</v>
          </cell>
          <cell r="J7">
            <v>264.33566433566432</v>
          </cell>
          <cell r="K7">
            <v>264.33566433566432</v>
          </cell>
          <cell r="L7">
            <v>251.74825174825176</v>
          </cell>
          <cell r="M7">
            <v>264.33566433566432</v>
          </cell>
          <cell r="N7">
            <v>213.98601398601397</v>
          </cell>
          <cell r="O7">
            <v>264.33566433566432</v>
          </cell>
          <cell r="P7">
            <v>239.16083916083917</v>
          </cell>
          <cell r="Q7">
            <v>264.33566433566432</v>
          </cell>
          <cell r="R7">
            <v>276.92307692307691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4354.0483140271708</v>
          </cell>
          <cell r="I10">
            <v>4850.1585476832906</v>
          </cell>
          <cell r="J10">
            <v>4851.822750446092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213.98601398601397</v>
          </cell>
          <cell r="H13">
            <v>4593.2091531880096</v>
          </cell>
          <cell r="I13">
            <v>5114.4942120189553</v>
          </cell>
          <cell r="J13">
            <v>5116.1584147817566</v>
          </cell>
          <cell r="K13">
            <v>264.33566433566432</v>
          </cell>
          <cell r="L13">
            <v>251.74825174825176</v>
          </cell>
          <cell r="M13">
            <v>264.33566433566432</v>
          </cell>
          <cell r="N13">
            <v>213.98601398601397</v>
          </cell>
          <cell r="O13">
            <v>264.33566433566432</v>
          </cell>
          <cell r="P13">
            <v>239.16083916083917</v>
          </cell>
          <cell r="Q13">
            <v>264.33566433566432</v>
          </cell>
          <cell r="R13">
            <v>276.92307692307691</v>
          </cell>
        </row>
        <row r="14">
          <cell r="G14">
            <v>3530.7692307692309</v>
          </cell>
          <cell r="H14">
            <v>3946.1538461538462</v>
          </cell>
          <cell r="I14">
            <v>4361.5384615384619</v>
          </cell>
          <cell r="J14">
            <v>4361.5384615384619</v>
          </cell>
          <cell r="K14">
            <v>4361.5384615384619</v>
          </cell>
          <cell r="L14">
            <v>4153.8461538461543</v>
          </cell>
          <cell r="M14">
            <v>4361.5384615384619</v>
          </cell>
          <cell r="N14">
            <v>3530.7692307692309</v>
          </cell>
          <cell r="O14">
            <v>4361.5384615384619</v>
          </cell>
          <cell r="P14">
            <v>3946.1538461538462</v>
          </cell>
          <cell r="Q14">
            <v>4361.5384615384619</v>
          </cell>
          <cell r="R14">
            <v>4569.2307692307695</v>
          </cell>
        </row>
        <row r="15">
          <cell r="G15">
            <v>4067.8321678321677</v>
          </cell>
          <cell r="H15">
            <v>0</v>
          </cell>
          <cell r="I15">
            <v>0</v>
          </cell>
          <cell r="J15">
            <v>0</v>
          </cell>
          <cell r="K15">
            <v>5671.9580419580416</v>
          </cell>
          <cell r="L15">
            <v>5413.4965034965035</v>
          </cell>
          <cell r="M15">
            <v>5413.4965034965035</v>
          </cell>
          <cell r="N15">
            <v>4602.1678321678319</v>
          </cell>
          <cell r="O15">
            <v>5695.734265734266</v>
          </cell>
          <cell r="P15">
            <v>5156.5734265734263</v>
          </cell>
          <cell r="Q15">
            <v>6210.6993006993007</v>
          </cell>
          <cell r="R15">
            <v>6254.4755244755243</v>
          </cell>
        </row>
        <row r="16">
          <cell r="G16">
            <v>1913.2867132867134</v>
          </cell>
          <cell r="H16">
            <v>1174.8251748251748</v>
          </cell>
          <cell r="I16">
            <v>0</v>
          </cell>
          <cell r="J16">
            <v>1468.5314685314686</v>
          </cell>
          <cell r="K16">
            <v>2391.6083916083917</v>
          </cell>
          <cell r="L16">
            <v>2391.6083916083917</v>
          </cell>
          <cell r="M16">
            <v>2072.7272727272725</v>
          </cell>
          <cell r="N16">
            <v>2072.7272727272725</v>
          </cell>
          <cell r="O16">
            <v>2232.1678321678323</v>
          </cell>
          <cell r="P16">
            <v>2551.048951048951</v>
          </cell>
          <cell r="Q16">
            <v>2551.048951048951</v>
          </cell>
          <cell r="R16">
            <v>2551.048951048951</v>
          </cell>
        </row>
        <row r="17">
          <cell r="G17">
            <v>4356.2387193972736</v>
          </cell>
          <cell r="H17">
            <v>0</v>
          </cell>
          <cell r="I17">
            <v>0</v>
          </cell>
          <cell r="J17">
            <v>0</v>
          </cell>
          <cell r="K17">
            <v>4621.374764032088</v>
          </cell>
          <cell r="L17">
            <v>4601.6123169848106</v>
          </cell>
          <cell r="M17">
            <v>4600.691735804633</v>
          </cell>
          <cell r="N17">
            <v>4390.9884005403792</v>
          </cell>
          <cell r="O17">
            <v>4625.6230860987525</v>
          </cell>
          <cell r="P17">
            <v>4377.4570273445524</v>
          </cell>
          <cell r="Q17">
            <v>5091.6441927320257</v>
          </cell>
          <cell r="R17">
            <v>5091.6441927320257</v>
          </cell>
        </row>
        <row r="18">
          <cell r="G18">
            <v>572.02237762237758</v>
          </cell>
          <cell r="H18">
            <v>0</v>
          </cell>
          <cell r="I18">
            <v>0</v>
          </cell>
          <cell r="J18">
            <v>0</v>
          </cell>
          <cell r="K18">
            <v>643.91328671328677</v>
          </cell>
          <cell r="L18">
            <v>643.91328671328677</v>
          </cell>
          <cell r="M18">
            <v>595.68671328671326</v>
          </cell>
          <cell r="N18">
            <v>643.91328671328677</v>
          </cell>
          <cell r="O18">
            <v>643.91328671328677</v>
          </cell>
          <cell r="P18">
            <v>643.91328671328677</v>
          </cell>
          <cell r="Q18">
            <v>691.49930069930065</v>
          </cell>
          <cell r="R18">
            <v>691.49930069930065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14440.149208907764</v>
          </cell>
          <cell r="H20">
            <v>5120.9790209790208</v>
          </cell>
          <cell r="I20">
            <v>4361.5384615384619</v>
          </cell>
          <cell r="J20">
            <v>5830.0699300699307</v>
          </cell>
          <cell r="K20">
            <v>17690.392945850268</v>
          </cell>
          <cell r="L20">
            <v>17204.476652649148</v>
          </cell>
          <cell r="M20">
            <v>17044.140686853581</v>
          </cell>
          <cell r="N20">
            <v>15240.566022917999</v>
          </cell>
          <cell r="O20">
            <v>17558.976932252597</v>
          </cell>
          <cell r="P20">
            <v>16675.146537834062</v>
          </cell>
          <cell r="Q20">
            <v>18906.43020671804</v>
          </cell>
          <cell r="R20">
            <v>19157.89873818657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8">
          <cell r="G38" t="str">
            <v>1월</v>
          </cell>
          <cell r="H38" t="str">
            <v>2월</v>
          </cell>
          <cell r="I38" t="str">
            <v>3월</v>
          </cell>
          <cell r="J38" t="str">
            <v>4월</v>
          </cell>
          <cell r="K38" t="str">
            <v>5월</v>
          </cell>
          <cell r="L38" t="str">
            <v>6월</v>
          </cell>
          <cell r="M38" t="str">
            <v>7월</v>
          </cell>
          <cell r="N38" t="str">
            <v>8월</v>
          </cell>
          <cell r="O38" t="str">
            <v>9월</v>
          </cell>
          <cell r="P38" t="str">
            <v>10월</v>
          </cell>
          <cell r="Q38" t="str">
            <v>11월</v>
          </cell>
          <cell r="R38" t="str">
            <v>12월</v>
          </cell>
        </row>
        <row r="39">
          <cell r="G39">
            <v>38000</v>
          </cell>
          <cell r="H39">
            <v>38000</v>
          </cell>
          <cell r="I39">
            <v>38000</v>
          </cell>
          <cell r="J39">
            <v>38000</v>
          </cell>
          <cell r="K39">
            <v>38000</v>
          </cell>
          <cell r="L39">
            <v>38000</v>
          </cell>
          <cell r="M39">
            <v>38000</v>
          </cell>
          <cell r="N39">
            <v>38000</v>
          </cell>
          <cell r="O39">
            <v>38000</v>
          </cell>
          <cell r="P39">
            <v>38000</v>
          </cell>
          <cell r="Q39">
            <v>38000</v>
          </cell>
          <cell r="R39">
            <v>38000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34500</v>
          </cell>
          <cell r="I42">
            <v>0</v>
          </cell>
          <cell r="J42">
            <v>34500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38000</v>
          </cell>
          <cell r="H45">
            <v>34682.239238220187</v>
          </cell>
          <cell r="I45">
            <v>1963.9782211797753</v>
          </cell>
          <cell r="J45">
            <v>34680.833889447546</v>
          </cell>
          <cell r="K45">
            <v>38000</v>
          </cell>
          <cell r="L45">
            <v>38000</v>
          </cell>
          <cell r="M45">
            <v>38000</v>
          </cell>
          <cell r="N45">
            <v>38000</v>
          </cell>
          <cell r="O45">
            <v>38000</v>
          </cell>
          <cell r="P45">
            <v>38000</v>
          </cell>
          <cell r="Q45">
            <v>38000</v>
          </cell>
          <cell r="R45">
            <v>38000</v>
          </cell>
        </row>
        <row r="46">
          <cell r="G46">
            <v>30500</v>
          </cell>
          <cell r="H46">
            <v>30500</v>
          </cell>
          <cell r="I46">
            <v>30500</v>
          </cell>
          <cell r="J46">
            <v>30500</v>
          </cell>
          <cell r="K46">
            <v>30500</v>
          </cell>
          <cell r="L46">
            <v>30500</v>
          </cell>
          <cell r="M46">
            <v>30500</v>
          </cell>
          <cell r="N46">
            <v>30500</v>
          </cell>
          <cell r="O46">
            <v>30500</v>
          </cell>
          <cell r="P46">
            <v>30500</v>
          </cell>
          <cell r="Q46">
            <v>30500</v>
          </cell>
          <cell r="R46">
            <v>30500</v>
          </cell>
        </row>
        <row r="47">
          <cell r="G47">
            <v>26500</v>
          </cell>
          <cell r="H47">
            <v>26500</v>
          </cell>
          <cell r="I47">
            <v>0</v>
          </cell>
          <cell r="J47">
            <v>26500</v>
          </cell>
          <cell r="K47">
            <v>26500</v>
          </cell>
          <cell r="L47">
            <v>26500</v>
          </cell>
          <cell r="M47">
            <v>26500</v>
          </cell>
          <cell r="N47">
            <v>26500</v>
          </cell>
          <cell r="O47">
            <v>26500</v>
          </cell>
          <cell r="P47">
            <v>26500</v>
          </cell>
          <cell r="Q47">
            <v>26500</v>
          </cell>
          <cell r="R47">
            <v>26500</v>
          </cell>
        </row>
        <row r="48">
          <cell r="G48">
            <v>26000</v>
          </cell>
          <cell r="H48">
            <v>26000</v>
          </cell>
          <cell r="I48">
            <v>0</v>
          </cell>
          <cell r="J48">
            <v>26000</v>
          </cell>
          <cell r="K48">
            <v>26000</v>
          </cell>
          <cell r="L48">
            <v>26000</v>
          </cell>
          <cell r="M48">
            <v>26000</v>
          </cell>
          <cell r="N48">
            <v>26000</v>
          </cell>
          <cell r="O48">
            <v>26000</v>
          </cell>
          <cell r="P48">
            <v>26000</v>
          </cell>
          <cell r="Q48">
            <v>26000</v>
          </cell>
          <cell r="R48">
            <v>26000</v>
          </cell>
        </row>
        <row r="49">
          <cell r="G49">
            <v>26000</v>
          </cell>
          <cell r="H49">
            <v>26000</v>
          </cell>
          <cell r="I49">
            <v>0</v>
          </cell>
          <cell r="J49">
            <v>26000</v>
          </cell>
          <cell r="K49">
            <v>26000</v>
          </cell>
          <cell r="L49">
            <v>26000</v>
          </cell>
          <cell r="M49">
            <v>26000</v>
          </cell>
          <cell r="N49">
            <v>26000</v>
          </cell>
          <cell r="O49">
            <v>26000</v>
          </cell>
          <cell r="P49">
            <v>26000</v>
          </cell>
          <cell r="Q49">
            <v>26000</v>
          </cell>
          <cell r="R49">
            <v>26000</v>
          </cell>
        </row>
        <row r="50">
          <cell r="G50">
            <v>26000</v>
          </cell>
          <cell r="H50">
            <v>26000</v>
          </cell>
          <cell r="I50">
            <v>0</v>
          </cell>
          <cell r="J50">
            <v>26000</v>
          </cell>
          <cell r="K50">
            <v>26000</v>
          </cell>
          <cell r="L50">
            <v>26000</v>
          </cell>
          <cell r="M50">
            <v>26000</v>
          </cell>
          <cell r="N50">
            <v>26000</v>
          </cell>
          <cell r="O50">
            <v>26000</v>
          </cell>
          <cell r="P50">
            <v>26000</v>
          </cell>
          <cell r="Q50">
            <v>26000</v>
          </cell>
          <cell r="R50">
            <v>26000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26774.317783971848</v>
          </cell>
          <cell r="H52">
            <v>60575.51189028137</v>
          </cell>
          <cell r="I52">
            <v>32803.030303030304</v>
          </cell>
          <cell r="J52">
            <v>59800.548805716426</v>
          </cell>
          <cell r="K52">
            <v>26891.213210264519</v>
          </cell>
          <cell r="L52">
            <v>26826.746685941991</v>
          </cell>
          <cell r="M52">
            <v>26990.989944186505</v>
          </cell>
          <cell r="N52">
            <v>26628.537582991587</v>
          </cell>
          <cell r="O52">
            <v>26898.560323922924</v>
          </cell>
          <cell r="P52">
            <v>26760.553763396958</v>
          </cell>
          <cell r="Q52">
            <v>26782.699113055613</v>
          </cell>
          <cell r="R52">
            <v>26847.320029743922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</row>
        <row r="71">
          <cell r="G71">
            <v>8131.4685314685312</v>
          </cell>
          <cell r="H71">
            <v>9088.1118881118891</v>
          </cell>
          <cell r="I71">
            <v>10044.755244755244</v>
          </cell>
          <cell r="J71">
            <v>10044.755244755244</v>
          </cell>
          <cell r="K71">
            <v>10044.755244755244</v>
          </cell>
          <cell r="L71">
            <v>9566.4335664335667</v>
          </cell>
          <cell r="M71">
            <v>10044.755244755244</v>
          </cell>
          <cell r="N71">
            <v>8131.4685314685312</v>
          </cell>
          <cell r="O71">
            <v>10044.755244755244</v>
          </cell>
          <cell r="P71">
            <v>9088.1118881118891</v>
          </cell>
          <cell r="Q71">
            <v>10044.755244755244</v>
          </cell>
          <cell r="R71">
            <v>10523.076923076922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150214.6668339374</v>
          </cell>
          <cell r="I74">
            <v>0</v>
          </cell>
          <cell r="J74">
            <v>167387.88489039015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8131.4685314685312</v>
          </cell>
          <cell r="H77">
            <v>159302.77872204929</v>
          </cell>
          <cell r="I77">
            <v>10044.755244755244</v>
          </cell>
          <cell r="J77">
            <v>177432.6401351454</v>
          </cell>
          <cell r="K77">
            <v>10044.755244755244</v>
          </cell>
          <cell r="L77">
            <v>9566.4335664335667</v>
          </cell>
          <cell r="M77">
            <v>10044.755244755244</v>
          </cell>
          <cell r="N77">
            <v>8131.4685314685312</v>
          </cell>
          <cell r="O77">
            <v>10044.755244755244</v>
          </cell>
          <cell r="P77">
            <v>9088.1118881118891</v>
          </cell>
          <cell r="Q77">
            <v>10044.755244755244</v>
          </cell>
          <cell r="R77">
            <v>10523.076923076922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8131.4685314685312</v>
          </cell>
          <cell r="H79">
            <v>159302.77872204929</v>
          </cell>
          <cell r="I79">
            <v>10044.755244755244</v>
          </cell>
          <cell r="J79">
            <v>177432.64013514537</v>
          </cell>
          <cell r="K79">
            <v>10044.755244755244</v>
          </cell>
          <cell r="L79">
            <v>9566.4335664335667</v>
          </cell>
          <cell r="M79">
            <v>10044.755244755244</v>
          </cell>
          <cell r="N79">
            <v>8131.4685314685312</v>
          </cell>
          <cell r="O79">
            <v>10044.755244755244</v>
          </cell>
          <cell r="P79">
            <v>9088.1118881118891</v>
          </cell>
          <cell r="Q79">
            <v>10044.755244755244</v>
          </cell>
          <cell r="R79">
            <v>10523.076923076922</v>
          </cell>
        </row>
        <row r="80">
          <cell r="G80">
            <v>107688.46153846155</v>
          </cell>
          <cell r="H80">
            <v>120357.6923076923</v>
          </cell>
          <cell r="I80">
            <v>133026.92307692309</v>
          </cell>
          <cell r="J80">
            <v>133026.92307692309</v>
          </cell>
          <cell r="K80">
            <v>133026.92307692309</v>
          </cell>
          <cell r="L80">
            <v>126692.30769230772</v>
          </cell>
          <cell r="M80">
            <v>133026.92307692309</v>
          </cell>
          <cell r="N80">
            <v>107688.46153846155</v>
          </cell>
          <cell r="O80">
            <v>133026.92307692309</v>
          </cell>
          <cell r="P80">
            <v>120357.6923076923</v>
          </cell>
          <cell r="Q80">
            <v>133026.92307692309</v>
          </cell>
          <cell r="R80">
            <v>139361.53846153847</v>
          </cell>
        </row>
        <row r="81">
          <cell r="G81">
            <v>107797.55244755244</v>
          </cell>
          <cell r="H81">
            <v>0</v>
          </cell>
          <cell r="I81">
            <v>0</v>
          </cell>
          <cell r="J81">
            <v>0</v>
          </cell>
          <cell r="K81">
            <v>150306.88811188811</v>
          </cell>
          <cell r="L81">
            <v>143457.65734265733</v>
          </cell>
          <cell r="M81">
            <v>143457.65734265733</v>
          </cell>
          <cell r="N81">
            <v>121957.44755244754</v>
          </cell>
          <cell r="O81">
            <v>150936.95804195807</v>
          </cell>
          <cell r="P81">
            <v>136649.1958041958</v>
          </cell>
          <cell r="Q81">
            <v>164583.53146853147</v>
          </cell>
          <cell r="R81">
            <v>165743.60139860137</v>
          </cell>
        </row>
        <row r="82">
          <cell r="G82">
            <v>49745.454545454544</v>
          </cell>
          <cell r="H82">
            <v>30545.454545454548</v>
          </cell>
          <cell r="I82">
            <v>0</v>
          </cell>
          <cell r="J82">
            <v>38181.818181818177</v>
          </cell>
          <cell r="K82">
            <v>62181.818181818184</v>
          </cell>
          <cell r="L82">
            <v>62181.818181818184</v>
          </cell>
          <cell r="M82">
            <v>53890.909090909088</v>
          </cell>
          <cell r="N82">
            <v>53890.909090909088</v>
          </cell>
          <cell r="O82">
            <v>58036.36363636364</v>
          </cell>
          <cell r="P82">
            <v>66327.272727272721</v>
          </cell>
          <cell r="Q82">
            <v>66327.272727272721</v>
          </cell>
          <cell r="R82">
            <v>66327.272727272721</v>
          </cell>
        </row>
        <row r="83">
          <cell r="G83">
            <v>113262.20670432912</v>
          </cell>
          <cell r="H83">
            <v>0</v>
          </cell>
          <cell r="I83">
            <v>0</v>
          </cell>
          <cell r="J83">
            <v>0</v>
          </cell>
          <cell r="K83">
            <v>120155.74386483429</v>
          </cell>
          <cell r="L83">
            <v>119641.92024160507</v>
          </cell>
          <cell r="M83">
            <v>119617.98513092045</v>
          </cell>
          <cell r="N83">
            <v>114165.69841404987</v>
          </cell>
          <cell r="O83">
            <v>120266.20023856756</v>
          </cell>
          <cell r="P83">
            <v>113813.88271095837</v>
          </cell>
          <cell r="Q83">
            <v>132382.74901103266</v>
          </cell>
          <cell r="R83">
            <v>132382.74901103266</v>
          </cell>
        </row>
        <row r="84">
          <cell r="G84">
            <v>386625.14376726619</v>
          </cell>
          <cell r="H84">
            <v>310205.9255751961</v>
          </cell>
          <cell r="I84">
            <v>143071.67832167834</v>
          </cell>
          <cell r="J84">
            <v>348641.38139388664</v>
          </cell>
          <cell r="K84">
            <v>475716.12848021893</v>
          </cell>
          <cell r="L84">
            <v>461540.13702482189</v>
          </cell>
          <cell r="M84">
            <v>460038.22988616512</v>
          </cell>
          <cell r="N84">
            <v>405833.98512733658</v>
          </cell>
          <cell r="O84">
            <v>472311.2002385676</v>
          </cell>
          <cell r="P84">
            <v>446236.15543823107</v>
          </cell>
          <cell r="Q84">
            <v>506365.23152851511</v>
          </cell>
          <cell r="R84">
            <v>514338.23852152214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394756.61229873472</v>
          </cell>
          <cell r="H99">
            <v>469508.70429724536</v>
          </cell>
          <cell r="I99">
            <v>153116.43356643358</v>
          </cell>
          <cell r="J99">
            <v>526074.02152903203</v>
          </cell>
          <cell r="K99">
            <v>485760.88372497418</v>
          </cell>
          <cell r="L99">
            <v>471106.57059125544</v>
          </cell>
          <cell r="M99">
            <v>470082.98513092037</v>
          </cell>
          <cell r="N99">
            <v>413965.45365880511</v>
          </cell>
          <cell r="O99">
            <v>482355.95548332285</v>
          </cell>
          <cell r="P99">
            <v>455324.26732634299</v>
          </cell>
          <cell r="Q99">
            <v>516409.98677327036</v>
          </cell>
          <cell r="R99">
            <v>524861.31544459902</v>
          </cell>
        </row>
        <row r="101">
          <cell r="G101" t="str">
            <v>단중</v>
          </cell>
          <cell r="H101">
            <v>1430</v>
          </cell>
        </row>
        <row r="102">
          <cell r="G102" t="str">
            <v>1월</v>
          </cell>
          <cell r="H102" t="str">
            <v>2월</v>
          </cell>
          <cell r="I102" t="str">
            <v>3월</v>
          </cell>
          <cell r="J102" t="str">
            <v>4월</v>
          </cell>
          <cell r="K102" t="str">
            <v>5월</v>
          </cell>
          <cell r="L102" t="str">
            <v>6월</v>
          </cell>
          <cell r="M102" t="str">
            <v>7월</v>
          </cell>
          <cell r="N102" t="str">
            <v>8월</v>
          </cell>
          <cell r="O102" t="str">
            <v>9월</v>
          </cell>
          <cell r="P102" t="str">
            <v>10월</v>
          </cell>
          <cell r="Q102" t="str">
            <v>11월</v>
          </cell>
          <cell r="R102" t="str">
            <v>12월</v>
          </cell>
        </row>
        <row r="103">
          <cell r="G103">
            <v>306000</v>
          </cell>
          <cell r="H103">
            <v>342000</v>
          </cell>
          <cell r="I103">
            <v>378000</v>
          </cell>
          <cell r="J103">
            <v>378000</v>
          </cell>
          <cell r="K103">
            <v>378000</v>
          </cell>
          <cell r="L103">
            <v>360000</v>
          </cell>
          <cell r="M103">
            <v>378000</v>
          </cell>
          <cell r="N103">
            <v>306000</v>
          </cell>
          <cell r="O103">
            <v>378000</v>
          </cell>
          <cell r="P103">
            <v>342000</v>
          </cell>
          <cell r="Q103">
            <v>378000</v>
          </cell>
          <cell r="R103">
            <v>396000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6226289.0890588546</v>
          </cell>
          <cell r="I106">
            <v>6935726.7231871057</v>
          </cell>
          <cell r="J106">
            <v>6938106.5331379119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306000</v>
          </cell>
          <cell r="H109">
            <v>6568289.0890588546</v>
          </cell>
          <cell r="I109">
            <v>7313726.7231871057</v>
          </cell>
          <cell r="J109">
            <v>7316106.5331379119</v>
          </cell>
          <cell r="K109">
            <v>378000</v>
          </cell>
          <cell r="L109">
            <v>360000</v>
          </cell>
          <cell r="M109">
            <v>378000</v>
          </cell>
          <cell r="N109">
            <v>306000</v>
          </cell>
          <cell r="O109">
            <v>378000</v>
          </cell>
          <cell r="P109">
            <v>342000</v>
          </cell>
          <cell r="Q109">
            <v>378000</v>
          </cell>
          <cell r="R109">
            <v>396000</v>
          </cell>
        </row>
        <row r="110">
          <cell r="G110">
            <v>5049000</v>
          </cell>
          <cell r="H110">
            <v>5643000</v>
          </cell>
          <cell r="I110">
            <v>6237000.0000000009</v>
          </cell>
          <cell r="J110">
            <v>6237000.0000000009</v>
          </cell>
          <cell r="K110">
            <v>6237000.0000000009</v>
          </cell>
          <cell r="L110">
            <v>5940000.0000000009</v>
          </cell>
          <cell r="M110">
            <v>6237000.0000000009</v>
          </cell>
          <cell r="N110">
            <v>5049000</v>
          </cell>
          <cell r="O110">
            <v>6237000.0000000009</v>
          </cell>
          <cell r="P110">
            <v>5643000</v>
          </cell>
          <cell r="Q110">
            <v>6237000.0000000009</v>
          </cell>
          <cell r="R110">
            <v>6534000</v>
          </cell>
        </row>
        <row r="111">
          <cell r="G111">
            <v>5817000</v>
          </cell>
          <cell r="H111">
            <v>0</v>
          </cell>
          <cell r="I111">
            <v>0</v>
          </cell>
          <cell r="J111">
            <v>0</v>
          </cell>
          <cell r="K111">
            <v>8110899.9999999991</v>
          </cell>
          <cell r="L111">
            <v>7741300</v>
          </cell>
          <cell r="M111">
            <v>7741300</v>
          </cell>
          <cell r="N111">
            <v>6581100</v>
          </cell>
          <cell r="O111">
            <v>8144900</v>
          </cell>
          <cell r="P111">
            <v>7373900</v>
          </cell>
          <cell r="Q111">
            <v>8881300</v>
          </cell>
          <cell r="R111">
            <v>8943900</v>
          </cell>
        </row>
        <row r="112">
          <cell r="G112">
            <v>2736000</v>
          </cell>
          <cell r="H112">
            <v>1680000</v>
          </cell>
          <cell r="I112">
            <v>0</v>
          </cell>
          <cell r="J112">
            <v>2100000</v>
          </cell>
          <cell r="K112">
            <v>3420000</v>
          </cell>
          <cell r="L112">
            <v>3420000</v>
          </cell>
          <cell r="M112">
            <v>2963999.9999999995</v>
          </cell>
          <cell r="N112">
            <v>2963999.9999999995</v>
          </cell>
          <cell r="O112">
            <v>3192000</v>
          </cell>
          <cell r="P112">
            <v>3648000</v>
          </cell>
          <cell r="Q112">
            <v>3648000</v>
          </cell>
          <cell r="R112">
            <v>3648000</v>
          </cell>
        </row>
        <row r="113">
          <cell r="G113">
            <v>6229421.3687381009</v>
          </cell>
          <cell r="H113">
            <v>0</v>
          </cell>
          <cell r="I113">
            <v>0</v>
          </cell>
          <cell r="J113">
            <v>0</v>
          </cell>
          <cell r="K113">
            <v>6608565.912565886</v>
          </cell>
          <cell r="L113">
            <v>6580305.6132882796</v>
          </cell>
          <cell r="M113">
            <v>6578989.1822006255</v>
          </cell>
          <cell r="N113">
            <v>6279113.4127727421</v>
          </cell>
          <cell r="O113">
            <v>6614641.0131212166</v>
          </cell>
          <cell r="P113">
            <v>6259763.5491027096</v>
          </cell>
          <cell r="Q113">
            <v>7281051.195606797</v>
          </cell>
          <cell r="R113">
            <v>7281051.195606797</v>
          </cell>
        </row>
        <row r="114">
          <cell r="G114">
            <v>817991.99999999988</v>
          </cell>
          <cell r="H114">
            <v>0</v>
          </cell>
          <cell r="I114">
            <v>0</v>
          </cell>
          <cell r="J114">
            <v>0</v>
          </cell>
          <cell r="K114">
            <v>920796.00000000012</v>
          </cell>
          <cell r="L114">
            <v>920796.00000000012</v>
          </cell>
          <cell r="M114">
            <v>851832</v>
          </cell>
          <cell r="N114">
            <v>920796.00000000012</v>
          </cell>
          <cell r="O114">
            <v>920796.00000000012</v>
          </cell>
          <cell r="P114">
            <v>920796.00000000012</v>
          </cell>
          <cell r="Q114">
            <v>988843.99999999988</v>
          </cell>
          <cell r="R114">
            <v>988843.99999999988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20649413.3687381</v>
          </cell>
          <cell r="H116">
            <v>7323000</v>
          </cell>
          <cell r="I116">
            <v>6237000.0000000009</v>
          </cell>
          <cell r="J116">
            <v>8337000.0000000009</v>
          </cell>
          <cell r="K116">
            <v>25297261.912565887</v>
          </cell>
          <cell r="L116">
            <v>24602401.61328828</v>
          </cell>
          <cell r="M116">
            <v>24373121.182200626</v>
          </cell>
          <cell r="N116">
            <v>21794009.412772741</v>
          </cell>
          <cell r="O116">
            <v>25109337.013121217</v>
          </cell>
          <cell r="P116">
            <v>23845459.549102709</v>
          </cell>
          <cell r="Q116">
            <v>27036195.195606798</v>
          </cell>
          <cell r="R116">
            <v>27395795.195606798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306000</v>
          </cell>
          <cell r="H131">
            <v>6568289.0890588546</v>
          </cell>
          <cell r="I131">
            <v>7313726.7231871057</v>
          </cell>
          <cell r="J131">
            <v>7316106.5331379119</v>
          </cell>
          <cell r="K131">
            <v>378000</v>
          </cell>
          <cell r="L131">
            <v>360000</v>
          </cell>
          <cell r="M131">
            <v>378000</v>
          </cell>
          <cell r="N131">
            <v>306000</v>
          </cell>
          <cell r="O131">
            <v>378000</v>
          </cell>
          <cell r="P131">
            <v>342000</v>
          </cell>
          <cell r="Q131">
            <v>378000</v>
          </cell>
          <cell r="R131">
            <v>396000</v>
          </cell>
        </row>
        <row r="134">
          <cell r="G134" t="str">
            <v>1월</v>
          </cell>
          <cell r="H134" t="str">
            <v>2월</v>
          </cell>
          <cell r="I134" t="str">
            <v>3월</v>
          </cell>
          <cell r="J134" t="str">
            <v>4월</v>
          </cell>
          <cell r="K134" t="str">
            <v>5월</v>
          </cell>
          <cell r="L134" t="str">
            <v>6월</v>
          </cell>
          <cell r="M134" t="str">
            <v>7월</v>
          </cell>
          <cell r="N134" t="str">
            <v>8월</v>
          </cell>
          <cell r="O134" t="str">
            <v>9월</v>
          </cell>
          <cell r="P134" t="str">
            <v>10월</v>
          </cell>
          <cell r="Q134" t="str">
            <v>11월</v>
          </cell>
          <cell r="R134" t="str">
            <v>12월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5000</v>
          </cell>
          <cell r="H136">
            <v>5000</v>
          </cell>
          <cell r="I136">
            <v>5000</v>
          </cell>
          <cell r="J136">
            <v>5000</v>
          </cell>
          <cell r="K136">
            <v>5000</v>
          </cell>
          <cell r="L136">
            <v>5000</v>
          </cell>
          <cell r="M136">
            <v>5000</v>
          </cell>
          <cell r="N136">
            <v>5000</v>
          </cell>
          <cell r="O136">
            <v>5000</v>
          </cell>
          <cell r="P136">
            <v>5000</v>
          </cell>
          <cell r="Q136">
            <v>5000</v>
          </cell>
          <cell r="R136">
            <v>5000</v>
          </cell>
        </row>
        <row r="137">
          <cell r="G137">
            <v>6500</v>
          </cell>
          <cell r="H137">
            <v>6500</v>
          </cell>
          <cell r="I137">
            <v>6500</v>
          </cell>
          <cell r="J137">
            <v>6500</v>
          </cell>
          <cell r="K137">
            <v>6500</v>
          </cell>
          <cell r="L137">
            <v>6500</v>
          </cell>
          <cell r="M137">
            <v>6500</v>
          </cell>
          <cell r="N137">
            <v>6500</v>
          </cell>
          <cell r="O137">
            <v>6500</v>
          </cell>
          <cell r="P137">
            <v>6500</v>
          </cell>
          <cell r="Q137">
            <v>6500</v>
          </cell>
          <cell r="R137">
            <v>6500</v>
          </cell>
        </row>
        <row r="138">
          <cell r="G138">
            <v>7500</v>
          </cell>
          <cell r="H138">
            <v>7500</v>
          </cell>
          <cell r="I138">
            <v>7500</v>
          </cell>
          <cell r="J138">
            <v>7500</v>
          </cell>
          <cell r="K138">
            <v>7500</v>
          </cell>
          <cell r="L138">
            <v>7500</v>
          </cell>
          <cell r="M138">
            <v>7500</v>
          </cell>
          <cell r="N138">
            <v>7500</v>
          </cell>
          <cell r="O138">
            <v>7500</v>
          </cell>
          <cell r="P138">
            <v>7500</v>
          </cell>
          <cell r="Q138">
            <v>7500</v>
          </cell>
          <cell r="R138">
            <v>7500</v>
          </cell>
        </row>
        <row r="139">
          <cell r="G139">
            <v>7000</v>
          </cell>
          <cell r="H139">
            <v>7000</v>
          </cell>
          <cell r="I139">
            <v>7000</v>
          </cell>
          <cell r="J139">
            <v>7000</v>
          </cell>
          <cell r="K139">
            <v>7000</v>
          </cell>
          <cell r="L139">
            <v>7000</v>
          </cell>
          <cell r="M139">
            <v>7000</v>
          </cell>
          <cell r="N139">
            <v>7000</v>
          </cell>
          <cell r="O139">
            <v>7000</v>
          </cell>
          <cell r="P139">
            <v>7000</v>
          </cell>
          <cell r="Q139">
            <v>7000</v>
          </cell>
          <cell r="R139">
            <v>7000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5000</v>
          </cell>
          <cell r="H142">
            <v>5000</v>
          </cell>
          <cell r="I142">
            <v>5000</v>
          </cell>
          <cell r="J142">
            <v>5000</v>
          </cell>
          <cell r="K142">
            <v>5000</v>
          </cell>
          <cell r="L142">
            <v>5000</v>
          </cell>
          <cell r="M142">
            <v>5000</v>
          </cell>
          <cell r="N142">
            <v>5000</v>
          </cell>
          <cell r="O142">
            <v>5000</v>
          </cell>
          <cell r="P142">
            <v>5000</v>
          </cell>
          <cell r="Q142">
            <v>5000</v>
          </cell>
          <cell r="R142">
            <v>5000</v>
          </cell>
        </row>
        <row r="143">
          <cell r="G143">
            <v>6500</v>
          </cell>
          <cell r="H143">
            <v>6500</v>
          </cell>
          <cell r="I143">
            <v>6500</v>
          </cell>
          <cell r="J143">
            <v>6500</v>
          </cell>
          <cell r="K143">
            <v>6500</v>
          </cell>
          <cell r="L143">
            <v>6500</v>
          </cell>
          <cell r="M143">
            <v>6500</v>
          </cell>
          <cell r="N143">
            <v>6500</v>
          </cell>
          <cell r="O143">
            <v>6500</v>
          </cell>
          <cell r="P143">
            <v>6500</v>
          </cell>
          <cell r="Q143">
            <v>6500</v>
          </cell>
          <cell r="R143">
            <v>6500</v>
          </cell>
        </row>
        <row r="144">
          <cell r="G144">
            <v>7500</v>
          </cell>
          <cell r="H144">
            <v>7500</v>
          </cell>
          <cell r="I144">
            <v>7500</v>
          </cell>
          <cell r="J144">
            <v>7500</v>
          </cell>
          <cell r="K144">
            <v>7500</v>
          </cell>
          <cell r="L144">
            <v>7500</v>
          </cell>
          <cell r="M144">
            <v>7500</v>
          </cell>
          <cell r="N144">
            <v>7500</v>
          </cell>
          <cell r="O144">
            <v>7500</v>
          </cell>
          <cell r="P144">
            <v>7500</v>
          </cell>
          <cell r="Q144">
            <v>7500</v>
          </cell>
          <cell r="R144">
            <v>7500</v>
          </cell>
        </row>
        <row r="145">
          <cell r="G145">
            <v>7000</v>
          </cell>
          <cell r="H145">
            <v>7000</v>
          </cell>
          <cell r="I145">
            <v>7000</v>
          </cell>
          <cell r="J145">
            <v>7000</v>
          </cell>
          <cell r="K145">
            <v>7000</v>
          </cell>
          <cell r="L145">
            <v>7000</v>
          </cell>
          <cell r="M145">
            <v>7000</v>
          </cell>
          <cell r="N145">
            <v>7000</v>
          </cell>
          <cell r="O145">
            <v>7000</v>
          </cell>
          <cell r="P145">
            <v>7000</v>
          </cell>
          <cell r="Q145">
            <v>7000</v>
          </cell>
          <cell r="R145">
            <v>7000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61">
          <cell r="G161" t="str">
            <v>1월</v>
          </cell>
          <cell r="H161" t="str">
            <v>2월</v>
          </cell>
          <cell r="I161" t="str">
            <v>3월</v>
          </cell>
          <cell r="J161" t="str">
            <v>4월</v>
          </cell>
          <cell r="K161" t="str">
            <v>5월</v>
          </cell>
          <cell r="L161" t="str">
            <v>6월</v>
          </cell>
          <cell r="M161" t="str">
            <v>7월</v>
          </cell>
          <cell r="N161" t="str">
            <v>8월</v>
          </cell>
          <cell r="O161" t="str">
            <v>9월</v>
          </cell>
          <cell r="P161" t="str">
            <v>10월</v>
          </cell>
          <cell r="Q161" t="str">
            <v>11월</v>
          </cell>
          <cell r="R161" t="str">
            <v>12월</v>
          </cell>
        </row>
        <row r="162">
          <cell r="G162">
            <v>8131.4685314685312</v>
          </cell>
          <cell r="H162">
            <v>9088.1118881118891</v>
          </cell>
          <cell r="I162">
            <v>10044.755244755244</v>
          </cell>
          <cell r="J162">
            <v>10044.755244755244</v>
          </cell>
          <cell r="K162">
            <v>10044.755244755244</v>
          </cell>
          <cell r="L162">
            <v>9566.4335664335667</v>
          </cell>
          <cell r="M162">
            <v>10044.755244755244</v>
          </cell>
          <cell r="N162">
            <v>8131.4685314685312</v>
          </cell>
          <cell r="O162">
            <v>10044.755244755244</v>
          </cell>
          <cell r="P162">
            <v>9088.1118881118891</v>
          </cell>
          <cell r="Q162">
            <v>10044.755244755244</v>
          </cell>
          <cell r="R162">
            <v>10523.076923076922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182870.02918914118</v>
          </cell>
          <cell r="I165">
            <v>36376.189107624683</v>
          </cell>
          <cell r="J165">
            <v>203776.55551873584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8131.4685314685312</v>
          </cell>
          <cell r="H168">
            <v>191958.14107725307</v>
          </cell>
          <cell r="I168">
            <v>46420.944352379927</v>
          </cell>
          <cell r="J168">
            <v>213821.31076349108</v>
          </cell>
          <cell r="K168">
            <v>10044.755244755244</v>
          </cell>
          <cell r="L168">
            <v>9566.4335664335667</v>
          </cell>
          <cell r="M168">
            <v>10044.755244755244</v>
          </cell>
          <cell r="N168">
            <v>8131.4685314685312</v>
          </cell>
          <cell r="O168">
            <v>10044.755244755244</v>
          </cell>
          <cell r="P168">
            <v>9088.1118881118891</v>
          </cell>
          <cell r="Q168">
            <v>10044.755244755244</v>
          </cell>
          <cell r="R168">
            <v>10523.076923076922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G170">
            <v>28470.629370629369</v>
          </cell>
          <cell r="H170">
            <v>159302.77872204929</v>
          </cell>
          <cell r="I170">
            <v>10044.755244755244</v>
          </cell>
          <cell r="J170">
            <v>177432.64013514537</v>
          </cell>
          <cell r="K170">
            <v>38404.545454545456</v>
          </cell>
          <cell r="L170">
            <v>36633.91608391609</v>
          </cell>
          <cell r="M170">
            <v>37112.237762237768</v>
          </cell>
          <cell r="N170">
            <v>31142.307692307688</v>
          </cell>
          <cell r="O170">
            <v>38523.426573426572</v>
          </cell>
          <cell r="P170">
            <v>34870.979020979023</v>
          </cell>
          <cell r="Q170">
            <v>41098.251748251751</v>
          </cell>
          <cell r="R170">
            <v>41795.454545454544</v>
          </cell>
        </row>
        <row r="171">
          <cell r="G171">
            <v>120124.82517482518</v>
          </cell>
          <cell r="H171">
            <v>127994.05594405593</v>
          </cell>
          <cell r="I171">
            <v>133026.92307692309</v>
          </cell>
          <cell r="J171">
            <v>142572.37762237765</v>
          </cell>
          <cell r="K171">
            <v>148572.37762237765</v>
          </cell>
          <cell r="L171">
            <v>142237.76223776228</v>
          </cell>
          <cell r="M171">
            <v>146499.65034965036</v>
          </cell>
          <cell r="N171">
            <v>121161.18881118883</v>
          </cell>
          <cell r="O171">
            <v>147536.013986014</v>
          </cell>
          <cell r="P171">
            <v>136939.51048951049</v>
          </cell>
          <cell r="Q171">
            <v>149608.74125874127</v>
          </cell>
          <cell r="R171">
            <v>155943.35664335664</v>
          </cell>
        </row>
        <row r="172">
          <cell r="G172">
            <v>140469.34284303201</v>
          </cell>
          <cell r="H172">
            <v>0</v>
          </cell>
          <cell r="I172">
            <v>0</v>
          </cell>
          <cell r="J172">
            <v>0</v>
          </cell>
          <cell r="K172">
            <v>184967.19884212877</v>
          </cell>
          <cell r="L172">
            <v>177969.74972004342</v>
          </cell>
          <cell r="M172">
            <v>177962.84536119207</v>
          </cell>
          <cell r="N172">
            <v>154889.86055650038</v>
          </cell>
          <cell r="O172">
            <v>185629.13118769872</v>
          </cell>
          <cell r="P172">
            <v>169480.12350927995</v>
          </cell>
          <cell r="Q172">
            <v>202770.86291402165</v>
          </cell>
          <cell r="R172">
            <v>203930.93284409156</v>
          </cell>
        </row>
        <row r="173">
          <cell r="G173">
            <v>53749.611188811185</v>
          </cell>
          <cell r="H173">
            <v>30545.454545454548</v>
          </cell>
          <cell r="I173">
            <v>0</v>
          </cell>
          <cell r="J173">
            <v>38181.818181818177</v>
          </cell>
          <cell r="K173">
            <v>66689.211188811198</v>
          </cell>
          <cell r="L173">
            <v>66689.211188811198</v>
          </cell>
          <cell r="M173">
            <v>58060.716083916079</v>
          </cell>
          <cell r="N173">
            <v>58398.302097902095</v>
          </cell>
          <cell r="O173">
            <v>62543.756643356646</v>
          </cell>
          <cell r="P173">
            <v>70834.665734265727</v>
          </cell>
          <cell r="Q173">
            <v>71167.767832167825</v>
          </cell>
          <cell r="R173">
            <v>71167.767832167825</v>
          </cell>
        </row>
        <row r="174">
          <cell r="G174">
            <v>113262.20670432912</v>
          </cell>
          <cell r="H174">
            <v>0</v>
          </cell>
          <cell r="I174">
            <v>0</v>
          </cell>
          <cell r="J174">
            <v>0</v>
          </cell>
          <cell r="K174">
            <v>120155.74386483429</v>
          </cell>
          <cell r="L174">
            <v>119641.92024160507</v>
          </cell>
          <cell r="M174">
            <v>119617.98513092045</v>
          </cell>
          <cell r="N174">
            <v>114165.69841404987</v>
          </cell>
          <cell r="O174">
            <v>120266.20023856756</v>
          </cell>
          <cell r="P174">
            <v>113813.88271095837</v>
          </cell>
          <cell r="Q174">
            <v>132382.74901103266</v>
          </cell>
          <cell r="R174">
            <v>132382.74901103266</v>
          </cell>
        </row>
        <row r="175">
          <cell r="G175">
            <v>456076.61528162687</v>
          </cell>
          <cell r="H175">
            <v>317842.28921155975</v>
          </cell>
          <cell r="I175">
            <v>143071.67832167834</v>
          </cell>
          <cell r="J175">
            <v>358186.83593934117</v>
          </cell>
          <cell r="K175">
            <v>558789.0769726974</v>
          </cell>
          <cell r="L175">
            <v>543172.55947213806</v>
          </cell>
          <cell r="M175">
            <v>539253.43468791677</v>
          </cell>
          <cell r="N175">
            <v>479757.3575719489</v>
          </cell>
          <cell r="O175">
            <v>554498.52862906351</v>
          </cell>
          <cell r="P175">
            <v>525939.16146499349</v>
          </cell>
          <cell r="Q175">
            <v>597028.37276421511</v>
          </cell>
          <cell r="R175">
            <v>605220.26087610319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8131.4685314685312</v>
          </cell>
          <cell r="H190">
            <v>191958.14107725307</v>
          </cell>
          <cell r="I190">
            <v>46420.944352379927</v>
          </cell>
          <cell r="J190">
            <v>213821.31076349108</v>
          </cell>
          <cell r="K190">
            <v>10044.755244755244</v>
          </cell>
          <cell r="L190">
            <v>9566.4335664335667</v>
          </cell>
          <cell r="M190">
            <v>10044.755244755244</v>
          </cell>
          <cell r="N190">
            <v>8131.4685314685312</v>
          </cell>
          <cell r="O190">
            <v>10044.755244755244</v>
          </cell>
          <cell r="P190">
            <v>9088.1118881118891</v>
          </cell>
          <cell r="Q190">
            <v>10044.755244755244</v>
          </cell>
          <cell r="R190">
            <v>10523.076923076922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</row>
        <row r="194">
          <cell r="G194">
            <v>3744.7552447552448</v>
          </cell>
          <cell r="H194">
            <v>4185.3146853146854</v>
          </cell>
          <cell r="I194">
            <v>4625.8741258741265</v>
          </cell>
          <cell r="J194">
            <v>4625.8741258741265</v>
          </cell>
          <cell r="K194">
            <v>4625.8741258741265</v>
          </cell>
          <cell r="L194">
            <v>4405.5944055944065</v>
          </cell>
          <cell r="M194">
            <v>4625.8741258741265</v>
          </cell>
          <cell r="N194">
            <v>3744.7552447552448</v>
          </cell>
          <cell r="O194">
            <v>4625.8741258741265</v>
          </cell>
          <cell r="P194">
            <v>4185.3146853146854</v>
          </cell>
          <cell r="Q194">
            <v>4625.8741258741265</v>
          </cell>
          <cell r="R194">
            <v>4846.1538461538466</v>
          </cell>
        </row>
        <row r="195">
          <cell r="G195">
            <v>4067.8321678321677</v>
          </cell>
          <cell r="H195">
            <v>0</v>
          </cell>
          <cell r="I195">
            <v>0</v>
          </cell>
          <cell r="J195">
            <v>0</v>
          </cell>
          <cell r="K195">
            <v>5671.9580419580416</v>
          </cell>
          <cell r="L195">
            <v>5413.4965034965035</v>
          </cell>
          <cell r="M195">
            <v>5413.4965034965035</v>
          </cell>
          <cell r="N195">
            <v>4602.1678321678319</v>
          </cell>
          <cell r="O195">
            <v>5695.734265734266</v>
          </cell>
          <cell r="P195">
            <v>5156.5734265734263</v>
          </cell>
          <cell r="Q195">
            <v>6210.6993006993007</v>
          </cell>
          <cell r="R195">
            <v>6254.4755244755243</v>
          </cell>
        </row>
        <row r="196">
          <cell r="G196">
            <v>1913.2867132867134</v>
          </cell>
          <cell r="H196">
            <v>1174.8251748251748</v>
          </cell>
          <cell r="I196">
            <v>0</v>
          </cell>
          <cell r="J196">
            <v>1468.5314685314686</v>
          </cell>
          <cell r="K196">
            <v>2391.6083916083917</v>
          </cell>
          <cell r="L196">
            <v>2391.6083916083917</v>
          </cell>
          <cell r="M196">
            <v>2072.7272727272725</v>
          </cell>
          <cell r="N196">
            <v>2072.7272727272725</v>
          </cell>
          <cell r="O196">
            <v>2232.1678321678323</v>
          </cell>
          <cell r="P196">
            <v>2551.048951048951</v>
          </cell>
          <cell r="Q196">
            <v>2551.048951048951</v>
          </cell>
          <cell r="R196">
            <v>2551.048951048951</v>
          </cell>
        </row>
        <row r="197">
          <cell r="G197">
            <v>4356.2387193972736</v>
          </cell>
          <cell r="H197">
            <v>4354.0483140271708</v>
          </cell>
          <cell r="I197">
            <v>4850.1585476832906</v>
          </cell>
          <cell r="J197">
            <v>4851.822750446092</v>
          </cell>
          <cell r="K197">
            <v>4621.374764032088</v>
          </cell>
          <cell r="L197">
            <v>4601.6123169848106</v>
          </cell>
          <cell r="M197">
            <v>4600.691735804633</v>
          </cell>
          <cell r="N197">
            <v>4390.9884005403792</v>
          </cell>
          <cell r="O197">
            <v>4625.6230860987525</v>
          </cell>
          <cell r="P197">
            <v>4377.4570273445524</v>
          </cell>
          <cell r="Q197">
            <v>5091.6441927320257</v>
          </cell>
          <cell r="R197">
            <v>5091.6441927320257</v>
          </cell>
        </row>
        <row r="198">
          <cell r="G198">
            <v>572.02237762237758</v>
          </cell>
          <cell r="H198">
            <v>0</v>
          </cell>
          <cell r="I198">
            <v>0</v>
          </cell>
          <cell r="J198">
            <v>0</v>
          </cell>
          <cell r="K198">
            <v>643.91328671328677</v>
          </cell>
          <cell r="L198">
            <v>643.91328671328677</v>
          </cell>
          <cell r="M198">
            <v>595.68671328671326</v>
          </cell>
          <cell r="N198">
            <v>643.91328671328677</v>
          </cell>
          <cell r="O198">
            <v>643.91328671328677</v>
          </cell>
          <cell r="P198">
            <v>643.91328671328677</v>
          </cell>
          <cell r="Q198">
            <v>691.49930069930065</v>
          </cell>
          <cell r="R198">
            <v>691.49930069930065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G200">
            <v>14654.135222893778</v>
          </cell>
          <cell r="H200">
            <v>9714.1881741670313</v>
          </cell>
          <cell r="I200">
            <v>9476.0326735574163</v>
          </cell>
          <cell r="J200">
            <v>10946.228344851686</v>
          </cell>
          <cell r="K200">
            <v>17954.728610185935</v>
          </cell>
          <cell r="L200">
            <v>17456.224904397401</v>
          </cell>
          <cell r="M200">
            <v>17308.476351189249</v>
          </cell>
          <cell r="N200">
            <v>15454.552036904013</v>
          </cell>
          <cell r="O200">
            <v>17823.312596588265</v>
          </cell>
          <cell r="P200">
            <v>16914.307376994901</v>
          </cell>
          <cell r="Q200">
            <v>19170.765871053703</v>
          </cell>
          <cell r="R200">
            <v>19434.821815109648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3744.7552447552448</v>
          </cell>
          <cell r="H208">
            <v>4185.3146853146854</v>
          </cell>
          <cell r="I208">
            <v>4625.8741258741265</v>
          </cell>
          <cell r="J208">
            <v>4625.8741258741265</v>
          </cell>
          <cell r="K208">
            <v>4625.8741258741265</v>
          </cell>
          <cell r="L208">
            <v>4405.5944055944065</v>
          </cell>
          <cell r="M208">
            <v>4625.8741258741265</v>
          </cell>
          <cell r="N208">
            <v>3744.7552447552448</v>
          </cell>
          <cell r="O208">
            <v>4625.8741258741265</v>
          </cell>
          <cell r="P208">
            <v>4185.3146853146854</v>
          </cell>
          <cell r="Q208">
            <v>4625.8741258741265</v>
          </cell>
          <cell r="R208">
            <v>4846.1538461538466</v>
          </cell>
        </row>
        <row r="209">
          <cell r="G209">
            <v>4067.8321678321677</v>
          </cell>
          <cell r="H209">
            <v>0</v>
          </cell>
          <cell r="I209">
            <v>0</v>
          </cell>
          <cell r="J209">
            <v>0</v>
          </cell>
          <cell r="K209">
            <v>5671.9580419580416</v>
          </cell>
          <cell r="L209">
            <v>5413.4965034965035</v>
          </cell>
          <cell r="M209">
            <v>5413.4965034965035</v>
          </cell>
          <cell r="N209">
            <v>4602.1678321678319</v>
          </cell>
          <cell r="O209">
            <v>5695.734265734266</v>
          </cell>
          <cell r="P209">
            <v>5156.5734265734263</v>
          </cell>
          <cell r="Q209">
            <v>6210.6993006993007</v>
          </cell>
          <cell r="R209">
            <v>6254.4755244755243</v>
          </cell>
        </row>
        <row r="210">
          <cell r="G210">
            <v>1913.2867132867134</v>
          </cell>
          <cell r="H210">
            <v>1174.8251748251748</v>
          </cell>
          <cell r="I210">
            <v>0</v>
          </cell>
          <cell r="J210">
            <v>1468.5314685314686</v>
          </cell>
          <cell r="K210">
            <v>2391.6083916083917</v>
          </cell>
          <cell r="L210">
            <v>2391.6083916083917</v>
          </cell>
          <cell r="M210">
            <v>2072.7272727272725</v>
          </cell>
          <cell r="N210">
            <v>2072.7272727272725</v>
          </cell>
          <cell r="O210">
            <v>2232.1678321678323</v>
          </cell>
          <cell r="P210">
            <v>2551.048951048951</v>
          </cell>
          <cell r="Q210">
            <v>2551.048951048951</v>
          </cell>
          <cell r="R210">
            <v>2551.048951048951</v>
          </cell>
        </row>
        <row r="211">
          <cell r="G211">
            <v>4356.2387193972736</v>
          </cell>
          <cell r="H211">
            <v>4354.0483140271708</v>
          </cell>
          <cell r="I211">
            <v>4850.1585476832906</v>
          </cell>
          <cell r="J211">
            <v>4851.822750446092</v>
          </cell>
          <cell r="K211">
            <v>4621.374764032088</v>
          </cell>
          <cell r="L211">
            <v>4601.6123169848106</v>
          </cell>
          <cell r="M211">
            <v>4600.691735804633</v>
          </cell>
          <cell r="N211">
            <v>4390.9884005403792</v>
          </cell>
          <cell r="O211">
            <v>4625.6230860987525</v>
          </cell>
          <cell r="P211">
            <v>4377.4570273445524</v>
          </cell>
          <cell r="Q211">
            <v>5091.6441927320257</v>
          </cell>
          <cell r="R211">
            <v>5091.6441927320257</v>
          </cell>
        </row>
        <row r="212">
          <cell r="G212">
            <v>572.02237762237758</v>
          </cell>
          <cell r="H212">
            <v>0</v>
          </cell>
          <cell r="I212">
            <v>0</v>
          </cell>
          <cell r="J212">
            <v>0</v>
          </cell>
          <cell r="K212">
            <v>643.91328671328677</v>
          </cell>
          <cell r="L212">
            <v>643.91328671328677</v>
          </cell>
          <cell r="M212">
            <v>595.68671328671326</v>
          </cell>
          <cell r="N212">
            <v>643.91328671328677</v>
          </cell>
          <cell r="O212">
            <v>643.91328671328677</v>
          </cell>
          <cell r="P212">
            <v>643.91328671328677</v>
          </cell>
          <cell r="Q212">
            <v>691.49930069930065</v>
          </cell>
          <cell r="R212">
            <v>691.49930069930065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14654.135222893778</v>
          </cell>
          <cell r="H214">
            <v>9714.1881741670313</v>
          </cell>
          <cell r="I214">
            <v>9476.0326735574163</v>
          </cell>
          <cell r="J214">
            <v>10946.228344851686</v>
          </cell>
          <cell r="K214">
            <v>17954.728610185935</v>
          </cell>
          <cell r="L214">
            <v>17456.224904397401</v>
          </cell>
          <cell r="M214">
            <v>17308.476351189249</v>
          </cell>
          <cell r="N214">
            <v>15454.552036904013</v>
          </cell>
          <cell r="O214">
            <v>17823.312596588265</v>
          </cell>
          <cell r="P214">
            <v>16914.307376994901</v>
          </cell>
          <cell r="Q214">
            <v>19170.765871053703</v>
          </cell>
          <cell r="R214">
            <v>19434.821815109648</v>
          </cell>
        </row>
        <row r="216">
          <cell r="G216">
            <v>1430</v>
          </cell>
          <cell r="H216" t="str">
            <v>KG/㎥</v>
          </cell>
        </row>
        <row r="217">
          <cell r="G217" t="str">
            <v>1월</v>
          </cell>
          <cell r="H217" t="str">
            <v>2월</v>
          </cell>
          <cell r="I217" t="str">
            <v>3월</v>
          </cell>
          <cell r="J217" t="str">
            <v>4월</v>
          </cell>
          <cell r="K217" t="str">
            <v>5월</v>
          </cell>
          <cell r="L217" t="str">
            <v>6월</v>
          </cell>
          <cell r="M217" t="str">
            <v>7월</v>
          </cell>
          <cell r="N217" t="str">
            <v>8월</v>
          </cell>
          <cell r="O217" t="str">
            <v>9월</v>
          </cell>
          <cell r="P217" t="str">
            <v>10월</v>
          </cell>
          <cell r="Q217" t="str">
            <v>11월</v>
          </cell>
          <cell r="R217" t="str">
            <v>12월</v>
          </cell>
        </row>
        <row r="218">
          <cell r="G218">
            <v>5355000</v>
          </cell>
          <cell r="H218">
            <v>5985000</v>
          </cell>
          <cell r="I218">
            <v>6615000.0000000009</v>
          </cell>
          <cell r="J218">
            <v>6615000.0000000009</v>
          </cell>
          <cell r="K218">
            <v>6615000.0000000009</v>
          </cell>
          <cell r="L218">
            <v>6300000.0000000009</v>
          </cell>
          <cell r="M218">
            <v>6615000.0000000009</v>
          </cell>
          <cell r="N218">
            <v>5355000</v>
          </cell>
          <cell r="O218">
            <v>6615000.0000000009</v>
          </cell>
          <cell r="P218">
            <v>5985000</v>
          </cell>
          <cell r="Q218">
            <v>6615000.0000000009</v>
          </cell>
          <cell r="R218">
            <v>6930000.0000000009</v>
          </cell>
        </row>
        <row r="219">
          <cell r="G219">
            <v>5817000</v>
          </cell>
          <cell r="H219">
            <v>0</v>
          </cell>
          <cell r="I219">
            <v>0</v>
          </cell>
          <cell r="J219">
            <v>0</v>
          </cell>
          <cell r="K219">
            <v>8110899.9999999991</v>
          </cell>
          <cell r="L219">
            <v>7741300</v>
          </cell>
          <cell r="M219">
            <v>7741300</v>
          </cell>
          <cell r="N219">
            <v>6581100</v>
          </cell>
          <cell r="O219">
            <v>8144900</v>
          </cell>
          <cell r="P219">
            <v>7373900</v>
          </cell>
          <cell r="Q219">
            <v>8881300</v>
          </cell>
          <cell r="R219">
            <v>8943900</v>
          </cell>
        </row>
        <row r="220">
          <cell r="G220">
            <v>2736000</v>
          </cell>
          <cell r="H220">
            <v>1680000</v>
          </cell>
          <cell r="I220">
            <v>0</v>
          </cell>
          <cell r="J220">
            <v>2100000</v>
          </cell>
          <cell r="K220">
            <v>3420000</v>
          </cell>
          <cell r="L220">
            <v>3420000</v>
          </cell>
          <cell r="M220">
            <v>2963999.9999999995</v>
          </cell>
          <cell r="N220">
            <v>2963999.9999999995</v>
          </cell>
          <cell r="O220">
            <v>3192000</v>
          </cell>
          <cell r="P220">
            <v>3648000</v>
          </cell>
          <cell r="Q220">
            <v>3648000</v>
          </cell>
          <cell r="R220">
            <v>3648000</v>
          </cell>
        </row>
        <row r="221">
          <cell r="G221">
            <v>6229421.3687381009</v>
          </cell>
          <cell r="H221">
            <v>6226289.0890588546</v>
          </cell>
          <cell r="I221">
            <v>6935726.7231871057</v>
          </cell>
          <cell r="J221">
            <v>6938106.5331379119</v>
          </cell>
          <cell r="K221">
            <v>6608565.912565886</v>
          </cell>
          <cell r="L221">
            <v>6580305.6132882796</v>
          </cell>
          <cell r="M221">
            <v>6578989.1822006255</v>
          </cell>
          <cell r="N221">
            <v>6279113.4127727421</v>
          </cell>
          <cell r="O221">
            <v>6614641.0131212166</v>
          </cell>
          <cell r="P221">
            <v>6259763.5491027096</v>
          </cell>
          <cell r="Q221">
            <v>7281051.195606797</v>
          </cell>
          <cell r="R221">
            <v>7281051.195606797</v>
          </cell>
        </row>
        <row r="222">
          <cell r="G222">
            <v>817991.99999999988</v>
          </cell>
          <cell r="H222">
            <v>0</v>
          </cell>
          <cell r="I222">
            <v>0</v>
          </cell>
          <cell r="J222">
            <v>0</v>
          </cell>
          <cell r="K222">
            <v>920796.00000000012</v>
          </cell>
          <cell r="L222">
            <v>920796.00000000012</v>
          </cell>
          <cell r="M222">
            <v>851832</v>
          </cell>
          <cell r="N222">
            <v>920796.00000000012</v>
          </cell>
          <cell r="O222">
            <v>920796.00000000012</v>
          </cell>
          <cell r="P222">
            <v>920796.00000000012</v>
          </cell>
          <cell r="Q222">
            <v>988843.99999999988</v>
          </cell>
          <cell r="R222">
            <v>988843.99999999988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G224">
            <v>20955413.3687381</v>
          </cell>
          <cell r="H224">
            <v>13891289.089058854</v>
          </cell>
          <cell r="I224">
            <v>13550726.723187108</v>
          </cell>
          <cell r="J224">
            <v>15653106.533137912</v>
          </cell>
          <cell r="K224">
            <v>25675261.912565887</v>
          </cell>
          <cell r="L224">
            <v>24962401.61328828</v>
          </cell>
          <cell r="M224">
            <v>24751121.182200626</v>
          </cell>
          <cell r="N224">
            <v>22100009.412772741</v>
          </cell>
          <cell r="O224">
            <v>25487337.013121217</v>
          </cell>
          <cell r="P224">
            <v>24187459.549102709</v>
          </cell>
          <cell r="Q224">
            <v>27414195.195606798</v>
          </cell>
          <cell r="R224">
            <v>27791795.195606798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5355000</v>
          </cell>
          <cell r="H232">
            <v>5985000</v>
          </cell>
          <cell r="I232">
            <v>6615000.0000000009</v>
          </cell>
          <cell r="J232">
            <v>6615000.0000000009</v>
          </cell>
          <cell r="K232">
            <v>6615000.0000000009</v>
          </cell>
          <cell r="L232">
            <v>6300000.0000000009</v>
          </cell>
          <cell r="M232">
            <v>6615000.0000000009</v>
          </cell>
          <cell r="N232">
            <v>5355000</v>
          </cell>
          <cell r="O232">
            <v>6615000.0000000009</v>
          </cell>
          <cell r="P232">
            <v>5985000</v>
          </cell>
          <cell r="Q232">
            <v>6615000.0000000009</v>
          </cell>
          <cell r="R232">
            <v>6930000.0000000009</v>
          </cell>
        </row>
        <row r="233">
          <cell r="G233">
            <v>5817000</v>
          </cell>
          <cell r="H233">
            <v>0</v>
          </cell>
          <cell r="I233">
            <v>0</v>
          </cell>
          <cell r="J233">
            <v>0</v>
          </cell>
          <cell r="K233">
            <v>8110899.9999999991</v>
          </cell>
          <cell r="L233">
            <v>7741300</v>
          </cell>
          <cell r="M233">
            <v>7741300</v>
          </cell>
          <cell r="N233">
            <v>6581100</v>
          </cell>
          <cell r="O233">
            <v>8144900</v>
          </cell>
          <cell r="P233">
            <v>7373900</v>
          </cell>
          <cell r="Q233">
            <v>8881300</v>
          </cell>
          <cell r="R233">
            <v>8943900</v>
          </cell>
        </row>
        <row r="234">
          <cell r="G234">
            <v>2736000</v>
          </cell>
          <cell r="H234">
            <v>1680000</v>
          </cell>
          <cell r="I234">
            <v>0</v>
          </cell>
          <cell r="J234">
            <v>2100000</v>
          </cell>
          <cell r="K234">
            <v>3420000</v>
          </cell>
          <cell r="L234">
            <v>3420000</v>
          </cell>
          <cell r="M234">
            <v>2963999.9999999995</v>
          </cell>
          <cell r="N234">
            <v>2963999.9999999995</v>
          </cell>
          <cell r="O234">
            <v>3192000</v>
          </cell>
          <cell r="P234">
            <v>3648000</v>
          </cell>
          <cell r="Q234">
            <v>3648000</v>
          </cell>
          <cell r="R234">
            <v>3648000</v>
          </cell>
        </row>
        <row r="235">
          <cell r="G235">
            <v>6229421.3687381009</v>
          </cell>
          <cell r="H235">
            <v>6226289.0890588546</v>
          </cell>
          <cell r="I235">
            <v>6935726.7231871057</v>
          </cell>
          <cell r="J235">
            <v>6938106.5331379119</v>
          </cell>
          <cell r="K235">
            <v>6608565.912565886</v>
          </cell>
          <cell r="L235">
            <v>6580305.6132882796</v>
          </cell>
          <cell r="M235">
            <v>6578989.1822006255</v>
          </cell>
          <cell r="N235">
            <v>6279113.4127727421</v>
          </cell>
          <cell r="O235">
            <v>6614641.0131212166</v>
          </cell>
          <cell r="P235">
            <v>6259763.5491027096</v>
          </cell>
          <cell r="Q235">
            <v>7281051.195606797</v>
          </cell>
          <cell r="R235">
            <v>7281051.195606797</v>
          </cell>
        </row>
        <row r="236">
          <cell r="G236">
            <v>817991.99999999988</v>
          </cell>
          <cell r="H236">
            <v>0</v>
          </cell>
          <cell r="I236">
            <v>0</v>
          </cell>
          <cell r="J236">
            <v>0</v>
          </cell>
          <cell r="K236">
            <v>920796.00000000012</v>
          </cell>
          <cell r="L236">
            <v>920796.00000000012</v>
          </cell>
          <cell r="M236">
            <v>851832</v>
          </cell>
          <cell r="N236">
            <v>920796.00000000012</v>
          </cell>
          <cell r="O236">
            <v>920796.00000000012</v>
          </cell>
          <cell r="P236">
            <v>920796.00000000012</v>
          </cell>
          <cell r="Q236">
            <v>988843.99999999988</v>
          </cell>
          <cell r="R236">
            <v>988843.99999999988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20955413.3687381</v>
          </cell>
          <cell r="H238">
            <v>13891289.089058854</v>
          </cell>
          <cell r="I238">
            <v>13550726.723187108</v>
          </cell>
          <cell r="J238">
            <v>15653106.533137912</v>
          </cell>
          <cell r="K238">
            <v>25675261.912565887</v>
          </cell>
          <cell r="L238">
            <v>24962401.61328828</v>
          </cell>
          <cell r="M238">
            <v>24751121.182200626</v>
          </cell>
          <cell r="N238">
            <v>22100009.412772741</v>
          </cell>
          <cell r="O238">
            <v>25487337.013121217</v>
          </cell>
          <cell r="P238">
            <v>24187459.549102709</v>
          </cell>
          <cell r="Q238">
            <v>27414195.195606798</v>
          </cell>
          <cell r="R238">
            <v>27791795.195606798</v>
          </cell>
        </row>
        <row r="241">
          <cell r="G241" t="str">
            <v>1월</v>
          </cell>
          <cell r="H241" t="str">
            <v>2월</v>
          </cell>
          <cell r="I241" t="str">
            <v>3월</v>
          </cell>
          <cell r="J241" t="str">
            <v>4월</v>
          </cell>
          <cell r="K241" t="str">
            <v>5월</v>
          </cell>
          <cell r="L241" t="str">
            <v>6월</v>
          </cell>
          <cell r="M241" t="str">
            <v>7월</v>
          </cell>
          <cell r="N241" t="str">
            <v>8월</v>
          </cell>
          <cell r="O241" t="str">
            <v>9월</v>
          </cell>
          <cell r="P241" t="str">
            <v>10월</v>
          </cell>
          <cell r="Q241" t="str">
            <v>11월</v>
          </cell>
          <cell r="R241" t="str">
            <v>12월</v>
          </cell>
        </row>
        <row r="242">
          <cell r="G242">
            <v>8131.4685314685312</v>
          </cell>
          <cell r="H242">
            <v>9088.1118881118891</v>
          </cell>
          <cell r="I242">
            <v>10044.755244755244</v>
          </cell>
          <cell r="J242">
            <v>10044.755244755244</v>
          </cell>
          <cell r="K242">
            <v>10044.755244755244</v>
          </cell>
          <cell r="L242">
            <v>9566.4335664335667</v>
          </cell>
          <cell r="M242">
            <v>10044.755244755244</v>
          </cell>
          <cell r="N242">
            <v>8131.4685314685312</v>
          </cell>
          <cell r="O242">
            <v>10044.755244755244</v>
          </cell>
          <cell r="P242">
            <v>9088.1118881118891</v>
          </cell>
          <cell r="Q242">
            <v>10044.755244755244</v>
          </cell>
          <cell r="R242">
            <v>10523.076923076922</v>
          </cell>
        </row>
        <row r="243">
          <cell r="G243">
            <v>28470.629370629369</v>
          </cell>
          <cell r="H243">
            <v>159302.77872204929</v>
          </cell>
          <cell r="I243">
            <v>10044.755244755244</v>
          </cell>
          <cell r="J243">
            <v>177432.64013514537</v>
          </cell>
          <cell r="K243">
            <v>38404.545454545456</v>
          </cell>
          <cell r="L243">
            <v>36633.91608391609</v>
          </cell>
          <cell r="M243">
            <v>37112.237762237768</v>
          </cell>
          <cell r="N243">
            <v>31142.307692307688</v>
          </cell>
          <cell r="O243">
            <v>38523.426573426572</v>
          </cell>
          <cell r="P243">
            <v>34870.979020979023</v>
          </cell>
          <cell r="Q243">
            <v>41098.251748251751</v>
          </cell>
          <cell r="R243">
            <v>41795.454545454544</v>
          </cell>
        </row>
        <row r="244">
          <cell r="G244">
            <v>120124.82517482518</v>
          </cell>
          <cell r="H244">
            <v>127994.05594405593</v>
          </cell>
          <cell r="I244">
            <v>133026.92307692309</v>
          </cell>
          <cell r="J244">
            <v>142572.37762237765</v>
          </cell>
          <cell r="K244">
            <v>148572.37762237765</v>
          </cell>
          <cell r="L244">
            <v>142237.76223776228</v>
          </cell>
          <cell r="M244">
            <v>146499.65034965036</v>
          </cell>
          <cell r="N244">
            <v>121161.18881118883</v>
          </cell>
          <cell r="O244">
            <v>147536.013986014</v>
          </cell>
          <cell r="P244">
            <v>136939.51048951049</v>
          </cell>
          <cell r="Q244">
            <v>149608.74125874127</v>
          </cell>
          <cell r="R244">
            <v>155943.35664335664</v>
          </cell>
        </row>
        <row r="245">
          <cell r="G245">
            <v>140469.34284303201</v>
          </cell>
          <cell r="H245">
            <v>182870.02918914118</v>
          </cell>
          <cell r="I245">
            <v>36376.189107624683</v>
          </cell>
          <cell r="J245">
            <v>203776.55551873584</v>
          </cell>
          <cell r="K245">
            <v>184967.19884212877</v>
          </cell>
          <cell r="L245">
            <v>177969.74972004342</v>
          </cell>
          <cell r="M245">
            <v>177962.84536119207</v>
          </cell>
          <cell r="N245">
            <v>154889.86055650038</v>
          </cell>
          <cell r="O245">
            <v>185629.13118769872</v>
          </cell>
          <cell r="P245">
            <v>169480.12350927995</v>
          </cell>
          <cell r="Q245">
            <v>202770.86291402165</v>
          </cell>
          <cell r="R245">
            <v>203930.93284409156</v>
          </cell>
        </row>
        <row r="246">
          <cell r="G246">
            <v>53749.611188811185</v>
          </cell>
          <cell r="H246">
            <v>30545.454545454548</v>
          </cell>
          <cell r="I246">
            <v>0</v>
          </cell>
          <cell r="J246">
            <v>38181.818181818177</v>
          </cell>
          <cell r="K246">
            <v>66689.211188811198</v>
          </cell>
          <cell r="L246">
            <v>66689.211188811198</v>
          </cell>
          <cell r="M246">
            <v>58060.716083916079</v>
          </cell>
          <cell r="N246">
            <v>58398.302097902095</v>
          </cell>
          <cell r="O246">
            <v>62543.756643356646</v>
          </cell>
          <cell r="P246">
            <v>70834.665734265727</v>
          </cell>
          <cell r="Q246">
            <v>71167.767832167825</v>
          </cell>
          <cell r="R246">
            <v>71167.767832167825</v>
          </cell>
        </row>
        <row r="247">
          <cell r="G247">
            <v>113262.20670432912</v>
          </cell>
          <cell r="H247">
            <v>0</v>
          </cell>
          <cell r="I247">
            <v>0</v>
          </cell>
          <cell r="J247">
            <v>0</v>
          </cell>
          <cell r="K247">
            <v>120155.74386483429</v>
          </cell>
          <cell r="L247">
            <v>119641.92024160507</v>
          </cell>
          <cell r="M247">
            <v>119617.98513092045</v>
          </cell>
          <cell r="N247">
            <v>114165.69841404987</v>
          </cell>
          <cell r="O247">
            <v>120266.20023856756</v>
          </cell>
          <cell r="P247">
            <v>113813.88271095837</v>
          </cell>
          <cell r="Q247">
            <v>132382.74901103266</v>
          </cell>
          <cell r="R247">
            <v>132382.74901103266</v>
          </cell>
        </row>
        <row r="248">
          <cell r="G248">
            <v>464208.08381309541</v>
          </cell>
          <cell r="H248">
            <v>509800.43028881284</v>
          </cell>
          <cell r="I248">
            <v>189492.62267405825</v>
          </cell>
          <cell r="J248">
            <v>572008.14670283231</v>
          </cell>
          <cell r="K248">
            <v>568833.8322174527</v>
          </cell>
          <cell r="L248">
            <v>552738.99303857156</v>
          </cell>
          <cell r="M248">
            <v>549298.18993267196</v>
          </cell>
          <cell r="N248">
            <v>487888.82610341744</v>
          </cell>
          <cell r="O248">
            <v>564543.2838738187</v>
          </cell>
          <cell r="P248">
            <v>535027.27335310541</v>
          </cell>
          <cell r="Q248">
            <v>607073.12800897041</v>
          </cell>
          <cell r="R248">
            <v>615743.33779918007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8131.4685314685312</v>
          </cell>
          <cell r="H256">
            <v>9088.1118881118891</v>
          </cell>
          <cell r="I256">
            <v>10044.755244755244</v>
          </cell>
          <cell r="J256">
            <v>10044.755244755244</v>
          </cell>
          <cell r="K256">
            <v>10044.755244755244</v>
          </cell>
          <cell r="L256">
            <v>9566.4335664335667</v>
          </cell>
          <cell r="M256">
            <v>10044.755244755244</v>
          </cell>
          <cell r="N256">
            <v>8131.4685314685312</v>
          </cell>
          <cell r="O256">
            <v>10044.755244755244</v>
          </cell>
          <cell r="P256">
            <v>9088.1118881118891</v>
          </cell>
          <cell r="Q256">
            <v>10044.755244755244</v>
          </cell>
          <cell r="R256">
            <v>10523.076923076922</v>
          </cell>
        </row>
        <row r="257">
          <cell r="G257">
            <v>28470.629370629369</v>
          </cell>
          <cell r="H257">
            <v>159302.77872204929</v>
          </cell>
          <cell r="I257">
            <v>10044.755244755244</v>
          </cell>
          <cell r="J257">
            <v>177432.64013514537</v>
          </cell>
          <cell r="K257">
            <v>38404.545454545456</v>
          </cell>
          <cell r="L257">
            <v>36633.91608391609</v>
          </cell>
          <cell r="M257">
            <v>37112.237762237768</v>
          </cell>
          <cell r="N257">
            <v>31142.307692307688</v>
          </cell>
          <cell r="O257">
            <v>38523.426573426572</v>
          </cell>
          <cell r="P257">
            <v>34870.979020979023</v>
          </cell>
          <cell r="Q257">
            <v>41098.251748251751</v>
          </cell>
          <cell r="R257">
            <v>41795.454545454544</v>
          </cell>
        </row>
        <row r="258">
          <cell r="G258">
            <v>120124.82517482518</v>
          </cell>
          <cell r="H258">
            <v>127994.05594405593</v>
          </cell>
          <cell r="I258">
            <v>133026.92307692309</v>
          </cell>
          <cell r="J258">
            <v>142572.37762237765</v>
          </cell>
          <cell r="K258">
            <v>148572.37762237765</v>
          </cell>
          <cell r="L258">
            <v>142237.76223776228</v>
          </cell>
          <cell r="M258">
            <v>146499.65034965036</v>
          </cell>
          <cell r="N258">
            <v>121161.18881118883</v>
          </cell>
          <cell r="O258">
            <v>147536.013986014</v>
          </cell>
          <cell r="P258">
            <v>136939.51048951049</v>
          </cell>
          <cell r="Q258">
            <v>149608.74125874127</v>
          </cell>
          <cell r="R258">
            <v>155943.35664335664</v>
          </cell>
        </row>
        <row r="259">
          <cell r="G259">
            <v>140469.34284303201</v>
          </cell>
          <cell r="H259">
            <v>182870.02918914118</v>
          </cell>
          <cell r="I259">
            <v>36376.189107624683</v>
          </cell>
          <cell r="J259">
            <v>203776.55551873584</v>
          </cell>
          <cell r="K259">
            <v>184967.19884212877</v>
          </cell>
          <cell r="L259">
            <v>177969.74972004342</v>
          </cell>
          <cell r="M259">
            <v>177962.84536119207</v>
          </cell>
          <cell r="N259">
            <v>154889.86055650038</v>
          </cell>
          <cell r="O259">
            <v>185629.13118769872</v>
          </cell>
          <cell r="P259">
            <v>169480.12350927995</v>
          </cell>
          <cell r="Q259">
            <v>202770.86291402165</v>
          </cell>
          <cell r="R259">
            <v>203930.93284409156</v>
          </cell>
        </row>
        <row r="260">
          <cell r="G260">
            <v>53749.611188811185</v>
          </cell>
          <cell r="H260">
            <v>30545.454545454548</v>
          </cell>
          <cell r="I260">
            <v>0</v>
          </cell>
          <cell r="J260">
            <v>38181.818181818177</v>
          </cell>
          <cell r="K260">
            <v>66689.211188811198</v>
          </cell>
          <cell r="L260">
            <v>66689.211188811198</v>
          </cell>
          <cell r="M260">
            <v>58060.716083916079</v>
          </cell>
          <cell r="N260">
            <v>58398.302097902095</v>
          </cell>
          <cell r="O260">
            <v>62543.756643356646</v>
          </cell>
          <cell r="P260">
            <v>70834.665734265727</v>
          </cell>
          <cell r="Q260">
            <v>71167.767832167825</v>
          </cell>
          <cell r="R260">
            <v>71167.767832167825</v>
          </cell>
        </row>
        <row r="261">
          <cell r="G261">
            <v>113262.20670432912</v>
          </cell>
          <cell r="H261">
            <v>0</v>
          </cell>
          <cell r="I261">
            <v>0</v>
          </cell>
          <cell r="J261">
            <v>0</v>
          </cell>
          <cell r="K261">
            <v>120155.74386483429</v>
          </cell>
          <cell r="L261">
            <v>119641.92024160507</v>
          </cell>
          <cell r="M261">
            <v>119617.98513092045</v>
          </cell>
          <cell r="N261">
            <v>114165.69841404987</v>
          </cell>
          <cell r="O261">
            <v>120266.20023856756</v>
          </cell>
          <cell r="P261">
            <v>113813.88271095837</v>
          </cell>
          <cell r="Q261">
            <v>132382.74901103266</v>
          </cell>
          <cell r="R261">
            <v>132382.74901103266</v>
          </cell>
        </row>
        <row r="262">
          <cell r="G262">
            <v>464208.08381309541</v>
          </cell>
          <cell r="H262">
            <v>509800.43028881284</v>
          </cell>
          <cell r="I262">
            <v>189492.62267405825</v>
          </cell>
          <cell r="J262">
            <v>572008.14670283231</v>
          </cell>
          <cell r="K262">
            <v>568833.8322174527</v>
          </cell>
          <cell r="L262">
            <v>552738.99303857156</v>
          </cell>
          <cell r="M262">
            <v>549298.18993267196</v>
          </cell>
          <cell r="N262">
            <v>487888.82610341744</v>
          </cell>
          <cell r="O262">
            <v>564543.2838738187</v>
          </cell>
          <cell r="P262">
            <v>535027.27335310541</v>
          </cell>
          <cell r="Q262">
            <v>607073.12800897041</v>
          </cell>
          <cell r="R262">
            <v>615743.33779918007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5000</v>
          </cell>
          <cell r="I273">
            <v>5000</v>
          </cell>
          <cell r="J273">
            <v>5000</v>
          </cell>
          <cell r="K273">
            <v>5000</v>
          </cell>
          <cell r="L273">
            <v>5000</v>
          </cell>
          <cell r="M273">
            <v>5000</v>
          </cell>
          <cell r="N273">
            <v>5000</v>
          </cell>
          <cell r="O273">
            <v>5000</v>
          </cell>
          <cell r="P273">
            <v>5000</v>
          </cell>
          <cell r="Q273">
            <v>5000</v>
          </cell>
          <cell r="R273">
            <v>5000</v>
          </cell>
        </row>
        <row r="274">
          <cell r="G274">
            <v>0</v>
          </cell>
          <cell r="H274">
            <v>6500</v>
          </cell>
          <cell r="I274">
            <v>6500</v>
          </cell>
          <cell r="J274">
            <v>6500</v>
          </cell>
          <cell r="K274">
            <v>6500</v>
          </cell>
          <cell r="L274">
            <v>6500</v>
          </cell>
          <cell r="M274">
            <v>6500</v>
          </cell>
          <cell r="N274">
            <v>6500</v>
          </cell>
          <cell r="O274">
            <v>6500</v>
          </cell>
          <cell r="P274">
            <v>6500</v>
          </cell>
          <cell r="Q274">
            <v>6500</v>
          </cell>
          <cell r="R274">
            <v>6500</v>
          </cell>
        </row>
        <row r="275">
          <cell r="G275">
            <v>0</v>
          </cell>
          <cell r="H275">
            <v>7500</v>
          </cell>
          <cell r="I275">
            <v>7500</v>
          </cell>
          <cell r="J275">
            <v>7500</v>
          </cell>
          <cell r="K275">
            <v>7500</v>
          </cell>
          <cell r="L275">
            <v>7500</v>
          </cell>
          <cell r="M275">
            <v>7500</v>
          </cell>
          <cell r="N275">
            <v>7500</v>
          </cell>
          <cell r="O275">
            <v>7500</v>
          </cell>
          <cell r="P275">
            <v>7500</v>
          </cell>
          <cell r="Q275">
            <v>7500</v>
          </cell>
          <cell r="R275">
            <v>7500</v>
          </cell>
        </row>
        <row r="276">
          <cell r="G276">
            <v>0</v>
          </cell>
          <cell r="H276">
            <v>7000</v>
          </cell>
          <cell r="I276">
            <v>7000</v>
          </cell>
          <cell r="J276">
            <v>7000</v>
          </cell>
          <cell r="K276">
            <v>7000</v>
          </cell>
          <cell r="L276">
            <v>7000</v>
          </cell>
          <cell r="M276">
            <v>7000</v>
          </cell>
          <cell r="N276">
            <v>7000</v>
          </cell>
          <cell r="O276">
            <v>7000</v>
          </cell>
          <cell r="P276">
            <v>7000</v>
          </cell>
          <cell r="Q276">
            <v>7000</v>
          </cell>
          <cell r="R276">
            <v>7000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3.4965034965034967</v>
          </cell>
          <cell r="I288">
            <v>3.4965034965034967</v>
          </cell>
          <cell r="J288">
            <v>3.4965034965034967</v>
          </cell>
          <cell r="K288">
            <v>3.4965034965034967</v>
          </cell>
          <cell r="L288">
            <v>3.4965034965034967</v>
          </cell>
          <cell r="M288">
            <v>3.4965034965034967</v>
          </cell>
          <cell r="N288">
            <v>3.4965034965034967</v>
          </cell>
          <cell r="O288">
            <v>3.4965034965034967</v>
          </cell>
          <cell r="P288">
            <v>3.4965034965034967</v>
          </cell>
          <cell r="Q288">
            <v>3.4965034965034967</v>
          </cell>
          <cell r="R288">
            <v>3.4965034965034967</v>
          </cell>
        </row>
        <row r="289">
          <cell r="G289">
            <v>0</v>
          </cell>
          <cell r="H289">
            <v>4.5454545454545459</v>
          </cell>
          <cell r="I289">
            <v>4.5454545454545459</v>
          </cell>
          <cell r="J289">
            <v>4.5454545454545459</v>
          </cell>
          <cell r="K289">
            <v>4.5454545454545459</v>
          </cell>
          <cell r="L289">
            <v>4.5454545454545459</v>
          </cell>
          <cell r="M289">
            <v>4.5454545454545459</v>
          </cell>
          <cell r="N289">
            <v>4.5454545454545459</v>
          </cell>
          <cell r="O289">
            <v>4.5454545454545459</v>
          </cell>
          <cell r="P289">
            <v>4.5454545454545459</v>
          </cell>
          <cell r="Q289">
            <v>4.5454545454545459</v>
          </cell>
          <cell r="R289">
            <v>4.5454545454545459</v>
          </cell>
        </row>
        <row r="290">
          <cell r="G290">
            <v>0</v>
          </cell>
          <cell r="H290">
            <v>5.244755244755245</v>
          </cell>
          <cell r="I290">
            <v>5.244755244755245</v>
          </cell>
          <cell r="J290">
            <v>5.244755244755245</v>
          </cell>
          <cell r="K290">
            <v>5.244755244755245</v>
          </cell>
          <cell r="L290">
            <v>5.244755244755245</v>
          </cell>
          <cell r="M290">
            <v>5.244755244755245</v>
          </cell>
          <cell r="N290">
            <v>5.244755244755245</v>
          </cell>
          <cell r="O290">
            <v>5.244755244755245</v>
          </cell>
          <cell r="P290">
            <v>5.244755244755245</v>
          </cell>
          <cell r="Q290">
            <v>5.244755244755245</v>
          </cell>
          <cell r="R290">
            <v>5.244755244755245</v>
          </cell>
        </row>
        <row r="291">
          <cell r="G291">
            <v>0</v>
          </cell>
          <cell r="H291">
            <v>4.895104895104895</v>
          </cell>
          <cell r="I291">
            <v>4.895104895104895</v>
          </cell>
          <cell r="J291">
            <v>4.895104895104895</v>
          </cell>
          <cell r="K291">
            <v>4.895104895104895</v>
          </cell>
          <cell r="L291">
            <v>4.895104895104895</v>
          </cell>
          <cell r="M291">
            <v>4.895104895104895</v>
          </cell>
          <cell r="N291">
            <v>4.895104895104895</v>
          </cell>
          <cell r="O291">
            <v>4.895104895104895</v>
          </cell>
          <cell r="P291">
            <v>4.895104895104895</v>
          </cell>
          <cell r="Q291">
            <v>4.895104895104895</v>
          </cell>
          <cell r="R291">
            <v>4.895104895104895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9">
          <cell r="G299">
            <v>3744.7552447552448</v>
          </cell>
          <cell r="H299">
            <v>4185.3146853146854</v>
          </cell>
          <cell r="I299">
            <v>4625.8741258741265</v>
          </cell>
          <cell r="J299">
            <v>4625.8741258741265</v>
          </cell>
          <cell r="K299">
            <v>4625.8741258741265</v>
          </cell>
          <cell r="L299">
            <v>4405.5944055944065</v>
          </cell>
          <cell r="M299">
            <v>4625.8741258741265</v>
          </cell>
          <cell r="N299">
            <v>3744.7552447552448</v>
          </cell>
          <cell r="O299">
            <v>4625.8741258741265</v>
          </cell>
          <cell r="P299">
            <v>4185.3146853146854</v>
          </cell>
          <cell r="Q299">
            <v>4625.8741258741265</v>
          </cell>
          <cell r="R299">
            <v>4846.1538461538466</v>
          </cell>
        </row>
        <row r="300">
          <cell r="G300">
            <v>4067.8321678321677</v>
          </cell>
          <cell r="H300">
            <v>0</v>
          </cell>
          <cell r="I300">
            <v>0</v>
          </cell>
          <cell r="J300">
            <v>0</v>
          </cell>
          <cell r="K300">
            <v>5671.9580419580416</v>
          </cell>
          <cell r="L300">
            <v>5413.4965034965035</v>
          </cell>
          <cell r="M300">
            <v>5413.4965034965035</v>
          </cell>
          <cell r="N300">
            <v>4602.1678321678319</v>
          </cell>
          <cell r="O300">
            <v>5695.734265734266</v>
          </cell>
          <cell r="P300">
            <v>5156.5734265734263</v>
          </cell>
          <cell r="Q300">
            <v>6210.6993006993007</v>
          </cell>
          <cell r="R300">
            <v>6254.4755244755243</v>
          </cell>
        </row>
        <row r="301">
          <cell r="G301">
            <v>1913.2867132867134</v>
          </cell>
          <cell r="H301">
            <v>1174.8251748251748</v>
          </cell>
          <cell r="I301">
            <v>0</v>
          </cell>
          <cell r="J301">
            <v>1468.5314685314686</v>
          </cell>
          <cell r="K301">
            <v>2391.6083916083917</v>
          </cell>
          <cell r="L301">
            <v>2391.6083916083917</v>
          </cell>
          <cell r="M301">
            <v>2072.7272727272725</v>
          </cell>
          <cell r="N301">
            <v>2072.7272727272725</v>
          </cell>
          <cell r="O301">
            <v>2232.1678321678323</v>
          </cell>
          <cell r="P301">
            <v>2551.048951048951</v>
          </cell>
          <cell r="Q301">
            <v>2551.048951048951</v>
          </cell>
          <cell r="R301">
            <v>2551.048951048951</v>
          </cell>
        </row>
        <row r="302">
          <cell r="G302">
            <v>4356.2387193972736</v>
          </cell>
          <cell r="H302">
            <v>4354.0483140271708</v>
          </cell>
          <cell r="I302">
            <v>4850.1585476832906</v>
          </cell>
          <cell r="J302">
            <v>4851.822750446092</v>
          </cell>
          <cell r="K302">
            <v>4621.374764032088</v>
          </cell>
          <cell r="L302">
            <v>4601.6123169848106</v>
          </cell>
          <cell r="M302">
            <v>4600.691735804633</v>
          </cell>
          <cell r="N302">
            <v>4390.9884005403792</v>
          </cell>
          <cell r="O302">
            <v>4625.6230860987525</v>
          </cell>
          <cell r="P302">
            <v>4377.4570273445524</v>
          </cell>
          <cell r="Q302">
            <v>5091.6441927320257</v>
          </cell>
          <cell r="R302">
            <v>5091.6441927320257</v>
          </cell>
        </row>
        <row r="303">
          <cell r="G303">
            <v>572.02237762237758</v>
          </cell>
          <cell r="H303">
            <v>0</v>
          </cell>
          <cell r="I303">
            <v>0</v>
          </cell>
          <cell r="J303">
            <v>0</v>
          </cell>
          <cell r="K303">
            <v>643.91328671328677</v>
          </cell>
          <cell r="L303">
            <v>643.91328671328677</v>
          </cell>
          <cell r="M303">
            <v>595.68671328671326</v>
          </cell>
          <cell r="N303">
            <v>643.91328671328677</v>
          </cell>
          <cell r="O303">
            <v>643.91328671328677</v>
          </cell>
          <cell r="P303">
            <v>643.91328671328677</v>
          </cell>
          <cell r="Q303">
            <v>691.49930069930065</v>
          </cell>
          <cell r="R303">
            <v>691.49930069930065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6">
          <cell r="G306">
            <v>8131.4685314685312</v>
          </cell>
          <cell r="H306">
            <v>9088.1118881118891</v>
          </cell>
          <cell r="I306">
            <v>10044.755244755244</v>
          </cell>
          <cell r="J306">
            <v>10044.755244755244</v>
          </cell>
          <cell r="K306">
            <v>10044.755244755244</v>
          </cell>
          <cell r="L306">
            <v>9566.4335664335667</v>
          </cell>
          <cell r="M306">
            <v>10044.755244755244</v>
          </cell>
          <cell r="N306">
            <v>8131.4685314685312</v>
          </cell>
          <cell r="O306">
            <v>10044.755244755244</v>
          </cell>
          <cell r="P306">
            <v>9088.1118881118891</v>
          </cell>
          <cell r="Q306">
            <v>10044.755244755244</v>
          </cell>
          <cell r="R306">
            <v>10523.076923076922</v>
          </cell>
        </row>
        <row r="307">
          <cell r="G307">
            <v>8131.4685314685312</v>
          </cell>
          <cell r="H307">
            <v>159302.77872204929</v>
          </cell>
          <cell r="I307">
            <v>10044.755244755244</v>
          </cell>
          <cell r="J307">
            <v>177432.64013514537</v>
          </cell>
          <cell r="K307">
            <v>10044.755244755244</v>
          </cell>
          <cell r="L307">
            <v>9566.4335664335667</v>
          </cell>
          <cell r="M307">
            <v>10044.755244755244</v>
          </cell>
          <cell r="N307">
            <v>8131.4685314685312</v>
          </cell>
          <cell r="O307">
            <v>10044.755244755244</v>
          </cell>
          <cell r="P307">
            <v>9088.1118881118891</v>
          </cell>
          <cell r="Q307">
            <v>10044.755244755244</v>
          </cell>
          <cell r="R307">
            <v>10523.076923076922</v>
          </cell>
        </row>
        <row r="308">
          <cell r="G308">
            <v>107688.46153846155</v>
          </cell>
          <cell r="H308">
            <v>120357.6923076923</v>
          </cell>
          <cell r="I308">
            <v>133026.92307692309</v>
          </cell>
          <cell r="J308">
            <v>133026.92307692309</v>
          </cell>
          <cell r="K308">
            <v>133026.92307692309</v>
          </cell>
          <cell r="L308">
            <v>126692.30769230772</v>
          </cell>
          <cell r="M308">
            <v>133026.92307692309</v>
          </cell>
          <cell r="N308">
            <v>107688.46153846155</v>
          </cell>
          <cell r="O308">
            <v>133026.92307692309</v>
          </cell>
          <cell r="P308">
            <v>120357.6923076923</v>
          </cell>
          <cell r="Q308">
            <v>133026.92307692309</v>
          </cell>
          <cell r="R308">
            <v>139361.53846153847</v>
          </cell>
        </row>
        <row r="309">
          <cell r="G309">
            <v>107797.55244755244</v>
          </cell>
          <cell r="H309">
            <v>150214.6668339374</v>
          </cell>
          <cell r="I309">
            <v>0</v>
          </cell>
          <cell r="J309">
            <v>167387.88489039015</v>
          </cell>
          <cell r="K309">
            <v>150306.88811188811</v>
          </cell>
          <cell r="L309">
            <v>143457.65734265733</v>
          </cell>
          <cell r="M309">
            <v>143457.65734265733</v>
          </cell>
          <cell r="N309">
            <v>121957.44755244754</v>
          </cell>
          <cell r="O309">
            <v>150936.95804195807</v>
          </cell>
          <cell r="P309">
            <v>136649.1958041958</v>
          </cell>
          <cell r="Q309">
            <v>164583.53146853147</v>
          </cell>
          <cell r="R309">
            <v>165743.60139860137</v>
          </cell>
        </row>
        <row r="310">
          <cell r="G310">
            <v>49745.454545454544</v>
          </cell>
          <cell r="H310">
            <v>30545.454545454548</v>
          </cell>
          <cell r="I310">
            <v>0</v>
          </cell>
          <cell r="J310">
            <v>38181.818181818177</v>
          </cell>
          <cell r="K310">
            <v>62181.818181818184</v>
          </cell>
          <cell r="L310">
            <v>62181.818181818184</v>
          </cell>
          <cell r="M310">
            <v>53890.909090909088</v>
          </cell>
          <cell r="N310">
            <v>53890.909090909088</v>
          </cell>
          <cell r="O310">
            <v>58036.36363636364</v>
          </cell>
          <cell r="P310">
            <v>66327.272727272721</v>
          </cell>
          <cell r="Q310">
            <v>66327.272727272721</v>
          </cell>
          <cell r="R310">
            <v>66327.272727272721</v>
          </cell>
        </row>
        <row r="311">
          <cell r="G311">
            <v>113262.20670432912</v>
          </cell>
          <cell r="H311">
            <v>0</v>
          </cell>
          <cell r="I311">
            <v>0</v>
          </cell>
          <cell r="J311">
            <v>0</v>
          </cell>
          <cell r="K311">
            <v>120155.74386483429</v>
          </cell>
          <cell r="L311">
            <v>119641.92024160507</v>
          </cell>
          <cell r="M311">
            <v>119617.98513092045</v>
          </cell>
          <cell r="N311">
            <v>114165.69841404987</v>
          </cell>
          <cell r="O311">
            <v>120266.20023856756</v>
          </cell>
          <cell r="P311">
            <v>113813.88271095837</v>
          </cell>
          <cell r="Q311">
            <v>132382.74901103266</v>
          </cell>
          <cell r="R311">
            <v>132382.74901103266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6">
          <cell r="O16" t="str">
            <v>부산</v>
          </cell>
          <cell r="P16" t="str">
            <v>(주)동양건재부문_EJ1_부산레미콘</v>
          </cell>
          <cell r="Q16">
            <v>22600000</v>
          </cell>
          <cell r="R16">
            <v>7936000</v>
          </cell>
          <cell r="U16">
            <v>30536000</v>
          </cell>
        </row>
        <row r="17">
          <cell r="O17" t="str">
            <v>서부산</v>
          </cell>
          <cell r="P17" t="str">
            <v>(주)동양건재부문_EK1_서부산레미콘</v>
          </cell>
          <cell r="Q17">
            <v>40698000</v>
          </cell>
          <cell r="R17">
            <v>53768000</v>
          </cell>
          <cell r="U17">
            <v>94466000</v>
          </cell>
        </row>
        <row r="18">
          <cell r="O18" t="str">
            <v>김해</v>
          </cell>
          <cell r="P18" t="str">
            <v>(주)동양건재부문_EL1_김해레미콘</v>
          </cell>
          <cell r="Q18">
            <v>0</v>
          </cell>
          <cell r="R18">
            <v>0</v>
          </cell>
          <cell r="U18">
            <v>0</v>
          </cell>
        </row>
        <row r="19">
          <cell r="O19" t="str">
            <v>정관</v>
          </cell>
          <cell r="P19" t="str">
            <v>(주)동양건재부문_EM1_정관레미콘</v>
          </cell>
          <cell r="Q19">
            <v>0</v>
          </cell>
          <cell r="R19">
            <v>0</v>
          </cell>
          <cell r="U19">
            <v>0</v>
          </cell>
        </row>
        <row r="20">
          <cell r="O20" t="str">
            <v>양산</v>
          </cell>
          <cell r="P20" t="str">
            <v>(주)동양건재부문_EN1_양산레미콘</v>
          </cell>
          <cell r="Q20">
            <v>0</v>
          </cell>
          <cell r="R20">
            <v>0</v>
          </cell>
          <cell r="U20">
            <v>0</v>
          </cell>
        </row>
        <row r="21">
          <cell r="O21" t="str">
            <v>창원</v>
          </cell>
          <cell r="P21" t="str">
            <v>(주)동양건재부문_EH1_창원레미콘</v>
          </cell>
          <cell r="Q21">
            <v>0</v>
          </cell>
          <cell r="R21">
            <v>0</v>
          </cell>
          <cell r="U21">
            <v>0</v>
          </cell>
        </row>
        <row r="22">
          <cell r="P22" t="str">
            <v>계</v>
          </cell>
          <cell r="Q22">
            <v>63298000</v>
          </cell>
          <cell r="R22">
            <v>61704000</v>
          </cell>
          <cell r="U22">
            <v>125002000</v>
          </cell>
        </row>
      </sheetData>
      <sheetData sheetId="8" refreshError="1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108500000</v>
          </cell>
          <cell r="O16">
            <v>129109000</v>
          </cell>
          <cell r="P16">
            <v>237609000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9024000</v>
          </cell>
          <cell r="O17">
            <v>19008000</v>
          </cell>
          <cell r="P17">
            <v>28032000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15552000</v>
          </cell>
          <cell r="P19">
            <v>15552000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117524000</v>
          </cell>
          <cell r="O22">
            <v>163669000</v>
          </cell>
          <cell r="P22">
            <v>281193000</v>
          </cell>
        </row>
      </sheetData>
      <sheetData sheetId="10" refreshError="1"/>
      <sheetData sheetId="11">
        <row r="16">
          <cell r="L16" t="str">
            <v>부산</v>
          </cell>
          <cell r="M16" t="str">
            <v>(주)동양건재부문_EJ1_부산레미콘</v>
          </cell>
          <cell r="N16">
            <v>103488000</v>
          </cell>
          <cell r="O16">
            <v>11400000</v>
          </cell>
          <cell r="P16">
            <v>114888000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70840000</v>
          </cell>
          <cell r="O17">
            <v>0</v>
          </cell>
          <cell r="P17">
            <v>70840000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21120000</v>
          </cell>
          <cell r="O18">
            <v>0</v>
          </cell>
          <cell r="P18">
            <v>21120000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83160000</v>
          </cell>
          <cell r="O19">
            <v>0</v>
          </cell>
          <cell r="P19">
            <v>83160000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278608000</v>
          </cell>
          <cell r="O22">
            <v>11400000</v>
          </cell>
          <cell r="P22">
            <v>290008000</v>
          </cell>
        </row>
        <row r="25">
          <cell r="L25" t="str">
            <v>합계 : 금액</v>
          </cell>
          <cell r="N25" t="str">
            <v>제품코드</v>
          </cell>
          <cell r="O25" t="str">
            <v>제품코드명</v>
          </cell>
        </row>
        <row r="26">
          <cell r="N26">
            <v>10005741</v>
          </cell>
          <cell r="O26">
            <v>10005735</v>
          </cell>
          <cell r="P26" t="str">
            <v>총합계</v>
          </cell>
        </row>
        <row r="37">
          <cell r="C37">
            <v>0</v>
          </cell>
          <cell r="D37">
            <v>14671</v>
          </cell>
          <cell r="E37">
            <v>0</v>
          </cell>
        </row>
        <row r="38">
          <cell r="C38">
            <v>9602</v>
          </cell>
          <cell r="D38">
            <v>0</v>
          </cell>
          <cell r="E38">
            <v>300</v>
          </cell>
          <cell r="N38">
            <v>3234</v>
          </cell>
          <cell r="O38">
            <v>300</v>
          </cell>
        </row>
        <row r="39">
          <cell r="N39">
            <v>2576</v>
          </cell>
          <cell r="O39">
            <v>0</v>
          </cell>
        </row>
        <row r="40">
          <cell r="C40">
            <v>0</v>
          </cell>
          <cell r="D40">
            <v>389852500</v>
          </cell>
          <cell r="E40">
            <v>0</v>
          </cell>
          <cell r="N40">
            <v>768</v>
          </cell>
          <cell r="O40">
            <v>0</v>
          </cell>
        </row>
        <row r="41">
          <cell r="C41">
            <v>278608000</v>
          </cell>
          <cell r="D41">
            <v>0</v>
          </cell>
          <cell r="E41">
            <v>11400000</v>
          </cell>
          <cell r="N41">
            <v>3024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6">
          <cell r="N46">
            <v>32000</v>
          </cell>
          <cell r="O46">
            <v>38000</v>
          </cell>
        </row>
        <row r="47">
          <cell r="N47">
            <v>27500</v>
          </cell>
          <cell r="O47">
            <v>0</v>
          </cell>
        </row>
        <row r="48">
          <cell r="N48">
            <v>27500</v>
          </cell>
          <cell r="O48">
            <v>0</v>
          </cell>
        </row>
        <row r="49">
          <cell r="N49">
            <v>27500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4">
          <cell r="D54">
            <v>-11582254</v>
          </cell>
          <cell r="E54">
            <v>0</v>
          </cell>
        </row>
        <row r="55">
          <cell r="C55">
            <v>14508900</v>
          </cell>
          <cell r="E55">
            <v>2441453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L31" sqref="L31"/>
    </sheetView>
  </sheetViews>
  <sheetFormatPr defaultRowHeight="16.5"/>
  <cols>
    <col min="13" max="13" width="15.75" customWidth="1"/>
  </cols>
  <sheetData>
    <row r="6" spans="1:13">
      <c r="A6" s="715" t="s">
        <v>209</v>
      </c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</row>
    <row r="7" spans="1:13">
      <c r="A7" s="716"/>
      <c r="B7" s="716"/>
      <c r="C7" s="716"/>
      <c r="D7" s="716"/>
      <c r="E7" s="716"/>
      <c r="F7" s="716"/>
      <c r="G7" s="716"/>
      <c r="H7" s="716"/>
      <c r="I7" s="716"/>
      <c r="J7" s="716"/>
      <c r="K7" s="716"/>
      <c r="L7" s="716"/>
      <c r="M7" s="716"/>
    </row>
    <row r="8" spans="1:13">
      <c r="A8" s="716"/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</row>
    <row r="9" spans="1:13">
      <c r="A9" s="716"/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</row>
    <row r="10" spans="1:13">
      <c r="A10" s="716"/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</row>
    <row r="11" spans="1:13">
      <c r="A11" s="716"/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</row>
    <row r="12" spans="1:13">
      <c r="A12" s="716"/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</row>
    <row r="13" spans="1:13">
      <c r="A13" s="716"/>
      <c r="B13" s="716"/>
      <c r="C13" s="716"/>
      <c r="D13" s="716"/>
      <c r="E13" s="716"/>
      <c r="F13" s="716"/>
      <c r="G13" s="716"/>
      <c r="H13" s="716"/>
      <c r="I13" s="716"/>
      <c r="J13" s="716"/>
      <c r="K13" s="716"/>
      <c r="L13" s="716"/>
      <c r="M13" s="716"/>
    </row>
    <row r="14" spans="1:13">
      <c r="A14" s="716"/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</row>
    <row r="24" spans="1:13">
      <c r="A24" s="717" t="s">
        <v>99</v>
      </c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</row>
    <row r="25" spans="1:13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topLeftCell="A4" zoomScale="70" zoomScaleNormal="70" zoomScaleSheetLayoutView="70" workbookViewId="0">
      <selection activeCell="D36" sqref="D36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/>
    <row r="2" spans="1:25" ht="20.100000000000001" customHeight="1"/>
    <row r="3" spans="1:25" ht="20.100000000000001" customHeight="1">
      <c r="C3" s="4" t="s">
        <v>215</v>
      </c>
    </row>
    <row r="4" spans="1:25" ht="20.100000000000001" customHeight="1">
      <c r="H4" s="235"/>
      <c r="X4" s="5" t="s">
        <v>101</v>
      </c>
    </row>
    <row r="5" spans="1:25" ht="27" customHeight="1" thickBot="1">
      <c r="C5" s="720" t="s">
        <v>61</v>
      </c>
      <c r="D5" s="721"/>
      <c r="E5" s="120" t="s">
        <v>173</v>
      </c>
      <c r="F5" s="121"/>
      <c r="G5" s="121"/>
      <c r="H5" s="121"/>
      <c r="I5" s="122"/>
      <c r="J5" s="121" t="s">
        <v>210</v>
      </c>
      <c r="K5" s="121"/>
      <c r="L5" s="121"/>
      <c r="M5" s="121"/>
      <c r="N5" s="122"/>
      <c r="O5" s="123"/>
      <c r="P5" s="720" t="s">
        <v>211</v>
      </c>
      <c r="Q5" s="721"/>
      <c r="R5" s="721"/>
      <c r="S5" s="721"/>
      <c r="T5" s="721"/>
      <c r="U5" s="721"/>
      <c r="V5" s="721"/>
      <c r="W5" s="721"/>
      <c r="X5" s="724"/>
    </row>
    <row r="6" spans="1:25" ht="27" customHeight="1" thickTop="1">
      <c r="A6" t="s">
        <v>141</v>
      </c>
      <c r="C6" s="722"/>
      <c r="D6" s="723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722"/>
      <c r="Q6" s="723"/>
      <c r="R6" s="723"/>
      <c r="S6" s="723"/>
      <c r="T6" s="723"/>
      <c r="U6" s="723"/>
      <c r="V6" s="723"/>
      <c r="W6" s="723"/>
      <c r="X6" s="725"/>
    </row>
    <row r="7" spans="1:25" ht="21.75" customHeight="1">
      <c r="A7" s="235">
        <f>+F7/E7</f>
        <v>0.92854185022026425</v>
      </c>
      <c r="B7" s="235">
        <f>+K7/J7</f>
        <v>0.89552649769585257</v>
      </c>
      <c r="C7" s="88" t="s">
        <v>0</v>
      </c>
      <c r="D7" s="89" t="s">
        <v>40</v>
      </c>
      <c r="E7" s="320">
        <f>+'[1]2월'!$Z$7/1000</f>
        <v>227</v>
      </c>
      <c r="F7" s="321">
        <f>+'[2]2월'!$Z$7/1000</f>
        <v>210.779</v>
      </c>
      <c r="G7" s="296">
        <f>+F7-E7</f>
        <v>-16.221000000000004</v>
      </c>
      <c r="H7" s="297">
        <f>+'[3]2월'!$Z$7/1000</f>
        <v>217.5565</v>
      </c>
      <c r="I7" s="298">
        <f>+F7-H7</f>
        <v>-6.7775000000000034</v>
      </c>
      <c r="J7" s="320">
        <f>+'[1]2월누계'!$Z$7/1000</f>
        <v>434</v>
      </c>
      <c r="K7" s="321">
        <f>+'[2]2월누계'!$Z$7/1000</f>
        <v>388.6585</v>
      </c>
      <c r="L7" s="296">
        <f>+K7-J7</f>
        <v>-45.341499999999996</v>
      </c>
      <c r="M7" s="297">
        <f>+'[3]2월누계'!$Z$7/1000</f>
        <v>496.44200000000001</v>
      </c>
      <c r="N7" s="298">
        <f>+K7-M7</f>
        <v>-107.7835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>
      <c r="B8" s="235"/>
      <c r="C8" s="88"/>
      <c r="D8" s="93" t="s">
        <v>69</v>
      </c>
      <c r="E8" s="322">
        <f>+'[1]2월'!$AA$7</f>
        <v>10200</v>
      </c>
      <c r="F8" s="323">
        <f>+'[2]2월'!$AO$7</f>
        <v>9724.5229999999992</v>
      </c>
      <c r="G8" s="299">
        <f>+F8-E8</f>
        <v>-475.47700000000077</v>
      </c>
      <c r="H8" s="300">
        <f>+'[3]2월'!$AO$7</f>
        <v>6645.402</v>
      </c>
      <c r="I8" s="301">
        <f>+F8-H8</f>
        <v>3079.1209999999992</v>
      </c>
      <c r="J8" s="322">
        <f>+'[1]2월누계'!$AA$7</f>
        <v>20000</v>
      </c>
      <c r="K8" s="323">
        <f>+'[2]2월누계'!$AO$7</f>
        <v>18460.025000000001</v>
      </c>
      <c r="L8" s="299">
        <f>+K8-J8</f>
        <v>-1539.9749999999985</v>
      </c>
      <c r="M8" s="300">
        <f>+'[3]2월누계'!$AO$7</f>
        <v>13070.494999999999</v>
      </c>
      <c r="N8" s="301">
        <f>+K8-M8</f>
        <v>5389.5300000000025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>
      <c r="B9" s="235"/>
      <c r="C9" s="88"/>
      <c r="D9" s="93" t="s">
        <v>1</v>
      </c>
      <c r="E9" s="322">
        <f>+'[1]2월'!$AE$7/1000</f>
        <v>74.372195189220804</v>
      </c>
      <c r="F9" s="323">
        <f>+'[2]2월'!$AN$7/1000</f>
        <v>57.936999999999998</v>
      </c>
      <c r="G9" s="299">
        <f t="shared" ref="G9:G36" si="0">+F9-E9</f>
        <v>-16.435195189220806</v>
      </c>
      <c r="H9" s="300">
        <f>+'[3]2월'!$AN$7/1000</f>
        <v>65.272000000000006</v>
      </c>
      <c r="I9" s="301">
        <f t="shared" ref="I9:I36" si="1">+F9-H9</f>
        <v>-7.335000000000008</v>
      </c>
      <c r="J9" s="322">
        <f>+'[1]2월누계'!$AE$7/1000</f>
        <v>165.19048599383501</v>
      </c>
      <c r="K9" s="323">
        <f>+'[2]2월누계'!$AN$7/1000</f>
        <v>106.18899999999999</v>
      </c>
      <c r="L9" s="299">
        <f t="shared" ref="L9:L10" si="2">+K9-J9</f>
        <v>-59.001485993835018</v>
      </c>
      <c r="M9" s="300">
        <f>+'[3]2월누계'!$AN$7/1000</f>
        <v>149.78899999999999</v>
      </c>
      <c r="N9" s="301">
        <f t="shared" ref="N9:N10" si="3">+K9-M9</f>
        <v>-43.599999999999994</v>
      </c>
      <c r="O9" s="87"/>
      <c r="P9" s="90"/>
      <c r="Q9" s="94" t="s">
        <v>51</v>
      </c>
      <c r="R9" s="178" t="s">
        <v>16</v>
      </c>
      <c r="S9" s="191">
        <f>+[4]수도권!$T$5/1000</f>
        <v>83</v>
      </c>
      <c r="T9" s="95">
        <f>+[4]수도권!$U$5/1000</f>
        <v>74.239500000000007</v>
      </c>
      <c r="U9" s="296">
        <f>+T9-S9</f>
        <v>-8.7604999999999933</v>
      </c>
      <c r="V9" s="297">
        <f>+[5]수도권!$T$5/1000</f>
        <v>85.558999999999997</v>
      </c>
      <c r="W9" s="298">
        <f>+T9-V9</f>
        <v>-11.319499999999991</v>
      </c>
      <c r="X9" s="92"/>
      <c r="Y9" s="235"/>
    </row>
    <row r="10" spans="1:25" ht="21.75" customHeight="1">
      <c r="B10" s="235"/>
      <c r="C10" s="96" t="s">
        <v>2</v>
      </c>
      <c r="D10" s="97" t="s">
        <v>40</v>
      </c>
      <c r="E10" s="324">
        <f>+'[1]2월'!$Z$8/1000</f>
        <v>22820.869540842657</v>
      </c>
      <c r="F10" s="325">
        <f>+'[2]2월'!$Z$8/1000</f>
        <v>21022.767731000004</v>
      </c>
      <c r="G10" s="326">
        <f t="shared" si="0"/>
        <v>-1798.1018098426539</v>
      </c>
      <c r="H10" s="327">
        <f>+'[3]2월'!$Z$8/1000</f>
        <v>22221.542589999997</v>
      </c>
      <c r="I10" s="328">
        <f t="shared" si="1"/>
        <v>-1198.7748589999937</v>
      </c>
      <c r="J10" s="324">
        <f>+'[1]2월누계'!$Z$8/1000</f>
        <v>43636.76262345229</v>
      </c>
      <c r="K10" s="325">
        <f>+'[2]2월누계'!$Z$8/1000</f>
        <v>38997.159802999995</v>
      </c>
      <c r="L10" s="326">
        <f t="shared" si="2"/>
        <v>-4639.6028204522954</v>
      </c>
      <c r="M10" s="327">
        <f>+'[3]2월누계'!$Z$8/1000</f>
        <v>50097.188472999995</v>
      </c>
      <c r="N10" s="328">
        <f t="shared" si="3"/>
        <v>-11100.02867</v>
      </c>
      <c r="O10" s="87"/>
      <c r="P10" s="90"/>
      <c r="Q10" s="98"/>
      <c r="R10" s="179" t="s">
        <v>17</v>
      </c>
      <c r="S10" s="192">
        <f>+[4]영남권!$T$5/1000</f>
        <v>105</v>
      </c>
      <c r="T10" s="99">
        <f>+[4]영남권!$U$5/1000</f>
        <v>95.894000000000005</v>
      </c>
      <c r="U10" s="299">
        <f t="shared" ref="U10:U20" si="4">+T10-S10</f>
        <v>-9.1059999999999945</v>
      </c>
      <c r="V10" s="300">
        <f>+[5]영남권!$T$5/1000</f>
        <v>100.9045</v>
      </c>
      <c r="W10" s="301">
        <f t="shared" ref="W10:W20" si="5">+T10-V10</f>
        <v>-5.0104999999999933</v>
      </c>
      <c r="X10" s="92"/>
      <c r="Y10" s="235"/>
    </row>
    <row r="11" spans="1:25" ht="21.75" customHeight="1">
      <c r="B11" s="235"/>
      <c r="C11" s="88"/>
      <c r="D11" s="93" t="s">
        <v>3</v>
      </c>
      <c r="E11" s="322">
        <f>+'[1]2월'!$AA$8/1000</f>
        <v>11165.945543013699</v>
      </c>
      <c r="F11" s="323">
        <f>+'[2]2월'!$AO$8/1000</f>
        <v>8276.9951199999996</v>
      </c>
      <c r="G11" s="299">
        <f>+F11-E11</f>
        <v>-2888.950423013699</v>
      </c>
      <c r="H11" s="300">
        <f>+'[3]2월'!$AO$8/1000</f>
        <v>6765.6579750000001</v>
      </c>
      <c r="I11" s="301">
        <f>+F11-H11</f>
        <v>1511.3371449999995</v>
      </c>
      <c r="J11" s="322">
        <f>+'[1]2월누계'!$AA$8/1000</f>
        <v>21897.268355068496</v>
      </c>
      <c r="K11" s="323">
        <f>+'[2]2월누계'!$AO$8/1000</f>
        <v>15757.114804000001</v>
      </c>
      <c r="L11" s="299">
        <f>+K11-J11</f>
        <v>-6140.1535510684953</v>
      </c>
      <c r="M11" s="300">
        <f>+'[3]2월누계'!$AO$8/1000</f>
        <v>14173.615142000001</v>
      </c>
      <c r="N11" s="301">
        <f>+K11-M11</f>
        <v>1583.4996620000002</v>
      </c>
      <c r="O11" s="87"/>
      <c r="P11" s="90"/>
      <c r="Q11" s="98"/>
      <c r="R11" s="180" t="s">
        <v>106</v>
      </c>
      <c r="S11" s="193">
        <f>+[4]중부권!$T$5/1000</f>
        <v>39</v>
      </c>
      <c r="T11" s="100">
        <f>+[4]중부권!$U$5/1000</f>
        <v>40.645499999999998</v>
      </c>
      <c r="U11" s="302">
        <f t="shared" si="4"/>
        <v>1.6454999999999984</v>
      </c>
      <c r="V11" s="303">
        <f>+[5]중부권!$T$5/1000</f>
        <v>31.093</v>
      </c>
      <c r="W11" s="304">
        <f t="shared" si="5"/>
        <v>9.5524999999999984</v>
      </c>
      <c r="X11" s="92"/>
      <c r="Y11" s="235"/>
    </row>
    <row r="12" spans="1:25" ht="21.75" customHeight="1">
      <c r="B12" s="235"/>
      <c r="C12" s="88"/>
      <c r="D12" s="93" t="s">
        <v>1</v>
      </c>
      <c r="E12" s="322">
        <f>+'[1]2월'!$AE$8/1000</f>
        <v>1594.8893248714389</v>
      </c>
      <c r="F12" s="323">
        <f>+'[2]2월'!$AN$8/1000</f>
        <v>1242.5835</v>
      </c>
      <c r="G12" s="299">
        <f t="shared" si="0"/>
        <v>-352.30582487143897</v>
      </c>
      <c r="H12" s="300">
        <f>+'[3]2월'!$AN$8/1000</f>
        <v>1297.0864999999999</v>
      </c>
      <c r="I12" s="301">
        <f t="shared" si="1"/>
        <v>-54.502999999999929</v>
      </c>
      <c r="J12" s="322">
        <f>+'[1]2월누계'!$AE$8/1000</f>
        <v>3235.0837662610338</v>
      </c>
      <c r="K12" s="323">
        <f>+'[2]2월누계'!$AN$8/1000</f>
        <v>2294.3314999999998</v>
      </c>
      <c r="L12" s="299">
        <f t="shared" ref="L12:L15" si="6">+K12-J12</f>
        <v>-940.75226626103404</v>
      </c>
      <c r="M12" s="300">
        <f>+'[3]2월누계'!$AN$8/1000</f>
        <v>3016.6064999999999</v>
      </c>
      <c r="N12" s="301">
        <f t="shared" ref="N12:N15" si="7">+K12-M12</f>
        <v>-722.27500000000009</v>
      </c>
      <c r="O12" s="87"/>
      <c r="P12" s="90"/>
      <c r="Q12" s="101" t="s">
        <v>58</v>
      </c>
      <c r="R12" s="181"/>
      <c r="S12" s="194">
        <f>SUM(S9:S11)</f>
        <v>227</v>
      </c>
      <c r="T12" s="102">
        <f>SUM(T9:T11)</f>
        <v>210.77900000000002</v>
      </c>
      <c r="U12" s="305">
        <f t="shared" si="4"/>
        <v>-16.220999999999975</v>
      </c>
      <c r="V12" s="306">
        <f>SUM(V9:V11)</f>
        <v>217.5565</v>
      </c>
      <c r="W12" s="307">
        <f t="shared" si="5"/>
        <v>-6.777499999999975</v>
      </c>
      <c r="X12" s="92"/>
    </row>
    <row r="13" spans="1:25" ht="21.75" customHeight="1">
      <c r="B13" s="235"/>
      <c r="C13" s="88"/>
      <c r="D13" s="103" t="s">
        <v>4</v>
      </c>
      <c r="E13" s="329">
        <f>+'[1]2월'!$E$8/1000-E10-E11-E12</f>
        <v>166.70149999999785</v>
      </c>
      <c r="F13" s="330">
        <f>+'[2]2월'!$F$8/1000-F10-F11-F12</f>
        <v>164.5193680000018</v>
      </c>
      <c r="G13" s="302">
        <f t="shared" si="0"/>
        <v>-2.1821319999960451</v>
      </c>
      <c r="H13" s="303">
        <f>+'[3]2월'!$F$8/1000-H10-H11-H12</f>
        <v>164.52515900000026</v>
      </c>
      <c r="I13" s="304">
        <f t="shared" si="1"/>
        <v>-5.7909999984531169E-3</v>
      </c>
      <c r="J13" s="329">
        <f>+'[1]2월누계'!$E$8/1000-J10-J11-J12</f>
        <v>333.40300000000752</v>
      </c>
      <c r="K13" s="330">
        <f>+'[2]2월누계'!$F$8/1000-K10-K11-K12</f>
        <v>331.7719669999974</v>
      </c>
      <c r="L13" s="302">
        <f t="shared" si="6"/>
        <v>-1.6310330000101203</v>
      </c>
      <c r="M13" s="303">
        <f>+'[3]2월누계'!$F$8/1000-M10-M11-M12</f>
        <v>329.0006700000049</v>
      </c>
      <c r="N13" s="304">
        <f t="shared" si="7"/>
        <v>2.7712969999925008</v>
      </c>
      <c r="O13" s="87"/>
      <c r="P13" s="90"/>
      <c r="Q13" s="94" t="s">
        <v>59</v>
      </c>
      <c r="R13" s="178" t="s">
        <v>16</v>
      </c>
      <c r="S13" s="191">
        <f>+[4]수도권!$T$61</f>
        <v>97568.731966322273</v>
      </c>
      <c r="T13" s="95">
        <f>+[4]수도권!$U$61</f>
        <v>96965.552073670318</v>
      </c>
      <c r="U13" s="296">
        <f t="shared" si="4"/>
        <v>-603.17989265195502</v>
      </c>
      <c r="V13" s="297">
        <f>+[5]수도권!$Q$85</f>
        <v>100756.03555768623</v>
      </c>
      <c r="W13" s="298">
        <f t="shared" si="5"/>
        <v>-3790.4834840159165</v>
      </c>
      <c r="X13" s="92"/>
    </row>
    <row r="14" spans="1:25" ht="21.75" customHeight="1">
      <c r="A14" s="235">
        <f>+F14/E14</f>
        <v>0.85897160833969044</v>
      </c>
      <c r="B14" s="235">
        <f>+K14/J14</f>
        <v>0.83036595404417068</v>
      </c>
      <c r="C14" s="104" t="s">
        <v>8</v>
      </c>
      <c r="D14" s="105"/>
      <c r="E14" s="329">
        <f>SUM(E10:E13)</f>
        <v>35748.405908727793</v>
      </c>
      <c r="F14" s="330">
        <f>SUM(F10:F13)</f>
        <v>30706.865719000005</v>
      </c>
      <c r="G14" s="302">
        <f t="shared" si="0"/>
        <v>-5041.5401897277879</v>
      </c>
      <c r="H14" s="303">
        <f>SUM(H10:H13)</f>
        <v>30448.812224000001</v>
      </c>
      <c r="I14" s="304">
        <f t="shared" si="1"/>
        <v>258.05349500000375</v>
      </c>
      <c r="J14" s="329">
        <f>SUM(J10:J13)</f>
        <v>69102.517744781828</v>
      </c>
      <c r="K14" s="330">
        <f>SUM(K10:K13)</f>
        <v>57380.378074</v>
      </c>
      <c r="L14" s="302">
        <f t="shared" si="6"/>
        <v>-11722.139670781828</v>
      </c>
      <c r="M14" s="303">
        <f>SUM(M10:M13)</f>
        <v>67616.410785</v>
      </c>
      <c r="N14" s="304">
        <f t="shared" si="7"/>
        <v>-10236.032711</v>
      </c>
      <c r="O14" s="87"/>
      <c r="P14" s="90"/>
      <c r="Q14" s="98"/>
      <c r="R14" s="179" t="s">
        <v>17</v>
      </c>
      <c r="S14" s="192">
        <f>+[4]영남권!$T$61</f>
        <v>100469.21645369435</v>
      </c>
      <c r="T14" s="99">
        <f>+[4]영남권!$U$61</f>
        <v>100787.78490345353</v>
      </c>
      <c r="U14" s="299">
        <f t="shared" si="4"/>
        <v>318.56844975918648</v>
      </c>
      <c r="V14" s="300">
        <f>+[5]영남권!$Q$85</f>
        <v>102784.6211021312</v>
      </c>
      <c r="W14" s="301">
        <f t="shared" si="5"/>
        <v>-1996.8361986776727</v>
      </c>
      <c r="X14" s="92"/>
      <c r="Y14" s="235"/>
    </row>
    <row r="15" spans="1:25" ht="21.75" customHeight="1">
      <c r="C15" s="88" t="s">
        <v>5</v>
      </c>
      <c r="D15" s="97" t="s">
        <v>40</v>
      </c>
      <c r="E15" s="324">
        <f>+('[1]2월'!$Z$10+'[1]2월'!$Z$19)/1000</f>
        <v>20757.626838123258</v>
      </c>
      <c r="F15" s="325">
        <f>+('[2]2월'!$Z$10+'[2]2월'!$Z$19)/1000</f>
        <v>19459.467208999999</v>
      </c>
      <c r="G15" s="326">
        <f t="shared" si="0"/>
        <v>-1298.1596291232599</v>
      </c>
      <c r="H15" s="327">
        <f>+('[3]2월'!$Z$10+'[3]2월'!$Z$19)/1000</f>
        <v>19862.664409000001</v>
      </c>
      <c r="I15" s="328">
        <f t="shared" si="1"/>
        <v>-403.19720000000234</v>
      </c>
      <c r="J15" s="324">
        <f>+('[1]2월누계'!$Z$10+'[1]2월누계'!$Z$19)/1000</f>
        <v>40158.316270587253</v>
      </c>
      <c r="K15" s="325">
        <f>+('[2]2월누계'!$Z$10+'[2]2월누계'!$Z$19)/1000</f>
        <v>36700.19260599999</v>
      </c>
      <c r="L15" s="326">
        <f t="shared" si="6"/>
        <v>-3458.1236645872632</v>
      </c>
      <c r="M15" s="327">
        <f>+('[3]2월누계'!$Z$10+'[3]2월누계'!$Z$19)/1000</f>
        <v>44742.196587000006</v>
      </c>
      <c r="N15" s="328">
        <f t="shared" si="7"/>
        <v>-8042.0039810000162</v>
      </c>
      <c r="O15" s="87"/>
      <c r="P15" s="90"/>
      <c r="Q15" s="98"/>
      <c r="R15" s="180" t="s">
        <v>105</v>
      </c>
      <c r="S15" s="193">
        <f>+[4]중부권!$T$61</f>
        <v>107010.18102564102</v>
      </c>
      <c r="T15" s="100">
        <f>+[4]중부권!$U$61</f>
        <v>102295.47925625638</v>
      </c>
      <c r="U15" s="302">
        <f t="shared" si="4"/>
        <v>-4714.7017693846428</v>
      </c>
      <c r="V15" s="303">
        <f>+[5]중부권!$Q$85</f>
        <v>103875.42689286635</v>
      </c>
      <c r="W15" s="304">
        <f t="shared" si="5"/>
        <v>-1579.9476366099698</v>
      </c>
      <c r="X15" s="92"/>
    </row>
    <row r="16" spans="1:25" ht="21.75" customHeight="1">
      <c r="C16" s="88"/>
      <c r="D16" s="93" t="s">
        <v>3</v>
      </c>
      <c r="E16" s="322">
        <f>+('[1]2월'!$AA$10+'[1]2월'!$AA$19)/1000</f>
        <v>10864.468817494511</v>
      </c>
      <c r="F16" s="323">
        <f>+('[2]2월'!$AO$10+'[2]2월'!$AO$19)/1000</f>
        <v>8127.3340770000004</v>
      </c>
      <c r="G16" s="299">
        <f>+F16-E16</f>
        <v>-2737.1347404945109</v>
      </c>
      <c r="H16" s="300">
        <f>+('[3]2월'!$AO$10+'[3]2월'!$AO$19)/1000</f>
        <v>6592.5772969999998</v>
      </c>
      <c r="I16" s="301">
        <f>+F16-H16</f>
        <v>1534.7567800000006</v>
      </c>
      <c r="J16" s="322">
        <f>+('[1]2월누계'!$AA$10+'[1]2월누계'!$AA$19)/1000</f>
        <v>21305.651121760086</v>
      </c>
      <c r="K16" s="323">
        <f>+('[2]2월누계'!$AO$10+'[2]2월누계'!$AO$19)/1000</f>
        <v>15461.543269000002</v>
      </c>
      <c r="L16" s="299">
        <f>+K16-J16</f>
        <v>-5844.1078527600839</v>
      </c>
      <c r="M16" s="300">
        <f>+('[3]2월누계'!$AO$10+'[3]2월누계'!$AO$19)/1000</f>
        <v>13803.102256999999</v>
      </c>
      <c r="N16" s="301">
        <f>+K16-M16</f>
        <v>1658.441012000003</v>
      </c>
      <c r="O16" s="87"/>
      <c r="P16" s="90"/>
      <c r="Q16" s="101" t="s">
        <v>58</v>
      </c>
      <c r="R16" s="181"/>
      <c r="S16" s="194">
        <f>+[4]합계!$T$61</f>
        <v>100532.46493763285</v>
      </c>
      <c r="T16" s="102">
        <f>+[4]합계!$U$61</f>
        <v>99735.994266764363</v>
      </c>
      <c r="U16" s="305">
        <f>+T16-S16</f>
        <v>-796.47067086848256</v>
      </c>
      <c r="V16" s="306">
        <f>+[5]합계!$Q$85</f>
        <v>102142.72966989514</v>
      </c>
      <c r="W16" s="307">
        <f>+T16-V16</f>
        <v>-2406.7354031307768</v>
      </c>
      <c r="X16" s="92"/>
    </row>
    <row r="17" spans="2:27" ht="21.75" customHeight="1">
      <c r="C17" s="88"/>
      <c r="D17" s="93" t="s">
        <v>1</v>
      </c>
      <c r="E17" s="322">
        <f>+('[1]2월'!$AE$10+'[1]2월'!$AE$19)/1000</f>
        <v>1271.5348445839259</v>
      </c>
      <c r="F17" s="323">
        <f>+('[2]2월'!$AN$10+'[2]2월'!$AN$19)/1000</f>
        <v>1294.0505049899998</v>
      </c>
      <c r="G17" s="299">
        <f t="shared" si="0"/>
        <v>22.515660406073948</v>
      </c>
      <c r="H17" s="300">
        <f>+('[3]2월'!$AN$10+'[3]2월'!$AN$19)/1000</f>
        <v>1171.5759620000001</v>
      </c>
      <c r="I17" s="301">
        <f t="shared" si="1"/>
        <v>122.47454298999969</v>
      </c>
      <c r="J17" s="322">
        <f>+('[1]2월누계'!$AE$10+'[1]2월누계'!$AE$19)/1000</f>
        <v>2787.1378387589189</v>
      </c>
      <c r="K17" s="323">
        <f>+('[2]2월누계'!$AN$10+'[2]2월누계'!$AN$19)/1000</f>
        <v>2576.3160469999998</v>
      </c>
      <c r="L17" s="299">
        <f t="shared" ref="L17:L20" si="8">+K17-J17</f>
        <v>-210.82179175891906</v>
      </c>
      <c r="M17" s="300">
        <f>+('[3]2월누계'!$AN$10+'[3]2월누계'!$AN$19)/1000</f>
        <v>2664.8506579999998</v>
      </c>
      <c r="N17" s="301">
        <f t="shared" ref="N17:N20" si="9">+K17-M17</f>
        <v>-88.534611000000041</v>
      </c>
      <c r="O17" s="87"/>
      <c r="P17" s="90"/>
      <c r="Q17" s="173" t="s">
        <v>60</v>
      </c>
      <c r="R17" s="182" t="s">
        <v>16</v>
      </c>
      <c r="S17" s="195">
        <f>+[4]수도권!$Q$90</f>
        <v>15726.819417439809</v>
      </c>
      <c r="T17" s="106">
        <f>+[4]수도권!$R$90</f>
        <v>14691.291898297059</v>
      </c>
      <c r="U17" s="308">
        <f t="shared" si="4"/>
        <v>-1035.52751914275</v>
      </c>
      <c r="V17" s="309">
        <f>+[5]수도권!$Q$90</f>
        <v>19293.329746845411</v>
      </c>
      <c r="W17" s="310">
        <f t="shared" si="5"/>
        <v>-4602.0378485483525</v>
      </c>
      <c r="X17" s="92"/>
    </row>
    <row r="18" spans="2:27" ht="21.75" customHeight="1">
      <c r="C18" s="88"/>
      <c r="D18" s="103" t="s">
        <v>4</v>
      </c>
      <c r="E18" s="329">
        <f>+('[1]2월'!$E$10+'[1]2월'!$E$19)/1000-E15-E16-E17</f>
        <v>28.444279000003462</v>
      </c>
      <c r="F18" s="330">
        <f>+('[2]2월'!$F$10+'[2]2월'!$F$19)/1000-F15-F16-F17</f>
        <v>28.233255000004192</v>
      </c>
      <c r="G18" s="302">
        <f t="shared" si="0"/>
        <v>-0.21102399999927002</v>
      </c>
      <c r="H18" s="303">
        <f>+('[3]2월'!$F$10+'[3]2월'!$F$19)/1000-H15-H16-H17</f>
        <v>28.428296000004366</v>
      </c>
      <c r="I18" s="304">
        <f t="shared" si="1"/>
        <v>-0.19504100000017388</v>
      </c>
      <c r="J18" s="329">
        <f>+('[1]2월누계'!$E$10+'[1]2월누계'!$E$19)/1000-J15-J16-J17</f>
        <v>56.888557999993736</v>
      </c>
      <c r="K18" s="330">
        <f>+('[2]2월누계'!$F$10+'[2]2월누계'!$F$19)/1000-K15-K16-K17</f>
        <v>359.42361200000641</v>
      </c>
      <c r="L18" s="302">
        <f t="shared" si="8"/>
        <v>302.53505400001268</v>
      </c>
      <c r="M18" s="303">
        <f>+('[3]2월누계'!$F$10+'[3]2월누계'!$F$19)/1000-M15-M16-M17</f>
        <v>56.940113999993173</v>
      </c>
      <c r="N18" s="304">
        <f t="shared" si="9"/>
        <v>302.48349800001324</v>
      </c>
      <c r="O18" s="87"/>
      <c r="P18" s="90"/>
      <c r="Q18" s="174"/>
      <c r="R18" s="183" t="s">
        <v>17</v>
      </c>
      <c r="S18" s="196">
        <f>+[4]영남권!$Q$90</f>
        <v>20935.91421620491</v>
      </c>
      <c r="T18" s="107">
        <f>+[4]영남권!$R$90</f>
        <v>20101.873040341947</v>
      </c>
      <c r="U18" s="311">
        <f t="shared" si="4"/>
        <v>-834.04117586296343</v>
      </c>
      <c r="V18" s="312">
        <f>+[5]영남권!$Q$90</f>
        <v>22654.141476179604</v>
      </c>
      <c r="W18" s="313">
        <f t="shared" si="5"/>
        <v>-2552.2684358376573</v>
      </c>
      <c r="X18" s="92"/>
    </row>
    <row r="19" spans="2:27" ht="21.75" customHeight="1">
      <c r="C19" s="88" t="s">
        <v>8</v>
      </c>
      <c r="D19" s="108"/>
      <c r="E19" s="322">
        <f>SUM(E15:E18)</f>
        <v>32922.074779201699</v>
      </c>
      <c r="F19" s="323">
        <f>SUM(F15:F18)</f>
        <v>28909.085045989999</v>
      </c>
      <c r="G19" s="299">
        <f t="shared" si="0"/>
        <v>-4012.9897332116998</v>
      </c>
      <c r="H19" s="300">
        <f>SUM(H15:H18)</f>
        <v>27655.245964000005</v>
      </c>
      <c r="I19" s="301">
        <f t="shared" si="1"/>
        <v>1253.8390819899942</v>
      </c>
      <c r="J19" s="322">
        <f>SUM(J15:J18)</f>
        <v>64307.993789106251</v>
      </c>
      <c r="K19" s="323">
        <f>SUM(K15:K18)</f>
        <v>55097.475533999997</v>
      </c>
      <c r="L19" s="299">
        <f t="shared" si="8"/>
        <v>-9210.5182551062535</v>
      </c>
      <c r="M19" s="300">
        <f>SUM(M15:M18)</f>
        <v>61267.089615999997</v>
      </c>
      <c r="N19" s="301">
        <f t="shared" si="9"/>
        <v>-6169.6140820000001</v>
      </c>
      <c r="O19" s="87"/>
      <c r="P19" s="90"/>
      <c r="Q19" s="174"/>
      <c r="R19" s="184" t="s">
        <v>105</v>
      </c>
      <c r="S19" s="197">
        <f>+[4]중부권!$Q$90</f>
        <v>27516.457337698084</v>
      </c>
      <c r="T19" s="109">
        <f>+[4]중부권!$R$90</f>
        <v>22532.493814532485</v>
      </c>
      <c r="U19" s="314">
        <f t="shared" si="4"/>
        <v>-4983.9635231655993</v>
      </c>
      <c r="V19" s="315">
        <f>+[5]중부권!$Q$90</f>
        <v>26459.748343270126</v>
      </c>
      <c r="W19" s="316">
        <f t="shared" si="5"/>
        <v>-3927.2545287376415</v>
      </c>
      <c r="X19" s="92"/>
    </row>
    <row r="20" spans="2:27" ht="21.75" customHeight="1">
      <c r="C20" s="96" t="s">
        <v>15</v>
      </c>
      <c r="D20" s="97" t="s">
        <v>40</v>
      </c>
      <c r="E20" s="324">
        <f t="shared" ref="E20:F23" si="10">+E10-E15</f>
        <v>2063.2427027193989</v>
      </c>
      <c r="F20" s="325">
        <f t="shared" si="10"/>
        <v>1563.300522000005</v>
      </c>
      <c r="G20" s="326">
        <f t="shared" si="0"/>
        <v>-499.94218071939395</v>
      </c>
      <c r="H20" s="327">
        <f>+H10-H15</f>
        <v>2358.8781809999964</v>
      </c>
      <c r="I20" s="328">
        <f t="shared" si="1"/>
        <v>-795.5776589999914</v>
      </c>
      <c r="J20" s="324">
        <f t="shared" ref="J20:K20" si="11">+J10-J15</f>
        <v>3478.4463528650376</v>
      </c>
      <c r="K20" s="325">
        <f t="shared" si="11"/>
        <v>2296.9671970000054</v>
      </c>
      <c r="L20" s="326">
        <f t="shared" si="8"/>
        <v>-1181.4791558650322</v>
      </c>
      <c r="M20" s="327">
        <f>+M10-M15</f>
        <v>5354.9918859999889</v>
      </c>
      <c r="N20" s="328">
        <f t="shared" si="9"/>
        <v>-3058.0246889999835</v>
      </c>
      <c r="O20" s="87"/>
      <c r="P20" s="90"/>
      <c r="Q20" s="175" t="s">
        <v>58</v>
      </c>
      <c r="R20" s="185"/>
      <c r="S20" s="198">
        <f>+[4]합계!$Q$90</f>
        <v>20161.845112419585</v>
      </c>
      <c r="T20" s="110">
        <f>+[4]합계!$R$90</f>
        <v>18672.912063707292</v>
      </c>
      <c r="U20" s="317">
        <f t="shared" si="4"/>
        <v>-1488.9330487122934</v>
      </c>
      <c r="V20" s="318">
        <f>+[5]합계!$Q$90</f>
        <v>21876.256105303211</v>
      </c>
      <c r="W20" s="319">
        <f t="shared" si="5"/>
        <v>-3203.3440415959194</v>
      </c>
      <c r="X20" s="92"/>
    </row>
    <row r="21" spans="2:27" ht="21.75" customHeight="1">
      <c r="C21" s="88"/>
      <c r="D21" s="93" t="s">
        <v>3</v>
      </c>
      <c r="E21" s="322">
        <f t="shared" si="10"/>
        <v>301.47672551918731</v>
      </c>
      <c r="F21" s="323">
        <f t="shared" si="10"/>
        <v>149.66104299999915</v>
      </c>
      <c r="G21" s="299">
        <f>+F21-E21</f>
        <v>-151.81568251918816</v>
      </c>
      <c r="H21" s="300">
        <f>+H11-H16</f>
        <v>173.08067800000026</v>
      </c>
      <c r="I21" s="301">
        <f>+F21-H21</f>
        <v>-23.419635000001108</v>
      </c>
      <c r="J21" s="322">
        <f t="shared" ref="J21:K21" si="12">+J11-J16</f>
        <v>591.6172333084105</v>
      </c>
      <c r="K21" s="323">
        <f t="shared" si="12"/>
        <v>295.57153499999913</v>
      </c>
      <c r="L21" s="299">
        <f>+K21-J21</f>
        <v>-296.04569830841137</v>
      </c>
      <c r="M21" s="300">
        <f>+M11-M16</f>
        <v>370.51288500000192</v>
      </c>
      <c r="N21" s="301">
        <f>+K21-M21</f>
        <v>-74.941350000002785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>
      <c r="C22" s="88"/>
      <c r="D22" s="93" t="s">
        <v>1</v>
      </c>
      <c r="E22" s="322">
        <f t="shared" si="10"/>
        <v>323.35448028751307</v>
      </c>
      <c r="F22" s="323">
        <f t="shared" si="10"/>
        <v>-51.46700498999985</v>
      </c>
      <c r="G22" s="299">
        <f t="shared" si="0"/>
        <v>-374.82148527751292</v>
      </c>
      <c r="H22" s="300">
        <f>+H12-H17</f>
        <v>125.51053799999977</v>
      </c>
      <c r="I22" s="301">
        <f t="shared" si="1"/>
        <v>-176.97754298999962</v>
      </c>
      <c r="J22" s="322">
        <f t="shared" ref="J22:K22" si="13">+J12-J17</f>
        <v>447.94592750211496</v>
      </c>
      <c r="K22" s="323">
        <f t="shared" si="13"/>
        <v>-281.98454700000002</v>
      </c>
      <c r="L22" s="299">
        <f t="shared" ref="L22:L25" si="14">+K22-J22</f>
        <v>-729.93047450211498</v>
      </c>
      <c r="M22" s="300">
        <f>+M12-M17</f>
        <v>351.75584200000003</v>
      </c>
      <c r="N22" s="301">
        <f t="shared" ref="N22:N25" si="15">+K22-M22</f>
        <v>-633.74038900000005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>
      <c r="C23" s="88"/>
      <c r="D23" s="103" t="s">
        <v>4</v>
      </c>
      <c r="E23" s="329">
        <f t="shared" si="10"/>
        <v>138.25722099999439</v>
      </c>
      <c r="F23" s="330">
        <f t="shared" si="10"/>
        <v>136.28611299999761</v>
      </c>
      <c r="G23" s="302">
        <f t="shared" si="0"/>
        <v>-1.9711079999967751</v>
      </c>
      <c r="H23" s="303">
        <f>+H13-H18</f>
        <v>136.09686299999589</v>
      </c>
      <c r="I23" s="304">
        <f t="shared" si="1"/>
        <v>0.18925000000172076</v>
      </c>
      <c r="J23" s="329">
        <f t="shared" ref="J23:K23" si="16">+J13-J18</f>
        <v>276.51444200001379</v>
      </c>
      <c r="K23" s="330">
        <f t="shared" si="16"/>
        <v>-27.651645000009012</v>
      </c>
      <c r="L23" s="302">
        <f t="shared" si="14"/>
        <v>-304.1660870000228</v>
      </c>
      <c r="M23" s="303">
        <f>+M13-M18</f>
        <v>272.06055600001173</v>
      </c>
      <c r="N23" s="304">
        <f t="shared" si="15"/>
        <v>-299.71220100002074</v>
      </c>
      <c r="O23" s="87"/>
      <c r="P23" s="90"/>
      <c r="Q23" s="147" t="s">
        <v>86</v>
      </c>
      <c r="R23" s="148"/>
      <c r="S23" s="207">
        <f>+'[6]2월'!$F$10</f>
        <v>872058.82352941169</v>
      </c>
      <c r="T23" s="213">
        <f>+'[6]2월'!$G$10</f>
        <v>744684.72993482568</v>
      </c>
      <c r="U23" s="210">
        <f>+T23-S23</f>
        <v>-127374.09359458601</v>
      </c>
      <c r="V23" s="189">
        <f>+'[6]2월'!$G$10</f>
        <v>744684.72993482568</v>
      </c>
      <c r="W23" s="186">
        <f>+T23-V23</f>
        <v>0</v>
      </c>
      <c r="X23" s="92"/>
    </row>
    <row r="24" spans="2:27" ht="21.75" customHeight="1">
      <c r="C24" s="104" t="s">
        <v>8</v>
      </c>
      <c r="D24" s="105"/>
      <c r="E24" s="329">
        <f>SUM(E20:E23)</f>
        <v>2826.3311295260937</v>
      </c>
      <c r="F24" s="330">
        <f>SUM(F20:F23)</f>
        <v>1797.7806730100019</v>
      </c>
      <c r="G24" s="302">
        <f t="shared" si="0"/>
        <v>-1028.5504565160918</v>
      </c>
      <c r="H24" s="303">
        <f>SUM(H20:H23)</f>
        <v>2793.5662599999923</v>
      </c>
      <c r="I24" s="304">
        <f t="shared" si="1"/>
        <v>-995.78558698999041</v>
      </c>
      <c r="J24" s="329">
        <f>SUM(J20:J23)</f>
        <v>4794.5239556755769</v>
      </c>
      <c r="K24" s="330">
        <f>SUM(K20:K23)</f>
        <v>2282.9025399999955</v>
      </c>
      <c r="L24" s="302">
        <f t="shared" si="14"/>
        <v>-2511.6214156755814</v>
      </c>
      <c r="M24" s="303">
        <f>SUM(M20:M23)</f>
        <v>6349.3211690000026</v>
      </c>
      <c r="N24" s="304">
        <f t="shared" si="15"/>
        <v>-4066.4186290000071</v>
      </c>
      <c r="O24" s="87"/>
      <c r="P24" s="90"/>
      <c r="Q24" s="149" t="s">
        <v>87</v>
      </c>
      <c r="R24" s="150"/>
      <c r="S24" s="208">
        <f>+'[6]2월'!$F$15</f>
        <v>2.3946880269814501E-2</v>
      </c>
      <c r="T24" s="214">
        <f>+'[6]2월'!$G$15</f>
        <v>1.5585145342365754E-2</v>
      </c>
      <c r="U24" s="211">
        <f>+T24-S24</f>
        <v>-8.3617349274487471E-3</v>
      </c>
      <c r="V24" s="190">
        <f>+'[6]2월'!$G$15</f>
        <v>1.5585145342365754E-2</v>
      </c>
      <c r="W24" s="187">
        <f>+T24-V24</f>
        <v>0</v>
      </c>
      <c r="X24" s="92"/>
    </row>
    <row r="25" spans="2:27" ht="21.75" customHeight="1">
      <c r="C25" s="96" t="s">
        <v>6</v>
      </c>
      <c r="D25" s="97" t="s">
        <v>40</v>
      </c>
      <c r="E25" s="324">
        <f>+('[1]2월'!$Z$13+'[1]2월'!$Z$20)/1000</f>
        <v>688.11536299999989</v>
      </c>
      <c r="F25" s="325">
        <f>+('[2]2월'!$Z$13+'[2]2월'!$Z$20)/1000</f>
        <v>621.32787399999984</v>
      </c>
      <c r="G25" s="326">
        <f t="shared" si="0"/>
        <v>-66.787489000000051</v>
      </c>
      <c r="H25" s="327">
        <f>+('[3]2월'!$Z$13+'[3]2월'!$Z$20)/1000</f>
        <v>661.97847399999989</v>
      </c>
      <c r="I25" s="328">
        <f t="shared" si="1"/>
        <v>-40.650600000000054</v>
      </c>
      <c r="J25" s="324">
        <f>+('[1]2월누계'!$Z$13+'[1]2월누계'!$Z$20)/1000</f>
        <v>1360.593926</v>
      </c>
      <c r="K25" s="325">
        <f>+('[2]2월누계'!$Z$13+'[2]2월누계'!$Z$20)/1000</f>
        <v>1331.8563079999999</v>
      </c>
      <c r="L25" s="326">
        <f t="shared" si="14"/>
        <v>-28.737618000000111</v>
      </c>
      <c r="M25" s="327">
        <f>+('[3]2월누계'!$Z$13+'[3]2월누계'!$Z$20)/1000</f>
        <v>1333.5028889999999</v>
      </c>
      <c r="N25" s="328">
        <f t="shared" si="15"/>
        <v>-1.6465809999999692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>
      <c r="C26" s="88"/>
      <c r="D26" s="93" t="s">
        <v>68</v>
      </c>
      <c r="E26" s="322">
        <f>+('[1]2월'!$AA$13+'[1]2월'!$AA$20)/1000</f>
        <v>129.85596799999999</v>
      </c>
      <c r="F26" s="323">
        <f>+('[2]2월'!$AO$13+'[2]2월'!$AO$20)/1000</f>
        <v>138.79933000000003</v>
      </c>
      <c r="G26" s="299">
        <f>+F26-E26</f>
        <v>8.943362000000036</v>
      </c>
      <c r="H26" s="300">
        <f>+('[3]2월'!$AO$13+'[3]2월'!$AO$20)/1000</f>
        <v>131.23599900000002</v>
      </c>
      <c r="I26" s="301">
        <f>+F26-H26</f>
        <v>7.5633310000000051</v>
      </c>
      <c r="J26" s="322">
        <f>+('[1]2월누계'!$AA$13+'[1]2월누계'!$AA$20)/1000</f>
        <v>252.63515599999999</v>
      </c>
      <c r="K26" s="323">
        <f>+('[2]2월누계'!$AO$13+'[2]2월누계'!$AO$20)/1000</f>
        <v>283.01257299999997</v>
      </c>
      <c r="L26" s="299">
        <f>+K26-J26</f>
        <v>30.37741699999998</v>
      </c>
      <c r="M26" s="300">
        <f>+('[3]2월누계'!$AO$13+'[3]2월누계'!$AO$20)/1000</f>
        <v>253.40099499999999</v>
      </c>
      <c r="N26" s="301">
        <f>+K26-M26</f>
        <v>29.61157799999998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>
      <c r="C27" s="88"/>
      <c r="D27" s="93" t="s">
        <v>1</v>
      </c>
      <c r="E27" s="322">
        <f>+('[1]2월'!$AE$13+'[1]2월'!$AE$20+'[1]2월'!$AE$22)/1000</f>
        <v>49.259851018486486</v>
      </c>
      <c r="F27" s="323">
        <f>+('[2]2월'!$AN$13+'[2]2월'!$AN$20+'[2]2월'!$AN$22)/1000</f>
        <v>46.675130187879333</v>
      </c>
      <c r="G27" s="299">
        <f t="shared" si="0"/>
        <v>-2.5847208306071536</v>
      </c>
      <c r="H27" s="300">
        <f>+('[3]2월'!$AN$13+'[3]2월'!$AN$20+'[3]2월'!$AN$22)/1000</f>
        <v>46.331172689106999</v>
      </c>
      <c r="I27" s="301">
        <f t="shared" si="1"/>
        <v>0.34395749877233328</v>
      </c>
      <c r="J27" s="322">
        <f>+('[1]2월누계'!$AE$13+'[1]2월누계'!$AE$20+'[1]2월누계'!$AE$22)/1000</f>
        <v>96.873783765449332</v>
      </c>
      <c r="K27" s="323">
        <f>+('[2]2월누계'!$AN$13+'[2]2월누계'!$AN$20+'[2]2월누계'!$AN$22)/1000</f>
        <v>96.245044140796438</v>
      </c>
      <c r="L27" s="299">
        <f t="shared" ref="L27:L31" si="17">+K27-J27</f>
        <v>-0.62873962465289424</v>
      </c>
      <c r="M27" s="300">
        <f>+('[3]2월누계'!$AN$13+'[3]2월누계'!$AN$20+'[3]2월누계'!$AN$22)/1000</f>
        <v>88.502744447372038</v>
      </c>
      <c r="N27" s="301">
        <f t="shared" ref="N27:N31" si="18">+K27-M27</f>
        <v>7.7422996934243997</v>
      </c>
      <c r="O27" s="87"/>
      <c r="P27" s="90"/>
      <c r="Q27" s="1" t="s">
        <v>89</v>
      </c>
      <c r="R27" s="176" t="s">
        <v>90</v>
      </c>
      <c r="S27" s="207">
        <f>(+'[7]서부산크라샤(당월)'!$N$66+'[7]부산모래장(당월)'!$Q$48+'[7]부산크라샤(당월)'!$N$66)/1000</f>
        <v>21.674534974167027</v>
      </c>
      <c r="T27" s="213">
        <f>(+'[7]서부산크라샤(당월)'!$O$66+'[7]부산모래장(당월)'!$R$48+'[7]부산크라샤(당월)'!$O$66)/1000</f>
        <v>24.268000000000001</v>
      </c>
      <c r="U27" s="210">
        <f>+T27-S27</f>
        <v>2.5934650258329732</v>
      </c>
      <c r="V27" s="189">
        <f>+'[7]부산모래장(당월)'!$S$85/1000</f>
        <v>31.41</v>
      </c>
      <c r="W27" s="186">
        <f>+T27-V27</f>
        <v>-7.1419999999999995</v>
      </c>
      <c r="X27" s="92"/>
    </row>
    <row r="28" spans="2:27" ht="21.75" customHeight="1">
      <c r="B28" s="85"/>
      <c r="C28" s="88"/>
      <c r="D28" s="103" t="s">
        <v>4</v>
      </c>
      <c r="E28" s="329">
        <f>+('[1]2월'!$E$13+'[1]2월'!$E$20)/1000-E25-E26-E27+('[1]2월'!$E$22/1000)</f>
        <v>1253.8520641145167</v>
      </c>
      <c r="F28" s="330">
        <f>+('[2]2월'!$F$13+'[2]2월'!$F$20)/1000-F25-F26-F27+'[2]2월'!$F$22/1000</f>
        <v>1326.348334814624</v>
      </c>
      <c r="G28" s="302">
        <f t="shared" si="0"/>
        <v>72.496270700107289</v>
      </c>
      <c r="H28" s="303">
        <f>+('[3]2월'!$F$13+'[3]2월'!$F$20)/1000-H25-H26-H27+'[3]2월'!$F$22/1000</f>
        <v>794.76419830985105</v>
      </c>
      <c r="I28" s="304">
        <f t="shared" si="1"/>
        <v>531.58413650477291</v>
      </c>
      <c r="J28" s="329">
        <f>+('[1]2월누계'!$E$13+'[1]2월누계'!$E$20)/1000-J25-J26-J27+('[1]2월누계'!$E$22/1000)</f>
        <v>3099.6460922981291</v>
      </c>
      <c r="K28" s="330">
        <f>+('[2]2월누계'!$F$13+'[2]2월누계'!$F$20)/1000-K25-K26-K27+'[2]2월누계'!$F$22/1000</f>
        <v>3471.1202868574783</v>
      </c>
      <c r="L28" s="302">
        <f t="shared" si="17"/>
        <v>371.47419455934914</v>
      </c>
      <c r="M28" s="303">
        <f>+('[3]2월누계'!$F$13+'[3]2월누계'!$F$20)/1000-M25-M26-M27+'[3]2월누계'!$F$22/1000</f>
        <v>2399.5895875537481</v>
      </c>
      <c r="N28" s="304">
        <f t="shared" si="18"/>
        <v>1071.5306993037302</v>
      </c>
      <c r="O28" s="87"/>
      <c r="P28" s="90"/>
      <c r="Q28" s="2"/>
      <c r="R28" s="177" t="s">
        <v>91</v>
      </c>
      <c r="S28" s="209">
        <f>(+'[7]서부산크라샤(당월)'!$N$59+'[7]부산모래장(당월)'!$Q$47+'[7]부산크라샤(당월)'!$N$59)/1000</f>
        <v>7</v>
      </c>
      <c r="T28" s="141">
        <f>(+'[7]서부산크라샤(당월)'!$O$59+'[7]부산모래장(당월)'!$R$47+'[7]부산크라샤(당월)'!$O$59)/1000</f>
        <v>20.719000000000001</v>
      </c>
      <c r="U28" s="212">
        <f>+T28-S28</f>
        <v>13.719000000000001</v>
      </c>
      <c r="V28" s="70">
        <f>+'[7]부산모래장(당월)'!$S$86/1000</f>
        <v>26.527000000000001</v>
      </c>
      <c r="W28" s="188">
        <f>+T28-V28</f>
        <v>-5.8079999999999998</v>
      </c>
      <c r="X28" s="92"/>
    </row>
    <row r="29" spans="2:27" ht="21.75" customHeight="1">
      <c r="C29" s="104" t="s">
        <v>8</v>
      </c>
      <c r="D29" s="105"/>
      <c r="E29" s="329">
        <f>SUM(E25:E28)</f>
        <v>2121.0832461330028</v>
      </c>
      <c r="F29" s="330">
        <f>SUM(F25:F28)</f>
        <v>2133.150669002503</v>
      </c>
      <c r="G29" s="302">
        <f t="shared" si="0"/>
        <v>12.067422869500206</v>
      </c>
      <c r="H29" s="303">
        <f>SUM(H25:H28)</f>
        <v>1634.3098439989581</v>
      </c>
      <c r="I29" s="304">
        <f t="shared" si="1"/>
        <v>498.84082500354498</v>
      </c>
      <c r="J29" s="329">
        <f>SUM(J25:J28)</f>
        <v>4809.7489580635784</v>
      </c>
      <c r="K29" s="330">
        <f>SUM(K25:K28)</f>
        <v>5182.234211998275</v>
      </c>
      <c r="L29" s="302">
        <f t="shared" si="17"/>
        <v>372.48525393469663</v>
      </c>
      <c r="M29" s="303">
        <f>SUM(M25:M28)</f>
        <v>4074.99621600112</v>
      </c>
      <c r="N29" s="304">
        <f t="shared" si="18"/>
        <v>1107.2379959971549</v>
      </c>
      <c r="O29" s="87"/>
      <c r="P29" s="90"/>
      <c r="Q29" s="726" t="s">
        <v>100</v>
      </c>
      <c r="R29" s="727"/>
      <c r="S29" s="209">
        <f>SUM(S27:S28)</f>
        <v>28.674534974167027</v>
      </c>
      <c r="T29" s="141">
        <f>SUM(T27:T28)</f>
        <v>44.987000000000002</v>
      </c>
      <c r="U29" s="212">
        <f>+T29-S29</f>
        <v>16.312465025832974</v>
      </c>
      <c r="V29" s="70">
        <f>SUM(V27:V28)</f>
        <v>57.936999999999998</v>
      </c>
      <c r="W29" s="188">
        <f>+T29-V29</f>
        <v>-12.949999999999996</v>
      </c>
      <c r="X29" s="92"/>
    </row>
    <row r="30" spans="2:27" ht="21.75" customHeight="1">
      <c r="B30" s="235"/>
      <c r="C30" s="88" t="s">
        <v>7</v>
      </c>
      <c r="D30" s="97" t="s">
        <v>40</v>
      </c>
      <c r="E30" s="324">
        <f>+E20-E25</f>
        <v>1375.1273397193991</v>
      </c>
      <c r="F30" s="331">
        <f>+F20-F25</f>
        <v>941.97264800000517</v>
      </c>
      <c r="G30" s="326">
        <f t="shared" si="0"/>
        <v>-433.1546917193939</v>
      </c>
      <c r="H30" s="327">
        <f>+H20-H25</f>
        <v>1696.8997069999964</v>
      </c>
      <c r="I30" s="328">
        <f t="shared" si="1"/>
        <v>-754.92705899999123</v>
      </c>
      <c r="J30" s="324">
        <f>+J20-J25</f>
        <v>2117.8524268650376</v>
      </c>
      <c r="K30" s="331">
        <f>+K20-K25</f>
        <v>965.1108890000055</v>
      </c>
      <c r="L30" s="326">
        <f t="shared" si="17"/>
        <v>-1152.7415378650321</v>
      </c>
      <c r="M30" s="327">
        <f>+M20-M25</f>
        <v>4021.488996999989</v>
      </c>
      <c r="N30" s="328">
        <f t="shared" si="18"/>
        <v>-3056.3781079999835</v>
      </c>
      <c r="O30" s="87"/>
      <c r="P30" s="90"/>
      <c r="Q30" s="144" t="s">
        <v>113</v>
      </c>
      <c r="X30" s="92"/>
      <c r="Z30" s="235"/>
      <c r="AA30" s="235"/>
    </row>
    <row r="31" spans="2:27" ht="21.75" customHeight="1">
      <c r="B31" s="235"/>
      <c r="C31" s="88"/>
      <c r="D31" s="111" t="s">
        <v>10</v>
      </c>
      <c r="E31" s="199">
        <f>+E30/E10</f>
        <v>6.0257447125681374E-2</v>
      </c>
      <c r="F31" s="205">
        <f>+F30/F10</f>
        <v>4.4807261348893651E-2</v>
      </c>
      <c r="G31" s="202">
        <f t="shared" si="0"/>
        <v>-1.5450185776787723E-2</v>
      </c>
      <c r="H31" s="112">
        <f>+H30/H10</f>
        <v>7.6362822253556104E-2</v>
      </c>
      <c r="I31" s="113">
        <f t="shared" si="1"/>
        <v>-3.1555560904662452E-2</v>
      </c>
      <c r="J31" s="199">
        <f>+J30/J10</f>
        <v>4.8533674350232661E-2</v>
      </c>
      <c r="K31" s="205">
        <f>+K30/K10</f>
        <v>2.4748235355482501E-2</v>
      </c>
      <c r="L31" s="202">
        <f t="shared" si="17"/>
        <v>-2.378543899475016E-2</v>
      </c>
      <c r="M31" s="112">
        <f>+M30/M10</f>
        <v>8.0273746283534064E-2</v>
      </c>
      <c r="N31" s="113">
        <f t="shared" si="18"/>
        <v>-5.5525510928051566E-2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>
      <c r="B32" s="235"/>
      <c r="C32" s="88"/>
      <c r="D32" s="93" t="s">
        <v>3</v>
      </c>
      <c r="E32" s="322">
        <f t="shared" ref="E32:F34" si="19">+E21-E26</f>
        <v>171.62075751918732</v>
      </c>
      <c r="F32" s="323">
        <f t="shared" si="19"/>
        <v>10.861712999999128</v>
      </c>
      <c r="G32" s="299">
        <f>+F32-E32</f>
        <v>-160.75904451918819</v>
      </c>
      <c r="H32" s="300">
        <f>+H21-H26</f>
        <v>41.844679000000241</v>
      </c>
      <c r="I32" s="301">
        <f>+F32-H32</f>
        <v>-30.982966000001113</v>
      </c>
      <c r="J32" s="322">
        <f t="shared" ref="J32:K32" si="20">+J21-J26</f>
        <v>338.98207730841051</v>
      </c>
      <c r="K32" s="323">
        <f t="shared" si="20"/>
        <v>12.558961999999156</v>
      </c>
      <c r="L32" s="299">
        <f>+K32-J32</f>
        <v>-326.42311530841135</v>
      </c>
      <c r="M32" s="300">
        <f>+M21-M26</f>
        <v>117.11189000000192</v>
      </c>
      <c r="N32" s="301">
        <f>+K32-M32</f>
        <v>-104.55292800000277</v>
      </c>
      <c r="O32" s="87"/>
      <c r="P32" s="90"/>
      <c r="Q32" s="728" t="s">
        <v>104</v>
      </c>
      <c r="R32" s="729"/>
      <c r="S32" s="240">
        <f>+'사업장별(당월)'!T33</f>
        <v>72.523221000000007</v>
      </c>
      <c r="T32" s="241">
        <f>+'사업장별(당월)'!U33</f>
        <v>72.530954000000008</v>
      </c>
      <c r="U32" s="242">
        <f>+T32-S32</f>
        <v>7.7330000000017662E-3</v>
      </c>
      <c r="V32" s="243">
        <f>+'사업장별(당월)'!W33</f>
        <v>71.965353000000007</v>
      </c>
      <c r="W32" s="244">
        <f>+T32-V32</f>
        <v>0.56560100000000091</v>
      </c>
      <c r="X32" s="92"/>
      <c r="Z32" s="235"/>
      <c r="AA32" s="235"/>
    </row>
    <row r="33" spans="2:31" ht="21.75" customHeight="1">
      <c r="B33" s="235"/>
      <c r="C33" s="88"/>
      <c r="D33" s="93" t="s">
        <v>1</v>
      </c>
      <c r="E33" s="322">
        <f t="shared" si="19"/>
        <v>274.0946292690266</v>
      </c>
      <c r="F33" s="323">
        <f t="shared" si="19"/>
        <v>-98.142135177879183</v>
      </c>
      <c r="G33" s="299">
        <f t="shared" si="0"/>
        <v>-372.2367644469058</v>
      </c>
      <c r="H33" s="300">
        <f>+H22-H27</f>
        <v>79.179365310892763</v>
      </c>
      <c r="I33" s="301">
        <f t="shared" si="1"/>
        <v>-177.32150048877196</v>
      </c>
      <c r="J33" s="322">
        <f t="shared" ref="J33:K33" si="21">+J22-J27</f>
        <v>351.07214373666562</v>
      </c>
      <c r="K33" s="323">
        <f t="shared" si="21"/>
        <v>-378.22959114079646</v>
      </c>
      <c r="L33" s="299">
        <f t="shared" ref="L33:L36" si="22">+K33-J33</f>
        <v>-729.30173487746208</v>
      </c>
      <c r="M33" s="300">
        <f>+M22-M27</f>
        <v>263.25309755262799</v>
      </c>
      <c r="N33" s="301">
        <f t="shared" ref="N33:N36" si="23">+K33-M33</f>
        <v>-641.48268869342451</v>
      </c>
      <c r="O33" s="87"/>
      <c r="P33" s="90"/>
      <c r="Q33" s="730" t="s">
        <v>44</v>
      </c>
      <c r="R33" s="731"/>
      <c r="S33" s="169">
        <f>+'사업장별(당월)'!T34</f>
        <v>63.963999999999999</v>
      </c>
      <c r="T33" s="250">
        <f>+'사업장별(당월)'!U34</f>
        <v>61.899625</v>
      </c>
      <c r="U33" s="170">
        <f>+T33-S33</f>
        <v>-2.0643749999999983</v>
      </c>
      <c r="V33" s="251">
        <f>+'사업장별(당월)'!W34</f>
        <v>61.893705000000004</v>
      </c>
      <c r="W33" s="172">
        <f>+T33-V33</f>
        <v>5.9199999999961506E-3</v>
      </c>
      <c r="X33" s="92"/>
      <c r="Z33" s="235"/>
      <c r="AA33" s="235"/>
    </row>
    <row r="34" spans="2:31" ht="21.75" customHeight="1">
      <c r="B34" s="235"/>
      <c r="C34" s="88"/>
      <c r="D34" s="103" t="s">
        <v>4</v>
      </c>
      <c r="E34" s="329">
        <f t="shared" si="19"/>
        <v>-1115.5948431145223</v>
      </c>
      <c r="F34" s="330">
        <f t="shared" si="19"/>
        <v>-1190.0622218146264</v>
      </c>
      <c r="G34" s="302">
        <f t="shared" si="0"/>
        <v>-74.467378700104064</v>
      </c>
      <c r="H34" s="303">
        <f>+H23-H28</f>
        <v>-658.66733530985516</v>
      </c>
      <c r="I34" s="304">
        <f t="shared" si="1"/>
        <v>-531.39488650477119</v>
      </c>
      <c r="J34" s="329">
        <f t="shared" ref="J34:K34" si="24">+J23-J28</f>
        <v>-2823.1316502981153</v>
      </c>
      <c r="K34" s="330">
        <f t="shared" si="24"/>
        <v>-3498.7719318574873</v>
      </c>
      <c r="L34" s="302">
        <f t="shared" si="22"/>
        <v>-675.64028155937194</v>
      </c>
      <c r="M34" s="303">
        <f>+M23-M28</f>
        <v>-2127.5290315537363</v>
      </c>
      <c r="N34" s="304">
        <f t="shared" si="23"/>
        <v>-1371.242900303751</v>
      </c>
      <c r="O34" s="87"/>
      <c r="P34" s="90"/>
      <c r="Q34" s="262" t="s">
        <v>29</v>
      </c>
      <c r="R34" s="263"/>
      <c r="S34" s="257">
        <f>+'사업장별(당월)'!T35</f>
        <v>-1202.7748231145167</v>
      </c>
      <c r="T34" s="258">
        <f>+'사업장별(당월)'!U35</f>
        <v>-1276.8971018146242</v>
      </c>
      <c r="U34" s="259">
        <f>+T34-S34</f>
        <v>-74.122278700107472</v>
      </c>
      <c r="V34" s="260">
        <f>+'사업장별(당월)'!W35</f>
        <v>-1053.3169703098511</v>
      </c>
      <c r="W34" s="261">
        <f>+T34-V34</f>
        <v>-223.58013150477314</v>
      </c>
      <c r="X34" s="92"/>
      <c r="Z34" s="235"/>
      <c r="AA34" s="235"/>
    </row>
    <row r="35" spans="2:31" ht="21.75" customHeight="1">
      <c r="B35" s="235"/>
      <c r="C35" s="88" t="s">
        <v>8</v>
      </c>
      <c r="D35" s="108"/>
      <c r="E35" s="322">
        <f>SUM(E30,E32:E34)</f>
        <v>705.24788339309066</v>
      </c>
      <c r="F35" s="332">
        <f>SUM(F30,F32:F34)</f>
        <v>-335.36999599250123</v>
      </c>
      <c r="G35" s="299">
        <f t="shared" si="0"/>
        <v>-1040.617879385592</v>
      </c>
      <c r="H35" s="300">
        <f>SUM(H30,H32:H34)</f>
        <v>1159.2564160010343</v>
      </c>
      <c r="I35" s="301">
        <f t="shared" si="1"/>
        <v>-1494.6264119935354</v>
      </c>
      <c r="J35" s="322">
        <f>SUM(J30,J32:J34)</f>
        <v>-15.225002388001485</v>
      </c>
      <c r="K35" s="332">
        <f>SUM(K30,K32:K34)</f>
        <v>-2899.331671998279</v>
      </c>
      <c r="L35" s="299">
        <f t="shared" si="22"/>
        <v>-2884.1066696102775</v>
      </c>
      <c r="M35" s="300">
        <f>SUM(M30,M32:M34)</f>
        <v>2274.3249529988821</v>
      </c>
      <c r="N35" s="301">
        <f t="shared" si="23"/>
        <v>-5173.6566249971611</v>
      </c>
      <c r="O35" s="87"/>
      <c r="P35" s="90"/>
      <c r="Q35" s="264" t="s">
        <v>103</v>
      </c>
      <c r="R35" s="265"/>
      <c r="S35" s="252">
        <f>+S36-S32-S33-S34</f>
        <v>-49.307241000000886</v>
      </c>
      <c r="T35" s="253">
        <f>+T36-T32-T33-T34</f>
        <v>-47.595698999994738</v>
      </c>
      <c r="U35" s="254">
        <f>+T35-S35</f>
        <v>1.7115420000061476</v>
      </c>
      <c r="V35" s="255">
        <f>+V36-V32-V33-V34</f>
        <v>260.79057699999328</v>
      </c>
      <c r="W35" s="256">
        <f>+T35-V35</f>
        <v>-308.38627599998802</v>
      </c>
      <c r="X35" s="92"/>
      <c r="Z35" s="235"/>
      <c r="AA35" s="235"/>
      <c r="AD35" s="86"/>
      <c r="AE35" s="235"/>
    </row>
    <row r="36" spans="2:31" ht="21.75" customHeight="1" thickBot="1">
      <c r="C36" s="114"/>
      <c r="D36" s="115" t="s">
        <v>9</v>
      </c>
      <c r="E36" s="200">
        <f>+E35/E14</f>
        <v>1.9728093196483144E-2</v>
      </c>
      <c r="F36" s="206">
        <f>+F35/F14</f>
        <v>-1.0921661593908285E-2</v>
      </c>
      <c r="G36" s="203">
        <f t="shared" si="0"/>
        <v>-3.0649754790391427E-2</v>
      </c>
      <c r="H36" s="116">
        <f>+H35/H14</f>
        <v>3.8072303361879549E-2</v>
      </c>
      <c r="I36" s="117">
        <f t="shared" si="1"/>
        <v>-4.8993964955787832E-2</v>
      </c>
      <c r="J36" s="200">
        <f>+J35/J14</f>
        <v>-2.2032485768799906E-4</v>
      </c>
      <c r="K36" s="206">
        <f>+K35/K14</f>
        <v>-5.0528277597947972E-2</v>
      </c>
      <c r="L36" s="203">
        <f t="shared" si="22"/>
        <v>-5.0307952740259974E-2</v>
      </c>
      <c r="M36" s="116">
        <f>+M35/M14</f>
        <v>3.3635694746214147E-2</v>
      </c>
      <c r="N36" s="117">
        <f t="shared" si="23"/>
        <v>-8.4163972344162119E-2</v>
      </c>
      <c r="O36" s="87"/>
      <c r="P36" s="118"/>
      <c r="Q36" s="718" t="s">
        <v>102</v>
      </c>
      <c r="R36" s="719"/>
      <c r="S36" s="245">
        <f>+'사업장별(당월)'!T41</f>
        <v>-1115.5948431145177</v>
      </c>
      <c r="T36" s="246">
        <f>+'사업장별(당월)'!U41</f>
        <v>-1190.0622218146189</v>
      </c>
      <c r="U36" s="247">
        <f>+T36-S36</f>
        <v>-74.467378700101108</v>
      </c>
      <c r="V36" s="248">
        <f>+'사업장별(당월)'!W41</f>
        <v>-658.66733530985778</v>
      </c>
      <c r="W36" s="249">
        <f>+T36-V36</f>
        <v>-531.39488650476108</v>
      </c>
      <c r="X36" s="119"/>
      <c r="AA36" s="235"/>
    </row>
    <row r="37" spans="2:31" ht="20.100000000000001" customHeight="1" thickTop="1">
      <c r="F37" s="235"/>
    </row>
    <row r="38" spans="2:31">
      <c r="E38" s="86">
        <f>+'[1]2월'!$E$26/1000</f>
        <v>705.24788339309418</v>
      </c>
      <c r="F38" s="227">
        <f>+'[2]2월'!$F$26/1000</f>
        <v>-335.36999599249896</v>
      </c>
      <c r="H38" s="227">
        <f>+'[3]2월'!$F$26/1000</f>
        <v>1159.256416001034</v>
      </c>
      <c r="J38" s="237">
        <f>+'[1]2월누계'!$E$26/1000</f>
        <v>-15.225002388007008</v>
      </c>
      <c r="K38" s="237">
        <f>+'[2]2월누계'!$F$26/1000</f>
        <v>-2899.331671998279</v>
      </c>
      <c r="L38" s="238"/>
      <c r="M38" s="237">
        <f>+'[3]2월누계'!$F$26/1000</f>
        <v>2274.3249529988816</v>
      </c>
      <c r="N38" s="238"/>
      <c r="O38" s="238"/>
    </row>
    <row r="39" spans="2:31">
      <c r="E39" t="b">
        <f>+E35=E38</f>
        <v>0</v>
      </c>
      <c r="F39" t="b">
        <f>+F35=F38</f>
        <v>0</v>
      </c>
      <c r="H39" t="b">
        <f>+H35=H38</f>
        <v>1</v>
      </c>
      <c r="J39" t="b">
        <f>+J35=J38</f>
        <v>0</v>
      </c>
      <c r="K39" t="b">
        <f>+K35=K38</f>
        <v>1</v>
      </c>
      <c r="M39" t="b">
        <f>+M35=M38</f>
        <v>1</v>
      </c>
    </row>
    <row r="40" spans="2:31">
      <c r="E40" s="239">
        <f>+E35-E38</f>
        <v>-3.5242919693700969E-12</v>
      </c>
      <c r="F40" s="239">
        <f>+F35-F38</f>
        <v>-2.2737367544323206E-12</v>
      </c>
      <c r="G40" s="236"/>
      <c r="H40" s="239">
        <f>+H35-H38</f>
        <v>0</v>
      </c>
      <c r="I40" s="236"/>
      <c r="J40" s="239">
        <f>+J35-J38</f>
        <v>5.5226934136953787E-12</v>
      </c>
      <c r="K40" s="239">
        <f>+K35-K38</f>
        <v>0</v>
      </c>
      <c r="L40" s="236"/>
      <c r="M40" s="239">
        <f>+M35-M38</f>
        <v>0</v>
      </c>
      <c r="N40" s="236"/>
      <c r="O40" s="86"/>
      <c r="P40" s="86"/>
    </row>
    <row r="42" spans="2:31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8"/>
  <sheetViews>
    <sheetView showGridLines="0" showZeros="0" view="pageBreakPreview" topLeftCell="E22" zoomScale="85" zoomScaleNormal="85" zoomScaleSheetLayoutView="85" workbookViewId="0">
      <selection activeCell="T40" sqref="T40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>
      <c r="H1" s="4"/>
      <c r="K1" s="6"/>
      <c r="L1" s="6"/>
      <c r="P1" s="6"/>
      <c r="Q1" s="6"/>
    </row>
    <row r="2" spans="1:36" ht="18" customHeight="1">
      <c r="H2" s="7"/>
      <c r="AD2" s="5"/>
      <c r="AG2" s="5"/>
    </row>
    <row r="3" spans="1:36" ht="26.25">
      <c r="H3" s="4" t="s">
        <v>214</v>
      </c>
      <c r="AD3" s="5"/>
      <c r="AG3" s="5"/>
    </row>
    <row r="4" spans="1:36" ht="18" customHeight="1">
      <c r="H4" s="7"/>
      <c r="AD4" s="5"/>
      <c r="AG4" s="5" t="s">
        <v>77</v>
      </c>
    </row>
    <row r="5" spans="1:36" s="8" customFormat="1" ht="19.5" customHeight="1">
      <c r="G5" s="334"/>
      <c r="H5" s="732" t="s">
        <v>35</v>
      </c>
      <c r="I5" s="733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>
      <c r="A6" s="8" t="s">
        <v>212</v>
      </c>
      <c r="G6" s="334"/>
      <c r="H6" s="734"/>
      <c r="I6" s="735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+IFERROR(HLOOKUP($B7,'[1]2월'!$D$6:$BN$259,2,),)/1000</f>
        <v>32</v>
      </c>
      <c r="K7" s="36">
        <f>+IFERROR(HLOOKUP($B7,'[2]2월'!$F$6:$CP$99,2,),)/1000</f>
        <v>34.905000000000001</v>
      </c>
      <c r="L7" s="37">
        <f t="shared" ref="L7:L26" si="0">+K7-J7</f>
        <v>2.9050000000000011</v>
      </c>
      <c r="M7" s="38">
        <f>+IFERROR(HLOOKUP($B7,'[3]2월'!$F$6:$CC$57,2,),)/1000</f>
        <v>37.712000000000003</v>
      </c>
      <c r="N7" s="39">
        <f>+K7-M7</f>
        <v>-2.8070000000000022</v>
      </c>
      <c r="O7" s="35">
        <f>+IFERROR(HLOOKUP($B7,'[1]2월'!$D$6:$BN$259,3,),)/1000</f>
        <v>3151.7741000000001</v>
      </c>
      <c r="P7" s="36">
        <f>+IFERROR(HLOOKUP($B7,'[2]2월'!$F$6:$CP$99,3,),)/1000</f>
        <v>3382.0325330000005</v>
      </c>
      <c r="Q7" s="37">
        <f>+P7-O7</f>
        <v>230.25843300000042</v>
      </c>
      <c r="R7" s="38">
        <f>+IFERROR(HLOOKUP($B7,'[3]2월'!$F$6:$CC$57,3,),)/1000</f>
        <v>3774.2080000000001</v>
      </c>
      <c r="S7" s="39">
        <f>+P7-R7</f>
        <v>-392.17546699999957</v>
      </c>
      <c r="T7" s="35">
        <f>+IFERROR(HLOOKUP($B7,'[1]2월'!$D$6:$BN$259,16,),)/1000</f>
        <v>171.79785562308936</v>
      </c>
      <c r="U7" s="36">
        <f>+IFERROR(HLOOKUP($B7,'[2]2월'!$F$6:$CP$99,16,),)/1000</f>
        <v>265.58445900000044</v>
      </c>
      <c r="V7" s="40">
        <f>+U7-T7</f>
        <v>93.786603376911074</v>
      </c>
      <c r="W7" s="41">
        <f>+IFERROR(HLOOKUP($B7,'[3]2월'!$F$6:$CC$57,16,),)/1000</f>
        <v>451.3056499999999</v>
      </c>
      <c r="X7" s="39">
        <f>+U7-W7</f>
        <v>-185.72119099999946</v>
      </c>
      <c r="Y7" s="35">
        <f>+[4]안양!$Q$85</f>
        <v>98492.940625000003</v>
      </c>
      <c r="Z7" s="36">
        <f>+[4]안양!$R$85</f>
        <v>96859.207213209738</v>
      </c>
      <c r="AA7" s="42">
        <f>+[5]안양!$Q$85</f>
        <v>100079.76240984302</v>
      </c>
      <c r="AB7" s="43">
        <f>+[4]안양!$Q$89</f>
        <v>83104.865348047548</v>
      </c>
      <c r="AC7" s="36">
        <f>+[4]안양!$R$89</f>
        <v>80767.793482039386</v>
      </c>
      <c r="AD7" s="44">
        <f>+[5]안양!$Q$89</f>
        <v>79851.286653587144</v>
      </c>
      <c r="AE7" s="43">
        <f>+Y7-AB7</f>
        <v>15388.075276952455</v>
      </c>
      <c r="AF7" s="36">
        <f>+Z7-AC7</f>
        <v>16091.413731170353</v>
      </c>
      <c r="AG7" s="44">
        <f>+AA7-AD7</f>
        <v>20228.475756255881</v>
      </c>
      <c r="AH7" s="17"/>
      <c r="AI7" s="18"/>
    </row>
    <row r="8" spans="1:36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+IFERROR(HLOOKUP($B8,'[1]2월'!$D$6:$BN$259,2,),)/1000</f>
        <v>25</v>
      </c>
      <c r="K8" s="46">
        <f>+IFERROR(HLOOKUP($B8,'[2]2월'!$F$6:$CP$99,2,),)/1000</f>
        <v>21.484999999999999</v>
      </c>
      <c r="L8" s="47">
        <f t="shared" si="0"/>
        <v>-3.5150000000000006</v>
      </c>
      <c r="M8" s="48">
        <f>+IFERROR(HLOOKUP($B8,'[3]2월'!$F$6:$CC$57,2,),)/1000</f>
        <v>23.5</v>
      </c>
      <c r="N8" s="49">
        <f t="shared" ref="N8:N26" si="2">+K8-M8</f>
        <v>-2.0150000000000006</v>
      </c>
      <c r="O8" s="45">
        <f>+IFERROR(HLOOKUP($B8,'[1]2월'!$D$6:$BN$259,3,),)/1000</f>
        <v>2443.197868404749</v>
      </c>
      <c r="P8" s="46">
        <f>+IFERROR(HLOOKUP($B8,'[2]2월'!$F$6:$CP$99,3,),)/1000</f>
        <v>2095.0919100000001</v>
      </c>
      <c r="Q8" s="47">
        <f t="shared" ref="Q8:Q26" si="3">+P8-O8</f>
        <v>-348.10595840474889</v>
      </c>
      <c r="R8" s="48">
        <f>+IFERROR(HLOOKUP($B8,'[3]2월'!$F$6:$CC$57,3,),)/1000</f>
        <v>2356.7585210000002</v>
      </c>
      <c r="S8" s="49">
        <f t="shared" ref="S8:S26" si="4">+P8-R8</f>
        <v>-261.6666110000001</v>
      </c>
      <c r="T8" s="45">
        <f>+IFERROR(HLOOKUP($B8,'[1]2월'!$D$6:$BN$259,16,),)/1000</f>
        <v>70.245863889275014</v>
      </c>
      <c r="U8" s="46">
        <f>+IFERROR(HLOOKUP($B8,'[2]2월'!$F$6:$CP$99,16,),)/1000</f>
        <v>-49.380360000000167</v>
      </c>
      <c r="V8" s="47">
        <f t="shared" ref="V8:V26" si="5">+U8-T8</f>
        <v>-119.62622388927518</v>
      </c>
      <c r="W8" s="48">
        <f>+IFERROR(HLOOKUP($B8,'[3]2월'!$F$6:$CC$57,16,),)/1000</f>
        <v>137.95808200000016</v>
      </c>
      <c r="X8" s="49">
        <f t="shared" ref="X8:X26" si="6">+U8-W8</f>
        <v>-187.33844200000033</v>
      </c>
      <c r="Y8" s="45">
        <f>+[4]인천!$Q$85</f>
        <v>97727.914736189952</v>
      </c>
      <c r="Z8" s="46">
        <f>+[4]인천!$R$85</f>
        <v>97514.16848964394</v>
      </c>
      <c r="AA8" s="50">
        <f>+[5]인천!$Q$85</f>
        <v>100287.59663829788</v>
      </c>
      <c r="AB8" s="51">
        <f>+[4]인천!$Q$89</f>
        <v>83665.024721053094</v>
      </c>
      <c r="AC8" s="46">
        <f>+[4]인천!$R$89</f>
        <v>86203.914219222715</v>
      </c>
      <c r="AD8" s="52">
        <f>+[5]인천!$Q$89</f>
        <v>82090.723134518848</v>
      </c>
      <c r="AE8" s="51">
        <f t="shared" ref="AE8:AE27" si="7">+Y8-AB8</f>
        <v>14062.890015136858</v>
      </c>
      <c r="AF8" s="46">
        <f t="shared" ref="AF8:AF27" si="8">+Z8-AC8</f>
        <v>11310.254270421225</v>
      </c>
      <c r="AG8" s="52">
        <f t="shared" ref="AG8:AG27" si="9">+AA8-AD8</f>
        <v>18196.873503779032</v>
      </c>
      <c r="AH8" s="17"/>
      <c r="AI8" s="18"/>
      <c r="AJ8" s="84"/>
    </row>
    <row r="9" spans="1:36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+IFERROR(HLOOKUP($B9,'[1]2월'!$D$6:$BN$259,2,),)/1000</f>
        <v>16</v>
      </c>
      <c r="K9" s="46">
        <f>+IFERROR(HLOOKUP($B9,'[2]2월'!$F$6:$CP$99,2,),)/1000</f>
        <v>10.445</v>
      </c>
      <c r="L9" s="47">
        <f t="shared" si="0"/>
        <v>-5.5549999999999997</v>
      </c>
      <c r="M9" s="48">
        <f>+IFERROR(HLOOKUP($B9,'[3]2월'!$F$6:$CC$57,2,),)/1000</f>
        <v>18.47</v>
      </c>
      <c r="N9" s="49">
        <f t="shared" si="2"/>
        <v>-8.0249999999999986</v>
      </c>
      <c r="O9" s="45">
        <f>+IFERROR(HLOOKUP($B9,'[1]2월'!$D$6:$BN$259,3,),)/1000</f>
        <v>1545.8976548000001</v>
      </c>
      <c r="P9" s="46">
        <f>+IFERROR(HLOOKUP($B9,'[2]2월'!$F$6:$CP$99,3,),)/1000</f>
        <v>1017.4518</v>
      </c>
      <c r="Q9" s="47">
        <f t="shared" si="3"/>
        <v>-528.44585480000001</v>
      </c>
      <c r="R9" s="48">
        <f>+IFERROR(HLOOKUP($B9,'[3]2월'!$F$6:$CC$57,3,),)/1000</f>
        <v>1919.2949169999999</v>
      </c>
      <c r="S9" s="49">
        <f t="shared" si="4"/>
        <v>-901.84311699999989</v>
      </c>
      <c r="T9" s="45">
        <f>+IFERROR(HLOOKUP($B9,'[1]2월'!$D$6:$BN$259,16,),)/1000</f>
        <v>22.670791986134834</v>
      </c>
      <c r="U9" s="46">
        <f>+IFERROR(HLOOKUP($B9,'[2]2월'!$F$6:$CP$99,16,),)/1000</f>
        <v>-42.738867999999918</v>
      </c>
      <c r="V9" s="47">
        <f t="shared" si="5"/>
        <v>-65.409659986134756</v>
      </c>
      <c r="W9" s="48">
        <f>+IFERROR(HLOOKUP($B9,'[3]2월'!$F$6:$CC$57,16,),)/1000</f>
        <v>125.58787999999994</v>
      </c>
      <c r="X9" s="49">
        <f t="shared" si="6"/>
        <v>-168.32674799999987</v>
      </c>
      <c r="Y9" s="45">
        <f>+[4]파주!$Q$85</f>
        <v>96618.603425000008</v>
      </c>
      <c r="Z9" s="46">
        <f>+[4]파주!$R$85</f>
        <v>97410.416467209201</v>
      </c>
      <c r="AA9" s="50">
        <f>+[5]파주!$Q$85</f>
        <v>103935.69040902681</v>
      </c>
      <c r="AB9" s="51">
        <f>+[4]파주!$Q$89</f>
        <v>79434.414985003823</v>
      </c>
      <c r="AC9" s="46">
        <f>+[4]파주!$R$89</f>
        <v>80870.415797032081</v>
      </c>
      <c r="AD9" s="52">
        <f>+[5]파주!$Q$89</f>
        <v>84337.303199566159</v>
      </c>
      <c r="AE9" s="51">
        <f t="shared" si="7"/>
        <v>17184.188439996185</v>
      </c>
      <c r="AF9" s="46">
        <f t="shared" si="8"/>
        <v>16540.00067017712</v>
      </c>
      <c r="AG9" s="52">
        <f t="shared" si="9"/>
        <v>19598.387209460649</v>
      </c>
      <c r="AH9" s="17"/>
      <c r="AI9" s="18"/>
      <c r="AJ9" s="84"/>
    </row>
    <row r="10" spans="1:36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+IFERROR(HLOOKUP($B10,'[1]2월'!$D$6:$BN$259,2,),)/1000</f>
        <v>10</v>
      </c>
      <c r="K10" s="46">
        <f>+IFERROR(HLOOKUP($B10,'[2]2월'!$F$6:$CP$99,2,),)/1000</f>
        <v>7.4044999999999996</v>
      </c>
      <c r="L10" s="47">
        <f t="shared" si="0"/>
        <v>-2.5955000000000004</v>
      </c>
      <c r="M10" s="48">
        <f>+IFERROR(HLOOKUP($B10,'[3]2월'!$F$6:$CC$57,2,),)/1000</f>
        <v>5.8769999999999998</v>
      </c>
      <c r="N10" s="49">
        <f t="shared" si="2"/>
        <v>1.5274999999999999</v>
      </c>
      <c r="O10" s="45">
        <f>+IFERROR(HLOOKUP($B10,'[1]2월'!$D$6:$BN$259,3,),)/1000</f>
        <v>957.33513000000005</v>
      </c>
      <c r="P10" s="46">
        <f>+IFERROR(HLOOKUP($B10,'[2]2월'!$F$6:$CP$99,3,),)/1000</f>
        <v>704.99123600000007</v>
      </c>
      <c r="Q10" s="47">
        <f t="shared" si="3"/>
        <v>-252.34389399999998</v>
      </c>
      <c r="R10" s="48">
        <f>+IFERROR(HLOOKUP($B10,'[3]2월'!$F$6:$CC$57,3,),)/1000</f>
        <v>570.04139099999998</v>
      </c>
      <c r="S10" s="49">
        <f t="shared" si="4"/>
        <v>134.9498450000001</v>
      </c>
      <c r="T10" s="45">
        <f>+IFERROR(HLOOKUP($B10,'[1]2월'!$D$6:$BN$259,16,),)/1000</f>
        <v>26.81609458888693</v>
      </c>
      <c r="U10" s="46">
        <f>+IFERROR(HLOOKUP($B10,'[2]2월'!$F$6:$CP$99,16,),)/1000</f>
        <v>-46.86888000000004</v>
      </c>
      <c r="V10" s="47">
        <f t="shared" si="5"/>
        <v>-73.684974588886973</v>
      </c>
      <c r="W10" s="48">
        <f>+IFERROR(HLOOKUP($B10,'[3]2월'!$F$6:$CC$57,16,),)/1000</f>
        <v>-50.621000000000073</v>
      </c>
      <c r="X10" s="49">
        <f t="shared" si="6"/>
        <v>3.7521200000000334</v>
      </c>
      <c r="Y10" s="45">
        <f>+[4]김포!$Q$85</f>
        <v>95733.513000000006</v>
      </c>
      <c r="Z10" s="46">
        <f>+[4]김포!$R$85</f>
        <v>95239.125600270549</v>
      </c>
      <c r="AA10" s="50">
        <f>+[5]김포!$Q$85</f>
        <v>96995.302194997435</v>
      </c>
      <c r="AB10" s="51">
        <f>+[4]김포!$Q$89</f>
        <v>77094.679263333528</v>
      </c>
      <c r="AC10" s="46">
        <f>+[4]김포!$R$89</f>
        <v>79871.523300642555</v>
      </c>
      <c r="AD10" s="52">
        <f>+[5]김포!$Q$89</f>
        <v>80274.495155532888</v>
      </c>
      <c r="AE10" s="51">
        <f t="shared" si="7"/>
        <v>18638.833736666478</v>
      </c>
      <c r="AF10" s="46">
        <f t="shared" si="8"/>
        <v>15367.602299627993</v>
      </c>
      <c r="AG10" s="52">
        <f t="shared" si="9"/>
        <v>16720.807039464547</v>
      </c>
      <c r="AH10" s="17"/>
      <c r="AI10" s="18"/>
      <c r="AJ10" s="84"/>
    </row>
    <row r="11" spans="1:36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+IFERROR(HLOOKUP($B11,'[1]2월'!$D$6:$BN$259,2,),)/1000</f>
        <v>19</v>
      </c>
      <c r="K11" s="63">
        <f>+IFERROR(HLOOKUP($B11,'[2]2월'!$F$6:$CP$99,2,),)/1000</f>
        <v>16.896999999999998</v>
      </c>
      <c r="L11" s="64">
        <f t="shared" si="0"/>
        <v>-2.1030000000000015</v>
      </c>
      <c r="M11" s="65">
        <f>+IFERROR(HLOOKUP($B11,'[3]2월'!$F$6:$CC$57,2,),)/1000</f>
        <v>16.649999999999999</v>
      </c>
      <c r="N11" s="66">
        <f t="shared" si="2"/>
        <v>0.24699999999999989</v>
      </c>
      <c r="O11" s="62">
        <f>+IFERROR(HLOOKUP($B11,'[1]2월'!$D$6:$BN$259,3,),)/1000</f>
        <v>2046.2981388400001</v>
      </c>
      <c r="P11" s="63">
        <f>+IFERROR(HLOOKUP($B11,'[2]2월'!$F$6:$CP$99,3,),)/1000</f>
        <v>1794.1025</v>
      </c>
      <c r="Q11" s="64">
        <f t="shared" si="3"/>
        <v>-252.19563884000013</v>
      </c>
      <c r="R11" s="65">
        <f>+IFERROR(HLOOKUP($B11,'[3]2월'!$F$6:$CC$57,3,),)/1000</f>
        <v>1875.6438999999998</v>
      </c>
      <c r="S11" s="66">
        <f t="shared" si="4"/>
        <v>-81.54139999999984</v>
      </c>
      <c r="T11" s="62">
        <f>+IFERROR(HLOOKUP($B11,'[1]2월'!$D$6:$BN$259,16,),)/1000</f>
        <v>171.93636717168434</v>
      </c>
      <c r="U11" s="63">
        <f>+IFERROR(HLOOKUP($B11,'[2]2월'!$F$6:$CP$99,16,),)/1000</f>
        <v>133.31257800000009</v>
      </c>
      <c r="V11" s="64">
        <f t="shared" si="5"/>
        <v>-38.623789171684251</v>
      </c>
      <c r="W11" s="65">
        <f>+IFERROR(HLOOKUP($B11,'[3]2월'!$F$6:$CC$57,16,),)/1000</f>
        <v>201.44822399999995</v>
      </c>
      <c r="X11" s="66">
        <f t="shared" si="6"/>
        <v>-68.135645999999866</v>
      </c>
      <c r="Y11" s="62">
        <f>+[4]부산!$Q$85</f>
        <v>107699.90204421052</v>
      </c>
      <c r="Z11" s="63">
        <f>+[4]부산!$R$85</f>
        <v>106178.75954311417</v>
      </c>
      <c r="AA11" s="67">
        <f>+[5]부산!$Q$85</f>
        <v>112651.28528528528</v>
      </c>
      <c r="AB11" s="68">
        <f>+[4]부산!$Q$89</f>
        <v>85055.096781094951</v>
      </c>
      <c r="AC11" s="63">
        <f>+[4]부산!$R$89</f>
        <v>84408.739343777706</v>
      </c>
      <c r="AD11" s="69">
        <f>+[5]부산!$Q$89</f>
        <v>86432.204146443779</v>
      </c>
      <c r="AE11" s="68">
        <f t="shared" si="7"/>
        <v>22644.805263115573</v>
      </c>
      <c r="AF11" s="63">
        <f t="shared" si="8"/>
        <v>21770.020199336461</v>
      </c>
      <c r="AG11" s="69">
        <f t="shared" si="9"/>
        <v>26219.081138841502</v>
      </c>
      <c r="AH11" s="17"/>
      <c r="AI11" s="18"/>
      <c r="AJ11" s="84"/>
    </row>
    <row r="12" spans="1:36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+IFERROR(HLOOKUP($B12,'[1]2월'!$D$6:$BN$259,2,),)/1000</f>
        <v>19</v>
      </c>
      <c r="K12" s="46">
        <f>+IFERROR(HLOOKUP($B12,'[2]2월'!$F$6:$CP$99,2,),)/1000</f>
        <v>17.850000000000001</v>
      </c>
      <c r="L12" s="47">
        <f t="shared" si="0"/>
        <v>-1.1499999999999986</v>
      </c>
      <c r="M12" s="48">
        <f>+IFERROR(HLOOKUP($B12,'[3]2월'!$F$6:$CC$57,2,),)/1000</f>
        <v>16.841000000000001</v>
      </c>
      <c r="N12" s="49">
        <f t="shared" si="2"/>
        <v>1.0090000000000003</v>
      </c>
      <c r="O12" s="45">
        <f>+IFERROR(HLOOKUP($B12,'[1]2월'!$D$6:$BN$259,3,),)/1000</f>
        <v>1886.7073916000006</v>
      </c>
      <c r="P12" s="46">
        <f>+IFERROR(HLOOKUP($B12,'[2]2월'!$F$6:$CP$99,3,),)/1000</f>
        <v>1700.7801999999999</v>
      </c>
      <c r="Q12" s="47">
        <f t="shared" si="3"/>
        <v>-185.9271916000007</v>
      </c>
      <c r="R12" s="48">
        <f>+IFERROR(HLOOKUP($B12,'[3]2월'!$F$6:$CC$57,3,),)/1000</f>
        <v>1729.3343200000002</v>
      </c>
      <c r="S12" s="49">
        <f t="shared" si="4"/>
        <v>-28.554120000000239</v>
      </c>
      <c r="T12" s="45">
        <f>+IFERROR(HLOOKUP($B12,'[1]2월'!$D$6:$BN$259,16,),)/1000</f>
        <v>156.91558376188962</v>
      </c>
      <c r="U12" s="46">
        <f>+IFERROR(HLOOKUP($B12,'[2]2월'!$F$6:$CP$99,16,),)/1000</f>
        <v>77.502493999999857</v>
      </c>
      <c r="V12" s="47">
        <f t="shared" si="5"/>
        <v>-79.413089761889765</v>
      </c>
      <c r="W12" s="48">
        <f>+IFERROR(HLOOKUP($B12,'[3]2월'!$F$6:$CC$57,16,),)/1000</f>
        <v>118.80759900000007</v>
      </c>
      <c r="X12" s="49">
        <f t="shared" si="6"/>
        <v>-41.305105000000211</v>
      </c>
      <c r="Y12" s="45">
        <f>+[4]서부산!$Q$85</f>
        <v>99300.38903157899</v>
      </c>
      <c r="Z12" s="46">
        <f>+[4]서부산!$R$85</f>
        <v>95281.803921568629</v>
      </c>
      <c r="AA12" s="50">
        <f>+[5]서부산!$Q$85</f>
        <v>102685.96401638858</v>
      </c>
      <c r="AB12" s="51">
        <f>+[4]서부산!$Q$89</f>
        <v>78710.429669842109</v>
      </c>
      <c r="AC12" s="46">
        <f>+[4]서부산!$R$89</f>
        <v>78548.451209826875</v>
      </c>
      <c r="AD12" s="52">
        <f>+[5]서부산!$Q$89</f>
        <v>81711.866575619031</v>
      </c>
      <c r="AE12" s="51">
        <f t="shared" si="7"/>
        <v>20589.959361736881</v>
      </c>
      <c r="AF12" s="46">
        <f t="shared" si="8"/>
        <v>16733.352711741754</v>
      </c>
      <c r="AG12" s="52">
        <f t="shared" si="9"/>
        <v>20974.097440769547</v>
      </c>
      <c r="AH12" s="17"/>
      <c r="AI12" s="18"/>
      <c r="AJ12" s="84"/>
    </row>
    <row r="13" spans="1:36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+IFERROR(HLOOKUP($B13,'[1]2월'!$D$6:$BN$259,2,),)/1000</f>
        <v>12</v>
      </c>
      <c r="K13" s="46">
        <f>+IFERROR(HLOOKUP($B13,'[2]2월'!$F$6:$CP$99,2,),)/1000</f>
        <v>4.58</v>
      </c>
      <c r="L13" s="47">
        <f t="shared" si="0"/>
        <v>-7.42</v>
      </c>
      <c r="M13" s="48">
        <f>+IFERROR(HLOOKUP($B13,'[3]2월'!$F$6:$CC$57,2,),)/1000</f>
        <v>8.6389999999999993</v>
      </c>
      <c r="N13" s="49">
        <f t="shared" si="2"/>
        <v>-4.0589999999999993</v>
      </c>
      <c r="O13" s="45">
        <f>+IFERROR(HLOOKUP($B13,'[1]2월'!$D$6:$BN$259,3,),)/1000</f>
        <v>1155.6032999999998</v>
      </c>
      <c r="P13" s="46">
        <f>+IFERROR(HLOOKUP($B13,'[2]2월'!$F$6:$CP$99,3,),)/1000</f>
        <v>453.45299999999997</v>
      </c>
      <c r="Q13" s="47">
        <f t="shared" si="3"/>
        <v>-702.15029999999979</v>
      </c>
      <c r="R13" s="48">
        <f>+IFERROR(HLOOKUP($B13,'[3]2월'!$F$6:$CC$57,3,),)/1000</f>
        <v>890.1857</v>
      </c>
      <c r="S13" s="49">
        <f t="shared" si="4"/>
        <v>-436.73270000000002</v>
      </c>
      <c r="T13" s="45">
        <f>+IFERROR(HLOOKUP($B13,'[1]2월'!$D$6:$BN$259,16,),)/1000</f>
        <v>85.847827510009054</v>
      </c>
      <c r="U13" s="46">
        <f>+IFERROR(HLOOKUP($B13,'[2]2월'!$F$6:$CP$99,16,),)/1000</f>
        <v>-73.487828000000036</v>
      </c>
      <c r="V13" s="47">
        <f t="shared" si="5"/>
        <v>-159.33565551000908</v>
      </c>
      <c r="W13" s="48">
        <f>+IFERROR(HLOOKUP($B13,'[3]2월'!$F$6:$CC$57,16,),)/1000</f>
        <v>16.811885999999927</v>
      </c>
      <c r="X13" s="49">
        <f t="shared" si="6"/>
        <v>-90.299713999999966</v>
      </c>
      <c r="Y13" s="45">
        <f>+[4]김해!$Q$85</f>
        <v>96300.27499999998</v>
      </c>
      <c r="Z13" s="46">
        <f>+[4]김해!$R$85</f>
        <v>99140.018005851904</v>
      </c>
      <c r="AA13" s="50">
        <f>+[5]김해!$Q$85</f>
        <v>103042.67855075818</v>
      </c>
      <c r="AB13" s="51">
        <f>+[4]김해!$Q$89</f>
        <v>76907.115855647382</v>
      </c>
      <c r="AC13" s="46">
        <f>+[4]김해!$R$89</f>
        <v>83284.995948683325</v>
      </c>
      <c r="AD13" s="52">
        <f>+[5]김해!$Q$89</f>
        <v>83785.983678666496</v>
      </c>
      <c r="AE13" s="51">
        <f t="shared" si="7"/>
        <v>19393.159144352598</v>
      </c>
      <c r="AF13" s="46">
        <f t="shared" si="8"/>
        <v>15855.022057168579</v>
      </c>
      <c r="AG13" s="52">
        <f t="shared" si="9"/>
        <v>19256.694872091684</v>
      </c>
      <c r="AH13" s="17"/>
      <c r="AI13" s="18"/>
      <c r="AJ13" s="84"/>
    </row>
    <row r="14" spans="1:36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+IFERROR(HLOOKUP($B14,'[1]2월'!$D$6:$BN$259,2,),)/1000</f>
        <v>18</v>
      </c>
      <c r="K14" s="46">
        <f>+IFERROR(HLOOKUP($B14,'[2]2월'!$F$6:$CP$99,2,),)/1000</f>
        <v>18.366</v>
      </c>
      <c r="L14" s="47">
        <f t="shared" si="0"/>
        <v>0.36599999999999966</v>
      </c>
      <c r="M14" s="48">
        <f>+IFERROR(HLOOKUP($B14,'[3]2월'!$F$6:$CC$57,2,),)/1000</f>
        <v>14.978</v>
      </c>
      <c r="N14" s="49">
        <f t="shared" si="2"/>
        <v>3.3879999999999999</v>
      </c>
      <c r="O14" s="45">
        <f>+IFERROR(HLOOKUP($B14,'[1]2월'!$D$6:$BN$259,3,),)/1000</f>
        <v>1836.0022316</v>
      </c>
      <c r="P14" s="46">
        <f>+IFERROR(HLOOKUP($B14,'[2]2월'!$F$6:$CP$99,3,),)/1000</f>
        <v>1908.4608999999998</v>
      </c>
      <c r="Q14" s="47">
        <f t="shared" si="3"/>
        <v>72.458668399999851</v>
      </c>
      <c r="R14" s="48">
        <f>+IFERROR(HLOOKUP($B14,'[3]2월'!$F$6:$CC$57,3,),)/1000</f>
        <v>1493.4373999999998</v>
      </c>
      <c r="S14" s="49">
        <f t="shared" si="4"/>
        <v>415.02350000000001</v>
      </c>
      <c r="T14" s="45">
        <f>+IFERROR(HLOOKUP($B14,'[1]2월'!$D$6:$BN$259,16,),)/1000</f>
        <v>135.99039327215468</v>
      </c>
      <c r="U14" s="46">
        <f>+IFERROR(HLOOKUP($B14,'[2]2월'!$F$6:$CP$99,16,),)/1000</f>
        <v>150.81139700000003</v>
      </c>
      <c r="V14" s="47">
        <f t="shared" si="5"/>
        <v>14.821003727845351</v>
      </c>
      <c r="W14" s="48">
        <f>+IFERROR(HLOOKUP($B14,'[3]2월'!$F$6:$CC$57,16,),)/1000</f>
        <v>34.868346999999652</v>
      </c>
      <c r="X14" s="49">
        <f t="shared" si="6"/>
        <v>115.94305000000037</v>
      </c>
      <c r="Y14" s="45">
        <f>+[4]정관!$Q$85</f>
        <v>102000.12397777778</v>
      </c>
      <c r="Z14" s="46">
        <f>+[4]정관!$R$85</f>
        <v>103912.71371011651</v>
      </c>
      <c r="AA14" s="50">
        <f>+[5]정관!$Q$85</f>
        <v>99708.73280811857</v>
      </c>
      <c r="AB14" s="51">
        <f>+[4]정관!$Q$89</f>
        <v>81964.381604633352</v>
      </c>
      <c r="AC14" s="46">
        <f>+[4]정관!$R$89</f>
        <v>85082.053940779442</v>
      </c>
      <c r="AD14" s="52">
        <f>+[5]정관!$Q$89</f>
        <v>84310.743290158905</v>
      </c>
      <c r="AE14" s="51">
        <f t="shared" si="7"/>
        <v>20035.742373144429</v>
      </c>
      <c r="AF14" s="46">
        <f t="shared" si="8"/>
        <v>18830.659769337071</v>
      </c>
      <c r="AG14" s="52">
        <f t="shared" si="9"/>
        <v>15397.989517959664</v>
      </c>
      <c r="AH14" s="17"/>
      <c r="AI14" s="18"/>
      <c r="AJ14" s="84"/>
    </row>
    <row r="15" spans="1:36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+IFERROR(HLOOKUP($B15,'[1]2월'!$D$6:$BN$259,2,),)/1000</f>
        <v>10</v>
      </c>
      <c r="K15" s="46">
        <f>+IFERROR(HLOOKUP($B15,'[2]2월'!$F$6:$CP$99,2,),)/1000</f>
        <v>8.1880000000000006</v>
      </c>
      <c r="L15" s="47">
        <f t="shared" si="0"/>
        <v>-1.8119999999999994</v>
      </c>
      <c r="M15" s="48">
        <f>+IFERROR(HLOOKUP($B15,'[3]2월'!$F$6:$CC$57,2,),)/1000</f>
        <v>9.5579999999999998</v>
      </c>
      <c r="N15" s="49">
        <f t="shared" si="2"/>
        <v>-1.3699999999999992</v>
      </c>
      <c r="O15" s="45">
        <f>+IFERROR(HLOOKUP($B15,'[1]2월'!$D$6:$BN$259,3,),)/1000</f>
        <v>947.24249999999995</v>
      </c>
      <c r="P15" s="46">
        <f>+IFERROR(HLOOKUP($B15,'[2]2월'!$F$6:$CP$99,3,),)/1000</f>
        <v>791.57050000000004</v>
      </c>
      <c r="Q15" s="47">
        <f t="shared" si="3"/>
        <v>-155.67199999999991</v>
      </c>
      <c r="R15" s="48">
        <f>+IFERROR(HLOOKUP($B15,'[3]2월'!$F$6:$CC$57,3,),)/1000</f>
        <v>924.58643000000006</v>
      </c>
      <c r="S15" s="49">
        <f t="shared" si="4"/>
        <v>-133.01593000000003</v>
      </c>
      <c r="T15" s="45">
        <f>+IFERROR(HLOOKUP($B15,'[1]2월'!$D$6:$BN$259,16,),)/1000</f>
        <v>56.073825032113092</v>
      </c>
      <c r="U15" s="46">
        <f>+IFERROR(HLOOKUP($B15,'[2]2월'!$F$6:$CP$99,16,),)/1000</f>
        <v>32.887763999999997</v>
      </c>
      <c r="V15" s="47">
        <f t="shared" si="5"/>
        <v>-23.186061032113095</v>
      </c>
      <c r="W15" s="48">
        <f>+IFERROR(HLOOKUP($B15,'[3]2월'!$F$6:$CC$57,16,),)/1000</f>
        <v>98.534238000000144</v>
      </c>
      <c r="X15" s="49">
        <f t="shared" si="6"/>
        <v>-65.646474000000154</v>
      </c>
      <c r="Y15" s="45">
        <f>+[4]양산!$Q$85</f>
        <v>94724.25</v>
      </c>
      <c r="Z15" s="46">
        <f>+[4]양산!$R$85</f>
        <v>96674.462628236448</v>
      </c>
      <c r="AA15" s="50">
        <f>+[5]양산!$Q$85</f>
        <v>96734.299016530655</v>
      </c>
      <c r="AB15" s="51">
        <f>+[4]양산!$Q$89</f>
        <v>74373.875907899812</v>
      </c>
      <c r="AC15" s="46">
        <f>+[4]양산!$R$89</f>
        <v>74256.72503052502</v>
      </c>
      <c r="AD15" s="52">
        <f>+[5]양산!$Q$89</f>
        <v>71459.126281648874</v>
      </c>
      <c r="AE15" s="51">
        <f t="shared" si="7"/>
        <v>20350.374092100188</v>
      </c>
      <c r="AF15" s="46">
        <f t="shared" si="8"/>
        <v>22417.737597711428</v>
      </c>
      <c r="AG15" s="52">
        <f t="shared" si="9"/>
        <v>25275.17273488178</v>
      </c>
      <c r="AH15" s="17"/>
      <c r="AI15" s="18"/>
      <c r="AJ15" s="84"/>
    </row>
    <row r="16" spans="1:36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+IFERROR(HLOOKUP($B16,'[1]2월'!$D$6:$BN$259,2,),)/1000</f>
        <v>7</v>
      </c>
      <c r="K16" s="46">
        <f>+IFERROR(HLOOKUP($B16,'[2]2월'!$F$6:$CP$99,2,),)/1000</f>
        <v>10.864000000000001</v>
      </c>
      <c r="L16" s="47">
        <f t="shared" si="0"/>
        <v>3.8640000000000008</v>
      </c>
      <c r="M16" s="48">
        <f>+IFERROR(HLOOKUP($B16,'[3]2월'!$F$6:$CC$57,2,),)/1000</f>
        <v>15.452999999999999</v>
      </c>
      <c r="N16" s="49">
        <f t="shared" si="2"/>
        <v>-4.5889999999999986</v>
      </c>
      <c r="O16" s="45">
        <f>+IFERROR(HLOOKUP($B16,'[1]2월'!$D$6:$BN$259,3,),)/1000</f>
        <v>700.00220193600001</v>
      </c>
      <c r="P16" s="46">
        <f>+IFERROR(HLOOKUP($B16,'[2]2월'!$F$6:$CP$99,3,),)/1000</f>
        <v>1085.9300499999999</v>
      </c>
      <c r="Q16" s="47">
        <f t="shared" si="3"/>
        <v>385.92784806399993</v>
      </c>
      <c r="R16" s="48">
        <f>+IFERROR(HLOOKUP($B16,'[3]2월'!$F$6:$CC$57,3,),)/1000</f>
        <v>1538.5331999999999</v>
      </c>
      <c r="S16" s="49">
        <f t="shared" si="4"/>
        <v>-452.60314999999991</v>
      </c>
      <c r="T16" s="45">
        <f>+IFERROR(HLOOKUP($B16,'[1]2월'!$D$6:$BN$259,16,),)/1000</f>
        <v>-13.173997925994426</v>
      </c>
      <c r="U16" s="46">
        <f>+IFERROR(HLOOKUP($B16,'[2]2월'!$F$6:$CP$99,16,),)/1000</f>
        <v>108.75022300000013</v>
      </c>
      <c r="V16" s="47">
        <f t="shared" si="5"/>
        <v>121.92422092599456</v>
      </c>
      <c r="W16" s="48">
        <f>+IFERROR(HLOOKUP($B16,'[3]2월'!$F$6:$CC$57,16,),)/1000</f>
        <v>220.45765399999996</v>
      </c>
      <c r="X16" s="49">
        <f t="shared" si="6"/>
        <v>-111.70743099999983</v>
      </c>
      <c r="Y16" s="45">
        <f>+[4]창원!$Q$85</f>
        <v>100000.31456228573</v>
      </c>
      <c r="Z16" s="46">
        <f>+[4]창원!$R$85</f>
        <v>99956.742452135499</v>
      </c>
      <c r="AA16" s="50">
        <f>+[5]창원!$Q$85</f>
        <v>99562.104445738689</v>
      </c>
      <c r="AB16" s="51">
        <f>+[4]창원!$Q$89</f>
        <v>75787.339842327347</v>
      </c>
      <c r="AC16" s="46">
        <f>+[4]창원!$R$89</f>
        <v>74426.786818851251</v>
      </c>
      <c r="AD16" s="52">
        <f>+[5]창원!$Q$89</f>
        <v>73759.235811816485</v>
      </c>
      <c r="AE16" s="51">
        <f t="shared" si="7"/>
        <v>24212.97471995838</v>
      </c>
      <c r="AF16" s="46">
        <f t="shared" si="8"/>
        <v>25529.955633284248</v>
      </c>
      <c r="AG16" s="52">
        <f t="shared" si="9"/>
        <v>25802.868633922204</v>
      </c>
      <c r="AH16" s="17"/>
      <c r="AI16" s="18"/>
      <c r="AJ16" s="84"/>
    </row>
    <row r="17" spans="2:38" s="8" customFormat="1" ht="22.5" customHeight="1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+IFERROR(HLOOKUP($B17,'[1]2월'!$D$6:$BN$259,2,),)/1000</f>
        <v>11</v>
      </c>
      <c r="K17" s="46">
        <f>+IFERROR(HLOOKUP($B17,'[2]2월'!$F$6:$CP$99,2,),)/1000</f>
        <v>9.4339999999999993</v>
      </c>
      <c r="L17" s="47">
        <f t="shared" si="0"/>
        <v>-1.5660000000000007</v>
      </c>
      <c r="M17" s="48">
        <f>+IFERROR(HLOOKUP($B17,'[3]2월'!$F$6:$CC$57,2,),)/1000</f>
        <v>13.997</v>
      </c>
      <c r="N17" s="49">
        <f t="shared" si="2"/>
        <v>-4.5630000000000006</v>
      </c>
      <c r="O17" s="45">
        <f>+IFERROR(HLOOKUP($B17,'[1]2월'!$D$6:$BN$259,3,),)/1000</f>
        <v>1063.8719636619048</v>
      </c>
      <c r="P17" s="46">
        <f>+IFERROR(HLOOKUP($B17,'[2]2월'!$F$6:$CP$99,3,),)/1000</f>
        <v>882.50666899999999</v>
      </c>
      <c r="Q17" s="47">
        <f t="shared" si="3"/>
        <v>-181.36529466190484</v>
      </c>
      <c r="R17" s="48">
        <f>+IFERROR(HLOOKUP($B17,'[3]2월'!$F$6:$CC$57,3,),)/1000</f>
        <v>1431.9896999999999</v>
      </c>
      <c r="S17" s="49">
        <f t="shared" si="4"/>
        <v>-549.48303099999987</v>
      </c>
      <c r="T17" s="45">
        <f>+IFERROR(HLOOKUP($B17,'[1]2월'!$D$6:$BN$259,16,),)/1000</f>
        <v>54.453551188366696</v>
      </c>
      <c r="U17" s="46">
        <f>+IFERROR(HLOOKUP($B17,'[2]2월'!$F$6:$CP$99,16,),)/1000</f>
        <v>11.519028999999902</v>
      </c>
      <c r="V17" s="47">
        <f t="shared" si="5"/>
        <v>-42.934522188366792</v>
      </c>
      <c r="W17" s="48">
        <f>+IFERROR(HLOOKUP($B17,'[3]2월'!$F$6:$CC$57,16,),)/1000</f>
        <v>216.44188699999998</v>
      </c>
      <c r="X17" s="49">
        <f t="shared" si="6"/>
        <v>-204.92285800000008</v>
      </c>
      <c r="Y17" s="45">
        <f>+[4]대구!$Q$85</f>
        <v>96715.633060173175</v>
      </c>
      <c r="Z17" s="46">
        <f>+[4]대구!$R$85</f>
        <v>93545.332732669063</v>
      </c>
      <c r="AA17" s="50">
        <f>+[5]대구!$Q$85</f>
        <v>102306.90147888834</v>
      </c>
      <c r="AB17" s="51">
        <f>+[4]대구!$Q$89</f>
        <v>74775.886750844496</v>
      </c>
      <c r="AC17" s="46">
        <f>+[4]대구!$R$89</f>
        <v>76356.338986644056</v>
      </c>
      <c r="AD17" s="52">
        <f>+[5]대구!$Q$89</f>
        <v>74620.402199528675</v>
      </c>
      <c r="AE17" s="51">
        <f t="shared" si="7"/>
        <v>21939.746309328679</v>
      </c>
      <c r="AF17" s="46">
        <f t="shared" si="8"/>
        <v>17188.993746025008</v>
      </c>
      <c r="AG17" s="52">
        <f t="shared" si="9"/>
        <v>27686.499279359661</v>
      </c>
      <c r="AH17" s="17"/>
      <c r="AI17" s="18"/>
      <c r="AJ17" s="84"/>
    </row>
    <row r="18" spans="2:38" s="8" customFormat="1" ht="22.5" customHeight="1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+IFERROR(HLOOKUP($B18,'[1]2월'!$D$6:$BN$259,2,),)/1000</f>
        <v>9</v>
      </c>
      <c r="K18" s="10">
        <f>+IFERROR(HLOOKUP($B18,'[2]2월'!$F$6:$CP$99,2,),)/1000</f>
        <v>9.7149999999999999</v>
      </c>
      <c r="L18" s="11">
        <f t="shared" si="0"/>
        <v>0.71499999999999986</v>
      </c>
      <c r="M18" s="12">
        <f>+IFERROR(HLOOKUP($B18,'[3]2월'!$F$6:$CC$57,2,),)/1000</f>
        <v>4.7885</v>
      </c>
      <c r="N18" s="13">
        <f t="shared" si="2"/>
        <v>4.9264999999999999</v>
      </c>
      <c r="O18" s="9">
        <f>+IFERROR(HLOOKUP($B18,'[1]2월'!$D$6:$BN$259,3,),)/1000</f>
        <v>913.54</v>
      </c>
      <c r="P18" s="10">
        <f>+IFERROR(HLOOKUP($B18,'[2]2월'!$F$6:$CP$99,3,),)/1000</f>
        <v>1047.306</v>
      </c>
      <c r="Q18" s="11">
        <f t="shared" si="3"/>
        <v>133.76600000000008</v>
      </c>
      <c r="R18" s="12">
        <f>+IFERROR(HLOOKUP($B18,'[3]2월'!$F$6:$CC$57,3,),)/1000</f>
        <v>487.72015000000005</v>
      </c>
      <c r="S18" s="13">
        <f t="shared" si="4"/>
        <v>559.58584999999994</v>
      </c>
      <c r="T18" s="9">
        <f>+IFERROR(HLOOKUP($B18,'[1]2월'!$D$6:$BN$259,16,),)/1000</f>
        <v>20.987927852551657</v>
      </c>
      <c r="U18" s="10">
        <f>+IFERROR(HLOOKUP($B18,'[2]2월'!$F$6:$CP$99,16,),)/1000</f>
        <v>78.016519999999957</v>
      </c>
      <c r="V18" s="11">
        <f t="shared" si="5"/>
        <v>57.0285921474483</v>
      </c>
      <c r="W18" s="12">
        <f>+IFERROR(HLOOKUP($B18,'[3]2월'!$F$6:$CC$57,16,),)/1000</f>
        <v>-66.050996999999938</v>
      </c>
      <c r="X18" s="13">
        <f t="shared" si="6"/>
        <v>144.0675169999999</v>
      </c>
      <c r="Y18" s="9">
        <f>+[4]울산!$Q$85</f>
        <v>101504.44444444444</v>
      </c>
      <c r="Z18" s="10">
        <f>+[4]울산!$R$85</f>
        <v>107802.98507462686</v>
      </c>
      <c r="AA18" s="14">
        <f>+[5]울산!$Q$85</f>
        <v>101852.38592461105</v>
      </c>
      <c r="AB18" s="15">
        <f>+[4]울산!$Q$89</f>
        <v>82713.620109204232</v>
      </c>
      <c r="AC18" s="10">
        <f>+[4]울산!$R$89</f>
        <v>85472.134490907236</v>
      </c>
      <c r="AD18" s="16">
        <f>+[5]울산!$Q$89</f>
        <v>86917.518011903521</v>
      </c>
      <c r="AE18" s="15">
        <f t="shared" si="7"/>
        <v>18790.824335240206</v>
      </c>
      <c r="AF18" s="10">
        <f t="shared" si="8"/>
        <v>22330.850583719628</v>
      </c>
      <c r="AG18" s="16">
        <f t="shared" si="9"/>
        <v>14934.86791270753</v>
      </c>
      <c r="AH18" s="17"/>
      <c r="AI18" s="18"/>
      <c r="AJ18" s="84"/>
    </row>
    <row r="19" spans="2:38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+IFERROR(HLOOKUP($B19,'[1]2월'!$D$6:$BN$259,2,),)/1000</f>
        <v>18</v>
      </c>
      <c r="K19" s="46">
        <f>+IFERROR(HLOOKUP($B19,'[2]2월'!$F$6:$CP$99,2,),)/1000</f>
        <v>17.766999999999999</v>
      </c>
      <c r="L19" s="47">
        <f t="shared" si="0"/>
        <v>-0.23300000000000054</v>
      </c>
      <c r="M19" s="48">
        <f>+IFERROR(HLOOKUP($B19,'[3]2월'!$F$6:$CC$57,2,),)/1000</f>
        <v>17.471</v>
      </c>
      <c r="N19" s="49">
        <f t="shared" si="2"/>
        <v>0.29599999999999937</v>
      </c>
      <c r="O19" s="45">
        <f>+IFERROR(HLOOKUP($B19,'[1]2월'!$D$6:$BN$259,3,),)/1000</f>
        <v>1854</v>
      </c>
      <c r="P19" s="46">
        <f>+IFERROR(HLOOKUP($B19,'[2]2월'!$F$6:$CP$99,3,),)/1000</f>
        <v>1783.0426</v>
      </c>
      <c r="Q19" s="47">
        <f t="shared" si="3"/>
        <v>-70.957400000000007</v>
      </c>
      <c r="R19" s="48">
        <f>+IFERROR(HLOOKUP($B19,'[3]2월'!$F$6:$CC$57,3,),)/1000</f>
        <v>1754.0611550000001</v>
      </c>
      <c r="S19" s="49">
        <f t="shared" si="4"/>
        <v>28.981444999999894</v>
      </c>
      <c r="T19" s="45">
        <f>+IFERROR(HLOOKUP($B19,'[1]2월'!$D$6:$BN$259,16,),)/1000</f>
        <v>176.52371518581344</v>
      </c>
      <c r="U19" s="46">
        <f>+IFERROR(HLOOKUP($B19,'[2]2월'!$F$6:$CP$99,16,),)/1000</f>
        <v>71.697308999999976</v>
      </c>
      <c r="V19" s="47">
        <f t="shared" si="5"/>
        <v>-104.82640618581347</v>
      </c>
      <c r="W19" s="48">
        <f>+IFERROR(HLOOKUP($B19,'[3]2월'!$F$6:$CC$57,16,),)/1000</f>
        <v>117.1592380000001</v>
      </c>
      <c r="X19" s="49">
        <f t="shared" si="6"/>
        <v>-45.461929000000126</v>
      </c>
      <c r="Y19" s="45">
        <f>+[4]아산!$Q$85</f>
        <v>103000</v>
      </c>
      <c r="Z19" s="46">
        <f>+[4]아산!$R$85</f>
        <v>100356.98767377723</v>
      </c>
      <c r="AA19" s="50">
        <f>+[5]아산!$Q$85</f>
        <v>100398.44055864004</v>
      </c>
      <c r="AB19" s="51">
        <f>+[4]아산!$Q$89</f>
        <v>79524.888283764216</v>
      </c>
      <c r="AC19" s="46">
        <f>+[4]아산!$R$89</f>
        <v>83852.327500419284</v>
      </c>
      <c r="AD19" s="52">
        <f>+[5]아산!$Q$89</f>
        <v>79376.801578676444</v>
      </c>
      <c r="AE19" s="51">
        <f t="shared" si="7"/>
        <v>23475.111716235784</v>
      </c>
      <c r="AF19" s="46">
        <f t="shared" si="8"/>
        <v>16504.660173357945</v>
      </c>
      <c r="AG19" s="52">
        <f t="shared" si="9"/>
        <v>21021.638979963594</v>
      </c>
      <c r="AH19" s="17"/>
      <c r="AI19" s="18"/>
      <c r="AJ19" s="84"/>
    </row>
    <row r="20" spans="2:38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+IFERROR(HLOOKUP($B20,'[1]2월'!$D$6:$BN$259,2,),)/1000</f>
        <v>7</v>
      </c>
      <c r="K20" s="46">
        <f>+IFERROR(HLOOKUP($B20,'[2]2월'!$F$6:$CP$99,2,),)/1000</f>
        <v>13.076499999999999</v>
      </c>
      <c r="L20" s="47">
        <f t="shared" si="0"/>
        <v>6.0764999999999993</v>
      </c>
      <c r="M20" s="48">
        <f>+IFERROR(HLOOKUP($B20,'[3]2월'!$F$6:$CC$57,2,),)/1000</f>
        <v>2.2629999999999999</v>
      </c>
      <c r="N20" s="49">
        <f t="shared" si="2"/>
        <v>10.813499999999999</v>
      </c>
      <c r="O20" s="45">
        <f>+IFERROR(HLOOKUP($B20,'[1]2월'!$D$6:$BN$259,3,),)/1000</f>
        <v>678.03831999999989</v>
      </c>
      <c r="P20" s="46">
        <f>+IFERROR(HLOOKUP($B20,'[2]2월'!$F$6:$CP$99,3,),)/1000</f>
        <v>1256.9671189999999</v>
      </c>
      <c r="Q20" s="47">
        <f t="shared" si="3"/>
        <v>578.92879900000003</v>
      </c>
      <c r="R20" s="48">
        <f>+IFERROR(HLOOKUP($B20,'[3]2월'!$F$6:$CC$57,3,),)/1000</f>
        <v>226.08199999999999</v>
      </c>
      <c r="S20" s="49">
        <f t="shared" si="4"/>
        <v>1030.885119</v>
      </c>
      <c r="T20" s="45">
        <f>+IFERROR(HLOOKUP($B20,'[1]2월'!$D$6:$BN$259,16,),)/1000</f>
        <v>12.032136589604274</v>
      </c>
      <c r="U20" s="46">
        <f>+IFERROR(HLOOKUP($B20,'[2]2월'!$F$6:$CP$99,16,),)/1000</f>
        <v>149.18040499999987</v>
      </c>
      <c r="V20" s="47">
        <f t="shared" si="5"/>
        <v>137.14826841039559</v>
      </c>
      <c r="W20" s="48">
        <f>+IFERROR(HLOOKUP($B20,'[3]2월'!$F$6:$CC$57,16,),)/1000</f>
        <v>-81.422136000000009</v>
      </c>
      <c r="X20" s="49">
        <f t="shared" si="6"/>
        <v>230.60254099999986</v>
      </c>
      <c r="Y20" s="45">
        <f>+[4]전주!$Q$85</f>
        <v>96862.617142857125</v>
      </c>
      <c r="Z20" s="46">
        <f>+[4]전주!$R$85</f>
        <v>96124.124880510833</v>
      </c>
      <c r="AA20" s="50">
        <f>+[5]전주!$Q$85</f>
        <v>99903.66769774635</v>
      </c>
      <c r="AB20" s="51">
        <f>+[4]전주!$Q$89</f>
        <v>73679.260804659702</v>
      </c>
      <c r="AC20" s="46">
        <f>+[4]전주!$R$89</f>
        <v>73533.898902611545</v>
      </c>
      <c r="AD20" s="52">
        <f>+[5]전주!$Q$89</f>
        <v>73666.573133009282</v>
      </c>
      <c r="AE20" s="51">
        <f t="shared" si="7"/>
        <v>23183.356338197424</v>
      </c>
      <c r="AF20" s="46">
        <f t="shared" si="8"/>
        <v>22590.225977899288</v>
      </c>
      <c r="AG20" s="52">
        <f t="shared" si="9"/>
        <v>26237.094564737068</v>
      </c>
      <c r="AH20" s="17"/>
      <c r="AI20" s="18"/>
      <c r="AJ20" s="84"/>
    </row>
    <row r="21" spans="2:38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+IFERROR(HLOOKUP($B21,'[1]2월'!$D$6:$BN$259,2,),)/1000</f>
        <v>5</v>
      </c>
      <c r="K21" s="46">
        <f>+IFERROR(HLOOKUP($B21,'[2]2월'!$F$6:$CP$99,2,),)/1000</f>
        <v>3.8959999999999999</v>
      </c>
      <c r="L21" s="47">
        <f t="shared" si="0"/>
        <v>-1.1040000000000001</v>
      </c>
      <c r="M21" s="48">
        <f>+IFERROR(HLOOKUP($B21,'[3]2월'!$F$6:$CC$57,2,),)/1000</f>
        <v>5.5540000000000003</v>
      </c>
      <c r="N21" s="49">
        <f t="shared" si="2"/>
        <v>-1.6580000000000004</v>
      </c>
      <c r="O21" s="45">
        <f>+IFERROR(HLOOKUP($B21,'[1]2월'!$D$6:$BN$259,3,),)/1000</f>
        <v>557.60123999999996</v>
      </c>
      <c r="P21" s="46">
        <f>+IFERROR(HLOOKUP($B21,'[2]2월'!$F$6:$CP$99,3,),)/1000</f>
        <v>414.87225000000001</v>
      </c>
      <c r="Q21" s="47">
        <f t="shared" si="3"/>
        <v>-142.72898999999995</v>
      </c>
      <c r="R21" s="48">
        <f>+IFERROR(HLOOKUP($B21,'[3]2월'!$F$6:$CC$57,3,),)/1000</f>
        <v>576.85868000000005</v>
      </c>
      <c r="S21" s="49">
        <f t="shared" si="4"/>
        <v>-161.98643000000004</v>
      </c>
      <c r="T21" s="45">
        <f>+IFERROR(HLOOKUP($B21,'[1]2월'!$D$6:$BN$259,16,),)/1000</f>
        <v>104.67209719417656</v>
      </c>
      <c r="U21" s="46">
        <f>+IFERROR(HLOOKUP($B21,'[2]2월'!$F$6:$CP$99,16,),)/1000</f>
        <v>57.866905000000038</v>
      </c>
      <c r="V21" s="47">
        <f t="shared" si="5"/>
        <v>-46.80519219417652</v>
      </c>
      <c r="W21" s="48">
        <f>+IFERROR(HLOOKUP($B21,'[3]2월'!$F$6:$CC$57,16,),)/1000</f>
        <v>104.45300700000007</v>
      </c>
      <c r="X21" s="49">
        <f t="shared" si="6"/>
        <v>-46.586102000000032</v>
      </c>
      <c r="Y21" s="45">
        <f>+[4]군산!$Q$85</f>
        <v>111520.24799999999</v>
      </c>
      <c r="Z21" s="46">
        <f>+[4]군산!$R$85</f>
        <v>106486.71714579055</v>
      </c>
      <c r="AA21" s="50">
        <f>+[5]군산!$Q$85</f>
        <v>103863.64422038171</v>
      </c>
      <c r="AB21" s="51">
        <f>+[4]군산!$Q$89</f>
        <v>73867.306183386914</v>
      </c>
      <c r="AC21" s="46">
        <f>+[4]군산!$R$89</f>
        <v>71564.787217659134</v>
      </c>
      <c r="AD21" s="52">
        <f>+[5]군산!$Q$89</f>
        <v>70822.396290961464</v>
      </c>
      <c r="AE21" s="51">
        <f t="shared" si="7"/>
        <v>37652.941816613078</v>
      </c>
      <c r="AF21" s="46">
        <f t="shared" si="8"/>
        <v>34921.929928131416</v>
      </c>
      <c r="AG21" s="52">
        <f t="shared" si="9"/>
        <v>33041.247929420249</v>
      </c>
      <c r="AH21" s="17"/>
      <c r="AI21" s="18"/>
      <c r="AJ21" s="84"/>
    </row>
    <row r="22" spans="2:38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+IFERROR(HLOOKUP($B22,'[1]2월'!$D$6:$BN$259,2,),)/1000</f>
        <v>2</v>
      </c>
      <c r="K22" s="46">
        <f>+IFERROR(HLOOKUP($B22,'[2]2월'!$F$6:$CP$99,2,),)/1000</f>
        <v>1.228</v>
      </c>
      <c r="L22" s="47">
        <f t="shared" si="0"/>
        <v>-0.77200000000000002</v>
      </c>
      <c r="M22" s="48">
        <f>+IFERROR(HLOOKUP($B22,'[3]2월'!$F$6:$CC$57,2,),)/1000</f>
        <v>3.4064999999999999</v>
      </c>
      <c r="N22" s="49">
        <f t="shared" si="2"/>
        <v>-2.1784999999999997</v>
      </c>
      <c r="O22" s="45">
        <f>+IFERROR(HLOOKUP($B22,'[1]2월'!$D$6:$BN$259,3,),)/1000</f>
        <v>224</v>
      </c>
      <c r="P22" s="46">
        <f>+IFERROR(HLOOKUP($B22,'[2]2월'!$F$6:$CP$99,3,),)/1000</f>
        <v>138.47710000000001</v>
      </c>
      <c r="Q22" s="47">
        <f t="shared" si="3"/>
        <v>-85.522899999999993</v>
      </c>
      <c r="R22" s="48">
        <f>+IFERROR(HLOOKUP($B22,'[3]2월'!$F$6:$CC$57,3,),)/1000</f>
        <v>364.36470000000003</v>
      </c>
      <c r="S22" s="49">
        <f t="shared" si="4"/>
        <v>-225.88760000000002</v>
      </c>
      <c r="T22" s="45">
        <f>+IFERROR(HLOOKUP($B22,'[1]2월'!$D$6:$BN$259,16,),)/1000</f>
        <v>-12.698377878477476</v>
      </c>
      <c r="U22" s="46">
        <f>+IFERROR(HLOOKUP($B22,'[2]2월'!$F$6:$CP$99,16,),)/1000</f>
        <v>-36.517007</v>
      </c>
      <c r="V22" s="47">
        <f t="shared" si="5"/>
        <v>-23.818629121522523</v>
      </c>
      <c r="W22" s="48">
        <f>+IFERROR(HLOOKUP($B22,'[3]2월'!$F$6:$CC$57,16,),)/1000</f>
        <v>36.29271199999998</v>
      </c>
      <c r="X22" s="49">
        <f t="shared" si="6"/>
        <v>-72.809718999999973</v>
      </c>
      <c r="Y22" s="45">
        <f>+[4]원주!$Q$85</f>
        <v>112000</v>
      </c>
      <c r="Z22" s="46">
        <f>+[4]원주!$R$85</f>
        <v>112766.3680781759</v>
      </c>
      <c r="AA22" s="50">
        <f>+[5]원주!$Q$85</f>
        <v>106985.04811250925</v>
      </c>
      <c r="AB22" s="51">
        <f>+[4]원주!$Q$89</f>
        <v>75003.432179743249</v>
      </c>
      <c r="AC22" s="46">
        <f>+[4]원주!$R$89</f>
        <v>75882.359934853419</v>
      </c>
      <c r="AD22" s="52">
        <f>+[5]원주!$Q$89</f>
        <v>72527.647076239824</v>
      </c>
      <c r="AE22" s="51">
        <f t="shared" si="7"/>
        <v>36996.567820256751</v>
      </c>
      <c r="AF22" s="46">
        <f t="shared" si="8"/>
        <v>36884.008143322484</v>
      </c>
      <c r="AG22" s="52">
        <f t="shared" si="9"/>
        <v>34457.401036269424</v>
      </c>
      <c r="AH22" s="17"/>
      <c r="AI22" s="18"/>
      <c r="AJ22" s="84"/>
    </row>
    <row r="23" spans="2:38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+IFERROR(HLOOKUP($B23,'[1]2월'!$D$6:$BN$259,2,),)/1000</f>
        <v>7</v>
      </c>
      <c r="K23" s="46">
        <f>+IFERROR(HLOOKUP($B23,'[2]2월'!$F$6:$CP$99,2,),)/1000</f>
        <v>4.6779999999999999</v>
      </c>
      <c r="L23" s="47">
        <f t="shared" si="0"/>
        <v>-2.3220000000000001</v>
      </c>
      <c r="M23" s="48">
        <f>+IFERROR(HLOOKUP($B23,'[3]2월'!$F$6:$CC$57,2,),)/1000</f>
        <v>2.3984999999999999</v>
      </c>
      <c r="N23" s="49">
        <f t="shared" si="2"/>
        <v>2.2795000000000001</v>
      </c>
      <c r="O23" s="45">
        <f>+IFERROR(HLOOKUP($B23,'[1]2월'!$D$6:$BN$259,3,),)/1000</f>
        <v>859.75750000000005</v>
      </c>
      <c r="P23" s="46">
        <f>+IFERROR(HLOOKUP($B23,'[2]2월'!$F$6:$CP$99,3,),)/1000</f>
        <v>565.73136399999999</v>
      </c>
      <c r="Q23" s="47">
        <f t="shared" si="3"/>
        <v>-294.02613600000006</v>
      </c>
      <c r="R23" s="48">
        <f>+IFERROR(HLOOKUP($B23,'[3]2월'!$F$6:$CC$57,3,),)/1000</f>
        <v>308.44242599999995</v>
      </c>
      <c r="S23" s="49">
        <f t="shared" si="4"/>
        <v>257.28893800000003</v>
      </c>
      <c r="T23" s="45">
        <f>+IFERROR(HLOOKUP($B23,'[1]2월'!$D$6:$BN$259,16,),)/1000</f>
        <v>134.03568467811667</v>
      </c>
      <c r="U23" s="46">
        <f>+IFERROR(HLOOKUP($B23,'[2]2월'!$F$6:$CP$99,16,),)/1000</f>
        <v>53.836507999999874</v>
      </c>
      <c r="V23" s="47">
        <f t="shared" si="5"/>
        <v>-80.1991766781168</v>
      </c>
      <c r="W23" s="48">
        <f>+IFERROR(HLOOKUP($B23,'[3]2월'!$F$6:$CC$57,16,),)/1000</f>
        <v>14.867435999999978</v>
      </c>
      <c r="X23" s="49">
        <f t="shared" si="6"/>
        <v>38.969071999999898</v>
      </c>
      <c r="Y23" s="45">
        <f>+[4]제주!$Q$85</f>
        <v>122822.5</v>
      </c>
      <c r="Z23" s="46">
        <f>+[4]제주!$R$85</f>
        <v>120936.46410756886</v>
      </c>
      <c r="AA23" s="50">
        <f>+[5]제주!$Q$85</f>
        <v>128598.05128205127</v>
      </c>
      <c r="AB23" s="51">
        <f>+[4]제주!$Q$89</f>
        <v>90529.859116140055</v>
      </c>
      <c r="AC23" s="46">
        <f>+[4]제주!$R$89</f>
        <v>89525.331381479074</v>
      </c>
      <c r="AD23" s="52">
        <f>+[5]제주!$Q$89</f>
        <v>88785.068025795714</v>
      </c>
      <c r="AE23" s="51">
        <f t="shared" si="7"/>
        <v>32292.640883859945</v>
      </c>
      <c r="AF23" s="46">
        <f t="shared" si="8"/>
        <v>31411.132726089781</v>
      </c>
      <c r="AG23" s="52">
        <f t="shared" si="9"/>
        <v>39812.983256255553</v>
      </c>
      <c r="AH23" s="17"/>
      <c r="AI23" s="18"/>
      <c r="AJ23" s="84"/>
    </row>
    <row r="24" spans="2:38" s="8" customFormat="1" ht="22.5" customHeight="1">
      <c r="G24" s="337" t="str">
        <f t="shared" si="1"/>
        <v>수도권</v>
      </c>
      <c r="H24" s="74"/>
      <c r="I24" s="78" t="s">
        <v>42</v>
      </c>
      <c r="J24" s="22">
        <f>SUM(J7:J10)</f>
        <v>83</v>
      </c>
      <c r="K24" s="19">
        <f>SUM(K7:K10)</f>
        <v>74.239500000000007</v>
      </c>
      <c r="L24" s="20">
        <f t="shared" si="0"/>
        <v>-8.7604999999999933</v>
      </c>
      <c r="M24" s="24">
        <f>SUM(M7:M10)</f>
        <v>85.558999999999997</v>
      </c>
      <c r="N24" s="21">
        <f t="shared" si="2"/>
        <v>-11.319499999999991</v>
      </c>
      <c r="O24" s="22">
        <f>SUM(O7:O10)</f>
        <v>8098.2047532047491</v>
      </c>
      <c r="P24" s="19">
        <f>SUM(P7:P10)</f>
        <v>7199.5674790000003</v>
      </c>
      <c r="Q24" s="20">
        <f t="shared" si="3"/>
        <v>-898.63727420474879</v>
      </c>
      <c r="R24" s="24">
        <f>SUM(R7:R10)</f>
        <v>8620.3028290000002</v>
      </c>
      <c r="S24" s="21">
        <f t="shared" si="4"/>
        <v>-1420.7353499999999</v>
      </c>
      <c r="T24" s="22">
        <f>SUM(T7:T10)</f>
        <v>291.5306060873861</v>
      </c>
      <c r="U24" s="19">
        <f>SUM(U7:U10)</f>
        <v>126.59635100000031</v>
      </c>
      <c r="V24" s="20">
        <f t="shared" si="5"/>
        <v>-164.93425508738579</v>
      </c>
      <c r="W24" s="24">
        <f>SUM(W7:W10)</f>
        <v>664.23061199999995</v>
      </c>
      <c r="X24" s="21">
        <f t="shared" si="6"/>
        <v>-537.6342609999997</v>
      </c>
      <c r="Y24" s="22">
        <f>+[4]수도권!$Q$85</f>
        <v>97568.731966322273</v>
      </c>
      <c r="Z24" s="19">
        <f>+[4]수도권!$R$85</f>
        <v>96965.552073670318</v>
      </c>
      <c r="AA24" s="23">
        <f>+[5]수도권!$Q$85</f>
        <v>100756.03555768623</v>
      </c>
      <c r="AB24" s="28">
        <f>+[4]수도권!$Q$89</f>
        <v>81841.912548882465</v>
      </c>
      <c r="AC24" s="19">
        <f>+[4]수도권!$R$89</f>
        <v>82274.26017537326</v>
      </c>
      <c r="AD24" s="29">
        <f>+[5]수도권!$Q$89</f>
        <v>81462.705810840824</v>
      </c>
      <c r="AE24" s="28">
        <f t="shared" si="7"/>
        <v>15726.819417439809</v>
      </c>
      <c r="AF24" s="19">
        <f t="shared" si="8"/>
        <v>14691.291898297059</v>
      </c>
      <c r="AG24" s="29">
        <f t="shared" si="9"/>
        <v>19293.329746845411</v>
      </c>
      <c r="AH24" s="17"/>
      <c r="AI24" s="18"/>
      <c r="AJ24" s="84"/>
    </row>
    <row r="25" spans="2:38" s="8" customFormat="1" ht="22.5" customHeight="1">
      <c r="G25" s="334" t="str">
        <f t="shared" si="1"/>
        <v>영남권</v>
      </c>
      <c r="H25" s="74"/>
      <c r="I25" s="78" t="s">
        <v>43</v>
      </c>
      <c r="J25" s="22">
        <f>SUM(J11:J18)</f>
        <v>105</v>
      </c>
      <c r="K25" s="19">
        <f>SUM(K11:K18)</f>
        <v>95.894000000000005</v>
      </c>
      <c r="L25" s="20">
        <f t="shared" si="0"/>
        <v>-9.1059999999999945</v>
      </c>
      <c r="M25" s="24">
        <f>SUM(M11:M18)</f>
        <v>100.9045</v>
      </c>
      <c r="N25" s="21">
        <f t="shared" si="2"/>
        <v>-5.0104999999999933</v>
      </c>
      <c r="O25" s="22">
        <f>SUM(O11:O18)</f>
        <v>10549.267727637904</v>
      </c>
      <c r="P25" s="19">
        <f>SUM(P11:P18)</f>
        <v>9664.1098189999993</v>
      </c>
      <c r="Q25" s="20">
        <f t="shared" si="3"/>
        <v>-885.15790863790426</v>
      </c>
      <c r="R25" s="24">
        <f>SUM(R11:R18)</f>
        <v>10371.430799999998</v>
      </c>
      <c r="S25" s="21">
        <f t="shared" si="4"/>
        <v>-707.32098099999894</v>
      </c>
      <c r="T25" s="22">
        <f>SUM(T11:T18)</f>
        <v>669.03147786277475</v>
      </c>
      <c r="U25" s="19">
        <f>SUM(U11:U18)</f>
        <v>519.31217699999979</v>
      </c>
      <c r="V25" s="20">
        <f t="shared" si="5"/>
        <v>-149.71930086277496</v>
      </c>
      <c r="W25" s="24">
        <f>SUM(W11:W18)</f>
        <v>841.31883799999969</v>
      </c>
      <c r="X25" s="21">
        <f t="shared" si="6"/>
        <v>-322.00666099999989</v>
      </c>
      <c r="Y25" s="22">
        <f>+[4]영남권!$Q$85</f>
        <v>100469.21645369435</v>
      </c>
      <c r="Z25" s="19">
        <f>+[4]영남권!$R$85</f>
        <v>100787.78490345353</v>
      </c>
      <c r="AA25" s="23">
        <f>+[5]영남권!$Q$85</f>
        <v>102784.6211021312</v>
      </c>
      <c r="AB25" s="28">
        <f>+[4]영남권!$Q$89</f>
        <v>79533.302237489435</v>
      </c>
      <c r="AC25" s="19">
        <f>+[4]영남권!$R$89</f>
        <v>80685.911863111585</v>
      </c>
      <c r="AD25" s="29">
        <f>+[5]영남권!$Q$89</f>
        <v>80130.479625951601</v>
      </c>
      <c r="AE25" s="28">
        <f t="shared" si="7"/>
        <v>20935.91421620491</v>
      </c>
      <c r="AF25" s="19">
        <f t="shared" si="8"/>
        <v>20101.873040341947</v>
      </c>
      <c r="AG25" s="29">
        <f t="shared" si="9"/>
        <v>22654.141476179604</v>
      </c>
      <c r="AH25" s="17"/>
      <c r="AI25" s="18"/>
      <c r="AJ25" s="84"/>
    </row>
    <row r="26" spans="2:38" s="8" customFormat="1" ht="22.5" customHeight="1">
      <c r="G26" s="334" t="str">
        <f t="shared" si="1"/>
        <v>중부권</v>
      </c>
      <c r="H26" s="74"/>
      <c r="I26" s="78" t="s">
        <v>107</v>
      </c>
      <c r="J26" s="22">
        <f>SUM(J19:J23)</f>
        <v>39</v>
      </c>
      <c r="K26" s="19">
        <f>SUM(K19:K23)</f>
        <v>40.645499999999998</v>
      </c>
      <c r="L26" s="20">
        <f t="shared" si="0"/>
        <v>1.6454999999999984</v>
      </c>
      <c r="M26" s="24">
        <f>SUM(M19:M23)</f>
        <v>31.093000000000004</v>
      </c>
      <c r="N26" s="21">
        <f t="shared" si="2"/>
        <v>9.5524999999999949</v>
      </c>
      <c r="O26" s="22">
        <f>SUM(O19:O23)</f>
        <v>4173.3970599999993</v>
      </c>
      <c r="P26" s="19">
        <f>SUM(P19:P23)</f>
        <v>4159.0904329999994</v>
      </c>
      <c r="Q26" s="20">
        <f t="shared" si="3"/>
        <v>-14.306626999999935</v>
      </c>
      <c r="R26" s="24">
        <f>SUM(R19:R23)</f>
        <v>3229.8089610000002</v>
      </c>
      <c r="S26" s="21">
        <f t="shared" si="4"/>
        <v>929.28147199999921</v>
      </c>
      <c r="T26" s="22">
        <f>SUM(T19:T23)</f>
        <v>414.56525576923354</v>
      </c>
      <c r="U26" s="19">
        <f>SUM(U19:U23)</f>
        <v>296.06411999999978</v>
      </c>
      <c r="V26" s="20">
        <f t="shared" si="5"/>
        <v>-118.50113576923377</v>
      </c>
      <c r="W26" s="24">
        <f>SUM(W19:W23)</f>
        <v>191.35025700000014</v>
      </c>
      <c r="X26" s="21">
        <f t="shared" si="6"/>
        <v>104.71386299999963</v>
      </c>
      <c r="Y26" s="22">
        <f>+[4]중부권!$Q$85</f>
        <v>107010.18102564102</v>
      </c>
      <c r="Z26" s="19">
        <f>+[4]중부권!$R$85</f>
        <v>102295.47925625638</v>
      </c>
      <c r="AA26" s="23">
        <f>+[5]중부권!$Q$85</f>
        <v>103875.42689286635</v>
      </c>
      <c r="AB26" s="28">
        <f>+[4]중부권!$Q$89</f>
        <v>79493.72368794294</v>
      </c>
      <c r="AC26" s="19">
        <f>+[4]중부권!$R$89</f>
        <v>79762.985441723897</v>
      </c>
      <c r="AD26" s="29">
        <f>+[5]중부권!$Q$89</f>
        <v>77415.678549596225</v>
      </c>
      <c r="AE26" s="28">
        <f t="shared" si="7"/>
        <v>27516.457337698084</v>
      </c>
      <c r="AF26" s="19">
        <f t="shared" si="8"/>
        <v>22532.493814532485</v>
      </c>
      <c r="AG26" s="29">
        <f t="shared" si="9"/>
        <v>26459.748343270126</v>
      </c>
      <c r="AH26" s="17"/>
      <c r="AI26" s="18"/>
      <c r="AJ26" s="84"/>
    </row>
    <row r="27" spans="2:38" s="3" customFormat="1" ht="22.5" customHeight="1">
      <c r="B27" s="25"/>
      <c r="G27" s="336">
        <f>+K27/J27</f>
        <v>0.92854185022026448</v>
      </c>
      <c r="H27" s="267" t="s">
        <v>94</v>
      </c>
      <c r="I27" s="268"/>
      <c r="J27" s="269">
        <f>SUM(J24:J26)</f>
        <v>227</v>
      </c>
      <c r="K27" s="270">
        <f>SUM(K24:K26)</f>
        <v>210.77900000000002</v>
      </c>
      <c r="L27" s="271">
        <f t="shared" ref="L27:L32" si="10">+K27-J27</f>
        <v>-16.220999999999975</v>
      </c>
      <c r="M27" s="272">
        <f>SUM(M24:M26)</f>
        <v>217.55650000000003</v>
      </c>
      <c r="N27" s="273">
        <f t="shared" ref="N27:N32" si="11">+K27-M27</f>
        <v>-6.7775000000000034</v>
      </c>
      <c r="O27" s="269">
        <f>SUM(O24:O26)</f>
        <v>22820.869540842654</v>
      </c>
      <c r="P27" s="270">
        <f>SUM(P24:P26)</f>
        <v>21022.767731</v>
      </c>
      <c r="Q27" s="271">
        <f t="shared" ref="Q27:Q43" si="12">+P27-O27</f>
        <v>-1798.1018098426539</v>
      </c>
      <c r="R27" s="272">
        <f>SUM(R24:R26)</f>
        <v>22221.542589999997</v>
      </c>
      <c r="S27" s="273">
        <f t="shared" ref="S27:S34" si="13">+P27-R27</f>
        <v>-1198.7748589999974</v>
      </c>
      <c r="T27" s="269">
        <f>SUM(T24:T26)</f>
        <v>1375.1273397193945</v>
      </c>
      <c r="U27" s="270">
        <f>SUM(U24:U26)</f>
        <v>941.97264799999994</v>
      </c>
      <c r="V27" s="271">
        <f t="shared" ref="V27:V32" si="14">+U27-T27</f>
        <v>-433.15469171939458</v>
      </c>
      <c r="W27" s="272">
        <f>SUM(W24:W26)</f>
        <v>1696.8997069999996</v>
      </c>
      <c r="X27" s="273">
        <f t="shared" ref="X27:X32" si="15">+U27-W27</f>
        <v>-754.92705899999964</v>
      </c>
      <c r="Y27" s="269">
        <f>+[4]합계!$Q$85</f>
        <v>100532.46493763285</v>
      </c>
      <c r="Z27" s="270">
        <f>+[4]합계!$R$85</f>
        <v>99735.994266764363</v>
      </c>
      <c r="AA27" s="274">
        <f>+[5]합계!$Q$85</f>
        <v>102142.72966989514</v>
      </c>
      <c r="AB27" s="275">
        <f>+[4]합계!$Q$89</f>
        <v>80370.61982521326</v>
      </c>
      <c r="AC27" s="270">
        <f>+[4]합계!$R$89</f>
        <v>81063.082203057071</v>
      </c>
      <c r="AD27" s="276">
        <f>+[5]합계!$Q$89</f>
        <v>80266.473564591928</v>
      </c>
      <c r="AE27" s="275">
        <f t="shared" si="7"/>
        <v>20161.845112419585</v>
      </c>
      <c r="AF27" s="270">
        <f t="shared" si="8"/>
        <v>18672.912063707292</v>
      </c>
      <c r="AG27" s="276">
        <f t="shared" si="9"/>
        <v>21876.256105303211</v>
      </c>
      <c r="AH27" s="26"/>
      <c r="AI27" s="27"/>
      <c r="AJ27" s="84"/>
      <c r="AL27" s="25"/>
    </row>
    <row r="28" spans="2:38" s="8" customFormat="1" ht="22.5" customHeight="1">
      <c r="B28" s="8" t="s">
        <v>114</v>
      </c>
      <c r="E28" s="8" t="s">
        <v>123</v>
      </c>
      <c r="G28" s="334" t="s">
        <v>3</v>
      </c>
      <c r="H28" s="737" t="s">
        <v>48</v>
      </c>
      <c r="I28" s="738"/>
      <c r="J28" s="153">
        <f>+IFERROR(HLOOKUP($B28,'[1]2월'!$D$6:$BN$259,2,),)</f>
        <v>10200</v>
      </c>
      <c r="K28" s="154">
        <f>+IFERROR(HLOOKUP($E28,'[2]2월'!$F$6:$CP$99,2,),)</f>
        <v>9724.5229999999992</v>
      </c>
      <c r="L28" s="155">
        <f>+K28-J28</f>
        <v>-475.47700000000077</v>
      </c>
      <c r="M28" s="156">
        <f>+IFERROR(HLOOKUP($E28,'[3]2월'!$F$6:$CC$57,2,),)</f>
        <v>6645.402</v>
      </c>
      <c r="N28" s="157">
        <f>+K28-M28</f>
        <v>3079.1209999999992</v>
      </c>
      <c r="O28" s="153">
        <f>+IFERROR(HLOOKUP($B28,'[1]2월'!$D$6:$BN$259,3,),)/1000</f>
        <v>11165.945543013699</v>
      </c>
      <c r="P28" s="154">
        <f>+IFERROR(HLOOKUP($E28,'[2]2월'!$F$6:$CP$99,3,),)/1000</f>
        <v>8276.9951199999996</v>
      </c>
      <c r="Q28" s="155">
        <f>+P28-O28</f>
        <v>-2888.950423013699</v>
      </c>
      <c r="R28" s="156">
        <f>+IFERROR(HLOOKUP($E28,'[3]2월'!$F$6:$CC$57,3,),)/1000</f>
        <v>6765.6579750000001</v>
      </c>
      <c r="S28" s="157">
        <f t="shared" si="13"/>
        <v>1511.3371449999995</v>
      </c>
      <c r="T28" s="153">
        <f>+IFERROR(HLOOKUP($B28,'[1]2월'!$D$6:$BN$259,16,),)/1000</f>
        <v>171.62075751918772</v>
      </c>
      <c r="U28" s="154">
        <f>+IFERROR(HLOOKUP($E28,'[2]2월'!$F$6:$CP$99,16,),)/1000</f>
        <v>10.861712999999597</v>
      </c>
      <c r="V28" s="155">
        <f t="shared" si="14"/>
        <v>-160.75904451918814</v>
      </c>
      <c r="W28" s="156">
        <f>+IFERROR(HLOOKUP($E28,'[3]2월'!$F$6:$CC$57,16,),)/1000</f>
        <v>41.844678999999374</v>
      </c>
      <c r="X28" s="157">
        <f t="shared" si="15"/>
        <v>-30.982965999999777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+IFERROR(HLOOKUP($B29,'[1]2월'!$D$6:$BN$259,2,),)/1000</f>
        <v>16.714188174167031</v>
      </c>
      <c r="K29" s="56">
        <f>+IFERROR(HLOOKUP($C29,'[2]2월'!$F$6:$CP$99,2,),)/1000</f>
        <v>24.573</v>
      </c>
      <c r="L29" s="37">
        <f t="shared" si="10"/>
        <v>7.8588118258329693</v>
      </c>
      <c r="M29" s="37">
        <f>+IFERROR(HLOOKUP($C29,'[3]2월'!$F$6:$CC$57,2,),)/1000</f>
        <v>18.623000000000001</v>
      </c>
      <c r="N29" s="57">
        <f t="shared" si="11"/>
        <v>5.9499999999999993</v>
      </c>
      <c r="O29" s="55">
        <f>+IFERROR(HLOOKUP($B29,'[1]2월'!$D$6:$BN$259,3,),)/1000</f>
        <v>677.00870429724534</v>
      </c>
      <c r="P29" s="56">
        <f>+IFERROR(HLOOKUP($C29,'[2]2월'!$F$6:$CP$99,3,),)/1000</f>
        <v>679.8605</v>
      </c>
      <c r="Q29" s="37">
        <f t="shared" si="12"/>
        <v>2.8517957027546572</v>
      </c>
      <c r="R29" s="37">
        <f>+IFERROR(HLOOKUP($C29,'[3]2월'!$F$6:$CC$57,3,),)/1000</f>
        <v>535.572</v>
      </c>
      <c r="S29" s="57">
        <f t="shared" si="13"/>
        <v>144.2885</v>
      </c>
      <c r="T29" s="55">
        <f>+IFERROR(HLOOKUP($B29,'[1]2월'!$D$6:$BN$259,21,),)/1000</f>
        <v>206.49876680537528</v>
      </c>
      <c r="U29" s="56">
        <f>+IFERROR(HLOOKUP($C29,'[2]2월'!$F$6:$CP$99,21,),)/1000</f>
        <v>5.3680995453978717</v>
      </c>
      <c r="V29" s="37">
        <f t="shared" si="14"/>
        <v>-201.1306672599774</v>
      </c>
      <c r="W29" s="37">
        <f>+IFERROR(HLOOKUP($C29,'[3]2월'!$F$6:$CC$57,21,),)/1000</f>
        <v>33.694012542892331</v>
      </c>
      <c r="X29" s="57">
        <f t="shared" si="15"/>
        <v>-28.325912997494459</v>
      </c>
      <c r="Y29" s="26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</row>
    <row r="30" spans="2:38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+IFERROR(HLOOKUP($B30,'[1]2월'!$D$6:$BN$259,2,),)/1000</f>
        <v>45.697660215053766</v>
      </c>
      <c r="K30" s="58">
        <f>+IFERROR(HLOOKUP($C30,'[2]2월'!$F$6:$CP$99,2,),)/1000</f>
        <v>12.95</v>
      </c>
      <c r="L30" s="47">
        <f t="shared" si="10"/>
        <v>-32.74766021505377</v>
      </c>
      <c r="M30" s="47">
        <f>+IFERROR(HLOOKUP($C30,'[3]2월'!$F$6:$CC$57,2,),)/1000</f>
        <v>23.045999999999999</v>
      </c>
      <c r="N30" s="59">
        <f t="shared" si="11"/>
        <v>-10.096</v>
      </c>
      <c r="O30" s="53">
        <f>+IFERROR(HLOOKUP($B30,'[1]2월'!$D$6:$BN$259,3,),)/1000</f>
        <v>664.49243010752696</v>
      </c>
      <c r="P30" s="58">
        <f>+IFERROR(HLOOKUP($C30,'[2]2월'!$F$6:$CP$99,3,),)/1000</f>
        <v>179.00200000000001</v>
      </c>
      <c r="Q30" s="47">
        <f t="shared" si="12"/>
        <v>-485.49043010752695</v>
      </c>
      <c r="R30" s="47">
        <f>+IFERROR(HLOOKUP($C30,'[3]2월'!$F$6:$CC$57,3,),)/1000</f>
        <v>318.71800000000002</v>
      </c>
      <c r="S30" s="59">
        <f t="shared" si="13"/>
        <v>-139.71600000000001</v>
      </c>
      <c r="T30" s="53">
        <f>+IFERROR(HLOOKUP($B30,'[1]2월'!$D$6:$BN$259,21,),)/1000</f>
        <v>98.380764970748572</v>
      </c>
      <c r="U30" s="58">
        <f>+IFERROR(HLOOKUP($C30,'[2]2월'!$F$6:$CP$99,21,),)/1000</f>
        <v>2.8212827567227503</v>
      </c>
      <c r="V30" s="47">
        <f t="shared" si="14"/>
        <v>-95.55948221402582</v>
      </c>
      <c r="W30" s="47">
        <f>+IFERROR(HLOOKUP($C30,'[3]2월'!$F$6:$CC$57,21,),)/1000</f>
        <v>37.250622518000689</v>
      </c>
      <c r="X30" s="59">
        <f t="shared" si="15"/>
        <v>-34.429339761277937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+IFERROR(HLOOKUP($B31,'[1]2월'!$D$6:$BN$259,2,),)/1000</f>
        <v>11.9603468</v>
      </c>
      <c r="K31" s="58">
        <f>+IFERROR(HLOOKUP($C31,'[2]2월'!$F$6:$CP$99,2,),)/1000</f>
        <v>20.414000000000001</v>
      </c>
      <c r="L31" s="47">
        <f t="shared" si="10"/>
        <v>8.4536532000000015</v>
      </c>
      <c r="M31" s="47">
        <f>+IFERROR(HLOOKUP($C31,'[3]2월'!$F$6:$CC$57,2,),)/1000</f>
        <v>23.603000000000002</v>
      </c>
      <c r="N31" s="59">
        <f t="shared" si="11"/>
        <v>-3.1890000000000001</v>
      </c>
      <c r="O31" s="53">
        <f>+IFERROR(HLOOKUP($B31,'[1]2월'!$D$6:$BN$259,3,),)/1000</f>
        <v>253.38819046666666</v>
      </c>
      <c r="P31" s="58">
        <f>+IFERROR(HLOOKUP($C31,'[2]2월'!$F$6:$CP$99,3,),)/1000</f>
        <v>383.721</v>
      </c>
      <c r="Q31" s="47">
        <f t="shared" si="12"/>
        <v>130.33280953333335</v>
      </c>
      <c r="R31" s="47">
        <f>+IFERROR(HLOOKUP($C31,'[3]2월'!$F$6:$CC$57,3,),)/1000</f>
        <v>442.79649999999998</v>
      </c>
      <c r="S31" s="59">
        <f t="shared" si="13"/>
        <v>-59.075499999999977</v>
      </c>
      <c r="T31" s="53">
        <f>+IFERROR(HLOOKUP($B31,'[1]2월'!$D$6:$BN$259,21,),)/1000</f>
        <v>-30.784902507097073</v>
      </c>
      <c r="U31" s="58">
        <f>+IFERROR(HLOOKUP($C31,'[2]2월'!$F$6:$CP$99,21,),)/1000</f>
        <v>-106.33151747999993</v>
      </c>
      <c r="V31" s="47">
        <f t="shared" si="14"/>
        <v>-75.546614972902859</v>
      </c>
      <c r="W31" s="47">
        <f>+IFERROR(HLOOKUP($C31,'[3]2월'!$F$6:$CC$57,21,),)/1000</f>
        <v>8.2347302499999646</v>
      </c>
      <c r="X31" s="59">
        <f t="shared" si="15"/>
        <v>-114.5662477299999</v>
      </c>
      <c r="Y31" s="26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333"/>
      <c r="AK31" s="86"/>
      <c r="AL31" s="86"/>
    </row>
    <row r="32" spans="2:38" s="3" customFormat="1" ht="22.5" customHeight="1">
      <c r="G32" s="338"/>
      <c r="H32" s="134" t="s">
        <v>33</v>
      </c>
      <c r="I32" s="135"/>
      <c r="J32" s="136">
        <f>SUM(J29:J31)</f>
        <v>74.37219518922079</v>
      </c>
      <c r="K32" s="140">
        <f>SUM(K29:K31)</f>
        <v>57.936999999999998</v>
      </c>
      <c r="L32" s="138">
        <f t="shared" si="10"/>
        <v>-16.435195189220792</v>
      </c>
      <c r="M32" s="138">
        <f>SUM(M29:M31)</f>
        <v>65.271999999999991</v>
      </c>
      <c r="N32" s="139">
        <f t="shared" si="11"/>
        <v>-7.3349999999999937</v>
      </c>
      <c r="O32" s="136">
        <f>SUM(O29:O31)</f>
        <v>1594.8893248714389</v>
      </c>
      <c r="P32" s="140">
        <f>SUM(P29:P31)</f>
        <v>1242.5835</v>
      </c>
      <c r="Q32" s="138">
        <f t="shared" si="12"/>
        <v>-352.30582487143897</v>
      </c>
      <c r="R32" s="138">
        <f>SUM(R29:R31)</f>
        <v>1297.0864999999999</v>
      </c>
      <c r="S32" s="139">
        <f t="shared" si="13"/>
        <v>-54.502999999999929</v>
      </c>
      <c r="T32" s="136">
        <f>SUM(T29:T31)</f>
        <v>274.09462926902677</v>
      </c>
      <c r="U32" s="140">
        <f>SUM(U29:U31)</f>
        <v>-98.142135177879311</v>
      </c>
      <c r="V32" s="138">
        <f t="shared" si="14"/>
        <v>-372.23676444690608</v>
      </c>
      <c r="W32" s="138">
        <f>SUM(W29:W31)</f>
        <v>79.17936531089299</v>
      </c>
      <c r="X32" s="139">
        <f t="shared" si="15"/>
        <v>-177.3215004887723</v>
      </c>
      <c r="Y32" s="26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(IFERROR(HLOOKUP($B33,'[1]2월'!$D$6:$BN$259,3,),)++IFERROR(HLOOKUP($C33,'[1]2월'!$D$6:$BN$259,3,),)+IFERROR(HLOOKUP($D33,'[1]2월'!$D$6:$BN$259,3,),))/1000</f>
        <v>90.84</v>
      </c>
      <c r="P33" s="46">
        <f>+IFERROR(HLOOKUP($E33,'[2]2월'!$F$6:$CP$99,3,),)/1000</f>
        <v>90.84</v>
      </c>
      <c r="Q33" s="48">
        <f t="shared" si="12"/>
        <v>0</v>
      </c>
      <c r="R33" s="47">
        <f>+IFERROR(HLOOKUP($E33,'[3]2월'!$F$6:$CC$57,3,),)/1000</f>
        <v>90.84</v>
      </c>
      <c r="S33" s="59">
        <f t="shared" si="13"/>
        <v>0</v>
      </c>
      <c r="T33" s="45">
        <f>(IFERROR(HLOOKUP($B33,'[1]2월'!$D$6:$BN$259,21,),)++IFERROR(HLOOKUP($C33,'[1]2월'!$D$6:$BN$259,21,),)+IFERROR(HLOOKUP($D33,'[1]2월'!$D$6:$BN$259,21,),))/1000</f>
        <v>72.523221000000007</v>
      </c>
      <c r="U33" s="46">
        <f>+IFERROR(HLOOKUP($E33,'[2]2월'!$F$6:$CP$99,16,),)/1000</f>
        <v>72.530954000000008</v>
      </c>
      <c r="V33" s="48">
        <f t="shared" ref="V33:V39" si="16">+U33-T33</f>
        <v>7.7330000000017662E-3</v>
      </c>
      <c r="W33" s="47">
        <f>+IFERROR(HLOOKUP($E33,'[3]2월'!$F$6:$CC$57,16,),)/1000</f>
        <v>71.965353000000007</v>
      </c>
      <c r="X33" s="59">
        <f t="shared" ref="X33:X37" si="17">+U33-W33</f>
        <v>0.56560100000000091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(+IFERROR(HLOOKUP($B34,'[1]2월'!$D$6:$BN$259,3,),)+IFERROR(HLOOKUP($C34,'[1]2월'!$D$6:$BN$259,3,),))/1000</f>
        <v>74.091499999999996</v>
      </c>
      <c r="P34" s="46">
        <f>+IFERROR(HLOOKUP($E34,'[2]2월'!$F$6:$CP$99,3,),)/1000</f>
        <v>71.999517999999995</v>
      </c>
      <c r="Q34" s="48">
        <f>+P34-O34</f>
        <v>-2.0919820000000016</v>
      </c>
      <c r="R34" s="47">
        <f>+IFERROR(HLOOKUP($E34,'[3]2월'!$F$6:$CC$57,3,),)/1000</f>
        <v>71.982758999999987</v>
      </c>
      <c r="S34" s="59">
        <f t="shared" si="13"/>
        <v>1.6759000000007518E-2</v>
      </c>
      <c r="T34" s="45">
        <f>(+IFERROR(HLOOKUP($B34,'[1]2월'!$D$6:$BN$259,21,),)+IFERROR(HLOOKUP($C34,'[1]2월'!$D$6:$BN$259,21,),))/1000</f>
        <v>63.963999999999999</v>
      </c>
      <c r="U34" s="46">
        <f>+IFERROR(HLOOKUP($E34,'[2]2월'!$F$6:$CP$99,16,),)/1000</f>
        <v>61.899625</v>
      </c>
      <c r="V34" s="48">
        <f t="shared" si="16"/>
        <v>-2.0643749999999983</v>
      </c>
      <c r="W34" s="47">
        <f>+IFERROR(HLOOKUP($E34,'[3]2월'!$F$6:$CC$57,16,),)/1000</f>
        <v>61.893705000000004</v>
      </c>
      <c r="X34" s="59">
        <f t="shared" si="17"/>
        <v>5.9199999999961506E-3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22.5" customHeight="1">
      <c r="B35" s="8" t="s">
        <v>122</v>
      </c>
      <c r="D35"/>
      <c r="E35"/>
      <c r="F35"/>
      <c r="G35" s="334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 t="shared" ref="Q35:Q38" si="20">+P35-O35</f>
        <v>0</v>
      </c>
      <c r="R35" s="47"/>
      <c r="S35" s="59">
        <f t="shared" ref="S35:S38" si="21">+P35-R35</f>
        <v>0</v>
      </c>
      <c r="T35" s="45">
        <f>-'[1]2월'!$Z$22/1000</f>
        <v>-1202.7748231145167</v>
      </c>
      <c r="U35" s="46">
        <f>+-'[2]2월'!$Z$22/1000</f>
        <v>-1276.8971018146242</v>
      </c>
      <c r="V35" s="48">
        <f t="shared" si="16"/>
        <v>-74.122278700107472</v>
      </c>
      <c r="W35" s="47">
        <f>+-'[3]2월'!$Z$22/1000</f>
        <v>-1053.3169703098511</v>
      </c>
      <c r="X35" s="59">
        <f t="shared" si="17"/>
        <v>-223.58013150477314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22.5" customHeight="1">
      <c r="D36"/>
      <c r="E36"/>
      <c r="F36"/>
      <c r="G36" s="334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 t="shared" si="20"/>
        <v>0</v>
      </c>
      <c r="R36" s="47"/>
      <c r="S36" s="59">
        <f t="shared" si="21"/>
        <v>0</v>
      </c>
      <c r="T36" s="45">
        <f>+'[1]2월'!$AS$26/1000</f>
        <v>0</v>
      </c>
      <c r="U36" s="46">
        <f>'[2]2월'!$BD$26/1000</f>
        <v>0</v>
      </c>
      <c r="V36" s="48">
        <f t="shared" si="16"/>
        <v>0</v>
      </c>
      <c r="W36" s="47">
        <f>-'[3]2월'!$BD$26/1000</f>
        <v>0</v>
      </c>
      <c r="X36" s="59">
        <f t="shared" si="17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22.5" customHeight="1">
      <c r="D37"/>
      <c r="E37"/>
      <c r="F37"/>
      <c r="G37" s="334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 t="shared" si="20"/>
        <v>0</v>
      </c>
      <c r="R37" s="47"/>
      <c r="S37" s="59">
        <f t="shared" si="21"/>
        <v>0</v>
      </c>
      <c r="T37" s="45"/>
      <c r="U37" s="46">
        <f>'[2]2월'!$BE$26/1000</f>
        <v>0</v>
      </c>
      <c r="V37" s="48">
        <f t="shared" si="16"/>
        <v>0</v>
      </c>
      <c r="W37" s="47">
        <f>'[3]2월'!$BE$26/1000</f>
        <v>310.72652699999998</v>
      </c>
      <c r="X37" s="59">
        <f t="shared" si="17"/>
        <v>-310.72652699999998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22.5" customHeight="1">
      <c r="D38"/>
      <c r="E38"/>
      <c r="F38"/>
      <c r="G38" s="334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 t="shared" si="20"/>
        <v>0</v>
      </c>
      <c r="R38" s="47">
        <f>+IFERROR(HLOOKUP($I$38,'[3]2월'!$F$6:$BJ$50,3,),)/1000</f>
        <v>0</v>
      </c>
      <c r="S38" s="59">
        <f t="shared" si="21"/>
        <v>0</v>
      </c>
      <c r="T38" s="45">
        <f>SUM('[1]2월'!$AM$26:$AQ$26)/1000</f>
        <v>-32.504495999999996</v>
      </c>
      <c r="U38" s="46">
        <f>+'[2]2월'!$BF$26/1000</f>
        <v>-31.585608999999998</v>
      </c>
      <c r="V38" s="48">
        <f t="shared" si="16"/>
        <v>0.91888699999999801</v>
      </c>
      <c r="W38" s="47">
        <f>+'[3]2월'!$BF$26/1000</f>
        <v>-35.452237000000004</v>
      </c>
      <c r="X38" s="59">
        <f>+U38-W38</f>
        <v>3.8666280000000057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22.5" customHeight="1">
      <c r="B39" t="s">
        <v>30</v>
      </c>
      <c r="D39"/>
      <c r="G39" s="334" t="str">
        <f t="shared" si="18"/>
        <v>퇴직금</v>
      </c>
      <c r="H39" s="81"/>
      <c r="I39" s="82" t="s">
        <v>208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+'[2]2월'!$BG$26/1000</f>
        <v>0</v>
      </c>
      <c r="V39" s="48">
        <f t="shared" si="16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IFERROR(HLOOKUP($B39,'[1]2월'!$D$6:$BN$259,3,),)/1000</f>
        <v>1.77</v>
      </c>
      <c r="P40" s="46">
        <f>+('[2]2월'!$F$8-SUM('[2]2월'!$Z$8,'[2]2월'!$AH$8,'[2]2월'!$AN$8,'[2]2월'!$AO$8,'[2]2월'!$BA$8,'[2]2월'!$BD$8,'[2]2월'!$BE$8,'[2]2월'!$BF$8))/1000</f>
        <v>1.6798500000014902</v>
      </c>
      <c r="Q40" s="54">
        <f>+P40-O40</f>
        <v>-9.0149999998509811E-2</v>
      </c>
      <c r="R40" s="60">
        <f>+('[3]2월'!$F$8-SUM('[3]2월'!$Z$8,'[3]2월'!$AH$8,'[3]2월'!$AN$8,'[3]2월'!$AO$8,'[3]2월'!$BA$8,'[3]2월'!$BD$8,'[3]2월'!$BE$8,'[3]2월'!$BF$8))/1000</f>
        <v>1.70239999999851</v>
      </c>
      <c r="S40" s="61">
        <f>+P40-R40</f>
        <v>-2.2549999997019787E-2</v>
      </c>
      <c r="T40" s="45">
        <f>+('[1]2월'!$E$26-'[1]2월'!$Z$26-'[1]2월'!$AA$26-'[1]2월'!$AE$26-'[1]2월'!$AL$26-'[1]2월'!$AM$26-'[1]2월'!$AN$26-'[1]2월'!$AO$26-'[1]2월'!$AP$26-'[1]2월'!$AQ$26-'[1]2월'!$AS$26)/1000</f>
        <v>-16.802745000000993</v>
      </c>
      <c r="U40" s="46">
        <f>+('[2]2월'!$F$26-SUM('[2]2월'!$Z$26,'[2]2월'!$AH$26,'[2]2월'!$AN$26,'[2]2월'!$AO$26,'[2]2월'!$BA$26,'[2]2월'!$BD$26,'[2]2월'!$BE$26,'[2]2월'!$BF$26))/1000-U39</f>
        <v>-16.010089999994729</v>
      </c>
      <c r="V40" s="48">
        <f>+U40-T40</f>
        <v>0.79265500000626332</v>
      </c>
      <c r="W40" s="60">
        <f>+('[3]2월'!$F$26-SUM('[3]2월'!$Z$26,'[3]2월'!$AH$26,'[3]2월'!$AN$26,'[3]2월'!$AO$26,'[3]2월'!$BA$26,'[3]2월'!$BD$26,'[3]2월'!$BE$26,'[3]2월'!$BF$26))/1000</f>
        <v>-14.483713000006741</v>
      </c>
      <c r="X40" s="59">
        <f>+U40-W40</f>
        <v>-1.5263769999879884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166.70150000000001</v>
      </c>
      <c r="P41" s="137">
        <f>SUM(P33:P40)</f>
        <v>164.51936800000149</v>
      </c>
      <c r="Q41" s="141">
        <f t="shared" si="12"/>
        <v>-2.1821319999985178</v>
      </c>
      <c r="R41" s="142">
        <f>SUM(R33:R40)</f>
        <v>164.5251589999985</v>
      </c>
      <c r="S41" s="143">
        <f>+P41-R41</f>
        <v>-5.7909999970036097E-3</v>
      </c>
      <c r="T41" s="136">
        <f>SUM(T33:T40)</f>
        <v>-1115.5948431145177</v>
      </c>
      <c r="U41" s="137">
        <f>SUM(U33:U40)</f>
        <v>-1190.0622218146189</v>
      </c>
      <c r="V41" s="141">
        <f>+U41-T41</f>
        <v>-74.467378700101108</v>
      </c>
      <c r="W41" s="142">
        <f>SUM(W33:W40)</f>
        <v>-658.66733530985778</v>
      </c>
      <c r="X41" s="143">
        <f>+U41-W41</f>
        <v>-531.39488650476108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22.5" customHeight="1">
      <c r="G43" s="339">
        <f>+P43/O43</f>
        <v>0.85897160833969033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35748.405908727793</v>
      </c>
      <c r="P43" s="280">
        <f>+P27+P32+P28+P41</f>
        <v>30706.865719000001</v>
      </c>
      <c r="Q43" s="281">
        <f t="shared" si="12"/>
        <v>-5041.5401897277916</v>
      </c>
      <c r="R43" s="282">
        <f>+R27+R32+R28+R41</f>
        <v>30448.812223999994</v>
      </c>
      <c r="S43" s="283">
        <f>+P43-R43</f>
        <v>258.05349500000739</v>
      </c>
      <c r="T43" s="279">
        <f>+T27+T32+T28+T41</f>
        <v>705.24788339309134</v>
      </c>
      <c r="U43" s="280">
        <f>+U27+U32+U28+U41</f>
        <v>-335.36999599249862</v>
      </c>
      <c r="V43" s="281">
        <f>+U43-T43</f>
        <v>-1040.61787938559</v>
      </c>
      <c r="W43" s="282">
        <f>+W27+W32+W28+W41</f>
        <v>1159.2564160010343</v>
      </c>
      <c r="X43" s="283">
        <f>+U43-W43</f>
        <v>-1494.6264119935329</v>
      </c>
      <c r="Y43" s="739"/>
      <c r="Z43" s="740"/>
      <c r="AA43" s="740"/>
      <c r="AB43" s="740"/>
      <c r="AC43" s="740"/>
      <c r="AD43" s="740"/>
      <c r="AE43" s="740"/>
      <c r="AF43" s="740"/>
      <c r="AG43" s="741"/>
      <c r="AH43" s="25"/>
    </row>
    <row r="44" spans="2:38" s="33" customFormat="1">
      <c r="G44" s="336">
        <f>+U43/T43</f>
        <v>-0.47553492025947697</v>
      </c>
      <c r="P44" s="295">
        <f>+P43/O43</f>
        <v>0.85897160833969033</v>
      </c>
      <c r="T44" s="295">
        <f>+T43/O43</f>
        <v>1.9728093196483165E-2</v>
      </c>
      <c r="U44" s="295">
        <f>+U43/P43</f>
        <v>-1.09216615939082E-2</v>
      </c>
      <c r="AC44" s="34"/>
      <c r="AF44" s="34"/>
    </row>
    <row r="45" spans="2:38" s="33" customFormat="1" ht="17.25" thickBot="1">
      <c r="G45" s="340"/>
      <c r="AC45" s="34"/>
      <c r="AF45" s="34"/>
    </row>
    <row r="46" spans="2:38" s="33" customFormat="1">
      <c r="G46" s="340"/>
      <c r="I46" s="736" t="s">
        <v>82</v>
      </c>
      <c r="J46" s="126">
        <f>+'[1]2월'!$Z$7/1000</f>
        <v>227</v>
      </c>
      <c r="K46" s="127">
        <f>+'[2]2월'!$AI$7/1000</f>
        <v>210.779</v>
      </c>
      <c r="L46" s="127"/>
      <c r="M46" s="127">
        <f>+'[3]2월'!$Z$7/1000</f>
        <v>217.5565</v>
      </c>
      <c r="N46" s="127"/>
      <c r="O46" s="127">
        <f>+'[1]2월'!$E$8/1000</f>
        <v>35748.405908727793</v>
      </c>
      <c r="P46" s="127">
        <f>+'[2]2월'!$F$8/1000</f>
        <v>30706.865719000005</v>
      </c>
      <c r="Q46" s="127"/>
      <c r="R46" s="127">
        <f>+'[3]2월'!$F$8/1000</f>
        <v>30448.812223999998</v>
      </c>
      <c r="S46" s="127"/>
      <c r="T46" s="132">
        <f>+'[1]2월'!$E$26/1000</f>
        <v>705.24788339309418</v>
      </c>
      <c r="U46" s="127">
        <f>+'[2]2월'!$F$26/1000</f>
        <v>-335.36999599249896</v>
      </c>
      <c r="V46" s="127"/>
      <c r="W46" s="127">
        <f>+'[3]2월'!$F$26/1000</f>
        <v>1159.256416001034</v>
      </c>
      <c r="X46" s="128"/>
      <c r="AC46" s="34"/>
      <c r="AF46" s="34"/>
    </row>
    <row r="47" spans="2:38" s="33" customFormat="1" ht="17.25" thickBot="1">
      <c r="G47" s="340"/>
      <c r="I47" s="736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2.8421709430404007E-12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>
      <c r="T48" s="294"/>
      <c r="U48" s="294"/>
      <c r="V48" s="294"/>
    </row>
    <row r="49" spans="10:33">
      <c r="T49" s="294"/>
      <c r="U49" s="294"/>
      <c r="V49" s="294"/>
      <c r="AC49" s="34"/>
      <c r="AD49" s="33"/>
      <c r="AE49" s="33"/>
      <c r="AF49" s="34"/>
    </row>
    <row r="50" spans="10:33">
      <c r="S50" t="s">
        <v>40</v>
      </c>
      <c r="T50" s="236">
        <f>(+T27+T35)/100</f>
        <v>1.7235251660487778</v>
      </c>
      <c r="U50" s="236">
        <f>(+U27+U35)/100</f>
        <v>-3.3492445381462428</v>
      </c>
      <c r="V50" s="236">
        <f>+U50-T50</f>
        <v>-5.0727697041950206</v>
      </c>
      <c r="W50" s="235">
        <f>+U50/T50-1</f>
        <v>-2.9432524712270176</v>
      </c>
      <c r="AC50" s="34"/>
      <c r="AD50" s="33"/>
      <c r="AE50" s="33"/>
      <c r="AF50" s="34"/>
    </row>
    <row r="51" spans="10:33">
      <c r="S51" t="s">
        <v>3</v>
      </c>
      <c r="T51" s="6">
        <f>+T28/100</f>
        <v>1.7162075751918773</v>
      </c>
      <c r="U51" s="6">
        <f>+U28/100</f>
        <v>0.10861712999999597</v>
      </c>
      <c r="V51" s="236">
        <f t="shared" ref="V51:V56" si="22">+U51-T51</f>
        <v>-1.6075904451918812</v>
      </c>
      <c r="Y51" s="228" t="s">
        <v>213</v>
      </c>
      <c r="AC51" s="34"/>
      <c r="AD51" s="33"/>
      <c r="AE51" s="33"/>
      <c r="AF51" s="34"/>
    </row>
    <row r="52" spans="10:33">
      <c r="S52" t="s">
        <v>1</v>
      </c>
      <c r="T52" s="6">
        <f>+T32/100</f>
        <v>2.7409462926902677</v>
      </c>
      <c r="U52" s="6">
        <f>+U32/100</f>
        <v>-0.98142135177879308</v>
      </c>
      <c r="V52" s="236">
        <f t="shared" si="22"/>
        <v>-3.7223676444690605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1.3648722100000001</v>
      </c>
      <c r="U53" s="6">
        <f>(U33+U34)/100</f>
        <v>1.3443057900000002</v>
      </c>
      <c r="V53" s="236">
        <f t="shared" si="22"/>
        <v>-2.0566419999999974E-2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-0.49307240999998081</v>
      </c>
      <c r="U54" s="236">
        <f>(U46/100)-U50-U51-U52-U53</f>
        <v>-0.47595698999994973</v>
      </c>
      <c r="V54" s="236">
        <f t="shared" si="22"/>
        <v>1.7115420000031079E-2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0.87179980000001933</v>
      </c>
      <c r="U55" s="236">
        <f>SUM(U53:U54)</f>
        <v>0.86834880000005044</v>
      </c>
      <c r="V55" s="236">
        <f>SUM(V53:V54)</f>
        <v>-3.4509999999688956E-3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7.0524788339309428</v>
      </c>
      <c r="U56" s="236">
        <f>SUM(U50:U54)</f>
        <v>-3.3536999599249899</v>
      </c>
      <c r="V56" s="236">
        <f t="shared" si="22"/>
        <v>-10.406178793855933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1.3648722100000001</v>
      </c>
      <c r="U58" s="294">
        <f>+(U33+U34)/100</f>
        <v>1.3443057900000002</v>
      </c>
      <c r="V58" s="236">
        <f>+U58-T58</f>
        <v>-2.0566419999999974E-2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3">+T36/100</f>
        <v>0</v>
      </c>
      <c r="U59" s="236">
        <f t="shared" si="23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23"/>
        <v>0</v>
      </c>
      <c r="U60" s="236">
        <f t="shared" si="23"/>
        <v>0</v>
      </c>
      <c r="V60" s="236">
        <f>+U60-T60</f>
        <v>0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23"/>
        <v>-0.32504495999999994</v>
      </c>
      <c r="U61" s="236">
        <f t="shared" si="23"/>
        <v>-0.31585608999999998</v>
      </c>
      <c r="V61" s="236">
        <f>+U61-T61</f>
        <v>9.1888699999999601E-3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-0.16802745000000993</v>
      </c>
      <c r="U62" s="236">
        <f>+U40/100</f>
        <v>-0.16010089999994728</v>
      </c>
      <c r="V62" s="236">
        <f>+U62-T62</f>
        <v>7.9265500000626488E-3</v>
      </c>
      <c r="AC62" s="236"/>
      <c r="AD62" s="236"/>
      <c r="AE62" s="236"/>
    </row>
    <row r="63" spans="10:33">
      <c r="T63" s="6">
        <f>SUM(T58:T62)</f>
        <v>0.87179979999999013</v>
      </c>
      <c r="U63" s="6">
        <f>SUM(U58:U62)</f>
        <v>0.86834880000005288</v>
      </c>
      <c r="V63" s="6">
        <f>SUM(V58:V62)</f>
        <v>-3.4509999999373653E-3</v>
      </c>
      <c r="AC63" s="236"/>
      <c r="AE63" s="236"/>
    </row>
    <row r="64" spans="10:33">
      <c r="AC64" s="236"/>
      <c r="AE64" s="236"/>
    </row>
    <row r="65" spans="29:31">
      <c r="AC65" s="236"/>
      <c r="AE65" s="236"/>
    </row>
    <row r="66" spans="29:31">
      <c r="AC66" s="236"/>
      <c r="AE66" s="236"/>
    </row>
    <row r="67" spans="29:31">
      <c r="AC67" s="236"/>
      <c r="AE67" s="236"/>
    </row>
    <row r="68" spans="29:31">
      <c r="AC68" s="236"/>
      <c r="AE68" s="236"/>
    </row>
    <row r="69" spans="29:31">
      <c r="AC69" s="236"/>
      <c r="AE69" s="236"/>
    </row>
    <row r="70" spans="29:31">
      <c r="AC70" s="236"/>
      <c r="AE70" s="236"/>
    </row>
    <row r="71" spans="29:31">
      <c r="AC71" s="236"/>
      <c r="AE71" s="236"/>
    </row>
    <row r="72" spans="29:31">
      <c r="AC72" s="236"/>
      <c r="AE72" s="236"/>
    </row>
    <row r="73" spans="29:31">
      <c r="AC73" s="236"/>
      <c r="AE73" s="236"/>
    </row>
    <row r="74" spans="29:31">
      <c r="AC74" s="236"/>
      <c r="AE74" s="236"/>
    </row>
    <row r="75" spans="29:31">
      <c r="AC75" s="236"/>
      <c r="AE75" s="236"/>
    </row>
    <row r="76" spans="29:31">
      <c r="AC76" s="236"/>
      <c r="AE76" s="236"/>
    </row>
    <row r="77" spans="29:31">
      <c r="AC77" s="236"/>
      <c r="AE77" s="236"/>
    </row>
    <row r="78" spans="29:31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view="pageBreakPreview" topLeftCell="E25" zoomScale="85" zoomScaleNormal="85" zoomScaleSheetLayoutView="85" workbookViewId="0">
      <selection activeCell="L31" sqref="L31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>
      <c r="H1" s="4"/>
      <c r="K1" s="6"/>
      <c r="L1" s="6"/>
      <c r="P1" s="6"/>
      <c r="Q1" s="6"/>
    </row>
    <row r="2" spans="1:36" ht="18" customHeight="1">
      <c r="H2" s="7"/>
      <c r="AD2" s="5"/>
      <c r="AG2" s="5"/>
    </row>
    <row r="3" spans="1:36" ht="26.25">
      <c r="H3" s="4" t="s">
        <v>216</v>
      </c>
      <c r="AD3" s="5"/>
      <c r="AG3" s="5"/>
    </row>
    <row r="4" spans="1:36" ht="18" customHeight="1">
      <c r="H4" s="7"/>
      <c r="AD4" s="5"/>
      <c r="AG4" s="5" t="s">
        <v>77</v>
      </c>
    </row>
    <row r="5" spans="1:36" s="8" customFormat="1" ht="19.5" customHeight="1">
      <c r="G5" s="334"/>
      <c r="H5" s="732" t="s">
        <v>11</v>
      </c>
      <c r="I5" s="733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>
      <c r="A6" s="8" t="s">
        <v>217</v>
      </c>
      <c r="G6" s="334"/>
      <c r="H6" s="734"/>
      <c r="I6" s="735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+IFERROR(HLOOKUP($B7,'[1]2월누계'!$D$6:$BN$259,2,),)/1000</f>
        <v>62</v>
      </c>
      <c r="K7" s="36">
        <f>+IFERROR(HLOOKUP($B7,'[2]2월누계'!$F$6:$CP$99,2,),)/1000</f>
        <v>62.101999999999997</v>
      </c>
      <c r="L7" s="37">
        <f t="shared" ref="L7:L32" si="0">+K7-J7</f>
        <v>0.10199999999999676</v>
      </c>
      <c r="M7" s="38">
        <f>+IFERROR(HLOOKUP($B7,'[3]2월누계'!$F$6:$CC$57,2,),)/1000</f>
        <v>83.472999999999999</v>
      </c>
      <c r="N7" s="39">
        <f>+K7-M7</f>
        <v>-21.371000000000002</v>
      </c>
      <c r="O7" s="35">
        <f>+IFERROR(HLOOKUP($B7,'[1]2월누계'!$D$6:$BN$259,3,),)/1000</f>
        <v>6098.3480299999992</v>
      </c>
      <c r="P7" s="36">
        <f>+IFERROR(HLOOKUP($B7,'[2]2월누계'!$F$6:$CP$99,3,),)/1000</f>
        <v>6088.3025680000001</v>
      </c>
      <c r="Q7" s="37">
        <f>+P7-O7</f>
        <v>-10.045461999999134</v>
      </c>
      <c r="R7" s="38">
        <f>+IFERROR(HLOOKUP($B7,'[3]2월누계'!$F$6:$CC$57,3,),)/1000</f>
        <v>8145.4069</v>
      </c>
      <c r="S7" s="39">
        <f>+P7-R7</f>
        <v>-2057.1043319999999</v>
      </c>
      <c r="T7" s="35">
        <f>+IFERROR(HLOOKUP($B7,'[1]2월누계'!$D$6:$BN$259,16,),)/1000</f>
        <v>325.93432305338411</v>
      </c>
      <c r="U7" s="36">
        <f>+IFERROR(HLOOKUP($B7,'[2]2월누계'!$F$6:$CP$99,16,),)/1000</f>
        <v>353.64214400000043</v>
      </c>
      <c r="V7" s="40">
        <f>+U7-T7</f>
        <v>27.707820946616323</v>
      </c>
      <c r="W7" s="41">
        <f>+IFERROR(HLOOKUP($B7,'[3]2월누계'!$F$6:$CC$57,16,),)/1000</f>
        <v>788.53204399999947</v>
      </c>
      <c r="X7" s="39">
        <f>+U7-W7</f>
        <v>-434.88989999999905</v>
      </c>
      <c r="Y7" s="35">
        <f>+[8]안양!$Q$85</f>
        <v>98219.130999999979</v>
      </c>
      <c r="Z7" s="36">
        <f>+[8]안양!$R$85</f>
        <v>98025.663399063473</v>
      </c>
      <c r="AA7" s="42">
        <f>+[9]안양!$Q$85</f>
        <v>97581.336480059414</v>
      </c>
      <c r="AB7" s="43">
        <f>+[8]안양!$Q$89</f>
        <v>82566.624014714194</v>
      </c>
      <c r="AC7" s="36">
        <f>+[8]안양!$R$89</f>
        <v>82531.062187079748</v>
      </c>
      <c r="AD7" s="44">
        <f>+[9]안양!$Q$89</f>
        <v>80540.047562012682</v>
      </c>
      <c r="AE7" s="43">
        <f>+Y7-AB7</f>
        <v>15652.506985285785</v>
      </c>
      <c r="AF7" s="36">
        <f>+Z7-AC7</f>
        <v>15494.601211983725</v>
      </c>
      <c r="AG7" s="44">
        <f>+AA7-AD7</f>
        <v>17041.288918046732</v>
      </c>
      <c r="AH7" s="17"/>
      <c r="AI7" s="18"/>
    </row>
    <row r="8" spans="1:36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+IFERROR(HLOOKUP($B8,'[1]2월누계'!$D$6:$BN$259,2,),)/1000</f>
        <v>50</v>
      </c>
      <c r="K8" s="46">
        <f>+IFERROR(HLOOKUP($B8,'[2]2월누계'!$F$6:$CP$99,2,),)/1000</f>
        <v>37.389000000000003</v>
      </c>
      <c r="L8" s="47">
        <f t="shared" si="0"/>
        <v>-12.610999999999997</v>
      </c>
      <c r="M8" s="48">
        <f>+IFERROR(HLOOKUP($B8,'[3]2월누계'!$F$6:$CC$57,2,),)/1000</f>
        <v>51.84</v>
      </c>
      <c r="N8" s="49">
        <f t="shared" ref="N8:N32" si="2">+K8-M8</f>
        <v>-14.451000000000001</v>
      </c>
      <c r="O8" s="45">
        <f>+IFERROR(HLOOKUP($B8,'[1]2월누계'!$D$6:$BN$259,3,),)/1000</f>
        <v>4877.186236809498</v>
      </c>
      <c r="P8" s="46">
        <f>+IFERROR(HLOOKUP($B8,'[2]2월누계'!$F$6:$CP$99,3,),)/1000</f>
        <v>3697.3737119999996</v>
      </c>
      <c r="Q8" s="47">
        <f t="shared" ref="Q8:Q43" si="3">+P8-O8</f>
        <v>-1179.8125248094984</v>
      </c>
      <c r="R8" s="48">
        <f>+IFERROR(HLOOKUP($B8,'[3]2월누계'!$F$6:$CC$57,3,),)/1000</f>
        <v>5123.5698490000004</v>
      </c>
      <c r="S8" s="49">
        <f t="shared" ref="S8:S38" si="4">+P8-R8</f>
        <v>-1426.1961370000008</v>
      </c>
      <c r="T8" s="45">
        <f>+IFERROR(HLOOKUP($B8,'[1]2월누계'!$D$6:$BN$259,16,),)/1000</f>
        <v>88.876540000772025</v>
      </c>
      <c r="U8" s="46">
        <f>+IFERROR(HLOOKUP($B8,'[2]2월누계'!$F$6:$CP$99,16,),)/1000</f>
        <v>-176.53010199999983</v>
      </c>
      <c r="V8" s="47">
        <f t="shared" ref="V8:V39" si="5">+U8-T8</f>
        <v>-265.40664200077185</v>
      </c>
      <c r="W8" s="48">
        <f>+IFERROR(HLOOKUP($B8,'[3]2월누계'!$F$6:$CC$57,16,),)/1000</f>
        <v>240.8827040000011</v>
      </c>
      <c r="X8" s="49">
        <f t="shared" ref="X8:X37" si="6">+U8-W8</f>
        <v>-417.41280600000096</v>
      </c>
      <c r="Y8" s="45">
        <f>+[8]인천!$Q$85</f>
        <v>97359.534736189962</v>
      </c>
      <c r="Z8" s="46">
        <f>+[8]인천!$R$85</f>
        <v>98889.344780550426</v>
      </c>
      <c r="AA8" s="50">
        <f>+[9]인천!$Q$85</f>
        <v>98834.294926697534</v>
      </c>
      <c r="AB8" s="51">
        <f>+[8]인천!$Q$89</f>
        <v>83665.024721053094</v>
      </c>
      <c r="AC8" s="46">
        <f>+[8]인천!$R$89</f>
        <v>87267.399652638604</v>
      </c>
      <c r="AD8" s="52">
        <f>+[9]인천!$Q$89</f>
        <v>83169.15364884671</v>
      </c>
      <c r="AE8" s="51">
        <f t="shared" ref="AE8:AG27" si="7">+Y8-AB8</f>
        <v>13694.510015136868</v>
      </c>
      <c r="AF8" s="46">
        <f t="shared" si="7"/>
        <v>11621.945127911822</v>
      </c>
      <c r="AG8" s="52">
        <f t="shared" si="7"/>
        <v>15665.141277850824</v>
      </c>
      <c r="AH8" s="17"/>
      <c r="AI8" s="18"/>
      <c r="AJ8" s="84"/>
    </row>
    <row r="9" spans="1:36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+IFERROR(HLOOKUP($B9,'[1]2월누계'!$D$6:$BN$259,2,),)/1000</f>
        <v>30</v>
      </c>
      <c r="K9" s="46">
        <f>+IFERROR(HLOOKUP($B9,'[2]2월누계'!$F$6:$CP$99,2,),)/1000</f>
        <v>18.888000000000002</v>
      </c>
      <c r="L9" s="47">
        <f t="shared" si="0"/>
        <v>-11.111999999999998</v>
      </c>
      <c r="M9" s="48">
        <f>+IFERROR(HLOOKUP($B9,'[3]2월누계'!$F$6:$CC$57,2,),)/1000</f>
        <v>41.351999999999997</v>
      </c>
      <c r="N9" s="49">
        <f t="shared" si="2"/>
        <v>-22.463999999999995</v>
      </c>
      <c r="O9" s="45">
        <f>+IFERROR(HLOOKUP($B9,'[1]2월누계'!$D$6:$BN$259,3,),)/1000</f>
        <v>2893.6264962</v>
      </c>
      <c r="P9" s="46">
        <f>+IFERROR(HLOOKUP($B9,'[2]2월누계'!$F$6:$CP$99,3,),)/1000</f>
        <v>1818.6236000000001</v>
      </c>
      <c r="Q9" s="47">
        <f t="shared" si="3"/>
        <v>-1075.0028961999999</v>
      </c>
      <c r="R9" s="48">
        <f>+IFERROR(HLOOKUP($B9,'[3]2월누계'!$F$6:$CC$57,3,),)/1000</f>
        <v>4220.6218449999997</v>
      </c>
      <c r="S9" s="49">
        <f t="shared" si="4"/>
        <v>-2401.9982449999998</v>
      </c>
      <c r="T9" s="45">
        <f>+IFERROR(HLOOKUP($B9,'[1]2월누계'!$D$6:$BN$259,16,),)/1000</f>
        <v>9.1280335994004425</v>
      </c>
      <c r="U9" s="46">
        <f>+IFERROR(HLOOKUP($B9,'[2]2월누계'!$F$6:$CP$99,16,),)/1000</f>
        <v>-149.2840149999997</v>
      </c>
      <c r="V9" s="47">
        <f t="shared" si="5"/>
        <v>-158.41204859940015</v>
      </c>
      <c r="W9" s="48">
        <f>+IFERROR(HLOOKUP($B9,'[3]2월누계'!$F$6:$CC$57,16,),)/1000</f>
        <v>241.86419099999995</v>
      </c>
      <c r="X9" s="49">
        <f t="shared" si="6"/>
        <v>-391.14820599999962</v>
      </c>
      <c r="Y9" s="45">
        <f>+[8]파주!$Q$85</f>
        <v>96266.345814285713</v>
      </c>
      <c r="Z9" s="46">
        <f>+[8]파주!$R$85</f>
        <v>96284.603981363834</v>
      </c>
      <c r="AA9" s="50">
        <f>+[9]파주!$Q$85</f>
        <v>102073.71103204571</v>
      </c>
      <c r="AB9" s="51">
        <f>+[8]파주!$Q$89</f>
        <v>79356.81976663784</v>
      </c>
      <c r="AC9" s="46">
        <f>+[8]파주!$R$89</f>
        <v>80397.387847994061</v>
      </c>
      <c r="AD9" s="52">
        <f>+[9]파주!$Q$89</f>
        <v>84198.572673152317</v>
      </c>
      <c r="AE9" s="51">
        <f t="shared" si="7"/>
        <v>16909.526047647872</v>
      </c>
      <c r="AF9" s="46">
        <f t="shared" si="7"/>
        <v>15887.216133369773</v>
      </c>
      <c r="AG9" s="52">
        <f t="shared" si="7"/>
        <v>17875.138358893397</v>
      </c>
      <c r="AH9" s="17"/>
      <c r="AI9" s="18"/>
      <c r="AJ9" s="84"/>
    </row>
    <row r="10" spans="1:36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+IFERROR(HLOOKUP($B10,'[1]2월누계'!$D$6:$BN$259,2,),)/1000</f>
        <v>17</v>
      </c>
      <c r="K10" s="46">
        <f>+IFERROR(HLOOKUP($B10,'[2]2월누계'!$F$6:$CP$99,2,),)/1000</f>
        <v>12.789</v>
      </c>
      <c r="L10" s="47">
        <f t="shared" si="0"/>
        <v>-4.2110000000000003</v>
      </c>
      <c r="M10" s="48">
        <f>+IFERROR(HLOOKUP($B10,'[3]2월누계'!$F$6:$CC$57,2,),)/1000</f>
        <v>11.157999999999999</v>
      </c>
      <c r="N10" s="49">
        <f t="shared" si="2"/>
        <v>1.6310000000000002</v>
      </c>
      <c r="O10" s="45">
        <f>+IFERROR(HLOOKUP($B10,'[1]2월누계'!$D$6:$BN$259,3,),)/1000</f>
        <v>1638.0249300000003</v>
      </c>
      <c r="P10" s="46">
        <f>+IFERROR(HLOOKUP($B10,'[2]2월누계'!$F$6:$CP$99,3,),)/1000</f>
        <v>1231.1970019999999</v>
      </c>
      <c r="Q10" s="47">
        <f t="shared" si="3"/>
        <v>-406.82792800000038</v>
      </c>
      <c r="R10" s="48">
        <f>+IFERROR(HLOOKUP($B10,'[3]2월누계'!$F$6:$CC$57,3,),)/1000</f>
        <v>1056.8849909999999</v>
      </c>
      <c r="S10" s="49">
        <f t="shared" si="4"/>
        <v>174.31201099999998</v>
      </c>
      <c r="T10" s="45">
        <f>+IFERROR(HLOOKUP($B10,'[1]2월누계'!$D$6:$BN$259,16,),)/1000</f>
        <v>-7.6073115460322374</v>
      </c>
      <c r="U10" s="46">
        <f>+IFERROR(HLOOKUP($B10,'[2]2월누계'!$F$6:$CP$99,16,),)/1000</f>
        <v>-154.20577600000016</v>
      </c>
      <c r="V10" s="47">
        <f t="shared" si="5"/>
        <v>-146.59846445396792</v>
      </c>
      <c r="W10" s="48">
        <f>+IFERROR(HLOOKUP($B10,'[3]2월누계'!$F$6:$CC$57,16,),)/1000</f>
        <v>-120.97256200000007</v>
      </c>
      <c r="X10" s="49">
        <f t="shared" si="6"/>
        <v>-33.233214000000089</v>
      </c>
      <c r="Y10" s="45">
        <f>+[8]김포!$Q$85</f>
        <v>97241.400000000009</v>
      </c>
      <c r="Z10" s="46">
        <f>+[8]김포!$R$85</f>
        <v>96287.156766064014</v>
      </c>
      <c r="AA10" s="50">
        <f>+[9]김포!$Q$85</f>
        <v>94719.931080838855</v>
      </c>
      <c r="AB10" s="51">
        <f>+[8]김포!$Q$89</f>
        <v>77127.92809863927</v>
      </c>
      <c r="AC10" s="46">
        <f>+[8]김포!$R$89</f>
        <v>82811.251466103684</v>
      </c>
      <c r="AD10" s="52">
        <f>+[9]김포!$Q$89</f>
        <v>78222.8405511811</v>
      </c>
      <c r="AE10" s="51">
        <f t="shared" si="7"/>
        <v>20113.471901360739</v>
      </c>
      <c r="AF10" s="46">
        <f t="shared" si="7"/>
        <v>13475.90529996033</v>
      </c>
      <c r="AG10" s="52">
        <f t="shared" si="7"/>
        <v>16497.090529657755</v>
      </c>
      <c r="AH10" s="17"/>
      <c r="AI10" s="18"/>
      <c r="AJ10" s="84"/>
    </row>
    <row r="11" spans="1:36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+IFERROR(HLOOKUP($B11,'[1]2월누계'!$D$6:$BN$259,2,),)/1000</f>
        <v>36</v>
      </c>
      <c r="K11" s="63">
        <f>+IFERROR(HLOOKUP($B11,'[2]2월누계'!$F$6:$CP$99,2,),)/1000</f>
        <v>30.628</v>
      </c>
      <c r="L11" s="64">
        <f t="shared" si="0"/>
        <v>-5.3719999999999999</v>
      </c>
      <c r="M11" s="65">
        <f>+IFERROR(HLOOKUP($B11,'[3]2월누계'!$F$6:$CC$57,2,),)/1000</f>
        <v>40.465000000000003</v>
      </c>
      <c r="N11" s="66">
        <f t="shared" si="2"/>
        <v>-9.8370000000000033</v>
      </c>
      <c r="O11" s="62">
        <f>+IFERROR(HLOOKUP($B11,'[1]2월누계'!$D$6:$BN$259,3,),)/1000</f>
        <v>3877.20244602</v>
      </c>
      <c r="P11" s="63">
        <f>+IFERROR(HLOOKUP($B11,'[2]2월누계'!$F$6:$CP$99,3,),)/1000</f>
        <v>3240.3391000000001</v>
      </c>
      <c r="Q11" s="64">
        <f t="shared" si="3"/>
        <v>-636.86334601999988</v>
      </c>
      <c r="R11" s="65">
        <f>+IFERROR(HLOOKUP($B11,'[3]2월누계'!$F$6:$CC$57,3,),)/1000</f>
        <v>4393.8047660000002</v>
      </c>
      <c r="S11" s="66">
        <f t="shared" si="4"/>
        <v>-1153.4656660000001</v>
      </c>
      <c r="T11" s="62">
        <f>+IFERROR(HLOOKUP($B11,'[1]2월누계'!$D$6:$BN$259,16,),)/1000</f>
        <v>263.60494330791374</v>
      </c>
      <c r="U11" s="63">
        <f>+IFERROR(HLOOKUP($B11,'[2]2월누계'!$F$6:$CP$99,16,),)/1000</f>
        <v>160.24381700000018</v>
      </c>
      <c r="V11" s="64">
        <f t="shared" si="5"/>
        <v>-103.36112630791357</v>
      </c>
      <c r="W11" s="65">
        <f>+IFERROR(HLOOKUP($B11,'[3]2월누계'!$F$6:$CC$57,16,),)/1000</f>
        <v>500.25937499999986</v>
      </c>
      <c r="X11" s="66">
        <f t="shared" si="6"/>
        <v>-340.01555799999971</v>
      </c>
      <c r="Y11" s="62">
        <f>+[8]부산!$Q$85</f>
        <v>107700.25336352941</v>
      </c>
      <c r="Z11" s="63">
        <f>+[8]부산!$R$85</f>
        <v>105796.62726916547</v>
      </c>
      <c r="AA11" s="67">
        <f>+[9]부산!$Q$85</f>
        <v>108582.84359322871</v>
      </c>
      <c r="AB11" s="68">
        <f>+[8]부산!$Q$89</f>
        <v>84823.952051936794</v>
      </c>
      <c r="AC11" s="63">
        <f>+[8]부산!$R$89</f>
        <v>84537.42596996449</v>
      </c>
      <c r="AD11" s="69">
        <f>+[9]부산!$Q$89</f>
        <v>84409.345412832728</v>
      </c>
      <c r="AE11" s="68">
        <f t="shared" si="7"/>
        <v>22876.301311592615</v>
      </c>
      <c r="AF11" s="63">
        <f t="shared" si="7"/>
        <v>21259.201299200984</v>
      </c>
      <c r="AG11" s="69">
        <f t="shared" si="7"/>
        <v>24173.498180395982</v>
      </c>
      <c r="AH11" s="17"/>
      <c r="AI11" s="18"/>
      <c r="AJ11" s="84"/>
    </row>
    <row r="12" spans="1:36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+IFERROR(HLOOKUP($B12,'[1]2월누계'!$D$6:$BN$259,2,),)/1000</f>
        <v>34</v>
      </c>
      <c r="K12" s="46">
        <f>+IFERROR(HLOOKUP($B12,'[2]2월누계'!$F$6:$CP$99,2,),)/1000</f>
        <v>30.295999999999999</v>
      </c>
      <c r="L12" s="47">
        <f t="shared" si="0"/>
        <v>-3.7040000000000006</v>
      </c>
      <c r="M12" s="48">
        <f>+IFERROR(HLOOKUP($B12,'[3]2월누계'!$F$6:$CC$57,2,),)/1000</f>
        <v>40.750999999999998</v>
      </c>
      <c r="N12" s="49">
        <f t="shared" si="2"/>
        <v>-10.454999999999998</v>
      </c>
      <c r="O12" s="45">
        <f>+IFERROR(HLOOKUP($B12,'[1]2월누계'!$D$6:$BN$259,3,),)/1000</f>
        <v>3376.2099316000008</v>
      </c>
      <c r="P12" s="46">
        <f>+IFERROR(HLOOKUP($B12,'[2]2월누계'!$F$6:$CP$99,3,),)/1000</f>
        <v>2920.6093999999998</v>
      </c>
      <c r="Q12" s="47">
        <f t="shared" si="3"/>
        <v>-455.60053160000098</v>
      </c>
      <c r="R12" s="48">
        <f>+IFERROR(HLOOKUP($B12,'[3]2월누계'!$F$6:$CC$57,3,),)/1000</f>
        <v>4067.82062</v>
      </c>
      <c r="S12" s="49">
        <f t="shared" si="4"/>
        <v>-1147.2112200000001</v>
      </c>
      <c r="T12" s="45">
        <f>+IFERROR(HLOOKUP($B12,'[1]2월누계'!$D$6:$BN$259,16,),)/1000</f>
        <v>209.09505641361139</v>
      </c>
      <c r="U12" s="46">
        <f>+IFERROR(HLOOKUP($B12,'[2]2월누계'!$F$6:$CP$99,16,),)/1000</f>
        <v>112.66152699999979</v>
      </c>
      <c r="V12" s="47">
        <f t="shared" si="5"/>
        <v>-96.433529413611595</v>
      </c>
      <c r="W12" s="48">
        <f>+IFERROR(HLOOKUP($B12,'[3]2월누계'!$F$6:$CC$57,16,),)/1000</f>
        <v>316.89600100000018</v>
      </c>
      <c r="X12" s="49">
        <f t="shared" si="6"/>
        <v>-204.23447400000038</v>
      </c>
      <c r="Y12" s="45">
        <f>+[8]서부산!$Q$85</f>
        <v>99300.16933333331</v>
      </c>
      <c r="Z12" s="46">
        <f>+[8]서부산!$R$85</f>
        <v>96402.475574333235</v>
      </c>
      <c r="AA12" s="50">
        <f>+[9]서부산!$Q$85</f>
        <v>99821.369291551135</v>
      </c>
      <c r="AB12" s="51">
        <f>+[8]서부산!$Q$89</f>
        <v>78874.154215811126</v>
      </c>
      <c r="AC12" s="46">
        <f>+[8]서부산!$R$89</f>
        <v>77993.925104515671</v>
      </c>
      <c r="AD12" s="52">
        <f>+[9]서부산!$Q$89</f>
        <v>80640.021839954847</v>
      </c>
      <c r="AE12" s="51">
        <f t="shared" si="7"/>
        <v>20426.015117522184</v>
      </c>
      <c r="AF12" s="46">
        <f t="shared" si="7"/>
        <v>18408.550469817565</v>
      </c>
      <c r="AG12" s="52">
        <f t="shared" si="7"/>
        <v>19181.347451596288</v>
      </c>
      <c r="AH12" s="17"/>
      <c r="AI12" s="18"/>
      <c r="AJ12" s="84"/>
    </row>
    <row r="13" spans="1:36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+IFERROR(HLOOKUP($B13,'[1]2월누계'!$D$6:$BN$259,2,),)/1000</f>
        <v>24</v>
      </c>
      <c r="K13" s="46">
        <f>+IFERROR(HLOOKUP($B13,'[2]2월누계'!$F$6:$CP$99,2,),)/1000</f>
        <v>9.7970000000000006</v>
      </c>
      <c r="L13" s="47">
        <f t="shared" si="0"/>
        <v>-14.202999999999999</v>
      </c>
      <c r="M13" s="48">
        <f>+IFERROR(HLOOKUP($B13,'[3]2월누계'!$F$6:$CC$57,2,),)/1000</f>
        <v>20.978000000000002</v>
      </c>
      <c r="N13" s="49">
        <f t="shared" si="2"/>
        <v>-11.181000000000001</v>
      </c>
      <c r="O13" s="45">
        <f>+IFERROR(HLOOKUP($B13,'[1]2월누계'!$D$6:$BN$259,3,),)/1000</f>
        <v>2311.2065999999995</v>
      </c>
      <c r="P13" s="46">
        <f>+IFERROR(HLOOKUP($B13,'[2]2월누계'!$F$6:$CP$99,3,),)/1000</f>
        <v>946.10990000000004</v>
      </c>
      <c r="Q13" s="47">
        <f t="shared" si="3"/>
        <v>-1365.0966999999996</v>
      </c>
      <c r="R13" s="48">
        <f>+IFERROR(HLOOKUP($B13,'[3]2월누계'!$F$6:$CC$57,3,),)/1000</f>
        <v>2115.8959</v>
      </c>
      <c r="S13" s="49">
        <f t="shared" si="4"/>
        <v>-1169.7860000000001</v>
      </c>
      <c r="T13" s="45">
        <f>+IFERROR(HLOOKUP($B13,'[1]2월누계'!$D$6:$BN$259,16,),)/1000</f>
        <v>142.75028872765159</v>
      </c>
      <c r="U13" s="46">
        <f>+IFERROR(HLOOKUP($B13,'[2]2월누계'!$F$6:$CP$99,16,),)/1000</f>
        <v>-137.97554900000014</v>
      </c>
      <c r="V13" s="47">
        <f t="shared" si="5"/>
        <v>-280.72583772765176</v>
      </c>
      <c r="W13" s="48">
        <f>+IFERROR(HLOOKUP($B13,'[3]2월누계'!$F$6:$CC$57,16,),)/1000</f>
        <v>99.251054999999965</v>
      </c>
      <c r="X13" s="49">
        <f t="shared" si="6"/>
        <v>-237.22660400000012</v>
      </c>
      <c r="Y13" s="45">
        <f>+[8]김해!$Q$85</f>
        <v>96300.27499999998</v>
      </c>
      <c r="Z13" s="46">
        <f>+[8]김해!$R$85</f>
        <v>96617.04616670149</v>
      </c>
      <c r="AA13" s="50">
        <f>+[9]김해!$Q$85</f>
        <v>100865.56806257751</v>
      </c>
      <c r="AB13" s="51">
        <f>+[8]김해!$Q$89</f>
        <v>77158.582398529776</v>
      </c>
      <c r="AC13" s="46">
        <f>+[8]김해!$R$89</f>
        <v>79590.53603509505</v>
      </c>
      <c r="AD13" s="52">
        <f>+[9]김해!$Q$89</f>
        <v>81962.048125536574</v>
      </c>
      <c r="AE13" s="51">
        <f t="shared" si="7"/>
        <v>19141.692601470204</v>
      </c>
      <c r="AF13" s="46">
        <f t="shared" si="7"/>
        <v>17026.510131606439</v>
      </c>
      <c r="AG13" s="52">
        <f t="shared" si="7"/>
        <v>18903.519937040939</v>
      </c>
      <c r="AH13" s="17"/>
      <c r="AI13" s="18"/>
      <c r="AJ13" s="84"/>
    </row>
    <row r="14" spans="1:36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+IFERROR(HLOOKUP($B14,'[1]2월누계'!$D$6:$BN$259,2,),)/1000</f>
        <v>36</v>
      </c>
      <c r="K14" s="46">
        <f>+IFERROR(HLOOKUP($B14,'[2]2월누계'!$F$6:$CP$99,2,),)/1000</f>
        <v>34.533000000000001</v>
      </c>
      <c r="L14" s="47">
        <f t="shared" si="0"/>
        <v>-1.4669999999999987</v>
      </c>
      <c r="M14" s="48">
        <f>+IFERROR(HLOOKUP($B14,'[3]2월누계'!$F$6:$CC$57,2,),)/1000</f>
        <v>36.4955</v>
      </c>
      <c r="N14" s="49">
        <f t="shared" si="2"/>
        <v>-1.9624999999999986</v>
      </c>
      <c r="O14" s="45">
        <f>+IFERROR(HLOOKUP($B14,'[1]2월누계'!$D$6:$BN$259,3,),)/1000</f>
        <v>3671.9965304000002</v>
      </c>
      <c r="P14" s="46">
        <f>+IFERROR(HLOOKUP($B14,'[2]2월누계'!$F$6:$CP$99,3,),)/1000</f>
        <v>3573.7502000000004</v>
      </c>
      <c r="Q14" s="47">
        <f t="shared" si="3"/>
        <v>-98.246330399999806</v>
      </c>
      <c r="R14" s="48">
        <f>+IFERROR(HLOOKUP($B14,'[3]2월누계'!$F$6:$CC$57,3,),)/1000</f>
        <v>3711.5430499999998</v>
      </c>
      <c r="S14" s="49">
        <f t="shared" si="4"/>
        <v>-137.79284999999936</v>
      </c>
      <c r="T14" s="45">
        <f>+IFERROR(HLOOKUP($B14,'[1]2월누계'!$D$6:$BN$259,16,),)/1000</f>
        <v>266.22006040344496</v>
      </c>
      <c r="U14" s="46">
        <f>+IFERROR(HLOOKUP($B14,'[2]2월누계'!$F$6:$CP$99,16,),)/1000</f>
        <v>245.21988699999991</v>
      </c>
      <c r="V14" s="47">
        <f t="shared" si="5"/>
        <v>-21.000173403445046</v>
      </c>
      <c r="W14" s="48">
        <f>+IFERROR(HLOOKUP($B14,'[3]2월누계'!$F$6:$CC$57,16,),)/1000</f>
        <v>291.83418799999976</v>
      </c>
      <c r="X14" s="49">
        <f t="shared" si="6"/>
        <v>-46.614300999999841</v>
      </c>
      <c r="Y14" s="45">
        <f>+[8]정관!$Q$85</f>
        <v>101999.68326666666</v>
      </c>
      <c r="Z14" s="46">
        <f>+[8]정관!$R$85</f>
        <v>103487.97382214114</v>
      </c>
      <c r="AA14" s="50">
        <f>+[9]정관!$Q$85</f>
        <v>101698.64914852515</v>
      </c>
      <c r="AB14" s="51">
        <f>+[8]정관!$Q$89</f>
        <v>81923.10148159496</v>
      </c>
      <c r="AC14" s="46">
        <f>+[8]정관!$R$89</f>
        <v>85181.269977714095</v>
      </c>
      <c r="AD14" s="52">
        <f>+[9]정관!$Q$89</f>
        <v>82925.774713462146</v>
      </c>
      <c r="AE14" s="51">
        <f t="shared" si="7"/>
        <v>20076.581785071699</v>
      </c>
      <c r="AF14" s="46">
        <f t="shared" si="7"/>
        <v>18306.703844427044</v>
      </c>
      <c r="AG14" s="52">
        <f t="shared" si="7"/>
        <v>18772.874435063</v>
      </c>
      <c r="AH14" s="17"/>
      <c r="AI14" s="18"/>
      <c r="AJ14" s="84"/>
    </row>
    <row r="15" spans="1:36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+IFERROR(HLOOKUP($B15,'[1]2월누계'!$D$6:$BN$259,2,),)/1000</f>
        <v>20</v>
      </c>
      <c r="K15" s="46">
        <f>+IFERROR(HLOOKUP($B15,'[2]2월누계'!$F$6:$CP$99,2,),)/1000</f>
        <v>14.013999999999999</v>
      </c>
      <c r="L15" s="47">
        <f t="shared" si="0"/>
        <v>-5.9860000000000007</v>
      </c>
      <c r="M15" s="48">
        <f>+IFERROR(HLOOKUP($B15,'[3]2월누계'!$F$6:$CC$57,2,),)/1000</f>
        <v>23.422000000000001</v>
      </c>
      <c r="N15" s="49">
        <f t="shared" si="2"/>
        <v>-9.4080000000000013</v>
      </c>
      <c r="O15" s="45">
        <f>+IFERROR(HLOOKUP($B15,'[1]2월누계'!$D$6:$BN$259,3,),)/1000</f>
        <v>1892.03</v>
      </c>
      <c r="P15" s="46">
        <f>+IFERROR(HLOOKUP($B15,'[2]2월누계'!$F$6:$CP$99,3,),)/1000</f>
        <v>1330.9843999999998</v>
      </c>
      <c r="Q15" s="47">
        <f t="shared" si="3"/>
        <v>-561.04560000000015</v>
      </c>
      <c r="R15" s="48">
        <f>+IFERROR(HLOOKUP($B15,'[3]2월누계'!$F$6:$CC$57,3,),)/1000</f>
        <v>2236.5023300000003</v>
      </c>
      <c r="S15" s="49">
        <f t="shared" si="4"/>
        <v>-905.51793000000043</v>
      </c>
      <c r="T15" s="45">
        <f>+IFERROR(HLOOKUP($B15,'[1]2월누계'!$D$6:$BN$259,16,),)/1000</f>
        <v>96.088234649679208</v>
      </c>
      <c r="U15" s="46">
        <f>+IFERROR(HLOOKUP($B15,'[2]2월누계'!$F$6:$CP$99,16,),)/1000</f>
        <v>-17.321488000000166</v>
      </c>
      <c r="V15" s="47">
        <f t="shared" si="5"/>
        <v>-113.40972264967937</v>
      </c>
      <c r="W15" s="48">
        <f>+IFERROR(HLOOKUP($B15,'[3]2월누계'!$F$6:$CC$57,16,),)/1000</f>
        <v>250.79478700000018</v>
      </c>
      <c r="X15" s="49">
        <f t="shared" si="6"/>
        <v>-268.11627500000037</v>
      </c>
      <c r="Y15" s="45">
        <f>+[8]양산!$Q$85</f>
        <v>94478.75</v>
      </c>
      <c r="Z15" s="46">
        <f>+[8]양산!$R$85</f>
        <v>94975.338946767501</v>
      </c>
      <c r="AA15" s="50">
        <f>+[9]양산!$Q$85</f>
        <v>95487.248313551361</v>
      </c>
      <c r="AB15" s="51">
        <f>+[8]양산!$Q$89</f>
        <v>74478.645338243383</v>
      </c>
      <c r="AC15" s="46">
        <f>+[8]양산!$R$89</f>
        <v>74723.736729452066</v>
      </c>
      <c r="AD15" s="52">
        <f>+[9]양산!$Q$89</f>
        <v>72690.595209631982</v>
      </c>
      <c r="AE15" s="51">
        <f t="shared" si="7"/>
        <v>20000.104661756617</v>
      </c>
      <c r="AF15" s="46">
        <f t="shared" si="7"/>
        <v>20251.602217315434</v>
      </c>
      <c r="AG15" s="52">
        <f t="shared" si="7"/>
        <v>22796.65310391938</v>
      </c>
      <c r="AH15" s="17"/>
      <c r="AI15" s="18"/>
      <c r="AJ15" s="84"/>
    </row>
    <row r="16" spans="1:36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+IFERROR(HLOOKUP($B16,'[1]2월누계'!$D$6:$BN$259,2,),)/1000</f>
        <v>14</v>
      </c>
      <c r="K16" s="46">
        <f>+IFERROR(HLOOKUP($B16,'[2]2월누계'!$F$6:$CP$99,2,),)/1000</f>
        <v>19.934000000000001</v>
      </c>
      <c r="L16" s="47">
        <f t="shared" si="0"/>
        <v>5.9340000000000011</v>
      </c>
      <c r="M16" s="48">
        <f>+IFERROR(HLOOKUP($B16,'[3]2월누계'!$F$6:$CC$57,2,),)/1000</f>
        <v>32.768000000000001</v>
      </c>
      <c r="N16" s="49">
        <f t="shared" si="2"/>
        <v>-12.834</v>
      </c>
      <c r="O16" s="45">
        <f>+IFERROR(HLOOKUP($B16,'[1]2월누계'!$D$6:$BN$259,3,),)/1000</f>
        <v>1400.0044038720005</v>
      </c>
      <c r="P16" s="46">
        <f>+IFERROR(HLOOKUP($B16,'[2]2월누계'!$F$6:$CP$99,3,),)/1000</f>
        <v>2001.3247000000001</v>
      </c>
      <c r="Q16" s="47">
        <f t="shared" si="3"/>
        <v>601.32029612799965</v>
      </c>
      <c r="R16" s="48">
        <f>+IFERROR(HLOOKUP($B16,'[3]2월누계'!$F$6:$CC$57,3,),)/1000</f>
        <v>3382.2042999999999</v>
      </c>
      <c r="S16" s="49">
        <f t="shared" si="4"/>
        <v>-1380.8795999999998</v>
      </c>
      <c r="T16" s="45">
        <f>+IFERROR(HLOOKUP($B16,'[1]2월누계'!$D$6:$BN$259,16,),)/1000</f>
        <v>-30.994638074210517</v>
      </c>
      <c r="U16" s="46">
        <f>+IFERROR(HLOOKUP($B16,'[2]2월누계'!$F$6:$CP$99,16,),)/1000</f>
        <v>115.95934000000032</v>
      </c>
      <c r="V16" s="47">
        <f t="shared" si="5"/>
        <v>146.95397807421085</v>
      </c>
      <c r="W16" s="48">
        <f>+IFERROR(HLOOKUP($B16,'[3]2월누계'!$F$6:$CC$57,16,),)/1000</f>
        <v>520.35788099999957</v>
      </c>
      <c r="X16" s="49">
        <f t="shared" si="6"/>
        <v>-404.39854099999923</v>
      </c>
      <c r="Y16" s="45">
        <f>+[8]창원!$Q$85</f>
        <v>100000.31456228578</v>
      </c>
      <c r="Z16" s="46">
        <f>+[8]창원!$R$85</f>
        <v>100397.54690478579</v>
      </c>
      <c r="AA16" s="50">
        <f>+[9]창원!$Q$85</f>
        <v>103216.68395996094</v>
      </c>
      <c r="AB16" s="51">
        <f>+[8]창원!$Q$89</f>
        <v>75787.339842327347</v>
      </c>
      <c r="AC16" s="46">
        <f>+[8]창원!$R$89</f>
        <v>75938.512992876495</v>
      </c>
      <c r="AD16" s="52">
        <f>+[9]창원!$Q$89</f>
        <v>75624.313676439182</v>
      </c>
      <c r="AE16" s="51">
        <f t="shared" si="7"/>
        <v>24212.974719958438</v>
      </c>
      <c r="AF16" s="46">
        <f t="shared" si="7"/>
        <v>24459.033911909297</v>
      </c>
      <c r="AG16" s="52">
        <f t="shared" si="7"/>
        <v>27592.370283521755</v>
      </c>
      <c r="AH16" s="17"/>
      <c r="AI16" s="18"/>
      <c r="AJ16" s="84"/>
    </row>
    <row r="17" spans="2:38" s="8" customFormat="1" ht="22.5" customHeight="1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+IFERROR(HLOOKUP($B17,'[1]2월누계'!$D$6:$BN$259,2,),)/1000</f>
        <v>21</v>
      </c>
      <c r="K17" s="46">
        <f>+IFERROR(HLOOKUP($B17,'[2]2월누계'!$F$6:$CP$99,2,),)/1000</f>
        <v>18.966999999999999</v>
      </c>
      <c r="L17" s="47">
        <f t="shared" si="0"/>
        <v>-2.0330000000000013</v>
      </c>
      <c r="M17" s="48">
        <f>+IFERROR(HLOOKUP($B17,'[3]2월누계'!$F$6:$CC$57,2,),)/1000</f>
        <v>28.7515</v>
      </c>
      <c r="N17" s="49">
        <f t="shared" si="2"/>
        <v>-9.7845000000000013</v>
      </c>
      <c r="O17" s="45">
        <f>+IFERROR(HLOOKUP($B17,'[1]2월누계'!$D$6:$BN$259,3,),)/1000</f>
        <v>2038.5308985507938</v>
      </c>
      <c r="P17" s="46">
        <f>+IFERROR(HLOOKUP($B17,'[2]2월누계'!$F$6:$CP$99,3,),)/1000</f>
        <v>1814.5801690000001</v>
      </c>
      <c r="Q17" s="47">
        <f t="shared" si="3"/>
        <v>-223.95072955079377</v>
      </c>
      <c r="R17" s="48">
        <f>+IFERROR(HLOOKUP($B17,'[3]2월누계'!$F$6:$CC$57,3,),)/1000</f>
        <v>2906.5255999999995</v>
      </c>
      <c r="S17" s="49">
        <f t="shared" si="4"/>
        <v>-1091.9454309999994</v>
      </c>
      <c r="T17" s="45">
        <f>+IFERROR(HLOOKUP($B17,'[1]2월누계'!$D$6:$BN$259,16,),)/1000</f>
        <v>88.82332934446076</v>
      </c>
      <c r="U17" s="46">
        <f>+IFERROR(HLOOKUP($B17,'[2]2월누계'!$F$6:$CP$99,16,),)/1000</f>
        <v>33.549730999999781</v>
      </c>
      <c r="V17" s="47">
        <f t="shared" si="5"/>
        <v>-55.273598344460979</v>
      </c>
      <c r="W17" s="48">
        <f>+IFERROR(HLOOKUP($B17,'[3]2월누계'!$F$6:$CC$57,16,),)/1000</f>
        <v>421.89956799999976</v>
      </c>
      <c r="X17" s="49">
        <f t="shared" si="6"/>
        <v>-388.34983699999998</v>
      </c>
      <c r="Y17" s="45">
        <f>+[8]대구!$Q$85</f>
        <v>97465.893488888876</v>
      </c>
      <c r="Z17" s="46">
        <f>+[8]대구!$R$85</f>
        <v>95670.383771814202</v>
      </c>
      <c r="AA17" s="50">
        <f>+[9]대구!$Q$85</f>
        <v>101091.26828165486</v>
      </c>
      <c r="AB17" s="51">
        <f>+[8]대구!$Q$89</f>
        <v>74770.401296299038</v>
      </c>
      <c r="AC17" s="46">
        <f>+[8]대구!$R$89</f>
        <v>76909.190857805661</v>
      </c>
      <c r="AD17" s="52">
        <f>+[9]대구!$Q$89</f>
        <v>74548.294705728942</v>
      </c>
      <c r="AE17" s="51">
        <f t="shared" si="7"/>
        <v>22695.492192589838</v>
      </c>
      <c r="AF17" s="46">
        <f t="shared" si="7"/>
        <v>18761.192914008541</v>
      </c>
      <c r="AG17" s="52">
        <f t="shared" si="7"/>
        <v>26542.97357592592</v>
      </c>
      <c r="AH17" s="17"/>
      <c r="AI17" s="18"/>
      <c r="AJ17" s="84"/>
    </row>
    <row r="18" spans="2:38" s="8" customFormat="1" ht="22.5" customHeight="1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+IFERROR(HLOOKUP($B18,'[1]2월누계'!$D$6:$BN$259,2,),)/1000</f>
        <v>17</v>
      </c>
      <c r="K18" s="10">
        <f>+IFERROR(HLOOKUP($B18,'[2]2월누계'!$F$6:$CP$99,2,),)/1000</f>
        <v>18.847999999999999</v>
      </c>
      <c r="L18" s="11">
        <f t="shared" si="0"/>
        <v>1.847999999999999</v>
      </c>
      <c r="M18" s="12">
        <f>+IFERROR(HLOOKUP($B18,'[3]2월누계'!$F$6:$CC$57,2,),)/1000</f>
        <v>10.1715</v>
      </c>
      <c r="N18" s="13">
        <f t="shared" si="2"/>
        <v>8.676499999999999</v>
      </c>
      <c r="O18" s="9">
        <f>+IFERROR(HLOOKUP($B18,'[1]2월누계'!$D$6:$BN$259,3,),)/1000</f>
        <v>1730.6020000000001</v>
      </c>
      <c r="P18" s="10">
        <f>+IFERROR(HLOOKUP($B18,'[2]2월누계'!$F$6:$CP$99,3,),)/1000</f>
        <v>2026.0979</v>
      </c>
      <c r="Q18" s="11">
        <f t="shared" si="3"/>
        <v>295.49589999999989</v>
      </c>
      <c r="R18" s="12">
        <f>+IFERROR(HLOOKUP($B18,'[3]2월누계'!$F$6:$CC$57,3,),)/1000</f>
        <v>1048.3277499999999</v>
      </c>
      <c r="S18" s="13">
        <f t="shared" si="4"/>
        <v>977.77015000000006</v>
      </c>
      <c r="T18" s="9">
        <f>+IFERROR(HLOOKUP($B18,'[1]2월누계'!$D$6:$BN$259,16,),)/1000</f>
        <v>16.64955707655664</v>
      </c>
      <c r="U18" s="10">
        <f>+IFERROR(HLOOKUP($B18,'[2]2월누계'!$F$6:$CP$99,16,),)/1000</f>
        <v>135.74100799999977</v>
      </c>
      <c r="V18" s="11">
        <f t="shared" si="5"/>
        <v>119.09145092344312</v>
      </c>
      <c r="W18" s="12">
        <f>+IFERROR(HLOOKUP($B18,'[3]2월누계'!$F$6:$CC$57,16,),)/1000</f>
        <v>-68.738831999999888</v>
      </c>
      <c r="X18" s="13">
        <f t="shared" si="6"/>
        <v>204.47983999999965</v>
      </c>
      <c r="Y18" s="9">
        <f>+[8]울산!$Q$85</f>
        <v>102132.75</v>
      </c>
      <c r="Z18" s="10">
        <f>+[8]울산!$R$85</f>
        <v>107496.70522071306</v>
      </c>
      <c r="AA18" s="14">
        <f>+[9]울산!$Q$85</f>
        <v>103065.20670500908</v>
      </c>
      <c r="AB18" s="15">
        <f>+[8]울산!$Q$89</f>
        <v>82654.529951423101</v>
      </c>
      <c r="AC18" s="10">
        <f>+[8]울산!$R$89</f>
        <v>85315.024594508621</v>
      </c>
      <c r="AD18" s="16">
        <f>+[9]울산!$Q$89</f>
        <v>84815.78491771064</v>
      </c>
      <c r="AE18" s="15">
        <f t="shared" si="7"/>
        <v>19478.220048576899</v>
      </c>
      <c r="AF18" s="10">
        <f t="shared" si="7"/>
        <v>22181.680626204441</v>
      </c>
      <c r="AG18" s="16">
        <f t="shared" si="7"/>
        <v>18249.421787298445</v>
      </c>
      <c r="AH18" s="17"/>
      <c r="AI18" s="18"/>
      <c r="AJ18" s="84"/>
    </row>
    <row r="19" spans="2:38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+IFERROR(HLOOKUP($B19,'[1]2월누계'!$D$6:$BN$259,2,),)/1000</f>
        <v>31</v>
      </c>
      <c r="K19" s="46">
        <f>+IFERROR(HLOOKUP($B19,'[2]2월누계'!$F$6:$CP$99,2,),)/1000</f>
        <v>34.762999999999998</v>
      </c>
      <c r="L19" s="47">
        <f t="shared" si="0"/>
        <v>3.7629999999999981</v>
      </c>
      <c r="M19" s="48">
        <f>+IFERROR(HLOOKUP($B19,'[3]2월누계'!$F$6:$CC$57,2,),)/1000</f>
        <v>40.47</v>
      </c>
      <c r="N19" s="49">
        <f t="shared" si="2"/>
        <v>-5.7070000000000007</v>
      </c>
      <c r="O19" s="45">
        <f>+IFERROR(HLOOKUP($B19,'[1]2월누계'!$D$6:$BN$259,3,),)/1000</f>
        <v>3193</v>
      </c>
      <c r="P19" s="46">
        <f>+IFERROR(HLOOKUP($B19,'[2]2월누계'!$F$6:$CP$99,3,),)/1000</f>
        <v>3502.3083370000004</v>
      </c>
      <c r="Q19" s="47">
        <f t="shared" si="3"/>
        <v>309.30833700000039</v>
      </c>
      <c r="R19" s="48">
        <f>+IFERROR(HLOOKUP($B19,'[3]2월누계'!$F$6:$CC$57,3,),)/1000</f>
        <v>3979.3380510000002</v>
      </c>
      <c r="S19" s="49">
        <f t="shared" si="4"/>
        <v>-477.02971399999979</v>
      </c>
      <c r="T19" s="45">
        <f>+IFERROR(HLOOKUP($B19,'[1]2월누계'!$D$6:$BN$259,16,),)/1000</f>
        <v>206.37694409617515</v>
      </c>
      <c r="U19" s="46">
        <f>+IFERROR(HLOOKUP($B19,'[2]2월누계'!$F$6:$CP$99,16,),)/1000</f>
        <v>40.915752000000374</v>
      </c>
      <c r="V19" s="47">
        <f t="shared" si="5"/>
        <v>-165.46119209617478</v>
      </c>
      <c r="W19" s="48">
        <f>+IFERROR(HLOOKUP($B19,'[3]2월누계'!$F$6:$CC$57,16,),)/1000</f>
        <v>193.74319600000015</v>
      </c>
      <c r="X19" s="49">
        <f t="shared" si="6"/>
        <v>-152.82744399999979</v>
      </c>
      <c r="Y19" s="45">
        <f>+[8]아산!$Q$85</f>
        <v>103000</v>
      </c>
      <c r="Z19" s="46">
        <f>+[8]아산!$R$85</f>
        <v>100748.16146477578</v>
      </c>
      <c r="AA19" s="50">
        <f>+[9]아산!$Q$85</f>
        <v>98328.096145292802</v>
      </c>
      <c r="AB19" s="51">
        <f>+[8]아산!$Q$89</f>
        <v>79215.306567939027</v>
      </c>
      <c r="AC19" s="46">
        <f>+[8]아산!$R$89</f>
        <v>85903.774810144707</v>
      </c>
      <c r="AD19" s="52">
        <f>+[9]아산!$Q$89</f>
        <v>81310.324983943487</v>
      </c>
      <c r="AE19" s="51">
        <f t="shared" si="7"/>
        <v>23784.693432060973</v>
      </c>
      <c r="AF19" s="46">
        <f t="shared" si="7"/>
        <v>14844.386654631075</v>
      </c>
      <c r="AG19" s="52">
        <f t="shared" si="7"/>
        <v>17017.771161349316</v>
      </c>
      <c r="AH19" s="17"/>
      <c r="AI19" s="18"/>
      <c r="AJ19" s="84"/>
    </row>
    <row r="20" spans="2:38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+IFERROR(HLOOKUP($B20,'[1]2월누계'!$D$6:$BN$259,2,),)/1000</f>
        <v>14</v>
      </c>
      <c r="K20" s="46">
        <f>+IFERROR(HLOOKUP($B20,'[2]2월누계'!$F$6:$CP$99,2,),)/1000</f>
        <v>25.1265</v>
      </c>
      <c r="L20" s="47">
        <f t="shared" si="0"/>
        <v>11.1265</v>
      </c>
      <c r="M20" s="48">
        <f>+IFERROR(HLOOKUP($B20,'[3]2월누계'!$F$6:$CC$57,2,),)/1000</f>
        <v>8.83</v>
      </c>
      <c r="N20" s="49">
        <f t="shared" si="2"/>
        <v>16.296500000000002</v>
      </c>
      <c r="O20" s="45">
        <f>+IFERROR(HLOOKUP($B20,'[1]2월누계'!$D$6:$BN$259,3,),)/1000</f>
        <v>1356.0766399999998</v>
      </c>
      <c r="P20" s="46">
        <f>+IFERROR(HLOOKUP($B20,'[2]2월누계'!$F$6:$CP$99,3,),)/1000</f>
        <v>2419.3250559999997</v>
      </c>
      <c r="Q20" s="47">
        <f t="shared" si="3"/>
        <v>1063.2484159999999</v>
      </c>
      <c r="R20" s="48">
        <f>+IFERROR(HLOOKUP($B20,'[3]2월누계'!$F$6:$CC$57,3,),)/1000</f>
        <v>874.29073600000004</v>
      </c>
      <c r="S20" s="49">
        <f t="shared" si="4"/>
        <v>1545.0343199999998</v>
      </c>
      <c r="T20" s="45">
        <f>+IFERROR(HLOOKUP($B20,'[1]2월누계'!$D$6:$BN$259,16,),)/1000</f>
        <v>17.646562269043176</v>
      </c>
      <c r="U20" s="46">
        <f>+IFERROR(HLOOKUP($B20,'[2]2월누계'!$F$6:$CP$99,16,),)/1000</f>
        <v>252.88456599999969</v>
      </c>
      <c r="V20" s="47">
        <f t="shared" si="5"/>
        <v>235.23800373095651</v>
      </c>
      <c r="W20" s="48">
        <f>+IFERROR(HLOOKUP($B20,'[3]2월누계'!$F$6:$CC$57,16,),)/1000</f>
        <v>-56.857422</v>
      </c>
      <c r="X20" s="49">
        <f t="shared" si="6"/>
        <v>309.74198799999971</v>
      </c>
      <c r="Y20" s="45">
        <f>+[8]전주!$Q$85</f>
        <v>96862.617142857125</v>
      </c>
      <c r="Z20" s="46">
        <f>+[8]전주!$R$85</f>
        <v>96285.796111674921</v>
      </c>
      <c r="AA20" s="50">
        <f>+[9]전주!$Q$85</f>
        <v>99013.673386183465</v>
      </c>
      <c r="AB20" s="51">
        <f>+[8]전주!$Q$89</f>
        <v>73604.145379127775</v>
      </c>
      <c r="AC20" s="46">
        <f>+[8]전주!$R$89</f>
        <v>74212.461443602442</v>
      </c>
      <c r="AD20" s="52">
        <f>+[9]전주!$Q$89</f>
        <v>74049.869422423566</v>
      </c>
      <c r="AE20" s="51">
        <f t="shared" si="7"/>
        <v>23258.471763729351</v>
      </c>
      <c r="AF20" s="46">
        <f t="shared" si="7"/>
        <v>22073.334668072479</v>
      </c>
      <c r="AG20" s="52">
        <f t="shared" si="7"/>
        <v>24963.803963759899</v>
      </c>
      <c r="AH20" s="17"/>
      <c r="AI20" s="18"/>
      <c r="AJ20" s="84"/>
    </row>
    <row r="21" spans="2:38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+IFERROR(HLOOKUP($B21,'[1]2월누계'!$D$6:$BN$259,2,),)/1000</f>
        <v>10</v>
      </c>
      <c r="K21" s="46">
        <f>+IFERROR(HLOOKUP($B21,'[2]2월누계'!$F$6:$CP$99,2,),)/1000</f>
        <v>6.5214999999999996</v>
      </c>
      <c r="L21" s="47">
        <f t="shared" si="0"/>
        <v>-3.4785000000000004</v>
      </c>
      <c r="M21" s="48">
        <f>+IFERROR(HLOOKUP($B21,'[3]2월누계'!$F$6:$CC$57,2,),)/1000</f>
        <v>12.917</v>
      </c>
      <c r="N21" s="49">
        <f t="shared" si="2"/>
        <v>-6.3955000000000002</v>
      </c>
      <c r="O21" s="45">
        <f>+IFERROR(HLOOKUP($B21,'[1]2월누계'!$D$6:$BN$259,3,),)/1000</f>
        <v>1115.2024799999999</v>
      </c>
      <c r="P21" s="46">
        <f>+IFERROR(HLOOKUP($B21,'[2]2월누계'!$F$6:$CP$99,3,),)/1000</f>
        <v>708.43202699999995</v>
      </c>
      <c r="Q21" s="47">
        <f t="shared" si="3"/>
        <v>-406.77045299999997</v>
      </c>
      <c r="R21" s="48">
        <f>+IFERROR(HLOOKUP($B21,'[3]2월누계'!$F$6:$CC$57,3,),)/1000</f>
        <v>1329.6202599999999</v>
      </c>
      <c r="S21" s="49">
        <f t="shared" si="4"/>
        <v>-621.18823299999997</v>
      </c>
      <c r="T21" s="45">
        <f>+IFERROR(HLOOKUP($B21,'[1]2월누계'!$D$6:$BN$259,16,),)/1000</f>
        <v>203.80894327724198</v>
      </c>
      <c r="U21" s="46">
        <f>+IFERROR(HLOOKUP($B21,'[2]2월누계'!$F$6:$CP$99,16,),)/1000</f>
        <v>67.924104999999983</v>
      </c>
      <c r="V21" s="47">
        <f t="shared" si="5"/>
        <v>-135.88483827724201</v>
      </c>
      <c r="W21" s="48">
        <f>+IFERROR(HLOOKUP($B21,'[3]2월누계'!$F$6:$CC$57,16,),)/1000</f>
        <v>261.78264400000006</v>
      </c>
      <c r="X21" s="49">
        <f t="shared" si="6"/>
        <v>-193.85853900000006</v>
      </c>
      <c r="Y21" s="45">
        <f>+[8]군산!$Q$85</f>
        <v>111520.24799999999</v>
      </c>
      <c r="Z21" s="46">
        <f>+[8]군산!$R$85</f>
        <v>108630.22724833245</v>
      </c>
      <c r="AA21" s="50">
        <f>+[9]군산!$Q$85</f>
        <v>102935.68630486955</v>
      </c>
      <c r="AB21" s="51">
        <f>+[8]군산!$Q$89</f>
        <v>73867.306183386914</v>
      </c>
      <c r="AC21" s="46">
        <f>+[8]군산!$R$89</f>
        <v>73564.860384880769</v>
      </c>
      <c r="AD21" s="52">
        <f>+[9]군산!$Q$89</f>
        <v>70126.652318649838</v>
      </c>
      <c r="AE21" s="51">
        <f t="shared" si="7"/>
        <v>37652.941816613078</v>
      </c>
      <c r="AF21" s="46">
        <f t="shared" si="7"/>
        <v>35065.36686345168</v>
      </c>
      <c r="AG21" s="52">
        <f t="shared" si="7"/>
        <v>32809.033986219714</v>
      </c>
      <c r="AH21" s="17"/>
      <c r="AI21" s="18"/>
      <c r="AJ21" s="84"/>
    </row>
    <row r="22" spans="2:38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+IFERROR(HLOOKUP($B22,'[1]2월누계'!$D$6:$BN$259,2,),)/1000</f>
        <v>4</v>
      </c>
      <c r="K22" s="46">
        <f>+IFERROR(HLOOKUP($B22,'[2]2월누계'!$F$6:$CP$99,2,),)/1000</f>
        <v>3.4060000000000001</v>
      </c>
      <c r="L22" s="47">
        <f t="shared" si="0"/>
        <v>-0.59399999999999986</v>
      </c>
      <c r="M22" s="48">
        <f>+IFERROR(HLOOKUP($B22,'[3]2월누계'!$F$6:$CC$57,2,),)/1000</f>
        <v>6.9394999999999998</v>
      </c>
      <c r="N22" s="49">
        <f t="shared" si="2"/>
        <v>-3.5334999999999996</v>
      </c>
      <c r="O22" s="45">
        <f>+IFERROR(HLOOKUP($B22,'[1]2월누계'!$D$6:$BN$259,3,),)/1000</f>
        <v>448</v>
      </c>
      <c r="P22" s="46">
        <f>+IFERROR(HLOOKUP($B22,'[2]2월누계'!$F$6:$CP$99,3,),)/1000</f>
        <v>386.84990000000005</v>
      </c>
      <c r="Q22" s="47">
        <f t="shared" si="3"/>
        <v>-61.150099999999952</v>
      </c>
      <c r="R22" s="48">
        <f>+IFERROR(HLOOKUP($B22,'[3]2월누계'!$F$6:$CC$57,3,),)/1000</f>
        <v>776.63980000000004</v>
      </c>
      <c r="S22" s="49">
        <f t="shared" si="4"/>
        <v>-389.78989999999999</v>
      </c>
      <c r="T22" s="45">
        <f>+IFERROR(HLOOKUP($B22,'[1]2월누계'!$D$6:$BN$259,16,),)/1000</f>
        <v>-35.261625756954963</v>
      </c>
      <c r="U22" s="46">
        <f>+IFERROR(HLOOKUP($B22,'[2]2월누계'!$F$6:$CP$99,16,),)/1000</f>
        <v>-40.546711000000016</v>
      </c>
      <c r="V22" s="47">
        <f t="shared" si="5"/>
        <v>-5.285085243045053</v>
      </c>
      <c r="W22" s="48">
        <f>+IFERROR(HLOOKUP($B22,'[3]2월누계'!$F$6:$CC$57,16,),)/1000</f>
        <v>89.717246000000003</v>
      </c>
      <c r="X22" s="49">
        <f t="shared" si="6"/>
        <v>-130.263957</v>
      </c>
      <c r="Y22" s="45">
        <f>+[8]원주!$Q$85</f>
        <v>112000</v>
      </c>
      <c r="Z22" s="46">
        <f>+[8]원주!$R$85</f>
        <v>113578.94891368174</v>
      </c>
      <c r="AA22" s="50">
        <f>+[9]원주!$Q$85</f>
        <v>111948.06453946892</v>
      </c>
      <c r="AB22" s="51">
        <f>+[8]원주!$Q$89</f>
        <v>76003.432179743249</v>
      </c>
      <c r="AC22" s="46">
        <f>+[8]원주!$R$89</f>
        <v>75816.065179095705</v>
      </c>
      <c r="AD22" s="52">
        <f>+[9]원주!$Q$89</f>
        <v>74467.080963750806</v>
      </c>
      <c r="AE22" s="51">
        <f t="shared" si="7"/>
        <v>35996.567820256751</v>
      </c>
      <c r="AF22" s="46">
        <f t="shared" si="7"/>
        <v>37762.883734586037</v>
      </c>
      <c r="AG22" s="52">
        <f t="shared" si="7"/>
        <v>37480.983575718114</v>
      </c>
      <c r="AH22" s="17"/>
      <c r="AI22" s="18"/>
      <c r="AJ22" s="84"/>
    </row>
    <row r="23" spans="2:38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+IFERROR(HLOOKUP($B23,'[1]2월누계'!$D$6:$BN$259,2,),)/1000</f>
        <v>14</v>
      </c>
      <c r="K23" s="46">
        <f>+IFERROR(HLOOKUP($B23,'[2]2월누계'!$F$6:$CP$99,2,),)/1000</f>
        <v>10.656499999999999</v>
      </c>
      <c r="L23" s="47">
        <f t="shared" si="0"/>
        <v>-3.3435000000000006</v>
      </c>
      <c r="M23" s="48">
        <f>+IFERROR(HLOOKUP($B23,'[3]2월누계'!$F$6:$CC$57,2,),)/1000</f>
        <v>5.66</v>
      </c>
      <c r="N23" s="49">
        <f t="shared" si="2"/>
        <v>4.9964999999999993</v>
      </c>
      <c r="O23" s="45">
        <f>+IFERROR(HLOOKUP($B23,'[1]2월누계'!$D$6:$BN$259,3,),)/1000</f>
        <v>1719.5150000000001</v>
      </c>
      <c r="P23" s="46">
        <f>+IFERROR(HLOOKUP($B23,'[2]2월누계'!$F$6:$CP$99,3,),)/1000</f>
        <v>1290.951832</v>
      </c>
      <c r="Q23" s="47">
        <f t="shared" si="3"/>
        <v>-428.56316800000013</v>
      </c>
      <c r="R23" s="48">
        <f>+IFERROR(HLOOKUP($B23,'[3]2월누계'!$F$6:$CC$57,3,),)/1000</f>
        <v>728.19172500000002</v>
      </c>
      <c r="S23" s="49">
        <f t="shared" si="4"/>
        <v>562.76010699999995</v>
      </c>
      <c r="T23" s="45">
        <f>+IFERROR(HLOOKUP($B23,'[1]2월누계'!$D$6:$BN$259,16,),)/1000</f>
        <v>256.71318602289983</v>
      </c>
      <c r="U23" s="46">
        <f>+IFERROR(HLOOKUP($B23,'[2]2월누계'!$F$6:$CP$99,16,),)/1000</f>
        <v>122.23265299999989</v>
      </c>
      <c r="V23" s="47">
        <f t="shared" si="5"/>
        <v>-134.48053302289995</v>
      </c>
      <c r="W23" s="48">
        <f>+IFERROR(HLOOKUP($B23,'[3]2월누계'!$F$6:$CC$57,16,),)/1000</f>
        <v>50.242932999999958</v>
      </c>
      <c r="X23" s="49">
        <f t="shared" si="6"/>
        <v>71.98971999999992</v>
      </c>
      <c r="Y23" s="45">
        <f>+[8]제주!$Q$85</f>
        <v>122822.5</v>
      </c>
      <c r="Z23" s="46">
        <f>+[8]제주!$R$85</f>
        <v>120474.68774383138</v>
      </c>
      <c r="AA23" s="50">
        <f>+[9]제주!$Q$85</f>
        <v>128655.78180212015</v>
      </c>
      <c r="AB23" s="51">
        <f>+[8]제주!$Q$89</f>
        <v>90529.859116140055</v>
      </c>
      <c r="AC23" s="46">
        <f>+[8]제주!$R$89</f>
        <v>90181.471449561737</v>
      </c>
      <c r="AD23" s="52">
        <f>+[9]제주!$Q$89</f>
        <v>89930.057722859681</v>
      </c>
      <c r="AE23" s="51">
        <f t="shared" si="7"/>
        <v>32292.640883859945</v>
      </c>
      <c r="AF23" s="46">
        <f t="shared" si="7"/>
        <v>30293.216294269645</v>
      </c>
      <c r="AG23" s="52">
        <f t="shared" si="7"/>
        <v>38725.724079260472</v>
      </c>
      <c r="AH23" s="17"/>
      <c r="AI23" s="18"/>
      <c r="AJ23" s="84"/>
    </row>
    <row r="24" spans="2:38" s="8" customFormat="1" ht="22.5" customHeight="1">
      <c r="G24" s="337" t="str">
        <f t="shared" si="1"/>
        <v>수도권</v>
      </c>
      <c r="H24" s="74"/>
      <c r="I24" s="78" t="s">
        <v>42</v>
      </c>
      <c r="J24" s="22">
        <f>SUM(J7:J10)</f>
        <v>159</v>
      </c>
      <c r="K24" s="19">
        <f>SUM(K7:K10)</f>
        <v>131.16800000000001</v>
      </c>
      <c r="L24" s="20">
        <f t="shared" si="0"/>
        <v>-27.831999999999994</v>
      </c>
      <c r="M24" s="24">
        <f>SUM(M7:M10)</f>
        <v>187.82299999999998</v>
      </c>
      <c r="N24" s="21">
        <f t="shared" si="2"/>
        <v>-56.654999999999973</v>
      </c>
      <c r="O24" s="22">
        <f>SUM(O7:O10)</f>
        <v>15507.185693009496</v>
      </c>
      <c r="P24" s="19">
        <f>SUM(P7:P10)</f>
        <v>12835.496881999999</v>
      </c>
      <c r="Q24" s="20">
        <f t="shared" si="3"/>
        <v>-2671.6888110094969</v>
      </c>
      <c r="R24" s="24">
        <f>SUM(R7:R10)</f>
        <v>18546.483585000002</v>
      </c>
      <c r="S24" s="21">
        <f t="shared" si="4"/>
        <v>-5710.9867030000023</v>
      </c>
      <c r="T24" s="22">
        <f>SUM(T7:T10)</f>
        <v>416.33158510752435</v>
      </c>
      <c r="U24" s="19">
        <f>SUM(U7:U10)</f>
        <v>-126.37774899999926</v>
      </c>
      <c r="V24" s="20">
        <f t="shared" si="5"/>
        <v>-542.70933410752355</v>
      </c>
      <c r="W24" s="24">
        <f>SUM(W7:W10)</f>
        <v>1150.3063770000003</v>
      </c>
      <c r="X24" s="21">
        <f t="shared" si="6"/>
        <v>-1276.6841259999997</v>
      </c>
      <c r="Y24" s="22">
        <f>+[8]수도권!$Q$85</f>
        <v>97486.591313220357</v>
      </c>
      <c r="Z24" s="19">
        <f>+[8]수도권!$R$85</f>
        <v>97851.268109902041</v>
      </c>
      <c r="AA24" s="23">
        <f>+[9]수도권!$Q$85</f>
        <v>98745.595728138811</v>
      </c>
      <c r="AB24" s="28">
        <f>+[8]수도권!$Q$89</f>
        <v>81835.72778804155</v>
      </c>
      <c r="AC24" s="19">
        <f>+[8]수도권!$R$89</f>
        <v>83605.223298299243</v>
      </c>
      <c r="AD24" s="29">
        <f>+[9]수도권!$Q$89</f>
        <v>81932.740732853854</v>
      </c>
      <c r="AE24" s="28">
        <f t="shared" si="7"/>
        <v>15650.863525178807</v>
      </c>
      <c r="AF24" s="19">
        <f t="shared" si="7"/>
        <v>14246.044811602798</v>
      </c>
      <c r="AG24" s="29">
        <f t="shared" si="7"/>
        <v>16812.854995284957</v>
      </c>
      <c r="AH24" s="17"/>
      <c r="AI24" s="18"/>
      <c r="AJ24" s="84"/>
    </row>
    <row r="25" spans="2:38" s="8" customFormat="1" ht="22.5" customHeight="1">
      <c r="G25" s="334" t="str">
        <f t="shared" si="1"/>
        <v>영남권</v>
      </c>
      <c r="H25" s="74"/>
      <c r="I25" s="78" t="s">
        <v>43</v>
      </c>
      <c r="J25" s="22">
        <f>SUM(J11:J18)</f>
        <v>202</v>
      </c>
      <c r="K25" s="19">
        <f>SUM(K11:K18)</f>
        <v>177.017</v>
      </c>
      <c r="L25" s="20">
        <f t="shared" si="0"/>
        <v>-24.983000000000004</v>
      </c>
      <c r="M25" s="24">
        <f>SUM(M11:M18)</f>
        <v>233.80250000000001</v>
      </c>
      <c r="N25" s="21">
        <f t="shared" si="2"/>
        <v>-56.785500000000013</v>
      </c>
      <c r="O25" s="22">
        <f>SUM(O11:O18)</f>
        <v>20297.782810442794</v>
      </c>
      <c r="P25" s="19">
        <f>SUM(P11:P18)</f>
        <v>17853.795769</v>
      </c>
      <c r="Q25" s="20">
        <f t="shared" si="3"/>
        <v>-2443.9870414427933</v>
      </c>
      <c r="R25" s="24">
        <f>SUM(R11:R18)</f>
        <v>23862.624316000001</v>
      </c>
      <c r="S25" s="21">
        <f t="shared" si="4"/>
        <v>-6008.828547000001</v>
      </c>
      <c r="T25" s="22">
        <f>SUM(T11:T18)</f>
        <v>1052.2368318491076</v>
      </c>
      <c r="U25" s="19">
        <f>SUM(U11:U18)</f>
        <v>648.0782729999994</v>
      </c>
      <c r="V25" s="20">
        <f t="shared" si="5"/>
        <v>-404.1585588491082</v>
      </c>
      <c r="W25" s="24">
        <f>SUM(W11:W18)</f>
        <v>2332.5540229999992</v>
      </c>
      <c r="X25" s="21">
        <f t="shared" si="6"/>
        <v>-1684.4757499999998</v>
      </c>
      <c r="Y25" s="22">
        <f>+[8]영남권!$Q$85</f>
        <v>100500.1554928339</v>
      </c>
      <c r="Z25" s="19">
        <f>+[8]영남권!$R$85</f>
        <v>100867.09655870675</v>
      </c>
      <c r="AA25" s="23">
        <f>+[9]영남권!$Q$85</f>
        <v>102063.49666047168</v>
      </c>
      <c r="AB25" s="28">
        <f>+[8]영남권!$Q$89</f>
        <v>79483.261839425351</v>
      </c>
      <c r="AC25" s="19">
        <f>+[8]영남권!$R$89</f>
        <v>80740.081721491471</v>
      </c>
      <c r="AD25" s="29">
        <f>+[9]영남권!$Q$89</f>
        <v>79702.413499584232</v>
      </c>
      <c r="AE25" s="28">
        <f t="shared" si="7"/>
        <v>21016.893653408551</v>
      </c>
      <c r="AF25" s="19">
        <f t="shared" si="7"/>
        <v>20127.014837215276</v>
      </c>
      <c r="AG25" s="29">
        <f t="shared" si="7"/>
        <v>22361.083160887443</v>
      </c>
      <c r="AH25" s="17"/>
      <c r="AI25" s="18"/>
      <c r="AJ25" s="84"/>
    </row>
    <row r="26" spans="2:38" s="8" customFormat="1" ht="22.5" customHeight="1">
      <c r="G26" s="334" t="str">
        <f t="shared" si="1"/>
        <v>중부권</v>
      </c>
      <c r="H26" s="74"/>
      <c r="I26" s="78" t="s">
        <v>106</v>
      </c>
      <c r="J26" s="22">
        <f>SUM(J19:J23)</f>
        <v>73</v>
      </c>
      <c r="K26" s="19">
        <f>SUM(K19:K23)</f>
        <v>80.473500000000001</v>
      </c>
      <c r="L26" s="20">
        <f t="shared" si="0"/>
        <v>7.4735000000000014</v>
      </c>
      <c r="M26" s="24">
        <f>SUM(M19:M23)</f>
        <v>74.816499999999991</v>
      </c>
      <c r="N26" s="21">
        <f t="shared" si="2"/>
        <v>5.6570000000000107</v>
      </c>
      <c r="O26" s="22">
        <f>SUM(O19:O23)</f>
        <v>7831.7941199999996</v>
      </c>
      <c r="P26" s="19">
        <f>SUM(P19:P23)</f>
        <v>8307.8671520000007</v>
      </c>
      <c r="Q26" s="20">
        <f t="shared" si="3"/>
        <v>476.07303200000115</v>
      </c>
      <c r="R26" s="24">
        <f>SUM(R19:R23)</f>
        <v>7688.0805719999998</v>
      </c>
      <c r="S26" s="21">
        <f t="shared" si="4"/>
        <v>619.78658000000087</v>
      </c>
      <c r="T26" s="22">
        <f>SUM(T19:T23)</f>
        <v>649.28400990840521</v>
      </c>
      <c r="U26" s="19">
        <f>SUM(U19:U23)</f>
        <v>443.41036499999996</v>
      </c>
      <c r="V26" s="20">
        <f t="shared" si="5"/>
        <v>-205.87364490840525</v>
      </c>
      <c r="W26" s="24">
        <f>SUM(W19:W23)</f>
        <v>538.62859700000013</v>
      </c>
      <c r="X26" s="21">
        <f t="shared" si="6"/>
        <v>-95.218232000000171</v>
      </c>
      <c r="Y26" s="22">
        <f>+[8]중부권!$Q$85</f>
        <v>107599.91352941174</v>
      </c>
      <c r="Z26" s="19">
        <f>+[8]중부권!$R$85</f>
        <v>102977.57780273701</v>
      </c>
      <c r="AA26" s="23">
        <f>+[9]중부권!$Q$85</f>
        <v>102758.58762493733</v>
      </c>
      <c r="AB26" s="28">
        <f>+[8]중부권!$Q$89</f>
        <v>79414.129768426574</v>
      </c>
      <c r="AC26" s="19">
        <f>+[8]중부권!$R$89</f>
        <v>81312.557262666043</v>
      </c>
      <c r="AD26" s="29">
        <f>+[9]중부권!$Q$89</f>
        <v>78542.727122031429</v>
      </c>
      <c r="AE26" s="28">
        <f t="shared" si="7"/>
        <v>28185.78376098517</v>
      </c>
      <c r="AF26" s="19">
        <f t="shared" si="7"/>
        <v>21665.020540070967</v>
      </c>
      <c r="AG26" s="29">
        <f t="shared" si="7"/>
        <v>24215.860502905896</v>
      </c>
      <c r="AH26" s="17"/>
      <c r="AI26" s="18"/>
      <c r="AJ26" s="84"/>
    </row>
    <row r="27" spans="2:38" s="3" customFormat="1" ht="22.5" customHeight="1">
      <c r="B27" s="25"/>
      <c r="G27" s="336">
        <f>+K27/J27</f>
        <v>0.89552649769585257</v>
      </c>
      <c r="H27" s="267" t="s">
        <v>94</v>
      </c>
      <c r="I27" s="268"/>
      <c r="J27" s="269">
        <f>SUM(J24:J26)</f>
        <v>434</v>
      </c>
      <c r="K27" s="270">
        <f>SUM(K24:K26)</f>
        <v>388.6585</v>
      </c>
      <c r="L27" s="271">
        <f t="shared" si="0"/>
        <v>-45.341499999999996</v>
      </c>
      <c r="M27" s="272">
        <f>SUM(M24:M26)</f>
        <v>496.44200000000001</v>
      </c>
      <c r="N27" s="273">
        <f t="shared" si="2"/>
        <v>-107.7835</v>
      </c>
      <c r="O27" s="269">
        <f>SUM(O24:O26)</f>
        <v>43636.76262345229</v>
      </c>
      <c r="P27" s="270">
        <f>SUM(P24:P26)</f>
        <v>38997.159803000002</v>
      </c>
      <c r="Q27" s="271">
        <f t="shared" si="3"/>
        <v>-4639.6028204522881</v>
      </c>
      <c r="R27" s="272">
        <f>SUM(R24:R26)</f>
        <v>50097.188473000002</v>
      </c>
      <c r="S27" s="273">
        <f t="shared" si="4"/>
        <v>-11100.02867</v>
      </c>
      <c r="T27" s="269">
        <f>SUM(T24:T26)</f>
        <v>2117.8524268650372</v>
      </c>
      <c r="U27" s="270">
        <f>SUM(U24:U26)</f>
        <v>965.11088900000004</v>
      </c>
      <c r="V27" s="271">
        <f t="shared" si="5"/>
        <v>-1152.7415378650371</v>
      </c>
      <c r="W27" s="272">
        <f>SUM(W24:W26)</f>
        <v>4021.4889969999995</v>
      </c>
      <c r="X27" s="273">
        <f t="shared" si="6"/>
        <v>-3056.3781079999994</v>
      </c>
      <c r="Y27" s="269">
        <f>+[8]합계!$Q$85</f>
        <v>100559.86996429774</v>
      </c>
      <c r="Z27" s="270">
        <f>+[8]합계!$R$85</f>
        <v>100282.95748359266</v>
      </c>
      <c r="AA27" s="274">
        <f>+[9]합계!$Q$85</f>
        <v>100912.98333484432</v>
      </c>
      <c r="AB27" s="275">
        <f>+[8]합계!$Q$89</f>
        <v>80335.614118076905</v>
      </c>
      <c r="AC27" s="270">
        <f>+[8]합계!$R$89</f>
        <v>81815.649760285844</v>
      </c>
      <c r="AD27" s="276">
        <f>+[9]합계!$Q$89</f>
        <v>80371.425295388792</v>
      </c>
      <c r="AE27" s="275">
        <f t="shared" si="7"/>
        <v>20224.25584622084</v>
      </c>
      <c r="AF27" s="270">
        <f t="shared" si="7"/>
        <v>18467.307723306818</v>
      </c>
      <c r="AG27" s="276">
        <f t="shared" si="7"/>
        <v>20541.558039455529</v>
      </c>
      <c r="AH27" s="26"/>
      <c r="AI27" s="27"/>
      <c r="AJ27" s="84"/>
      <c r="AL27" s="25"/>
    </row>
    <row r="28" spans="2:38" s="8" customFormat="1" ht="22.5" customHeight="1">
      <c r="B28" s="8" t="s">
        <v>3</v>
      </c>
      <c r="E28" s="8" t="s">
        <v>123</v>
      </c>
      <c r="G28" s="334" t="s">
        <v>3</v>
      </c>
      <c r="H28" s="737" t="s">
        <v>3</v>
      </c>
      <c r="I28" s="738"/>
      <c r="J28" s="153">
        <f>+IFERROR(HLOOKUP($B28,'[1]2월누계'!$D$6:$BN$259,2,),)</f>
        <v>20000</v>
      </c>
      <c r="K28" s="154">
        <f>+IFERROR(HLOOKUP($E28,'[2]2월누계'!$F$6:$CP$99,2,),)</f>
        <v>18460.025000000001</v>
      </c>
      <c r="L28" s="155">
        <f>+K28-J28</f>
        <v>-1539.9749999999985</v>
      </c>
      <c r="M28" s="156">
        <f>+IFERROR(HLOOKUP($E28,'[3]2월누계'!$F$6:$CC$57,2,),)</f>
        <v>13070.494999999999</v>
      </c>
      <c r="N28" s="157">
        <f>+K28-M28</f>
        <v>5389.5300000000025</v>
      </c>
      <c r="O28" s="153">
        <f>+IFERROR(HLOOKUP($B28,'[1]2월누계'!$D$6:$BN$259,3,),)/1000</f>
        <v>21897.268355068496</v>
      </c>
      <c r="P28" s="154">
        <f>+IFERROR(HLOOKUP($E28,'[2]2월누계'!$F$6:$CP$99,3,),)/1000</f>
        <v>15757.114804000001</v>
      </c>
      <c r="Q28" s="155">
        <f>+P28-O28</f>
        <v>-6140.1535510684953</v>
      </c>
      <c r="R28" s="156">
        <f>+IFERROR(HLOOKUP($E28,'[3]2월누계'!$F$6:$CC$57,3,),)/1000</f>
        <v>14173.615142000001</v>
      </c>
      <c r="S28" s="157">
        <f t="shared" si="4"/>
        <v>1583.4996620000002</v>
      </c>
      <c r="T28" s="153">
        <f>+IFERROR(HLOOKUP($B28,'[1]2월누계'!$D$6:$BN$259,16,),)/1000</f>
        <v>338.9820773084121</v>
      </c>
      <c r="U28" s="154">
        <f>+IFERROR(HLOOKUP($E28,'[2]2월누계'!$F$6:$CP$99,16,),)/1000</f>
        <v>12.55896200000015</v>
      </c>
      <c r="V28" s="155">
        <f t="shared" si="5"/>
        <v>-326.42311530841198</v>
      </c>
      <c r="W28" s="156">
        <f>+IFERROR(HLOOKUP($E28,'[3]2월누계'!$F$6:$CC$57,16,),)/1000</f>
        <v>117.11189000000164</v>
      </c>
      <c r="X28" s="157">
        <f t="shared" si="6"/>
        <v>-104.55292800000149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+IFERROR(HLOOKUP($B29,'[1]2월누계'!$D$6:$BN$259,2,),)/1000</f>
        <v>36.368323397060806</v>
      </c>
      <c r="K29" s="56">
        <f>+IFERROR(HLOOKUP($C29,'[2]2월누계'!$F$6:$CP$99,2,),)/1000</f>
        <v>45.152999999999999</v>
      </c>
      <c r="L29" s="37">
        <f t="shared" si="0"/>
        <v>8.7846766029391929</v>
      </c>
      <c r="M29" s="37">
        <f>+IFERROR(HLOOKUP($C29,'[3]2월누계'!$F$6:$CC$57,2,),)/1000</f>
        <v>45.828000000000003</v>
      </c>
      <c r="N29" s="57">
        <f t="shared" si="2"/>
        <v>-0.67500000000000426</v>
      </c>
      <c r="O29" s="55">
        <f>+IFERROR(HLOOKUP($B29,'[1]2월누계'!$D$6:$BN$259,3,),)/1000</f>
        <v>1209.26531659598</v>
      </c>
      <c r="P29" s="56">
        <f>+IFERROR(HLOOKUP($C29,'[2]2월누계'!$F$6:$CP$99,3,),)/1000</f>
        <v>1251.7284999999999</v>
      </c>
      <c r="Q29" s="37">
        <f t="shared" si="3"/>
        <v>42.463183404019901</v>
      </c>
      <c r="R29" s="37">
        <f>+IFERROR(HLOOKUP($C29,'[3]2월누계'!$F$6:$CC$57,3,),)/1000</f>
        <v>1315.6179999999999</v>
      </c>
      <c r="S29" s="57">
        <f t="shared" si="4"/>
        <v>-63.889499999999998</v>
      </c>
      <c r="T29" s="55">
        <f>+IFERROR(HLOOKUP($B29,'[1]2월누계'!$D$6:$BN$259,21,),)/1000</f>
        <v>212.30936407892659</v>
      </c>
      <c r="U29" s="56">
        <f>+IFERROR(HLOOKUP($C29,'[2]2월누계'!$F$6:$CP$99,21,),)/1000</f>
        <v>2.5895542725256453</v>
      </c>
      <c r="V29" s="37">
        <f t="shared" si="5"/>
        <v>-209.71980980640095</v>
      </c>
      <c r="W29" s="37">
        <f>+IFERROR(HLOOKUP($C29,'[3]2월누계'!$F$6:$CC$57,21,),)/1000</f>
        <v>91.128479639209104</v>
      </c>
      <c r="X29" s="57">
        <f t="shared" si="6"/>
        <v>-88.538925366683458</v>
      </c>
      <c r="Y29" s="26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</row>
    <row r="30" spans="2:38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+IFERROR(HLOOKUP($B30,'[1]2월누계'!$D$6:$BN$259,2,),)/1000</f>
        <v>82.135520430107533</v>
      </c>
      <c r="K30" s="58">
        <f>+IFERROR(HLOOKUP($C30,'[2]2월누계'!$F$6:$CP$99,2,),)/1000</f>
        <v>13.95</v>
      </c>
      <c r="L30" s="47">
        <f t="shared" si="0"/>
        <v>-68.18552043010753</v>
      </c>
      <c r="M30" s="47">
        <f>+IFERROR(HLOOKUP($C30,'[3]2월누계'!$F$6:$CC$57,2,),)/1000</f>
        <v>50.917999999999999</v>
      </c>
      <c r="N30" s="59">
        <f t="shared" si="2"/>
        <v>-36.968000000000004</v>
      </c>
      <c r="O30" s="53">
        <f>+IFERROR(HLOOKUP($B30,'[1]2월누계'!$D$6:$BN$259,3,),)/1000</f>
        <v>1191.7713935483871</v>
      </c>
      <c r="P30" s="58">
        <f>+IFERROR(HLOOKUP($C30,'[2]2월누계'!$F$6:$CP$99,3,),)/1000</f>
        <v>190.50200000000001</v>
      </c>
      <c r="Q30" s="47">
        <f t="shared" si="3"/>
        <v>-1001.2693935483871</v>
      </c>
      <c r="R30" s="47">
        <f>+IFERROR(HLOOKUP($C30,'[3]2월누계'!$F$6:$CC$57,3,),)/1000</f>
        <v>692.03</v>
      </c>
      <c r="S30" s="59">
        <f t="shared" si="4"/>
        <v>-501.52799999999996</v>
      </c>
      <c r="T30" s="53">
        <f>+IFERROR(HLOOKUP($B30,'[1]2월누계'!$D$6:$BN$259,21,),)/1000</f>
        <v>167.23265325024309</v>
      </c>
      <c r="U30" s="58">
        <f>+IFERROR(HLOOKUP($C30,'[2]2월누계'!$F$6:$CP$99,21,),)/1000</f>
        <v>-116.57832251332211</v>
      </c>
      <c r="V30" s="47">
        <f t="shared" si="5"/>
        <v>-283.81097576356518</v>
      </c>
      <c r="W30" s="47">
        <f>+IFERROR(HLOOKUP($C30,'[3]2월누계'!$F$6:$CC$57,21,),)/1000</f>
        <v>91.726724213418862</v>
      </c>
      <c r="X30" s="59">
        <f t="shared" si="6"/>
        <v>-208.30504672674095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+IFERROR(HLOOKUP($B31,'[1]2월누계'!$D$6:$BN$259,2,),)/1000</f>
        <v>46.686642166666665</v>
      </c>
      <c r="K31" s="58">
        <f>+IFERROR(HLOOKUP($C31,'[2]2월누계'!$F$6:$CP$99,2,),)/1000</f>
        <v>47.085999999999999</v>
      </c>
      <c r="L31" s="47">
        <f t="shared" si="0"/>
        <v>0.39935783333333319</v>
      </c>
      <c r="M31" s="47">
        <f>+IFERROR(HLOOKUP($C31,'[3]2월누계'!$F$6:$CC$57,2,),)/1000</f>
        <v>53.042999999999999</v>
      </c>
      <c r="N31" s="59">
        <f t="shared" si="2"/>
        <v>-5.9570000000000007</v>
      </c>
      <c r="O31" s="53">
        <f>+IFERROR(HLOOKUP($B31,'[1]2월누계'!$D$6:$BN$259,3,),)/1000</f>
        <v>834.04705611666668</v>
      </c>
      <c r="P31" s="58">
        <f>+IFERROR(HLOOKUP($C31,'[2]2월누계'!$F$6:$CP$99,3,),)/1000</f>
        <v>852.101</v>
      </c>
      <c r="Q31" s="47">
        <f t="shared" si="3"/>
        <v>18.053943883333318</v>
      </c>
      <c r="R31" s="47">
        <f>+IFERROR(HLOOKUP($C31,'[3]2월누계'!$F$6:$CC$57,3,),)/1000</f>
        <v>1008.9585</v>
      </c>
      <c r="S31" s="59">
        <f t="shared" si="4"/>
        <v>-156.85749999999996</v>
      </c>
      <c r="T31" s="53">
        <f>+IFERROR(HLOOKUP($B31,'[1]2월누계'!$D$6:$BN$259,21,),)/1000</f>
        <v>-28.469873592504229</v>
      </c>
      <c r="U31" s="58">
        <f>+IFERROR(HLOOKUP($C31,'[2]2월누계'!$F$6:$CP$99,21,),)/1000</f>
        <v>-264.24082289999984</v>
      </c>
      <c r="V31" s="47">
        <f t="shared" si="5"/>
        <v>-235.77094930749561</v>
      </c>
      <c r="W31" s="47">
        <f>+IFERROR(HLOOKUP($C31,'[3]2월누계'!$F$6:$CC$57,21,),)/1000</f>
        <v>80.397893699999983</v>
      </c>
      <c r="X31" s="59">
        <f t="shared" si="6"/>
        <v>-344.63871659999984</v>
      </c>
      <c r="Y31" s="26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333"/>
      <c r="AK31" s="86"/>
      <c r="AL31" s="86"/>
    </row>
    <row r="32" spans="2:38" s="3" customFormat="1" ht="22.5" customHeight="1">
      <c r="G32" s="338"/>
      <c r="H32" s="134" t="s">
        <v>33</v>
      </c>
      <c r="I32" s="135"/>
      <c r="J32" s="136">
        <f>SUM(J29:J31)</f>
        <v>165.19048599383501</v>
      </c>
      <c r="K32" s="140">
        <f>SUM(K29:K31)</f>
        <v>106.18899999999999</v>
      </c>
      <c r="L32" s="138">
        <f t="shared" si="0"/>
        <v>-59.001485993835018</v>
      </c>
      <c r="M32" s="138">
        <f>SUM(M29:M31)</f>
        <v>149.78900000000002</v>
      </c>
      <c r="N32" s="139">
        <f t="shared" si="2"/>
        <v>-43.600000000000023</v>
      </c>
      <c r="O32" s="136">
        <f>SUM(O29:O31)</f>
        <v>3235.0837662610338</v>
      </c>
      <c r="P32" s="140">
        <f>SUM(P29:P31)</f>
        <v>2294.3314999999998</v>
      </c>
      <c r="Q32" s="138">
        <f t="shared" si="3"/>
        <v>-940.75226626103404</v>
      </c>
      <c r="R32" s="138">
        <f>SUM(R29:R31)</f>
        <v>3016.6064999999999</v>
      </c>
      <c r="S32" s="139">
        <f t="shared" si="4"/>
        <v>-722.27500000000009</v>
      </c>
      <c r="T32" s="136">
        <f>SUM(T29:T31)</f>
        <v>351.07214373666545</v>
      </c>
      <c r="U32" s="140">
        <f>SUM(U29:U31)</f>
        <v>-378.22959114079629</v>
      </c>
      <c r="V32" s="138">
        <f t="shared" si="5"/>
        <v>-729.30173487746174</v>
      </c>
      <c r="W32" s="138">
        <f>SUM(W29:W31)</f>
        <v>263.25309755262793</v>
      </c>
      <c r="X32" s="139">
        <f t="shared" si="6"/>
        <v>-641.48268869342428</v>
      </c>
      <c r="Y32" s="26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(IFERROR(HLOOKUP($B33,'[1]2월누계'!$D$6:$BN$259,3,),)++IFERROR(HLOOKUP($C33,'[1]2월누계'!$D$6:$BN$259,3,),)+IFERROR(HLOOKUP($D33,'[1]2월누계'!$D$6:$BN$259,3,),))/1000</f>
        <v>181.68</v>
      </c>
      <c r="P33" s="46">
        <f>+IFERROR(HLOOKUP($E33,'[2]2월누계'!$F$6:$CP$99,3,),)/1000</f>
        <v>181.68</v>
      </c>
      <c r="Q33" s="48">
        <f t="shared" si="3"/>
        <v>0</v>
      </c>
      <c r="R33" s="47">
        <f>+IFERROR(HLOOKUP($E33,'[3]2월누계'!$F$6:$CC$57,3,),)/1000</f>
        <v>181.68</v>
      </c>
      <c r="S33" s="59">
        <f t="shared" si="4"/>
        <v>0</v>
      </c>
      <c r="T33" s="45">
        <f>(IFERROR(HLOOKUP($B33,'[1]2월누계'!$D$6:$BN$259,21,),)++IFERROR(HLOOKUP($C33,'[1]2월누계'!$D$6:$BN$259,21,),)+IFERROR(HLOOKUP($D33,'[1]2월누계'!$D$6:$BN$259,21,),))/1000</f>
        <v>145.04644200000001</v>
      </c>
      <c r="U33" s="46">
        <f>+IFERROR(HLOOKUP($E33,'[2]2월누계'!$F$6:$CP$99,16,),)/1000</f>
        <v>144.836229</v>
      </c>
      <c r="V33" s="48">
        <f t="shared" si="5"/>
        <v>-0.2102130000000102</v>
      </c>
      <c r="W33" s="47">
        <f>+IFERROR(HLOOKUP($E33,'[3]2월누계'!$F$6:$CC$57,16,),)/1000</f>
        <v>143.761933</v>
      </c>
      <c r="X33" s="59">
        <f t="shared" si="6"/>
        <v>1.0742960000000039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9">+K34-M34</f>
        <v>0</v>
      </c>
      <c r="O34" s="45">
        <f>(+IFERROR(HLOOKUP($B34,'[1]2월누계'!$D$6:$BN$259,3,),)+IFERROR(HLOOKUP($C34,'[1]2월누계'!$D$6:$BN$259,3,),))/1000</f>
        <v>148.18299999999999</v>
      </c>
      <c r="P34" s="46">
        <f>+IFERROR(HLOOKUP($E34,'[2]2월누계'!$F$6:$CP$99,3,),)/1000</f>
        <v>146.73226699999998</v>
      </c>
      <c r="Q34" s="48">
        <f>+P34-O34</f>
        <v>-1.4507330000000138</v>
      </c>
      <c r="R34" s="47">
        <f>+IFERROR(HLOOKUP($E34,'[3]2월누계'!$F$6:$CC$57,3,),)/1000</f>
        <v>143.91586999999998</v>
      </c>
      <c r="S34" s="59">
        <f t="shared" si="4"/>
        <v>2.8163969999999949</v>
      </c>
      <c r="T34" s="45">
        <f>(+IFERROR(HLOOKUP($B34,'[1]2월누계'!$D$6:$BN$259,21,),)+IFERROR(HLOOKUP($C34,'[1]2월누계'!$D$6:$BN$259,21,),))/1000</f>
        <v>127.928</v>
      </c>
      <c r="U34" s="46">
        <f>+IFERROR(HLOOKUP($E34,'[2]2월누계'!$F$6:$CP$99,16,),)/1000</f>
        <v>126.50061799999999</v>
      </c>
      <c r="V34" s="48">
        <f t="shared" si="5"/>
        <v>-1.4273820000000086</v>
      </c>
      <c r="W34" s="47">
        <f>+IFERROR(HLOOKUP($E34,'[3]2월누계'!$F$6:$CC$57,16,),)/1000</f>
        <v>123.71799900000001</v>
      </c>
      <c r="X34" s="59">
        <f t="shared" si="6"/>
        <v>2.7826189999999826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22.5" customHeight="1">
      <c r="B35" s="8" t="s">
        <v>122</v>
      </c>
      <c r="D35"/>
      <c r="E35"/>
      <c r="F35"/>
      <c r="G35" s="334" t="str">
        <f t="shared" si="8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9"/>
        <v>0</v>
      </c>
      <c r="O35" s="45"/>
      <c r="P35" s="46"/>
      <c r="Q35" s="48">
        <f t="shared" ref="Q35:Q38" si="10">+P35-O35</f>
        <v>0</v>
      </c>
      <c r="R35" s="47"/>
      <c r="S35" s="59">
        <f t="shared" si="4"/>
        <v>0</v>
      </c>
      <c r="T35" s="45">
        <f>-'[1]2월누계'!$Z$22/1000</f>
        <v>-2987.4916102981288</v>
      </c>
      <c r="U35" s="46">
        <f>+-'[2]2월누계'!$Z$22/1000</f>
        <v>-2914.0880869474781</v>
      </c>
      <c r="V35" s="48">
        <f t="shared" si="5"/>
        <v>73.40352335065063</v>
      </c>
      <c r="W35" s="47">
        <f>+-'[3]2월누계'!$Z$22/1000</f>
        <v>-2602.6161175537482</v>
      </c>
      <c r="X35" s="59">
        <f t="shared" si="6"/>
        <v>-311.47196939372998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22.5" customHeight="1">
      <c r="D36"/>
      <c r="E36"/>
      <c r="F36"/>
      <c r="G36" s="334" t="str">
        <f t="shared" si="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 t="shared" si="10"/>
        <v>0</v>
      </c>
      <c r="R36" s="47"/>
      <c r="S36" s="59">
        <f t="shared" si="4"/>
        <v>0</v>
      </c>
      <c r="T36" s="45">
        <f>+'[1]2월누계'!$AS$26/1000</f>
        <v>0</v>
      </c>
      <c r="U36" s="46">
        <f>'[2]2월누계'!$BD$26/1000</f>
        <v>0</v>
      </c>
      <c r="V36" s="48">
        <f t="shared" si="5"/>
        <v>0</v>
      </c>
      <c r="W36" s="47">
        <f>-'[3]2월누계'!$BD$26/1000</f>
        <v>0</v>
      </c>
      <c r="X36" s="59">
        <f t="shared" si="6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22.5" customHeight="1">
      <c r="D37"/>
      <c r="E37"/>
      <c r="F37"/>
      <c r="G37" s="334" t="str">
        <f t="shared" si="8"/>
        <v>대손</v>
      </c>
      <c r="H37" s="81"/>
      <c r="I37" s="82" t="s">
        <v>96</v>
      </c>
      <c r="J37" s="45"/>
      <c r="K37" s="46"/>
      <c r="L37" s="48"/>
      <c r="M37" s="47"/>
      <c r="N37" s="59">
        <f t="shared" si="9"/>
        <v>0</v>
      </c>
      <c r="O37" s="45"/>
      <c r="P37" s="46"/>
      <c r="Q37" s="48">
        <f t="shared" si="10"/>
        <v>0</v>
      </c>
      <c r="R37" s="47"/>
      <c r="S37" s="59">
        <f t="shared" si="4"/>
        <v>0</v>
      </c>
      <c r="T37" s="45"/>
      <c r="U37" s="46">
        <f>'[2]2월누계'!$BE$26/1000</f>
        <v>0</v>
      </c>
      <c r="V37" s="48">
        <f t="shared" si="5"/>
        <v>0</v>
      </c>
      <c r="W37" s="47">
        <f>'[3]2월누계'!$BE$26/1000</f>
        <v>310.72652699999998</v>
      </c>
      <c r="X37" s="59">
        <f t="shared" si="6"/>
        <v>-310.72652699999998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22.5" customHeight="1">
      <c r="D38"/>
      <c r="E38"/>
      <c r="F38"/>
      <c r="G38" s="334" t="str">
        <f t="shared" si="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9"/>
        <v>0</v>
      </c>
      <c r="O38" s="45"/>
      <c r="P38" s="46"/>
      <c r="Q38" s="48">
        <f t="shared" si="10"/>
        <v>0</v>
      </c>
      <c r="R38" s="47">
        <f>+IFERROR(HLOOKUP($I$38,'[3]2월누계'!$F$6:$BJ$50,3,),)/1000</f>
        <v>0</v>
      </c>
      <c r="S38" s="59">
        <f t="shared" si="4"/>
        <v>0</v>
      </c>
      <c r="T38" s="45">
        <f>SUM('[1]2월누계'!$AM$26:$AQ$26)/1000</f>
        <v>-75.008991999999992</v>
      </c>
      <c r="U38" s="46">
        <f>+'[2]2월누계'!$BF$26/1000</f>
        <v>-64.657320999999996</v>
      </c>
      <c r="V38" s="48">
        <f t="shared" si="5"/>
        <v>10.351670999999996</v>
      </c>
      <c r="W38" s="47">
        <f>+'[3]2월누계'!$BF$26/1000</f>
        <v>-71.521523999999999</v>
      </c>
      <c r="X38" s="59">
        <f>+U38-W38</f>
        <v>6.8642030000000034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22.5" customHeight="1">
      <c r="B39" t="s">
        <v>30</v>
      </c>
      <c r="D39"/>
      <c r="G39" s="334" t="str">
        <f t="shared" si="8"/>
        <v>퇴직금</v>
      </c>
      <c r="H39" s="81"/>
      <c r="I39" s="82" t="s">
        <v>208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+'[2]2월누계'!$BG$26/1000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IFERROR(HLOOKUP($B39,'[1]2월누계'!$D$6:$BN$259,3,),)/1000</f>
        <v>3.54</v>
      </c>
      <c r="P40" s="46">
        <f>+('[2]2월누계'!$F$8-SUM('[2]2월누계'!$Z$8,'[2]2월누계'!$AH$8,'[2]2월누계'!$AN$8,'[2]2월누계'!$AO$8,'[2]2월누계'!$BA$8,'[2]2월누계'!$BD$8,'[2]2월누계'!$BE$8,'[2]2월누계'!$BF$8))/1000</f>
        <v>3.3597000000029804</v>
      </c>
      <c r="Q40" s="54">
        <f>+P40-O40</f>
        <v>-0.18029999999701962</v>
      </c>
      <c r="R40" s="60">
        <f>+('[3]2월누계'!$F$8-SUM('[3]2월누계'!$Z$8,'[3]2월누계'!$AH$8,'[3]2월누계'!$AN$8,'[3]2월누계'!$AO$8,'[3]2월누계'!$BA$8,'[3]2월누계'!$BD$8,'[3]2월누계'!$BE$8,'[3]2월누계'!$BF$8))/1000</f>
        <v>3.40479999999702</v>
      </c>
      <c r="S40" s="61">
        <f>+P40-R40</f>
        <v>-4.5099999994039575E-2</v>
      </c>
      <c r="T40" s="45">
        <f>+('[1]2월누계'!$E$26-'[1]2월누계'!$Z$26-'[1]2월누계'!$AA$26-'[1]2월누계'!$AE$26-'[1]2월누계'!$AL$26-'[1]2월누계'!$AM$26-'[1]2월누계'!$AN$26-'[1]2월누계'!$AO$26-'[1]2월누계'!$AP$26-'[1]2월누계'!$AQ$26-'[1]2월누계'!$AS$26)/1000</f>
        <v>-33.605489999997033</v>
      </c>
      <c r="U40" s="46">
        <f>+('[2]2월누계'!$F$26-SUM('[2]2월누계'!$Z$26,'[2]2월누계'!$AH$26,'[2]2월누계'!$AN$26,'[2]2월누계'!$AO$26,'[2]2월누계'!$BA$26,'[2]2월누계'!$BD$26,'[2]2월누계'!$BE$26,'[2]2월누계'!$BF$26))/1000-U39</f>
        <v>-32.020182000006571</v>
      </c>
      <c r="V40" s="48">
        <f>+U40-T40</f>
        <v>1.5853079999904622</v>
      </c>
      <c r="W40" s="60">
        <f>+('[3]2월누계'!$F$26-SUM('[3]2월누계'!$Z$26,'[3]2월누계'!$AH$26,'[3]2월누계'!$AN$26,'[3]2월누계'!$AO$26,'[3]2월누계'!$BA$26,'[3]2월누계'!$BD$26,'[3]2월누계'!$BE$26,'[3]2월누계'!$BF$26))/1000</f>
        <v>-31.59784900000086</v>
      </c>
      <c r="X40" s="59">
        <f>+U40-W40</f>
        <v>-0.42233300000571106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9"/>
        <v>0</v>
      </c>
      <c r="O41" s="136">
        <f>SUM(O33:O40)</f>
        <v>333.40300000000002</v>
      </c>
      <c r="P41" s="137">
        <f>SUM(P33:P40)</f>
        <v>331.77196700000297</v>
      </c>
      <c r="Q41" s="141">
        <f t="shared" si="3"/>
        <v>-1.6310329999970463</v>
      </c>
      <c r="R41" s="142">
        <f>SUM(R33:R40)</f>
        <v>329.000669999997</v>
      </c>
      <c r="S41" s="143">
        <f>+P41-R41</f>
        <v>2.7712970000059727</v>
      </c>
      <c r="T41" s="136">
        <f>SUM(T33:T40)</f>
        <v>-2823.1316502981258</v>
      </c>
      <c r="U41" s="137">
        <f>SUM(U33:U40)</f>
        <v>-3498.7719318574846</v>
      </c>
      <c r="V41" s="141">
        <f>+U41-T41</f>
        <v>-675.64028155935875</v>
      </c>
      <c r="W41" s="142">
        <f>SUM(W33:W40)</f>
        <v>-2127.5290315537486</v>
      </c>
      <c r="X41" s="143">
        <f>+U41-W41</f>
        <v>-1371.242900303736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22.5" customHeight="1">
      <c r="G43" s="339">
        <f>+P43/O43</f>
        <v>0.83036595404417068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69102.517744781828</v>
      </c>
      <c r="P43" s="280">
        <f>+P27+P32+P28+P41</f>
        <v>57380.378074</v>
      </c>
      <c r="Q43" s="281">
        <f t="shared" si="3"/>
        <v>-11722.139670781828</v>
      </c>
      <c r="R43" s="282">
        <f>+R27+R32+R28+R41</f>
        <v>67616.410785</v>
      </c>
      <c r="S43" s="283">
        <f>+P43-R43</f>
        <v>-10236.032711</v>
      </c>
      <c r="T43" s="279">
        <f>+T27+T32+T28+T41</f>
        <v>-15.225002388011035</v>
      </c>
      <c r="U43" s="280">
        <f>+U27+U32+U28+U41</f>
        <v>-2899.3316719982804</v>
      </c>
      <c r="V43" s="281">
        <f>+U43-T43</f>
        <v>-2884.1066696102694</v>
      </c>
      <c r="W43" s="282">
        <f>+W27+W32+W28+W41</f>
        <v>2274.3249529988807</v>
      </c>
      <c r="X43" s="283">
        <f>+U43-W43</f>
        <v>-5173.6566249971611</v>
      </c>
      <c r="Y43" s="739"/>
      <c r="Z43" s="740"/>
      <c r="AA43" s="740"/>
      <c r="AB43" s="740"/>
      <c r="AC43" s="740"/>
      <c r="AD43" s="740"/>
      <c r="AE43" s="740"/>
      <c r="AF43" s="740"/>
      <c r="AG43" s="741"/>
      <c r="AH43" s="25"/>
    </row>
    <row r="44" spans="2:38" s="33" customFormat="1">
      <c r="G44" s="336">
        <f>+U43/T43</f>
        <v>190.43226385838639</v>
      </c>
      <c r="P44" s="295">
        <f>+P43/O43</f>
        <v>0.83036595404417068</v>
      </c>
      <c r="T44" s="295">
        <f>+T43/O43</f>
        <v>-2.2032485768813724E-4</v>
      </c>
      <c r="U44" s="295">
        <f>+U43/P43</f>
        <v>-5.0528277597947993E-2</v>
      </c>
      <c r="AC44" s="34"/>
      <c r="AF44" s="34"/>
    </row>
    <row r="45" spans="2:38" s="33" customFormat="1" ht="17.25" thickBot="1">
      <c r="G45" s="340"/>
      <c r="AC45" s="34"/>
      <c r="AF45" s="34"/>
    </row>
    <row r="46" spans="2:38" s="33" customFormat="1">
      <c r="G46" s="340"/>
      <c r="I46" s="736" t="s">
        <v>82</v>
      </c>
      <c r="J46" s="126">
        <f>+'[1]2월누계'!$Z$7/1000</f>
        <v>434</v>
      </c>
      <c r="K46" s="127">
        <f>+'[2]2월누계'!$AI$7/1000</f>
        <v>388.6585</v>
      </c>
      <c r="L46" s="127"/>
      <c r="M46" s="127">
        <f>+'[3]2월누계'!$Z$7/1000</f>
        <v>496.44200000000001</v>
      </c>
      <c r="N46" s="127"/>
      <c r="O46" s="127">
        <f>+'[1]2월누계'!$E$8/1000</f>
        <v>69102.517744781828</v>
      </c>
      <c r="P46" s="127">
        <f>+'[2]2월누계'!$F$8/1000</f>
        <v>57380.378073999993</v>
      </c>
      <c r="Q46" s="127"/>
      <c r="R46" s="127">
        <f>+'[3]2월누계'!$F$8/1000</f>
        <v>67616.410785</v>
      </c>
      <c r="S46" s="127"/>
      <c r="T46" s="132">
        <f>+'[1]2월누계'!$E$26/1000</f>
        <v>-15.225002388007008</v>
      </c>
      <c r="U46" s="127">
        <f>+'[2]2월누계'!$F$26/1000</f>
        <v>-2899.331671998279</v>
      </c>
      <c r="V46" s="127"/>
      <c r="W46" s="127">
        <f>+'[3]2월누계'!$F$26/1000</f>
        <v>2274.3249529988816</v>
      </c>
      <c r="X46" s="128"/>
      <c r="AC46" s="34"/>
      <c r="AF46" s="34"/>
    </row>
    <row r="47" spans="2:38" s="33" customFormat="1" ht="17.25" thickBot="1">
      <c r="G47" s="340"/>
      <c r="I47" s="736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4.0270009549203678E-12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>
      <c r="T48" s="294"/>
      <c r="U48" s="294"/>
      <c r="V48" s="294"/>
    </row>
    <row r="49" spans="10:33">
      <c r="T49" s="294"/>
      <c r="U49" s="294"/>
      <c r="V49" s="294"/>
      <c r="AC49" s="34"/>
      <c r="AD49" s="33"/>
      <c r="AE49" s="33"/>
      <c r="AF49" s="34"/>
    </row>
    <row r="50" spans="10:33">
      <c r="S50" t="s">
        <v>40</v>
      </c>
      <c r="T50" s="236">
        <f>(+T27+T35)/100</f>
        <v>-8.6963918343309157</v>
      </c>
      <c r="U50" s="236">
        <f>(+U27+U35)/100</f>
        <v>-19.489771979474781</v>
      </c>
      <c r="V50" s="236">
        <f>+U50-T50</f>
        <v>-10.793380145143866</v>
      </c>
      <c r="W50" s="235">
        <f>+U50/T50-1</f>
        <v>1.241133144729591</v>
      </c>
      <c r="AC50" s="34"/>
      <c r="AD50" s="33"/>
      <c r="AE50" s="33"/>
      <c r="AF50" s="34"/>
    </row>
    <row r="51" spans="10:33">
      <c r="S51" t="s">
        <v>3</v>
      </c>
      <c r="T51" s="6">
        <f>+T28/100</f>
        <v>3.389820773084121</v>
      </c>
      <c r="U51" s="6">
        <f>+U28/100</f>
        <v>0.12558962000000151</v>
      </c>
      <c r="V51" s="236">
        <f t="shared" ref="V51:V56" si="11">+U51-T51</f>
        <v>-3.2642311530841193</v>
      </c>
      <c r="Y51" s="228" t="s">
        <v>218</v>
      </c>
      <c r="AC51" s="34"/>
      <c r="AD51" s="33"/>
      <c r="AE51" s="33"/>
      <c r="AF51" s="34"/>
    </row>
    <row r="52" spans="10:33">
      <c r="S52" t="s">
        <v>1</v>
      </c>
      <c r="T52" s="6">
        <f>+T32/100</f>
        <v>3.5107214373666547</v>
      </c>
      <c r="U52" s="6">
        <f>+U32/100</f>
        <v>-3.7822959114079628</v>
      </c>
      <c r="V52" s="236">
        <f t="shared" si="11"/>
        <v>-7.293017348774617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2.7297444200000003</v>
      </c>
      <c r="U53" s="6">
        <f>(U33+U34)/100</f>
        <v>2.7133684699999998</v>
      </c>
      <c r="V53" s="236">
        <f t="shared" si="11"/>
        <v>-1.6375950000000472E-2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-1.0861448199999306</v>
      </c>
      <c r="U54" s="236">
        <f>(U46/100)-U50-U51-U52-U53</f>
        <v>-8.5602069191000467</v>
      </c>
      <c r="V54" s="236">
        <f t="shared" si="11"/>
        <v>-7.4740620991001165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1.6435996000000697</v>
      </c>
      <c r="U55" s="236">
        <f>SUM(U53:U54)</f>
        <v>-5.8468384491000469</v>
      </c>
      <c r="V55" s="236">
        <f>SUM(V53:V54)</f>
        <v>-7.490438049100117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-0.15225002388006992</v>
      </c>
      <c r="U56" s="236">
        <f>SUM(U50:U54)</f>
        <v>-28.99331671998279</v>
      </c>
      <c r="V56" s="236">
        <f t="shared" si="11"/>
        <v>-28.841066696102722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2.7297444200000003</v>
      </c>
      <c r="U58" s="294">
        <f>+(U33+U34)/100</f>
        <v>2.7133684699999998</v>
      </c>
      <c r="V58" s="236">
        <f>+U58-T58</f>
        <v>-1.6375950000000472E-2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2">+T36/100</f>
        <v>0</v>
      </c>
      <c r="U59" s="236">
        <f t="shared" si="12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12"/>
        <v>0</v>
      </c>
      <c r="U60" s="236">
        <f t="shared" si="12"/>
        <v>0</v>
      </c>
      <c r="V60" s="236">
        <f>+U60-T60</f>
        <v>0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12"/>
        <v>-0.75008991999999997</v>
      </c>
      <c r="U61" s="236">
        <f t="shared" si="12"/>
        <v>-0.64657321000000001</v>
      </c>
      <c r="V61" s="236">
        <f>+U61-T61</f>
        <v>0.10351670999999996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-0.33605489999997035</v>
      </c>
      <c r="U62" s="236">
        <f>+U40/100</f>
        <v>-0.3202018200000657</v>
      </c>
      <c r="V62" s="236">
        <f>+U62-T62</f>
        <v>1.5853079999904651E-2</v>
      </c>
      <c r="AC62" s="236"/>
      <c r="AD62" s="236"/>
      <c r="AE62" s="236"/>
    </row>
    <row r="63" spans="10:33">
      <c r="T63" s="6">
        <f>SUM(T58:T62)</f>
        <v>1.6435996000000299</v>
      </c>
      <c r="U63" s="6">
        <f>SUM(U58:U62)</f>
        <v>1.7465934399999341</v>
      </c>
      <c r="V63" s="6">
        <f>SUM(V58:V62)</f>
        <v>0.10299383999990414</v>
      </c>
      <c r="AC63" s="236"/>
      <c r="AE63" s="236"/>
    </row>
    <row r="64" spans="10:33">
      <c r="AC64" s="236"/>
      <c r="AE64" s="236"/>
    </row>
    <row r="65" spans="29:31">
      <c r="AC65" s="236"/>
      <c r="AE65" s="236"/>
    </row>
    <row r="66" spans="29:31">
      <c r="AC66" s="236"/>
      <c r="AE66" s="236"/>
    </row>
    <row r="67" spans="29:31">
      <c r="AC67" s="236"/>
      <c r="AE67" s="236"/>
    </row>
    <row r="68" spans="29:31">
      <c r="AC68" s="236"/>
      <c r="AE68" s="236"/>
    </row>
    <row r="69" spans="29:31">
      <c r="AC69" s="236"/>
      <c r="AE69" s="236"/>
    </row>
    <row r="70" spans="29:31">
      <c r="AC70" s="236"/>
      <c r="AE70" s="236"/>
    </row>
    <row r="71" spans="29:31">
      <c r="AC71" s="236"/>
      <c r="AE71" s="236"/>
    </row>
    <row r="72" spans="29:31">
      <c r="AC72" s="236"/>
      <c r="AE72" s="236"/>
    </row>
    <row r="73" spans="29:31">
      <c r="AC73" s="236"/>
      <c r="AE73" s="236"/>
    </row>
    <row r="74" spans="29:31">
      <c r="AC74" s="236"/>
      <c r="AE74" s="236"/>
    </row>
    <row r="75" spans="29:31">
      <c r="AC75" s="236"/>
      <c r="AE75" s="236"/>
    </row>
    <row r="76" spans="29:31">
      <c r="AC76" s="236"/>
      <c r="AE76" s="236"/>
    </row>
    <row r="77" spans="29:31">
      <c r="AC77" s="236"/>
      <c r="AE77" s="236"/>
    </row>
    <row r="78" spans="29:31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L31" sqref="L31"/>
      <selection pane="topRight" activeCell="L31" sqref="L31"/>
      <selection pane="bottomLeft" activeCell="L31" sqref="L31"/>
      <selection pane="bottomRight" activeCell="L31" sqref="L31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/>
    <row r="2" spans="1:26" ht="9.9499999999999993" hidden="1" customHeight="1"/>
    <row r="3" spans="1:26" ht="9.9499999999999993" customHeight="1"/>
    <row r="4" spans="1:26" ht="31.5">
      <c r="D4" s="398" t="s">
        <v>219</v>
      </c>
      <c r="F4" s="398"/>
      <c r="I4" s="398"/>
      <c r="J4" s="398"/>
    </row>
    <row r="5" spans="1:26" ht="21.95" customHeight="1">
      <c r="W5" s="397" t="s">
        <v>142</v>
      </c>
    </row>
    <row r="6" spans="1:26" ht="24" customHeight="1" thickBot="1">
      <c r="A6" s="6" t="s">
        <v>141</v>
      </c>
      <c r="D6" s="742" t="s">
        <v>11</v>
      </c>
      <c r="E6" s="396" t="s">
        <v>140</v>
      </c>
      <c r="F6" s="395"/>
      <c r="G6" s="394"/>
      <c r="H6" s="396" t="s">
        <v>139</v>
      </c>
      <c r="I6" s="395"/>
      <c r="J6" s="395"/>
      <c r="K6" s="394"/>
      <c r="L6" s="396" t="s">
        <v>138</v>
      </c>
      <c r="M6" s="395"/>
      <c r="N6" s="395"/>
      <c r="O6" s="394"/>
      <c r="P6" s="396" t="s">
        <v>137</v>
      </c>
      <c r="Q6" s="395"/>
      <c r="R6" s="395"/>
      <c r="S6" s="394"/>
      <c r="T6" s="396" t="s">
        <v>136</v>
      </c>
      <c r="U6" s="395"/>
      <c r="V6" s="395"/>
      <c r="W6" s="394"/>
    </row>
    <row r="7" spans="1:26" ht="24" customHeight="1">
      <c r="D7" s="743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135</v>
      </c>
      <c r="L7" s="392" t="s">
        <v>12</v>
      </c>
      <c r="M7" s="391" t="s">
        <v>13</v>
      </c>
      <c r="N7" s="390" t="s">
        <v>38</v>
      </c>
      <c r="O7" s="389" t="s">
        <v>135</v>
      </c>
      <c r="P7" s="392" t="s">
        <v>12</v>
      </c>
      <c r="Q7" s="391" t="s">
        <v>13</v>
      </c>
      <c r="R7" s="390" t="s">
        <v>38</v>
      </c>
      <c r="S7" s="389" t="s">
        <v>135</v>
      </c>
      <c r="T7" s="392" t="s">
        <v>12</v>
      </c>
      <c r="U7" s="391" t="s">
        <v>13</v>
      </c>
      <c r="V7" s="390" t="s">
        <v>38</v>
      </c>
      <c r="W7" s="389" t="s">
        <v>135</v>
      </c>
    </row>
    <row r="8" spans="1:26" ht="24" customHeight="1">
      <c r="D8" s="388" t="s">
        <v>32</v>
      </c>
      <c r="E8" s="386">
        <f>+[4]합계!$H$86/1000</f>
        <v>1375.1273397193975</v>
      </c>
      <c r="F8" s="385">
        <f>+[4]합계!$I$86/1000</f>
        <v>941.97264800000107</v>
      </c>
      <c r="G8" s="384">
        <f t="shared" ref="G8:G28" si="0">+F8-E8</f>
        <v>-433.1546917193964</v>
      </c>
      <c r="H8" s="386">
        <f>+[4]합계!$T$5/1000</f>
        <v>227</v>
      </c>
      <c r="I8" s="385">
        <f>+[4]합계!$U$5/1000</f>
        <v>210.779</v>
      </c>
      <c r="J8" s="384">
        <f t="shared" ref="J8:J28" si="1">+I8-H8</f>
        <v>-16.221000000000004</v>
      </c>
      <c r="K8" s="387">
        <f>+[4]합계!$M$86/1000</f>
        <v>-178.42849424044996</v>
      </c>
      <c r="L8" s="386">
        <f>+[4]합계!$Q$85</f>
        <v>100532.46493763285</v>
      </c>
      <c r="M8" s="385">
        <f>+[4]합계!$R$85</f>
        <v>99735.994266764363</v>
      </c>
      <c r="N8" s="384">
        <f t="shared" ref="N8:N28" si="2">+M8-L8</f>
        <v>-796.47067086848256</v>
      </c>
      <c r="O8" s="387">
        <f>+[4]합계!$K$86/1000</f>
        <v>-167.40061266179592</v>
      </c>
      <c r="P8" s="386">
        <f>+[4]합계!$Q$50</f>
        <v>89862.63838666091</v>
      </c>
      <c r="Q8" s="385">
        <f>+[4]합계!$R$50</f>
        <v>90556.991564914206</v>
      </c>
      <c r="R8" s="384">
        <f t="shared" ref="R8:R28" si="3">+Q8-P8</f>
        <v>694.35317825329548</v>
      </c>
      <c r="S8" s="387">
        <f>+[4]합계!$L$56/1000</f>
        <v>-102.60173463838061</v>
      </c>
      <c r="T8" s="386">
        <f>+([4]합계!$H$80+[4]합계!$H$85)/1000</f>
        <v>1046.9232873512344</v>
      </c>
      <c r="U8" s="385">
        <f>+([4]합계!$I$80+[4]합계!$I$85)/1000</f>
        <v>1031.6471375299998</v>
      </c>
      <c r="V8" s="384">
        <f t="shared" ref="V8:V28" si="4">+U8-T8</f>
        <v>-15.27614982123464</v>
      </c>
      <c r="W8" s="383">
        <f>+([4]합계!$L$80+[4]합계!$L$85)/1000</f>
        <v>15.276149821234547</v>
      </c>
      <c r="Y8" s="6">
        <f t="shared" ref="Y8:Y28" si="5">+G8-K8-O8-S8-W8</f>
        <v>-4.4551029532158282E-12</v>
      </c>
      <c r="Z8" s="6">
        <f t="shared" ref="Z8:Z28" si="6">+Y8*1000000</f>
        <v>-4.4551029532158282E-6</v>
      </c>
    </row>
    <row r="9" spans="1:26" ht="24" customHeight="1">
      <c r="D9" s="382" t="s">
        <v>16</v>
      </c>
      <c r="E9" s="381">
        <f>+[4]수도권!$H$86/1000</f>
        <v>291.53060608738582</v>
      </c>
      <c r="F9" s="380">
        <f>+[4]수도권!$I$86/1000</f>
        <v>126.59635100000031</v>
      </c>
      <c r="G9" s="379">
        <f t="shared" si="0"/>
        <v>-164.93425508738551</v>
      </c>
      <c r="H9" s="381">
        <f>+[4]수도권!$T$5/1000</f>
        <v>83</v>
      </c>
      <c r="I9" s="380">
        <f>+[4]수도권!$U$5/1000</f>
        <v>74.239500000000007</v>
      </c>
      <c r="J9" s="379">
        <f t="shared" si="1"/>
        <v>-8.7604999999999933</v>
      </c>
      <c r="K9" s="378">
        <f>+[4]수도권!$M$86/1000</f>
        <v>-67.446678300248919</v>
      </c>
      <c r="L9" s="381">
        <f>+[4]수도권!$Q$85</f>
        <v>97568.731966322273</v>
      </c>
      <c r="M9" s="380">
        <f>+[4]수도권!$R$85</f>
        <v>96965.552073670318</v>
      </c>
      <c r="N9" s="379">
        <f t="shared" si="2"/>
        <v>-603.17989265195502</v>
      </c>
      <c r="O9" s="378">
        <f>+[4]수도권!$K$86/1000</f>
        <v>-44.540311223151988</v>
      </c>
      <c r="P9" s="381">
        <f>+[4]수도권!$Q$50</f>
        <v>90115.663082866231</v>
      </c>
      <c r="Q9" s="380">
        <f>+[4]수도권!$R$50</f>
        <v>91038.577959846967</v>
      </c>
      <c r="R9" s="379">
        <f t="shared" si="3"/>
        <v>922.91487698073615</v>
      </c>
      <c r="S9" s="378">
        <f>+[4]수도권!$L$56/1000</f>
        <v>-68.150335333452418</v>
      </c>
      <c r="T9" s="381">
        <f>+([4]수도권!$H$80+[4]수도권!$H$85)/1000</f>
        <v>327.07411123946667</v>
      </c>
      <c r="U9" s="380">
        <f>+([4]수도권!$I$80+[4]수도권!$I$85)/1000</f>
        <v>311.87104147000002</v>
      </c>
      <c r="V9" s="379">
        <f t="shared" si="4"/>
        <v>-15.203069769466651</v>
      </c>
      <c r="W9" s="378">
        <f>+([4]수도권!$L$80+[4]수도권!$L$85)/1000</f>
        <v>15.203069769466687</v>
      </c>
      <c r="Y9" s="6">
        <f t="shared" si="5"/>
        <v>1.1297629498585593E-12</v>
      </c>
      <c r="Z9" s="6">
        <f t="shared" si="6"/>
        <v>1.1297629498585593E-6</v>
      </c>
    </row>
    <row r="10" spans="1:26" ht="24" customHeight="1">
      <c r="D10" s="377" t="s">
        <v>17</v>
      </c>
      <c r="E10" s="376">
        <f>+[4]영남권!$H$86/1000</f>
        <v>669.03147786277543</v>
      </c>
      <c r="F10" s="375">
        <f>+[4]영남권!$I$86/1000</f>
        <v>519.31217699999968</v>
      </c>
      <c r="G10" s="374">
        <f t="shared" si="0"/>
        <v>-149.71930086277575</v>
      </c>
      <c r="H10" s="376">
        <f>+[4]영남권!$T$5/1000</f>
        <v>105</v>
      </c>
      <c r="I10" s="375">
        <f>+[4]영남권!$U$5/1000</f>
        <v>95.894000000000005</v>
      </c>
      <c r="J10" s="374">
        <f t="shared" si="1"/>
        <v>-9.1059999999999945</v>
      </c>
      <c r="K10" s="373">
        <f>+[4]영남권!$M$86/1000</f>
        <v>-103.81127598641824</v>
      </c>
      <c r="L10" s="376">
        <f>+[4]영남권!$Q$85</f>
        <v>100469.21645369435</v>
      </c>
      <c r="M10" s="375">
        <f>+[4]영남권!$R$85</f>
        <v>100787.78490345353</v>
      </c>
      <c r="N10" s="374">
        <f t="shared" si="2"/>
        <v>318.56844975918648</v>
      </c>
      <c r="O10" s="373">
        <f>+[4]영남권!$K$86/1000</f>
        <v>30.505159043590417</v>
      </c>
      <c r="P10" s="376">
        <f>+[4]영남권!$Q$50</f>
        <v>89203.785750846975</v>
      </c>
      <c r="Q10" s="375">
        <f>+[4]영남권!$R$50</f>
        <v>90293.150509097672</v>
      </c>
      <c r="R10" s="374">
        <f t="shared" si="3"/>
        <v>1089.3647582506965</v>
      </c>
      <c r="S10" s="373">
        <f>+[4]영남권!$L$56/1000</f>
        <v>-61.267620306146007</v>
      </c>
      <c r="T10" s="376">
        <f>+([4]영남권!$H$80+[4]영남권!$H$85)/1000</f>
        <v>513.83874593619805</v>
      </c>
      <c r="U10" s="375">
        <f>+([4]영남권!$I$80+[4]영남권!$I$85)/1000</f>
        <v>528.98430955000003</v>
      </c>
      <c r="V10" s="374">
        <f t="shared" si="4"/>
        <v>15.145563613801983</v>
      </c>
      <c r="W10" s="373">
        <f>+([4]영남권!$L$80+[4]영남권!$L$85)/1000</f>
        <v>-15.145563613801867</v>
      </c>
      <c r="Y10" s="6">
        <f t="shared" si="5"/>
        <v>-5.1514348342607263E-14</v>
      </c>
      <c r="Z10" s="6">
        <f t="shared" si="6"/>
        <v>-5.1514348342607263E-8</v>
      </c>
    </row>
    <row r="11" spans="1:26" ht="24" customHeight="1">
      <c r="D11" s="372" t="s">
        <v>134</v>
      </c>
      <c r="E11" s="371">
        <f>+[4]중부권!$H$86/1000</f>
        <v>414.56525576923389</v>
      </c>
      <c r="F11" s="370">
        <f>+[4]중부권!$I$86/1000</f>
        <v>296.06411999999966</v>
      </c>
      <c r="G11" s="369">
        <f t="shared" si="0"/>
        <v>-118.50113576923422</v>
      </c>
      <c r="H11" s="371">
        <f>+[4]중부권!$T$5/1000</f>
        <v>39</v>
      </c>
      <c r="I11" s="370">
        <f>+[4]중부권!$U$5/1000</f>
        <v>40.645499999999998</v>
      </c>
      <c r="J11" s="369">
        <f t="shared" si="1"/>
        <v>1.6454999999999984</v>
      </c>
      <c r="K11" s="368">
        <f>+[4]중부권!$M$86/1000</f>
        <v>25.056831083689058</v>
      </c>
      <c r="L11" s="371">
        <f>+[4]중부권!$Q$85</f>
        <v>107010.18102564102</v>
      </c>
      <c r="M11" s="370">
        <f>+[4]중부권!$R$85</f>
        <v>102295.47925625638</v>
      </c>
      <c r="N11" s="369">
        <f t="shared" si="2"/>
        <v>-4714.7017693846428</v>
      </c>
      <c r="O11" s="368">
        <f>+[4]중부권!$K$86/1000</f>
        <v>-191.31552574897472</v>
      </c>
      <c r="P11" s="371">
        <f>+[4]중부권!$Q$50</f>
        <v>91097.983950133246</v>
      </c>
      <c r="Q11" s="370">
        <f>+[4]중부권!$R$50</f>
        <v>90310.994704964556</v>
      </c>
      <c r="R11" s="369">
        <f t="shared" si="3"/>
        <v>-786.9892451686901</v>
      </c>
      <c r="S11" s="368">
        <f>+[4]중부권!$L$56/1000</f>
        <v>32.538915230481003</v>
      </c>
      <c r="T11" s="371">
        <f>+([4]중부권!$H$80+[4]중부권!$H$85)/1000</f>
        <v>206.01043017556967</v>
      </c>
      <c r="U11" s="370">
        <f>+([4]중부권!$I$80+[4]중부권!$I$85)/1000</f>
        <v>190.79178651000001</v>
      </c>
      <c r="V11" s="369">
        <f t="shared" si="4"/>
        <v>-15.218643665569658</v>
      </c>
      <c r="W11" s="368">
        <f>+([4]중부권!$L$80+[4]중부권!$L$85)/1000</f>
        <v>15.218643665569624</v>
      </c>
      <c r="Y11" s="6">
        <f t="shared" si="5"/>
        <v>8.2245321664231597E-13</v>
      </c>
      <c r="Z11" s="6">
        <f t="shared" si="6"/>
        <v>8.2245321664231597E-7</v>
      </c>
    </row>
    <row r="12" spans="1:26" ht="24" customHeight="1">
      <c r="D12" s="367" t="s">
        <v>18</v>
      </c>
      <c r="E12" s="365">
        <f>+[4]안양!$H$86/1000</f>
        <v>171.79785562308936</v>
      </c>
      <c r="F12" s="364">
        <f>+[4]안양!$I$86/1000</f>
        <v>265.58445900000044</v>
      </c>
      <c r="G12" s="366">
        <f t="shared" si="0"/>
        <v>93.786603376911074</v>
      </c>
      <c r="H12" s="365">
        <f>+[4]안양!$T$5/1000</f>
        <v>32</v>
      </c>
      <c r="I12" s="364">
        <f>+[4]안양!$U$5/1000</f>
        <v>34.905000000000001</v>
      </c>
      <c r="J12" s="363">
        <f t="shared" si="1"/>
        <v>2.9050000000000011</v>
      </c>
      <c r="K12" s="362">
        <f>+[4]안양!$M$86/1000</f>
        <v>22.199410485318221</v>
      </c>
      <c r="L12" s="365">
        <f>+[4]안양!$Q$85</f>
        <v>98492.940625000003</v>
      </c>
      <c r="M12" s="364">
        <f>+[4]안양!$R$85</f>
        <v>96859.207213209738</v>
      </c>
      <c r="N12" s="363">
        <f t="shared" si="2"/>
        <v>-1633.7334117902647</v>
      </c>
      <c r="O12" s="362">
        <f>+[4]안양!$K$86/1000</f>
        <v>-56.396477374999932</v>
      </c>
      <c r="P12" s="365">
        <f>+[4]안양!$Q$50</f>
        <v>89991.11106733403</v>
      </c>
      <c r="Q12" s="364">
        <f>+[4]안양!$R$50</f>
        <v>86627.36123986094</v>
      </c>
      <c r="R12" s="363">
        <f t="shared" si="3"/>
        <v>-3363.7498274730897</v>
      </c>
      <c r="S12" s="362">
        <f>+[4]안양!$L$56/1000</f>
        <v>116.11664830437041</v>
      </c>
      <c r="T12" s="365">
        <f>+([4]안양!$H$80+[4]안양!$H$85)/1000</f>
        <v>100.26069022222221</v>
      </c>
      <c r="U12" s="364">
        <f>+([4]안양!$I$80+[4]안양!$I$85)/1000</f>
        <v>88.393668260000013</v>
      </c>
      <c r="V12" s="363">
        <f t="shared" si="4"/>
        <v>-11.867021962222196</v>
      </c>
      <c r="W12" s="362">
        <f>+([4]안양!$L$80+[4]안양!$L$85)/1000</f>
        <v>11.867021962222221</v>
      </c>
      <c r="Y12" s="6">
        <f t="shared" si="5"/>
        <v>1.4566126083082054E-13</v>
      </c>
      <c r="Z12" s="6">
        <f t="shared" si="6"/>
        <v>1.4566126083082054E-7</v>
      </c>
    </row>
    <row r="13" spans="1:26" ht="24" customHeight="1">
      <c r="D13" s="354" t="s">
        <v>19</v>
      </c>
      <c r="E13" s="351">
        <f>+[4]인천!$H$86/1000</f>
        <v>70.245863889275014</v>
      </c>
      <c r="F13" s="350">
        <f>+[4]인천!$I$86/1000</f>
        <v>-49.380360000000167</v>
      </c>
      <c r="G13" s="352">
        <f t="shared" si="0"/>
        <v>-119.62622388927518</v>
      </c>
      <c r="H13" s="351">
        <f>+[4]인천!$T$5/1000</f>
        <v>25</v>
      </c>
      <c r="I13" s="350">
        <f>+[4]인천!$U$5/1000</f>
        <v>21.484999999999999</v>
      </c>
      <c r="J13" s="152">
        <f t="shared" si="1"/>
        <v>-3.5150000000000006</v>
      </c>
      <c r="K13" s="349">
        <f>+[4]인천!$M$86/1000</f>
        <v>-23.722404295656599</v>
      </c>
      <c r="L13" s="351">
        <f>+[4]인천!$Q$85</f>
        <v>97727.914736189952</v>
      </c>
      <c r="M13" s="350">
        <f>+[4]인천!$R$85</f>
        <v>97514.16848964394</v>
      </c>
      <c r="N13" s="152">
        <f t="shared" si="2"/>
        <v>-213.74624654601212</v>
      </c>
      <c r="O13" s="349">
        <f>+[4]인천!$K$86/1000</f>
        <v>-4.5923381070410709</v>
      </c>
      <c r="P13" s="351">
        <f>+[4]인천!$Q$50</f>
        <v>90979.008819929179</v>
      </c>
      <c r="Q13" s="350">
        <f>+[4]인천!$R$50</f>
        <v>95297.956853618802</v>
      </c>
      <c r="R13" s="152">
        <f t="shared" si="3"/>
        <v>4318.9480336896231</v>
      </c>
      <c r="S13" s="349">
        <f>+[4]인천!$L$56/1000</f>
        <v>-92.792589693821782</v>
      </c>
      <c r="T13" s="351">
        <f>+([4]인천!$H$80+[4]인천!$H$85)/1000</f>
        <v>98.476784017244455</v>
      </c>
      <c r="U13" s="350">
        <f>+([4]인천!$I$80+[4]인천!$I$85)/1000</f>
        <v>96.99567580999998</v>
      </c>
      <c r="V13" s="152">
        <f t="shared" si="4"/>
        <v>-1.4811082072444748</v>
      </c>
      <c r="W13" s="349">
        <f>+([4]인천!$L$80+[4]인천!$L$85)/1000</f>
        <v>1.4811082072444635</v>
      </c>
      <c r="Y13" s="6">
        <f t="shared" si="5"/>
        <v>-1.8762769116165146E-13</v>
      </c>
      <c r="Z13" s="6">
        <f t="shared" si="6"/>
        <v>-1.8762769116165146E-7</v>
      </c>
    </row>
    <row r="14" spans="1:26" ht="24" customHeight="1">
      <c r="D14" s="354" t="s">
        <v>20</v>
      </c>
      <c r="E14" s="351">
        <f>+[4]파주!$H$86/1000</f>
        <v>22.670791986134834</v>
      </c>
      <c r="F14" s="350">
        <f>+[4]파주!$I$86/1000</f>
        <v>-42.738867999999918</v>
      </c>
      <c r="G14" s="352">
        <f t="shared" si="0"/>
        <v>-65.409659986134756</v>
      </c>
      <c r="H14" s="351">
        <f>+[4]파주!$T$5/1000</f>
        <v>16</v>
      </c>
      <c r="I14" s="350">
        <f>+[4]파주!$U$5/1000</f>
        <v>10.445</v>
      </c>
      <c r="J14" s="152">
        <f t="shared" si="1"/>
        <v>-5.5549999999999997</v>
      </c>
      <c r="K14" s="349">
        <f>+[4]파주!$M$86/1000</f>
        <v>-33.611008774213957</v>
      </c>
      <c r="L14" s="351">
        <f>+[4]파주!$Q$85</f>
        <v>96618.603425000008</v>
      </c>
      <c r="M14" s="350">
        <f>+[4]파주!$R$85</f>
        <v>97410.416467209201</v>
      </c>
      <c r="N14" s="152">
        <f t="shared" si="2"/>
        <v>791.81304220919264</v>
      </c>
      <c r="O14" s="349">
        <f>+[4]파주!$K$86/1000</f>
        <v>8.2704872258750157</v>
      </c>
      <c r="P14" s="351">
        <f>+[4]파주!$Q$50</f>
        <v>90568.016786977692</v>
      </c>
      <c r="Q14" s="350">
        <f>+[4]파주!$R$50</f>
        <v>94445.778650071792</v>
      </c>
      <c r="R14" s="152">
        <f t="shared" si="3"/>
        <v>3877.7618630940997</v>
      </c>
      <c r="S14" s="349">
        <f>+[4]파주!$L$56/1000</f>
        <v>-40.503225920017933</v>
      </c>
      <c r="T14" s="351">
        <f>+([4]파주!$H$80+[4]파주!$H$85)/1000</f>
        <v>74.138594222222224</v>
      </c>
      <c r="U14" s="350">
        <f>+([4]파주!$I$80+[4]파주!$I$85)/1000</f>
        <v>73.704506739999999</v>
      </c>
      <c r="V14" s="152">
        <f t="shared" si="4"/>
        <v>-0.43408748222222471</v>
      </c>
      <c r="W14" s="349">
        <f>+([4]파주!$L$80+[4]파주!$L$85)/1000</f>
        <v>0.43408748222222332</v>
      </c>
      <c r="Y14" s="6">
        <f t="shared" si="5"/>
        <v>-1.0519363158323358E-13</v>
      </c>
      <c r="Z14" s="6">
        <f t="shared" si="6"/>
        <v>-1.0519363158323358E-7</v>
      </c>
    </row>
    <row r="15" spans="1:26" ht="24" customHeight="1">
      <c r="D15" s="354" t="s">
        <v>108</v>
      </c>
      <c r="E15" s="351">
        <f>+[4]김포!$H$86/1000</f>
        <v>26.81609458888693</v>
      </c>
      <c r="F15" s="350">
        <f>+[4]김포!$I$86/1000</f>
        <v>-46.86888000000004</v>
      </c>
      <c r="G15" s="352">
        <f t="shared" si="0"/>
        <v>-73.684974588886973</v>
      </c>
      <c r="H15" s="351">
        <f>+[4]김포!$T$5/1000</f>
        <v>10</v>
      </c>
      <c r="I15" s="350">
        <f>+[4]김포!$U$5/1000</f>
        <v>7.4044999999999996</v>
      </c>
      <c r="J15" s="152">
        <f t="shared" si="1"/>
        <v>-2.5955000000000004</v>
      </c>
      <c r="K15" s="349">
        <f>+[4]김포!$M$86/1000</f>
        <v>-21.094436318357825</v>
      </c>
      <c r="L15" s="351">
        <f>+[4]김포!$Q$85</f>
        <v>95733.513000000006</v>
      </c>
      <c r="M15" s="350">
        <f>+[4]김포!$R$85</f>
        <v>95239.125600270549</v>
      </c>
      <c r="N15" s="152">
        <f t="shared" si="2"/>
        <v>-494.38739972945768</v>
      </c>
      <c r="O15" s="349">
        <f>+[4]김포!$K$86/1000</f>
        <v>-3.6547588525000161</v>
      </c>
      <c r="P15" s="351">
        <f>+[4]김포!$Q$50</f>
        <v>87632.099263333526</v>
      </c>
      <c r="Q15" s="361">
        <f>+[4]김포!$R$50</f>
        <v>94443.9529252621</v>
      </c>
      <c r="R15" s="152">
        <f t="shared" si="3"/>
        <v>6811.8536619285733</v>
      </c>
      <c r="S15" s="349">
        <f>+[4]김포!$L$56/1000</f>
        <v>-50.35663153580694</v>
      </c>
      <c r="T15" s="351">
        <f>+([4]김포!$H$80+[4]김포!$H$85)/1000</f>
        <v>54.198042777777779</v>
      </c>
      <c r="U15" s="350">
        <f>+([4]김포!$I$80+[4]김포!$I$85)/1000</f>
        <v>52.777190660000002</v>
      </c>
      <c r="V15" s="152">
        <f t="shared" si="4"/>
        <v>-1.4208521177777769</v>
      </c>
      <c r="W15" s="349">
        <f>+([4]김포!$L$80+[4]김포!$L$85)/1000</f>
        <v>1.4208521177777815</v>
      </c>
      <c r="Y15" s="6">
        <f t="shared" si="5"/>
        <v>2.375877272697835E-14</v>
      </c>
      <c r="Z15" s="6">
        <f t="shared" si="6"/>
        <v>2.375877272697835E-8</v>
      </c>
    </row>
    <row r="16" spans="1:26" ht="24" customHeight="1">
      <c r="D16" s="360" t="s">
        <v>21</v>
      </c>
      <c r="E16" s="358">
        <f>+[4]부산!$H$86/1000</f>
        <v>171.93636717168434</v>
      </c>
      <c r="F16" s="357">
        <f>+[4]부산!$I$86/1000</f>
        <v>133.31257800000009</v>
      </c>
      <c r="G16" s="359">
        <f t="shared" si="0"/>
        <v>-38.623789171684251</v>
      </c>
      <c r="H16" s="358">
        <f>+[4]부산!$T$5/1000</f>
        <v>19</v>
      </c>
      <c r="I16" s="357">
        <f>+[4]부산!$U$5/1000</f>
        <v>16.896999999999998</v>
      </c>
      <c r="J16" s="356">
        <f t="shared" si="1"/>
        <v>-2.1030000000000015</v>
      </c>
      <c r="K16" s="355">
        <f>+[4]부산!$M$86/1000</f>
        <v>-29.63127520886238</v>
      </c>
      <c r="L16" s="358">
        <f>+[4]부산!$Q$85</f>
        <v>107699.90204421052</v>
      </c>
      <c r="M16" s="357">
        <f>+[4]부산!$R$85</f>
        <v>106178.75954311417</v>
      </c>
      <c r="N16" s="356">
        <f t="shared" si="2"/>
        <v>-1521.1425010963576</v>
      </c>
      <c r="O16" s="355">
        <f>+[4]부산!$K$86/1000</f>
        <v>-25.702744841025158</v>
      </c>
      <c r="P16" s="358">
        <f>+[4]부산!$Q$50</f>
        <v>93609.89956733826</v>
      </c>
      <c r="Q16" s="357">
        <f>+[4]부산!$R$50</f>
        <v>92555.066981968659</v>
      </c>
      <c r="R16" s="356">
        <f t="shared" si="3"/>
        <v>-1054.8325853696006</v>
      </c>
      <c r="S16" s="355">
        <f>+[4]부산!$L$56/1000</f>
        <v>54.652776999314497</v>
      </c>
      <c r="T16" s="358">
        <f>+([4]부산!$H$80+[4]부산!$H$85)/1000</f>
        <v>95.773679888888893</v>
      </c>
      <c r="U16" s="357">
        <f>+([4]부산!$I$80+[4]부산!$I$85)/1000</f>
        <v>133.71622600999999</v>
      </c>
      <c r="V16" s="356">
        <f t="shared" si="4"/>
        <v>37.942546121111093</v>
      </c>
      <c r="W16" s="355">
        <f>+([4]부산!$L$80+[4]부산!$L$85)/1000</f>
        <v>-37.942546121111121</v>
      </c>
      <c r="Y16" s="6">
        <f t="shared" si="5"/>
        <v>-8.5265128291212022E-14</v>
      </c>
      <c r="Z16" s="6">
        <f t="shared" si="6"/>
        <v>-8.5265128291212022E-8</v>
      </c>
    </row>
    <row r="17" spans="4:26" ht="24" customHeight="1">
      <c r="D17" s="354" t="s">
        <v>22</v>
      </c>
      <c r="E17" s="351">
        <f>+[4]서부산!$H$86/1000</f>
        <v>156.91558376188962</v>
      </c>
      <c r="F17" s="350">
        <f>+[4]서부산!$I$86/1000</f>
        <v>77.502493999999857</v>
      </c>
      <c r="G17" s="352">
        <f t="shared" si="0"/>
        <v>-79.413089761889765</v>
      </c>
      <c r="H17" s="351">
        <f>+[4]서부산!$T$5/1000</f>
        <v>19</v>
      </c>
      <c r="I17" s="350">
        <f>+[4]서부산!$U$5/1000</f>
        <v>17.850000000000001</v>
      </c>
      <c r="J17" s="152">
        <f t="shared" si="1"/>
        <v>-1.1499999999999986</v>
      </c>
      <c r="K17" s="349">
        <f>+[4]서부산!$M$86/1000</f>
        <v>-14.244955450207955</v>
      </c>
      <c r="L17" s="351">
        <f>+[4]서부산!$Q$85</f>
        <v>99300.38903157899</v>
      </c>
      <c r="M17" s="350">
        <f>+[4]서부산!$R$85</f>
        <v>95281.803921568629</v>
      </c>
      <c r="N17" s="152">
        <f t="shared" si="2"/>
        <v>-4018.5851100103609</v>
      </c>
      <c r="O17" s="349">
        <f>+[4]서부산!$K$86/1000</f>
        <v>-71.731744213684948</v>
      </c>
      <c r="P17" s="351">
        <f>+[4]서부산!$Q$50</f>
        <v>86913.471248789472</v>
      </c>
      <c r="Q17" s="350">
        <f>+[4]서부산!$R$50</f>
        <v>85786.824111822934</v>
      </c>
      <c r="R17" s="152">
        <f t="shared" si="3"/>
        <v>-1126.6471369665378</v>
      </c>
      <c r="S17" s="349">
        <f>+[4]서부산!$L$56/1000</f>
        <v>24.091724560891635</v>
      </c>
      <c r="T17" s="351">
        <f>+([4]서부산!$H$80+[4]서부산!$H$85)/1000</f>
        <v>78.435854111111112</v>
      </c>
      <c r="U17" s="350">
        <f>+([4]서부산!$I$80+[4]서부산!$I$85)/1000</f>
        <v>95.963968770000008</v>
      </c>
      <c r="V17" s="152">
        <f t="shared" si="4"/>
        <v>17.528114658888896</v>
      </c>
      <c r="W17" s="349">
        <f>+([4]서부산!$L$80+[4]서부산!$L$85)/1000</f>
        <v>-17.528114658888899</v>
      </c>
      <c r="Y17" s="6">
        <f t="shared" si="5"/>
        <v>4.0145664570445661E-13</v>
      </c>
      <c r="Z17" s="6">
        <f t="shared" si="6"/>
        <v>4.0145664570445661E-7</v>
      </c>
    </row>
    <row r="18" spans="4:26" ht="24" customHeight="1">
      <c r="D18" s="354" t="s">
        <v>23</v>
      </c>
      <c r="E18" s="351">
        <f>+[4]김해!$H$86/1000</f>
        <v>85.847827510009054</v>
      </c>
      <c r="F18" s="350">
        <f>+[4]김해!$I$86/1000</f>
        <v>-73.487828000000036</v>
      </c>
      <c r="G18" s="352">
        <f t="shared" si="0"/>
        <v>-159.33565551000908</v>
      </c>
      <c r="H18" s="351">
        <f>+[4]김해!$T$5/1000</f>
        <v>12</v>
      </c>
      <c r="I18" s="350">
        <f>+[4]김해!$U$5/1000</f>
        <v>4.58</v>
      </c>
      <c r="J18" s="152">
        <f t="shared" si="1"/>
        <v>-7.42</v>
      </c>
      <c r="K18" s="349">
        <f>+[4]김해!$M$86/1000</f>
        <v>-86.158246488872564</v>
      </c>
      <c r="L18" s="351">
        <f>+[4]김해!$Q$85</f>
        <v>96300.27499999998</v>
      </c>
      <c r="M18" s="350">
        <f>+[4]김해!$R$85</f>
        <v>99140.018005851904</v>
      </c>
      <c r="N18" s="152">
        <f t="shared" si="2"/>
        <v>2839.743005851924</v>
      </c>
      <c r="O18" s="349">
        <f>+[4]김해!$K$86/1000</f>
        <v>12.616978175000098</v>
      </c>
      <c r="P18" s="351">
        <f>+[4]김해!$Q$50</f>
        <v>84857.460855647383</v>
      </c>
      <c r="Q18" s="350">
        <f>+[4]김해!$R$50</f>
        <v>104715.13639432816</v>
      </c>
      <c r="R18" s="152">
        <f t="shared" si="3"/>
        <v>19857.675538680778</v>
      </c>
      <c r="S18" s="349">
        <f>+[4]김해!$L$56/1000</f>
        <v>-87.082131208358788</v>
      </c>
      <c r="T18" s="351">
        <f>+([4]김해!$H$80+[4]김해!$H$85)/1000</f>
        <v>51.465942222222218</v>
      </c>
      <c r="U18" s="350">
        <f>+([4]김해!$I$80+[4]김해!$I$85)/1000</f>
        <v>50.178198209999998</v>
      </c>
      <c r="V18" s="152">
        <f t="shared" si="4"/>
        <v>-1.2877440122222197</v>
      </c>
      <c r="W18" s="349">
        <f>+([4]김해!$L$80+[4]김해!$L$85)/1000</f>
        <v>1.2877440122222195</v>
      </c>
      <c r="Y18" s="6">
        <f t="shared" si="5"/>
        <v>-4.241051954068098E-14</v>
      </c>
      <c r="Z18" s="6">
        <f t="shared" si="6"/>
        <v>-4.241051954068098E-8</v>
      </c>
    </row>
    <row r="19" spans="4:26" ht="24" customHeight="1">
      <c r="D19" s="354" t="s">
        <v>24</v>
      </c>
      <c r="E19" s="351">
        <f>+[4]정관!$H$86/1000</f>
        <v>135.99039327215468</v>
      </c>
      <c r="F19" s="350">
        <f>+[4]정관!$I$86/1000</f>
        <v>150.81139700000003</v>
      </c>
      <c r="G19" s="352">
        <f t="shared" si="0"/>
        <v>14.821003727845351</v>
      </c>
      <c r="H19" s="351">
        <f>+[4]정관!$T$5/1000</f>
        <v>18</v>
      </c>
      <c r="I19" s="350">
        <f>+[4]정관!$U$5/1000</f>
        <v>18.366</v>
      </c>
      <c r="J19" s="152">
        <f t="shared" si="1"/>
        <v>0.36599999999999966</v>
      </c>
      <c r="K19" s="349">
        <f>+[4]정관!$M$86/1000</f>
        <v>4.2579698385708546</v>
      </c>
      <c r="L19" s="351">
        <f>+[4]정관!$Q$85</f>
        <v>102000.12397777778</v>
      </c>
      <c r="M19" s="350">
        <f>+[4]정관!$R$85</f>
        <v>103912.71371011651</v>
      </c>
      <c r="N19" s="152">
        <f t="shared" si="2"/>
        <v>1912.5897323387326</v>
      </c>
      <c r="O19" s="349">
        <f>+[4]정관!$K$86/1000</f>
        <v>35.12662302413316</v>
      </c>
      <c r="P19" s="351">
        <f>+[4]정관!$Q$50</f>
        <v>90366.326604633359</v>
      </c>
      <c r="Q19" s="350">
        <f>+[4]정관!$R$50</f>
        <v>92532.984977139116</v>
      </c>
      <c r="R19" s="152">
        <f t="shared" si="3"/>
        <v>2166.6583725057571</v>
      </c>
      <c r="S19" s="349">
        <f>+[4]정관!$L$56/1000</f>
        <v>-34.103596109303083</v>
      </c>
      <c r="T19" s="351">
        <f>+([4]정관!$H$80+[4]정관!$H$85)/1000</f>
        <v>73.417959444444449</v>
      </c>
      <c r="U19" s="350">
        <f>+([4]정관!$I$80+[4]정관!$I$85)/1000</f>
        <v>63.87795246999999</v>
      </c>
      <c r="V19" s="152">
        <f t="shared" si="4"/>
        <v>-9.5400069744444593</v>
      </c>
      <c r="W19" s="349">
        <f>+([4]정관!$L$80+[4]정관!$L$85)/1000</f>
        <v>9.5400069744444522</v>
      </c>
      <c r="Y19" s="6">
        <f t="shared" si="5"/>
        <v>-3.1974423109204508E-14</v>
      </c>
      <c r="Z19" s="6">
        <f t="shared" si="6"/>
        <v>-3.1974423109204508E-8</v>
      </c>
    </row>
    <row r="20" spans="4:26" ht="24" customHeight="1">
      <c r="D20" s="354" t="s">
        <v>25</v>
      </c>
      <c r="E20" s="351">
        <f>+[4]양산!$H$86/1000</f>
        <v>56.073825032113092</v>
      </c>
      <c r="F20" s="350">
        <f>+[4]양산!$I$86/1000</f>
        <v>32.887763999999997</v>
      </c>
      <c r="G20" s="352">
        <f t="shared" si="0"/>
        <v>-23.186061032113095</v>
      </c>
      <c r="H20" s="351">
        <f>+[4]양산!$T$5/1000</f>
        <v>10</v>
      </c>
      <c r="I20" s="350">
        <f>+[4]양산!$U$5/1000</f>
        <v>8.1880000000000006</v>
      </c>
      <c r="J20" s="152">
        <f t="shared" si="1"/>
        <v>-1.8119999999999994</v>
      </c>
      <c r="K20" s="349">
        <f>+[4]양산!$M$86/1000</f>
        <v>-17.502303862885544</v>
      </c>
      <c r="L20" s="351">
        <f>+[4]양산!$Q$85</f>
        <v>94724.25</v>
      </c>
      <c r="M20" s="350">
        <f>+[4]양산!$R$85</f>
        <v>96674.462628236448</v>
      </c>
      <c r="N20" s="152">
        <f t="shared" si="2"/>
        <v>1950.2126282364479</v>
      </c>
      <c r="O20" s="349">
        <f>+[4]양산!$K$86/1000</f>
        <v>15.968341000000034</v>
      </c>
      <c r="P20" s="351">
        <f>+[4]양산!$Q$50</f>
        <v>85065.141907899815</v>
      </c>
      <c r="Q20" s="350">
        <f>+[4]양산!$R$50</f>
        <v>87541.281807081803</v>
      </c>
      <c r="R20" s="152">
        <f t="shared" si="3"/>
        <v>2476.1398991819879</v>
      </c>
      <c r="S20" s="349">
        <f>+[4]양산!$L$56/1000</f>
        <v>-20.272901388116487</v>
      </c>
      <c r="T20" s="351">
        <f>+([4]양산!$H$80+[4]양산!$H$85)/1000</f>
        <v>40.517255888888883</v>
      </c>
      <c r="U20" s="350">
        <f>+([4]양산!$I$80+[4]양산!$I$85)/1000</f>
        <v>41.896452670000002</v>
      </c>
      <c r="V20" s="152">
        <f t="shared" si="4"/>
        <v>1.3791967811111192</v>
      </c>
      <c r="W20" s="349">
        <f>+([4]양산!$L$80+[4]양산!$L$85)/1000</f>
        <v>-1.3791967811111161</v>
      </c>
      <c r="Y20" s="6">
        <f t="shared" si="5"/>
        <v>1.8207657603852567E-14</v>
      </c>
      <c r="Z20" s="6">
        <f t="shared" si="6"/>
        <v>1.8207657603852567E-8</v>
      </c>
    </row>
    <row r="21" spans="4:26" ht="24" customHeight="1">
      <c r="D21" s="354" t="s">
        <v>26</v>
      </c>
      <c r="E21" s="351">
        <f>+[4]창원!$H$86/1000</f>
        <v>-13.173997925994426</v>
      </c>
      <c r="F21" s="350">
        <f>+[4]창원!$I$86/1000</f>
        <v>108.75022300000013</v>
      </c>
      <c r="G21" s="352">
        <f t="shared" si="0"/>
        <v>121.92422092599456</v>
      </c>
      <c r="H21" s="351">
        <f>+[4]창원!$T$5/1000</f>
        <v>7</v>
      </c>
      <c r="I21" s="350">
        <f>+[4]창원!$U$5/1000</f>
        <v>10.864000000000001</v>
      </c>
      <c r="J21" s="152">
        <f t="shared" si="1"/>
        <v>3.8640000000000008</v>
      </c>
      <c r="K21" s="349">
        <f>+[4]창원!$M$86/1000</f>
        <v>30.759220854184473</v>
      </c>
      <c r="L21" s="351">
        <f>+[4]창원!$Q$85</f>
        <v>100000.31456228573</v>
      </c>
      <c r="M21" s="350">
        <f>+[4]창원!$R$85</f>
        <v>99956.742452135499</v>
      </c>
      <c r="N21" s="152">
        <f t="shared" si="2"/>
        <v>-43.572110150227672</v>
      </c>
      <c r="O21" s="349">
        <f>+[4]창원!$K$86/1000</f>
        <v>-0.47336740467207339</v>
      </c>
      <c r="P21" s="351">
        <f>+[4]창원!$Q$50</f>
        <v>92039.853678697633</v>
      </c>
      <c r="Q21" s="350">
        <f>+[4]창원!$R$50</f>
        <v>84675.033321060386</v>
      </c>
      <c r="R21" s="152">
        <f t="shared" si="3"/>
        <v>-7364.8203576372471</v>
      </c>
      <c r="S21" s="349">
        <f>+[4]창원!$L$56/1000</f>
        <v>80.011388825370986</v>
      </c>
      <c r="T21" s="351">
        <f>+([4]창원!$H$80+[4]창원!$H$85)/1000</f>
        <v>68.8972241111111</v>
      </c>
      <c r="U21" s="350">
        <f>+([4]창원!$I$80+[4]창원!$I$85)/1000</f>
        <v>57.270245460000005</v>
      </c>
      <c r="V21" s="152">
        <f t="shared" si="4"/>
        <v>-11.626978651111095</v>
      </c>
      <c r="W21" s="349">
        <f>+([4]창원!$L$80+[4]창원!$L$85)/1000</f>
        <v>11.626978651111113</v>
      </c>
      <c r="Y21" s="6">
        <f t="shared" si="5"/>
        <v>6.0396132539608516E-14</v>
      </c>
      <c r="Z21" s="6">
        <f t="shared" si="6"/>
        <v>6.0396132539608516E-8</v>
      </c>
    </row>
    <row r="22" spans="4:26" ht="24" customHeight="1">
      <c r="D22" s="354" t="s">
        <v>133</v>
      </c>
      <c r="E22" s="351">
        <f>+[4]대구!$H$86/1000</f>
        <v>54.453551188366696</v>
      </c>
      <c r="F22" s="350">
        <f>+[4]대구!$I$86/1000</f>
        <v>11.519028999999902</v>
      </c>
      <c r="G22" s="352">
        <f t="shared" si="0"/>
        <v>-42.934522188366792</v>
      </c>
      <c r="H22" s="351">
        <f>+[4]대구!$T$5/1000</f>
        <v>11</v>
      </c>
      <c r="I22" s="350">
        <f>+[4]대구!$U$5/1000</f>
        <v>9.4339999999999993</v>
      </c>
      <c r="J22" s="152">
        <f t="shared" si="1"/>
        <v>-1.5660000000000007</v>
      </c>
      <c r="K22" s="349">
        <f>+[4]대구!$M$86/1000</f>
        <v>-15.355377324045083</v>
      </c>
      <c r="L22" s="351">
        <f>+[4]대구!$Q$85</f>
        <v>96715.633060173175</v>
      </c>
      <c r="M22" s="350">
        <f>+[4]대구!$R$85</f>
        <v>93545.332732669063</v>
      </c>
      <c r="N22" s="152">
        <f t="shared" si="2"/>
        <v>-3170.3003275041119</v>
      </c>
      <c r="O22" s="349">
        <f>+[4]대구!$K$86/1000</f>
        <v>-29.908613289673792</v>
      </c>
      <c r="P22" s="351">
        <f>+[4]대구!$Q$50</f>
        <v>86910.155841753571</v>
      </c>
      <c r="Q22" s="350">
        <f>+[4]대구!$R$50</f>
        <v>87657.325418698325</v>
      </c>
      <c r="R22" s="152">
        <f t="shared" si="3"/>
        <v>747.16957694475423</v>
      </c>
      <c r="S22" s="349">
        <f>+[4]대구!$L$56/1000</f>
        <v>-7.048791228896703</v>
      </c>
      <c r="T22" s="351">
        <f>+([4]대구!$H$80+[4]대구!$H$85)/1000</f>
        <v>53.406698214248664</v>
      </c>
      <c r="U22" s="350">
        <f>+([4]대구!$I$80+[4]대구!$I$85)/1000</f>
        <v>44.028438560000005</v>
      </c>
      <c r="V22" s="152">
        <f t="shared" si="4"/>
        <v>-9.3782596542486587</v>
      </c>
      <c r="W22" s="349">
        <f>+([4]대구!$L$80+[4]대구!$L$85)/1000</f>
        <v>9.3782596542486658</v>
      </c>
      <c r="Y22" s="6">
        <f t="shared" si="5"/>
        <v>1.2079226507921703E-13</v>
      </c>
      <c r="Z22" s="6">
        <f t="shared" si="6"/>
        <v>1.2079226507921703E-7</v>
      </c>
    </row>
    <row r="23" spans="4:26" ht="24" customHeight="1">
      <c r="D23" s="354" t="s">
        <v>132</v>
      </c>
      <c r="E23" s="351">
        <f>+[4]울산!$H$86/1000</f>
        <v>20.987927852551657</v>
      </c>
      <c r="F23" s="350">
        <f>+[4]울산!$I$86/1000</f>
        <v>78.016519999999957</v>
      </c>
      <c r="G23" s="352">
        <f t="shared" si="0"/>
        <v>57.0285921474483</v>
      </c>
      <c r="H23" s="351">
        <f>+[4]울산!$T$5/1000</f>
        <v>9</v>
      </c>
      <c r="I23" s="350">
        <f>+[4]울산!$U$5/1000</f>
        <v>9.7149999999999999</v>
      </c>
      <c r="J23" s="152">
        <f t="shared" si="1"/>
        <v>0.71499999999999986</v>
      </c>
      <c r="K23" s="349">
        <f>+[4]울산!$M$86/1000</f>
        <v>5.7924580926779603</v>
      </c>
      <c r="L23" s="351">
        <f>+[4]울산!$Q$85</f>
        <v>101504.44444444444</v>
      </c>
      <c r="M23" s="350">
        <f>+[4]울산!$R$85</f>
        <v>107802.98507462686</v>
      </c>
      <c r="N23" s="152">
        <f t="shared" si="2"/>
        <v>6298.540630182426</v>
      </c>
      <c r="O23" s="349">
        <f>+[4]울산!$K$86/1000</f>
        <v>61.190322222222271</v>
      </c>
      <c r="P23" s="351">
        <f>+[4]울산!$Q$50</f>
        <v>93403.104454685061</v>
      </c>
      <c r="Q23" s="350">
        <f>+[4]울산!$R$50</f>
        <v>95436.780540429463</v>
      </c>
      <c r="R23" s="152">
        <f t="shared" si="3"/>
        <v>2033.6760857444024</v>
      </c>
      <c r="S23" s="349">
        <f>+[4]울산!$L$56/1000</f>
        <v>-19.825492822734606</v>
      </c>
      <c r="T23" s="351">
        <f>+([4]울산!$H$80+[4]울산!$H$85)/1000</f>
        <v>51.92413205528274</v>
      </c>
      <c r="U23" s="350">
        <f>+([4]울산!$I$80+[4]울산!$I$85)/1000</f>
        <v>42.052827400000005</v>
      </c>
      <c r="V23" s="152">
        <f t="shared" si="4"/>
        <v>-9.871304655282735</v>
      </c>
      <c r="W23" s="349">
        <f>+([4]울산!$L$80+[4]울산!$L$85)/1000</f>
        <v>9.8713046552827333</v>
      </c>
      <c r="Y23" s="6">
        <f t="shared" si="5"/>
        <v>-5.8619775700208265E-14</v>
      </c>
      <c r="Z23" s="6">
        <f t="shared" si="6"/>
        <v>-5.8619775700208265E-8</v>
      </c>
    </row>
    <row r="24" spans="4:26" ht="24" customHeight="1">
      <c r="D24" s="360" t="s">
        <v>27</v>
      </c>
      <c r="E24" s="358">
        <f>+[4]아산!$H$86/1000</f>
        <v>176.52371518581344</v>
      </c>
      <c r="F24" s="357">
        <f>+[4]아산!$I$86/1000</f>
        <v>71.697308999999976</v>
      </c>
      <c r="G24" s="359">
        <f t="shared" si="0"/>
        <v>-104.82640618581347</v>
      </c>
      <c r="H24" s="358">
        <f>+[4]아산!$T$5/1000</f>
        <v>18</v>
      </c>
      <c r="I24" s="357">
        <f>+[4]아산!$U$5/1000</f>
        <v>17.766999999999999</v>
      </c>
      <c r="J24" s="356">
        <f t="shared" si="1"/>
        <v>-0.23300000000000054</v>
      </c>
      <c r="K24" s="355">
        <f>+[4]아산!$M$86/1000</f>
        <v>-3.3682186559114236</v>
      </c>
      <c r="L24" s="358">
        <f>+[4]아산!$Q$85</f>
        <v>103000</v>
      </c>
      <c r="M24" s="357">
        <f>+[4]아산!$R$85</f>
        <v>100356.98767377723</v>
      </c>
      <c r="N24" s="356">
        <f t="shared" si="2"/>
        <v>-2643.0123262227717</v>
      </c>
      <c r="O24" s="355">
        <f>+[4]아산!$K$86/1000</f>
        <v>-46.95839999999999</v>
      </c>
      <c r="P24" s="358">
        <f>+[4]아산!$Q$50</f>
        <v>88544.125940294325</v>
      </c>
      <c r="Q24" s="357">
        <f>+[4]아산!$R$50</f>
        <v>91971.712640465121</v>
      </c>
      <c r="R24" s="356">
        <f t="shared" si="3"/>
        <v>3427.5867001707957</v>
      </c>
      <c r="S24" s="355">
        <f>+[4]아산!$L$56/1000</f>
        <v>-60.493161908790803</v>
      </c>
      <c r="T24" s="358">
        <f>+([4]아산!$H$80+[4]아산!$H$85)/1000</f>
        <v>83.682017888888893</v>
      </c>
      <c r="U24" s="357">
        <f>+([4]아산!$I$80+[4]아산!$I$85)/1000</f>
        <v>77.688643509999991</v>
      </c>
      <c r="V24" s="356">
        <f t="shared" si="4"/>
        <v>-5.9933743788889018</v>
      </c>
      <c r="W24" s="355">
        <f>+([4]아산!$L$80+[4]아산!$L$85)/1000</f>
        <v>5.9933743788888876</v>
      </c>
      <c r="Y24" s="6">
        <f t="shared" si="5"/>
        <v>-1.4210854715202004E-13</v>
      </c>
      <c r="Z24" s="6">
        <f t="shared" si="6"/>
        <v>-1.4210854715202004E-7</v>
      </c>
    </row>
    <row r="25" spans="4:26" ht="24" customHeight="1">
      <c r="D25" s="354" t="s">
        <v>131</v>
      </c>
      <c r="E25" s="351">
        <f>+[4]전주!$H$86/1000</f>
        <v>12.032136589604274</v>
      </c>
      <c r="F25" s="350">
        <f>+[4]전주!$I$86/1000</f>
        <v>149.18040499999987</v>
      </c>
      <c r="G25" s="352">
        <f t="shared" si="0"/>
        <v>137.14826841039559</v>
      </c>
      <c r="H25" s="351">
        <f>+[4]전주!$T$5/1000</f>
        <v>7</v>
      </c>
      <c r="I25" s="350">
        <f>+[4]전주!$U$5/1000</f>
        <v>13.076499999999999</v>
      </c>
      <c r="J25" s="152">
        <f t="shared" si="1"/>
        <v>6.0764999999999993</v>
      </c>
      <c r="K25" s="349">
        <f>+[4]전주!$M$86/1000</f>
        <v>55.611281081199529</v>
      </c>
      <c r="L25" s="351">
        <f>+[4]전주!$Q$85</f>
        <v>96862.617142857125</v>
      </c>
      <c r="M25" s="350">
        <f>+[4]전주!$R$85</f>
        <v>96124.124880510833</v>
      </c>
      <c r="N25" s="152">
        <f t="shared" si="2"/>
        <v>-738.49226234629168</v>
      </c>
      <c r="O25" s="349">
        <f>+[4]전주!$K$86/1000</f>
        <v>-9.6568940685712832</v>
      </c>
      <c r="P25" s="351">
        <f>+[4]전주!$Q$50</f>
        <v>87710.756518945404</v>
      </c>
      <c r="Q25" s="350">
        <f>+[4]전주!$R$50</f>
        <v>81015.441823117813</v>
      </c>
      <c r="R25" s="152">
        <f t="shared" si="3"/>
        <v>-6695.3146958275902</v>
      </c>
      <c r="S25" s="349">
        <f>+[4]전주!$L$56/1000</f>
        <v>87.55127927998943</v>
      </c>
      <c r="T25" s="351">
        <f>+([4]전주!$H$80+[4]전주!$H$85)/1000</f>
        <v>52.030887777777778</v>
      </c>
      <c r="U25" s="350">
        <f>+([4]전주!$I$80+[4]전주!$I$85)/1000</f>
        <v>48.388285660000001</v>
      </c>
      <c r="V25" s="152">
        <f t="shared" si="4"/>
        <v>-3.642602117777777</v>
      </c>
      <c r="W25" s="349">
        <f>+([4]전주!$L$80+[4]전주!$L$85)/1000</f>
        <v>3.6426021177777756</v>
      </c>
      <c r="Y25" s="6">
        <f t="shared" si="5"/>
        <v>1.3633538742396922E-13</v>
      </c>
      <c r="Z25" s="6">
        <f t="shared" si="6"/>
        <v>1.3633538742396922E-7</v>
      </c>
    </row>
    <row r="26" spans="4:26" ht="24" customHeight="1">
      <c r="D26" s="353" t="s">
        <v>130</v>
      </c>
      <c r="E26" s="351">
        <f>+[4]군산!$H$86/1000</f>
        <v>104.67209719417656</v>
      </c>
      <c r="F26" s="350">
        <f>+[4]군산!$I$86/1000</f>
        <v>57.866905000000038</v>
      </c>
      <c r="G26" s="352">
        <f t="shared" si="0"/>
        <v>-46.80519219417652</v>
      </c>
      <c r="H26" s="351">
        <f>+[4]군산!$T$5/1000</f>
        <v>5</v>
      </c>
      <c r="I26" s="350">
        <f>+[4]군산!$U$5/1000</f>
        <v>3.8959999999999999</v>
      </c>
      <c r="J26" s="152">
        <f t="shared" si="1"/>
        <v>-1.1040000000000001</v>
      </c>
      <c r="K26" s="349">
        <f>+[4]군산!$M$86/1000</f>
        <v>-28.158449365540843</v>
      </c>
      <c r="L26" s="351">
        <f>+[4]군산!$Q$85</f>
        <v>111520.24799999999</v>
      </c>
      <c r="M26" s="350">
        <f>+[4]군산!$R$85</f>
        <v>106486.71714579055</v>
      </c>
      <c r="N26" s="152">
        <f t="shared" si="2"/>
        <v>-5033.5308542094426</v>
      </c>
      <c r="O26" s="349">
        <f>+[4]군산!$K$86/1000</f>
        <v>-19.610636207999988</v>
      </c>
      <c r="P26" s="351">
        <f>+[4]군산!$Q$50</f>
        <v>86014.40618338692</v>
      </c>
      <c r="Q26" s="350">
        <f>+[4]군산!$R$50</f>
        <v>86340.881416837772</v>
      </c>
      <c r="R26" s="152">
        <f t="shared" si="3"/>
        <v>326.4752334508521</v>
      </c>
      <c r="S26" s="349">
        <f>+[4]군산!$L$56/1000</f>
        <v>-1.2719444595245557</v>
      </c>
      <c r="T26" s="351">
        <f>+([4]군산!$H$80+[4]군산!$H$85)/1000</f>
        <v>22.857111888888888</v>
      </c>
      <c r="U26" s="350">
        <f>+([4]군산!$I$80+[4]군산!$I$85)/1000</f>
        <v>20.62127405</v>
      </c>
      <c r="V26" s="152">
        <f t="shared" si="4"/>
        <v>-2.2358378388888873</v>
      </c>
      <c r="W26" s="349">
        <f>+([4]군산!$L$80+[4]군산!$L$85)/1000</f>
        <v>2.2358378388888878</v>
      </c>
      <c r="Y26" s="6">
        <f t="shared" si="5"/>
        <v>-2.0872192862952943E-14</v>
      </c>
      <c r="Z26" s="6">
        <f t="shared" si="6"/>
        <v>-2.0872192862952943E-8</v>
      </c>
    </row>
    <row r="27" spans="4:26" ht="24" customHeight="1">
      <c r="D27" s="353" t="s">
        <v>129</v>
      </c>
      <c r="E27" s="351">
        <f>+[4]원주!$H$86/1000</f>
        <v>-12.698377878477476</v>
      </c>
      <c r="F27" s="350">
        <f>+[4]원주!$I$86/1000</f>
        <v>-36.517007</v>
      </c>
      <c r="G27" s="352">
        <f t="shared" si="0"/>
        <v>-23.818629121522523</v>
      </c>
      <c r="H27" s="351">
        <f>+[4]원주!$T$5/1000</f>
        <v>2</v>
      </c>
      <c r="I27" s="350">
        <f>+[4]원주!$U$5/1000</f>
        <v>1.228</v>
      </c>
      <c r="J27" s="152">
        <f t="shared" si="1"/>
        <v>-0.77200000000000002</v>
      </c>
      <c r="K27" s="349">
        <f>+[4]원주!$M$86/1000</f>
        <v>-2.3139979077965838</v>
      </c>
      <c r="L27" s="351">
        <f>+[4]원주!$Q$85</f>
        <v>112000</v>
      </c>
      <c r="M27" s="350">
        <f>+[4]원주!$R$85</f>
        <v>112766.3680781759</v>
      </c>
      <c r="N27" s="152">
        <f t="shared" si="2"/>
        <v>766.36807817590307</v>
      </c>
      <c r="O27" s="349">
        <f>+[4]원주!$K$86/1000</f>
        <v>0.94110000000000904</v>
      </c>
      <c r="P27" s="351">
        <f>+[4]원주!$Q$50</f>
        <v>109002.59338368318</v>
      </c>
      <c r="Q27" s="350">
        <f>+[4]원주!$R$50</f>
        <v>130142.26058631921</v>
      </c>
      <c r="R27" s="152">
        <f t="shared" si="3"/>
        <v>21139.667202636032</v>
      </c>
      <c r="S27" s="349">
        <f>+[4]원주!$L$56/1000</f>
        <v>-25.95950824483706</v>
      </c>
      <c r="T27" s="351">
        <f>+([4]원주!$H$80+[4]원주!$H$85)/1000</f>
        <v>18.693191111111112</v>
      </c>
      <c r="U27" s="350">
        <f>+([4]원주!$I$80+[4]원주!$I$85)/1000</f>
        <v>15.179414079999999</v>
      </c>
      <c r="V27" s="152">
        <f t="shared" si="4"/>
        <v>-3.5137770311111129</v>
      </c>
      <c r="W27" s="349">
        <f>+([4]원주!$L$80+[4]원주!$L$85)/1000</f>
        <v>3.5137770311111107</v>
      </c>
      <c r="Y27" s="6">
        <f t="shared" si="5"/>
        <v>0</v>
      </c>
      <c r="Z27" s="6">
        <f t="shared" si="6"/>
        <v>0</v>
      </c>
    </row>
    <row r="28" spans="4:26" ht="24" customHeight="1" thickBot="1">
      <c r="D28" s="348" t="s">
        <v>128</v>
      </c>
      <c r="E28" s="346">
        <f>+[4]제주!$H$86/1000</f>
        <v>134.03568467811667</v>
      </c>
      <c r="F28" s="345">
        <f>+[4]제주!$I$86/1000</f>
        <v>53.836507999999874</v>
      </c>
      <c r="G28" s="347">
        <f t="shared" si="0"/>
        <v>-80.1991766781168</v>
      </c>
      <c r="H28" s="346">
        <f>+[4]제주!$T$5/1000</f>
        <v>7</v>
      </c>
      <c r="I28" s="345">
        <f>+[4]제주!$U$5/1000</f>
        <v>4.6779999999999999</v>
      </c>
      <c r="J28" s="344">
        <f t="shared" si="1"/>
        <v>-2.3220000000000001</v>
      </c>
      <c r="K28" s="343">
        <f>+[4]제주!$M$86/1000</f>
        <v>-55.616052411541432</v>
      </c>
      <c r="L28" s="346">
        <f>+[4]제주!$Q$85</f>
        <v>122822.5</v>
      </c>
      <c r="M28" s="345">
        <f>+[4]제주!$R$85</f>
        <v>120936.46410756886</v>
      </c>
      <c r="N28" s="344">
        <f t="shared" si="2"/>
        <v>-1886.035892431144</v>
      </c>
      <c r="O28" s="343">
        <f>+[4]제주!$K$86/1000</f>
        <v>-8.6965115000000068</v>
      </c>
      <c r="P28" s="346">
        <f>+[4]제주!$Q$50</f>
        <v>99567.799116140057</v>
      </c>
      <c r="Q28" s="345">
        <f>+[4]제주!$R$50</f>
        <v>102976.96790284103</v>
      </c>
      <c r="R28" s="344">
        <f t="shared" si="3"/>
        <v>3409.168786700975</v>
      </c>
      <c r="S28" s="343">
        <f>+[4]제주!$L$56/1000</f>
        <v>-15.719665065478226</v>
      </c>
      <c r="T28" s="346">
        <f>+([4]제주!$H$80+[4]제주!$H$85)/1000</f>
        <v>28.747221508902985</v>
      </c>
      <c r="U28" s="345">
        <f>+([4]제주!$I$80+[4]제주!$I$85)/1000</f>
        <v>28.914169210000004</v>
      </c>
      <c r="V28" s="344">
        <f t="shared" si="4"/>
        <v>0.16694770109701906</v>
      </c>
      <c r="W28" s="343">
        <f>+([4]제주!$L$80+[4]제주!$L$85)/1000</f>
        <v>-0.16694770109702017</v>
      </c>
      <c r="Y28" s="6">
        <f t="shared" si="5"/>
        <v>-1.1435297153639112E-13</v>
      </c>
      <c r="Z28" s="6">
        <f t="shared" si="6"/>
        <v>-1.1435297153639112E-7</v>
      </c>
    </row>
    <row r="29" spans="4:26" ht="24" customHeight="1"/>
    <row r="30" spans="4:26" ht="24" customHeight="1"/>
    <row r="31" spans="4:26" ht="24" customHeight="1"/>
    <row r="32" spans="4:26" ht="21.95" customHeight="1">
      <c r="F32" s="342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L31" sqref="L31"/>
      <selection pane="topRight" activeCell="L31" sqref="L31"/>
      <selection pane="bottomLeft" activeCell="L31" sqref="L31"/>
      <selection pane="bottomRight" activeCell="L31" sqref="L31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222</v>
      </c>
      <c r="F4" s="398"/>
      <c r="I4" s="398"/>
    </row>
    <row r="5" spans="1:22" ht="21.95" customHeight="1">
      <c r="V5" s="397" t="s">
        <v>148</v>
      </c>
    </row>
    <row r="6" spans="1:22" ht="24" customHeight="1" thickBot="1">
      <c r="A6" s="6" t="s">
        <v>141</v>
      </c>
      <c r="D6" s="742" t="s">
        <v>11</v>
      </c>
      <c r="E6" s="396" t="s">
        <v>53</v>
      </c>
      <c r="F6" s="395"/>
      <c r="G6" s="394"/>
      <c r="H6" s="396" t="s">
        <v>147</v>
      </c>
      <c r="I6" s="395"/>
      <c r="J6" s="394"/>
      <c r="K6" s="396" t="s">
        <v>146</v>
      </c>
      <c r="L6" s="395"/>
      <c r="M6" s="394"/>
      <c r="N6" s="396" t="s">
        <v>145</v>
      </c>
      <c r="O6" s="395"/>
      <c r="P6" s="394"/>
      <c r="Q6" s="396" t="s">
        <v>144</v>
      </c>
      <c r="R6" s="395"/>
      <c r="S6" s="394"/>
      <c r="T6" s="396" t="s">
        <v>54</v>
      </c>
      <c r="U6" s="395"/>
      <c r="V6" s="394"/>
    </row>
    <row r="7" spans="1:22" ht="24" customHeight="1">
      <c r="D7" s="743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+[4]합계!$Q$85</f>
        <v>100532.46493763285</v>
      </c>
      <c r="F8" s="385">
        <f>+[4]합계!$R$85</f>
        <v>99735.994266764363</v>
      </c>
      <c r="G8" s="416">
        <f t="shared" ref="G8:G28" si="0">+F8-E8</f>
        <v>-796.47067086848256</v>
      </c>
      <c r="H8" s="386">
        <f>+[4]합계!$Q$20</f>
        <v>61826.371311572286</v>
      </c>
      <c r="I8" s="385">
        <f>+[4]합계!$R$20</f>
        <v>62127.797510632554</v>
      </c>
      <c r="J8" s="416">
        <f t="shared" ref="J8:J28" si="1">+I8-H8</f>
        <v>301.42619906026812</v>
      </c>
      <c r="K8" s="386">
        <f>+[4]합계!$Q$21</f>
        <v>18221.682434345825</v>
      </c>
      <c r="L8" s="385">
        <f>+[4]합계!$R$21</f>
        <v>18572.10689330539</v>
      </c>
      <c r="M8" s="416">
        <f t="shared" ref="M8:M28" si="2">+L8-K8</f>
        <v>350.42445895956553</v>
      </c>
      <c r="N8" s="386">
        <f>+[4]합계!$Q$22</f>
        <v>322.56607929515417</v>
      </c>
      <c r="O8" s="385">
        <f>+[4]합계!$R$22</f>
        <v>363.17779911911782</v>
      </c>
      <c r="P8" s="416">
        <f t="shared" ref="P8:P28" si="3">+O8-N8</f>
        <v>40.611719823963654</v>
      </c>
      <c r="Q8" s="386">
        <f t="shared" ref="Q8:Q28" si="4">H8+K8+N8</f>
        <v>80370.61982521326</v>
      </c>
      <c r="R8" s="385">
        <f t="shared" ref="R8:R28" si="5">I8+L8+O8</f>
        <v>81063.082203057071</v>
      </c>
      <c r="S8" s="416">
        <f t="shared" ref="S8:S28" si="6">+R8-Q8</f>
        <v>692.46237784381083</v>
      </c>
      <c r="T8" s="386">
        <f t="shared" ref="T8:T28" si="7">+E8-Q8</f>
        <v>20161.845112419585</v>
      </c>
      <c r="U8" s="385">
        <f t="shared" ref="U8:U28" si="8">+F8-R8</f>
        <v>18672.912063707292</v>
      </c>
      <c r="V8" s="416">
        <f t="shared" ref="V8:V28" si="9">+U8-T8</f>
        <v>-1488.9330487122934</v>
      </c>
    </row>
    <row r="9" spans="1:22" ht="24" customHeight="1">
      <c r="D9" s="382" t="s">
        <v>16</v>
      </c>
      <c r="E9" s="381">
        <f>+[4]수도권!$Q$85</f>
        <v>97568.731966322273</v>
      </c>
      <c r="F9" s="380">
        <f>+[4]수도권!$R$85</f>
        <v>96965.552073670318</v>
      </c>
      <c r="G9" s="415">
        <f t="shared" si="0"/>
        <v>-603.17989265195502</v>
      </c>
      <c r="H9" s="381">
        <f>+[4]수도권!$Q$20</f>
        <v>63564.232771239127</v>
      </c>
      <c r="I9" s="380">
        <f>+[4]수도권!$R$20</f>
        <v>62953.991522497206</v>
      </c>
      <c r="J9" s="415">
        <f t="shared" si="1"/>
        <v>-610.24124874192057</v>
      </c>
      <c r="K9" s="381">
        <f>+[4]수도권!$Q$21</f>
        <v>17869.215922221658</v>
      </c>
      <c r="L9" s="380">
        <f>+[4]수도권!$R$21</f>
        <v>18773.667075193825</v>
      </c>
      <c r="M9" s="415">
        <f t="shared" si="2"/>
        <v>904.45115297216762</v>
      </c>
      <c r="N9" s="381">
        <f>+[4]수도권!$Q$22</f>
        <v>408.46385542168673</v>
      </c>
      <c r="O9" s="380">
        <f>+[4]수도권!$R$22</f>
        <v>546.60157768222916</v>
      </c>
      <c r="P9" s="415">
        <f t="shared" si="3"/>
        <v>138.13772226054243</v>
      </c>
      <c r="Q9" s="381">
        <f t="shared" si="4"/>
        <v>81841.912548882465</v>
      </c>
      <c r="R9" s="380">
        <f t="shared" si="5"/>
        <v>82274.26017537326</v>
      </c>
      <c r="S9" s="415">
        <f t="shared" si="6"/>
        <v>432.34762649079494</v>
      </c>
      <c r="T9" s="381">
        <f t="shared" si="7"/>
        <v>15726.819417439809</v>
      </c>
      <c r="U9" s="380">
        <f t="shared" si="8"/>
        <v>14691.291898297059</v>
      </c>
      <c r="V9" s="415">
        <f t="shared" si="9"/>
        <v>-1035.52751914275</v>
      </c>
    </row>
    <row r="10" spans="1:22" ht="24" customHeight="1">
      <c r="D10" s="377" t="s">
        <v>17</v>
      </c>
      <c r="E10" s="376">
        <f>+[4]영남권!$Q$85</f>
        <v>100469.21645369435</v>
      </c>
      <c r="F10" s="375">
        <f>+[4]영남권!$R$85</f>
        <v>100787.78490345353</v>
      </c>
      <c r="G10" s="414">
        <f t="shared" si="0"/>
        <v>318.56844975918648</v>
      </c>
      <c r="H10" s="376">
        <f>+[4]영남권!$Q$20</f>
        <v>60522.616417623889</v>
      </c>
      <c r="I10" s="375">
        <f>+[4]영남권!$R$20</f>
        <v>61371.4079390322</v>
      </c>
      <c r="J10" s="414">
        <f t="shared" si="1"/>
        <v>848.79152140831138</v>
      </c>
      <c r="K10" s="376">
        <f>+[4]영남권!$Q$21</f>
        <v>18745.733438913168</v>
      </c>
      <c r="L10" s="375">
        <f>+[4]영남권!$R$21</f>
        <v>19047.984747723</v>
      </c>
      <c r="M10" s="414">
        <f t="shared" si="2"/>
        <v>302.25130880983124</v>
      </c>
      <c r="N10" s="376">
        <f>+[4]영남권!$Q$22</f>
        <v>264.95238095238096</v>
      </c>
      <c r="O10" s="375">
        <f>+[4]영남권!$R$22</f>
        <v>266.51917635638898</v>
      </c>
      <c r="P10" s="414">
        <f t="shared" si="3"/>
        <v>1.566795404008019</v>
      </c>
      <c r="Q10" s="376">
        <f t="shared" si="4"/>
        <v>79533.302237489435</v>
      </c>
      <c r="R10" s="375">
        <f t="shared" si="5"/>
        <v>80685.911863111585</v>
      </c>
      <c r="S10" s="414">
        <f t="shared" si="6"/>
        <v>1152.6096256221499</v>
      </c>
      <c r="T10" s="376">
        <f t="shared" si="7"/>
        <v>20935.91421620491</v>
      </c>
      <c r="U10" s="375">
        <f t="shared" si="8"/>
        <v>20101.873040341947</v>
      </c>
      <c r="V10" s="414">
        <f t="shared" si="9"/>
        <v>-834.04117586296343</v>
      </c>
    </row>
    <row r="11" spans="1:22" ht="24" customHeight="1">
      <c r="D11" s="372" t="s">
        <v>134</v>
      </c>
      <c r="E11" s="371">
        <f>+[4]중부권!$Q$85</f>
        <v>107010.18102564102</v>
      </c>
      <c r="F11" s="370">
        <f>+[4]중부권!$R$85</f>
        <v>102295.47925625638</v>
      </c>
      <c r="G11" s="413">
        <f t="shared" si="0"/>
        <v>-4714.7017693846428</v>
      </c>
      <c r="H11" s="371">
        <f>+[4]중부권!$Q$20</f>
        <v>61637.954970860308</v>
      </c>
      <c r="I11" s="370">
        <f>+[4]중부권!$R$20</f>
        <v>62428.521665417647</v>
      </c>
      <c r="J11" s="413">
        <f t="shared" si="1"/>
        <v>790.56669455733936</v>
      </c>
      <c r="K11" s="371">
        <f>+[4]중부권!$Q$21</f>
        <v>17560.896922210839</v>
      </c>
      <c r="L11" s="370">
        <f>+[4]중부권!$R$21</f>
        <v>17074.096711181002</v>
      </c>
      <c r="M11" s="413">
        <f t="shared" si="2"/>
        <v>-486.80021102983665</v>
      </c>
      <c r="N11" s="371">
        <f>+[4]중부권!$Q$22</f>
        <v>294.87179487179486</v>
      </c>
      <c r="O11" s="370">
        <f>+[4]중부권!$R$22</f>
        <v>260.36706512525029</v>
      </c>
      <c r="P11" s="413">
        <f t="shared" si="3"/>
        <v>-34.504729746544569</v>
      </c>
      <c r="Q11" s="371">
        <f t="shared" si="4"/>
        <v>79493.72368794294</v>
      </c>
      <c r="R11" s="370">
        <f t="shared" si="5"/>
        <v>79762.985441723897</v>
      </c>
      <c r="S11" s="413">
        <f t="shared" si="6"/>
        <v>269.2617537809565</v>
      </c>
      <c r="T11" s="371">
        <f t="shared" si="7"/>
        <v>27516.457337698084</v>
      </c>
      <c r="U11" s="370">
        <f t="shared" si="8"/>
        <v>22532.493814532485</v>
      </c>
      <c r="V11" s="413">
        <f t="shared" si="9"/>
        <v>-4983.9635231655993</v>
      </c>
    </row>
    <row r="12" spans="1:22" ht="24" customHeight="1">
      <c r="D12" s="412" t="s">
        <v>18</v>
      </c>
      <c r="E12" s="411">
        <f>+[4]안양!$Q$85</f>
        <v>98492.940625000003</v>
      </c>
      <c r="F12" s="410">
        <f>+[4]안양!$R$85</f>
        <v>96859.207213209738</v>
      </c>
      <c r="G12" s="409">
        <f t="shared" si="0"/>
        <v>-1633.7334117902647</v>
      </c>
      <c r="H12" s="411">
        <f>+[4]안양!$Q$20</f>
        <v>65295.20903225807</v>
      </c>
      <c r="I12" s="410">
        <f>+[4]안양!$R$20</f>
        <v>62170.619988412502</v>
      </c>
      <c r="J12" s="409">
        <f t="shared" si="1"/>
        <v>-3124.5890438455681</v>
      </c>
      <c r="K12" s="411">
        <f>+[4]안양!$Q$21</f>
        <v>17450.281315789471</v>
      </c>
      <c r="L12" s="410">
        <f>+[4]안양!$R$21</f>
        <v>18234.547972190037</v>
      </c>
      <c r="M12" s="409">
        <f t="shared" si="2"/>
        <v>784.26665640056672</v>
      </c>
      <c r="N12" s="411">
        <f>+[4]안양!$Q$22</f>
        <v>359.375</v>
      </c>
      <c r="O12" s="410">
        <f>+[4]안양!$R$22</f>
        <v>362.6255214368482</v>
      </c>
      <c r="P12" s="409">
        <f t="shared" si="3"/>
        <v>3.2505214368482029</v>
      </c>
      <c r="Q12" s="411">
        <f t="shared" si="4"/>
        <v>83104.865348047548</v>
      </c>
      <c r="R12" s="410">
        <f t="shared" si="5"/>
        <v>80767.793482039386</v>
      </c>
      <c r="S12" s="409">
        <f t="shared" si="6"/>
        <v>-2337.071866008162</v>
      </c>
      <c r="T12" s="411">
        <f t="shared" si="7"/>
        <v>15388.075276952455</v>
      </c>
      <c r="U12" s="410">
        <f t="shared" si="8"/>
        <v>16091.413731170353</v>
      </c>
      <c r="V12" s="409">
        <f t="shared" si="9"/>
        <v>703.33845421789738</v>
      </c>
    </row>
    <row r="13" spans="1:22" ht="24" customHeight="1">
      <c r="D13" s="353" t="s">
        <v>19</v>
      </c>
      <c r="E13" s="404">
        <f>+[4]인천!$Q$85</f>
        <v>97727.914736189952</v>
      </c>
      <c r="F13" s="403">
        <f>+[4]인천!$R$85</f>
        <v>97514.16848964394</v>
      </c>
      <c r="G13" s="402">
        <f t="shared" si="0"/>
        <v>-213.74624654601212</v>
      </c>
      <c r="H13" s="404">
        <f>+[4]인천!$Q$20</f>
        <v>65311.191868819413</v>
      </c>
      <c r="I13" s="403">
        <f>+[4]인천!$R$20</f>
        <v>66042.949453106819</v>
      </c>
      <c r="J13" s="402">
        <f t="shared" si="1"/>
        <v>731.75758428740664</v>
      </c>
      <c r="K13" s="404">
        <f>+[4]인천!$Q$21</f>
        <v>17753.832852233678</v>
      </c>
      <c r="L13" s="403">
        <f>+[4]인천!$R$21</f>
        <v>19400.539027228297</v>
      </c>
      <c r="M13" s="402">
        <f t="shared" si="2"/>
        <v>1646.7061749946188</v>
      </c>
      <c r="N13" s="404">
        <f>+[4]인천!$Q$22</f>
        <v>600</v>
      </c>
      <c r="O13" s="403">
        <f>+[4]인천!$R$22</f>
        <v>760.42573888759603</v>
      </c>
      <c r="P13" s="402">
        <f t="shared" si="3"/>
        <v>160.42573888759603</v>
      </c>
      <c r="Q13" s="404">
        <f t="shared" si="4"/>
        <v>83665.024721053094</v>
      </c>
      <c r="R13" s="403">
        <f t="shared" si="5"/>
        <v>86203.914219222715</v>
      </c>
      <c r="S13" s="402">
        <f t="shared" si="6"/>
        <v>2538.8894981696212</v>
      </c>
      <c r="T13" s="404">
        <f t="shared" si="7"/>
        <v>14062.890015136858</v>
      </c>
      <c r="U13" s="403">
        <f t="shared" si="8"/>
        <v>11310.254270421225</v>
      </c>
      <c r="V13" s="402">
        <f t="shared" si="9"/>
        <v>-2752.6357447156333</v>
      </c>
    </row>
    <row r="14" spans="1:22" ht="24" customHeight="1">
      <c r="D14" s="353" t="s">
        <v>20</v>
      </c>
      <c r="E14" s="404">
        <f>+[4]파주!$Q$85</f>
        <v>96618.603425000008</v>
      </c>
      <c r="F14" s="403">
        <f>+[4]파주!$R$85</f>
        <v>97410.416467209201</v>
      </c>
      <c r="G14" s="402">
        <f t="shared" si="0"/>
        <v>791.81304220919264</v>
      </c>
      <c r="H14" s="404">
        <f>+[4]파주!$Q$20</f>
        <v>60467.910595094079</v>
      </c>
      <c r="I14" s="403">
        <f>+[4]파주!$R$20</f>
        <v>61528.135375777885</v>
      </c>
      <c r="J14" s="402">
        <f t="shared" si="1"/>
        <v>1060.2247806838059</v>
      </c>
      <c r="K14" s="404">
        <f>+[4]파주!$Q$21</f>
        <v>18669.473139909736</v>
      </c>
      <c r="L14" s="403">
        <f>+[4]파주!$R$21</f>
        <v>18878.625370990903</v>
      </c>
      <c r="M14" s="402">
        <f t="shared" si="2"/>
        <v>209.15223108116697</v>
      </c>
      <c r="N14" s="404">
        <f>+[4]파주!$Q$22</f>
        <v>297.03125</v>
      </c>
      <c r="O14" s="403">
        <f>+[4]파주!$R$22</f>
        <v>463.6550502632839</v>
      </c>
      <c r="P14" s="402">
        <f t="shared" si="3"/>
        <v>166.6238002632839</v>
      </c>
      <c r="Q14" s="404">
        <f t="shared" si="4"/>
        <v>79434.414985003823</v>
      </c>
      <c r="R14" s="403">
        <f t="shared" si="5"/>
        <v>80870.415797032081</v>
      </c>
      <c r="S14" s="402">
        <f t="shared" si="6"/>
        <v>1436.0008120282582</v>
      </c>
      <c r="T14" s="404">
        <f t="shared" si="7"/>
        <v>17184.188439996185</v>
      </c>
      <c r="U14" s="403">
        <f t="shared" si="8"/>
        <v>16540.00067017712</v>
      </c>
      <c r="V14" s="402">
        <f t="shared" si="9"/>
        <v>-644.18776981906558</v>
      </c>
    </row>
    <row r="15" spans="1:22" ht="24" customHeight="1">
      <c r="D15" s="353" t="s">
        <v>108</v>
      </c>
      <c r="E15" s="404">
        <f>+[4]김포!$Q$85</f>
        <v>95733.513000000006</v>
      </c>
      <c r="F15" s="403">
        <f>+[4]김포!$R$85</f>
        <v>95239.125600270549</v>
      </c>
      <c r="G15" s="402">
        <f t="shared" si="0"/>
        <v>-494.38739972945768</v>
      </c>
      <c r="H15" s="404">
        <f>+[4]김포!$Q$20</f>
        <v>58611.826473859845</v>
      </c>
      <c r="I15" s="403">
        <f>+[4]김포!$R$20</f>
        <v>59649.127358809608</v>
      </c>
      <c r="J15" s="402">
        <f t="shared" si="1"/>
        <v>1037.3008849497637</v>
      </c>
      <c r="K15" s="404">
        <f>+[4]김포!$Q$21</f>
        <v>18217.852789473684</v>
      </c>
      <c r="L15" s="403">
        <f>+[4]김포!$R$21</f>
        <v>19320.945823469734</v>
      </c>
      <c r="M15" s="402">
        <f t="shared" si="2"/>
        <v>1103.0930339960505</v>
      </c>
      <c r="N15" s="404">
        <f>+[4]김포!$Q$22</f>
        <v>265</v>
      </c>
      <c r="O15" s="403">
        <f>+[4]김포!$R$22</f>
        <v>901.450118363206</v>
      </c>
      <c r="P15" s="402">
        <f t="shared" si="3"/>
        <v>636.450118363206</v>
      </c>
      <c r="Q15" s="404">
        <f t="shared" si="4"/>
        <v>77094.679263333528</v>
      </c>
      <c r="R15" s="403">
        <f t="shared" si="5"/>
        <v>79871.523300642555</v>
      </c>
      <c r="S15" s="402">
        <f t="shared" si="6"/>
        <v>2776.844037309027</v>
      </c>
      <c r="T15" s="404">
        <f t="shared" si="7"/>
        <v>18638.833736666478</v>
      </c>
      <c r="U15" s="403">
        <f t="shared" si="8"/>
        <v>15367.602299627993</v>
      </c>
      <c r="V15" s="402">
        <f t="shared" si="9"/>
        <v>-3271.2314370384847</v>
      </c>
    </row>
    <row r="16" spans="1:22" ht="24" customHeight="1">
      <c r="D16" s="408" t="s">
        <v>21</v>
      </c>
      <c r="E16" s="407">
        <f>+[4]부산!$Q$85</f>
        <v>107699.90204421052</v>
      </c>
      <c r="F16" s="406">
        <f>+[4]부산!$R$85</f>
        <v>106178.75954311417</v>
      </c>
      <c r="G16" s="405">
        <f t="shared" si="0"/>
        <v>-1521.1425010963576</v>
      </c>
      <c r="H16" s="407">
        <f>+[4]부산!$Q$20</f>
        <v>64721.339091036469</v>
      </c>
      <c r="I16" s="406">
        <f>+[4]부산!$R$20</f>
        <v>64330.919302394323</v>
      </c>
      <c r="J16" s="405">
        <f t="shared" si="1"/>
        <v>-390.41978864214616</v>
      </c>
      <c r="K16" s="407">
        <f>+[4]부산!$Q$21</f>
        <v>20070.599795321639</v>
      </c>
      <c r="L16" s="406">
        <f>+[4]부산!$R$21</f>
        <v>19898.366597694352</v>
      </c>
      <c r="M16" s="405">
        <f t="shared" si="2"/>
        <v>-172.23319762728715</v>
      </c>
      <c r="N16" s="407">
        <f>+[4]부산!$Q$22</f>
        <v>263.15789473684208</v>
      </c>
      <c r="O16" s="406">
        <f>+[4]부산!$R$22</f>
        <v>179.45344368903341</v>
      </c>
      <c r="P16" s="405">
        <f t="shared" si="3"/>
        <v>-83.704451047808675</v>
      </c>
      <c r="Q16" s="407">
        <f t="shared" si="4"/>
        <v>85055.096781094951</v>
      </c>
      <c r="R16" s="406">
        <f t="shared" si="5"/>
        <v>84408.739343777706</v>
      </c>
      <c r="S16" s="405">
        <f t="shared" si="6"/>
        <v>-646.35743731724506</v>
      </c>
      <c r="T16" s="407">
        <f t="shared" si="7"/>
        <v>22644.805263115573</v>
      </c>
      <c r="U16" s="406">
        <f t="shared" si="8"/>
        <v>21770.020199336461</v>
      </c>
      <c r="V16" s="405">
        <f t="shared" si="9"/>
        <v>-874.78506377911253</v>
      </c>
    </row>
    <row r="17" spans="4:22" ht="24" customHeight="1">
      <c r="D17" s="353" t="s">
        <v>22</v>
      </c>
      <c r="E17" s="404">
        <f>+[4]서부산!$Q$85</f>
        <v>99300.38903157899</v>
      </c>
      <c r="F17" s="403">
        <f>+[4]서부산!$R$85</f>
        <v>95281.803921568629</v>
      </c>
      <c r="G17" s="402">
        <f t="shared" si="0"/>
        <v>-4018.5851100103609</v>
      </c>
      <c r="H17" s="404">
        <f>+[4]서부산!$Q$20</f>
        <v>61468.169439728357</v>
      </c>
      <c r="I17" s="403">
        <f>+[4]서부산!$R$20</f>
        <v>62051.25080743368</v>
      </c>
      <c r="J17" s="402">
        <f t="shared" si="1"/>
        <v>583.08136770532292</v>
      </c>
      <c r="K17" s="404">
        <f>+[4]서부산!$Q$21</f>
        <v>17084.365493271642</v>
      </c>
      <c r="L17" s="403">
        <f>+[4]서부산!$R$21</f>
        <v>16212.384285487375</v>
      </c>
      <c r="M17" s="402">
        <f t="shared" si="2"/>
        <v>-871.9812077842671</v>
      </c>
      <c r="N17" s="404">
        <f>+[4]서부산!$Q$22</f>
        <v>157.89473684210526</v>
      </c>
      <c r="O17" s="403">
        <f>+[4]서부산!$R$22</f>
        <v>284.8161169058082</v>
      </c>
      <c r="P17" s="402">
        <f t="shared" si="3"/>
        <v>126.92138006370294</v>
      </c>
      <c r="Q17" s="404">
        <f t="shared" si="4"/>
        <v>78710.429669842109</v>
      </c>
      <c r="R17" s="403">
        <f t="shared" si="5"/>
        <v>78548.451209826875</v>
      </c>
      <c r="S17" s="402">
        <f t="shared" si="6"/>
        <v>-161.9784600152343</v>
      </c>
      <c r="T17" s="404">
        <f t="shared" si="7"/>
        <v>20589.959361736881</v>
      </c>
      <c r="U17" s="403">
        <f t="shared" si="8"/>
        <v>16733.352711741754</v>
      </c>
      <c r="V17" s="402">
        <f t="shared" si="9"/>
        <v>-3856.6066499951266</v>
      </c>
    </row>
    <row r="18" spans="4:22" ht="24" customHeight="1">
      <c r="D18" s="353" t="s">
        <v>23</v>
      </c>
      <c r="E18" s="404">
        <f>+[4]김해!$Q$85</f>
        <v>96300.27499999998</v>
      </c>
      <c r="F18" s="403">
        <f>+[4]김해!$R$85</f>
        <v>99140.018005851904</v>
      </c>
      <c r="G18" s="402">
        <f t="shared" si="0"/>
        <v>2839.743005851924</v>
      </c>
      <c r="H18" s="404">
        <f>+[4]김해!$Q$20</f>
        <v>56736.181221144449</v>
      </c>
      <c r="I18" s="403">
        <f>+[4]김해!$R$20</f>
        <v>58070.774926851227</v>
      </c>
      <c r="J18" s="402">
        <f t="shared" si="1"/>
        <v>1334.5937057067786</v>
      </c>
      <c r="K18" s="404">
        <f>+[4]김해!$Q$21</f>
        <v>19804.267967836262</v>
      </c>
      <c r="L18" s="403">
        <f>+[4]김해!$R$21</f>
        <v>24408.036236776952</v>
      </c>
      <c r="M18" s="402">
        <f t="shared" si="2"/>
        <v>4603.7682689406902</v>
      </c>
      <c r="N18" s="404">
        <f>+[4]김해!$Q$22</f>
        <v>366.66666666666663</v>
      </c>
      <c r="O18" s="403">
        <f>+[4]김해!$R$22</f>
        <v>806.18478505514292</v>
      </c>
      <c r="P18" s="402">
        <f t="shared" si="3"/>
        <v>439.5181183884763</v>
      </c>
      <c r="Q18" s="404">
        <f t="shared" si="4"/>
        <v>76907.115855647382</v>
      </c>
      <c r="R18" s="403">
        <f t="shared" si="5"/>
        <v>83284.995948683325</v>
      </c>
      <c r="S18" s="402">
        <f t="shared" si="6"/>
        <v>6377.880093035943</v>
      </c>
      <c r="T18" s="404">
        <f t="shared" si="7"/>
        <v>19393.159144352598</v>
      </c>
      <c r="U18" s="403">
        <f t="shared" si="8"/>
        <v>15855.022057168579</v>
      </c>
      <c r="V18" s="402">
        <f t="shared" si="9"/>
        <v>-3538.137087184019</v>
      </c>
    </row>
    <row r="19" spans="4:22" ht="24" customHeight="1">
      <c r="D19" s="353" t="s">
        <v>24</v>
      </c>
      <c r="E19" s="404">
        <f>+[4]정관!$Q$85</f>
        <v>102000.12397777778</v>
      </c>
      <c r="F19" s="403">
        <f>+[4]정관!$R$85</f>
        <v>103912.71371011651</v>
      </c>
      <c r="G19" s="402">
        <f t="shared" si="0"/>
        <v>1912.5897323387326</v>
      </c>
      <c r="H19" s="404">
        <f>+[4]정관!$Q$20</f>
        <v>62735.414382411131</v>
      </c>
      <c r="I19" s="403">
        <f>+[4]정관!$R$20</f>
        <v>64474.985793598949</v>
      </c>
      <c r="J19" s="402">
        <f t="shared" si="1"/>
        <v>1739.5714111878187</v>
      </c>
      <c r="K19" s="404">
        <f>+[4]정관!$Q$21</f>
        <v>19006.745000000003</v>
      </c>
      <c r="L19" s="403">
        <f>+[4]정관!$R$21</f>
        <v>20283.081428260397</v>
      </c>
      <c r="M19" s="402">
        <f t="shared" si="2"/>
        <v>1276.3364282603943</v>
      </c>
      <c r="N19" s="404">
        <f>+[4]정관!$Q$22</f>
        <v>222.2222222222222</v>
      </c>
      <c r="O19" s="403">
        <f>+[4]정관!$R$22</f>
        <v>323.98671892009577</v>
      </c>
      <c r="P19" s="402">
        <f t="shared" si="3"/>
        <v>101.76449669787357</v>
      </c>
      <c r="Q19" s="404">
        <f t="shared" si="4"/>
        <v>81964.381604633352</v>
      </c>
      <c r="R19" s="403">
        <f t="shared" si="5"/>
        <v>85082.053940779442</v>
      </c>
      <c r="S19" s="402">
        <f t="shared" si="6"/>
        <v>3117.6723361460899</v>
      </c>
      <c r="T19" s="404">
        <f t="shared" si="7"/>
        <v>20035.742373144429</v>
      </c>
      <c r="U19" s="403">
        <f t="shared" si="8"/>
        <v>18830.659769337071</v>
      </c>
      <c r="V19" s="402">
        <f t="shared" si="9"/>
        <v>-1205.0826038073574</v>
      </c>
    </row>
    <row r="20" spans="4:22" ht="24" customHeight="1">
      <c r="D20" s="353" t="s">
        <v>25</v>
      </c>
      <c r="E20" s="404">
        <f>+[4]양산!$Q$85</f>
        <v>94724.25</v>
      </c>
      <c r="F20" s="403">
        <f>+[4]양산!$R$85</f>
        <v>96674.462628236448</v>
      </c>
      <c r="G20" s="402">
        <f t="shared" si="0"/>
        <v>1950.2126282364479</v>
      </c>
      <c r="H20" s="404">
        <f>+[4]양산!$Q$20</f>
        <v>56631.152983923203</v>
      </c>
      <c r="I20" s="403">
        <f>+[4]양산!$R$20</f>
        <v>55975.094017094016</v>
      </c>
      <c r="J20" s="402">
        <f t="shared" si="1"/>
        <v>-656.05896682918683</v>
      </c>
      <c r="K20" s="404">
        <f>+[4]양산!$Q$21</f>
        <v>17602.722923976609</v>
      </c>
      <c r="L20" s="403">
        <f>+[4]양산!$R$21</f>
        <v>18217.279853479853</v>
      </c>
      <c r="M20" s="402">
        <f t="shared" si="2"/>
        <v>614.55692950324374</v>
      </c>
      <c r="N20" s="404">
        <f>+[4]양산!$Q$22</f>
        <v>140</v>
      </c>
      <c r="O20" s="403">
        <f>+[4]양산!$R$22</f>
        <v>64.351159951159943</v>
      </c>
      <c r="P20" s="402">
        <f t="shared" si="3"/>
        <v>-75.648840048840057</v>
      </c>
      <c r="Q20" s="404">
        <f t="shared" si="4"/>
        <v>74373.875907899812</v>
      </c>
      <c r="R20" s="403">
        <f t="shared" si="5"/>
        <v>74256.72503052502</v>
      </c>
      <c r="S20" s="402">
        <f t="shared" si="6"/>
        <v>-117.15087737479189</v>
      </c>
      <c r="T20" s="404">
        <f t="shared" si="7"/>
        <v>20350.374092100188</v>
      </c>
      <c r="U20" s="403">
        <f t="shared" si="8"/>
        <v>22417.737597711428</v>
      </c>
      <c r="V20" s="402">
        <f t="shared" si="9"/>
        <v>2067.3635056112398</v>
      </c>
    </row>
    <row r="21" spans="4:22" ht="24" customHeight="1">
      <c r="D21" s="353" t="s">
        <v>26</v>
      </c>
      <c r="E21" s="404">
        <f>+[4]창원!$Q$85</f>
        <v>100000.31456228573</v>
      </c>
      <c r="F21" s="403">
        <f>+[4]창원!$R$85</f>
        <v>99956.742452135499</v>
      </c>
      <c r="G21" s="402">
        <f t="shared" si="0"/>
        <v>-43.572110150227672</v>
      </c>
      <c r="H21" s="404">
        <f>+[4]창원!$Q$20</f>
        <v>57730.684538375972</v>
      </c>
      <c r="I21" s="403">
        <f>+[4]창원!$R$20</f>
        <v>57729.783781296021</v>
      </c>
      <c r="J21" s="402">
        <f t="shared" si="1"/>
        <v>-0.90075707995129051</v>
      </c>
      <c r="K21" s="404">
        <f>+[4]창원!$Q$21</f>
        <v>17628.08387537994</v>
      </c>
      <c r="L21" s="403">
        <f>+[4]창원!$R$21</f>
        <v>16608.605025773199</v>
      </c>
      <c r="M21" s="402">
        <f t="shared" si="2"/>
        <v>-1019.4788496067413</v>
      </c>
      <c r="N21" s="404">
        <f>+[4]창원!$Q$22</f>
        <v>428.57142857142856</v>
      </c>
      <c r="O21" s="403">
        <f>+[4]창원!$R$22</f>
        <v>88.398011782032398</v>
      </c>
      <c r="P21" s="402">
        <f t="shared" si="3"/>
        <v>-340.17341678939613</v>
      </c>
      <c r="Q21" s="404">
        <f t="shared" si="4"/>
        <v>75787.339842327347</v>
      </c>
      <c r="R21" s="403">
        <f t="shared" si="5"/>
        <v>74426.786818851251</v>
      </c>
      <c r="S21" s="402">
        <f t="shared" si="6"/>
        <v>-1360.5530234760954</v>
      </c>
      <c r="T21" s="404">
        <f t="shared" si="7"/>
        <v>24212.97471995838</v>
      </c>
      <c r="U21" s="403">
        <f t="shared" si="8"/>
        <v>25529.955633284248</v>
      </c>
      <c r="V21" s="402">
        <f t="shared" si="9"/>
        <v>1316.9809133258677</v>
      </c>
    </row>
    <row r="22" spans="4:22" ht="24" customHeight="1">
      <c r="D22" s="353" t="s">
        <v>133</v>
      </c>
      <c r="E22" s="404">
        <f>+[4]대구!$Q$85</f>
        <v>96715.633060173175</v>
      </c>
      <c r="F22" s="403">
        <f>+[4]대구!$R$85</f>
        <v>93545.332732669063</v>
      </c>
      <c r="G22" s="402">
        <f t="shared" si="0"/>
        <v>-3170.3003275041119</v>
      </c>
      <c r="H22" s="404">
        <f>+[4]대구!$Q$20</f>
        <v>56101.464980509561</v>
      </c>
      <c r="I22" s="403">
        <f>+[4]대구!$R$20</f>
        <v>56795.273584905663</v>
      </c>
      <c r="J22" s="402">
        <f t="shared" si="1"/>
        <v>693.80860439610115</v>
      </c>
      <c r="K22" s="404">
        <f>+[4]대구!$Q$21</f>
        <v>18265.33086124402</v>
      </c>
      <c r="L22" s="403">
        <f>+[4]대구!$R$21</f>
        <v>19212.007737969048</v>
      </c>
      <c r="M22" s="402">
        <f t="shared" si="2"/>
        <v>946.67687672502871</v>
      </c>
      <c r="N22" s="404">
        <f>+[4]대구!$Q$22</f>
        <v>409.09090909090912</v>
      </c>
      <c r="O22" s="403">
        <f>+[4]대구!$R$22</f>
        <v>349.05766376934491</v>
      </c>
      <c r="P22" s="402">
        <f t="shared" si="3"/>
        <v>-60.033245321564209</v>
      </c>
      <c r="Q22" s="404">
        <f t="shared" si="4"/>
        <v>74775.886750844496</v>
      </c>
      <c r="R22" s="403">
        <f t="shared" si="5"/>
        <v>76356.338986644056</v>
      </c>
      <c r="S22" s="402">
        <f t="shared" si="6"/>
        <v>1580.4522357995593</v>
      </c>
      <c r="T22" s="404">
        <f t="shared" si="7"/>
        <v>21939.746309328679</v>
      </c>
      <c r="U22" s="403">
        <f t="shared" si="8"/>
        <v>17188.993746025008</v>
      </c>
      <c r="V22" s="402">
        <f t="shared" si="9"/>
        <v>-4750.7525633036712</v>
      </c>
    </row>
    <row r="23" spans="4:22" ht="24" customHeight="1">
      <c r="D23" s="353" t="s">
        <v>132</v>
      </c>
      <c r="E23" s="404">
        <f>+[4]울산!$Q$85</f>
        <v>101504.44444444444</v>
      </c>
      <c r="F23" s="403">
        <f>+[4]울산!$R$85</f>
        <v>107802.98507462686</v>
      </c>
      <c r="G23" s="402">
        <f t="shared" si="0"/>
        <v>6298.540630182426</v>
      </c>
      <c r="H23" s="404">
        <f>+[4]울산!$Q$20</f>
        <v>62184.443537263622</v>
      </c>
      <c r="I23" s="403">
        <f>+[4]울산!$R$20</f>
        <v>63598.380150005141</v>
      </c>
      <c r="J23" s="402">
        <f t="shared" si="1"/>
        <v>1413.9366127415196</v>
      </c>
      <c r="K23" s="404">
        <f>+[4]울산!$Q$21</f>
        <v>20249.176571940607</v>
      </c>
      <c r="L23" s="403">
        <f>+[4]울산!$R$21</f>
        <v>21557.321380869209</v>
      </c>
      <c r="M23" s="402">
        <f t="shared" si="2"/>
        <v>1308.1448089286023</v>
      </c>
      <c r="N23" s="404">
        <f>+[4]울산!$Q$22</f>
        <v>280</v>
      </c>
      <c r="O23" s="403">
        <f>+[4]울산!$R$22</f>
        <v>316.43296003287787</v>
      </c>
      <c r="P23" s="402">
        <f t="shared" si="3"/>
        <v>36.432960032877872</v>
      </c>
      <c r="Q23" s="404">
        <f t="shared" si="4"/>
        <v>82713.620109204232</v>
      </c>
      <c r="R23" s="403">
        <f t="shared" si="5"/>
        <v>85472.134490907236</v>
      </c>
      <c r="S23" s="402">
        <f t="shared" si="6"/>
        <v>2758.5143817030039</v>
      </c>
      <c r="T23" s="404">
        <f t="shared" si="7"/>
        <v>18790.824335240206</v>
      </c>
      <c r="U23" s="403">
        <f t="shared" si="8"/>
        <v>22330.850583719628</v>
      </c>
      <c r="V23" s="402">
        <f t="shared" si="9"/>
        <v>3540.0262484794221</v>
      </c>
    </row>
    <row r="24" spans="4:22" ht="24" customHeight="1">
      <c r="D24" s="408" t="s">
        <v>27</v>
      </c>
      <c r="E24" s="407">
        <f>+[4]아산!$Q$85</f>
        <v>103000</v>
      </c>
      <c r="F24" s="406">
        <f>+[4]아산!$R$85</f>
        <v>100356.98767377723</v>
      </c>
      <c r="G24" s="405">
        <f t="shared" si="0"/>
        <v>-2643.0123262227717</v>
      </c>
      <c r="H24" s="407">
        <f>+[4]아산!$Q$20</f>
        <v>59385.118673835132</v>
      </c>
      <c r="I24" s="406">
        <f>+[4]아산!$R$20</f>
        <v>63389.307262257498</v>
      </c>
      <c r="J24" s="405">
        <f t="shared" si="1"/>
        <v>4004.1885884223666</v>
      </c>
      <c r="K24" s="407">
        <f>+[4]아산!$Q$21</f>
        <v>19889.769609929084</v>
      </c>
      <c r="L24" s="406">
        <f>+[4]아산!$R$21</f>
        <v>20267.765136691451</v>
      </c>
      <c r="M24" s="405">
        <f t="shared" si="2"/>
        <v>377.99552676236635</v>
      </c>
      <c r="N24" s="407">
        <f>+[4]아산!$Q$22</f>
        <v>250</v>
      </c>
      <c r="O24" s="406">
        <f>+[4]아산!$R$22</f>
        <v>195.25510147034157</v>
      </c>
      <c r="P24" s="405">
        <f t="shared" si="3"/>
        <v>-54.744898529658428</v>
      </c>
      <c r="Q24" s="407">
        <f t="shared" si="4"/>
        <v>79524.888283764216</v>
      </c>
      <c r="R24" s="406">
        <f t="shared" si="5"/>
        <v>83852.327500419284</v>
      </c>
      <c r="S24" s="405">
        <f t="shared" si="6"/>
        <v>4327.4392166550679</v>
      </c>
      <c r="T24" s="407">
        <f t="shared" si="7"/>
        <v>23475.111716235784</v>
      </c>
      <c r="U24" s="406">
        <f t="shared" si="8"/>
        <v>16504.660173357945</v>
      </c>
      <c r="V24" s="405">
        <f t="shared" si="9"/>
        <v>-6970.4515428778395</v>
      </c>
    </row>
    <row r="25" spans="4:22" ht="24" customHeight="1">
      <c r="D25" s="353" t="s">
        <v>131</v>
      </c>
      <c r="E25" s="404">
        <f>+[4]전주!$Q$85</f>
        <v>96862.617142857125</v>
      </c>
      <c r="F25" s="403">
        <f>+[4]전주!$R$85</f>
        <v>96124.124880510833</v>
      </c>
      <c r="G25" s="402">
        <f t="shared" si="0"/>
        <v>-738.49226234629168</v>
      </c>
      <c r="H25" s="404">
        <f>+[4]전주!$Q$20</f>
        <v>57235.360596959588</v>
      </c>
      <c r="I25" s="403">
        <f>+[4]전주!$R$20</f>
        <v>58832.025389056704</v>
      </c>
      <c r="J25" s="402">
        <f t="shared" si="1"/>
        <v>1596.6647920971154</v>
      </c>
      <c r="K25" s="404">
        <f>+[4]전주!$Q$21</f>
        <v>16015.328779128673</v>
      </c>
      <c r="L25" s="403">
        <f>+[4]전주!$R$21</f>
        <v>14475.24911100065</v>
      </c>
      <c r="M25" s="402">
        <f t="shared" si="2"/>
        <v>-1540.0796681280226</v>
      </c>
      <c r="N25" s="404">
        <f>+[4]전주!$Q$22</f>
        <v>428.57142857142856</v>
      </c>
      <c r="O25" s="403">
        <f>+[4]전주!$R$22</f>
        <v>226.62440255420029</v>
      </c>
      <c r="P25" s="402">
        <f t="shared" si="3"/>
        <v>-201.94702601722827</v>
      </c>
      <c r="Q25" s="404">
        <f t="shared" si="4"/>
        <v>73679.260804659702</v>
      </c>
      <c r="R25" s="403">
        <f t="shared" si="5"/>
        <v>73533.898902611545</v>
      </c>
      <c r="S25" s="402">
        <f t="shared" si="6"/>
        <v>-145.36190204815648</v>
      </c>
      <c r="T25" s="404">
        <f t="shared" si="7"/>
        <v>23183.356338197424</v>
      </c>
      <c r="U25" s="403">
        <f t="shared" si="8"/>
        <v>22590.225977899288</v>
      </c>
      <c r="V25" s="402">
        <f t="shared" si="9"/>
        <v>-593.1303602981352</v>
      </c>
    </row>
    <row r="26" spans="4:22" ht="24" customHeight="1">
      <c r="D26" s="353" t="s">
        <v>130</v>
      </c>
      <c r="E26" s="404">
        <f>+[4]군산!$Q$85</f>
        <v>111520.24799999999</v>
      </c>
      <c r="F26" s="403">
        <f>+[4]군산!$R$85</f>
        <v>106486.71714579055</v>
      </c>
      <c r="G26" s="402">
        <f t="shared" si="0"/>
        <v>-5033.5308542094426</v>
      </c>
      <c r="H26" s="404">
        <f>+[4]군산!$Q$20</f>
        <v>60158.087419354837</v>
      </c>
      <c r="I26" s="403">
        <f>+[4]군산!$R$20</f>
        <v>57232.127310061602</v>
      </c>
      <c r="J26" s="402">
        <f t="shared" si="1"/>
        <v>-2925.9601092932353</v>
      </c>
      <c r="K26" s="404">
        <f>+[4]군산!$Q$21</f>
        <v>13619.218764032072</v>
      </c>
      <c r="L26" s="403">
        <f>+[4]군산!$R$21</f>
        <v>14209.419917864476</v>
      </c>
      <c r="M26" s="402">
        <f t="shared" si="2"/>
        <v>590.20115383240409</v>
      </c>
      <c r="N26" s="404">
        <f>+[4]군산!$Q$22</f>
        <v>90</v>
      </c>
      <c r="O26" s="403">
        <f>+[4]군산!$R$22</f>
        <v>123.23998973305953</v>
      </c>
      <c r="P26" s="402">
        <f t="shared" si="3"/>
        <v>33.239989733059531</v>
      </c>
      <c r="Q26" s="404">
        <f t="shared" si="4"/>
        <v>73867.306183386914</v>
      </c>
      <c r="R26" s="403">
        <f t="shared" si="5"/>
        <v>71564.787217659134</v>
      </c>
      <c r="S26" s="402">
        <f t="shared" si="6"/>
        <v>-2302.5189657277806</v>
      </c>
      <c r="T26" s="404">
        <f t="shared" si="7"/>
        <v>37652.941816613078</v>
      </c>
      <c r="U26" s="403">
        <f t="shared" si="8"/>
        <v>34921.929928131416</v>
      </c>
      <c r="V26" s="402">
        <f t="shared" si="9"/>
        <v>-2731.011888481662</v>
      </c>
    </row>
    <row r="27" spans="4:22" ht="24" customHeight="1">
      <c r="D27" s="353" t="s">
        <v>129</v>
      </c>
      <c r="E27" s="404">
        <f>+[4]원주!$Q$85</f>
        <v>112000</v>
      </c>
      <c r="F27" s="403">
        <f>+[4]원주!$R$85</f>
        <v>112766.3680781759</v>
      </c>
      <c r="G27" s="402">
        <f t="shared" si="0"/>
        <v>766.36807817590307</v>
      </c>
      <c r="H27" s="404">
        <f>+[4]원주!$Q$20</f>
        <v>59673.633333333339</v>
      </c>
      <c r="I27" s="403">
        <f>+[4]원주!$R$20</f>
        <v>59999.397394136802</v>
      </c>
      <c r="J27" s="402">
        <f t="shared" si="1"/>
        <v>325.76406080346351</v>
      </c>
      <c r="K27" s="404">
        <f>+[4]원주!$Q$21</f>
        <v>14804.798846409913</v>
      </c>
      <c r="L27" s="403">
        <f>+[4]원주!$R$21</f>
        <v>14101.69381107492</v>
      </c>
      <c r="M27" s="402">
        <f t="shared" si="2"/>
        <v>-703.10503533499286</v>
      </c>
      <c r="N27" s="404">
        <f>+[4]원주!$Q$22</f>
        <v>525</v>
      </c>
      <c r="O27" s="403">
        <f>+[4]원주!$R$22</f>
        <v>1781.2687296416941</v>
      </c>
      <c r="P27" s="402">
        <f t="shared" si="3"/>
        <v>1256.2687296416941</v>
      </c>
      <c r="Q27" s="404">
        <f t="shared" si="4"/>
        <v>75003.432179743249</v>
      </c>
      <c r="R27" s="403">
        <f t="shared" si="5"/>
        <v>75882.359934853419</v>
      </c>
      <c r="S27" s="402">
        <f t="shared" si="6"/>
        <v>878.92775511016953</v>
      </c>
      <c r="T27" s="404">
        <f t="shared" si="7"/>
        <v>36996.567820256751</v>
      </c>
      <c r="U27" s="403">
        <f t="shared" si="8"/>
        <v>36884.008143322484</v>
      </c>
      <c r="V27" s="402">
        <f t="shared" si="9"/>
        <v>-112.55967693426646</v>
      </c>
    </row>
    <row r="28" spans="4:22" ht="24" customHeight="1">
      <c r="D28" s="348" t="s">
        <v>128</v>
      </c>
      <c r="E28" s="401">
        <f>+[4]제주!$Q$85</f>
        <v>122822.5</v>
      </c>
      <c r="F28" s="400">
        <f>+[4]제주!$R$85</f>
        <v>120936.46410756886</v>
      </c>
      <c r="G28" s="399">
        <f t="shared" si="0"/>
        <v>-1886.035892431144</v>
      </c>
      <c r="H28" s="401">
        <f>+[4]제주!$Q$20</f>
        <v>73451.839970337402</v>
      </c>
      <c r="I28" s="400">
        <f>+[4]제주!$R$20</f>
        <v>73938.417263066585</v>
      </c>
      <c r="J28" s="399">
        <f t="shared" si="1"/>
        <v>486.57729272918368</v>
      </c>
      <c r="K28" s="401">
        <f>+[4]제주!$Q$21</f>
        <v>16720.876288659794</v>
      </c>
      <c r="L28" s="400">
        <f>+[4]제주!$R$21</f>
        <v>15267.454998915637</v>
      </c>
      <c r="M28" s="399">
        <f t="shared" si="2"/>
        <v>-1453.4212897441575</v>
      </c>
      <c r="N28" s="401">
        <f>+[4]제주!$Q$22</f>
        <v>357.14285714285717</v>
      </c>
      <c r="O28" s="400">
        <f>+[4]제주!$R$22</f>
        <v>319.45911949685535</v>
      </c>
      <c r="P28" s="399">
        <f t="shared" si="3"/>
        <v>-37.683737646001816</v>
      </c>
      <c r="Q28" s="401">
        <f t="shared" si="4"/>
        <v>90529.859116140055</v>
      </c>
      <c r="R28" s="400">
        <f t="shared" si="5"/>
        <v>89525.331381479074</v>
      </c>
      <c r="S28" s="399">
        <f t="shared" si="6"/>
        <v>-1004.5277346609801</v>
      </c>
      <c r="T28" s="401">
        <f t="shared" si="7"/>
        <v>32292.640883859945</v>
      </c>
      <c r="U28" s="400">
        <f t="shared" si="8"/>
        <v>31411.132726089781</v>
      </c>
      <c r="V28" s="399">
        <f t="shared" si="9"/>
        <v>-881.50815777016396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L31" sqref="L31"/>
      <selection pane="topRight" activeCell="L31" sqref="L31"/>
      <selection pane="bottomLeft" activeCell="L31" sqref="L31"/>
      <selection pane="bottomRight" activeCell="L31" sqref="L31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221</v>
      </c>
      <c r="F4" s="398"/>
      <c r="I4" s="398"/>
    </row>
    <row r="5" spans="1:22" ht="21.95" customHeight="1"/>
    <row r="6" spans="1:22" ht="24" customHeight="1" thickBot="1">
      <c r="A6" s="6" t="s">
        <v>141</v>
      </c>
      <c r="D6" s="742" t="s">
        <v>11</v>
      </c>
      <c r="E6" s="396" t="s">
        <v>154</v>
      </c>
      <c r="F6" s="395"/>
      <c r="G6" s="394"/>
      <c r="H6" s="396" t="s">
        <v>153</v>
      </c>
      <c r="I6" s="395"/>
      <c r="J6" s="394"/>
      <c r="K6" s="396" t="s">
        <v>152</v>
      </c>
      <c r="L6" s="395"/>
      <c r="M6" s="394"/>
      <c r="N6" s="396" t="s">
        <v>151</v>
      </c>
      <c r="O6" s="395"/>
      <c r="P6" s="394"/>
      <c r="Q6" s="396" t="s">
        <v>150</v>
      </c>
      <c r="R6" s="395"/>
      <c r="S6" s="394"/>
      <c r="T6" s="396" t="s">
        <v>149</v>
      </c>
      <c r="U6" s="395"/>
      <c r="V6" s="394"/>
    </row>
    <row r="7" spans="1:22" ht="24" customHeight="1">
      <c r="D7" s="743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441">
        <f>+[4]합계!$G$9</f>
        <v>100651.75789748978</v>
      </c>
      <c r="F8" s="440">
        <f>+[4]합계!$H$9</f>
        <v>100372.0736010067</v>
      </c>
      <c r="G8" s="439">
        <f t="shared" ref="G8:G28" si="0">+F8-E8</f>
        <v>-279.6842964830721</v>
      </c>
      <c r="H8" s="441">
        <f>+[4]합계!$G$10</f>
        <v>92851.253417747765</v>
      </c>
      <c r="I8" s="440">
        <f>+[4]합계!$H$10</f>
        <v>94804.669124689841</v>
      </c>
      <c r="J8" s="439">
        <f t="shared" ref="J8:J28" si="1">+I8-H8</f>
        <v>1953.4157069420762</v>
      </c>
      <c r="K8" s="441">
        <f>+[4]합계!$G$12</f>
        <v>63737.281594625543</v>
      </c>
      <c r="L8" s="440">
        <f>+[4]합계!$H$12</f>
        <v>63532.472458168799</v>
      </c>
      <c r="M8" s="439">
        <f t="shared" ref="M8:M28" si="2">+L8-K8</f>
        <v>-204.80913645674445</v>
      </c>
      <c r="N8" s="441">
        <f>+[4]합계!$G$13</f>
        <v>40118.371698254057</v>
      </c>
      <c r="O8" s="440">
        <f>+[4]합계!$H$13</f>
        <v>35902.300124700872</v>
      </c>
      <c r="P8" s="439">
        <f t="shared" ref="P8:P28" si="3">+O8-N8</f>
        <v>-4216.0715735531849</v>
      </c>
      <c r="Q8" s="441">
        <f>+[4]합계!$G$16</f>
        <v>13208.392215038331</v>
      </c>
      <c r="R8" s="440">
        <f>+[4]합계!$H$16</f>
        <v>13429.362459529739</v>
      </c>
      <c r="S8" s="439">
        <f t="shared" ref="S8:S28" si="4">+R8-Q8</f>
        <v>220.97024449140736</v>
      </c>
      <c r="T8" s="441">
        <f>+[4]합계!$G$17</f>
        <v>15926.658682360323</v>
      </c>
      <c r="U8" s="440">
        <f>+[4]합계!$H$17</f>
        <v>15906.871935896323</v>
      </c>
      <c r="V8" s="439">
        <f t="shared" ref="V8:V28" si="5">+U8-T8</f>
        <v>-19.786746464000316</v>
      </c>
    </row>
    <row r="9" spans="1:22" ht="24" customHeight="1">
      <c r="D9" s="382" t="s">
        <v>16</v>
      </c>
      <c r="E9" s="438">
        <f>+[4]수도권!$G$9</f>
        <v>100000</v>
      </c>
      <c r="F9" s="437">
        <f>+[4]수도권!$H$9</f>
        <v>99828.190082572924</v>
      </c>
      <c r="G9" s="436">
        <f t="shared" si="0"/>
        <v>-171.80991742707556</v>
      </c>
      <c r="H9" s="438">
        <f>+[4]수도권!$G$10</f>
        <v>98000</v>
      </c>
      <c r="I9" s="437">
        <f>+[4]수도권!$H$10</f>
        <v>101340.92633411867</v>
      </c>
      <c r="J9" s="436">
        <f t="shared" si="1"/>
        <v>3340.9263341186743</v>
      </c>
      <c r="K9" s="438">
        <f>+[4]수도권!$G$12</f>
        <v>64199.606641952894</v>
      </c>
      <c r="L9" s="437">
        <f>+[4]수도권!$H$12</f>
        <v>64163.589769546132</v>
      </c>
      <c r="M9" s="436">
        <f t="shared" si="2"/>
        <v>-36.016872406762559</v>
      </c>
      <c r="N9" s="438">
        <f>+[4]수도권!$G$13</f>
        <v>47312.193919572928</v>
      </c>
      <c r="O9" s="437">
        <f>+[4]수도권!$H$13</f>
        <v>39110.60661851956</v>
      </c>
      <c r="P9" s="436">
        <f t="shared" si="3"/>
        <v>-8201.5873010533687</v>
      </c>
      <c r="Q9" s="438">
        <f>+[4]수도권!$G$16</f>
        <v>15830.424059196184</v>
      </c>
      <c r="R9" s="437">
        <f>+[4]수도권!$H$16</f>
        <v>15625.458841358539</v>
      </c>
      <c r="S9" s="436">
        <f t="shared" si="4"/>
        <v>-204.96521783764547</v>
      </c>
      <c r="T9" s="438">
        <f>+[4]수도권!$G$17</f>
        <v>14235.496134573663</v>
      </c>
      <c r="U9" s="437">
        <f>+[4]수도권!$H$17</f>
        <v>14147.446083642259</v>
      </c>
      <c r="V9" s="436">
        <f t="shared" si="5"/>
        <v>-88.050050931404257</v>
      </c>
    </row>
    <row r="10" spans="1:22" ht="24" customHeight="1">
      <c r="D10" s="377" t="s">
        <v>17</v>
      </c>
      <c r="E10" s="435">
        <f>+[4]영남권!$G$9</f>
        <v>100000.00000000001</v>
      </c>
      <c r="F10" s="434">
        <f>+[4]영남권!$H$9</f>
        <v>99995.156381995475</v>
      </c>
      <c r="G10" s="433">
        <f t="shared" si="0"/>
        <v>-4.8436180045391666</v>
      </c>
      <c r="H10" s="435">
        <f>+[4]영남권!$G$10</f>
        <v>92434.137068859869</v>
      </c>
      <c r="I10" s="434">
        <f>+[4]영남권!$H$10</f>
        <v>92523.322554650309</v>
      </c>
      <c r="J10" s="433">
        <f t="shared" si="1"/>
        <v>89.185485790439998</v>
      </c>
      <c r="K10" s="435">
        <f>+[4]영남권!$G$12</f>
        <v>62898.752577213629</v>
      </c>
      <c r="L10" s="434">
        <f>+[4]영남권!$H$12</f>
        <v>62746.914882217083</v>
      </c>
      <c r="M10" s="433">
        <f t="shared" si="2"/>
        <v>-151.83769499654591</v>
      </c>
      <c r="N10" s="435">
        <f>+[4]영남권!$G$13</f>
        <v>35568.721345937847</v>
      </c>
      <c r="O10" s="434">
        <f>+[4]영남권!$H$13</f>
        <v>33561.746862099513</v>
      </c>
      <c r="P10" s="433">
        <f t="shared" si="3"/>
        <v>-2006.974483838334</v>
      </c>
      <c r="Q10" s="435">
        <f>+[4]영남권!$G$16</f>
        <v>10971.224311123258</v>
      </c>
      <c r="R10" s="434">
        <f>+[4]영남권!$H$16</f>
        <v>11765.692212880238</v>
      </c>
      <c r="S10" s="433">
        <f t="shared" si="4"/>
        <v>794.4679017569797</v>
      </c>
      <c r="T10" s="435">
        <f>+[4]영남권!$G$17</f>
        <v>17638.975241785673</v>
      </c>
      <c r="U10" s="434">
        <f>+[4]영남권!$H$17</f>
        <v>17719.732418011969</v>
      </c>
      <c r="V10" s="433">
        <f t="shared" si="5"/>
        <v>80.757176226295996</v>
      </c>
    </row>
    <row r="11" spans="1:22" ht="24" customHeight="1">
      <c r="D11" s="372" t="s">
        <v>134</v>
      </c>
      <c r="E11" s="432">
        <f>+[4]중부권!$G$9</f>
        <v>103405.68862275449</v>
      </c>
      <c r="F11" s="431">
        <f>+[4]중부권!$H$9</f>
        <v>102031.43853460997</v>
      </c>
      <c r="G11" s="430">
        <f t="shared" si="0"/>
        <v>-1374.2500881445158</v>
      </c>
      <c r="H11" s="432">
        <f>+[4]중부권!$G$10</f>
        <v>94200</v>
      </c>
      <c r="I11" s="431">
        <f>+[4]중부권!$H$10</f>
        <v>97484.932113357441</v>
      </c>
      <c r="J11" s="430">
        <f t="shared" si="1"/>
        <v>3284.9321133574413</v>
      </c>
      <c r="K11" s="432">
        <f>+[4]중부권!$G$12</f>
        <v>64589.602038981793</v>
      </c>
      <c r="L11" s="431">
        <f>+[4]중부권!$H$12</f>
        <v>64821.120300701354</v>
      </c>
      <c r="M11" s="430">
        <f t="shared" si="2"/>
        <v>231.51826171956054</v>
      </c>
      <c r="N11" s="432">
        <f>+[4]중부권!$G$13</f>
        <v>41525.078448600485</v>
      </c>
      <c r="O11" s="431">
        <f>+[4]중부권!$H$13</f>
        <v>36626.82789482364</v>
      </c>
      <c r="P11" s="430">
        <f t="shared" si="3"/>
        <v>-4898.2505537768448</v>
      </c>
      <c r="Q11" s="432">
        <f>+[4]중부권!$G$16</f>
        <v>13180.011244480798</v>
      </c>
      <c r="R11" s="431">
        <f>+[4]중부권!$H$16</f>
        <v>13157.614927713581</v>
      </c>
      <c r="S11" s="430">
        <f t="shared" si="4"/>
        <v>-22.396316767217286</v>
      </c>
      <c r="T11" s="432">
        <f>+[4]중부권!$G$17</f>
        <v>14742.276443768349</v>
      </c>
      <c r="U11" s="431">
        <f>+[4]중부권!$H$17</f>
        <v>14775.871132718385</v>
      </c>
      <c r="V11" s="430">
        <f t="shared" si="5"/>
        <v>33.594688950035561</v>
      </c>
    </row>
    <row r="12" spans="1:22" ht="24" customHeight="1">
      <c r="D12" s="412" t="s">
        <v>18</v>
      </c>
      <c r="E12" s="429">
        <f>+[4]안양!$G$9</f>
        <v>100000</v>
      </c>
      <c r="F12" s="428">
        <f>+[4]안양!$H$9</f>
        <v>99696.342219124883</v>
      </c>
      <c r="G12" s="427">
        <f t="shared" si="0"/>
        <v>-303.65778087511717</v>
      </c>
      <c r="H12" s="429">
        <f>+[4]안양!$G$10</f>
        <v>0</v>
      </c>
      <c r="I12" s="428">
        <f>+[4]안양!$H$10</f>
        <v>102200.02868604862</v>
      </c>
      <c r="J12" s="427">
        <f t="shared" si="1"/>
        <v>102200.02868604862</v>
      </c>
      <c r="K12" s="429">
        <f>+[4]안양!$G$12</f>
        <v>64100.000000000007</v>
      </c>
      <c r="L12" s="428">
        <f>+[4]안양!$H$12</f>
        <v>64128.278486229334</v>
      </c>
      <c r="M12" s="427">
        <f t="shared" si="2"/>
        <v>28.278486229326518</v>
      </c>
      <c r="N12" s="429">
        <f>+[4]안양!$G$13</f>
        <v>46100</v>
      </c>
      <c r="O12" s="428">
        <f>+[4]안양!$H$13</f>
        <v>38504.902248891631</v>
      </c>
      <c r="P12" s="427">
        <f t="shared" si="3"/>
        <v>-7595.0977511083693</v>
      </c>
      <c r="Q12" s="429">
        <f>+[4]안양!$G$16</f>
        <v>15799.999999999998</v>
      </c>
      <c r="R12" s="428">
        <f>+[4]안양!$H$16</f>
        <v>15567.401470231096</v>
      </c>
      <c r="S12" s="427">
        <f t="shared" si="4"/>
        <v>-232.59852976890215</v>
      </c>
      <c r="T12" s="429">
        <f>+[4]안양!$G$17</f>
        <v>15032.258064516132</v>
      </c>
      <c r="U12" s="428">
        <f>+[4]안양!$H$17</f>
        <v>14997.034229911553</v>
      </c>
      <c r="V12" s="427">
        <f t="shared" si="5"/>
        <v>-35.223834604579679</v>
      </c>
    </row>
    <row r="13" spans="1:22" ht="24" customHeight="1">
      <c r="D13" s="353" t="s">
        <v>19</v>
      </c>
      <c r="E13" s="422">
        <f>+[4]인천!$G$9</f>
        <v>100000</v>
      </c>
      <c r="F13" s="421">
        <f>+[4]인천!$H$9</f>
        <v>99888.856070852737</v>
      </c>
      <c r="G13" s="420">
        <f t="shared" si="0"/>
        <v>-111.14392914726341</v>
      </c>
      <c r="H13" s="422">
        <f>+[4]인천!$G$10</f>
        <v>98000</v>
      </c>
      <c r="I13" s="421">
        <f>+[4]인천!$H$10</f>
        <v>100926.15755660622</v>
      </c>
      <c r="J13" s="420">
        <f t="shared" si="1"/>
        <v>2926.1575566062238</v>
      </c>
      <c r="K13" s="422">
        <f>+[4]인천!$G$12</f>
        <v>64400.000000000007</v>
      </c>
      <c r="L13" s="421">
        <f>+[4]인천!$H$12</f>
        <v>64508.793770184195</v>
      </c>
      <c r="M13" s="420">
        <f t="shared" si="2"/>
        <v>108.79377018418745</v>
      </c>
      <c r="N13" s="422">
        <f>+[4]인천!$G$13</f>
        <v>47600</v>
      </c>
      <c r="O13" s="421">
        <f>+[4]인천!$H$13</f>
        <v>39610.982161434535</v>
      </c>
      <c r="P13" s="420">
        <f t="shared" si="3"/>
        <v>-7989.0178385654654</v>
      </c>
      <c r="Q13" s="422">
        <f>+[4]인천!$G$16</f>
        <v>16000</v>
      </c>
      <c r="R13" s="421">
        <f>+[4]인천!$H$16</f>
        <v>15782.027719145595</v>
      </c>
      <c r="S13" s="420">
        <f t="shared" si="4"/>
        <v>-217.97228085440474</v>
      </c>
      <c r="T13" s="422">
        <f>+[4]인천!$G$17</f>
        <v>14318.131256952171</v>
      </c>
      <c r="U13" s="421">
        <f>+[4]인천!$H$17</f>
        <v>13725.107906779385</v>
      </c>
      <c r="V13" s="420">
        <f t="shared" si="5"/>
        <v>-593.02335017278529</v>
      </c>
    </row>
    <row r="14" spans="1:22" ht="24" customHeight="1">
      <c r="D14" s="353" t="s">
        <v>20</v>
      </c>
      <c r="E14" s="422">
        <f>+[4]파주!$G$9</f>
        <v>100000</v>
      </c>
      <c r="F14" s="421">
        <f>+[4]파주!$H$9</f>
        <v>99999.999367697339</v>
      </c>
      <c r="G14" s="420">
        <f t="shared" si="0"/>
        <v>-6.3230266096070409E-4</v>
      </c>
      <c r="H14" s="422">
        <f>+[4]파주!$G$10</f>
        <v>0</v>
      </c>
      <c r="I14" s="421">
        <f>+[4]파주!$H$10</f>
        <v>101641.16595493125</v>
      </c>
      <c r="J14" s="420">
        <f t="shared" si="1"/>
        <v>101641.16595493125</v>
      </c>
      <c r="K14" s="422">
        <f>+[4]파주!$G$12</f>
        <v>64300</v>
      </c>
      <c r="L14" s="421">
        <f>+[4]파주!$H$12</f>
        <v>64129.876194625125</v>
      </c>
      <c r="M14" s="420">
        <f t="shared" si="2"/>
        <v>-170.12380537487479</v>
      </c>
      <c r="N14" s="422">
        <f>+[4]파주!$G$13</f>
        <v>48200</v>
      </c>
      <c r="O14" s="421">
        <f>+[4]파주!$H$13</f>
        <v>41289.67365494345</v>
      </c>
      <c r="P14" s="420">
        <f t="shared" si="3"/>
        <v>-6910.3263450565501</v>
      </c>
      <c r="Q14" s="422">
        <f>+[4]파주!$G$16</f>
        <v>16333.333333333332</v>
      </c>
      <c r="R14" s="421">
        <f>+[4]파주!$H$16</f>
        <v>16166.772034550619</v>
      </c>
      <c r="S14" s="420">
        <f t="shared" si="4"/>
        <v>-166.56129878271349</v>
      </c>
      <c r="T14" s="422">
        <f>+[4]파주!$G$17</f>
        <v>12580.64516129032</v>
      </c>
      <c r="U14" s="421">
        <f>+[4]파주!$H$17</f>
        <v>12127.749346317796</v>
      </c>
      <c r="V14" s="420">
        <f t="shared" si="5"/>
        <v>-452.89581497252402</v>
      </c>
    </row>
    <row r="15" spans="1:22" ht="24" customHeight="1">
      <c r="D15" s="353" t="s">
        <v>108</v>
      </c>
      <c r="E15" s="422">
        <f>+[4]김포!$G$9</f>
        <v>100000</v>
      </c>
      <c r="F15" s="421">
        <f>+[4]김포!$H$9</f>
        <v>100000.00000000006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</v>
      </c>
      <c r="L15" s="421">
        <f>+[4]김포!$H$12</f>
        <v>63832.45131651788</v>
      </c>
      <c r="M15" s="420">
        <f t="shared" si="2"/>
        <v>32.451316517879604</v>
      </c>
      <c r="N15" s="422">
        <f>+[4]김포!$G$13</f>
        <v>47600</v>
      </c>
      <c r="O15" s="421">
        <f>+[4]김포!$H$13</f>
        <v>40170.812903662954</v>
      </c>
      <c r="P15" s="420">
        <f t="shared" si="3"/>
        <v>-7429.1870963370457</v>
      </c>
      <c r="Q15" s="422">
        <f>+[4]김포!$G$16</f>
        <v>14600</v>
      </c>
      <c r="R15" s="421">
        <f>+[4]김포!$H$16</f>
        <v>14610.667559775271</v>
      </c>
      <c r="S15" s="420">
        <f t="shared" si="4"/>
        <v>10.667559775271002</v>
      </c>
      <c r="T15" s="422">
        <f>+[4]김포!$G$17</f>
        <v>14129.661229172611</v>
      </c>
      <c r="U15" s="421">
        <f>+[4]김포!$H$17</f>
        <v>14335.186081519731</v>
      </c>
      <c r="V15" s="420">
        <f t="shared" si="5"/>
        <v>205.52485234712003</v>
      </c>
    </row>
    <row r="16" spans="1:22" ht="24" customHeight="1">
      <c r="D16" s="408" t="s">
        <v>21</v>
      </c>
      <c r="E16" s="425">
        <f>+[4]부산!$G$9</f>
        <v>99999.999999999985</v>
      </c>
      <c r="F16" s="424">
        <f>+[4]부산!$H$9</f>
        <v>100000.00054030107</v>
      </c>
      <c r="G16" s="423">
        <f t="shared" si="0"/>
        <v>5.4030108731240034E-4</v>
      </c>
      <c r="H16" s="425">
        <f>+[4]부산!$G$10</f>
        <v>92899.999999999985</v>
      </c>
      <c r="I16" s="424">
        <f>+[4]부산!$H$10</f>
        <v>92908.765006196321</v>
      </c>
      <c r="J16" s="423">
        <f t="shared" si="1"/>
        <v>8.7650061963358894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34535.192892979103</v>
      </c>
      <c r="P16" s="423">
        <f t="shared" si="3"/>
        <v>-1964.8071070208971</v>
      </c>
      <c r="Q16" s="425">
        <f>+[4]부산!$G$16</f>
        <v>11711.816996181076</v>
      </c>
      <c r="R16" s="424">
        <f>+[4]부산!$H$16</f>
        <v>11721.350343865244</v>
      </c>
      <c r="S16" s="423">
        <f t="shared" si="4"/>
        <v>9.533347684167893</v>
      </c>
      <c r="T16" s="425">
        <f>+[4]부산!$G$17</f>
        <v>18098.1180856834</v>
      </c>
      <c r="U16" s="424">
        <f>+[4]부산!$H$17</f>
        <v>18122.36601603292</v>
      </c>
      <c r="V16" s="423">
        <f t="shared" si="5"/>
        <v>24.247930349520175</v>
      </c>
    </row>
    <row r="17" spans="4:25" ht="24" customHeight="1">
      <c r="D17" s="353" t="s">
        <v>22</v>
      </c>
      <c r="E17" s="422">
        <f>+[4]서부산!$G$9</f>
        <v>100000</v>
      </c>
      <c r="F17" s="421">
        <f>+[4]서부산!$H$9</f>
        <v>100003.59192708995</v>
      </c>
      <c r="G17" s="420">
        <f t="shared" si="0"/>
        <v>3.5919270899466937</v>
      </c>
      <c r="H17" s="422">
        <f>+[4]서부산!$G$10</f>
        <v>92100</v>
      </c>
      <c r="I17" s="421">
        <f>+[4]서부산!$H$10</f>
        <v>92100.004398872057</v>
      </c>
      <c r="J17" s="420">
        <f t="shared" si="1"/>
        <v>4.3988720572087914E-3</v>
      </c>
      <c r="K17" s="422">
        <f>+[4]서부산!$G$12</f>
        <v>65000</v>
      </c>
      <c r="L17" s="421">
        <f>+[4]서부산!$H$12</f>
        <v>64000.640522413138</v>
      </c>
      <c r="M17" s="420">
        <f t="shared" si="2"/>
        <v>-999.35947758686234</v>
      </c>
      <c r="N17" s="422">
        <f>+[4]서부산!$G$13</f>
        <v>35300</v>
      </c>
      <c r="O17" s="421">
        <f>+[4]서부산!$H$13</f>
        <v>33824.38357843204</v>
      </c>
      <c r="P17" s="420">
        <f t="shared" si="3"/>
        <v>-1475.6164215679601</v>
      </c>
      <c r="Q17" s="422">
        <f>+[4]서부산!$G$16</f>
        <v>11333.333333333334</v>
      </c>
      <c r="R17" s="421">
        <f>+[4]서부산!$H$16</f>
        <v>14085.974297614684</v>
      </c>
      <c r="S17" s="420">
        <f t="shared" si="4"/>
        <v>2752.6409642813505</v>
      </c>
      <c r="T17" s="422">
        <f>+[4]서부산!$G$17</f>
        <v>17729.400877031996</v>
      </c>
      <c r="U17" s="421">
        <f>+[4]서부산!$H$17</f>
        <v>17976.719578999993</v>
      </c>
      <c r="V17" s="420">
        <f t="shared" si="5"/>
        <v>247.31870196799719</v>
      </c>
    </row>
    <row r="18" spans="4:25" ht="24" customHeight="1">
      <c r="D18" s="353" t="s">
        <v>23</v>
      </c>
      <c r="E18" s="422">
        <f>+[4]김해!$G$9</f>
        <v>100000</v>
      </c>
      <c r="F18" s="421">
        <f>+[4]김해!$H$9</f>
        <v>100000.00185707911</v>
      </c>
      <c r="G18" s="420">
        <f t="shared" si="0"/>
        <v>1.8570791144156829E-3</v>
      </c>
      <c r="H18" s="422">
        <f>+[4]김해!$G$10</f>
        <v>92100.000000000015</v>
      </c>
      <c r="I18" s="421">
        <f>+[4]김해!$H$10</f>
        <v>92100.014883094249</v>
      </c>
      <c r="J18" s="420">
        <f t="shared" si="1"/>
        <v>1.4883094234392047E-2</v>
      </c>
      <c r="K18" s="422">
        <f>+[4]김해!$G$12</f>
        <v>64000</v>
      </c>
      <c r="L18" s="421">
        <f>+[4]김해!$H$12</f>
        <v>0</v>
      </c>
      <c r="M18" s="420">
        <f t="shared" si="2"/>
        <v>-64000</v>
      </c>
      <c r="N18" s="422">
        <f>+[4]김해!$G$13</f>
        <v>35000</v>
      </c>
      <c r="O18" s="421">
        <f>+[4]김해!$H$13</f>
        <v>33235.121576696984</v>
      </c>
      <c r="P18" s="420">
        <f t="shared" si="3"/>
        <v>-1764.8784233030165</v>
      </c>
      <c r="Q18" s="422">
        <f>+[4]김해!$G$16</f>
        <v>9066.6666666666661</v>
      </c>
      <c r="R18" s="421">
        <f>+[4]김해!$H$16</f>
        <v>9105.140379851362</v>
      </c>
      <c r="S18" s="420">
        <f t="shared" si="4"/>
        <v>38.473713184695953</v>
      </c>
      <c r="T18" s="422">
        <f>+[4]김해!$G$17</f>
        <v>15626.218829274856</v>
      </c>
      <c r="U18" s="421">
        <f>+[4]김해!$H$17</f>
        <v>16321.892159072288</v>
      </c>
      <c r="V18" s="420">
        <f t="shared" si="5"/>
        <v>695.67332979743151</v>
      </c>
    </row>
    <row r="19" spans="4:25" ht="24" customHeight="1">
      <c r="D19" s="353" t="s">
        <v>24</v>
      </c>
      <c r="E19" s="422">
        <f>+[4]정관!$G$9</f>
        <v>100000</v>
      </c>
      <c r="F19" s="421">
        <f>+[4]정관!$H$9</f>
        <v>100002.62000050822</v>
      </c>
      <c r="G19" s="420">
        <f t="shared" si="0"/>
        <v>2.6200005082209827</v>
      </c>
      <c r="H19" s="422">
        <f>+[4]정관!$G$10</f>
        <v>92100</v>
      </c>
      <c r="I19" s="421">
        <f>+[4]정관!$H$10</f>
        <v>92099.996860594954</v>
      </c>
      <c r="J19" s="420">
        <f t="shared" si="1"/>
        <v>-3.13940504565835E-3</v>
      </c>
      <c r="K19" s="422">
        <f>+[4]정관!$G$12</f>
        <v>62000</v>
      </c>
      <c r="L19" s="421">
        <f>+[4]정관!$H$12</f>
        <v>62085.577981789764</v>
      </c>
      <c r="M19" s="420">
        <f t="shared" si="2"/>
        <v>85.577981789763726</v>
      </c>
      <c r="N19" s="422">
        <f>+[4]정관!$G$13</f>
        <v>35500</v>
      </c>
      <c r="O19" s="421">
        <f>+[4]정관!$H$13</f>
        <v>33241.52358277754</v>
      </c>
      <c r="P19" s="420">
        <f t="shared" si="3"/>
        <v>-2258.4764172224604</v>
      </c>
      <c r="Q19" s="422">
        <f>+[4]정관!$G$16</f>
        <v>11362.368853771199</v>
      </c>
      <c r="R19" s="421">
        <f>+[4]정관!$H$16</f>
        <v>11272.561753031459</v>
      </c>
      <c r="S19" s="420">
        <f t="shared" si="4"/>
        <v>-89.807100739739326</v>
      </c>
      <c r="T19" s="422">
        <f>+[4]정관!$G$17</f>
        <v>19374.351197032116</v>
      </c>
      <c r="U19" s="421">
        <f>+[4]정관!$H$17</f>
        <v>18806.430694651288</v>
      </c>
      <c r="V19" s="420">
        <f t="shared" si="5"/>
        <v>-567.92050238082811</v>
      </c>
    </row>
    <row r="20" spans="4:25" ht="24" customHeight="1">
      <c r="D20" s="353" t="s">
        <v>25</v>
      </c>
      <c r="E20" s="422">
        <f>+[4]양산!$G$9</f>
        <v>100000</v>
      </c>
      <c r="F20" s="421">
        <f>+[4]양산!$H$9</f>
        <v>99915.883812822547</v>
      </c>
      <c r="G20" s="420">
        <f t="shared" si="0"/>
        <v>-84.116187177452957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62199.999999999985</v>
      </c>
      <c r="L20" s="421">
        <f>+[4]양산!$H$12</f>
        <v>62117.646352144286</v>
      </c>
      <c r="M20" s="420">
        <f t="shared" si="2"/>
        <v>-82.353647855699819</v>
      </c>
      <c r="N20" s="422">
        <f>+[4]양산!$G$13</f>
        <v>36000</v>
      </c>
      <c r="O20" s="421">
        <f>+[4]양산!$H$13</f>
        <v>34095.243109139999</v>
      </c>
      <c r="P20" s="420">
        <f t="shared" si="3"/>
        <v>-1904.7568908600006</v>
      </c>
      <c r="Q20" s="422">
        <f>+[4]양산!$G$16</f>
        <v>9600</v>
      </c>
      <c r="R20" s="421">
        <f>+[4]양산!$H$16</f>
        <v>9449.5599401331747</v>
      </c>
      <c r="S20" s="420">
        <f t="shared" si="4"/>
        <v>-150.44005986682532</v>
      </c>
      <c r="T20" s="422">
        <f>+[4]양산!$G$17</f>
        <v>17919.980082137983</v>
      </c>
      <c r="U20" s="421">
        <f>+[4]양산!$H$17</f>
        <v>17207.567651581496</v>
      </c>
      <c r="V20" s="420">
        <f t="shared" si="5"/>
        <v>-712.41243055648738</v>
      </c>
    </row>
    <row r="21" spans="4:25" ht="24" customHeight="1">
      <c r="D21" s="353" t="s">
        <v>26</v>
      </c>
      <c r="E21" s="422">
        <f>+[4]창원!$G$9</f>
        <v>100000</v>
      </c>
      <c r="F21" s="421">
        <f>+[4]창원!$H$9</f>
        <v>99999.999999999956</v>
      </c>
      <c r="G21" s="420">
        <f t="shared" si="0"/>
        <v>0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63998.270020771044</v>
      </c>
      <c r="M21" s="420">
        <f t="shared" si="2"/>
        <v>-501.72997922895593</v>
      </c>
      <c r="N21" s="422">
        <f>+[4]창원!$G$13</f>
        <v>33000</v>
      </c>
      <c r="O21" s="421">
        <f>+[4]창원!$H$13</f>
        <v>31056.155454519947</v>
      </c>
      <c r="P21" s="420">
        <f t="shared" si="3"/>
        <v>-1943.8445454800531</v>
      </c>
      <c r="Q21" s="422">
        <f>+[4]창원!$G$16</f>
        <v>11000</v>
      </c>
      <c r="R21" s="421">
        <f>+[4]창원!$H$16</f>
        <v>11361.626478254379</v>
      </c>
      <c r="S21" s="420">
        <f t="shared" si="4"/>
        <v>361.62647825437853</v>
      </c>
      <c r="T21" s="422">
        <f>+[4]창원!$G$17</f>
        <v>17410.058688981204</v>
      </c>
      <c r="U21" s="421">
        <f>+[4]창원!$H$17</f>
        <v>17024.596732066831</v>
      </c>
      <c r="V21" s="420">
        <f t="shared" si="5"/>
        <v>-385.46195691437242</v>
      </c>
      <c r="Y21" s="426"/>
    </row>
    <row r="22" spans="4:25" ht="24" customHeight="1">
      <c r="D22" s="353" t="s">
        <v>133</v>
      </c>
      <c r="E22" s="422">
        <f>+[4]대구!$G$9</f>
        <v>100000</v>
      </c>
      <c r="F22" s="421">
        <f>+[4]대구!$H$9</f>
        <v>100000</v>
      </c>
      <c r="G22" s="420">
        <f t="shared" si="0"/>
        <v>0</v>
      </c>
      <c r="H22" s="422">
        <f>+[4]대구!$G$10</f>
        <v>0</v>
      </c>
      <c r="I22" s="421">
        <f>+[4]대구!$H$10</f>
        <v>0</v>
      </c>
      <c r="J22" s="420">
        <f t="shared" si="1"/>
        <v>0</v>
      </c>
      <c r="K22" s="422">
        <f>+[4]대구!$G$12</f>
        <v>61400.000000000007</v>
      </c>
      <c r="L22" s="421">
        <f>+[4]대구!$H$12</f>
        <v>60958.377378448014</v>
      </c>
      <c r="M22" s="420">
        <f t="shared" si="2"/>
        <v>-441.62262155199278</v>
      </c>
      <c r="N22" s="422">
        <f>+[4]대구!$G$13</f>
        <v>35300.000000000007</v>
      </c>
      <c r="O22" s="421">
        <f>+[4]대구!$H$13</f>
        <v>32570.66176001446</v>
      </c>
      <c r="P22" s="420">
        <f t="shared" si="3"/>
        <v>-2729.3382399855473</v>
      </c>
      <c r="Q22" s="422">
        <f>+[4]대구!$G$16</f>
        <v>11133.333333333332</v>
      </c>
      <c r="R22" s="421">
        <f>+[4]대구!$H$16</f>
        <v>11133.133088985713</v>
      </c>
      <c r="S22" s="420">
        <f t="shared" si="4"/>
        <v>-0.20024434761944576</v>
      </c>
      <c r="T22" s="422">
        <f>+[4]대구!$G$17</f>
        <v>14763.292547274748</v>
      </c>
      <c r="U22" s="421">
        <f>+[4]대구!$H$17</f>
        <v>14600.264293651422</v>
      </c>
      <c r="V22" s="420">
        <f t="shared" si="5"/>
        <v>-163.02825362332624</v>
      </c>
    </row>
    <row r="23" spans="4:25" ht="24" customHeight="1">
      <c r="D23" s="353" t="s">
        <v>132</v>
      </c>
      <c r="E23" s="422">
        <f>+[4]울산!$G$9</f>
        <v>100000</v>
      </c>
      <c r="F23" s="421">
        <f>+[4]울산!$H$9</f>
        <v>100000.00033834011</v>
      </c>
      <c r="G23" s="420">
        <f t="shared" si="0"/>
        <v>3.3834010537248105E-4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60199.999999999993</v>
      </c>
      <c r="L23" s="421">
        <f>+[4]울산!$H$12</f>
        <v>60200.065993891345</v>
      </c>
      <c r="M23" s="420">
        <f t="shared" si="2"/>
        <v>6.5993891352263745E-2</v>
      </c>
      <c r="N23" s="422">
        <f>+[4]울산!$G$13</f>
        <v>37000</v>
      </c>
      <c r="O23" s="421">
        <f>+[4]울산!$H$13</f>
        <v>35006.943492788749</v>
      </c>
      <c r="P23" s="420">
        <f t="shared" si="3"/>
        <v>-1993.0565072112513</v>
      </c>
      <c r="Q23" s="422">
        <f>+[4]울산!$G$16</f>
        <v>11533.333333333334</v>
      </c>
      <c r="R23" s="421">
        <f>+[4]울산!$H$16</f>
        <v>12126.410153439887</v>
      </c>
      <c r="S23" s="420">
        <f t="shared" si="4"/>
        <v>593.07682010655299</v>
      </c>
      <c r="T23" s="422">
        <f>+[4]울산!$G$17</f>
        <v>19459.67437494596</v>
      </c>
      <c r="U23" s="421">
        <f>+[4]울산!$H$17</f>
        <v>19837.294645784819</v>
      </c>
      <c r="V23" s="420">
        <f t="shared" si="5"/>
        <v>377.62027083885914</v>
      </c>
    </row>
    <row r="24" spans="4:25" ht="24" customHeight="1">
      <c r="D24" s="408" t="s">
        <v>27</v>
      </c>
      <c r="E24" s="425">
        <f>+[4]아산!$G$9</f>
        <v>100000</v>
      </c>
      <c r="F24" s="424">
        <f>+[4]아산!$H$9</f>
        <v>100105.78090193027</v>
      </c>
      <c r="G24" s="423">
        <f t="shared" si="0"/>
        <v>105.78090193026583</v>
      </c>
      <c r="H24" s="425">
        <f>+[4]아산!$G$10</f>
        <v>0</v>
      </c>
      <c r="I24" s="424">
        <f>+[4]아산!$H$10</f>
        <v>0</v>
      </c>
      <c r="J24" s="423">
        <f t="shared" si="1"/>
        <v>0</v>
      </c>
      <c r="K24" s="425">
        <f>+[4]아산!$G$12</f>
        <v>64300</v>
      </c>
      <c r="L24" s="424">
        <f>+[4]아산!$H$12</f>
        <v>64502.31187662125</v>
      </c>
      <c r="M24" s="423">
        <f t="shared" si="2"/>
        <v>202.31187662125012</v>
      </c>
      <c r="N24" s="425">
        <f>+[4]아산!$G$13</f>
        <v>42900.000000000007</v>
      </c>
      <c r="O24" s="424">
        <f>+[4]아산!$H$13</f>
        <v>38670.430199234499</v>
      </c>
      <c r="P24" s="423">
        <f t="shared" si="3"/>
        <v>-4229.5698007655083</v>
      </c>
      <c r="Q24" s="425">
        <f>+[4]아산!$G$16</f>
        <v>11400</v>
      </c>
      <c r="R24" s="424">
        <f>+[4]아산!$H$16</f>
        <v>11372.828504769454</v>
      </c>
      <c r="S24" s="423">
        <f t="shared" si="4"/>
        <v>-27.171495230546498</v>
      </c>
      <c r="T24" s="425">
        <f>+[4]아산!$G$17</f>
        <v>13225.806451612902</v>
      </c>
      <c r="U24" s="424">
        <f>+[4]아산!$H$17</f>
        <v>13184.489574958267</v>
      </c>
      <c r="V24" s="423">
        <f t="shared" si="5"/>
        <v>-41.316876654635053</v>
      </c>
    </row>
    <row r="25" spans="4:25" ht="24" customHeight="1">
      <c r="D25" s="353" t="s">
        <v>131</v>
      </c>
      <c r="E25" s="422">
        <f>+[4]전주!$G$9</f>
        <v>100000</v>
      </c>
      <c r="F25" s="421">
        <f>+[4]전주!$H$9</f>
        <v>99909.999632312072</v>
      </c>
      <c r="G25" s="420">
        <f t="shared" si="0"/>
        <v>-90.000367687927792</v>
      </c>
      <c r="H25" s="422">
        <f>+[4]전주!$G$10</f>
        <v>0</v>
      </c>
      <c r="I25" s="421">
        <f>+[4]전주!$H$10</f>
        <v>97484.932113357441</v>
      </c>
      <c r="J25" s="420">
        <f t="shared" si="1"/>
        <v>97484.932113357441</v>
      </c>
      <c r="K25" s="422">
        <f>+[4]전주!$G$12</f>
        <v>65000</v>
      </c>
      <c r="L25" s="421">
        <f>+[4]전주!$H$12</f>
        <v>64999.99654101616</v>
      </c>
      <c r="M25" s="420">
        <f t="shared" si="2"/>
        <v>-3.4589838396641426E-3</v>
      </c>
      <c r="N25" s="422">
        <f>+[4]전주!$G$13</f>
        <v>36000.000000000007</v>
      </c>
      <c r="O25" s="421">
        <f>+[4]전주!$H$13</f>
        <v>34142.233491139516</v>
      </c>
      <c r="P25" s="420">
        <f t="shared" si="3"/>
        <v>-1857.7665088604917</v>
      </c>
      <c r="Q25" s="422">
        <f>+[4]전주!$G$16</f>
        <v>13333.333333333334</v>
      </c>
      <c r="R25" s="421">
        <f>+[4]전주!$H$16</f>
        <v>13384.876051773887</v>
      </c>
      <c r="S25" s="420">
        <f t="shared" si="4"/>
        <v>51.542718440552562</v>
      </c>
      <c r="T25" s="422">
        <f>+[4]전주!$G$17</f>
        <v>15310.502654704607</v>
      </c>
      <c r="U25" s="421">
        <f>+[4]전주!$H$17</f>
        <v>15561.873181138335</v>
      </c>
      <c r="V25" s="420">
        <f t="shared" si="5"/>
        <v>251.37052643372772</v>
      </c>
    </row>
    <row r="26" spans="4:25" ht="24" customHeight="1">
      <c r="D26" s="353" t="s">
        <v>130</v>
      </c>
      <c r="E26" s="422">
        <f>+[4]군산!$G$9</f>
        <v>100000</v>
      </c>
      <c r="F26" s="421">
        <f>+[4]군산!$H$9</f>
        <v>100000</v>
      </c>
      <c r="G26" s="420">
        <f t="shared" si="0"/>
        <v>0</v>
      </c>
      <c r="H26" s="422">
        <f>+[4]군산!$G$10</f>
        <v>94200</v>
      </c>
      <c r="I26" s="421">
        <f>+[4]군산!$H$10</f>
        <v>0</v>
      </c>
      <c r="J26" s="420">
        <f t="shared" si="1"/>
        <v>-94200</v>
      </c>
      <c r="K26" s="422">
        <f>+[4]군산!$G$12</f>
        <v>64899.999999999993</v>
      </c>
      <c r="L26" s="421">
        <f>+[4]군산!$H$12</f>
        <v>64898.11923173676</v>
      </c>
      <c r="M26" s="420">
        <f t="shared" si="2"/>
        <v>-1.8807682632323122</v>
      </c>
      <c r="N26" s="422">
        <f>+[4]군산!$G$13</f>
        <v>39300</v>
      </c>
      <c r="O26" s="421">
        <f>+[4]군산!$H$13</f>
        <v>36341.725771705642</v>
      </c>
      <c r="P26" s="420">
        <f t="shared" si="3"/>
        <v>-2958.2742282943582</v>
      </c>
      <c r="Q26" s="422">
        <f>+[4]군산!$G$16</f>
        <v>14200</v>
      </c>
      <c r="R26" s="421">
        <f>+[4]군산!$H$16</f>
        <v>14273.221525212761</v>
      </c>
      <c r="S26" s="420">
        <f t="shared" si="4"/>
        <v>73.221525212760753</v>
      </c>
      <c r="T26" s="422">
        <f>+[4]군산!$G$17</f>
        <v>15212.903225806451</v>
      </c>
      <c r="U26" s="421">
        <f>+[4]군산!$H$17</f>
        <v>14996.214121870804</v>
      </c>
      <c r="V26" s="420">
        <f t="shared" si="5"/>
        <v>-216.68910393564693</v>
      </c>
    </row>
    <row r="27" spans="4:25" ht="24" customHeight="1">
      <c r="D27" s="353" t="s">
        <v>129</v>
      </c>
      <c r="E27" s="422">
        <f>+[4]원주!$G$9</f>
        <v>100000</v>
      </c>
      <c r="F27" s="421">
        <f>+[4]원주!$H$9</f>
        <v>100000.00502841036</v>
      </c>
      <c r="G27" s="420">
        <f t="shared" si="0"/>
        <v>5.0284103635931388E-3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63999.999999999985</v>
      </c>
      <c r="M27" s="420">
        <f t="shared" si="2"/>
        <v>0</v>
      </c>
      <c r="N27" s="422">
        <f>+[4]원주!$G$13</f>
        <v>49000</v>
      </c>
      <c r="O27" s="421">
        <f>+[4]원주!$H$13</f>
        <v>47368.137873055908</v>
      </c>
      <c r="P27" s="420">
        <f t="shared" si="3"/>
        <v>-1631.8621269440919</v>
      </c>
      <c r="Q27" s="422">
        <f>+[4]원주!$G$16</f>
        <v>13666.666666666664</v>
      </c>
      <c r="R27" s="421">
        <f>+[4]원주!$H$16</f>
        <v>13655.629895792512</v>
      </c>
      <c r="S27" s="420">
        <f t="shared" si="4"/>
        <v>-11.036770874152353</v>
      </c>
      <c r="T27" s="422">
        <f>+[4]원주!$G$17</f>
        <v>13806.451612903224</v>
      </c>
      <c r="U27" s="421">
        <f>+[4]원주!$H$17</f>
        <v>13679.491487653293</v>
      </c>
      <c r="V27" s="420">
        <f t="shared" si="5"/>
        <v>-126.96012524993057</v>
      </c>
    </row>
    <row r="28" spans="4:25" ht="24" customHeight="1">
      <c r="D28" s="348" t="s">
        <v>128</v>
      </c>
      <c r="E28" s="419">
        <f>+[4]제주!$G$9</f>
        <v>117000</v>
      </c>
      <c r="F28" s="418">
        <f>+[4]제주!$H$9</f>
        <v>116999.99966817893</v>
      </c>
      <c r="G28" s="417">
        <f t="shared" si="0"/>
        <v>-3.3182106562890112E-4</v>
      </c>
      <c r="H28" s="419">
        <f>+[4]제주!$G$10</f>
        <v>0</v>
      </c>
      <c r="I28" s="418">
        <f>+[4]제주!$H$10</f>
        <v>0</v>
      </c>
      <c r="J28" s="417">
        <f t="shared" si="1"/>
        <v>0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17869.353571971737</v>
      </c>
      <c r="S28" s="417">
        <f t="shared" si="4"/>
        <v>202.68690530506865</v>
      </c>
      <c r="T28" s="419">
        <f>+[4]제주!$G$17</f>
        <v>17535.712589893774</v>
      </c>
      <c r="U28" s="418">
        <f>+[4]제주!$H$17</f>
        <v>18717.019006295421</v>
      </c>
      <c r="V28" s="417">
        <f t="shared" si="5"/>
        <v>1181.3064164016469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L31" sqref="L31"/>
      <selection pane="topRight" activeCell="L31" sqref="L31"/>
      <selection pane="bottomLeft" activeCell="L31" sqref="L31"/>
      <selection pane="bottomRight" activeCell="L31" sqref="L31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220</v>
      </c>
      <c r="F4" s="398"/>
      <c r="I4" s="398"/>
    </row>
    <row r="5" spans="1:22" ht="21.95" customHeight="1">
      <c r="V5" s="397" t="s">
        <v>161</v>
      </c>
    </row>
    <row r="6" spans="1:22" ht="24" customHeight="1" thickBot="1">
      <c r="A6" s="6" t="s">
        <v>141</v>
      </c>
      <c r="D6" s="742" t="s">
        <v>11</v>
      </c>
      <c r="E6" s="396" t="s">
        <v>160</v>
      </c>
      <c r="F6" s="395"/>
      <c r="G6" s="394"/>
      <c r="H6" s="396" t="s">
        <v>159</v>
      </c>
      <c r="I6" s="395"/>
      <c r="J6" s="394"/>
      <c r="K6" s="396" t="s">
        <v>158</v>
      </c>
      <c r="L6" s="395"/>
      <c r="M6" s="394"/>
      <c r="N6" s="396" t="s">
        <v>157</v>
      </c>
      <c r="O6" s="395"/>
      <c r="P6" s="394"/>
      <c r="Q6" s="396" t="s">
        <v>156</v>
      </c>
      <c r="R6" s="395"/>
      <c r="S6" s="394"/>
      <c r="T6" s="396" t="s">
        <v>155</v>
      </c>
      <c r="U6" s="395"/>
      <c r="V6" s="394"/>
    </row>
    <row r="7" spans="1:22" ht="24" customHeight="1">
      <c r="D7" s="743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+[4]합계!$E$9</f>
        <v>282.32017746932223</v>
      </c>
      <c r="F8" s="385">
        <f>+[4]합계!$F$9</f>
        <v>286.27817332847638</v>
      </c>
      <c r="G8" s="416">
        <f t="shared" ref="G8:G28" si="0">+F8-E8</f>
        <v>3.9579958591541526</v>
      </c>
      <c r="H8" s="386">
        <f>+[4]합계!$E$15</f>
        <v>364.64374415687666</v>
      </c>
      <c r="I8" s="385">
        <f>+[4]합계!$F$15</f>
        <v>371.00140548493465</v>
      </c>
      <c r="J8" s="416">
        <f t="shared" ref="J8:J28" si="1">+I8-H8</f>
        <v>6.3576613280579863</v>
      </c>
      <c r="K8" s="478">
        <f>+([4]합계!$E$10*0.4+[4]합계!$E$11+[4]합계!$E$12+[4]합계!$E$13+[4]합계!$E$14)/[4]합계!$E$15</f>
        <v>0.17607076688332454</v>
      </c>
      <c r="L8" s="477">
        <f>+([4]합계!$F$10*0.4+[4]합계!$F$11+[4]합계!$F$12+[4]합계!$F$13+[4]합계!$F$14)/[4]합계!$F$15</f>
        <v>0.17864437622724963</v>
      </c>
      <c r="M8" s="476">
        <f t="shared" ref="M8:M28" si="2">+L8-K8</f>
        <v>2.5736093439250873E-3</v>
      </c>
      <c r="N8" s="386">
        <f>+[4]합계!$E$16</f>
        <v>823.10764029336258</v>
      </c>
      <c r="O8" s="385">
        <f>+[4]합계!$F$16</f>
        <v>811.60010946215118</v>
      </c>
      <c r="P8" s="416">
        <f t="shared" ref="P8:P28" si="3">+O8-N8</f>
        <v>-11.507530831211398</v>
      </c>
      <c r="Q8" s="386">
        <f>+[4]합계!$E$17</f>
        <v>901.06818225526888</v>
      </c>
      <c r="R8" s="385">
        <f>+[4]합계!$F$17</f>
        <v>895.51526878261359</v>
      </c>
      <c r="S8" s="416">
        <f t="shared" ref="S8:S28" si="4">+R8-Q8</f>
        <v>-5.5529134726552911</v>
      </c>
      <c r="T8" s="386">
        <f>+[4]합계!$E$19</f>
        <v>3.1033173280647293</v>
      </c>
      <c r="U8" s="385">
        <f>+[4]합계!$F$19</f>
        <v>2.8565047615893726</v>
      </c>
      <c r="V8" s="416">
        <f t="shared" ref="V8:V28" si="5">+U8-T8</f>
        <v>-0.24681256647535665</v>
      </c>
    </row>
    <row r="9" spans="1:22" ht="24" customHeight="1">
      <c r="D9" s="382" t="s">
        <v>16</v>
      </c>
      <c r="E9" s="381">
        <f>+[4]수도권!$E$9</f>
        <v>309.73837349397593</v>
      </c>
      <c r="F9" s="380">
        <f>+[4]수도권!$F$9</f>
        <v>305.4722583877849</v>
      </c>
      <c r="G9" s="415">
        <f t="shared" si="0"/>
        <v>-4.2661151061910232</v>
      </c>
      <c r="H9" s="381">
        <f>+[4]수도권!$E$15</f>
        <v>371.21409638554218</v>
      </c>
      <c r="I9" s="380">
        <f>+[4]수도권!$F$15</f>
        <v>371.64720235636673</v>
      </c>
      <c r="J9" s="415">
        <f t="shared" si="1"/>
        <v>0.43310597082455615</v>
      </c>
      <c r="K9" s="475">
        <f>+([4]수도권!$E$10*0.4+[4]수도권!$E$11+[4]수도권!$E$12+[4]수도권!$E$13+[4]수도권!$E$14)/[4]수도권!$E$15</f>
        <v>0.15623546571539754</v>
      </c>
      <c r="L9" s="474">
        <f>+([4]수도권!$F$10*0.4+[4]수도권!$F$11+[4]수도권!$F$12+[4]수도권!$F$13+[4]수도권!$F$14)/[4]수도권!$F$15</f>
        <v>0.14364337536363356</v>
      </c>
      <c r="M9" s="473">
        <f t="shared" si="2"/>
        <v>-1.2592090351763979E-2</v>
      </c>
      <c r="N9" s="381">
        <f>+[4]수도권!$E$16</f>
        <v>863.68620991977059</v>
      </c>
      <c r="O9" s="380">
        <f>+[4]수도권!$F$16</f>
        <v>850.77916562954977</v>
      </c>
      <c r="P9" s="415">
        <f t="shared" si="3"/>
        <v>-12.907044290220824</v>
      </c>
      <c r="Q9" s="381">
        <f>+[4]수도권!$E$17</f>
        <v>869.85447644123406</v>
      </c>
      <c r="R9" s="380">
        <f>+[4]수도권!$F$17</f>
        <v>861.72328943359196</v>
      </c>
      <c r="S9" s="415">
        <f t="shared" si="4"/>
        <v>-8.1311870076420973</v>
      </c>
      <c r="T9" s="381">
        <f>+[4]수도권!$E$19</f>
        <v>3.2006024096385541</v>
      </c>
      <c r="U9" s="380">
        <f>+[4]수도권!$F$19</f>
        <v>2.9348207333175349</v>
      </c>
      <c r="V9" s="415">
        <f t="shared" si="5"/>
        <v>-0.26578167632101923</v>
      </c>
    </row>
    <row r="10" spans="1:22" ht="24" customHeight="1">
      <c r="D10" s="377" t="s">
        <v>17</v>
      </c>
      <c r="E10" s="376">
        <f>+[4]영남권!$E$9</f>
        <v>248.7039551003443</v>
      </c>
      <c r="F10" s="375">
        <f>+[4]영남권!$F$9</f>
        <v>257.18997263470953</v>
      </c>
      <c r="G10" s="414">
        <f t="shared" si="0"/>
        <v>8.4860175343652315</v>
      </c>
      <c r="H10" s="376">
        <f>+[4]영남권!$E$15</f>
        <v>360.5153326058192</v>
      </c>
      <c r="I10" s="375">
        <f>+[4]영남권!$F$15</f>
        <v>369.78635504657262</v>
      </c>
      <c r="J10" s="414">
        <f t="shared" si="1"/>
        <v>9.271022440753427</v>
      </c>
      <c r="K10" s="472">
        <f>+([4]영남권!$E$10*0.4+[4]영남권!$E$11+[4]영남권!$E$12+[4]영남권!$E$13+[4]영남권!$E$14)/[4]영남권!$E$15</f>
        <v>0.21073271963989623</v>
      </c>
      <c r="L10" s="471">
        <f>+([4]영남권!$F$10*0.4+[4]영남권!$F$11+[4]영남권!$F$12+[4]영남권!$F$13+[4]영남권!$F$14)/[4]영남권!$F$15</f>
        <v>0.2251733806980673</v>
      </c>
      <c r="M10" s="470">
        <f t="shared" si="2"/>
        <v>1.4440661058171073E-2</v>
      </c>
      <c r="N10" s="376">
        <f>+[4]영남권!$E$16</f>
        <v>796.36265641192711</v>
      </c>
      <c r="O10" s="375">
        <f>+[4]영남권!$F$16</f>
        <v>804.35096759536555</v>
      </c>
      <c r="P10" s="414">
        <f t="shared" si="3"/>
        <v>7.9883111834384408</v>
      </c>
      <c r="Q10" s="376">
        <f>+[4]영남권!$E$17</f>
        <v>916.79062692689138</v>
      </c>
      <c r="R10" s="375">
        <f>+[4]영남권!$F$17</f>
        <v>891.26068278981393</v>
      </c>
      <c r="S10" s="414">
        <f t="shared" si="4"/>
        <v>-25.52994413707745</v>
      </c>
      <c r="T10" s="376">
        <f>+[4]영남권!$E$19</f>
        <v>3.1742574616256536</v>
      </c>
      <c r="U10" s="375">
        <f>+[4]영남권!$F$19</f>
        <v>2.8814738016068069</v>
      </c>
      <c r="V10" s="414">
        <f t="shared" si="5"/>
        <v>-0.2927836600188467</v>
      </c>
    </row>
    <row r="11" spans="1:22" ht="24" customHeight="1">
      <c r="D11" s="372" t="s">
        <v>134</v>
      </c>
      <c r="E11" s="371">
        <f>+[4]중부권!$E$9</f>
        <v>314.47384615384624</v>
      </c>
      <c r="F11" s="370">
        <f>+[4]중부권!$F$9</f>
        <v>320.66528717274593</v>
      </c>
      <c r="G11" s="413">
        <f t="shared" si="0"/>
        <v>6.1914410188996953</v>
      </c>
      <c r="H11" s="371">
        <f>+[4]중부권!$E$15</f>
        <v>361.77564102564116</v>
      </c>
      <c r="I11" s="370">
        <f>+[4]중부권!$F$15</f>
        <v>372.72077594997359</v>
      </c>
      <c r="J11" s="413">
        <f t="shared" si="1"/>
        <v>10.945134924332422</v>
      </c>
      <c r="K11" s="469">
        <f>+([4]중부권!$E$10*0.4+[4]중부권!$E$11+[4]중부권!$E$12+[4]중부권!$E$13+[4]중부권!$E$14)/[4]중부권!$E$15</f>
        <v>0.12639013413186378</v>
      </c>
      <c r="L11" s="468">
        <f>+([4]중부권!$F$10*0.4+[4]중부권!$F$11+[4]중부권!$F$12+[4]중부권!$F$13+[4]중부권!$F$14)/[4]중부권!$F$15</f>
        <v>0.13212706068783628</v>
      </c>
      <c r="M11" s="467">
        <f t="shared" si="2"/>
        <v>5.7369265559724936E-3</v>
      </c>
      <c r="N11" s="371">
        <f>+[4]중부권!$E$16</f>
        <v>808.75384615384621</v>
      </c>
      <c r="O11" s="370">
        <f>+[4]중부권!$F$16</f>
        <v>757.76306252073186</v>
      </c>
      <c r="P11" s="413">
        <f t="shared" si="3"/>
        <v>-50.990783633114347</v>
      </c>
      <c r="Q11" s="371">
        <f>+[4]중부권!$E$17</f>
        <v>925.16769230769239</v>
      </c>
      <c r="R11" s="370">
        <f>+[4]중부권!$F$17</f>
        <v>966.95008415543555</v>
      </c>
      <c r="S11" s="413">
        <f t="shared" si="4"/>
        <v>41.782391847743156</v>
      </c>
      <c r="T11" s="371">
        <f>+[4]중부권!$E$19</f>
        <v>2.7052820512820515</v>
      </c>
      <c r="U11" s="370">
        <f>+[4]중부권!$F$19</f>
        <v>2.6549985871715176</v>
      </c>
      <c r="V11" s="413">
        <f t="shared" si="5"/>
        <v>-5.028346411053386E-2</v>
      </c>
    </row>
    <row r="12" spans="1:22" ht="24" customHeight="1">
      <c r="D12" s="412" t="s">
        <v>18</v>
      </c>
      <c r="E12" s="365">
        <f>+[4]안양!$E$9</f>
        <v>325</v>
      </c>
      <c r="F12" s="364">
        <f>+[4]안양!$F$9</f>
        <v>295.62575724217857</v>
      </c>
      <c r="G12" s="366">
        <f t="shared" si="0"/>
        <v>-29.374242757821435</v>
      </c>
      <c r="H12" s="365">
        <f>+[4]안양!$E$15</f>
        <v>378</v>
      </c>
      <c r="I12" s="364">
        <f>+[4]안양!$F$15</f>
        <v>361.4586885863269</v>
      </c>
      <c r="J12" s="366">
        <f t="shared" si="1"/>
        <v>-16.5413114136731</v>
      </c>
      <c r="K12" s="466">
        <f>+([4]안양!$E$10*0.4+[4]안양!$E$11+[4]안양!$E$12+[4]안양!$E$13+[4]안양!$E$14)/[4]안양!$E$15</f>
        <v>0.1402116402116402</v>
      </c>
      <c r="L12" s="465">
        <f>+([4]안양!$F$10*0.4+[4]안양!$F$11+[4]안양!$F$12+[4]안양!$F$13+[4]안양!$F$14)/[4]안양!$F$15</f>
        <v>0.17106771102531304</v>
      </c>
      <c r="M12" s="464">
        <f t="shared" si="2"/>
        <v>3.0856070813672837E-2</v>
      </c>
      <c r="N12" s="365">
        <f>+[4]안양!$E$16</f>
        <v>848</v>
      </c>
      <c r="O12" s="364">
        <f>+[4]안양!$F$16</f>
        <v>866.61949594438056</v>
      </c>
      <c r="P12" s="366">
        <f t="shared" si="3"/>
        <v>18.61949594438056</v>
      </c>
      <c r="Q12" s="365">
        <f>+[4]안양!$E$17</f>
        <v>872</v>
      </c>
      <c r="R12" s="364">
        <f>+[4]안양!$F$17</f>
        <v>861.5197566628043</v>
      </c>
      <c r="S12" s="366">
        <f t="shared" si="4"/>
        <v>-10.480243337195702</v>
      </c>
      <c r="T12" s="463">
        <f>+[4]안양!$E$19</f>
        <v>3.39</v>
      </c>
      <c r="U12" s="462">
        <f>+[4]안양!$F$19</f>
        <v>2.9996610660486689</v>
      </c>
      <c r="V12" s="461">
        <f t="shared" si="5"/>
        <v>-0.39033893395133124</v>
      </c>
    </row>
    <row r="13" spans="1:22" ht="24" customHeight="1">
      <c r="D13" s="353" t="s">
        <v>19</v>
      </c>
      <c r="E13" s="351">
        <f>+[4]인천!$E$9</f>
        <v>308</v>
      </c>
      <c r="F13" s="350">
        <f>+[4]인천!$F$9</f>
        <v>325.24356760530623</v>
      </c>
      <c r="G13" s="352">
        <f t="shared" si="0"/>
        <v>17.243567605306225</v>
      </c>
      <c r="H13" s="351">
        <f>+[4]인천!$E$15</f>
        <v>385</v>
      </c>
      <c r="I13" s="350">
        <f>+[4]인천!$F$15</f>
        <v>392.40066511519683</v>
      </c>
      <c r="J13" s="352">
        <f t="shared" si="1"/>
        <v>7.4006651151968299</v>
      </c>
      <c r="K13" s="454">
        <f>+([4]인천!$E$10*0.4+[4]인천!$E$11+[4]인천!$E$12+[4]인천!$E$13+[4]인천!$E$14)/[4]인천!$E$15</f>
        <v>0.17</v>
      </c>
      <c r="L13" s="453">
        <f>+([4]인천!$F$10*0.4+[4]인천!$F$11+[4]인천!$F$12+[4]인천!$F$13+[4]인천!$F$14)/[4]인천!$F$15</f>
        <v>0.11130466689491655</v>
      </c>
      <c r="M13" s="452">
        <f t="shared" si="2"/>
        <v>-5.8695333105083458E-2</v>
      </c>
      <c r="N13" s="351">
        <f>+[4]인천!$E$16</f>
        <v>904.67981693363856</v>
      </c>
      <c r="O13" s="350">
        <f>+[4]인천!$F$16</f>
        <v>896.58924831277682</v>
      </c>
      <c r="P13" s="352">
        <f t="shared" si="3"/>
        <v>-8.0905686208617453</v>
      </c>
      <c r="Q13" s="351">
        <f>+[4]인천!$E$17</f>
        <v>835.0890617848969</v>
      </c>
      <c r="R13" s="350">
        <f>+[4]인천!$F$17</f>
        <v>823.79823132418005</v>
      </c>
      <c r="S13" s="352">
        <f t="shared" si="4"/>
        <v>-11.290830460716847</v>
      </c>
      <c r="T13" s="451">
        <f>+[4]인천!$E$19</f>
        <v>3.33</v>
      </c>
      <c r="U13" s="450">
        <f>+[4]인천!$F$19</f>
        <v>3.1902583197579713</v>
      </c>
      <c r="V13" s="449">
        <f t="shared" si="5"/>
        <v>-0.13974168024202882</v>
      </c>
    </row>
    <row r="14" spans="1:22" ht="24" customHeight="1">
      <c r="D14" s="353" t="s">
        <v>20</v>
      </c>
      <c r="E14" s="351">
        <f>+[4]파주!$E$9</f>
        <v>302.39281249999999</v>
      </c>
      <c r="F14" s="350">
        <f>+[4]파주!$F$9</f>
        <v>302.82834179033017</v>
      </c>
      <c r="G14" s="352">
        <f t="shared" si="0"/>
        <v>0.43552929033018017</v>
      </c>
      <c r="H14" s="351">
        <f>+[4]파주!$E$15</f>
        <v>357.48562499999997</v>
      </c>
      <c r="I14" s="350">
        <f>+[4]파주!$F$15</f>
        <v>368.90236764001901</v>
      </c>
      <c r="J14" s="352">
        <f t="shared" si="1"/>
        <v>11.416742640019038</v>
      </c>
      <c r="K14" s="454">
        <f>+([4]파주!$E$10*0.4+[4]파주!$E$11+[4]파주!$E$12+[4]파주!$E$13+[4]파주!$E$14)/[4]파주!$E$15</f>
        <v>0.15411196604059255</v>
      </c>
      <c r="L14" s="453">
        <f>+([4]파주!$F$10*0.4+[4]파주!$F$11+[4]파주!$F$12+[4]파주!$F$13+[4]파주!$F$14)/[4]파주!$F$15</f>
        <v>0.10075134332433849</v>
      </c>
      <c r="M14" s="452">
        <f t="shared" si="2"/>
        <v>-5.3360622716254053E-2</v>
      </c>
      <c r="N14" s="351">
        <f>+[4]파주!$E$16</f>
        <v>864.56</v>
      </c>
      <c r="O14" s="350">
        <f>+[4]파주!$F$16</f>
        <v>773.20924250837697</v>
      </c>
      <c r="P14" s="352">
        <f t="shared" si="3"/>
        <v>-91.350757491622971</v>
      </c>
      <c r="Q14" s="351">
        <f>+[4]파주!$E$17</f>
        <v>866.66843749999998</v>
      </c>
      <c r="R14" s="350">
        <f>+[4]파주!$F$17</f>
        <v>903.48731450454704</v>
      </c>
      <c r="S14" s="352">
        <f t="shared" si="4"/>
        <v>36.818877004547062</v>
      </c>
      <c r="T14" s="451">
        <f>+[4]파주!$E$19</f>
        <v>2.87</v>
      </c>
      <c r="U14" s="450">
        <f>+[4]파주!$F$19</f>
        <v>2.343882240306367</v>
      </c>
      <c r="V14" s="449">
        <f t="shared" si="5"/>
        <v>-0.52611775969363306</v>
      </c>
    </row>
    <row r="15" spans="1:22" ht="24" customHeight="1">
      <c r="D15" s="353" t="s">
        <v>108</v>
      </c>
      <c r="E15" s="351">
        <f>+[4]김포!$E$9</f>
        <v>277</v>
      </c>
      <c r="F15" s="350">
        <f>+[4]김포!$F$9</f>
        <v>297.72526479540056</v>
      </c>
      <c r="G15" s="352">
        <f t="shared" si="0"/>
        <v>20.725264795400562</v>
      </c>
      <c r="H15" s="351">
        <f>+[4]김포!$E$15</f>
        <v>337</v>
      </c>
      <c r="I15" s="350">
        <f>+[4]김포!$F$15</f>
        <v>362.78540277308065</v>
      </c>
      <c r="J15" s="352">
        <f t="shared" si="1"/>
        <v>25.785402773080648</v>
      </c>
      <c r="K15" s="454">
        <f>+([4]김포!$E$10*0.4+[4]김포!$E$11+[4]김포!$E$12+[4]김포!$E$13+[4]김포!$E$14)/[4]김포!$E$15</f>
        <v>0.17804154302670624</v>
      </c>
      <c r="L15" s="453">
        <f>+([4]김포!$F$10*0.4+[4]김포!$F$11+[4]김포!$F$12+[4]김포!$F$13+[4]김포!$F$14)/[4]김포!$F$15</f>
        <v>0.17933504898590058</v>
      </c>
      <c r="M15" s="452">
        <f t="shared" si="2"/>
        <v>1.2935059591943354E-3</v>
      </c>
      <c r="N15" s="351">
        <f>+[4]김포!$E$16</f>
        <v>810</v>
      </c>
      <c r="O15" s="350">
        <f>+[4]김포!$F$16</f>
        <v>753.27223537368968</v>
      </c>
      <c r="P15" s="352">
        <f t="shared" si="3"/>
        <v>-56.727764626310318</v>
      </c>
      <c r="Q15" s="351">
        <f>+[4]김포!$E$17</f>
        <v>955</v>
      </c>
      <c r="R15" s="350">
        <f>+[4]김포!$F$17</f>
        <v>913.88704768346327</v>
      </c>
      <c r="S15" s="352">
        <f t="shared" si="4"/>
        <v>-41.112952316536735</v>
      </c>
      <c r="T15" s="451">
        <f>+[4]김포!$E$19</f>
        <v>2.8</v>
      </c>
      <c r="U15" s="450">
        <f>+[4]김포!$F$19</f>
        <v>2.7246060196144741</v>
      </c>
      <c r="V15" s="449">
        <f t="shared" si="5"/>
        <v>-7.5393980385525694E-2</v>
      </c>
    </row>
    <row r="16" spans="1:22" ht="24" customHeight="1">
      <c r="D16" s="408" t="s">
        <v>21</v>
      </c>
      <c r="E16" s="358">
        <f>+[4]부산!$E$9</f>
        <v>222.12656842105264</v>
      </c>
      <c r="F16" s="357">
        <f>+[4]부산!$F$9</f>
        <v>218.83771918415604</v>
      </c>
      <c r="G16" s="359">
        <f t="shared" si="0"/>
        <v>-3.2888492368965956</v>
      </c>
      <c r="H16" s="358">
        <f>+[4]부산!$E$15</f>
        <v>382.97684210526319</v>
      </c>
      <c r="I16" s="357">
        <f>+[4]부산!$F$15</f>
        <v>388.41734614247707</v>
      </c>
      <c r="J16" s="359">
        <f t="shared" si="1"/>
        <v>5.4405040372138842</v>
      </c>
      <c r="K16" s="460">
        <f>+([4]부산!$E$10*0.4+[4]부산!$E$11+[4]부산!$E$12+[4]부산!$E$13+[4]부산!$E$14)/[4]부산!$E$15</f>
        <v>0.20400000000000001</v>
      </c>
      <c r="L16" s="459">
        <f>+([4]부산!$F$10*0.4+[4]부산!$F$11+[4]부산!$F$12+[4]부산!$F$13+[4]부산!$F$14)/[4]부산!$F$15</f>
        <v>0.21031458278827719</v>
      </c>
      <c r="M16" s="458">
        <f t="shared" si="2"/>
        <v>6.3145827882771788E-3</v>
      </c>
      <c r="N16" s="358">
        <f>+[4]부산!$E$16</f>
        <v>819.81240000000003</v>
      </c>
      <c r="O16" s="357">
        <f>+[4]부산!$F$16</f>
        <v>889.71327224357083</v>
      </c>
      <c r="P16" s="359">
        <f t="shared" si="3"/>
        <v>69.900872243570802</v>
      </c>
      <c r="Q16" s="358">
        <f>+[4]부산!$E$17</f>
        <v>900.04105263157885</v>
      </c>
      <c r="R16" s="357">
        <f>+[4]부산!$F$17</f>
        <v>829.95093112621919</v>
      </c>
      <c r="S16" s="359">
        <f t="shared" si="4"/>
        <v>-70.090121505359662</v>
      </c>
      <c r="T16" s="457">
        <f>+[4]부산!$E$19</f>
        <v>3.2582991642105257</v>
      </c>
      <c r="U16" s="456">
        <f>+[4]부산!$F$19</f>
        <v>2.8321992314513751</v>
      </c>
      <c r="V16" s="455">
        <f t="shared" si="5"/>
        <v>-0.42609993275915059</v>
      </c>
    </row>
    <row r="17" spans="4:22" ht="24" customHeight="1">
      <c r="D17" s="353" t="s">
        <v>22</v>
      </c>
      <c r="E17" s="351">
        <f>+[4]서부산!$E$9</f>
        <v>249</v>
      </c>
      <c r="F17" s="350">
        <f>+[4]서부산!$F$9</f>
        <v>228.4321040927623</v>
      </c>
      <c r="G17" s="352">
        <f t="shared" si="0"/>
        <v>-20.567895907237698</v>
      </c>
      <c r="H17" s="351">
        <f>+[4]서부산!$E$15</f>
        <v>362</v>
      </c>
      <c r="I17" s="350">
        <f>+[4]서부산!$F$15</f>
        <v>360.35206120612065</v>
      </c>
      <c r="J17" s="352">
        <f t="shared" si="1"/>
        <v>-1.6479387938793479</v>
      </c>
      <c r="K17" s="454">
        <f>+([4]서부산!$E$10*0.4+[4]서부산!$E$11+[4]서부산!$E$12+[4]서부산!$E$13+[4]서부산!$E$14)/[4]서부산!$E$15</f>
        <v>0.212707182320442</v>
      </c>
      <c r="L17" s="453">
        <f>+([4]서부산!$F$10*0.4+[4]서부산!$F$11+[4]서부산!$F$12+[4]서부산!$F$13+[4]서부산!$F$14)/[4]서부산!$F$15</f>
        <v>0.28876803703751003</v>
      </c>
      <c r="M17" s="452">
        <f t="shared" si="2"/>
        <v>7.6060854717068027E-2</v>
      </c>
      <c r="N17" s="351">
        <f>+[4]서부산!$E$16</f>
        <v>822</v>
      </c>
      <c r="O17" s="350">
        <f>+[4]서부산!$F$16</f>
        <v>844.1026632074969</v>
      </c>
      <c r="P17" s="352">
        <f t="shared" si="3"/>
        <v>22.102663207496903</v>
      </c>
      <c r="Q17" s="351">
        <f>+[4]서부산!$E$17</f>
        <v>913.05789473684206</v>
      </c>
      <c r="R17" s="350">
        <f>+[4]서부산!$F$17</f>
        <v>884.49028432254988</v>
      </c>
      <c r="S17" s="352">
        <f t="shared" si="4"/>
        <v>-28.567610414292176</v>
      </c>
      <c r="T17" s="451">
        <f>+[4]서부산!$E$19</f>
        <v>3.2</v>
      </c>
      <c r="U17" s="450">
        <f>+[4]서부산!$F$19</f>
        <v>3.1976481177529519</v>
      </c>
      <c r="V17" s="449">
        <f t="shared" si="5"/>
        <v>-2.3518822470482981E-3</v>
      </c>
    </row>
    <row r="18" spans="4:22" ht="24" customHeight="1">
      <c r="D18" s="353" t="s">
        <v>23</v>
      </c>
      <c r="E18" s="351">
        <f>+[4]김해!$E$9</f>
        <v>214.2</v>
      </c>
      <c r="F18" s="350">
        <f>+[4]김해!$F$9</f>
        <v>242.3947918073373</v>
      </c>
      <c r="G18" s="352">
        <f t="shared" si="0"/>
        <v>28.19479180733731</v>
      </c>
      <c r="H18" s="351">
        <f>+[4]김해!$E$15</f>
        <v>339.99999999999994</v>
      </c>
      <c r="I18" s="350">
        <f>+[4]김해!$F$15</f>
        <v>356.39435291469715</v>
      </c>
      <c r="J18" s="352">
        <f t="shared" si="1"/>
        <v>16.394352914697208</v>
      </c>
      <c r="K18" s="454">
        <f>+([4]김해!$E$10*0.4+[4]김해!$E$11+[4]김해!$E$12+[4]김해!$E$13+[4]김해!$E$14)/[4]김해!$E$15</f>
        <v>0.18400000000000002</v>
      </c>
      <c r="L18" s="453">
        <f>+([4]김해!$F$10*0.4+[4]김해!$F$11+[4]김해!$F$12+[4]김해!$F$13+[4]김해!$F$14)/[4]김해!$F$15</f>
        <v>0.16510049249046135</v>
      </c>
      <c r="M18" s="452">
        <f t="shared" si="2"/>
        <v>-1.8899507509538671E-2</v>
      </c>
      <c r="N18" s="351">
        <f>+[4]김해!$E$16</f>
        <v>770</v>
      </c>
      <c r="O18" s="350">
        <f>+[4]김해!$F$16</f>
        <v>817.69074949358549</v>
      </c>
      <c r="P18" s="352">
        <f t="shared" si="3"/>
        <v>47.690749493585486</v>
      </c>
      <c r="Q18" s="351">
        <f>+[4]김해!$E$17</f>
        <v>950</v>
      </c>
      <c r="R18" s="350">
        <f>+[4]김해!$F$17</f>
        <v>878.8296196263783</v>
      </c>
      <c r="S18" s="352">
        <f t="shared" si="4"/>
        <v>-71.170380373621697</v>
      </c>
      <c r="T18" s="451">
        <f>+[4]김해!$E$19</f>
        <v>3.3</v>
      </c>
      <c r="U18" s="450">
        <f>+[4]김해!$F$19</f>
        <v>3.2271100607697507</v>
      </c>
      <c r="V18" s="449">
        <f t="shared" si="5"/>
        <v>-7.2889939230249112E-2</v>
      </c>
    </row>
    <row r="19" spans="4:22" ht="24" customHeight="1">
      <c r="D19" s="353" t="s">
        <v>24</v>
      </c>
      <c r="E19" s="351">
        <f>+[4]정관!$E$9</f>
        <v>240.73858443193078</v>
      </c>
      <c r="F19" s="350">
        <f>+[4]정관!$F$9</f>
        <v>295.21353527106481</v>
      </c>
      <c r="G19" s="352">
        <f t="shared" si="0"/>
        <v>54.474950839134038</v>
      </c>
      <c r="H19" s="351">
        <f>+[4]정관!$E$15</f>
        <v>364.75543095747082</v>
      </c>
      <c r="I19" s="350">
        <f>+[4]정관!$F$15</f>
        <v>379.84695895928604</v>
      </c>
      <c r="J19" s="352">
        <f t="shared" si="1"/>
        <v>15.09152800181522</v>
      </c>
      <c r="K19" s="454">
        <f>+([4]정관!$E$10*0.4+[4]정관!$E$11+[4]정관!$E$12+[4]정관!$E$13+[4]정관!$E$14)/[4]정관!$E$15</f>
        <v>0.22599999999999998</v>
      </c>
      <c r="L19" s="453">
        <f>+([4]정관!$F$10*0.4+[4]정관!$F$11+[4]정관!$F$12+[4]정관!$F$13+[4]정관!$F$14)/[4]정관!$F$15</f>
        <v>0.13936216703109078</v>
      </c>
      <c r="M19" s="452">
        <f t="shared" si="2"/>
        <v>-8.6637832968909201E-2</v>
      </c>
      <c r="N19" s="351">
        <f>+[4]정관!$E$16</f>
        <v>791.12461111111111</v>
      </c>
      <c r="O19" s="350">
        <f>+[4]정관!$F$16</f>
        <v>799.18789462225152</v>
      </c>
      <c r="P19" s="352">
        <f t="shared" si="3"/>
        <v>8.063283511140412</v>
      </c>
      <c r="Q19" s="351">
        <f>+[4]정관!$E$17</f>
        <v>914.21683828104744</v>
      </c>
      <c r="R19" s="350">
        <f>+[4]정관!$F$17</f>
        <v>902.74874809492701</v>
      </c>
      <c r="S19" s="352">
        <f t="shared" si="4"/>
        <v>-11.468090186120435</v>
      </c>
      <c r="T19" s="451">
        <f>+[4]정관!$E$19</f>
        <v>3.1004211631385012</v>
      </c>
      <c r="U19" s="450">
        <f>+[4]정관!$F$19</f>
        <v>2.6205584585238388</v>
      </c>
      <c r="V19" s="449">
        <f t="shared" si="5"/>
        <v>-0.47986270461466241</v>
      </c>
    </row>
    <row r="20" spans="4:22" ht="24" customHeight="1">
      <c r="D20" s="353" t="s">
        <v>25</v>
      </c>
      <c r="E20" s="351">
        <f>+[4]양산!$E$9</f>
        <v>265.3515965761398</v>
      </c>
      <c r="F20" s="350">
        <f>+[4]양산!$F$9</f>
        <v>218.2370073260075</v>
      </c>
      <c r="G20" s="352">
        <f t="shared" si="0"/>
        <v>-47.114589250132298</v>
      </c>
      <c r="H20" s="351">
        <f>+[4]양산!$E$15</f>
        <v>356.38521663765397</v>
      </c>
      <c r="I20" s="350">
        <f>+[4]양산!$F$15</f>
        <v>357.58409279609299</v>
      </c>
      <c r="J20" s="352">
        <f t="shared" si="1"/>
        <v>1.1988761584390204</v>
      </c>
      <c r="K20" s="454">
        <f>+([4]양산!$E$10*0.4+[4]양산!$E$11+[4]양산!$E$12+[4]양산!$E$13+[4]양산!$E$14)/[4]양산!$E$15</f>
        <v>0.25543601645539177</v>
      </c>
      <c r="L20" s="453">
        <f>+([4]양산!$F$10*0.4+[4]양산!$F$11+[4]양산!$F$12+[4]양산!$F$13+[4]양산!$F$14)/[4]양산!$F$15</f>
        <v>0.3896903924905466</v>
      </c>
      <c r="M20" s="452">
        <f t="shared" si="2"/>
        <v>0.13425437603515483</v>
      </c>
      <c r="N20" s="351">
        <f>+[4]양산!$E$16</f>
        <v>780.4</v>
      </c>
      <c r="O20" s="350">
        <f>+[4]양산!$F$16</f>
        <v>757.88888888888835</v>
      </c>
      <c r="P20" s="352">
        <f t="shared" si="3"/>
        <v>-22.511111111111632</v>
      </c>
      <c r="Q20" s="351">
        <f>+[4]양산!$E$17</f>
        <v>881.07532400000002</v>
      </c>
      <c r="R20" s="350">
        <f>+[4]양산!$F$17</f>
        <v>848.4316239316239</v>
      </c>
      <c r="S20" s="352">
        <f t="shared" si="4"/>
        <v>-32.64370006837612</v>
      </c>
      <c r="T20" s="451">
        <f>+[4]양산!$E$19</f>
        <v>3.0603768414200587</v>
      </c>
      <c r="U20" s="450">
        <f>+[4]양산!$F$19</f>
        <v>2.6262417582417572</v>
      </c>
      <c r="V20" s="449">
        <f t="shared" si="5"/>
        <v>-0.43413508317830152</v>
      </c>
    </row>
    <row r="21" spans="4:22" ht="24" customHeight="1">
      <c r="D21" s="353" t="s">
        <v>26</v>
      </c>
      <c r="E21" s="351">
        <f>+[4]창원!$E$9</f>
        <v>255</v>
      </c>
      <c r="F21" s="350">
        <f>+[4]창원!$F$9</f>
        <v>262.89498251104578</v>
      </c>
      <c r="G21" s="352">
        <f t="shared" si="0"/>
        <v>7.8949825110457823</v>
      </c>
      <c r="H21" s="351">
        <f>+[4]창원!$E$15</f>
        <v>355.7</v>
      </c>
      <c r="I21" s="350">
        <f>+[4]창원!$F$15</f>
        <v>358.2842231222387</v>
      </c>
      <c r="J21" s="352">
        <f t="shared" si="1"/>
        <v>2.5842231222387113</v>
      </c>
      <c r="K21" s="454">
        <f>+([4]창원!$E$10*0.4+[4]창원!$E$11+[4]창원!$E$12+[4]창원!$E$13+[4]창원!$E$14)/[4]창원!$E$15</f>
        <v>0.28310373910598818</v>
      </c>
      <c r="L21" s="453">
        <f>+([4]창원!$F$10*0.4+[4]창원!$F$11+[4]창원!$F$12+[4]창원!$F$13+[4]창원!$F$14)/[4]창원!$F$15</f>
        <v>0.26623902046238918</v>
      </c>
      <c r="M21" s="452">
        <f t="shared" si="2"/>
        <v>-1.6864718643599008E-2</v>
      </c>
      <c r="N21" s="351">
        <f>+[4]창원!$E$16</f>
        <v>831.19999999999993</v>
      </c>
      <c r="O21" s="350">
        <f>+[4]창원!$F$16</f>
        <v>805.7018593519889</v>
      </c>
      <c r="P21" s="352">
        <f t="shared" si="3"/>
        <v>-25.498140648011031</v>
      </c>
      <c r="Q21" s="351">
        <f>+[4]창원!$E$17</f>
        <v>895.2</v>
      </c>
      <c r="R21" s="350">
        <f>+[4]창원!$F$17</f>
        <v>894.26684462444837</v>
      </c>
      <c r="S21" s="352">
        <f t="shared" si="4"/>
        <v>-0.93315537555167793</v>
      </c>
      <c r="T21" s="451">
        <f>+[4]창원!$E$19</f>
        <v>3.08</v>
      </c>
      <c r="U21" s="450">
        <f>+[4]창원!$F$19</f>
        <v>2.7227540500736365</v>
      </c>
      <c r="V21" s="449">
        <f t="shared" si="5"/>
        <v>-0.3572459499263636</v>
      </c>
    </row>
    <row r="22" spans="4:22" ht="24" customHeight="1">
      <c r="D22" s="353" t="s">
        <v>133</v>
      </c>
      <c r="E22" s="351">
        <f>+[4]대구!$E$9</f>
        <v>290.69999999999993</v>
      </c>
      <c r="F22" s="350">
        <f>+[4]대구!$F$9</f>
        <v>295.74348632605472</v>
      </c>
      <c r="G22" s="352">
        <f t="shared" si="0"/>
        <v>5.04348632605479</v>
      </c>
      <c r="H22" s="351">
        <f>+[4]대구!$E$15</f>
        <v>341.99999999999994</v>
      </c>
      <c r="I22" s="350">
        <f>+[4]대구!$F$15</f>
        <v>346.55344074623707</v>
      </c>
      <c r="J22" s="352">
        <f t="shared" si="1"/>
        <v>4.5534407462371291</v>
      </c>
      <c r="K22" s="454">
        <f>+([4]대구!$E$10*0.4+[4]대구!$E$11+[4]대구!$E$12+[4]대구!$E$13+[4]대구!$E$14)/[4]대구!$E$15</f>
        <v>0.15000000000000005</v>
      </c>
      <c r="L22" s="453">
        <f>+([4]대구!$F$10*0.4+[4]대구!$F$11+[4]대구!$F$12+[4]대구!$F$13+[4]대구!$F$14)/[4]대구!$F$15</f>
        <v>0.14661506263153162</v>
      </c>
      <c r="M22" s="452">
        <f t="shared" si="2"/>
        <v>-3.384937368468427E-3</v>
      </c>
      <c r="N22" s="351">
        <f>+[4]대구!$E$16</f>
        <v>736.71821120475965</v>
      </c>
      <c r="O22" s="350">
        <f>+[4]대구!$F$16</f>
        <v>684.98039007843965</v>
      </c>
      <c r="P22" s="352">
        <f t="shared" si="3"/>
        <v>-51.73782112632</v>
      </c>
      <c r="Q22" s="351">
        <f>+[4]대구!$E$17</f>
        <v>976.57995438770445</v>
      </c>
      <c r="R22" s="350">
        <f>+[4]대구!$F$17</f>
        <v>1035.9571761712955</v>
      </c>
      <c r="S22" s="352">
        <f t="shared" si="4"/>
        <v>59.37722178359104</v>
      </c>
      <c r="T22" s="451">
        <f>+[4]대구!$E$19</f>
        <v>3.0779999999999998</v>
      </c>
      <c r="U22" s="450">
        <f>+[4]대구!$F$19</f>
        <v>2.9070924316302729</v>
      </c>
      <c r="V22" s="449">
        <f t="shared" si="5"/>
        <v>-0.17090756836972698</v>
      </c>
    </row>
    <row r="23" spans="4:22" ht="24" customHeight="1">
      <c r="D23" s="353" t="s">
        <v>132</v>
      </c>
      <c r="E23" s="351">
        <f>+[4]울산!$E$9</f>
        <v>291.39999999999998</v>
      </c>
      <c r="F23" s="350">
        <f>+[4]울산!$F$9</f>
        <v>303.66855440254795</v>
      </c>
      <c r="G23" s="352">
        <f t="shared" si="0"/>
        <v>12.268554402547977</v>
      </c>
      <c r="H23" s="351">
        <f>+[4]울산!$E$15</f>
        <v>359.79999999999995</v>
      </c>
      <c r="I23" s="350">
        <f>+[4]울산!$F$15</f>
        <v>388.46348916058759</v>
      </c>
      <c r="J23" s="352">
        <f t="shared" si="1"/>
        <v>28.663489160587631</v>
      </c>
      <c r="K23" s="454">
        <f>+([4]울산!$E$10*0.4+[4]울산!$E$11+[4]울산!$E$12+[4]울산!$E$13+[4]울산!$E$14)/[4]울산!$E$15</f>
        <v>0.1901056142301279</v>
      </c>
      <c r="L23" s="453">
        <f>+([4]울산!$F$10*0.4+[4]울산!$F$11+[4]울산!$F$12+[4]울산!$F$13+[4]울산!$F$14)/[4]울산!$F$15</f>
        <v>0.21828289433652834</v>
      </c>
      <c r="M23" s="452">
        <f t="shared" si="2"/>
        <v>2.8177280106400443E-2</v>
      </c>
      <c r="N23" s="351">
        <f>+[4]울산!$E$16</f>
        <v>801.90000000000009</v>
      </c>
      <c r="O23" s="350">
        <f>+[4]울산!$F$16</f>
        <v>735.80930853796372</v>
      </c>
      <c r="P23" s="352">
        <f t="shared" si="3"/>
        <v>-66.090691462036375</v>
      </c>
      <c r="Q23" s="351">
        <f>+[4]울산!$E$17</f>
        <v>904.3</v>
      </c>
      <c r="R23" s="350">
        <f>+[4]울산!$F$17</f>
        <v>887.37121134285417</v>
      </c>
      <c r="S23" s="352">
        <f t="shared" si="4"/>
        <v>-16.928788657145788</v>
      </c>
      <c r="T23" s="451">
        <f>+[4]울산!$E$19</f>
        <v>3.24</v>
      </c>
      <c r="U23" s="450">
        <f>+[4]울산!$F$19</f>
        <v>3.0553940203431624</v>
      </c>
      <c r="V23" s="449">
        <f t="shared" si="5"/>
        <v>-0.18460597965683778</v>
      </c>
    </row>
    <row r="24" spans="4:22" ht="24" customHeight="1">
      <c r="D24" s="408" t="s">
        <v>27</v>
      </c>
      <c r="E24" s="358">
        <f>+[4]아산!$E$9</f>
        <v>324.53333333333342</v>
      </c>
      <c r="F24" s="357">
        <f>+[4]아산!$F$9</f>
        <v>368.80550511544709</v>
      </c>
      <c r="G24" s="359">
        <f t="shared" si="0"/>
        <v>44.272171782113674</v>
      </c>
      <c r="H24" s="358">
        <f>+[4]아산!$E$15</f>
        <v>381.97777777777787</v>
      </c>
      <c r="I24" s="357">
        <f>+[4]아산!$F$15</f>
        <v>406.75424498238959</v>
      </c>
      <c r="J24" s="359">
        <f t="shared" si="1"/>
        <v>24.77646720461172</v>
      </c>
      <c r="K24" s="460">
        <f>+([4]아산!$E$10*0.4+[4]아산!$E$11+[4]아산!$E$12+[4]아산!$E$13+[4]아산!$E$14)/[4]아산!$E$15</f>
        <v>0.15038687532724412</v>
      </c>
      <c r="L24" s="459">
        <f>+([4]아산!$F$10*0.4+[4]아산!$F$11+[4]아산!$F$12+[4]아산!$F$13+[4]아산!$F$14)/[4]아산!$F$15</f>
        <v>9.3296481438283382E-2</v>
      </c>
      <c r="M24" s="458">
        <f t="shared" si="2"/>
        <v>-5.7090393888960742E-2</v>
      </c>
      <c r="N24" s="358">
        <f>+[4]아산!$E$16</f>
        <v>871</v>
      </c>
      <c r="O24" s="357">
        <f>+[4]아산!$F$16</f>
        <v>781.90138089115021</v>
      </c>
      <c r="P24" s="359">
        <f t="shared" si="3"/>
        <v>-89.098619108849789</v>
      </c>
      <c r="Q24" s="358">
        <f>+[4]아산!$E$17</f>
        <v>876</v>
      </c>
      <c r="R24" s="357">
        <f>+[4]아산!$F$17</f>
        <v>940.80784927601064</v>
      </c>
      <c r="S24" s="359">
        <f t="shared" si="4"/>
        <v>64.807849276010643</v>
      </c>
      <c r="T24" s="457">
        <f>+[4]아산!$E$19</f>
        <v>2.8</v>
      </c>
      <c r="U24" s="456">
        <f>+[4]아산!$F$19</f>
        <v>2.9650584223178855</v>
      </c>
      <c r="V24" s="455">
        <f t="shared" si="5"/>
        <v>0.1650584223178857</v>
      </c>
    </row>
    <row r="25" spans="4:22" ht="24" customHeight="1">
      <c r="D25" s="353" t="s">
        <v>131</v>
      </c>
      <c r="E25" s="351">
        <f>+[4]전주!$E$9</f>
        <v>274.54000000000002</v>
      </c>
      <c r="F25" s="350">
        <f>+[4]전주!$F$9</f>
        <v>267.55011203303638</v>
      </c>
      <c r="G25" s="352">
        <f t="shared" si="0"/>
        <v>-6.9898879669636358</v>
      </c>
      <c r="H25" s="351">
        <f>+[4]전주!$E$15</f>
        <v>331.85</v>
      </c>
      <c r="I25" s="350">
        <f>+[4]전주!$F$15</f>
        <v>355.0504446908576</v>
      </c>
      <c r="J25" s="352">
        <f t="shared" si="1"/>
        <v>23.20044469085758</v>
      </c>
      <c r="K25" s="454">
        <f>+([4]전주!$E$10*0.4+[4]전주!$E$11+[4]전주!$E$12+[4]전주!$E$13+[4]전주!$E$14)/[4]전주!$E$15</f>
        <v>0.17269850836221184</v>
      </c>
      <c r="L25" s="453">
        <f>+([4]전주!$F$10*0.4+[4]전주!$F$11+[4]전주!$F$12+[4]전주!$F$13+[4]전주!$F$14)/[4]전주!$F$15</f>
        <v>0.22182146376757797</v>
      </c>
      <c r="M25" s="452">
        <f t="shared" si="2"/>
        <v>4.9122955405366125E-2</v>
      </c>
      <c r="N25" s="351">
        <f>+[4]전주!$E$16</f>
        <v>742.54</v>
      </c>
      <c r="O25" s="350">
        <f>+[4]전주!$F$16</f>
        <v>655.1049592780945</v>
      </c>
      <c r="P25" s="352">
        <f t="shared" si="3"/>
        <v>-87.435040721905466</v>
      </c>
      <c r="Q25" s="351">
        <f>+[4]전주!$E$17</f>
        <v>992.06000000000006</v>
      </c>
      <c r="R25" s="350">
        <f>+[4]전주!$F$17</f>
        <v>1055.316024930218</v>
      </c>
      <c r="S25" s="352">
        <f t="shared" si="4"/>
        <v>63.256024930217905</v>
      </c>
      <c r="T25" s="451">
        <f>+[4]전주!$E$19</f>
        <v>2.2599999999999998</v>
      </c>
      <c r="U25" s="450">
        <f>+[4]전주!$F$19</f>
        <v>2.1012465109165288</v>
      </c>
      <c r="V25" s="449">
        <f t="shared" si="5"/>
        <v>-0.15875348908347098</v>
      </c>
    </row>
    <row r="26" spans="4:22" ht="24" customHeight="1">
      <c r="D26" s="353" t="s">
        <v>130</v>
      </c>
      <c r="E26" s="351">
        <f>+[4]군산!$E$9</f>
        <v>280.7</v>
      </c>
      <c r="F26" s="350">
        <f>+[4]군산!$F$9</f>
        <v>261.91992813141684</v>
      </c>
      <c r="G26" s="352">
        <f t="shared" si="0"/>
        <v>-18.78007186858315</v>
      </c>
      <c r="H26" s="351">
        <f>+[4]군산!$E$15</f>
        <v>351.09999999999997</v>
      </c>
      <c r="I26" s="350">
        <f>+[4]군산!$F$15</f>
        <v>329.83576488706365</v>
      </c>
      <c r="J26" s="352">
        <f t="shared" si="1"/>
        <v>-21.264235112936319</v>
      </c>
      <c r="K26" s="454">
        <f>+([4]군산!$E$10*0.4+[4]군산!$E$11+[4]군산!$E$12+[4]군산!$E$13+[4]군산!$E$14)/[4]군산!$E$15</f>
        <v>0.16547992025064087</v>
      </c>
      <c r="L26" s="453">
        <f>+([4]군산!$F$10*0.4+[4]군산!$F$11+[4]군산!$F$12+[4]군산!$F$13+[4]군산!$F$14)/[4]군산!$F$15</f>
        <v>0.20590804268573279</v>
      </c>
      <c r="M26" s="452">
        <f t="shared" si="2"/>
        <v>4.0428122435091918E-2</v>
      </c>
      <c r="N26" s="351">
        <f>+[4]군산!$E$16</f>
        <v>810</v>
      </c>
      <c r="O26" s="350">
        <f>+[4]군산!$F$16</f>
        <v>825.90220739219751</v>
      </c>
      <c r="P26" s="352">
        <f t="shared" si="3"/>
        <v>15.902207392197511</v>
      </c>
      <c r="Q26" s="351">
        <f>+[4]군산!$E$17</f>
        <v>905</v>
      </c>
      <c r="R26" s="350">
        <f>+[4]군산!$F$17</f>
        <v>880.08085215605752</v>
      </c>
      <c r="S26" s="352">
        <f t="shared" si="4"/>
        <v>-24.919147843942483</v>
      </c>
      <c r="T26" s="451">
        <f>+[4]군산!$E$19</f>
        <v>2.93</v>
      </c>
      <c r="U26" s="450">
        <f>+[4]군산!$F$19</f>
        <v>2.6376206365503077</v>
      </c>
      <c r="V26" s="449">
        <f t="shared" si="5"/>
        <v>-0.29237936344969251</v>
      </c>
    </row>
    <row r="27" spans="4:22" ht="24" customHeight="1">
      <c r="D27" s="353" t="s">
        <v>129</v>
      </c>
      <c r="E27" s="351">
        <f>+[4]원주!$E$9</f>
        <v>320.3</v>
      </c>
      <c r="F27" s="350">
        <f>+[4]원주!$F$9</f>
        <v>323.89251628664499</v>
      </c>
      <c r="G27" s="352">
        <f t="shared" si="0"/>
        <v>3.5925162866449796</v>
      </c>
      <c r="H27" s="351">
        <f>+[4]원주!$E$15</f>
        <v>349.1</v>
      </c>
      <c r="I27" s="350">
        <f>+[4]원주!$F$15</f>
        <v>349.13111563517919</v>
      </c>
      <c r="J27" s="352">
        <f t="shared" si="1"/>
        <v>3.1115635179162382E-2</v>
      </c>
      <c r="K27" s="454">
        <f>+([4]원주!$E$10*0.4+[4]원주!$E$11+[4]원주!$E$12+[4]원주!$E$13+[4]원주!$E$14)/[4]원주!$E$15</f>
        <v>8.2497851618447429E-2</v>
      </c>
      <c r="L27" s="453">
        <f>+([4]원주!$F$10*0.4+[4]원주!$F$11+[4]원주!$F$12+[4]원주!$F$13+[4]원주!$F$14)/[4]원주!$F$15</f>
        <v>7.2289745079344367E-2</v>
      </c>
      <c r="M27" s="452">
        <f t="shared" si="2"/>
        <v>-1.0208106539103062E-2</v>
      </c>
      <c r="N27" s="351">
        <f>+[4]원주!$E$16</f>
        <v>837.86</v>
      </c>
      <c r="O27" s="350">
        <f>+[4]원주!$F$16</f>
        <v>862.33306188925076</v>
      </c>
      <c r="P27" s="352">
        <f t="shared" si="3"/>
        <v>24.473061889250744</v>
      </c>
      <c r="Q27" s="351">
        <f>+[4]원주!$E$17</f>
        <v>921.01</v>
      </c>
      <c r="R27" s="350">
        <f>+[4]원주!$F$17</f>
        <v>920.86970684039102</v>
      </c>
      <c r="S27" s="352">
        <f t="shared" si="4"/>
        <v>-0.14029315960897293</v>
      </c>
      <c r="T27" s="451">
        <f>+[4]원주!$E$19</f>
        <v>2.9380000000000002</v>
      </c>
      <c r="U27" s="450">
        <f>+[4]원주!$F$19</f>
        <v>3.0245928338762216</v>
      </c>
      <c r="V27" s="449">
        <f t="shared" si="5"/>
        <v>8.6592833876221409E-2</v>
      </c>
    </row>
    <row r="28" spans="4:22" ht="24" customHeight="1">
      <c r="D28" s="348" t="s">
        <v>128</v>
      </c>
      <c r="E28" s="346">
        <f>+[4]제주!$E$9</f>
        <v>351</v>
      </c>
      <c r="F28" s="445">
        <f>+[4]제주!$F$9</f>
        <v>333.32748427672965</v>
      </c>
      <c r="G28" s="347">
        <f t="shared" si="0"/>
        <v>-17.672515723270351</v>
      </c>
      <c r="H28" s="346">
        <f>+[4]제주!$E$15</f>
        <v>351</v>
      </c>
      <c r="I28" s="445">
        <f>+[4]제주!$F$15</f>
        <v>333.32748427672965</v>
      </c>
      <c r="J28" s="347">
        <f t="shared" si="1"/>
        <v>-17.672515723270351</v>
      </c>
      <c r="K28" s="448">
        <f>+([4]제주!$E$10*0.4+[4]제주!$E$11+[4]제주!$E$12+[4]제주!$E$13+[4]제주!$E$14)/[4]제주!$E$15</f>
        <v>0</v>
      </c>
      <c r="L28" s="447">
        <f>+([4]제주!$F$10*0.4+[4]제주!$F$11+[4]제주!$F$12+[4]제주!$F$13+[4]제주!$F$14)/[4]제주!$F$15</f>
        <v>3.6117192785912331E-21</v>
      </c>
      <c r="M28" s="446">
        <f t="shared" si="2"/>
        <v>3.6117192785912331E-21</v>
      </c>
      <c r="N28" s="346">
        <f>+[4]제주!$E$16</f>
        <v>705.7</v>
      </c>
      <c r="O28" s="445">
        <f>+[4]제주!$F$16</f>
        <v>869.83517675124756</v>
      </c>
      <c r="P28" s="347">
        <f t="shared" si="3"/>
        <v>164.13517675124751</v>
      </c>
      <c r="Q28" s="346">
        <f>+[4]제주!$E$17</f>
        <v>1000.3</v>
      </c>
      <c r="R28" s="445">
        <f>+[4]제주!$F$17</f>
        <v>903.43201040988947</v>
      </c>
      <c r="S28" s="347">
        <f t="shared" si="4"/>
        <v>-96.867989590110483</v>
      </c>
      <c r="T28" s="444">
        <f>+[4]제주!$E$19</f>
        <v>2.68</v>
      </c>
      <c r="U28" s="443">
        <f>+[4]제주!$F$19</f>
        <v>2.9388722619822163</v>
      </c>
      <c r="V28" s="442">
        <f t="shared" si="5"/>
        <v>0.25887226198221613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FFE-FB88-4FF5-8C6A-FD4B5458543F}">
  <sheetPr>
    <tabColor theme="1" tint="0.249977111117893"/>
    <pageSetUpPr fitToPage="1"/>
  </sheetPr>
  <dimension ref="D3:AR55"/>
  <sheetViews>
    <sheetView showGridLines="0" topLeftCell="A4" zoomScale="70" zoomScaleNormal="70" workbookViewId="0">
      <pane ySplit="6" topLeftCell="A10" activePane="bottomLeft" state="frozenSplit"/>
      <selection activeCell="L31" sqref="L31"/>
      <selection pane="bottomLeft" activeCell="L31" sqref="L31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479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398" t="s">
        <v>224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>
      <c r="D7" s="480"/>
      <c r="O7" s="397" t="s">
        <v>162</v>
      </c>
    </row>
    <row r="8" spans="4:17" ht="25.5" customHeight="1" thickTop="1">
      <c r="D8" s="744" t="s">
        <v>11</v>
      </c>
      <c r="E8" s="745"/>
      <c r="F8" s="748" t="s">
        <v>173</v>
      </c>
      <c r="G8" s="749"/>
      <c r="H8" s="749"/>
      <c r="I8" s="749"/>
      <c r="J8" s="750"/>
      <c r="K8" s="721" t="s">
        <v>223</v>
      </c>
      <c r="L8" s="721"/>
      <c r="M8" s="721"/>
      <c r="N8" s="721"/>
      <c r="O8" s="724"/>
      <c r="P8" s="481"/>
      <c r="Q8" s="481"/>
    </row>
    <row r="9" spans="4:17" ht="25.5" customHeight="1">
      <c r="D9" s="746"/>
      <c r="E9" s="747"/>
      <c r="F9" s="482" t="s">
        <v>36</v>
      </c>
      <c r="G9" s="483" t="s">
        <v>37</v>
      </c>
      <c r="H9" s="484" t="s">
        <v>56</v>
      </c>
      <c r="I9" s="483" t="s">
        <v>39</v>
      </c>
      <c r="J9" s="485" t="s">
        <v>57</v>
      </c>
      <c r="K9" s="484" t="s">
        <v>36</v>
      </c>
      <c r="L9" s="483" t="s">
        <v>37</v>
      </c>
      <c r="M9" s="484" t="s">
        <v>56</v>
      </c>
      <c r="N9" s="483" t="s">
        <v>39</v>
      </c>
      <c r="O9" s="486" t="s">
        <v>57</v>
      </c>
      <c r="P9" s="481"/>
      <c r="Q9" s="481"/>
    </row>
    <row r="10" spans="4:17" ht="25.5" customHeight="1">
      <c r="D10" s="487" t="s">
        <v>89</v>
      </c>
      <c r="E10" s="488" t="s">
        <v>69</v>
      </c>
      <c r="F10" s="489">
        <f>+IFERROR(HLOOKUP($F$8,[10]손익!$G$5:$AI$63,2,),)</f>
        <v>10200</v>
      </c>
      <c r="G10" s="490">
        <f>+'[6]2월'!$G$8</f>
        <v>9724.5229999999992</v>
      </c>
      <c r="H10" s="491">
        <f>+G10-F10</f>
        <v>-475.47700000000077</v>
      </c>
      <c r="I10" s="490">
        <f>+IFERROR(HLOOKUP($F$8,[11]월별!$E$2:$T$53,2,),)</f>
        <v>6645.402</v>
      </c>
      <c r="J10" s="492">
        <f>+G10-I10</f>
        <v>3079.1209999999992</v>
      </c>
      <c r="K10" s="489">
        <f>+F10+[12]건자재!K10</f>
        <v>20000</v>
      </c>
      <c r="L10" s="490">
        <f>+G10+[12]건자재!L10</f>
        <v>18460.025000000001</v>
      </c>
      <c r="M10" s="491">
        <f>+L10-K10</f>
        <v>-1539.9749999999985</v>
      </c>
      <c r="N10" s="490">
        <f>+I10+[12]건자재!N10</f>
        <v>13070.494999999999</v>
      </c>
      <c r="O10" s="492">
        <f>+L10-N10</f>
        <v>5389.5300000000025</v>
      </c>
      <c r="P10" s="493"/>
      <c r="Q10" s="493"/>
    </row>
    <row r="11" spans="4:17" ht="25.5" customHeight="1">
      <c r="D11" s="494" t="s">
        <v>53</v>
      </c>
      <c r="E11" s="495" t="s">
        <v>163</v>
      </c>
      <c r="F11" s="496">
        <f>+F12/F10*1000</f>
        <v>872058.82352941169</v>
      </c>
      <c r="G11" s="497">
        <f>+G12/G10*1000</f>
        <v>744684.72993482568</v>
      </c>
      <c r="H11" s="498">
        <f t="shared" ref="H11:H28" si="0">+G11-F11</f>
        <v>-127374.09359458601</v>
      </c>
      <c r="I11" s="497">
        <f>+I12/I10*1000</f>
        <v>886130.8859870329</v>
      </c>
      <c r="J11" s="499">
        <f t="shared" ref="J11:J28" si="1">+G11-I11</f>
        <v>-141446.15605220723</v>
      </c>
      <c r="K11" s="496">
        <f>+K12/K10*1000</f>
        <v>872500</v>
      </c>
      <c r="L11" s="497">
        <f>+L12/L10*1000</f>
        <v>750238.00374051498</v>
      </c>
      <c r="M11" s="498">
        <f t="shared" ref="M11:M28" si="2">+L11-K11</f>
        <v>-122261.99625948502</v>
      </c>
      <c r="N11" s="497">
        <f>+N12/N10*1000</f>
        <v>903139.27077742654</v>
      </c>
      <c r="O11" s="499">
        <f t="shared" ref="O11:O28" si="3">+L11-N11</f>
        <v>-152901.26703691157</v>
      </c>
      <c r="P11" s="493"/>
      <c r="Q11" s="493"/>
    </row>
    <row r="12" spans="4:17" ht="25.5" customHeight="1">
      <c r="D12" s="500" t="s">
        <v>124</v>
      </c>
      <c r="E12" s="501" t="s">
        <v>163</v>
      </c>
      <c r="F12" s="502">
        <f>+IFERROR(HLOOKUP($F$8,[10]손익!$G$5:$AI$63,22,),)</f>
        <v>8895000</v>
      </c>
      <c r="G12" s="503">
        <f>+'[6]2월'!$G$9</f>
        <v>7241703.784</v>
      </c>
      <c r="H12" s="504">
        <f t="shared" si="0"/>
        <v>-1653296.216</v>
      </c>
      <c r="I12" s="503">
        <f>+IFERROR(HLOOKUP($F$8,[11]월별!$E$2:$T$53,5,),)</f>
        <v>5888695.9620000003</v>
      </c>
      <c r="J12" s="505">
        <f t="shared" si="1"/>
        <v>1353007.8219999997</v>
      </c>
      <c r="K12" s="502">
        <f>+F12+[12]건자재!K12</f>
        <v>17450000</v>
      </c>
      <c r="L12" s="503">
        <f>+G12+[12]건자재!L12</f>
        <v>13849412.305</v>
      </c>
      <c r="M12" s="504">
        <f t="shared" si="2"/>
        <v>-3600587.6950000003</v>
      </c>
      <c r="N12" s="503">
        <f>+I12+[12]건자재!N12</f>
        <v>11804477.322999999</v>
      </c>
      <c r="O12" s="505">
        <f t="shared" si="3"/>
        <v>2044934.9820000008</v>
      </c>
      <c r="P12" s="493"/>
      <c r="Q12" s="493"/>
    </row>
    <row r="13" spans="4:17" ht="25.5" customHeight="1">
      <c r="D13" s="500"/>
      <c r="E13" s="506" t="s">
        <v>164</v>
      </c>
      <c r="F13" s="507">
        <f>+IFERROR(HLOOKUP($F$8,[10]손익!$G$5:$AI$63,23,),)</f>
        <v>2270945.5430136994</v>
      </c>
      <c r="G13" s="508">
        <f>+'[6]2월'!$J$9</f>
        <v>1035291.3360000001</v>
      </c>
      <c r="H13" s="509">
        <f t="shared" si="0"/>
        <v>-1235654.2070136992</v>
      </c>
      <c r="I13" s="508">
        <f>+IFERROR(HLOOKUP($F$8,[11]월별!$E$2:$T$53,6,),)</f>
        <v>876962.01299999934</v>
      </c>
      <c r="J13" s="510">
        <f t="shared" si="1"/>
        <v>158329.32300000079</v>
      </c>
      <c r="K13" s="507">
        <f>+F13+[12]건자재!K13</f>
        <v>4447268.3550684955</v>
      </c>
      <c r="L13" s="508">
        <f>+G13+[12]건자재!L13</f>
        <v>1907702.4990000008</v>
      </c>
      <c r="M13" s="509">
        <f t="shared" si="2"/>
        <v>-2539565.8560684947</v>
      </c>
      <c r="N13" s="508">
        <f>+I13+[12]건자재!N13</f>
        <v>2369137.8190000001</v>
      </c>
      <c r="O13" s="510">
        <f t="shared" si="3"/>
        <v>-461435.31999999937</v>
      </c>
      <c r="P13" s="493"/>
      <c r="Q13" s="493"/>
    </row>
    <row r="14" spans="4:17" ht="25.5" customHeight="1">
      <c r="D14" s="500"/>
      <c r="E14" s="511" t="s">
        <v>165</v>
      </c>
      <c r="F14" s="512">
        <f>SUM(F12:F13)</f>
        <v>11165945.543013699</v>
      </c>
      <c r="G14" s="513">
        <f>SUM(G12:G13)</f>
        <v>8276995.1200000001</v>
      </c>
      <c r="H14" s="170">
        <f t="shared" si="0"/>
        <v>-2888950.4230136992</v>
      </c>
      <c r="I14" s="513">
        <f>SUM(I12:I13)</f>
        <v>6765657.9749999996</v>
      </c>
      <c r="J14" s="514">
        <f t="shared" si="1"/>
        <v>1511337.1450000005</v>
      </c>
      <c r="K14" s="512">
        <f>SUM(K12:K13)</f>
        <v>21897268.355068497</v>
      </c>
      <c r="L14" s="513">
        <f>SUM(L12:L13)</f>
        <v>15757114.804000001</v>
      </c>
      <c r="M14" s="170">
        <f t="shared" si="2"/>
        <v>-6140153.551068496</v>
      </c>
      <c r="N14" s="513">
        <f>SUM(N12:N13)</f>
        <v>14173615.141999999</v>
      </c>
      <c r="O14" s="514">
        <f t="shared" si="3"/>
        <v>1583499.6620000023</v>
      </c>
      <c r="P14" s="493"/>
      <c r="Q14" s="493"/>
    </row>
    <row r="15" spans="4:17" ht="25.5" customHeight="1">
      <c r="D15" s="487" t="s">
        <v>5</v>
      </c>
      <c r="E15" s="488" t="s">
        <v>163</v>
      </c>
      <c r="F15" s="489">
        <f>+IFERROR(HLOOKUP($F$8,[10]손익!$G$5:$AI$63,25,),)</f>
        <v>8681992.5</v>
      </c>
      <c r="G15" s="490">
        <f>+'[6]2월'!$G$11</f>
        <v>7128840.7779999999</v>
      </c>
      <c r="H15" s="491">
        <f t="shared" si="0"/>
        <v>-1553151.7220000001</v>
      </c>
      <c r="I15" s="490">
        <f>+IFERROR(HLOOKUP($F$8,[11]월별!$E$2:$T$53,8,),)</f>
        <v>5728934.7309999997</v>
      </c>
      <c r="J15" s="492">
        <f t="shared" si="1"/>
        <v>1399906.0470000003</v>
      </c>
      <c r="K15" s="489">
        <f>+F15+[12]건자재!K15</f>
        <v>17031635</v>
      </c>
      <c r="L15" s="490">
        <f>+G15+[12]건자재!L15</f>
        <v>13619413.033</v>
      </c>
      <c r="M15" s="491">
        <f t="shared" si="2"/>
        <v>-3412221.9670000002</v>
      </c>
      <c r="N15" s="490">
        <f>+I15+[12]건자재!N15</f>
        <v>11480120.25</v>
      </c>
      <c r="O15" s="492">
        <f t="shared" si="3"/>
        <v>2139292.7829999998</v>
      </c>
      <c r="P15" s="493"/>
      <c r="Q15" s="493"/>
    </row>
    <row r="16" spans="4:17" ht="25.5" customHeight="1">
      <c r="D16" s="500"/>
      <c r="E16" s="506" t="s">
        <v>164</v>
      </c>
      <c r="F16" s="507">
        <f>+IFERROR(HLOOKUP($F$8,[10]손익!$G$5:$AI$63,26,),)</f>
        <v>2182476.3174945116</v>
      </c>
      <c r="G16" s="508">
        <f>+'[6]2월'!$J$11</f>
        <v>998493.29900000058</v>
      </c>
      <c r="H16" s="509">
        <f t="shared" si="0"/>
        <v>-1183983.018494511</v>
      </c>
      <c r="I16" s="508">
        <f>+IFERROR(HLOOKUP($F$8,[11]월별!$E$2:$T$53,9,),)</f>
        <v>863642.56600000057</v>
      </c>
      <c r="J16" s="510">
        <f t="shared" si="1"/>
        <v>134850.73300000001</v>
      </c>
      <c r="K16" s="507">
        <f>+F16+[12]건자재!K16</f>
        <v>4274016.1217600871</v>
      </c>
      <c r="L16" s="508">
        <f>+G16+[12]건자재!L16</f>
        <v>1842130.2360000014</v>
      </c>
      <c r="M16" s="509">
        <f t="shared" si="2"/>
        <v>-2431885.8857600857</v>
      </c>
      <c r="N16" s="508">
        <f>+I16+[12]건자재!N16</f>
        <v>2322982.0070000002</v>
      </c>
      <c r="O16" s="510">
        <f t="shared" si="3"/>
        <v>-480851.77099999879</v>
      </c>
      <c r="P16" s="493"/>
      <c r="Q16" s="493"/>
    </row>
    <row r="17" spans="4:17" ht="25.5" customHeight="1">
      <c r="D17" s="494"/>
      <c r="E17" s="515" t="s">
        <v>166</v>
      </c>
      <c r="F17" s="516">
        <f>SUM(F15:F16)</f>
        <v>10864468.817494512</v>
      </c>
      <c r="G17" s="517">
        <f>SUM(G15:G16)</f>
        <v>8127334.0770000005</v>
      </c>
      <c r="H17" s="518">
        <f t="shared" si="0"/>
        <v>-2737134.7404945111</v>
      </c>
      <c r="I17" s="517">
        <f>SUM(I15:I16)</f>
        <v>6592577.2970000003</v>
      </c>
      <c r="J17" s="519">
        <f t="shared" si="1"/>
        <v>1534756.7800000003</v>
      </c>
      <c r="K17" s="516">
        <f>SUM(K15:K16)</f>
        <v>21305651.121760085</v>
      </c>
      <c r="L17" s="517">
        <f>SUM(L15:L16)</f>
        <v>15461543.269000001</v>
      </c>
      <c r="M17" s="518">
        <f t="shared" si="2"/>
        <v>-5844107.852760084</v>
      </c>
      <c r="N17" s="517">
        <f>SUM(N15:N16)</f>
        <v>13803102.256999999</v>
      </c>
      <c r="O17" s="519">
        <f t="shared" si="3"/>
        <v>1658441.012000002</v>
      </c>
      <c r="P17" s="493"/>
      <c r="Q17" s="493"/>
    </row>
    <row r="18" spans="4:17" ht="25.5" customHeight="1">
      <c r="D18" s="500" t="s">
        <v>15</v>
      </c>
      <c r="E18" s="501" t="s">
        <v>163</v>
      </c>
      <c r="F18" s="502">
        <f>+F12-F15</f>
        <v>213007.5</v>
      </c>
      <c r="G18" s="503">
        <f>+G12-G15</f>
        <v>112863.00600000005</v>
      </c>
      <c r="H18" s="504">
        <f t="shared" si="0"/>
        <v>-100144.49399999995</v>
      </c>
      <c r="I18" s="503">
        <f>+I12-I15</f>
        <v>159761.23100000061</v>
      </c>
      <c r="J18" s="505">
        <f t="shared" si="1"/>
        <v>-46898.225000000559</v>
      </c>
      <c r="K18" s="502">
        <f>+K12-K15</f>
        <v>418365</v>
      </c>
      <c r="L18" s="503">
        <f>+L12-L15</f>
        <v>229999.27199999988</v>
      </c>
      <c r="M18" s="504">
        <f t="shared" si="2"/>
        <v>-188365.72800000012</v>
      </c>
      <c r="N18" s="503">
        <f>+N12-N15</f>
        <v>324357.07299999893</v>
      </c>
      <c r="O18" s="505">
        <f t="shared" si="3"/>
        <v>-94357.800999999046</v>
      </c>
      <c r="P18" s="493"/>
      <c r="Q18" s="493"/>
    </row>
    <row r="19" spans="4:17" ht="25.5" customHeight="1">
      <c r="D19" s="500"/>
      <c r="E19" s="520" t="s">
        <v>9</v>
      </c>
      <c r="F19" s="521">
        <f>+F18/F12</f>
        <v>2.3946880269814501E-2</v>
      </c>
      <c r="G19" s="522">
        <f>+G18/G12</f>
        <v>1.5585145342365754E-2</v>
      </c>
      <c r="H19" s="523">
        <f t="shared" si="0"/>
        <v>-8.3617349274487471E-3</v>
      </c>
      <c r="I19" s="522">
        <f>+I18/I12</f>
        <v>2.7130154457106714E-2</v>
      </c>
      <c r="J19" s="524">
        <f t="shared" si="1"/>
        <v>-1.154500911474096E-2</v>
      </c>
      <c r="K19" s="521">
        <f>+K18/K12</f>
        <v>2.3975071633237824E-2</v>
      </c>
      <c r="L19" s="522">
        <f>+L18/L12</f>
        <v>1.6607150320520396E-2</v>
      </c>
      <c r="M19" s="523">
        <f t="shared" si="2"/>
        <v>-7.3679213127174278E-3</v>
      </c>
      <c r="N19" s="522">
        <f>+N18/N12</f>
        <v>2.7477461654995716E-2</v>
      </c>
      <c r="O19" s="524">
        <f t="shared" si="3"/>
        <v>-1.087031133447532E-2</v>
      </c>
      <c r="P19" s="493"/>
      <c r="Q19" s="493"/>
    </row>
    <row r="20" spans="4:17" ht="25.5" customHeight="1">
      <c r="D20" s="500"/>
      <c r="E20" s="525" t="s">
        <v>164</v>
      </c>
      <c r="F20" s="512">
        <f>+F13-F16</f>
        <v>88469.225519187748</v>
      </c>
      <c r="G20" s="513">
        <f>+G13-G16</f>
        <v>36798.036999999546</v>
      </c>
      <c r="H20" s="170">
        <f t="shared" si="0"/>
        <v>-51671.188519188203</v>
      </c>
      <c r="I20" s="513">
        <f>+I13-I16</f>
        <v>13319.446999998763</v>
      </c>
      <c r="J20" s="514">
        <f t="shared" si="1"/>
        <v>23478.590000000782</v>
      </c>
      <c r="K20" s="512">
        <f>+K13-K16</f>
        <v>173252.23330840841</v>
      </c>
      <c r="L20" s="513">
        <f>+L13-L16</f>
        <v>65572.262999999337</v>
      </c>
      <c r="M20" s="170">
        <f t="shared" si="2"/>
        <v>-107679.97030840907</v>
      </c>
      <c r="N20" s="513">
        <f>+N13-N16</f>
        <v>46155.811999999918</v>
      </c>
      <c r="O20" s="514">
        <f t="shared" si="3"/>
        <v>19416.450999999419</v>
      </c>
      <c r="P20" s="493"/>
      <c r="Q20" s="493"/>
    </row>
    <row r="21" spans="4:17" ht="25.5" customHeight="1">
      <c r="D21" s="500"/>
      <c r="E21" s="526" t="s">
        <v>9</v>
      </c>
      <c r="F21" s="527">
        <f>+F20/F13</f>
        <v>3.8957000000001352E-2</v>
      </c>
      <c r="G21" s="528">
        <f>+G20/G13</f>
        <v>3.5543653965244372E-2</v>
      </c>
      <c r="H21" s="529">
        <f t="shared" si="0"/>
        <v>-3.4133460347569797E-3</v>
      </c>
      <c r="I21" s="528">
        <f>+I20/I13</f>
        <v>1.5188168703492945E-2</v>
      </c>
      <c r="J21" s="530">
        <f t="shared" si="1"/>
        <v>2.0355485261751426E-2</v>
      </c>
      <c r="K21" s="527">
        <f>+K20/K13</f>
        <v>3.895700000000113E-2</v>
      </c>
      <c r="L21" s="528">
        <f>+L20/L13</f>
        <v>3.4372373593037533E-2</v>
      </c>
      <c r="M21" s="529">
        <f t="shared" si="2"/>
        <v>-4.5846264069635961E-3</v>
      </c>
      <c r="N21" s="528">
        <f>+N20/N13</f>
        <v>1.9482113547738659E-2</v>
      </c>
      <c r="O21" s="530">
        <f t="shared" si="3"/>
        <v>1.4890260045298875E-2</v>
      </c>
      <c r="P21" s="493"/>
      <c r="Q21" s="493"/>
    </row>
    <row r="22" spans="4:17" ht="25.5" customHeight="1">
      <c r="D22" s="500"/>
      <c r="E22" s="511" t="s">
        <v>165</v>
      </c>
      <c r="F22" s="512">
        <f>SUM(F18,F20)</f>
        <v>301476.72551918775</v>
      </c>
      <c r="G22" s="513">
        <f>SUM(G18,G20)</f>
        <v>149661.0429999996</v>
      </c>
      <c r="H22" s="170">
        <f t="shared" si="0"/>
        <v>-151815.68251918815</v>
      </c>
      <c r="I22" s="513">
        <f>SUM(I18,I20)</f>
        <v>173080.67799999937</v>
      </c>
      <c r="J22" s="514">
        <f t="shared" si="1"/>
        <v>-23419.634999999776</v>
      </c>
      <c r="K22" s="512">
        <f>SUM(K18,K20)</f>
        <v>591617.23330840841</v>
      </c>
      <c r="L22" s="513">
        <f>SUM(L18,L20)</f>
        <v>295571.53499999922</v>
      </c>
      <c r="M22" s="170">
        <f t="shared" si="2"/>
        <v>-296045.69830840919</v>
      </c>
      <c r="N22" s="513">
        <f>SUM(N18,N20)</f>
        <v>370512.88499999885</v>
      </c>
      <c r="O22" s="514">
        <f t="shared" si="3"/>
        <v>-74941.349999999627</v>
      </c>
      <c r="P22" s="493"/>
      <c r="Q22" s="493"/>
    </row>
    <row r="23" spans="4:17" ht="25.5" customHeight="1">
      <c r="D23" s="500"/>
      <c r="E23" s="531" t="s">
        <v>9</v>
      </c>
      <c r="F23" s="521">
        <f>+F22/F14</f>
        <v>2.6999659308549601E-2</v>
      </c>
      <c r="G23" s="522">
        <f>+G22/G14</f>
        <v>1.8081567142448622E-2</v>
      </c>
      <c r="H23" s="523">
        <f t="shared" si="0"/>
        <v>-8.9180921661009792E-3</v>
      </c>
      <c r="I23" s="522">
        <f>+I22/I14</f>
        <v>2.5582238806566245E-2</v>
      </c>
      <c r="J23" s="524">
        <f t="shared" si="1"/>
        <v>-7.5006716641176224E-3</v>
      </c>
      <c r="K23" s="521">
        <f>+K22/K14</f>
        <v>2.7017855547788839E-2</v>
      </c>
      <c r="L23" s="522">
        <f>+L22/L14</f>
        <v>1.8757973060205622E-2</v>
      </c>
      <c r="M23" s="523">
        <f t="shared" si="2"/>
        <v>-8.2598824875832165E-3</v>
      </c>
      <c r="N23" s="522">
        <f>+N22/N14</f>
        <v>2.6141029037967573E-2</v>
      </c>
      <c r="O23" s="524">
        <f t="shared" si="3"/>
        <v>-7.3830559777619507E-3</v>
      </c>
      <c r="P23" s="493"/>
      <c r="Q23" s="493"/>
    </row>
    <row r="24" spans="4:17" ht="25.5" customHeight="1">
      <c r="D24" s="487" t="s">
        <v>167</v>
      </c>
      <c r="E24" s="488" t="s">
        <v>168</v>
      </c>
      <c r="F24" s="489">
        <f>+IFERROR(HLOOKUP($F$8,[10]판매4!$G$4:$U$50,7,),)</f>
        <v>87502.28</v>
      </c>
      <c r="G24" s="490">
        <f>+'[6]2월'!$M$19</f>
        <v>94794.214999999997</v>
      </c>
      <c r="H24" s="491">
        <f t="shared" si="0"/>
        <v>7291.9349999999977</v>
      </c>
      <c r="I24" s="490">
        <f>+IFERROR(HLOOKUP($F$8,[11]월별!$E$2:$T$53,17,),)</f>
        <v>88470.614999999991</v>
      </c>
      <c r="J24" s="492">
        <f t="shared" si="1"/>
        <v>6323.6000000000058</v>
      </c>
      <c r="K24" s="489">
        <f>+F24+[12]건자재!K24</f>
        <v>175004.56</v>
      </c>
      <c r="L24" s="490">
        <f>+G24+[12]건자재!L24</f>
        <v>190177.24</v>
      </c>
      <c r="M24" s="491">
        <f t="shared" si="2"/>
        <v>15172.679999999993</v>
      </c>
      <c r="N24" s="490">
        <f>+I24+[12]건자재!N24</f>
        <v>176862.93</v>
      </c>
      <c r="O24" s="492">
        <f t="shared" si="3"/>
        <v>13314.309999999998</v>
      </c>
      <c r="P24" s="493"/>
      <c r="Q24" s="493"/>
    </row>
    <row r="25" spans="4:17" ht="25.5" customHeight="1">
      <c r="D25" s="500"/>
      <c r="E25" s="506" t="s">
        <v>169</v>
      </c>
      <c r="F25" s="507">
        <f>+IFERROR(HLOOKUP($F$8,[10]판매4!$G$4:$U$50,31,),)+IFERROR(HLOOKUP($F$8,[10]판매4!$G$4:$U$50,34,),)</f>
        <v>42353.687999999995</v>
      </c>
      <c r="G25" s="508">
        <f>+'[6]2월'!$M$37+'[6]2월'!$M$40</f>
        <v>44005.114999999998</v>
      </c>
      <c r="H25" s="509">
        <f t="shared" si="0"/>
        <v>1651.4270000000033</v>
      </c>
      <c r="I25" s="508">
        <f>+IFERROR(HLOOKUP($F$8,[11]월별!$E$2:$T$53,35,),)+IFERROR(HLOOKUP($F$8,[11]월별!$E$2:$T$53,38,),)</f>
        <v>42765.384000000005</v>
      </c>
      <c r="J25" s="510">
        <f t="shared" si="1"/>
        <v>1239.7309999999925</v>
      </c>
      <c r="K25" s="507">
        <f>+F25+[12]건자재!K25</f>
        <v>77630.59599999999</v>
      </c>
      <c r="L25" s="508">
        <f>+G25+[12]건자재!L25</f>
        <v>92835.332999999984</v>
      </c>
      <c r="M25" s="509">
        <f t="shared" si="2"/>
        <v>15204.736999999994</v>
      </c>
      <c r="N25" s="508">
        <f>+I25+[12]건자재!N25</f>
        <v>76538.065000000002</v>
      </c>
      <c r="O25" s="510">
        <f t="shared" si="3"/>
        <v>16297.267999999982</v>
      </c>
      <c r="P25" s="493"/>
      <c r="Q25" s="493"/>
    </row>
    <row r="26" spans="4:17" ht="25.5" customHeight="1">
      <c r="D26" s="494"/>
      <c r="E26" s="515" t="s">
        <v>165</v>
      </c>
      <c r="F26" s="516">
        <f>SUM(F24:F25)</f>
        <v>129855.96799999999</v>
      </c>
      <c r="G26" s="517">
        <f>SUM(G24:G25)</f>
        <v>138799.32999999999</v>
      </c>
      <c r="H26" s="518">
        <f t="shared" si="0"/>
        <v>8943.3619999999937</v>
      </c>
      <c r="I26" s="517">
        <f>SUM(I24:I25)</f>
        <v>131235.99900000001</v>
      </c>
      <c r="J26" s="519">
        <f t="shared" si="1"/>
        <v>7563.3309999999765</v>
      </c>
      <c r="K26" s="516">
        <f>SUM(K24:K25)</f>
        <v>252635.15599999999</v>
      </c>
      <c r="L26" s="517">
        <f>SUM(L24:L25)</f>
        <v>283012.57299999997</v>
      </c>
      <c r="M26" s="518">
        <f t="shared" si="2"/>
        <v>30377.416999999987</v>
      </c>
      <c r="N26" s="517">
        <f>SUM(N24:N25)</f>
        <v>253400.995</v>
      </c>
      <c r="O26" s="519">
        <f t="shared" si="3"/>
        <v>29611.57799999998</v>
      </c>
      <c r="P26" s="493"/>
      <c r="Q26" s="493"/>
    </row>
    <row r="27" spans="4:17" ht="25.5" customHeight="1">
      <c r="D27" s="500" t="s">
        <v>7</v>
      </c>
      <c r="E27" s="531"/>
      <c r="F27" s="502">
        <f>+F22-F26</f>
        <v>171620.75751918775</v>
      </c>
      <c r="G27" s="503">
        <f>+G22-G26</f>
        <v>10861.71299999961</v>
      </c>
      <c r="H27" s="504">
        <f t="shared" si="0"/>
        <v>-160759.04451918814</v>
      </c>
      <c r="I27" s="503">
        <f>+I22-I26</f>
        <v>41844.678999999363</v>
      </c>
      <c r="J27" s="505">
        <f t="shared" si="1"/>
        <v>-30982.965999999753</v>
      </c>
      <c r="K27" s="502">
        <f>+K22-K26</f>
        <v>338982.07730840845</v>
      </c>
      <c r="L27" s="503">
        <f>+L22-L26</f>
        <v>12558.961999999243</v>
      </c>
      <c r="M27" s="504">
        <f t="shared" si="2"/>
        <v>-326423.11530840921</v>
      </c>
      <c r="N27" s="503">
        <f>+N22-N26</f>
        <v>117111.88999999885</v>
      </c>
      <c r="O27" s="505">
        <f t="shared" si="3"/>
        <v>-104552.92799999961</v>
      </c>
      <c r="P27" s="493"/>
      <c r="Q27" s="493"/>
    </row>
    <row r="28" spans="4:17" ht="25.5" customHeight="1" thickBot="1">
      <c r="D28" s="500"/>
      <c r="E28" s="532" t="s">
        <v>10</v>
      </c>
      <c r="F28" s="533">
        <f>+F27/F14</f>
        <v>1.5370015629940744E-2</v>
      </c>
      <c r="G28" s="534">
        <f>+G27/G14</f>
        <v>1.3122773231742113E-3</v>
      </c>
      <c r="H28" s="535">
        <f t="shared" si="0"/>
        <v>-1.4057738306766532E-2</v>
      </c>
      <c r="I28" s="534">
        <f>+I27/I14</f>
        <v>6.1848646731213703E-3</v>
      </c>
      <c r="J28" s="536">
        <f t="shared" si="1"/>
        <v>-4.8725873499471592E-3</v>
      </c>
      <c r="K28" s="533">
        <f>+K27/K14</f>
        <v>1.5480564598823361E-2</v>
      </c>
      <c r="L28" s="534">
        <f>+L27/L14</f>
        <v>7.9703436550523227E-4</v>
      </c>
      <c r="M28" s="535">
        <f t="shared" si="2"/>
        <v>-1.4683530233318129E-2</v>
      </c>
      <c r="N28" s="534">
        <f>+N27/N14</f>
        <v>8.2626689681284463E-3</v>
      </c>
      <c r="O28" s="536">
        <f t="shared" si="3"/>
        <v>-7.465634602623214E-3</v>
      </c>
      <c r="P28" s="493"/>
      <c r="Q28" s="493"/>
    </row>
    <row r="29" spans="4:17" ht="25.5" customHeight="1" thickTop="1">
      <c r="D29" s="751" t="s">
        <v>170</v>
      </c>
      <c r="E29" s="752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493"/>
      <c r="Q29" s="493"/>
    </row>
    <row r="30" spans="4:17" ht="25.5" customHeight="1">
      <c r="D30" s="753"/>
      <c r="E30" s="754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493"/>
      <c r="Q30" s="493"/>
    </row>
    <row r="31" spans="4:17" ht="25.5" customHeight="1">
      <c r="D31" s="753"/>
      <c r="E31" s="754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493"/>
      <c r="Q31" s="493"/>
    </row>
    <row r="32" spans="4:17" ht="25.5" customHeight="1">
      <c r="D32" s="753"/>
      <c r="E32" s="754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493"/>
      <c r="Q32" s="493"/>
    </row>
    <row r="33" spans="4:44" ht="25.5" customHeight="1">
      <c r="D33" s="753"/>
      <c r="E33" s="754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493"/>
      <c r="Q33" s="493"/>
    </row>
    <row r="34" spans="4:44" ht="25.5" customHeight="1">
      <c r="D34" s="755"/>
      <c r="E34" s="756"/>
      <c r="F34" s="344"/>
      <c r="G34" s="344"/>
      <c r="H34" s="344"/>
      <c r="I34" s="344"/>
      <c r="J34" s="344"/>
      <c r="K34" s="344"/>
      <c r="L34" s="344"/>
      <c r="M34" s="344"/>
      <c r="N34" s="537"/>
      <c r="O34" s="347"/>
      <c r="R34" s="6" t="s">
        <v>171</v>
      </c>
    </row>
    <row r="35" spans="4:44" ht="21.95" customHeight="1"/>
    <row r="36" spans="4:44" ht="21.95" customHeight="1">
      <c r="F36" s="6">
        <f>+IFERROR(HLOOKUP($F$8,[10]손익!$G$5:$AJ$65,17,),)</f>
        <v>171620.75751918773</v>
      </c>
      <c r="G36" s="6">
        <f>+'[6]2월'!$M$41</f>
        <v>10861.712999999596</v>
      </c>
      <c r="I36" s="6">
        <f>+IFERROR(HLOOKUP($F$8,[11]월별!$E$2:$T$53,39,),)</f>
        <v>41844.678999999371</v>
      </c>
      <c r="R36" s="538"/>
      <c r="S36" s="539" t="s">
        <v>172</v>
      </c>
      <c r="T36" s="539" t="s">
        <v>173</v>
      </c>
      <c r="U36" s="539" t="s">
        <v>174</v>
      </c>
      <c r="V36" s="539" t="s">
        <v>175</v>
      </c>
      <c r="W36" s="539" t="s">
        <v>176</v>
      </c>
      <c r="X36" s="539" t="s">
        <v>177</v>
      </c>
      <c r="Y36" s="539" t="s">
        <v>178</v>
      </c>
      <c r="Z36" s="539" t="s">
        <v>179</v>
      </c>
      <c r="AA36" s="539" t="s">
        <v>180</v>
      </c>
      <c r="AB36" s="539" t="s">
        <v>181</v>
      </c>
      <c r="AC36" s="539" t="s">
        <v>182</v>
      </c>
      <c r="AD36" s="539" t="s">
        <v>127</v>
      </c>
      <c r="AE36" s="539" t="s">
        <v>172</v>
      </c>
      <c r="AF36" s="539" t="s">
        <v>184</v>
      </c>
      <c r="AG36" s="539" t="s">
        <v>185</v>
      </c>
      <c r="AH36" s="539" t="s">
        <v>186</v>
      </c>
      <c r="AI36" s="539" t="s">
        <v>176</v>
      </c>
      <c r="AJ36" s="539" t="s">
        <v>177</v>
      </c>
      <c r="AK36" s="539" t="s">
        <v>178</v>
      </c>
      <c r="AL36" s="539" t="s">
        <v>187</v>
      </c>
      <c r="AM36" s="539" t="s">
        <v>180</v>
      </c>
      <c r="AN36" s="539" t="s">
        <v>181</v>
      </c>
      <c r="AO36" s="539" t="s">
        <v>188</v>
      </c>
      <c r="AP36" s="539" t="s">
        <v>183</v>
      </c>
      <c r="AQ36" s="539" t="s">
        <v>127</v>
      </c>
      <c r="AR36" s="539" t="s">
        <v>226</v>
      </c>
    </row>
    <row r="37" spans="4:44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R37" s="540" t="s">
        <v>189</v>
      </c>
      <c r="S37" s="541" t="s">
        <v>172</v>
      </c>
      <c r="T37" s="541" t="s">
        <v>173</v>
      </c>
      <c r="U37" s="541">
        <v>3</v>
      </c>
      <c r="V37" s="541" t="s">
        <v>175</v>
      </c>
      <c r="W37" s="541" t="s">
        <v>176</v>
      </c>
      <c r="X37" s="541" t="s">
        <v>177</v>
      </c>
      <c r="Y37" s="541" t="s">
        <v>178</v>
      </c>
      <c r="Z37" s="541" t="str">
        <f t="shared" ref="Z37:AQ37" si="4">+Z36</f>
        <v>8월</v>
      </c>
      <c r="AA37" s="541" t="str">
        <f t="shared" si="4"/>
        <v>9월</v>
      </c>
      <c r="AB37" s="541" t="str">
        <f t="shared" si="4"/>
        <v>10월</v>
      </c>
      <c r="AC37" s="541" t="str">
        <f t="shared" si="4"/>
        <v>11월</v>
      </c>
      <c r="AD37" s="541" t="str">
        <f t="shared" si="4"/>
        <v>1월</v>
      </c>
      <c r="AE37" s="541" t="str">
        <f t="shared" si="4"/>
        <v>1월</v>
      </c>
      <c r="AF37" s="541" t="str">
        <f t="shared" si="4"/>
        <v>2월</v>
      </c>
      <c r="AG37" s="541" t="str">
        <f t="shared" si="4"/>
        <v>3월</v>
      </c>
      <c r="AH37" s="541" t="str">
        <f t="shared" si="4"/>
        <v>4월</v>
      </c>
      <c r="AI37" s="541" t="str">
        <f t="shared" si="4"/>
        <v>5월</v>
      </c>
      <c r="AJ37" s="541" t="str">
        <f t="shared" si="4"/>
        <v>6월</v>
      </c>
      <c r="AK37" s="541" t="str">
        <f t="shared" si="4"/>
        <v>7월</v>
      </c>
      <c r="AL37" s="541" t="str">
        <f t="shared" si="4"/>
        <v>8월</v>
      </c>
      <c r="AM37" s="541" t="str">
        <f t="shared" si="4"/>
        <v>9월</v>
      </c>
      <c r="AN37" s="541" t="str">
        <f t="shared" si="4"/>
        <v>10월</v>
      </c>
      <c r="AO37" s="541" t="str">
        <f t="shared" si="4"/>
        <v>11월</v>
      </c>
      <c r="AP37" s="541" t="str">
        <f t="shared" ref="AP37" si="5">+AP36</f>
        <v>12월</v>
      </c>
      <c r="AQ37" s="541" t="str">
        <f t="shared" si="4"/>
        <v>1월</v>
      </c>
      <c r="AR37" s="541" t="str">
        <f t="shared" ref="AR37" si="6">+AR36</f>
        <v>2월</v>
      </c>
    </row>
    <row r="38" spans="4:44" ht="21.95" customHeight="1">
      <c r="F38" s="542">
        <f>+F27-F36</f>
        <v>0</v>
      </c>
      <c r="G38" s="542">
        <f>+G27-G36</f>
        <v>1.4551915228366852E-11</v>
      </c>
      <c r="I38" s="542">
        <f>+I27-I36</f>
        <v>0</v>
      </c>
      <c r="K38" s="542"/>
      <c r="L38" s="542"/>
      <c r="N38" s="86"/>
      <c r="R38" s="543" t="s">
        <v>190</v>
      </c>
      <c r="S38" s="362">
        <f>+IFERROR(HLOOKUP(S$36,[11]월별!$E$2:$S$67,42,),)</f>
        <v>920730.85338998202</v>
      </c>
      <c r="T38" s="362">
        <f>+IFERROR(HLOOKUP(T$36,[11]월별!$E$2:$S$67,42,),)</f>
        <v>886130.8859870329</v>
      </c>
      <c r="U38" s="362">
        <f>+IFERROR(HLOOKUP(U$36,[11]월별!$E$2:$S$67,42,),)</f>
        <v>873530.5235919673</v>
      </c>
      <c r="V38" s="362">
        <f>+IFERROR(HLOOKUP(V$36,[11]월별!$E$2:$S$67,42,),)</f>
        <v>853042.90795678552</v>
      </c>
      <c r="W38" s="362">
        <f>+IFERROR(HLOOKUP(W$36,[11]월별!$E$2:$S$67,42,),)</f>
        <v>811389.30758305453</v>
      </c>
      <c r="X38" s="362">
        <f>+IFERROR(HLOOKUP(X$36,[11]월별!$E$2:$S$67,42,),)</f>
        <v>785072.67759542307</v>
      </c>
      <c r="Y38" s="362">
        <f>+IFERROR(HLOOKUP(Y$36,[11]월별!$E$2:$S$67,42,),)</f>
        <v>751049.2097042331</v>
      </c>
      <c r="Z38" s="362">
        <f>+IFERROR(HLOOKUP(Z$36,[11]월별!$E$2:$S$67,42,),)</f>
        <v>846014.52770958561</v>
      </c>
      <c r="AA38" s="362">
        <f>+IFERROR(HLOOKUP(AA$36,[11]월별!$E$2:$S$67,42,),)</f>
        <v>879572.42936012533</v>
      </c>
      <c r="AB38" s="362">
        <f>+IFERROR(HLOOKUP(AB$36,[11]월별!$E$2:$S$67,42,),)</f>
        <v>818946.47731031897</v>
      </c>
      <c r="AC38" s="362">
        <f>+IFERROR(HLOOKUP(AC$36,[11]월별!$E$2:$S$67,42,),)</f>
        <v>798803.69146262086</v>
      </c>
      <c r="AD38" s="362">
        <f>+IFERROR(HLOOKUP(AD$36,[11]월별!$E$2:$S$67,42,),)</f>
        <v>920730.85338998202</v>
      </c>
      <c r="AE38" s="362">
        <f>+IFERROR(HLOOKUP(AE$36,[11]월별!$E$2:$S$67,42,),)</f>
        <v>920730.85338998202</v>
      </c>
      <c r="AF38" s="362">
        <f>+IFERROR(HLOOKUP(AF$36,[11]월별!$E$2:$S$67,42,),)</f>
        <v>886130.8859870329</v>
      </c>
      <c r="AG38" s="362">
        <f>+IFERROR(HLOOKUP(AG$36,[11]월별!$E$2:$S$67,42,),)</f>
        <v>873530.5235919673</v>
      </c>
      <c r="AH38" s="362">
        <f>+IFERROR(HLOOKUP(AH$36,[11]월별!$E$2:$S$67,42,),)</f>
        <v>853042.90795678552</v>
      </c>
      <c r="AI38" s="362">
        <f>+IFERROR(HLOOKUP(AI$36,[11]월별!$E$2:$S$67,42,),)</f>
        <v>811389.30758305453</v>
      </c>
      <c r="AJ38" s="362">
        <f>+IFERROR(HLOOKUP(AJ$36,[11]월별!$E$2:$S$67,42,),)</f>
        <v>785072.67759542307</v>
      </c>
      <c r="AK38" s="362">
        <f>+IFERROR(HLOOKUP(AK$36,[11]월별!$E$2:$S$67,42,),)</f>
        <v>751049.2097042331</v>
      </c>
      <c r="AL38" s="362">
        <f>+IFERROR(HLOOKUP(AL$36,[11]월별!$E$2:$S$67,42,),)</f>
        <v>846014.52770958561</v>
      </c>
      <c r="AM38" s="362">
        <f>+IFERROR(HLOOKUP(AM$36,[11]월별!$E$2:$S$67,42,),)</f>
        <v>879572.42936012533</v>
      </c>
      <c r="AN38" s="362">
        <f>+IFERROR(HLOOKUP(AN$36,[11]월별!$E$2:$S$67,42,),)</f>
        <v>818946.47731031897</v>
      </c>
      <c r="AO38" s="362">
        <f>+IFERROR(HLOOKUP(AO$36,[11]월별!$E$2:$S$67,42,),)</f>
        <v>798803.69146262086</v>
      </c>
      <c r="AP38" s="362">
        <f>+IFERROR(HLOOKUP(AP$36,[11]월별!$E$2:$S$67,42,),)</f>
        <v>752238.01942182856</v>
      </c>
      <c r="AQ38" s="362">
        <f>+IFERROR(HLOOKUP(AQ$36,[6]월별!$E$2:$S$67,42,),)</f>
        <v>756420.01123690419</v>
      </c>
      <c r="AR38" s="362">
        <f>+IFERROR(HLOOKUP(AR$36,[6]월별!$E$2:$S$67,42,),)</f>
        <v>744684.72993482568</v>
      </c>
    </row>
    <row r="39" spans="4:44" ht="21.95" customHeight="1">
      <c r="R39" s="544" t="s">
        <v>191</v>
      </c>
      <c r="S39" s="545">
        <f>+IFERROR(HLOOKUP(S$36,[11]월별!$E$2:$S$67,43,),)</f>
        <v>0</v>
      </c>
      <c r="T39" s="545">
        <f>+IFERROR(HLOOKUP(T$36,[11]월별!$E$2:$S$67,43,),)</f>
        <v>0</v>
      </c>
      <c r="U39" s="545">
        <f>+IFERROR(HLOOKUP(U$36,[11]월별!$E$2:$S$67,43,),)</f>
        <v>0</v>
      </c>
      <c r="V39" s="545">
        <f>+IFERROR(HLOOKUP(V$36,[11]월별!$E$2:$S$67,43,),)</f>
        <v>0</v>
      </c>
      <c r="W39" s="545">
        <f>+IFERROR(HLOOKUP(W$36,[11]월별!$E$2:$S$67,43,),)</f>
        <v>0</v>
      </c>
      <c r="X39" s="545">
        <f>+IFERROR(HLOOKUP(X$36,[11]월별!$E$2:$S$67,43,),)</f>
        <v>0</v>
      </c>
      <c r="Y39" s="545">
        <f>+IFERROR(HLOOKUP(Y$36,[11]월별!$E$2:$S$67,43,),)</f>
        <v>0</v>
      </c>
      <c r="Z39" s="545">
        <f>+IFERROR(HLOOKUP(Z$36,[11]월별!$E$2:$S$67,43,),)</f>
        <v>0</v>
      </c>
      <c r="AA39" s="545">
        <f>+IFERROR(HLOOKUP(AA$36,[11]월별!$E$2:$S$67,43,),)</f>
        <v>0</v>
      </c>
      <c r="AB39" s="545">
        <f>+IFERROR(HLOOKUP(AB$36,[11]월별!$E$2:$S$67,43,),)</f>
        <v>0</v>
      </c>
      <c r="AC39" s="545">
        <f>+IFERROR(HLOOKUP(AC$36,[11]월별!$E$2:$S$67,43,),)</f>
        <v>0</v>
      </c>
      <c r="AD39" s="545">
        <f>+IFERROR(HLOOKUP(AD$36,[11]월별!$E$2:$S$67,43,),)</f>
        <v>0</v>
      </c>
      <c r="AE39" s="545">
        <f>+IFERROR(HLOOKUP(AE$36,[11]월별!$E$2:$S$67,43,),)</f>
        <v>0</v>
      </c>
      <c r="AF39" s="545">
        <f>+IFERROR(HLOOKUP(AF$36,[11]월별!$E$2:$S$67,43,),)</f>
        <v>0</v>
      </c>
      <c r="AG39" s="545">
        <f>+IFERROR(HLOOKUP(AG$36,[11]월별!$E$2:$S$67,43,),)</f>
        <v>0</v>
      </c>
      <c r="AH39" s="545">
        <f>+IFERROR(HLOOKUP(AH$36,[11]월별!$E$2:$S$67,43,),)</f>
        <v>0</v>
      </c>
      <c r="AI39" s="545">
        <f>+IFERROR(HLOOKUP(AI$36,[11]월별!$E$2:$S$67,43,),)</f>
        <v>0</v>
      </c>
      <c r="AJ39" s="545">
        <f>+IFERROR(HLOOKUP(AJ$36,[11]월별!$E$2:$S$67,43,),)</f>
        <v>0</v>
      </c>
      <c r="AK39" s="545">
        <f>+IFERROR(HLOOKUP(AK$36,[11]월별!$E$2:$S$67,43,),)</f>
        <v>0</v>
      </c>
      <c r="AL39" s="545">
        <f>+IFERROR(HLOOKUP(AL$36,[11]월별!$E$2:$S$67,43,),)</f>
        <v>0</v>
      </c>
      <c r="AM39" s="545">
        <f>+IFERROR(HLOOKUP(AM$36,[11]월별!$E$2:$S$67,43,),)</f>
        <v>0</v>
      </c>
      <c r="AN39" s="545">
        <f>+IFERROR(HLOOKUP(AN$36,[11]월별!$E$2:$S$67,43,),)</f>
        <v>0</v>
      </c>
      <c r="AO39" s="545">
        <f>+IFERROR(HLOOKUP(AO$36,[11]월별!$E$2:$S$67,43,),)</f>
        <v>0</v>
      </c>
      <c r="AP39" s="545">
        <f>+IFERROR(HLOOKUP(AP$36,[11]월별!$E$2:$S$67,43,),)</f>
        <v>0</v>
      </c>
      <c r="AQ39" s="545">
        <f>+IFERROR(HLOOKUP(AQ$36,[6]월별!$E$2:$S$67,43,),)</f>
        <v>0</v>
      </c>
      <c r="AR39" s="545">
        <f>+IFERROR(HLOOKUP(AR$36,[6]월별!$E$2:$S$67,43,),)</f>
        <v>0</v>
      </c>
    </row>
    <row r="40" spans="4:44" ht="21.95" customHeight="1"/>
    <row r="41" spans="4:44" ht="21.95" customHeight="1"/>
    <row r="42" spans="4:44" ht="21.95" customHeight="1"/>
    <row r="43" spans="4:44" ht="21.95" customHeight="1"/>
    <row r="44" spans="4:44" ht="21.95" customHeight="1"/>
    <row r="45" spans="4:44" ht="21.95" customHeight="1"/>
    <row r="46" spans="4:44" ht="21.95" customHeight="1"/>
    <row r="47" spans="4:44" ht="21.95" customHeight="1"/>
    <row r="48" spans="4:44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47E0-05C7-4A89-AA8B-ED579709C73D}">
  <sheetPr>
    <tabColor theme="0" tint="-0.249977111117893"/>
    <pageSetUpPr fitToPage="1"/>
  </sheetPr>
  <dimension ref="A1:AY53"/>
  <sheetViews>
    <sheetView showGridLines="0" showZeros="0" tabSelected="1" zoomScale="70" zoomScaleNormal="70" zoomScaleSheetLayoutView="40" workbookViewId="0">
      <pane xSplit="6" ySplit="7" topLeftCell="AB14" activePane="bottomRight" state="frozen"/>
      <selection activeCell="L31" sqref="L31"/>
      <selection pane="topRight" activeCell="L31" sqref="L31"/>
      <selection pane="bottomLeft" activeCell="L31" sqref="L31"/>
      <selection pane="bottomRight" activeCell="AN18" sqref="AN18:AN19"/>
    </sheetView>
  </sheetViews>
  <sheetFormatPr defaultRowHeight="16.5"/>
  <cols>
    <col min="1" max="3" width="5.625" style="6" customWidth="1"/>
    <col min="4" max="4" width="3.125" style="6" customWidth="1"/>
    <col min="5" max="22" width="8.625" style="6" customWidth="1"/>
    <col min="23" max="23" width="10.625" style="6" bestFit="1" customWidth="1"/>
    <col min="24" max="28" width="8.625" style="6" customWidth="1"/>
    <col min="29" max="29" width="10.625" style="6" bestFit="1" customWidth="1"/>
    <col min="30" max="34" width="8.625" style="6" customWidth="1"/>
    <col min="35" max="35" width="11.5" style="6" bestFit="1" customWidth="1"/>
    <col min="36" max="40" width="8.625" style="6" customWidth="1"/>
    <col min="41" max="41" width="10.625" style="6" bestFit="1" customWidth="1"/>
    <col min="42" max="43" width="8.625" style="6" customWidth="1"/>
    <col min="44" max="44" width="10.625" style="6" bestFit="1" customWidth="1"/>
    <col min="45" max="46" width="8.625" style="6" customWidth="1"/>
    <col min="47" max="47" width="12.625" style="6" bestFit="1" customWidth="1"/>
    <col min="48" max="48" width="8.625" style="6" customWidth="1"/>
    <col min="49" max="49" width="9" style="6"/>
    <col min="50" max="51" width="14.25" style="6" customWidth="1"/>
    <col min="52" max="16384" width="9" style="6"/>
  </cols>
  <sheetData>
    <row r="1" spans="1:51" ht="22.5" customHeight="1">
      <c r="A1" s="546" t="s">
        <v>173</v>
      </c>
      <c r="AN1" s="6" t="s">
        <v>207</v>
      </c>
    </row>
    <row r="2" spans="1:51" ht="9.75" customHeight="1"/>
    <row r="3" spans="1:51" ht="9.9499999999999993" customHeight="1"/>
    <row r="4" spans="1:51" ht="31.5">
      <c r="D4" s="398" t="s">
        <v>225</v>
      </c>
      <c r="F4" s="398"/>
      <c r="I4" s="398"/>
    </row>
    <row r="5" spans="1:51" ht="21.95" customHeight="1" thickBot="1">
      <c r="J5" s="479"/>
      <c r="AK5" s="479"/>
      <c r="AT5" s="479"/>
      <c r="AV5" s="397" t="s">
        <v>192</v>
      </c>
    </row>
    <row r="6" spans="1:51" ht="24" customHeight="1" thickTop="1">
      <c r="D6" s="547" t="s">
        <v>12</v>
      </c>
      <c r="E6" s="757" t="s">
        <v>11</v>
      </c>
      <c r="F6" s="758"/>
      <c r="G6" s="548" t="s">
        <v>227</v>
      </c>
      <c r="H6" s="549"/>
      <c r="I6" s="549"/>
      <c r="J6" s="549" t="s">
        <v>228</v>
      </c>
      <c r="K6" s="549"/>
      <c r="L6" s="550"/>
      <c r="M6" s="549" t="s">
        <v>229</v>
      </c>
      <c r="N6" s="549"/>
      <c r="O6" s="550"/>
      <c r="P6" s="549" t="s">
        <v>230</v>
      </c>
      <c r="Q6" s="549"/>
      <c r="R6" s="550"/>
      <c r="S6" s="549" t="s">
        <v>231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1" ht="24" customHeight="1">
      <c r="D7" s="555"/>
      <c r="E7" s="759"/>
      <c r="F7" s="760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1" ht="28.5" customHeight="1">
      <c r="D8" s="493"/>
      <c r="E8" s="563" t="s">
        <v>89</v>
      </c>
      <c r="F8" s="564" t="s">
        <v>197</v>
      </c>
      <c r="G8" s="565">
        <f>+IFERROR(HLOOKUP($A$1,[13]물량!$G$5:$R$83,59,),)</f>
        <v>17637.466666666667</v>
      </c>
      <c r="H8" s="566">
        <f>+'[7]서부산크라샤(당월)'!$F$66</f>
        <v>4202</v>
      </c>
      <c r="I8" s="567">
        <f>H8-G8</f>
        <v>-13435.466666666667</v>
      </c>
      <c r="J8" s="568">
        <f>+IFERROR(HLOOKUP($A$1,[13]물량!$G$5:$R$83,62,),)</f>
        <v>8060.1935483870966</v>
      </c>
      <c r="K8" s="566">
        <f>+'[7]서부산크라샤(당월)'!$I$66</f>
        <v>2940</v>
      </c>
      <c r="L8" s="569">
        <f>K8-J8</f>
        <v>-5120.1935483870966</v>
      </c>
      <c r="M8" s="568">
        <f>+IFERROR(HLOOKUP($A$1,[13]물량!$G$5:$R$83,68,),)</f>
        <v>0</v>
      </c>
      <c r="N8" s="566">
        <f>+'[7]서부산크라샤(당월)'!$L$66</f>
        <v>0</v>
      </c>
      <c r="O8" s="569">
        <f>N8-M8</f>
        <v>0</v>
      </c>
      <c r="P8" s="568"/>
      <c r="Q8" s="566">
        <f>+'[7]서부산크라샤(당월)'!$O$66</f>
        <v>0</v>
      </c>
      <c r="R8" s="569">
        <f>Q8-P8</f>
        <v>0</v>
      </c>
      <c r="S8" s="568"/>
      <c r="T8" s="566">
        <f>+'[7]서부산크라샤(당월)'!$R$66</f>
        <v>0</v>
      </c>
      <c r="U8" s="569">
        <f>T8-S8</f>
        <v>0</v>
      </c>
      <c r="V8" s="570">
        <f>+G8+J8+M8+P8+S8</f>
        <v>25697.660215053766</v>
      </c>
      <c r="W8" s="566">
        <f>+H8+K8+N8+Q8+T8</f>
        <v>7142</v>
      </c>
      <c r="X8" s="571">
        <f>W8-V8</f>
        <v>-18555.660215053766</v>
      </c>
      <c r="Y8" s="565">
        <f>+IFERROR(HLOOKUP($A$1,[14]물량!$G$5:$R$109,59,),)</f>
        <v>4496.666666666667</v>
      </c>
      <c r="Z8" s="566">
        <f>+'[7]부산크라샤(당월)'!$F$66</f>
        <v>6952</v>
      </c>
      <c r="AA8" s="567">
        <f>Z8-Y8</f>
        <v>2455.333333333333</v>
      </c>
      <c r="AB8" s="568">
        <f>+IFERROR(HLOOKUP($A$1,[14]물량!$G$5:$R$109,62,),)</f>
        <v>7463.6801333333333</v>
      </c>
      <c r="AC8" s="566">
        <f>+'[7]부산크라샤(당월)'!$I$66</f>
        <v>7414</v>
      </c>
      <c r="AD8" s="569">
        <f>AC8-AB8</f>
        <v>-49.680133333333288</v>
      </c>
      <c r="AE8" s="568"/>
      <c r="AF8" s="566">
        <f>+'[7]부산크라샤(당월)'!$L$66</f>
        <v>0</v>
      </c>
      <c r="AG8" s="569">
        <f>AF8-AE8</f>
        <v>0</v>
      </c>
      <c r="AH8" s="570">
        <f>+Y8+AB8+AE8</f>
        <v>11960.346799999999</v>
      </c>
      <c r="AI8" s="566">
        <f>+Z8+AC8+AF8</f>
        <v>14366</v>
      </c>
      <c r="AJ8" s="571">
        <f>AI8-AH8</f>
        <v>2405.6532000000007</v>
      </c>
      <c r="AK8" s="569">
        <f>+IFERROR(HLOOKUP($A$1,[15]판매계획!$G$6:$R$92,7,),)</f>
        <v>4593.2091531880096</v>
      </c>
      <c r="AL8" s="566">
        <f>+'[16]부산모래장(손익)'!$E$38</f>
        <v>300</v>
      </c>
      <c r="AM8" s="698">
        <f>AL8-AK8</f>
        <v>-4293.2091531880096</v>
      </c>
      <c r="AN8" s="569">
        <f>+IFERROR(HLOOKUP($A$1,[15]판매계획!$G$6:$R$92,8,),)</f>
        <v>5120.9790209790208</v>
      </c>
      <c r="AO8" s="566">
        <f>SUM('[16]부산모래장(손익)'!$C$38:$D$38)</f>
        <v>9602</v>
      </c>
      <c r="AP8" s="569">
        <f>AO8-AN8</f>
        <v>4481.0209790209792</v>
      </c>
      <c r="AQ8" s="570">
        <f>AK8+AN8</f>
        <v>9714.1881741670295</v>
      </c>
      <c r="AR8" s="566">
        <f>AL8+AO8</f>
        <v>9902</v>
      </c>
      <c r="AS8" s="571">
        <f>AR8-AQ8</f>
        <v>187.8118258329705</v>
      </c>
      <c r="AT8" s="570">
        <f>+V8+AH8+AQ8</f>
        <v>47372.195189220794</v>
      </c>
      <c r="AU8" s="566">
        <f>+W8+AI8+AR8</f>
        <v>31410</v>
      </c>
      <c r="AV8" s="571">
        <f>AU8-AT8</f>
        <v>-15962.195189220794</v>
      </c>
    </row>
    <row r="9" spans="1:51" ht="28.5" customHeight="1">
      <c r="D9" s="493"/>
      <c r="E9" s="572"/>
      <c r="F9" s="573" t="s">
        <v>10</v>
      </c>
      <c r="G9" s="574">
        <f>+G8/G$12</f>
        <v>0.68795668838834834</v>
      </c>
      <c r="H9" s="575">
        <f>+H8/H$12</f>
        <v>0.74688944187699968</v>
      </c>
      <c r="I9" s="576">
        <f>+H9-G9</f>
        <v>5.8932753488651346E-2</v>
      </c>
      <c r="J9" s="577">
        <f>+J8/J$12</f>
        <v>0.53519853662507011</v>
      </c>
      <c r="K9" s="575">
        <f>+K8/K$12</f>
        <v>1</v>
      </c>
      <c r="L9" s="578">
        <f>+K9-J9</f>
        <v>0.46480146337492989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 t="e">
        <f>+Q8/Q$12</f>
        <v>#DIV/0!</v>
      </c>
      <c r="R9" s="578" t="e">
        <f>+Q9-P9</f>
        <v>#DIV/0!</v>
      </c>
      <c r="S9" s="577"/>
      <c r="T9" s="575">
        <f>+T8/T$12</f>
        <v>0</v>
      </c>
      <c r="U9" s="578">
        <f>+T9-S9</f>
        <v>0</v>
      </c>
      <c r="V9" s="579">
        <f>+V8/V$12</f>
        <v>0.56234083088981479</v>
      </c>
      <c r="W9" s="575">
        <f>+W8/W$12</f>
        <v>0.55150579150579149</v>
      </c>
      <c r="X9" s="580">
        <f>+W9-V9</f>
        <v>-1.0835039384023304E-2</v>
      </c>
      <c r="Y9" s="574">
        <f>+Y8/Y$12</f>
        <v>1</v>
      </c>
      <c r="Z9" s="575">
        <f>+Z8/Z$12</f>
        <v>0.84450923226433428</v>
      </c>
      <c r="AA9" s="576">
        <f>+Z9-Y9</f>
        <v>-0.15549076773566572</v>
      </c>
      <c r="AB9" s="577">
        <f>+AB8/AB$12</f>
        <v>1</v>
      </c>
      <c r="AC9" s="575">
        <f>+AC8/AC$12</f>
        <v>0.608602856673781</v>
      </c>
      <c r="AD9" s="578">
        <f>+AC9-AB9</f>
        <v>-0.391397143326219</v>
      </c>
      <c r="AE9" s="577" t="e">
        <f>+AE8/AE$12</f>
        <v>#DIV/0!</v>
      </c>
      <c r="AF9" s="575" t="e">
        <f>+AF8/AF$12</f>
        <v>#DIV/0!</v>
      </c>
      <c r="AG9" s="578" t="e">
        <f>+AF9-AE9</f>
        <v>#DIV/0!</v>
      </c>
      <c r="AH9" s="579">
        <f>+AH8/AH$12</f>
        <v>1</v>
      </c>
      <c r="AI9" s="575">
        <f>+AI8/AI$12</f>
        <v>0.70373273243852263</v>
      </c>
      <c r="AJ9" s="580">
        <f>+AI9-AH9</f>
        <v>-0.29626726756147737</v>
      </c>
      <c r="AK9" s="578">
        <f>+AK8/AK$12</f>
        <v>0.69665758304771186</v>
      </c>
      <c r="AL9" s="575">
        <f>+AL8/AL$12</f>
        <v>1</v>
      </c>
      <c r="AM9" s="699">
        <f>+AL9-AK9</f>
        <v>0.30334241695228814</v>
      </c>
      <c r="AN9" s="578">
        <f>+AN8/AN$12</f>
        <v>0.50597664616872795</v>
      </c>
      <c r="AO9" s="575">
        <f>+AO8/AO$12</f>
        <v>0.39558357022205742</v>
      </c>
      <c r="AP9" s="578">
        <f>+AO9-AN9</f>
        <v>-0.11039307594667053</v>
      </c>
      <c r="AQ9" s="579">
        <f>+AQ8/AQ$12</f>
        <v>0.58119413715713697</v>
      </c>
      <c r="AR9" s="575">
        <f>+AR8/AR$12</f>
        <v>0.40296260122899119</v>
      </c>
      <c r="AS9" s="580">
        <f>+AR9-AQ9</f>
        <v>-0.17823153592814578</v>
      </c>
      <c r="AT9" s="579">
        <f>+AT8/AT$12</f>
        <v>0.63696109908675558</v>
      </c>
      <c r="AU9" s="575">
        <f>+AU8/AU$12</f>
        <v>0.54214060099763539</v>
      </c>
      <c r="AV9" s="580">
        <f>+AU9-AT9</f>
        <v>-9.4820498089120187E-2</v>
      </c>
    </row>
    <row r="10" spans="1:51" ht="28.5" customHeight="1">
      <c r="D10" s="581"/>
      <c r="E10" s="572"/>
      <c r="F10" s="582" t="s">
        <v>198</v>
      </c>
      <c r="G10" s="583">
        <f>+IFERROR(HLOOKUP($A$1,[13]물량!$G$5:$R$83,60,),)</f>
        <v>8000</v>
      </c>
      <c r="H10" s="584">
        <f>+'[7]서부산크라샤(당월)'!$F$59</f>
        <v>1424</v>
      </c>
      <c r="I10" s="585">
        <f>H10-G10</f>
        <v>-6576</v>
      </c>
      <c r="J10" s="586">
        <f>+IFERROR(HLOOKUP($A$1,[13]물량!$G$5:$R$83,63,),)</f>
        <v>7000</v>
      </c>
      <c r="K10" s="584">
        <f>+'[7]서부산크라샤(당월)'!$I$59</f>
        <v>0</v>
      </c>
      <c r="L10" s="587">
        <f>K10-J10</f>
        <v>-7000</v>
      </c>
      <c r="M10" s="586">
        <f>+IFERROR(HLOOKUP($A$1,[13]물량!$G$5:$R$83,69,),)</f>
        <v>5000</v>
      </c>
      <c r="N10" s="584">
        <f>+'[7]서부산크라샤(당월)'!$L$59</f>
        <v>3664</v>
      </c>
      <c r="O10" s="587">
        <f>N10-M10</f>
        <v>-1336</v>
      </c>
      <c r="P10" s="586"/>
      <c r="Q10" s="584">
        <f>+'[7]서부산크라샤(당월)'!$O$59</f>
        <v>0</v>
      </c>
      <c r="R10" s="587">
        <f>Q10-P10</f>
        <v>0</v>
      </c>
      <c r="S10" s="586"/>
      <c r="T10" s="584">
        <f>+'[7]서부산크라샤(당월)'!$R$59</f>
        <v>720</v>
      </c>
      <c r="U10" s="587">
        <f>T10-S10</f>
        <v>720</v>
      </c>
      <c r="V10" s="588">
        <f>+G10+J10+M10+P10+S10</f>
        <v>20000</v>
      </c>
      <c r="W10" s="584">
        <f>+H10+K10+N10+Q10+T10</f>
        <v>5808</v>
      </c>
      <c r="X10" s="589">
        <f>W10-V10</f>
        <v>-14192</v>
      </c>
      <c r="Y10" s="583">
        <f>+IFERROR(HLOOKUP($A$1,[14]물량!$G$5:$R$109,60,),)</f>
        <v>0</v>
      </c>
      <c r="Z10" s="584">
        <f>+'[7]부산크라샤(당월)'!$F$59</f>
        <v>1280</v>
      </c>
      <c r="AA10" s="585">
        <f>Z10-Y10</f>
        <v>1280</v>
      </c>
      <c r="AB10" s="586">
        <f>+IFERROR(HLOOKUP($A$1,[14]물량!$G$5:$R$109,63,),)</f>
        <v>0</v>
      </c>
      <c r="AC10" s="584">
        <f>+'[7]부산크라샤(당월)'!$I$59</f>
        <v>4768</v>
      </c>
      <c r="AD10" s="587">
        <f>AC10-AB10</f>
        <v>4768</v>
      </c>
      <c r="AE10" s="586">
        <f>+IFERROR(HLOOKUP($A$1,[14]물량!$G$5:$R$109,66,),)</f>
        <v>0</v>
      </c>
      <c r="AF10" s="584">
        <f>+'[7]부산크라샤(당월)'!$L$59</f>
        <v>0</v>
      </c>
      <c r="AG10" s="587">
        <f>AF10-AE10</f>
        <v>0</v>
      </c>
      <c r="AH10" s="588">
        <f>+Y10+AB10+AE10</f>
        <v>0</v>
      </c>
      <c r="AI10" s="584">
        <f>+Z10+AC10+AF10</f>
        <v>6048</v>
      </c>
      <c r="AJ10" s="589">
        <f>AI10-AH10</f>
        <v>6048</v>
      </c>
      <c r="AK10" s="587">
        <f>+IFERROR(HLOOKUP($A$1,[15]판매계획!$G$6:$R$92,2,),)</f>
        <v>2000</v>
      </c>
      <c r="AL10" s="584">
        <f>+'[16]부산모래장(손익)'!$E$37</f>
        <v>0</v>
      </c>
      <c r="AM10" s="700">
        <f>AL10-AK10</f>
        <v>-2000</v>
      </c>
      <c r="AN10" s="587">
        <f>+IFERROR(HLOOKUP($A$1,[15]판매계획!$G$6:$R$92,3,),)</f>
        <v>5000</v>
      </c>
      <c r="AO10" s="584">
        <f>SUM('[16]부산모래장(손익)'!$C$37:$D$37)</f>
        <v>14671</v>
      </c>
      <c r="AP10" s="587">
        <f>AO10-AN10</f>
        <v>9671</v>
      </c>
      <c r="AQ10" s="588">
        <f>AK10+AN10</f>
        <v>7000</v>
      </c>
      <c r="AR10" s="584">
        <f>AL10+AO10</f>
        <v>14671</v>
      </c>
      <c r="AS10" s="589">
        <f>AR10-AQ10</f>
        <v>7671</v>
      </c>
      <c r="AT10" s="588">
        <f>+V10+AH10+AQ10</f>
        <v>27000</v>
      </c>
      <c r="AU10" s="584">
        <f>+W10+AI10+AR10</f>
        <v>26527</v>
      </c>
      <c r="AV10" s="589">
        <f>AU10-AT10</f>
        <v>-473</v>
      </c>
    </row>
    <row r="11" spans="1:51" ht="28.5" customHeight="1">
      <c r="D11" s="581"/>
      <c r="E11" s="590"/>
      <c r="F11" s="591" t="s">
        <v>10</v>
      </c>
      <c r="G11" s="592">
        <f>+G10/G$12</f>
        <v>0.31204331161165166</v>
      </c>
      <c r="H11" s="593">
        <f>+H10/H$12</f>
        <v>0.25311055812300037</v>
      </c>
      <c r="I11" s="594">
        <f>+H11-G11</f>
        <v>-5.893275348865129E-2</v>
      </c>
      <c r="J11" s="595">
        <f>+J10/J$12</f>
        <v>0.46480146337492984</v>
      </c>
      <c r="K11" s="593">
        <f>+K10/K$12</f>
        <v>0</v>
      </c>
      <c r="L11" s="596">
        <f>+K11-J11</f>
        <v>-0.46480146337492984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 t="e">
        <f>+Q10/Q$12</f>
        <v>#DIV/0!</v>
      </c>
      <c r="R11" s="596" t="e">
        <f>+Q11-P11</f>
        <v>#DIV/0!</v>
      </c>
      <c r="S11" s="595"/>
      <c r="T11" s="593">
        <f>+T10/T$12</f>
        <v>1</v>
      </c>
      <c r="U11" s="596">
        <f>+T11-S11</f>
        <v>1</v>
      </c>
      <c r="V11" s="597">
        <f>+V10/V$12</f>
        <v>0.43765916911018526</v>
      </c>
      <c r="W11" s="593">
        <f>+W10/W$12</f>
        <v>0.44849420849420851</v>
      </c>
      <c r="X11" s="598">
        <f>+W11-V11</f>
        <v>1.0835039384023248E-2</v>
      </c>
      <c r="Y11" s="592">
        <f>+Y10/Y$12</f>
        <v>0</v>
      </c>
      <c r="Z11" s="593">
        <f>+Z10/Z$12</f>
        <v>0.1554907677356657</v>
      </c>
      <c r="AA11" s="594">
        <f>+Z11-Y11</f>
        <v>0.1554907677356657</v>
      </c>
      <c r="AB11" s="595">
        <f>+AB10/AB$12</f>
        <v>0</v>
      </c>
      <c r="AC11" s="593">
        <f>+AC10/AC$12</f>
        <v>0.391397143326219</v>
      </c>
      <c r="AD11" s="596">
        <f>+AC11-AB11</f>
        <v>0.391397143326219</v>
      </c>
      <c r="AE11" s="595" t="e">
        <f>+AE10/AE$12</f>
        <v>#DIV/0!</v>
      </c>
      <c r="AF11" s="593" t="e">
        <f>+AF10/AF$12</f>
        <v>#DIV/0!</v>
      </c>
      <c r="AG11" s="596" t="e">
        <f>+AF11-AE11</f>
        <v>#DIV/0!</v>
      </c>
      <c r="AH11" s="597">
        <f>+AH10/AH$12</f>
        <v>0</v>
      </c>
      <c r="AI11" s="593">
        <f>+AI10/AI$12</f>
        <v>0.29626726756147742</v>
      </c>
      <c r="AJ11" s="598">
        <f>+AI11-AH11</f>
        <v>0.29626726756147742</v>
      </c>
      <c r="AK11" s="596">
        <f>+AK10/AK$12</f>
        <v>0.30334241695228814</v>
      </c>
      <c r="AL11" s="593">
        <f>+AL10/AL$12</f>
        <v>0</v>
      </c>
      <c r="AM11" s="701">
        <f>+AL11-AK11</f>
        <v>-0.30334241695228814</v>
      </c>
      <c r="AN11" s="596">
        <f>+AN10/AN$12</f>
        <v>0.49402335383127205</v>
      </c>
      <c r="AO11" s="593">
        <f>+AO10/AO$12</f>
        <v>0.60441642977794252</v>
      </c>
      <c r="AP11" s="596">
        <f>+AO11-AN11</f>
        <v>0.11039307594667047</v>
      </c>
      <c r="AQ11" s="597">
        <f>+AQ10/AQ$12</f>
        <v>0.41880586284286303</v>
      </c>
      <c r="AR11" s="593">
        <f>+AR10/AR$12</f>
        <v>0.59703739877100881</v>
      </c>
      <c r="AS11" s="598">
        <f>+AR11-AQ11</f>
        <v>0.17823153592814578</v>
      </c>
      <c r="AT11" s="597">
        <f>+AT10/AT$12</f>
        <v>0.36303890091324437</v>
      </c>
      <c r="AU11" s="593">
        <f>+AU10/AU$12</f>
        <v>0.45785939900236466</v>
      </c>
      <c r="AV11" s="598">
        <f>+AU11-AT11</f>
        <v>9.4820498089120298E-2</v>
      </c>
    </row>
    <row r="12" spans="1:51" ht="28.5" customHeight="1">
      <c r="D12" s="581"/>
      <c r="E12" s="599"/>
      <c r="F12" s="600" t="s">
        <v>166</v>
      </c>
      <c r="G12" s="601">
        <f>G8+G10</f>
        <v>25637.466666666667</v>
      </c>
      <c r="H12" s="602">
        <f>H8+H10</f>
        <v>5626</v>
      </c>
      <c r="I12" s="603">
        <f t="shared" ref="I12:I32" si="0">H12-G12</f>
        <v>-20011.466666666667</v>
      </c>
      <c r="J12" s="604">
        <f>J8+J10</f>
        <v>15060.193548387097</v>
      </c>
      <c r="K12" s="602">
        <f>K8+K10</f>
        <v>2940</v>
      </c>
      <c r="L12" s="605">
        <f t="shared" ref="L12:L32" si="1">K12-J12</f>
        <v>-12120.193548387097</v>
      </c>
      <c r="M12" s="604">
        <f>M8+M10</f>
        <v>5000</v>
      </c>
      <c r="N12" s="602">
        <f>N8+N10</f>
        <v>3664</v>
      </c>
      <c r="O12" s="605">
        <f t="shared" ref="O12:O32" si="2">N12-M12</f>
        <v>-1336</v>
      </c>
      <c r="P12" s="604"/>
      <c r="Q12" s="602">
        <f>Q8+Q10</f>
        <v>0</v>
      </c>
      <c r="R12" s="605">
        <f t="shared" ref="R12:R32" si="3">Q12-P12</f>
        <v>0</v>
      </c>
      <c r="S12" s="604"/>
      <c r="T12" s="602">
        <f>T8+T10</f>
        <v>720</v>
      </c>
      <c r="U12" s="605">
        <f t="shared" ref="U12:U32" si="4">T12-S12</f>
        <v>720</v>
      </c>
      <c r="V12" s="606">
        <f>V8+V10</f>
        <v>45697.660215053766</v>
      </c>
      <c r="W12" s="602">
        <f>W8+W10</f>
        <v>12950</v>
      </c>
      <c r="X12" s="607">
        <f t="shared" ref="X12:X32" si="5">W12-V12</f>
        <v>-32747.660215053766</v>
      </c>
      <c r="Y12" s="601">
        <f>Y8+Y10</f>
        <v>4496.666666666667</v>
      </c>
      <c r="Z12" s="602">
        <f>Z8+Z10</f>
        <v>8232</v>
      </c>
      <c r="AA12" s="603">
        <f t="shared" ref="AA12:AA32" si="6">Z12-Y12</f>
        <v>3735.333333333333</v>
      </c>
      <c r="AB12" s="604">
        <f>AB8+AB10</f>
        <v>7463.6801333333333</v>
      </c>
      <c r="AC12" s="602">
        <f>AC8+AC10</f>
        <v>12182</v>
      </c>
      <c r="AD12" s="605">
        <f t="shared" ref="AD12:AD32" si="7">AC12-AB12</f>
        <v>4718.3198666666667</v>
      </c>
      <c r="AE12" s="604">
        <f>AE8+AE10</f>
        <v>0</v>
      </c>
      <c r="AF12" s="602">
        <f>AF8+AF10</f>
        <v>0</v>
      </c>
      <c r="AG12" s="605">
        <f t="shared" ref="AG12:AG32" si="8">AF12-AE12</f>
        <v>0</v>
      </c>
      <c r="AH12" s="606">
        <f>AH8+AH10</f>
        <v>11960.346799999999</v>
      </c>
      <c r="AI12" s="602">
        <f>AI8+AI10</f>
        <v>20414</v>
      </c>
      <c r="AJ12" s="607">
        <f t="shared" ref="AJ12:AJ32" si="9">AI12-AH12</f>
        <v>8453.6532000000007</v>
      </c>
      <c r="AK12" s="605">
        <f>AK8+AK10</f>
        <v>6593.2091531880096</v>
      </c>
      <c r="AL12" s="602">
        <f>AL8+AL10</f>
        <v>300</v>
      </c>
      <c r="AM12" s="702">
        <f t="shared" ref="AM12:AM32" si="10">AL12-AK12</f>
        <v>-6293.2091531880096</v>
      </c>
      <c r="AN12" s="605">
        <f>AN8+AN10</f>
        <v>10120.979020979021</v>
      </c>
      <c r="AO12" s="602">
        <f>AO8+AO10</f>
        <v>24273</v>
      </c>
      <c r="AP12" s="605">
        <f t="shared" ref="AP12:AP32" si="11">AO12-AN12</f>
        <v>14152.020979020979</v>
      </c>
      <c r="AQ12" s="606">
        <f>AQ8+AQ10</f>
        <v>16714.18817416703</v>
      </c>
      <c r="AR12" s="602">
        <f>AR8+AR10</f>
        <v>24573</v>
      </c>
      <c r="AS12" s="607">
        <f t="shared" ref="AS12:AS32" si="12">AR12-AQ12</f>
        <v>7858.8118258329705</v>
      </c>
      <c r="AT12" s="606">
        <f>AT8+AT10</f>
        <v>74372.195189220802</v>
      </c>
      <c r="AU12" s="602">
        <f>AU8+AU10</f>
        <v>57937</v>
      </c>
      <c r="AV12" s="607">
        <f t="shared" ref="AV12:AV32" si="13">AU12-AT12</f>
        <v>-16435.195189220802</v>
      </c>
      <c r="AX12" s="6">
        <f>+'사업장별(당월)'!J32*1000</f>
        <v>74372.195189220787</v>
      </c>
      <c r="AY12" s="6">
        <f>+'사업장별(당월)'!K32*1000</f>
        <v>57937</v>
      </c>
    </row>
    <row r="13" spans="1:51" ht="28.5" customHeight="1">
      <c r="D13" s="581"/>
      <c r="E13" s="563" t="s">
        <v>124</v>
      </c>
      <c r="F13" s="564" t="s">
        <v>197</v>
      </c>
      <c r="G13" s="565">
        <f>+IFERROR(HLOOKUP($A$1,[13]매출!$G$5:$R$149,115,),)</f>
        <v>252885.33333333334</v>
      </c>
      <c r="H13" s="566">
        <f>+'[7]서부산크라샤(당월)'!$F$72</f>
        <v>63298</v>
      </c>
      <c r="I13" s="567">
        <f t="shared" si="0"/>
        <v>-189587.33333333334</v>
      </c>
      <c r="J13" s="568">
        <f>+IFERROR(HLOOKUP($A$1,[13]매출!$G$5:$R$149,118,),)</f>
        <v>169607.09677419355</v>
      </c>
      <c r="K13" s="566">
        <f>+'[7]서부산크라샤(당월)'!$I$72</f>
        <v>61704</v>
      </c>
      <c r="L13" s="569">
        <f t="shared" si="1"/>
        <v>-107903.09677419355</v>
      </c>
      <c r="M13" s="568">
        <f>+IFERROR(HLOOKUP($A$1,[13]매출!$G$5:$R$149,124,),)</f>
        <v>0</v>
      </c>
      <c r="N13" s="566">
        <f>+'[7]서부산크라샤(당월)'!$L$72</f>
        <v>0</v>
      </c>
      <c r="O13" s="569">
        <f t="shared" si="2"/>
        <v>0</v>
      </c>
      <c r="P13" s="568"/>
      <c r="Q13" s="566">
        <f>+'[7]서부산크라샤(당월)'!$O$72</f>
        <v>0</v>
      </c>
      <c r="R13" s="569">
        <f t="shared" si="3"/>
        <v>0</v>
      </c>
      <c r="S13" s="568"/>
      <c r="T13" s="566">
        <f>+'[7]서부산크라샤(당월)'!$R$72</f>
        <v>0</v>
      </c>
      <c r="U13" s="569">
        <f t="shared" si="4"/>
        <v>0</v>
      </c>
      <c r="V13" s="570">
        <f>+G13+J13+M13+P13+S13</f>
        <v>422492.43010752689</v>
      </c>
      <c r="W13" s="566">
        <f>+H13+K13+N13+Q13+T13</f>
        <v>125002</v>
      </c>
      <c r="X13" s="571">
        <f t="shared" si="5"/>
        <v>-297490.43010752689</v>
      </c>
      <c r="Y13" s="565">
        <f>+IFERROR(HLOOKUP($A$1,[14]매출!$G$5:$R$144,115,),)</f>
        <v>78691.666666666672</v>
      </c>
      <c r="Z13" s="566">
        <f>+'[7]부산크라샤(당월)'!$F$72</f>
        <v>117524</v>
      </c>
      <c r="AA13" s="567">
        <f t="shared" si="6"/>
        <v>38832.333333333328</v>
      </c>
      <c r="AB13" s="568">
        <f>+IFERROR(HLOOKUP($A$1,[14]매출!$G$5:$R$144,118,),)</f>
        <v>174696.5238</v>
      </c>
      <c r="AC13" s="566">
        <f>+'[7]부산크라샤(당월)'!$I$72</f>
        <v>163669</v>
      </c>
      <c r="AD13" s="569">
        <f t="shared" si="7"/>
        <v>-11027.523799999995</v>
      </c>
      <c r="AE13" s="568"/>
      <c r="AF13" s="566">
        <f>+'[7]부산크라샤(당월)'!$L$72</f>
        <v>0</v>
      </c>
      <c r="AG13" s="569">
        <f t="shared" si="8"/>
        <v>0</v>
      </c>
      <c r="AH13" s="570">
        <f>+Y13+AB13+AE13</f>
        <v>253388.19046666665</v>
      </c>
      <c r="AI13" s="566">
        <f>+Z13+AC13+AF13</f>
        <v>281193</v>
      </c>
      <c r="AJ13" s="571">
        <f t="shared" si="9"/>
        <v>27804.809533333348</v>
      </c>
      <c r="AK13" s="569">
        <f>+IFERROR(HLOOKUP($A$1,[15]판매계획!$G$6:$R$92,43,),)</f>
        <v>159302.77872204929</v>
      </c>
      <c r="AL13" s="566">
        <f>+'[16]부산모래장(손익)'!$E$41/1000</f>
        <v>11400</v>
      </c>
      <c r="AM13" s="698">
        <f t="shared" si="10"/>
        <v>-147902.77872204929</v>
      </c>
      <c r="AN13" s="711">
        <f>+IFERROR(HLOOKUP($A$1,[15]판매계획!$G$6:$R$92,44,),)</f>
        <v>310205.9255751961</v>
      </c>
      <c r="AO13" s="566">
        <f>SUM('[16]부산모래장(손익)'!$C$41:$D$41)/1000</f>
        <v>278608</v>
      </c>
      <c r="AP13" s="569">
        <f t="shared" si="11"/>
        <v>-31597.925575196103</v>
      </c>
      <c r="AQ13" s="570">
        <f>AK13+AN13</f>
        <v>469508.70429724536</v>
      </c>
      <c r="AR13" s="566">
        <f>AL13+AO13</f>
        <v>290008</v>
      </c>
      <c r="AS13" s="571">
        <f t="shared" si="12"/>
        <v>-179500.70429724536</v>
      </c>
      <c r="AT13" s="570">
        <f>+V13+AH13+AQ13</f>
        <v>1145389.324871439</v>
      </c>
      <c r="AU13" s="566">
        <f>+W13+AI13+AR13</f>
        <v>696203</v>
      </c>
      <c r="AV13" s="571">
        <f t="shared" si="13"/>
        <v>-449186.32487143902</v>
      </c>
      <c r="AX13" s="6" t="b">
        <f>+AX12=AT12</f>
        <v>1</v>
      </c>
      <c r="AY13" s="6" t="b">
        <f>+AY12=AU12</f>
        <v>1</v>
      </c>
    </row>
    <row r="14" spans="1:51" ht="28.5" customHeight="1">
      <c r="D14" s="581"/>
      <c r="E14" s="590"/>
      <c r="F14" s="608" t="s">
        <v>199</v>
      </c>
      <c r="G14" s="609">
        <f>+G13/G8*1000</f>
        <v>14337.962367989356</v>
      </c>
      <c r="H14" s="610">
        <f>+H13/H8*1000</f>
        <v>15063.779152784387</v>
      </c>
      <c r="I14" s="611">
        <f t="shared" si="0"/>
        <v>725.81678479503171</v>
      </c>
      <c r="J14" s="612">
        <f>+J13/J8*1000</f>
        <v>21042.558811522977</v>
      </c>
      <c r="K14" s="610">
        <f>+K13/K8*1000</f>
        <v>20987.755102040814</v>
      </c>
      <c r="L14" s="613">
        <f t="shared" si="1"/>
        <v>-54.803709482162958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16440.890982752957</v>
      </c>
      <c r="W14" s="610">
        <f>+W13/W8*1000</f>
        <v>17502.380285634277</v>
      </c>
      <c r="X14" s="615">
        <f t="shared" si="5"/>
        <v>1061.4893028813203</v>
      </c>
      <c r="Y14" s="609">
        <f>+Y13/Y8*1000</f>
        <v>17500</v>
      </c>
      <c r="Z14" s="610">
        <f>+Z13/Z8*1000</f>
        <v>16905.063291139239</v>
      </c>
      <c r="AA14" s="611">
        <f t="shared" si="6"/>
        <v>-594.93670886076143</v>
      </c>
      <c r="AB14" s="612">
        <f>+AB13/AB8*1000</f>
        <v>23406.21793527736</v>
      </c>
      <c r="AC14" s="610">
        <f>+AC13/AC8*1000</f>
        <v>22075.66765578635</v>
      </c>
      <c r="AD14" s="613">
        <f t="shared" si="7"/>
        <v>-1330.5502794910099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21185.689236591923</v>
      </c>
      <c r="AI14" s="610">
        <f>+AI13/AI8*1000</f>
        <v>19573.506891271056</v>
      </c>
      <c r="AJ14" s="615">
        <f t="shared" si="9"/>
        <v>-1612.1823453208672</v>
      </c>
      <c r="AK14" s="613">
        <f>+AK13/AK8*1000</f>
        <v>34682.239238220187</v>
      </c>
      <c r="AL14" s="610">
        <f>+AL13/AL8*1000</f>
        <v>38000</v>
      </c>
      <c r="AM14" s="703">
        <f t="shared" si="10"/>
        <v>3317.760761779813</v>
      </c>
      <c r="AN14" s="613">
        <f>+AN13/AN8*1000</f>
        <v>60575.51189028137</v>
      </c>
      <c r="AO14" s="610">
        <f>+AO13/AO8*1000</f>
        <v>29015.621745469693</v>
      </c>
      <c r="AP14" s="613">
        <f t="shared" si="11"/>
        <v>-31559.890144811678</v>
      </c>
      <c r="AQ14" s="614">
        <f>+AQ13/AQ8*1000</f>
        <v>48332.263682703953</v>
      </c>
      <c r="AR14" s="610">
        <f>+AR13/AR8*1000</f>
        <v>29287.820642294486</v>
      </c>
      <c r="AS14" s="615">
        <f t="shared" si="12"/>
        <v>-19044.443040409467</v>
      </c>
      <c r="AT14" s="614">
        <f>+AT13/AT8*1000</f>
        <v>24178.514850248361</v>
      </c>
      <c r="AU14" s="610">
        <f>+AU13/AU8*1000</f>
        <v>22165.011142948108</v>
      </c>
      <c r="AV14" s="615">
        <f t="shared" si="13"/>
        <v>-2013.5037073002532</v>
      </c>
    </row>
    <row r="15" spans="1:51" ht="28.5" customHeight="1">
      <c r="D15" s="581"/>
      <c r="E15" s="616"/>
      <c r="F15" s="617" t="s">
        <v>198</v>
      </c>
      <c r="G15" s="618">
        <f>+IFERROR(HLOOKUP($A$1,[13]매출!$G$5:$R$149,116,),)</f>
        <v>92000</v>
      </c>
      <c r="H15" s="619">
        <f>+'[7]서부산크라샤(당월)'!$F$71</f>
        <v>16376</v>
      </c>
      <c r="I15" s="620">
        <f t="shared" si="0"/>
        <v>-75624</v>
      </c>
      <c r="J15" s="621">
        <f>+IFERROR(HLOOKUP($A$1,[13]매출!$G$5:$R$149,119,),)</f>
        <v>105000</v>
      </c>
      <c r="K15" s="619">
        <f>+'[7]서부산크라샤(당월)'!$I$71</f>
        <v>0</v>
      </c>
      <c r="L15" s="622">
        <f t="shared" si="1"/>
        <v>-105000</v>
      </c>
      <c r="M15" s="621">
        <f>+IFERROR(HLOOKUP($A$1,[13]매출!$G$5:$R$149,125,),)</f>
        <v>45000</v>
      </c>
      <c r="N15" s="619">
        <f>+'[7]서부산크라샤(당월)'!$L$71</f>
        <v>31144</v>
      </c>
      <c r="O15" s="622">
        <f t="shared" si="2"/>
        <v>-13856</v>
      </c>
      <c r="P15" s="621"/>
      <c r="Q15" s="619">
        <f>+'[7]서부산크라샤(당월)'!$O$71</f>
        <v>0</v>
      </c>
      <c r="R15" s="622">
        <f t="shared" si="3"/>
        <v>0</v>
      </c>
      <c r="S15" s="621"/>
      <c r="T15" s="619">
        <f>+'[7]서부산크라샤(당월)'!$R$71</f>
        <v>6480</v>
      </c>
      <c r="U15" s="622">
        <f t="shared" si="4"/>
        <v>6480</v>
      </c>
      <c r="V15" s="623">
        <f>+G15+J15+M15+P15+S15</f>
        <v>242000</v>
      </c>
      <c r="W15" s="619">
        <f>+H15+K15+N15+Q15+T15</f>
        <v>54000</v>
      </c>
      <c r="X15" s="624">
        <f t="shared" si="5"/>
        <v>-188000</v>
      </c>
      <c r="Y15" s="618">
        <f>+IFERROR(HLOOKUP($A$1,[14]매출!$G$5:$R$144,116,),)</f>
        <v>0</v>
      </c>
      <c r="Z15" s="619">
        <f>+'[7]부산크라샤(당월)'!$F$71</f>
        <v>16640</v>
      </c>
      <c r="AA15" s="620">
        <f t="shared" si="6"/>
        <v>16640</v>
      </c>
      <c r="AB15" s="621">
        <f>+IFERROR(HLOOKUP($A$1,[14]매출!$G$5:$R$144,119,),)</f>
        <v>0</v>
      </c>
      <c r="AC15" s="619">
        <f>+'[7]부산크라샤(당월)'!$I$71</f>
        <v>85888</v>
      </c>
      <c r="AD15" s="622">
        <f t="shared" si="7"/>
        <v>85888</v>
      </c>
      <c r="AE15" s="621">
        <f>+IFERROR(HLOOKUP($A$1,[14]매출!$G$5:$R$144,122,),)</f>
        <v>0</v>
      </c>
      <c r="AF15" s="619">
        <f>+'[7]부산크라샤(당월)'!$L$71</f>
        <v>0</v>
      </c>
      <c r="AG15" s="622">
        <f t="shared" si="8"/>
        <v>0</v>
      </c>
      <c r="AH15" s="623">
        <f>+Y15+AB15+AE15</f>
        <v>0</v>
      </c>
      <c r="AI15" s="619">
        <f>+Z15+AC15+AF15</f>
        <v>102528</v>
      </c>
      <c r="AJ15" s="624">
        <f t="shared" si="9"/>
        <v>102528</v>
      </c>
      <c r="AK15" s="622">
        <f>+IFERROR(HLOOKUP($A$1,[15]판매계획!$G$6:$R$92,38,),)</f>
        <v>70000</v>
      </c>
      <c r="AL15" s="619">
        <f>+'[16]부산모래장(손익)'!$E$40/1000</f>
        <v>0</v>
      </c>
      <c r="AM15" s="704">
        <f t="shared" si="10"/>
        <v>-70000</v>
      </c>
      <c r="AN15" s="622">
        <f>+IFERROR(HLOOKUP($A$1,[15]판매계획!$G$6:$R$92,39,),)</f>
        <v>137500</v>
      </c>
      <c r="AO15" s="619">
        <f>SUM('[16]부산모래장(손익)'!$C$40:$D$40)/1000</f>
        <v>389852.5</v>
      </c>
      <c r="AP15" s="622">
        <f t="shared" si="11"/>
        <v>252352.5</v>
      </c>
      <c r="AQ15" s="623">
        <f>AK15+AN15</f>
        <v>207500</v>
      </c>
      <c r="AR15" s="619">
        <f>AL15+AO15</f>
        <v>389852.5</v>
      </c>
      <c r="AS15" s="624">
        <f t="shared" si="12"/>
        <v>182352.5</v>
      </c>
      <c r="AT15" s="623">
        <f>+V15+AH15+AQ15</f>
        <v>449500</v>
      </c>
      <c r="AU15" s="619">
        <f>+W15+AI15+AR15</f>
        <v>546380.5</v>
      </c>
      <c r="AV15" s="624">
        <f t="shared" si="13"/>
        <v>96880.5</v>
      </c>
    </row>
    <row r="16" spans="1:51" ht="28.5" customHeight="1">
      <c r="D16" s="479"/>
      <c r="E16" s="616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0</v>
      </c>
      <c r="R16" s="613">
        <f t="shared" si="3"/>
        <v>0</v>
      </c>
      <c r="S16" s="612"/>
      <c r="T16" s="610">
        <f>IFERROR(T15/T10,)*1000</f>
        <v>9000</v>
      </c>
      <c r="U16" s="613">
        <f t="shared" si="4"/>
        <v>9000</v>
      </c>
      <c r="V16" s="614">
        <f>IFERROR(V15/V10,)*1000</f>
        <v>12100</v>
      </c>
      <c r="W16" s="610">
        <f>IFERROR(W15/W10,)*1000</f>
        <v>9297.5206611570247</v>
      </c>
      <c r="X16" s="615">
        <f t="shared" si="5"/>
        <v>-2802.4793388429753</v>
      </c>
      <c r="Y16" s="609">
        <f>IFERROR(Y15/Y10,)*1000</f>
        <v>0</v>
      </c>
      <c r="Z16" s="610">
        <f>IFERROR(Z15/Z10,)*1000</f>
        <v>13000</v>
      </c>
      <c r="AA16" s="611">
        <f t="shared" si="6"/>
        <v>13000</v>
      </c>
      <c r="AB16" s="612">
        <f>IFERROR(AB15/AB10,)*1000</f>
        <v>0</v>
      </c>
      <c r="AC16" s="610">
        <f>IFERROR(AC15/AC10,)*1000</f>
        <v>18013.422818791943</v>
      </c>
      <c r="AD16" s="613">
        <f t="shared" si="7"/>
        <v>18013.422818791943</v>
      </c>
      <c r="AE16" s="612">
        <f>IFERROR(AE15/AE10,)*1000</f>
        <v>0</v>
      </c>
      <c r="AF16" s="610">
        <f>IFERROR(AF15/AF10,)*1000</f>
        <v>0</v>
      </c>
      <c r="AG16" s="613">
        <f t="shared" si="8"/>
        <v>0</v>
      </c>
      <c r="AH16" s="614">
        <f>IFERROR(AH15/AH10,)*1000</f>
        <v>0</v>
      </c>
      <c r="AI16" s="610">
        <f>IFERROR(AI15/AI10,)*1000</f>
        <v>16952.380952380954</v>
      </c>
      <c r="AJ16" s="615">
        <f t="shared" si="9"/>
        <v>16952.380952380954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26573.00115874855</v>
      </c>
      <c r="AP16" s="613">
        <f t="shared" si="11"/>
        <v>-926.99884125145036</v>
      </c>
      <c r="AQ16" s="614">
        <f>IFERROR(AQ15/AQ10,)*1000</f>
        <v>29642.857142857141</v>
      </c>
      <c r="AR16" s="610">
        <f>IFERROR(AR15/AR10,)*1000</f>
        <v>26573.00115874855</v>
      </c>
      <c r="AS16" s="615">
        <f t="shared" si="12"/>
        <v>-3069.8559841085917</v>
      </c>
      <c r="AT16" s="614">
        <f>IFERROR(AT15/AT10,)*1000</f>
        <v>16648.14814814815</v>
      </c>
      <c r="AU16" s="610">
        <f>IFERROR(AU15/AU10,)*1000</f>
        <v>20597.146303765974</v>
      </c>
      <c r="AV16" s="615">
        <f t="shared" si="13"/>
        <v>3948.9981556178245</v>
      </c>
    </row>
    <row r="17" spans="4:51" ht="28.5" customHeight="1">
      <c r="D17" s="479"/>
      <c r="E17" s="616"/>
      <c r="F17" s="625" t="s">
        <v>166</v>
      </c>
      <c r="G17" s="618">
        <f>G13+G15</f>
        <v>344885.33333333337</v>
      </c>
      <c r="H17" s="619">
        <f>H13+H15</f>
        <v>79674</v>
      </c>
      <c r="I17" s="620">
        <f t="shared" si="0"/>
        <v>-265211.33333333337</v>
      </c>
      <c r="J17" s="621">
        <f>J13+J15</f>
        <v>274607.09677419357</v>
      </c>
      <c r="K17" s="619">
        <f>K13+K15</f>
        <v>61704</v>
      </c>
      <c r="L17" s="622">
        <f t="shared" si="1"/>
        <v>-212903.09677419357</v>
      </c>
      <c r="M17" s="621">
        <f>M13+M15</f>
        <v>45000</v>
      </c>
      <c r="N17" s="619">
        <f>N13+N15</f>
        <v>31144</v>
      </c>
      <c r="O17" s="622">
        <f t="shared" si="2"/>
        <v>-13856</v>
      </c>
      <c r="P17" s="621"/>
      <c r="Q17" s="619">
        <f>Q13+Q15</f>
        <v>0</v>
      </c>
      <c r="R17" s="622">
        <f t="shared" si="3"/>
        <v>0</v>
      </c>
      <c r="S17" s="621"/>
      <c r="T17" s="619">
        <f>T13+T15</f>
        <v>6480</v>
      </c>
      <c r="U17" s="622">
        <f t="shared" si="4"/>
        <v>6480</v>
      </c>
      <c r="V17" s="623">
        <f>V13+V15</f>
        <v>664492.43010752695</v>
      </c>
      <c r="W17" s="619">
        <f>W13+W15</f>
        <v>179002</v>
      </c>
      <c r="X17" s="624">
        <f t="shared" si="5"/>
        <v>-485490.43010752695</v>
      </c>
      <c r="Y17" s="618">
        <f>Y13+Y15</f>
        <v>78691.666666666672</v>
      </c>
      <c r="Z17" s="619">
        <f>Z13+Z15</f>
        <v>134164</v>
      </c>
      <c r="AA17" s="620">
        <f t="shared" si="6"/>
        <v>55472.333333333328</v>
      </c>
      <c r="AB17" s="621">
        <f>AB13+AB15</f>
        <v>174696.5238</v>
      </c>
      <c r="AC17" s="619">
        <f>AC13+AC15</f>
        <v>249557</v>
      </c>
      <c r="AD17" s="622">
        <f t="shared" si="7"/>
        <v>74860.476200000005</v>
      </c>
      <c r="AE17" s="621">
        <f>AE13+AE15</f>
        <v>0</v>
      </c>
      <c r="AF17" s="619">
        <f>AF13+AF15</f>
        <v>0</v>
      </c>
      <c r="AG17" s="622">
        <f t="shared" si="8"/>
        <v>0</v>
      </c>
      <c r="AH17" s="623">
        <f>AH13+AH15</f>
        <v>253388.19046666665</v>
      </c>
      <c r="AI17" s="619">
        <f>AI13+AI15</f>
        <v>383721</v>
      </c>
      <c r="AJ17" s="624">
        <f t="shared" si="9"/>
        <v>130332.80953333335</v>
      </c>
      <c r="AK17" s="622">
        <f>AK13+AK15</f>
        <v>229302.77872204929</v>
      </c>
      <c r="AL17" s="619">
        <f>AL13+AL15</f>
        <v>11400</v>
      </c>
      <c r="AM17" s="704">
        <f t="shared" si="10"/>
        <v>-217902.77872204929</v>
      </c>
      <c r="AN17" s="622">
        <f>AN13+AN15</f>
        <v>447705.9255751961</v>
      </c>
      <c r="AO17" s="619">
        <f>AO13+AO15</f>
        <v>668460.5</v>
      </c>
      <c r="AP17" s="622">
        <f t="shared" si="11"/>
        <v>220754.5744248039</v>
      </c>
      <c r="AQ17" s="623">
        <f>AQ13+AQ15</f>
        <v>677008.70429724536</v>
      </c>
      <c r="AR17" s="619">
        <f>AR13+AR15</f>
        <v>679860.5</v>
      </c>
      <c r="AS17" s="624">
        <f t="shared" si="12"/>
        <v>2851.7957027546363</v>
      </c>
      <c r="AT17" s="623">
        <f>AT13+AT15</f>
        <v>1594889.324871439</v>
      </c>
      <c r="AU17" s="619">
        <f>AU13+AU15</f>
        <v>1242583.5</v>
      </c>
      <c r="AV17" s="624">
        <f t="shared" si="13"/>
        <v>-352305.82487143902</v>
      </c>
      <c r="AX17" s="6">
        <f>+'사업장별(당월)'!O32*1000</f>
        <v>1594889.324871439</v>
      </c>
      <c r="AY17" s="6">
        <f>+'사업장별(당월)'!P32*1000</f>
        <v>1242583.5</v>
      </c>
    </row>
    <row r="18" spans="4:51" ht="28.5" customHeight="1">
      <c r="D18" s="479"/>
      <c r="E18" s="626" t="s">
        <v>7</v>
      </c>
      <c r="F18" s="627" t="s">
        <v>200</v>
      </c>
      <c r="G18" s="628">
        <f>+IFERROR(HLOOKUP($A$1,[13]손익!$G$5:$R$132,115,),)</f>
        <v>37440.686177854819</v>
      </c>
      <c r="H18" s="629">
        <f>+'[7]서부산크라샤(당월)'!$F$87</f>
        <v>6684.5087684833979</v>
      </c>
      <c r="I18" s="630">
        <f t="shared" si="0"/>
        <v>-30756.177409371419</v>
      </c>
      <c r="J18" s="631">
        <f>+IFERROR(HLOOKUP($A$1,[13]손익!$G$5:$R$132,117,),)</f>
        <v>25111.009800988722</v>
      </c>
      <c r="K18" s="629">
        <f>+'[7]서부산크라샤(당월)'!$I$87</f>
        <v>21439.204327682266</v>
      </c>
      <c r="L18" s="632">
        <f t="shared" si="1"/>
        <v>-3671.8054733064564</v>
      </c>
      <c r="M18" s="631">
        <f>+IFERROR(HLOOKUP($A$1,[13]손익!$G$5:$R$132,119,),)</f>
        <v>0</v>
      </c>
      <c r="N18" s="629">
        <f>+'[7]서부산크라샤(당월)'!$L$87</f>
        <v>0</v>
      </c>
      <c r="O18" s="632">
        <f t="shared" si="2"/>
        <v>0</v>
      </c>
      <c r="P18" s="631"/>
      <c r="Q18" s="629">
        <f>+'[7]서부산크라샤(당월)'!$O$87</f>
        <v>0</v>
      </c>
      <c r="R18" s="632">
        <f t="shared" si="3"/>
        <v>0</v>
      </c>
      <c r="S18" s="631"/>
      <c r="T18" s="629">
        <f>+'[7]서부산크라샤(당월)'!$R$87</f>
        <v>0</v>
      </c>
      <c r="U18" s="632">
        <f t="shared" si="4"/>
        <v>0</v>
      </c>
      <c r="V18" s="633">
        <f>+G18+J18+M18+P18+S18</f>
        <v>62551.695978843542</v>
      </c>
      <c r="W18" s="629">
        <f>+H18+K18+N18+Q18+T18</f>
        <v>28123.713096165666</v>
      </c>
      <c r="X18" s="634">
        <f t="shared" si="5"/>
        <v>-34427.982882677876</v>
      </c>
      <c r="Y18" s="628">
        <f>+IFERROR(HLOOKUP($A$1,[14]손익!$G$5:$R$147,115,),)</f>
        <v>-9560.4901001611524</v>
      </c>
      <c r="Z18" s="629">
        <f>+'[7]부산크라샤(당월)'!$F$87</f>
        <v>-48998.171066246716</v>
      </c>
      <c r="AA18" s="630">
        <f t="shared" si="6"/>
        <v>-39437.680966085565</v>
      </c>
      <c r="AB18" s="631">
        <f>+IFERROR(HLOOKUP($A$1,[14]손익!$G$5:$R$147,117,),)</f>
        <v>-21224.412406935935</v>
      </c>
      <c r="AC18" s="629">
        <f>+'[7]부산크라샤(당월)'!$I$87</f>
        <v>-15129.768325717188</v>
      </c>
      <c r="AD18" s="632">
        <f t="shared" si="7"/>
        <v>6094.6440812187466</v>
      </c>
      <c r="AE18" s="631">
        <f>+IFERROR(HLOOKUP($A$1,[14]손익!$G$5:$R$147,119,),)</f>
        <v>0</v>
      </c>
      <c r="AF18" s="629">
        <f>+'[7]부산크라샤(당월)'!$L$87</f>
        <v>0</v>
      </c>
      <c r="AG18" s="632">
        <f t="shared" si="8"/>
        <v>0</v>
      </c>
      <c r="AH18" s="633">
        <f>+Y18+AB18+AE18</f>
        <v>-30784.902507097089</v>
      </c>
      <c r="AI18" s="629">
        <f>+Z18+AC18+AF18</f>
        <v>-64127.939391963904</v>
      </c>
      <c r="AJ18" s="634">
        <f t="shared" si="9"/>
        <v>-33343.036884866815</v>
      </c>
      <c r="AK18" s="632">
        <f>+IFERROR(HLOOKUP($A$1,[15]판매계획!$G$42:$S$72,25,),)</f>
        <v>69351.428574041769</v>
      </c>
      <c r="AL18" s="629">
        <f>+'[16]부산모래장(손익)'!$E$55/1000</f>
        <v>2441.453</v>
      </c>
      <c r="AM18" s="705">
        <f t="shared" si="10"/>
        <v>-66909.975574041775</v>
      </c>
      <c r="AN18" s="632">
        <f>+IFERROR(HLOOKUP($A$1,[15]판매계획!$G$42:$S$72,26,),)</f>
        <v>135046.13204713081</v>
      </c>
      <c r="AO18" s="629">
        <f>+'[16]부산모래장(손익)'!$C$55/1000</f>
        <v>14508.9</v>
      </c>
      <c r="AP18" s="632">
        <f t="shared" si="11"/>
        <v>-120537.23204713082</v>
      </c>
      <c r="AQ18" s="633">
        <f>AK18+AN18</f>
        <v>204397.5606211726</v>
      </c>
      <c r="AR18" s="629">
        <f>AL18+AO18</f>
        <v>16950.352999999999</v>
      </c>
      <c r="AS18" s="634">
        <f t="shared" si="12"/>
        <v>-187447.20762117259</v>
      </c>
      <c r="AT18" s="633">
        <f>+V18+AH18+AQ18</f>
        <v>236164.35409291903</v>
      </c>
      <c r="AU18" s="629">
        <f>+W18+AI18+AR18</f>
        <v>-19053.873295798239</v>
      </c>
      <c r="AV18" s="634">
        <f t="shared" si="13"/>
        <v>-255218.22738871726</v>
      </c>
      <c r="AX18" s="6" t="b">
        <f>+AX17=AT17</f>
        <v>1</v>
      </c>
      <c r="AY18" s="6" t="b">
        <f>+AY17=AU17</f>
        <v>1</v>
      </c>
    </row>
    <row r="19" spans="4:51" ht="28.5" customHeight="1">
      <c r="D19" s="479"/>
      <c r="E19" s="635"/>
      <c r="F19" s="636" t="s">
        <v>201</v>
      </c>
      <c r="G19" s="637">
        <f>+IFERROR(HLOOKUP($A$1,[13]손익!$G$5:$R$132,116,),)</f>
        <v>13620.968377087813</v>
      </c>
      <c r="H19" s="638">
        <f>+'[7]서부산크라샤(당월)'!$F$86</f>
        <v>-2618.9080616287865</v>
      </c>
      <c r="I19" s="639">
        <f t="shared" si="0"/>
        <v>-16239.876438716599</v>
      </c>
      <c r="J19" s="640">
        <f>+IFERROR(HLOOKUP($A$1,[13]손익!$G$5:$R$132,118,),)</f>
        <v>15545.67043037196</v>
      </c>
      <c r="K19" s="638">
        <f>+'[7]서부산크라샤(당월)'!$I$86</f>
        <v>0</v>
      </c>
      <c r="L19" s="641">
        <f t="shared" si="1"/>
        <v>-15545.67043037196</v>
      </c>
      <c r="M19" s="640">
        <f>+IFERROR(HLOOKUP($A$1,[13]손익!$G$5:$R$132,120,),)</f>
        <v>6662.4301844451256</v>
      </c>
      <c r="N19" s="638">
        <f>+'[7]서부산크라샤(당월)'!$L$86</f>
        <v>-19626.969224210156</v>
      </c>
      <c r="O19" s="641">
        <f t="shared" si="2"/>
        <v>-26289.399408655281</v>
      </c>
      <c r="P19" s="640"/>
      <c r="Q19" s="638">
        <f>+'[7]서부산크라샤(당월)'!$O$86</f>
        <v>0</v>
      </c>
      <c r="R19" s="641">
        <f t="shared" si="3"/>
        <v>0</v>
      </c>
      <c r="S19" s="640"/>
      <c r="T19" s="638">
        <f>+'[7]서부산크라샤(당월)'!$R$86</f>
        <v>-3056.553063603963</v>
      </c>
      <c r="U19" s="641">
        <f t="shared" si="4"/>
        <v>-3056.553063603963</v>
      </c>
      <c r="V19" s="642">
        <f>+G19+J19+M19+P19+S19</f>
        <v>35829.068991904896</v>
      </c>
      <c r="W19" s="638">
        <f>+H19+K19+N19+Q19+T19</f>
        <v>-25302.430349442904</v>
      </c>
      <c r="X19" s="643">
        <f t="shared" si="5"/>
        <v>-61131.499341347801</v>
      </c>
      <c r="Y19" s="637">
        <f>+IFERROR(HLOOKUP($A$1,[14]손익!$G$5:$R$147,116,),)</f>
        <v>0</v>
      </c>
      <c r="Z19" s="638">
        <f>+'[7]부산크라샤(당월)'!$F$86</f>
        <v>-13832.249614468474</v>
      </c>
      <c r="AA19" s="639">
        <f t="shared" si="6"/>
        <v>-13832.249614468474</v>
      </c>
      <c r="AB19" s="640">
        <f>+IFERROR(HLOOKUP($A$1,[14]손익!$G$5:$R$147,118,),)</f>
        <v>0</v>
      </c>
      <c r="AC19" s="638">
        <f>+'[7]부산크라샤(당월)'!$I$86</f>
        <v>-28371.328473567613</v>
      </c>
      <c r="AD19" s="641">
        <f t="shared" si="7"/>
        <v>-28371.328473567613</v>
      </c>
      <c r="AE19" s="640">
        <f>+IFERROR(HLOOKUP($A$1,[14]손익!$G$5:$R$147,120,),)</f>
        <v>0</v>
      </c>
      <c r="AF19" s="638">
        <f>+'[7]부산크라샤(당월)'!$L$86</f>
        <v>0</v>
      </c>
      <c r="AG19" s="641">
        <f t="shared" si="8"/>
        <v>0</v>
      </c>
      <c r="AH19" s="642">
        <f>+Y19+AB19+AE19</f>
        <v>0</v>
      </c>
      <c r="AI19" s="638">
        <f>+Z19+AC19+AF19</f>
        <v>-42203.578088036083</v>
      </c>
      <c r="AJ19" s="643">
        <f t="shared" si="9"/>
        <v>-42203.578088036083</v>
      </c>
      <c r="AK19" s="641">
        <f>+IFERROR(HLOOKUP($A$1,[15]판매계획!$G$42:$S$72,23,),)</f>
        <v>708.84064045393006</v>
      </c>
      <c r="AL19" s="638">
        <f>+'[16]부산모래장(손익)'!$E$54/1000</f>
        <v>0</v>
      </c>
      <c r="AM19" s="706">
        <f t="shared" si="10"/>
        <v>-708.84064045393006</v>
      </c>
      <c r="AN19" s="641">
        <f>+IFERROR(HLOOKUP($A$1,[15]판매계획!$G$42:$S$72,24,),)</f>
        <v>1392.3655437487912</v>
      </c>
      <c r="AO19" s="638">
        <f>+'[16]부산모래장(손익)'!$D$54/1000</f>
        <v>-11582.254000000001</v>
      </c>
      <c r="AP19" s="641">
        <f t="shared" si="11"/>
        <v>-12974.619543748791</v>
      </c>
      <c r="AQ19" s="642">
        <f>AK19+AN19</f>
        <v>2101.2061842027215</v>
      </c>
      <c r="AR19" s="638">
        <f>AL19+AO19</f>
        <v>-11582.254000000001</v>
      </c>
      <c r="AS19" s="643">
        <f t="shared" si="12"/>
        <v>-13683.460184202722</v>
      </c>
      <c r="AT19" s="642">
        <f>+V19+AH19+AQ19</f>
        <v>37930.275176107622</v>
      </c>
      <c r="AU19" s="638">
        <f>+W19+AI19+AR19</f>
        <v>-79088.262437478988</v>
      </c>
      <c r="AV19" s="643">
        <f t="shared" si="13"/>
        <v>-117018.53761358661</v>
      </c>
    </row>
    <row r="20" spans="4:51" ht="28.5" customHeight="1">
      <c r="D20" s="479"/>
      <c r="E20" s="644"/>
      <c r="F20" s="645" t="s">
        <v>165</v>
      </c>
      <c r="G20" s="646">
        <f>G18+G19</f>
        <v>51061.65455494263</v>
      </c>
      <c r="H20" s="647">
        <f>H18+H19</f>
        <v>4065.6007068546114</v>
      </c>
      <c r="I20" s="648">
        <f t="shared" si="0"/>
        <v>-46996.05384808802</v>
      </c>
      <c r="J20" s="649">
        <f>J18+J19</f>
        <v>40656.680231360682</v>
      </c>
      <c r="K20" s="647">
        <f>K18+K19</f>
        <v>21439.204327682266</v>
      </c>
      <c r="L20" s="650">
        <f t="shared" si="1"/>
        <v>-19217.475903678416</v>
      </c>
      <c r="M20" s="649">
        <f>M18+M19</f>
        <v>6662.4301844451256</v>
      </c>
      <c r="N20" s="647">
        <f>N18+N19</f>
        <v>-19626.969224210156</v>
      </c>
      <c r="O20" s="650">
        <f t="shared" si="2"/>
        <v>-26289.399408655281</v>
      </c>
      <c r="P20" s="649"/>
      <c r="Q20" s="647">
        <f>Q18+Q19</f>
        <v>0</v>
      </c>
      <c r="R20" s="650">
        <f t="shared" si="3"/>
        <v>0</v>
      </c>
      <c r="S20" s="649"/>
      <c r="T20" s="647">
        <f>T18+T19</f>
        <v>-3056.553063603963</v>
      </c>
      <c r="U20" s="650">
        <f t="shared" si="4"/>
        <v>-3056.553063603963</v>
      </c>
      <c r="V20" s="651">
        <f>V18+V19</f>
        <v>98380.764970748438</v>
      </c>
      <c r="W20" s="647">
        <f>W18+W19</f>
        <v>2821.2827467227617</v>
      </c>
      <c r="X20" s="652">
        <f t="shared" si="5"/>
        <v>-95559.482224025676</v>
      </c>
      <c r="Y20" s="646">
        <f>Y18+Y19</f>
        <v>-9560.4901001611524</v>
      </c>
      <c r="Z20" s="647">
        <f>Z18+Z19</f>
        <v>-62830.420680715193</v>
      </c>
      <c r="AA20" s="648">
        <f t="shared" si="6"/>
        <v>-53269.930580554043</v>
      </c>
      <c r="AB20" s="649">
        <f>AB18+AB19</f>
        <v>-21224.412406935935</v>
      </c>
      <c r="AC20" s="647">
        <f>AC18+AC19</f>
        <v>-43501.096799284802</v>
      </c>
      <c r="AD20" s="650">
        <f t="shared" si="7"/>
        <v>-22276.684392348867</v>
      </c>
      <c r="AE20" s="649">
        <f>AE18+AE19</f>
        <v>0</v>
      </c>
      <c r="AF20" s="647">
        <f>AF18+AF19</f>
        <v>0</v>
      </c>
      <c r="AG20" s="650">
        <f t="shared" si="8"/>
        <v>0</v>
      </c>
      <c r="AH20" s="651">
        <f>AH18+AH19</f>
        <v>-30784.902507097089</v>
      </c>
      <c r="AI20" s="647">
        <f>AI18+AI19</f>
        <v>-106331.51747999998</v>
      </c>
      <c r="AJ20" s="652">
        <f t="shared" si="9"/>
        <v>-75546.614972902898</v>
      </c>
      <c r="AK20" s="650">
        <f>AK18+AK19</f>
        <v>70060.269214495696</v>
      </c>
      <c r="AL20" s="647">
        <f>AL18+AL19</f>
        <v>2441.453</v>
      </c>
      <c r="AM20" s="707">
        <f t="shared" si="10"/>
        <v>-67618.816214495702</v>
      </c>
      <c r="AN20" s="650">
        <f>AN18+AN19</f>
        <v>136438.49759087962</v>
      </c>
      <c r="AO20" s="647">
        <f>AO18+AO19</f>
        <v>2926.6459999999988</v>
      </c>
      <c r="AP20" s="650">
        <f t="shared" si="11"/>
        <v>-133511.85159087961</v>
      </c>
      <c r="AQ20" s="651">
        <f>AQ18+AQ19</f>
        <v>206498.76680537532</v>
      </c>
      <c r="AR20" s="647">
        <f>AR18+AR19</f>
        <v>5368.0989999999983</v>
      </c>
      <c r="AS20" s="652">
        <f t="shared" si="12"/>
        <v>-201130.66780537533</v>
      </c>
      <c r="AT20" s="651">
        <f>AT18+AT19</f>
        <v>274094.62926902669</v>
      </c>
      <c r="AU20" s="647">
        <f>AU18+AU19</f>
        <v>-98142.135733277231</v>
      </c>
      <c r="AV20" s="652">
        <f t="shared" si="13"/>
        <v>-372236.76500230393</v>
      </c>
      <c r="AX20" s="6">
        <f>+'사업장별(당월)'!T32*1000</f>
        <v>274094.62926902674</v>
      </c>
      <c r="AY20" s="6">
        <f>'사업장별(당월)'!U32*1000</f>
        <v>-98142.135177879318</v>
      </c>
    </row>
    <row r="21" spans="4:51" ht="28.5" customHeight="1">
      <c r="D21" s="479"/>
      <c r="E21" s="653" t="s">
        <v>197</v>
      </c>
      <c r="F21" s="654" t="s">
        <v>21</v>
      </c>
      <c r="G21" s="655">
        <f>+IFERROR(HLOOKUP($A$1,[13]물량!$G$5:$R$83,2,),)</f>
        <v>5598.666666666667</v>
      </c>
      <c r="H21" s="629">
        <f>+'[7]서부산크라샤(당월)'!$F$60</f>
        <v>1808</v>
      </c>
      <c r="I21" s="630">
        <f t="shared" si="0"/>
        <v>-3790.666666666667</v>
      </c>
      <c r="J21" s="631">
        <f>+IFERROR(HLOOKUP($A$1,[13]물량!$G$5:$R$83,10,),)</f>
        <v>0</v>
      </c>
      <c r="K21" s="629">
        <f>+'[7]서부산크라샤(당월)'!$I$60</f>
        <v>496</v>
      </c>
      <c r="L21" s="632">
        <f t="shared" si="1"/>
        <v>496</v>
      </c>
      <c r="M21" s="631"/>
      <c r="N21" s="629">
        <f>+'[7]서부산크라샤(당월)'!$L$60</f>
        <v>0</v>
      </c>
      <c r="O21" s="632">
        <f t="shared" si="2"/>
        <v>0</v>
      </c>
      <c r="P21" s="631"/>
      <c r="Q21" s="629">
        <f>+'[7]서부산크라샤(당월)'!$O$60</f>
        <v>0</v>
      </c>
      <c r="R21" s="632">
        <f t="shared" si="3"/>
        <v>0</v>
      </c>
      <c r="S21" s="631"/>
      <c r="T21" s="629">
        <f>+'[7]서부산크라샤(당월)'!$R$60</f>
        <v>0</v>
      </c>
      <c r="U21" s="632">
        <f t="shared" si="4"/>
        <v>0</v>
      </c>
      <c r="V21" s="633">
        <f t="shared" ref="V21:V26" si="14">+G21+J21+M21+P21+S21</f>
        <v>5598.666666666667</v>
      </c>
      <c r="W21" s="629">
        <f t="shared" ref="W21:W26" si="15">+H21+K21+N21+Q21+T21</f>
        <v>2304</v>
      </c>
      <c r="X21" s="634">
        <f t="shared" si="5"/>
        <v>-3294.666666666667</v>
      </c>
      <c r="Y21" s="655">
        <f>+IFERROR(HLOOKUP($A$1,[14]물량!$G$5:$R$97,2,),)</f>
        <v>4496.666666666667</v>
      </c>
      <c r="Z21" s="629">
        <f>+'[7]부산크라샤(당월)'!$F$60</f>
        <v>6200</v>
      </c>
      <c r="AA21" s="630">
        <f t="shared" si="6"/>
        <v>1703.333333333333</v>
      </c>
      <c r="AB21" s="631">
        <f>+IFERROR(HLOOKUP($A$1,[14]물량!$G$5:$R$97,10,),)</f>
        <v>7336.4147999999996</v>
      </c>
      <c r="AC21" s="629">
        <f>+'[7]부산크라샤(당월)'!$I$60</f>
        <v>5494</v>
      </c>
      <c r="AD21" s="632">
        <f t="shared" si="7"/>
        <v>-1842.4147999999996</v>
      </c>
      <c r="AE21" s="631"/>
      <c r="AF21" s="629">
        <f>+'[7]부산크라샤(당월)'!$L$60</f>
        <v>0</v>
      </c>
      <c r="AG21" s="632">
        <f t="shared" si="8"/>
        <v>0</v>
      </c>
      <c r="AH21" s="633">
        <f t="shared" ref="AH21:AI32" si="16">+Y21+AB21+AE21</f>
        <v>11833.081466666667</v>
      </c>
      <c r="AI21" s="629">
        <f t="shared" si="16"/>
        <v>11694</v>
      </c>
      <c r="AJ21" s="634">
        <f t="shared" si="9"/>
        <v>-139.08146666666653</v>
      </c>
      <c r="AK21" s="632">
        <f>+IFERROR(HLOOKUP($A$1,[15]이송계획!$G$6:$R$318,2,),)</f>
        <v>239.16083916083917</v>
      </c>
      <c r="AL21" s="629">
        <f>+'[16]부산모래장(손익)'!$O$38</f>
        <v>300</v>
      </c>
      <c r="AM21" s="705">
        <f t="shared" si="10"/>
        <v>60.839160839160826</v>
      </c>
      <c r="AN21" s="632">
        <f>+IFERROR(HLOOKUP($A$1,[15]이송계획!$G$6:$R$318,9,),)</f>
        <v>3946.1538461538462</v>
      </c>
      <c r="AO21" s="629">
        <f>+'[16]부산모래장(손익)'!$N$38</f>
        <v>3234</v>
      </c>
      <c r="AP21" s="632">
        <f t="shared" si="11"/>
        <v>-712.15384615384619</v>
      </c>
      <c r="AQ21" s="633">
        <f t="shared" ref="AQ21:AR26" si="17">AK21+AN21</f>
        <v>4185.3146853146854</v>
      </c>
      <c r="AR21" s="629">
        <f t="shared" si="17"/>
        <v>3534</v>
      </c>
      <c r="AS21" s="634">
        <f t="shared" si="12"/>
        <v>-651.31468531468545</v>
      </c>
      <c r="AT21" s="633">
        <f t="shared" ref="AT21:AT26" si="18">+V21+AH21+AQ21</f>
        <v>21617.062818648021</v>
      </c>
      <c r="AU21" s="629">
        <f t="shared" ref="AU21:AU26" si="19">+W21+AI21+AR21</f>
        <v>17532</v>
      </c>
      <c r="AV21" s="634">
        <f t="shared" si="13"/>
        <v>-4085.0628186480208</v>
      </c>
      <c r="AX21" s="656" t="b">
        <f>+AX20=AT20</f>
        <v>1</v>
      </c>
      <c r="AY21" s="656" t="b">
        <f>+AY20=AU20</f>
        <v>0</v>
      </c>
    </row>
    <row r="22" spans="4:51" ht="28.5" customHeight="1">
      <c r="D22" s="479"/>
      <c r="E22" s="635" t="s">
        <v>0</v>
      </c>
      <c r="F22" s="657" t="s">
        <v>22</v>
      </c>
      <c r="G22" s="658">
        <f>+IFERROR(HLOOKUP($A$1,[13]물량!$G$5:$R$83,3,),)</f>
        <v>10419</v>
      </c>
      <c r="H22" s="659">
        <f>+'[7]서부산크라샤(당월)'!$F$61</f>
        <v>2394</v>
      </c>
      <c r="I22" s="660">
        <f t="shared" si="0"/>
        <v>-8025</v>
      </c>
      <c r="J22" s="661">
        <f>+IFERROR(HLOOKUP($A$1,[13]물량!$G$5:$R$83,11,),)</f>
        <v>6774</v>
      </c>
      <c r="K22" s="659">
        <f>+'[7]서부산크라샤(당월)'!$I$61</f>
        <v>2444</v>
      </c>
      <c r="L22" s="662">
        <f t="shared" si="1"/>
        <v>-4330</v>
      </c>
      <c r="M22" s="661"/>
      <c r="N22" s="659">
        <f>+'[7]서부산크라샤(당월)'!$L$61</f>
        <v>0</v>
      </c>
      <c r="O22" s="662">
        <f t="shared" si="2"/>
        <v>0</v>
      </c>
      <c r="P22" s="661"/>
      <c r="Q22" s="659">
        <f>+'[7]서부산크라샤(당월)'!$O$61</f>
        <v>0</v>
      </c>
      <c r="R22" s="662">
        <f t="shared" si="3"/>
        <v>0</v>
      </c>
      <c r="S22" s="661"/>
      <c r="T22" s="659">
        <f>+'[7]서부산크라샤(당월)'!$R$61</f>
        <v>0</v>
      </c>
      <c r="U22" s="662">
        <f t="shared" si="4"/>
        <v>0</v>
      </c>
      <c r="V22" s="663">
        <f t="shared" si="14"/>
        <v>17193</v>
      </c>
      <c r="W22" s="659">
        <f t="shared" si="15"/>
        <v>4838</v>
      </c>
      <c r="X22" s="664">
        <f t="shared" si="5"/>
        <v>-12355</v>
      </c>
      <c r="Y22" s="658">
        <f>+IFERROR(HLOOKUP($A$1,[14]물량!$G$5:$R$97,3,),)</f>
        <v>0</v>
      </c>
      <c r="Z22" s="659">
        <f>+'[7]부산크라샤(당월)'!$F$61</f>
        <v>752</v>
      </c>
      <c r="AA22" s="660">
        <f t="shared" si="6"/>
        <v>752</v>
      </c>
      <c r="AB22" s="661">
        <f>+IFERROR(HLOOKUP($A$1,[14]물량!$G$5:$R$97,11,),)</f>
        <v>0</v>
      </c>
      <c r="AC22" s="659">
        <f>+'[7]부산크라샤(당월)'!$I$61</f>
        <v>1056</v>
      </c>
      <c r="AD22" s="662">
        <f t="shared" si="7"/>
        <v>1056</v>
      </c>
      <c r="AE22" s="661"/>
      <c r="AF22" s="659">
        <f>+'[7]부산크라샤(당월)'!$L$61</f>
        <v>0</v>
      </c>
      <c r="AG22" s="662">
        <f t="shared" si="8"/>
        <v>0</v>
      </c>
      <c r="AH22" s="663">
        <f t="shared" si="16"/>
        <v>0</v>
      </c>
      <c r="AI22" s="659">
        <f t="shared" si="16"/>
        <v>1808</v>
      </c>
      <c r="AJ22" s="664">
        <f t="shared" si="9"/>
        <v>1808</v>
      </c>
      <c r="AK22" s="662">
        <f>+IFERROR(HLOOKUP($A$1,[15]이송계획!$G$6:$R$318,3,),)</f>
        <v>0</v>
      </c>
      <c r="AL22" s="659">
        <f>+'[16]부산모래장(손익)'!$O$39</f>
        <v>0</v>
      </c>
      <c r="AM22" s="708">
        <f t="shared" si="10"/>
        <v>0</v>
      </c>
      <c r="AN22" s="662">
        <f>+IFERROR(HLOOKUP($A$1,[15]이송계획!$G$6:$R$318,10,),)</f>
        <v>0</v>
      </c>
      <c r="AO22" s="659">
        <f>+'[16]부산모래장(손익)'!$N$39</f>
        <v>2576</v>
      </c>
      <c r="AP22" s="662">
        <f t="shared" si="11"/>
        <v>2576</v>
      </c>
      <c r="AQ22" s="663">
        <f t="shared" si="17"/>
        <v>0</v>
      </c>
      <c r="AR22" s="659">
        <f t="shared" si="17"/>
        <v>2576</v>
      </c>
      <c r="AS22" s="664">
        <f t="shared" si="12"/>
        <v>2576</v>
      </c>
      <c r="AT22" s="663">
        <f t="shared" si="18"/>
        <v>17193</v>
      </c>
      <c r="AU22" s="659">
        <f t="shared" si="19"/>
        <v>9222</v>
      </c>
      <c r="AV22" s="664">
        <f t="shared" si="13"/>
        <v>-7971</v>
      </c>
      <c r="AX22" s="86">
        <f>+AT20-AX20</f>
        <v>0</v>
      </c>
      <c r="AY22" s="86">
        <f>+AU20-AY20</f>
        <v>-5.5539791355840862E-4</v>
      </c>
    </row>
    <row r="23" spans="4:51" ht="28.5" customHeight="1">
      <c r="D23" s="479"/>
      <c r="E23" s="635"/>
      <c r="F23" s="657" t="s">
        <v>23</v>
      </c>
      <c r="G23" s="658">
        <f>+IFERROR(HLOOKUP($A$1,[13]물량!$G$5:$R$83,4,),)</f>
        <v>1232</v>
      </c>
      <c r="H23" s="659">
        <f>+'[7]서부산크라샤(당월)'!$F$62</f>
        <v>0</v>
      </c>
      <c r="I23" s="660">
        <f t="shared" si="0"/>
        <v>-1232</v>
      </c>
      <c r="J23" s="661">
        <f>+IFERROR(HLOOKUP($A$1,[13]물량!$G$5:$R$83,12,),)</f>
        <v>1064</v>
      </c>
      <c r="K23" s="659">
        <f>+'[7]서부산크라샤(당월)'!$I$62</f>
        <v>0</v>
      </c>
      <c r="L23" s="662">
        <f t="shared" si="1"/>
        <v>-1064</v>
      </c>
      <c r="M23" s="661"/>
      <c r="N23" s="659">
        <f>+'[7]서부산크라샤(당월)'!$L$62</f>
        <v>0</v>
      </c>
      <c r="O23" s="662">
        <f t="shared" si="2"/>
        <v>0</v>
      </c>
      <c r="P23" s="661"/>
      <c r="Q23" s="659">
        <f>+'[7]서부산크라샤(당월)'!$O$62</f>
        <v>0</v>
      </c>
      <c r="R23" s="662">
        <f t="shared" si="3"/>
        <v>0</v>
      </c>
      <c r="S23" s="661"/>
      <c r="T23" s="659">
        <f>+'[7]서부산크라샤(당월)'!$R$62</f>
        <v>0</v>
      </c>
      <c r="U23" s="662">
        <f t="shared" si="4"/>
        <v>0</v>
      </c>
      <c r="V23" s="663">
        <f t="shared" si="14"/>
        <v>2296</v>
      </c>
      <c r="W23" s="659">
        <f t="shared" si="15"/>
        <v>0</v>
      </c>
      <c r="X23" s="664">
        <f t="shared" si="5"/>
        <v>-2296</v>
      </c>
      <c r="Y23" s="658">
        <f>+IFERROR(HLOOKUP($A$1,[14]물량!$G$5:$R$97,4,),)</f>
        <v>0</v>
      </c>
      <c r="Z23" s="659">
        <f>+'[7]부산크라샤(당월)'!$F$62</f>
        <v>0</v>
      </c>
      <c r="AA23" s="660">
        <f t="shared" si="6"/>
        <v>0</v>
      </c>
      <c r="AB23" s="661">
        <f>+IFERROR(HLOOKUP($A$1,[14]물량!$G$5:$R$97,12,),)</f>
        <v>0</v>
      </c>
      <c r="AC23" s="659">
        <f>+'[7]부산크라샤(당월)'!$I$62</f>
        <v>0</v>
      </c>
      <c r="AD23" s="662">
        <f t="shared" si="7"/>
        <v>0</v>
      </c>
      <c r="AE23" s="661"/>
      <c r="AF23" s="659">
        <f>+'[7]부산크라샤(당월)'!$L$62</f>
        <v>0</v>
      </c>
      <c r="AG23" s="662">
        <f t="shared" si="8"/>
        <v>0</v>
      </c>
      <c r="AH23" s="663">
        <f t="shared" si="16"/>
        <v>0</v>
      </c>
      <c r="AI23" s="659">
        <f t="shared" si="16"/>
        <v>0</v>
      </c>
      <c r="AJ23" s="664">
        <f t="shared" si="9"/>
        <v>0</v>
      </c>
      <c r="AK23" s="662">
        <f>+IFERROR(HLOOKUP($A$1,[15]이송계획!$G$6:$R$318,4,),)</f>
        <v>0</v>
      </c>
      <c r="AL23" s="659">
        <f>+'[16]부산모래장(손익)'!$O$40</f>
        <v>0</v>
      </c>
      <c r="AM23" s="708">
        <f t="shared" si="10"/>
        <v>0</v>
      </c>
      <c r="AN23" s="662">
        <f>+IFERROR(HLOOKUP($A$1,[15]이송계획!$G$6:$R$318,11,),)</f>
        <v>1174.8251748251748</v>
      </c>
      <c r="AO23" s="659">
        <f>+'[16]부산모래장(손익)'!$N$40</f>
        <v>768</v>
      </c>
      <c r="AP23" s="662">
        <f t="shared" si="11"/>
        <v>-406.82517482517483</v>
      </c>
      <c r="AQ23" s="663">
        <f t="shared" si="17"/>
        <v>1174.8251748251748</v>
      </c>
      <c r="AR23" s="659">
        <f t="shared" si="17"/>
        <v>768</v>
      </c>
      <c r="AS23" s="664">
        <f t="shared" si="12"/>
        <v>-406.82517482517483</v>
      </c>
      <c r="AT23" s="663">
        <f t="shared" si="18"/>
        <v>3470.8251748251751</v>
      </c>
      <c r="AU23" s="659">
        <f t="shared" si="19"/>
        <v>768</v>
      </c>
      <c r="AV23" s="664">
        <f t="shared" si="13"/>
        <v>-2702.8251748251751</v>
      </c>
    </row>
    <row r="24" spans="4:51" ht="28.5" customHeight="1">
      <c r="D24" s="479"/>
      <c r="E24" s="635"/>
      <c r="F24" s="657" t="s">
        <v>24</v>
      </c>
      <c r="G24" s="658">
        <f>+IFERROR(HLOOKUP($A$1,[13]물량!$G$5:$R$83,5,),)</f>
        <v>0</v>
      </c>
      <c r="H24" s="659">
        <f>+'[7]서부산크라샤(당월)'!$F$63</f>
        <v>0</v>
      </c>
      <c r="I24" s="660">
        <f t="shared" si="0"/>
        <v>0</v>
      </c>
      <c r="J24" s="661">
        <f>+IFERROR(HLOOKUP($A$1,[13]물량!$G$5:$R$83,13,),)</f>
        <v>0</v>
      </c>
      <c r="K24" s="659">
        <f>+'[7]서부산크라샤(당월)'!$I$63</f>
        <v>0</v>
      </c>
      <c r="L24" s="662">
        <f t="shared" si="1"/>
        <v>0</v>
      </c>
      <c r="M24" s="661"/>
      <c r="N24" s="659">
        <f>+'[7]서부산크라샤(당월)'!$L$63</f>
        <v>0</v>
      </c>
      <c r="O24" s="662">
        <f t="shared" si="2"/>
        <v>0</v>
      </c>
      <c r="P24" s="661"/>
      <c r="Q24" s="659">
        <f>+'[7]서부산크라샤(당월)'!$O$63</f>
        <v>0</v>
      </c>
      <c r="R24" s="662">
        <f t="shared" si="3"/>
        <v>0</v>
      </c>
      <c r="S24" s="661"/>
      <c r="T24" s="659">
        <f>+'[7]서부산크라샤(당월)'!$R$63</f>
        <v>0</v>
      </c>
      <c r="U24" s="662">
        <f t="shared" si="4"/>
        <v>0</v>
      </c>
      <c r="V24" s="663">
        <f t="shared" si="14"/>
        <v>0</v>
      </c>
      <c r="W24" s="659">
        <f t="shared" si="15"/>
        <v>0</v>
      </c>
      <c r="X24" s="664">
        <f t="shared" si="5"/>
        <v>0</v>
      </c>
      <c r="Y24" s="658">
        <f>+IFERROR(HLOOKUP($A$1,[14]물량!$G$5:$R$97,5,),)</f>
        <v>0</v>
      </c>
      <c r="Z24" s="659">
        <f>+'[7]부산크라샤(당월)'!$F$63</f>
        <v>0</v>
      </c>
      <c r="AA24" s="660">
        <f t="shared" si="6"/>
        <v>0</v>
      </c>
      <c r="AB24" s="661">
        <f>+IFERROR(HLOOKUP($A$1,[14]물량!$G$5:$R$97,13,),)</f>
        <v>127.26533333333333</v>
      </c>
      <c r="AC24" s="659">
        <f>+'[7]부산크라샤(당월)'!$I$63</f>
        <v>864</v>
      </c>
      <c r="AD24" s="662">
        <f t="shared" si="7"/>
        <v>736.73466666666673</v>
      </c>
      <c r="AE24" s="661"/>
      <c r="AF24" s="659">
        <f>+'[7]부산크라샤(당월)'!$L$63</f>
        <v>0</v>
      </c>
      <c r="AG24" s="662">
        <f t="shared" si="8"/>
        <v>0</v>
      </c>
      <c r="AH24" s="663">
        <f t="shared" si="16"/>
        <v>127.26533333333333</v>
      </c>
      <c r="AI24" s="659">
        <f t="shared" si="16"/>
        <v>864</v>
      </c>
      <c r="AJ24" s="664">
        <f t="shared" si="9"/>
        <v>736.73466666666673</v>
      </c>
      <c r="AK24" s="662">
        <f>+IFERROR(HLOOKUP($A$1,[15]이송계획!$G$6:$R$318,5,),)</f>
        <v>4354.0483140271708</v>
      </c>
      <c r="AL24" s="659">
        <f>+'[16]부산모래장(손익)'!$O$41</f>
        <v>0</v>
      </c>
      <c r="AM24" s="708">
        <f t="shared" si="10"/>
        <v>-4354.0483140271708</v>
      </c>
      <c r="AN24" s="662">
        <f>+IFERROR(HLOOKUP($A$1,[15]이송계획!$G$6:$R$318,12,),)</f>
        <v>0</v>
      </c>
      <c r="AO24" s="659">
        <f>+'[16]부산모래장(손익)'!$N$41</f>
        <v>3024</v>
      </c>
      <c r="AP24" s="662">
        <f t="shared" si="11"/>
        <v>3024</v>
      </c>
      <c r="AQ24" s="663">
        <f t="shared" si="17"/>
        <v>4354.0483140271708</v>
      </c>
      <c r="AR24" s="659">
        <f t="shared" si="17"/>
        <v>3024</v>
      </c>
      <c r="AS24" s="664">
        <f t="shared" si="12"/>
        <v>-1330.0483140271708</v>
      </c>
      <c r="AT24" s="663">
        <f t="shared" si="18"/>
        <v>4481.3136473605045</v>
      </c>
      <c r="AU24" s="659">
        <f t="shared" si="19"/>
        <v>3888</v>
      </c>
      <c r="AV24" s="664">
        <f t="shared" si="13"/>
        <v>-593.31364736050455</v>
      </c>
    </row>
    <row r="25" spans="4:51" ht="28.5" customHeight="1">
      <c r="D25" s="479"/>
      <c r="E25" s="635"/>
      <c r="F25" s="657" t="s">
        <v>25</v>
      </c>
      <c r="G25" s="658">
        <f>+IFERROR(HLOOKUP($A$1,[13]물량!$G$5:$R$83,6,),)</f>
        <v>0</v>
      </c>
      <c r="H25" s="659">
        <f>+'[7]서부산크라샤(당월)'!$F$64</f>
        <v>0</v>
      </c>
      <c r="I25" s="660">
        <f t="shared" si="0"/>
        <v>0</v>
      </c>
      <c r="J25" s="661">
        <f>+IFERROR(HLOOKUP($A$1,[13]물량!$G$5:$R$83,14,),)</f>
        <v>0</v>
      </c>
      <c r="K25" s="659">
        <f>+'[7]서부산크라샤(당월)'!$I$64</f>
        <v>0</v>
      </c>
      <c r="L25" s="662">
        <f t="shared" si="1"/>
        <v>0</v>
      </c>
      <c r="M25" s="661"/>
      <c r="N25" s="659">
        <f>+'[7]서부산크라샤(당월)'!$L$64</f>
        <v>0</v>
      </c>
      <c r="O25" s="662">
        <f t="shared" si="2"/>
        <v>0</v>
      </c>
      <c r="P25" s="661"/>
      <c r="Q25" s="659">
        <f>+'[7]서부산크라샤(당월)'!$O$64</f>
        <v>0</v>
      </c>
      <c r="R25" s="662">
        <f t="shared" si="3"/>
        <v>0</v>
      </c>
      <c r="S25" s="661"/>
      <c r="T25" s="659">
        <f>+'[7]서부산크라샤(당월)'!$R$64</f>
        <v>0</v>
      </c>
      <c r="U25" s="662">
        <f t="shared" si="4"/>
        <v>0</v>
      </c>
      <c r="V25" s="663">
        <f t="shared" si="14"/>
        <v>0</v>
      </c>
      <c r="W25" s="659">
        <f t="shared" si="15"/>
        <v>0</v>
      </c>
      <c r="X25" s="664">
        <f t="shared" si="5"/>
        <v>0</v>
      </c>
      <c r="Y25" s="658">
        <f>+IFERROR(HLOOKUP($A$1,[14]물량!$G$5:$R$97,6,),)</f>
        <v>0</v>
      </c>
      <c r="Z25" s="659">
        <f>+'[7]부산크라샤(당월)'!$F$64</f>
        <v>0</v>
      </c>
      <c r="AA25" s="660">
        <f t="shared" si="6"/>
        <v>0</v>
      </c>
      <c r="AB25" s="661">
        <f>+IFERROR(HLOOKUP($A$1,[14]물량!$G$5:$R$97,14,),)</f>
        <v>0</v>
      </c>
      <c r="AC25" s="659">
        <f>+'[7]부산크라샤(당월)'!$I$64</f>
        <v>0</v>
      </c>
      <c r="AD25" s="662">
        <f t="shared" si="7"/>
        <v>0</v>
      </c>
      <c r="AE25" s="661"/>
      <c r="AF25" s="659">
        <f>+'[7]부산크라샤(당월)'!$L$64</f>
        <v>0</v>
      </c>
      <c r="AG25" s="662">
        <f t="shared" si="8"/>
        <v>0</v>
      </c>
      <c r="AH25" s="663">
        <f t="shared" si="16"/>
        <v>0</v>
      </c>
      <c r="AI25" s="659">
        <f t="shared" si="16"/>
        <v>0</v>
      </c>
      <c r="AJ25" s="664">
        <f t="shared" si="9"/>
        <v>0</v>
      </c>
      <c r="AK25" s="662">
        <f>+IFERROR(HLOOKUP($A$1,[15]이송계획!$G$6:$R$318,6,),)</f>
        <v>0</v>
      </c>
      <c r="AL25" s="659">
        <f>+'[16]부산모래장(손익)'!$O$42</f>
        <v>0</v>
      </c>
      <c r="AM25" s="708">
        <f t="shared" si="10"/>
        <v>0</v>
      </c>
      <c r="AN25" s="662">
        <f>+IFERROR(HLOOKUP($A$1,[15]이송계획!$G$6:$R$318,13,),)</f>
        <v>0</v>
      </c>
      <c r="AO25" s="659">
        <f>+'[16]부산모래장(손익)'!$N$42</f>
        <v>0</v>
      </c>
      <c r="AP25" s="662">
        <f t="shared" si="11"/>
        <v>0</v>
      </c>
      <c r="AQ25" s="663">
        <f t="shared" si="17"/>
        <v>0</v>
      </c>
      <c r="AR25" s="659">
        <f t="shared" si="17"/>
        <v>0</v>
      </c>
      <c r="AS25" s="664">
        <f t="shared" si="12"/>
        <v>0</v>
      </c>
      <c r="AT25" s="663">
        <f t="shared" si="18"/>
        <v>0</v>
      </c>
      <c r="AU25" s="659">
        <f t="shared" si="19"/>
        <v>0</v>
      </c>
      <c r="AV25" s="664">
        <f t="shared" si="13"/>
        <v>0</v>
      </c>
    </row>
    <row r="26" spans="4:51" ht="28.5" customHeight="1">
      <c r="D26" s="479"/>
      <c r="E26" s="635"/>
      <c r="F26" s="657" t="s">
        <v>26</v>
      </c>
      <c r="G26" s="658">
        <f>+IFERROR(HLOOKUP($A$1,[13]물량!$G$5:$R$83,7,),)</f>
        <v>387.8</v>
      </c>
      <c r="H26" s="659">
        <f>+'[7]서부산크라샤(당월)'!$F$65</f>
        <v>0</v>
      </c>
      <c r="I26" s="660">
        <f t="shared" si="0"/>
        <v>-387.8</v>
      </c>
      <c r="J26" s="661">
        <f>+IFERROR(HLOOKUP($A$1,[13]물량!$G$5:$R$83,15,),)</f>
        <v>222.19354838709677</v>
      </c>
      <c r="K26" s="659">
        <f>+'[7]서부산크라샤(당월)'!$I$65</f>
        <v>0</v>
      </c>
      <c r="L26" s="662">
        <f t="shared" si="1"/>
        <v>-222.19354838709677</v>
      </c>
      <c r="M26" s="661"/>
      <c r="N26" s="659">
        <f>+'[7]서부산크라샤(당월)'!$L$65</f>
        <v>0</v>
      </c>
      <c r="O26" s="662">
        <f t="shared" si="2"/>
        <v>0</v>
      </c>
      <c r="P26" s="661"/>
      <c r="Q26" s="659">
        <f>+'[7]서부산크라샤(당월)'!$O$65</f>
        <v>0</v>
      </c>
      <c r="R26" s="662">
        <f t="shared" si="3"/>
        <v>0</v>
      </c>
      <c r="S26" s="661"/>
      <c r="T26" s="659">
        <f>+'[7]서부산크라샤(당월)'!$R$65</f>
        <v>0</v>
      </c>
      <c r="U26" s="662">
        <f t="shared" si="4"/>
        <v>0</v>
      </c>
      <c r="V26" s="663">
        <f t="shared" si="14"/>
        <v>609.99354838709678</v>
      </c>
      <c r="W26" s="638">
        <f t="shared" si="15"/>
        <v>0</v>
      </c>
      <c r="X26" s="665">
        <f t="shared" si="5"/>
        <v>-609.99354838709678</v>
      </c>
      <c r="Y26" s="658">
        <f>+IFERROR(HLOOKUP($A$1,[14]물량!$G$5:$R$97,7,),)</f>
        <v>0</v>
      </c>
      <c r="Z26" s="659">
        <f>+'[7]부산크라샤(당월)'!$F$65</f>
        <v>0</v>
      </c>
      <c r="AA26" s="660">
        <f t="shared" si="6"/>
        <v>0</v>
      </c>
      <c r="AB26" s="661">
        <f>+IFERROR(HLOOKUP($A$1,[14]물량!$G$5:$R$97,15,),)</f>
        <v>0</v>
      </c>
      <c r="AC26" s="659">
        <f>+'[7]부산크라샤(당월)'!$I$65</f>
        <v>0</v>
      </c>
      <c r="AD26" s="662">
        <f t="shared" si="7"/>
        <v>0</v>
      </c>
      <c r="AE26" s="661"/>
      <c r="AF26" s="659">
        <f>+'[7]부산크라샤(당월)'!$L$65</f>
        <v>0</v>
      </c>
      <c r="AG26" s="662">
        <f t="shared" si="8"/>
        <v>0</v>
      </c>
      <c r="AH26" s="663">
        <f t="shared" si="16"/>
        <v>0</v>
      </c>
      <c r="AI26" s="638">
        <f t="shared" si="16"/>
        <v>0</v>
      </c>
      <c r="AJ26" s="665">
        <f t="shared" si="9"/>
        <v>0</v>
      </c>
      <c r="AK26" s="662">
        <f>+IFERROR(HLOOKUP($A$1,[15]이송계획!$G$6:$R$318,7,),)</f>
        <v>0</v>
      </c>
      <c r="AL26" s="659">
        <f>+'[16]부산모래장(손익)'!$O$43</f>
        <v>0</v>
      </c>
      <c r="AM26" s="708">
        <f t="shared" si="10"/>
        <v>0</v>
      </c>
      <c r="AN26" s="662">
        <f>+IFERROR(HLOOKUP($A$1,[15]이송계획!$G$6:$R$318,14,),)</f>
        <v>0</v>
      </c>
      <c r="AO26" s="659">
        <f>+'[16]부산모래장(손익)'!$N$43</f>
        <v>0</v>
      </c>
      <c r="AP26" s="662">
        <f t="shared" si="11"/>
        <v>0</v>
      </c>
      <c r="AQ26" s="663">
        <f t="shared" si="17"/>
        <v>0</v>
      </c>
      <c r="AR26" s="638">
        <f t="shared" si="17"/>
        <v>0</v>
      </c>
      <c r="AS26" s="665">
        <f t="shared" si="12"/>
        <v>0</v>
      </c>
      <c r="AT26" s="663">
        <f t="shared" si="18"/>
        <v>609.99354838709678</v>
      </c>
      <c r="AU26" s="638">
        <f t="shared" si="19"/>
        <v>0</v>
      </c>
      <c r="AV26" s="664">
        <f t="shared" si="13"/>
        <v>-609.99354838709678</v>
      </c>
    </row>
    <row r="27" spans="4:51" ht="28.5" customHeight="1">
      <c r="D27" s="479"/>
      <c r="E27" s="666" t="s">
        <v>197</v>
      </c>
      <c r="F27" s="617" t="s">
        <v>21</v>
      </c>
      <c r="G27" s="169">
        <f>+IFERROR(HLOOKUP($A$1,[13]매출!$G$5:$R$170,2,),)</f>
        <v>12500</v>
      </c>
      <c r="H27" s="667">
        <f t="shared" ref="H27:H32" si="20">IFERROR(H35/H21,)*1000</f>
        <v>12500</v>
      </c>
      <c r="I27" s="668">
        <f t="shared" si="0"/>
        <v>0</v>
      </c>
      <c r="J27" s="669">
        <f>+IFERROR(HLOOKUP($A$1,[13]매출!$G$5:$R$170,10,),)</f>
        <v>18500</v>
      </c>
      <c r="K27" s="667">
        <f t="shared" ref="K27:K32" si="21">IFERROR(K35/K21,)*1000</f>
        <v>16000</v>
      </c>
      <c r="L27" s="170">
        <f t="shared" si="1"/>
        <v>-2500</v>
      </c>
      <c r="M27" s="669"/>
      <c r="N27" s="667">
        <f t="shared" ref="N27:N32" si="22">IFERROR(N35/N21,)*1000</f>
        <v>0</v>
      </c>
      <c r="O27" s="170">
        <f t="shared" si="2"/>
        <v>0</v>
      </c>
      <c r="P27" s="669"/>
      <c r="Q27" s="667">
        <f t="shared" ref="Q27:Q32" si="23">IFERROR(Q35/Q21,)*1000</f>
        <v>0</v>
      </c>
      <c r="R27" s="170">
        <f t="shared" si="3"/>
        <v>0</v>
      </c>
      <c r="S27" s="669"/>
      <c r="T27" s="667">
        <f t="shared" ref="T27:T32" si="24">IFERROR(T35/T21,)*1000</f>
        <v>0</v>
      </c>
      <c r="U27" s="170">
        <f t="shared" si="4"/>
        <v>0</v>
      </c>
      <c r="V27" s="670">
        <f ca="1">+IFERROR(HLOOKUP($A$1,[13]매출!$G$5:$R$170,50,),)</f>
        <v>12500.000000000002</v>
      </c>
      <c r="W27" s="671">
        <f t="shared" ref="W27:W32" si="25">IFERROR(W35/W21,)*1000</f>
        <v>13253.472222222221</v>
      </c>
      <c r="X27" s="672">
        <f t="shared" ca="1" si="5"/>
        <v>753.47222222221899</v>
      </c>
      <c r="Y27" s="169">
        <f>+IFERROR(HLOOKUP($A$1,[14]매출!$G$5:$R$164,2,),)</f>
        <v>17500</v>
      </c>
      <c r="Z27" s="667">
        <f t="shared" ref="Z27:Z32" si="26">IFERROR(Z35/Z21,)*1000</f>
        <v>17500</v>
      </c>
      <c r="AA27" s="668">
        <f t="shared" si="6"/>
        <v>0</v>
      </c>
      <c r="AB27" s="669">
        <f>+IFERROR(HLOOKUP($A$1,[14]매출!$G$5:$R$164,10,),)</f>
        <v>23500</v>
      </c>
      <c r="AC27" s="667">
        <f t="shared" ref="AC27:AC32" si="27">IFERROR(AC35/AC21,)*1000</f>
        <v>23500</v>
      </c>
      <c r="AD27" s="170">
        <f t="shared" si="7"/>
        <v>0</v>
      </c>
      <c r="AE27" s="669"/>
      <c r="AF27" s="667">
        <f t="shared" ref="AF27:AF32" si="28">IFERROR(AF35/AF21,)*1000</f>
        <v>0</v>
      </c>
      <c r="AG27" s="170">
        <f t="shared" si="8"/>
        <v>0</v>
      </c>
      <c r="AH27" s="670">
        <f>+IFERROR(HLOOKUP($A$1,[14]매출!$G$5:$R$164,50,),)</f>
        <v>21219.951470291013</v>
      </c>
      <c r="AI27" s="671">
        <f t="shared" si="16"/>
        <v>41000</v>
      </c>
      <c r="AJ27" s="672">
        <f t="shared" si="9"/>
        <v>19780.048529708987</v>
      </c>
      <c r="AK27" s="170">
        <f>+IFERROR(HLOOKUP($A$1,[15]이송계획!$G$6:$R$318,34,),)</f>
        <v>38000</v>
      </c>
      <c r="AL27" s="667">
        <f>+'[16]부산모래장(손익)'!$O$46</f>
        <v>38000</v>
      </c>
      <c r="AM27" s="251">
        <f t="shared" si="10"/>
        <v>0</v>
      </c>
      <c r="AN27" s="170">
        <f>+IFERROR(HLOOKUP($A$1,[15]이송계획!$G$6:$R$318,41,),)</f>
        <v>30500</v>
      </c>
      <c r="AO27" s="667">
        <f>+'[16]부산모래장(손익)'!$N$46</f>
        <v>32000</v>
      </c>
      <c r="AP27" s="170">
        <f t="shared" si="11"/>
        <v>1500</v>
      </c>
      <c r="AQ27" s="670">
        <f t="shared" ref="AQ27:AR32" si="29">IFERROR(AQ35/AQ21,)*1000</f>
        <v>2171.4285714285716</v>
      </c>
      <c r="AR27" s="671">
        <f t="shared" si="29"/>
        <v>32509.337860780986</v>
      </c>
      <c r="AS27" s="672">
        <f t="shared" si="12"/>
        <v>30337.909289352414</v>
      </c>
      <c r="AT27" s="512">
        <f t="shared" ref="AT27:AU32" si="30">IFERROR(AT35/AT21,)*1000</f>
        <v>15273.530102493427</v>
      </c>
      <c r="AU27" s="667">
        <f t="shared" si="30"/>
        <v>21847.650011407713</v>
      </c>
      <c r="AV27" s="514">
        <f t="shared" si="13"/>
        <v>6574.1199089142865</v>
      </c>
    </row>
    <row r="28" spans="4:51" ht="28.5" customHeight="1">
      <c r="D28" s="479"/>
      <c r="E28" s="635" t="s">
        <v>199</v>
      </c>
      <c r="F28" s="657" t="s">
        <v>22</v>
      </c>
      <c r="G28" s="673">
        <f>+IFERROR(HLOOKUP($A$1,[13]매출!$G$5:$R$170,3,),)</f>
        <v>16000</v>
      </c>
      <c r="H28" s="674">
        <f t="shared" si="20"/>
        <v>17000</v>
      </c>
      <c r="I28" s="675">
        <f t="shared" si="0"/>
        <v>1000</v>
      </c>
      <c r="J28" s="676">
        <f>+IFERROR(HLOOKUP($A$1,[13]매출!$G$5:$R$170,11,),)</f>
        <v>22000</v>
      </c>
      <c r="K28" s="674">
        <f t="shared" si="21"/>
        <v>22000</v>
      </c>
      <c r="L28" s="504">
        <f t="shared" si="1"/>
        <v>0</v>
      </c>
      <c r="M28" s="676"/>
      <c r="N28" s="674">
        <f t="shared" si="22"/>
        <v>0</v>
      </c>
      <c r="O28" s="504">
        <f t="shared" si="2"/>
        <v>0</v>
      </c>
      <c r="P28" s="676"/>
      <c r="Q28" s="674">
        <f t="shared" si="23"/>
        <v>0</v>
      </c>
      <c r="R28" s="504">
        <f t="shared" si="3"/>
        <v>0</v>
      </c>
      <c r="S28" s="676"/>
      <c r="T28" s="674">
        <f t="shared" si="24"/>
        <v>0</v>
      </c>
      <c r="U28" s="504">
        <f t="shared" si="4"/>
        <v>0</v>
      </c>
      <c r="V28" s="677">
        <f ca="1">+IFERROR(HLOOKUP($A$1,[13]매출!$G$5:$R$170,51,),)</f>
        <v>18363.9853428721</v>
      </c>
      <c r="W28" s="678">
        <f t="shared" si="25"/>
        <v>19525.837122778008</v>
      </c>
      <c r="X28" s="679">
        <f t="shared" ca="1" si="5"/>
        <v>1161.8517799059082</v>
      </c>
      <c r="Y28" s="673">
        <f>+IFERROR(HLOOKUP($A$1,[14]매출!$G$5:$R$164,3,),)</f>
        <v>0</v>
      </c>
      <c r="Z28" s="674">
        <f t="shared" si="26"/>
        <v>12000</v>
      </c>
      <c r="AA28" s="675">
        <f t="shared" si="6"/>
        <v>12000</v>
      </c>
      <c r="AB28" s="676">
        <f>+IFERROR(HLOOKUP($A$1,[14]매출!$G$5:$R$164,11,),)</f>
        <v>0</v>
      </c>
      <c r="AC28" s="674">
        <f t="shared" si="27"/>
        <v>18000</v>
      </c>
      <c r="AD28" s="504">
        <f t="shared" si="7"/>
        <v>18000</v>
      </c>
      <c r="AE28" s="676"/>
      <c r="AF28" s="674">
        <f t="shared" si="28"/>
        <v>0</v>
      </c>
      <c r="AG28" s="504">
        <f t="shared" si="8"/>
        <v>0</v>
      </c>
      <c r="AH28" s="677">
        <f>+IFERROR(HLOOKUP($A$1,[14]매출!$G$5:$R$164,51,),)</f>
        <v>0</v>
      </c>
      <c r="AI28" s="678">
        <f t="shared" si="16"/>
        <v>30000</v>
      </c>
      <c r="AJ28" s="679">
        <f t="shared" si="9"/>
        <v>30000</v>
      </c>
      <c r="AK28" s="504">
        <f>+IFERROR(HLOOKUP($A$1,[15]이송계획!$G$6:$R$318,35,),)</f>
        <v>0</v>
      </c>
      <c r="AL28" s="674">
        <f>+'[16]부산모래장(손익)'!$O$47</f>
        <v>0</v>
      </c>
      <c r="AM28" s="709">
        <f t="shared" si="10"/>
        <v>0</v>
      </c>
      <c r="AN28" s="504">
        <f>+IFERROR(HLOOKUP($A$1,[15]이송계획!$G$6:$R$318,42,),)</f>
        <v>26500</v>
      </c>
      <c r="AO28" s="674">
        <f>+'[16]부산모래장(손익)'!$N$47</f>
        <v>27500</v>
      </c>
      <c r="AP28" s="504">
        <f t="shared" si="11"/>
        <v>1000</v>
      </c>
      <c r="AQ28" s="677">
        <f t="shared" si="29"/>
        <v>0</v>
      </c>
      <c r="AR28" s="678">
        <f t="shared" si="29"/>
        <v>27500</v>
      </c>
      <c r="AS28" s="679">
        <f t="shared" si="12"/>
        <v>27500</v>
      </c>
      <c r="AT28" s="502">
        <f t="shared" ref="AT28" si="31">IFERROR(AT36/AT22,)*1000</f>
        <v>27629.545671031774</v>
      </c>
      <c r="AU28" s="674">
        <f t="shared" si="30"/>
        <v>20964.866623292128</v>
      </c>
      <c r="AV28" s="505">
        <f t="shared" si="13"/>
        <v>-6664.6790477396462</v>
      </c>
    </row>
    <row r="29" spans="4:51" ht="28.5" customHeight="1">
      <c r="D29" s="479"/>
      <c r="E29" s="635"/>
      <c r="F29" s="657" t="s">
        <v>23</v>
      </c>
      <c r="G29" s="673">
        <f>+IFERROR(HLOOKUP($A$1,[13]매출!$G$5:$R$170,4,),)</f>
        <v>10000</v>
      </c>
      <c r="H29" s="674">
        <f t="shared" si="20"/>
        <v>0</v>
      </c>
      <c r="I29" s="675">
        <f t="shared" si="0"/>
        <v>-10000</v>
      </c>
      <c r="J29" s="676">
        <f>+IFERROR(HLOOKUP($A$1,[13]매출!$G$5:$R$170,12,),)</f>
        <v>16000</v>
      </c>
      <c r="K29" s="674">
        <f t="shared" si="21"/>
        <v>0</v>
      </c>
      <c r="L29" s="504">
        <f t="shared" si="1"/>
        <v>-16000</v>
      </c>
      <c r="M29" s="676"/>
      <c r="N29" s="674">
        <f t="shared" si="22"/>
        <v>0</v>
      </c>
      <c r="O29" s="504">
        <f t="shared" si="2"/>
        <v>0</v>
      </c>
      <c r="P29" s="676"/>
      <c r="Q29" s="674">
        <f t="shared" si="23"/>
        <v>0</v>
      </c>
      <c r="R29" s="504">
        <f t="shared" si="3"/>
        <v>0</v>
      </c>
      <c r="S29" s="676"/>
      <c r="T29" s="674">
        <f t="shared" si="24"/>
        <v>0</v>
      </c>
      <c r="U29" s="504">
        <f t="shared" si="4"/>
        <v>0</v>
      </c>
      <c r="V29" s="680">
        <f ca="1">+IFERROR(HLOOKUP($A$1,[13]매출!$G$5:$R$170,52,),)</f>
        <v>12780.48780487805</v>
      </c>
      <c r="W29" s="681">
        <f t="shared" si="25"/>
        <v>0</v>
      </c>
      <c r="X29" s="679">
        <f t="shared" ca="1" si="5"/>
        <v>-12780.48780487805</v>
      </c>
      <c r="Y29" s="673">
        <f>+IFERROR(HLOOKUP($A$1,[14]매출!$G$5:$R$164,4,),)</f>
        <v>0</v>
      </c>
      <c r="Z29" s="674">
        <f t="shared" si="26"/>
        <v>0</v>
      </c>
      <c r="AA29" s="675">
        <f t="shared" si="6"/>
        <v>0</v>
      </c>
      <c r="AB29" s="676">
        <f>+IFERROR(HLOOKUP($A$1,[14]매출!$G$5:$R$164,12,),)</f>
        <v>0</v>
      </c>
      <c r="AC29" s="674">
        <f t="shared" si="27"/>
        <v>0</v>
      </c>
      <c r="AD29" s="504">
        <f t="shared" si="7"/>
        <v>0</v>
      </c>
      <c r="AE29" s="676"/>
      <c r="AF29" s="674">
        <f t="shared" si="28"/>
        <v>0</v>
      </c>
      <c r="AG29" s="504">
        <f t="shared" si="8"/>
        <v>0</v>
      </c>
      <c r="AH29" s="680">
        <f>+IFERROR(HLOOKUP($A$1,[14]매출!$G$5:$R$164,52,),)</f>
        <v>0</v>
      </c>
      <c r="AI29" s="681">
        <f t="shared" si="16"/>
        <v>0</v>
      </c>
      <c r="AJ29" s="679">
        <f t="shared" si="9"/>
        <v>0</v>
      </c>
      <c r="AK29" s="504">
        <f>+IFERROR(HLOOKUP($A$1,[15]이송계획!$G$6:$R$318,36,),)</f>
        <v>0</v>
      </c>
      <c r="AL29" s="674">
        <f>+'[16]부산모래장(손익)'!$O$48</f>
        <v>0</v>
      </c>
      <c r="AM29" s="709">
        <f t="shared" si="10"/>
        <v>0</v>
      </c>
      <c r="AN29" s="504">
        <f>+IFERROR(HLOOKUP($A$1,[15]이송계획!$G$6:$R$318,43,),)</f>
        <v>26000</v>
      </c>
      <c r="AO29" s="674">
        <f>+'[16]부산모래장(손익)'!$N$48</f>
        <v>27500</v>
      </c>
      <c r="AP29" s="504">
        <f t="shared" si="11"/>
        <v>1500</v>
      </c>
      <c r="AQ29" s="680">
        <f t="shared" si="29"/>
        <v>102447.32142857142</v>
      </c>
      <c r="AR29" s="681">
        <f t="shared" si="29"/>
        <v>27500</v>
      </c>
      <c r="AS29" s="679">
        <f t="shared" si="12"/>
        <v>-74947.32142857142</v>
      </c>
      <c r="AT29" s="502">
        <f t="shared" ref="AT29" si="32">IFERROR(AT37/AT23,)*1000</f>
        <v>43131.441304943502</v>
      </c>
      <c r="AU29" s="674">
        <f>IFERROR(AU37/AU23,)*1000</f>
        <v>27500</v>
      </c>
      <c r="AV29" s="505">
        <f t="shared" si="13"/>
        <v>-15631.441304943502</v>
      </c>
    </row>
    <row r="30" spans="4:51" ht="28.5" customHeight="1">
      <c r="D30" s="479"/>
      <c r="E30" s="635"/>
      <c r="F30" s="657" t="s">
        <v>24</v>
      </c>
      <c r="G30" s="673">
        <f>+IFERROR(HLOOKUP($A$1,[13]매출!$G$5:$R$170,5,),)</f>
        <v>0</v>
      </c>
      <c r="H30" s="674">
        <f t="shared" si="20"/>
        <v>0</v>
      </c>
      <c r="I30" s="675">
        <f t="shared" si="0"/>
        <v>0</v>
      </c>
      <c r="J30" s="676">
        <f>+IFERROR(HLOOKUP($A$1,[13]매출!$G$5:$R$170,13,),)</f>
        <v>0</v>
      </c>
      <c r="K30" s="674">
        <f t="shared" si="21"/>
        <v>0</v>
      </c>
      <c r="L30" s="504">
        <f t="shared" si="1"/>
        <v>0</v>
      </c>
      <c r="M30" s="676"/>
      <c r="N30" s="674">
        <f t="shared" si="22"/>
        <v>0</v>
      </c>
      <c r="O30" s="504">
        <f t="shared" si="2"/>
        <v>0</v>
      </c>
      <c r="P30" s="676"/>
      <c r="Q30" s="674">
        <f t="shared" si="23"/>
        <v>0</v>
      </c>
      <c r="R30" s="504">
        <f t="shared" si="3"/>
        <v>0</v>
      </c>
      <c r="S30" s="676"/>
      <c r="T30" s="674">
        <f t="shared" si="24"/>
        <v>0</v>
      </c>
      <c r="U30" s="504">
        <f t="shared" si="4"/>
        <v>0</v>
      </c>
      <c r="V30" s="680">
        <f ca="1">+IFERROR(HLOOKUP($A$1,[13]매출!$G$5:$R$170,53,),)</f>
        <v>0</v>
      </c>
      <c r="W30" s="54">
        <f t="shared" si="25"/>
        <v>0</v>
      </c>
      <c r="X30" s="682">
        <f t="shared" ca="1" si="5"/>
        <v>0</v>
      </c>
      <c r="Y30" s="673">
        <f>+IFERROR(HLOOKUP($A$1,[14]매출!$G$5:$R$164,5,),)</f>
        <v>0</v>
      </c>
      <c r="Z30" s="674">
        <f t="shared" si="26"/>
        <v>0</v>
      </c>
      <c r="AA30" s="675">
        <f t="shared" si="6"/>
        <v>0</v>
      </c>
      <c r="AB30" s="676">
        <f>+IFERROR(HLOOKUP($A$1,[14]매출!$G$5:$R$164,13,),)</f>
        <v>18000</v>
      </c>
      <c r="AC30" s="674">
        <f t="shared" si="27"/>
        <v>18000</v>
      </c>
      <c r="AD30" s="504">
        <f t="shared" si="7"/>
        <v>0</v>
      </c>
      <c r="AE30" s="676"/>
      <c r="AF30" s="674">
        <f t="shared" si="28"/>
        <v>0</v>
      </c>
      <c r="AG30" s="504">
        <f t="shared" si="8"/>
        <v>0</v>
      </c>
      <c r="AH30" s="680">
        <f>+IFERROR(HLOOKUP($A$1,[14]매출!$G$5:$R$164,53,),)</f>
        <v>18000</v>
      </c>
      <c r="AI30" s="54">
        <f t="shared" si="16"/>
        <v>18000</v>
      </c>
      <c r="AJ30" s="682">
        <f t="shared" si="9"/>
        <v>0</v>
      </c>
      <c r="AK30" s="504">
        <f>+IFERROR(HLOOKUP($A$1,[15]이송계획!$G$6:$R$318,37,),)</f>
        <v>34500</v>
      </c>
      <c r="AL30" s="674">
        <f>+'[16]부산모래장(손익)'!$O$49</f>
        <v>0</v>
      </c>
      <c r="AM30" s="709">
        <f t="shared" si="10"/>
        <v>-34500</v>
      </c>
      <c r="AN30" s="504">
        <f>+IFERROR(HLOOKUP($A$1,[15]이송계획!$G$6:$R$318,44,),)</f>
        <v>26000</v>
      </c>
      <c r="AO30" s="674">
        <f>+'[16]부산모래장(손익)'!$N$49</f>
        <v>27500</v>
      </c>
      <c r="AP30" s="504">
        <f t="shared" si="11"/>
        <v>1500</v>
      </c>
      <c r="AQ30" s="680">
        <f t="shared" si="29"/>
        <v>34500</v>
      </c>
      <c r="AR30" s="54">
        <f t="shared" si="29"/>
        <v>27500</v>
      </c>
      <c r="AS30" s="682">
        <f t="shared" si="12"/>
        <v>-7000</v>
      </c>
      <c r="AT30" s="502">
        <f t="shared" ref="AT30" si="33">IFERROR(AT38/AT24,)*1000</f>
        <v>34031.414633020206</v>
      </c>
      <c r="AU30" s="674">
        <f t="shared" si="30"/>
        <v>25388.888888888891</v>
      </c>
      <c r="AV30" s="505">
        <f t="shared" si="13"/>
        <v>-8642.5257441313152</v>
      </c>
    </row>
    <row r="31" spans="4:51" ht="28.5" customHeight="1">
      <c r="D31" s="479"/>
      <c r="E31" s="635"/>
      <c r="F31" s="657" t="s">
        <v>25</v>
      </c>
      <c r="G31" s="673">
        <f>+IFERROR(HLOOKUP($A$1,[13]매출!$G$5:$R$170,6,),)</f>
        <v>0</v>
      </c>
      <c r="H31" s="674">
        <f t="shared" si="20"/>
        <v>0</v>
      </c>
      <c r="I31" s="675">
        <f t="shared" si="0"/>
        <v>0</v>
      </c>
      <c r="J31" s="676">
        <f>+IFERROR(HLOOKUP($A$1,[13]매출!$G$5:$R$170,14,),)</f>
        <v>0</v>
      </c>
      <c r="K31" s="674">
        <f t="shared" si="21"/>
        <v>0</v>
      </c>
      <c r="L31" s="504">
        <f t="shared" si="1"/>
        <v>0</v>
      </c>
      <c r="M31" s="676"/>
      <c r="N31" s="674">
        <f t="shared" si="22"/>
        <v>0</v>
      </c>
      <c r="O31" s="504">
        <f t="shared" si="2"/>
        <v>0</v>
      </c>
      <c r="P31" s="676"/>
      <c r="Q31" s="674">
        <f t="shared" si="23"/>
        <v>0</v>
      </c>
      <c r="R31" s="504">
        <f t="shared" si="3"/>
        <v>0</v>
      </c>
      <c r="S31" s="676"/>
      <c r="T31" s="674">
        <f t="shared" si="24"/>
        <v>0</v>
      </c>
      <c r="U31" s="504">
        <f t="shared" si="4"/>
        <v>0</v>
      </c>
      <c r="V31" s="680">
        <f ca="1">+IFERROR(HLOOKUP($A$1,[13]매출!$G$5:$R$170,54,),)</f>
        <v>0</v>
      </c>
      <c r="W31" s="54">
        <f t="shared" si="25"/>
        <v>0</v>
      </c>
      <c r="X31" s="682">
        <f t="shared" ca="1" si="5"/>
        <v>0</v>
      </c>
      <c r="Y31" s="673">
        <f>+IFERROR(HLOOKUP($A$1,[14]매출!$G$5:$R$164,6,),)</f>
        <v>0</v>
      </c>
      <c r="Z31" s="674">
        <f t="shared" si="26"/>
        <v>0</v>
      </c>
      <c r="AA31" s="675">
        <f t="shared" si="6"/>
        <v>0</v>
      </c>
      <c r="AB31" s="676">
        <f>+IFERROR(HLOOKUP($A$1,[14]매출!$G$5:$R$164,14,),)</f>
        <v>0</v>
      </c>
      <c r="AC31" s="674">
        <f t="shared" si="27"/>
        <v>0</v>
      </c>
      <c r="AD31" s="504">
        <f t="shared" si="7"/>
        <v>0</v>
      </c>
      <c r="AE31" s="676"/>
      <c r="AF31" s="674">
        <f t="shared" si="28"/>
        <v>0</v>
      </c>
      <c r="AG31" s="504">
        <f t="shared" si="8"/>
        <v>0</v>
      </c>
      <c r="AH31" s="680">
        <f>+IFERROR(HLOOKUP($A$1,[14]매출!$G$5:$R$164,54,),)</f>
        <v>0</v>
      </c>
      <c r="AI31" s="54">
        <f t="shared" si="16"/>
        <v>0</v>
      </c>
      <c r="AJ31" s="682">
        <f t="shared" si="9"/>
        <v>0</v>
      </c>
      <c r="AK31" s="504">
        <f>+IFERROR(HLOOKUP($A$1,[15]이송계획!$G$6:$R$318,38,),)</f>
        <v>0</v>
      </c>
      <c r="AL31" s="674">
        <f>+'[16]부산모래장(손익)'!$O$50</f>
        <v>0</v>
      </c>
      <c r="AM31" s="709">
        <f t="shared" si="10"/>
        <v>0</v>
      </c>
      <c r="AN31" s="504">
        <f>+IFERROR(HLOOKUP($A$1,[15]이송계획!$G$6:$R$318,45,),)</f>
        <v>26000</v>
      </c>
      <c r="AO31" s="674">
        <f>+'[16]부산모래장(손익)'!$N$50</f>
        <v>0</v>
      </c>
      <c r="AP31" s="504">
        <f t="shared" si="11"/>
        <v>-26000</v>
      </c>
      <c r="AQ31" s="680">
        <f t="shared" si="29"/>
        <v>0</v>
      </c>
      <c r="AR31" s="54">
        <f t="shared" si="29"/>
        <v>0</v>
      </c>
      <c r="AS31" s="682">
        <f t="shared" si="12"/>
        <v>0</v>
      </c>
      <c r="AT31" s="502">
        <f t="shared" ref="AT31" si="34">IFERROR(AT39/AT25,)*1000</f>
        <v>0</v>
      </c>
      <c r="AU31" s="674">
        <f t="shared" si="30"/>
        <v>0</v>
      </c>
      <c r="AV31" s="505">
        <f t="shared" si="13"/>
        <v>0</v>
      </c>
    </row>
    <row r="32" spans="4:51" ht="28.5" customHeight="1" thickBot="1">
      <c r="D32" s="479"/>
      <c r="E32" s="683"/>
      <c r="F32" s="684" t="s">
        <v>26</v>
      </c>
      <c r="G32" s="685">
        <f>+IFERROR(HLOOKUP($A$1,[13]매출!$G$5:$R$170,7,),)</f>
        <v>10000</v>
      </c>
      <c r="H32" s="686">
        <f t="shared" si="20"/>
        <v>0</v>
      </c>
      <c r="I32" s="687">
        <f t="shared" si="0"/>
        <v>-10000</v>
      </c>
      <c r="J32" s="688">
        <f>+IFERROR(HLOOKUP($A$1,[13]매출!$G$5:$R$170,15,),)</f>
        <v>16000</v>
      </c>
      <c r="K32" s="686">
        <f t="shared" si="21"/>
        <v>0</v>
      </c>
      <c r="L32" s="498">
        <f t="shared" si="1"/>
        <v>-16000</v>
      </c>
      <c r="M32" s="688"/>
      <c r="N32" s="686">
        <f t="shared" si="22"/>
        <v>0</v>
      </c>
      <c r="O32" s="498">
        <f t="shared" si="2"/>
        <v>0</v>
      </c>
      <c r="P32" s="688"/>
      <c r="Q32" s="686">
        <f t="shared" si="23"/>
        <v>0</v>
      </c>
      <c r="R32" s="498">
        <f t="shared" si="3"/>
        <v>0</v>
      </c>
      <c r="S32" s="688"/>
      <c r="T32" s="686">
        <f t="shared" si="24"/>
        <v>0</v>
      </c>
      <c r="U32" s="498">
        <f t="shared" si="4"/>
        <v>0</v>
      </c>
      <c r="V32" s="689">
        <f ca="1">+IFERROR(HLOOKUP($A$1,[13]매출!$G$5:$R$170,55,),)</f>
        <v>12185.533427111866</v>
      </c>
      <c r="W32" s="690">
        <f t="shared" si="25"/>
        <v>0</v>
      </c>
      <c r="X32" s="691">
        <f t="shared" ca="1" si="5"/>
        <v>-12185.533427111866</v>
      </c>
      <c r="Y32" s="685">
        <f>+IFERROR(HLOOKUP($A$1,[14]매출!$G$5:$R$164,7,),)</f>
        <v>0</v>
      </c>
      <c r="Z32" s="686">
        <f t="shared" si="26"/>
        <v>0</v>
      </c>
      <c r="AA32" s="687">
        <f t="shared" si="6"/>
        <v>0</v>
      </c>
      <c r="AB32" s="688">
        <f>+IFERROR(HLOOKUP($A$1,[14]매출!$G$5:$R$164,15,),)</f>
        <v>0</v>
      </c>
      <c r="AC32" s="686">
        <f t="shared" si="27"/>
        <v>0</v>
      </c>
      <c r="AD32" s="498">
        <f t="shared" si="7"/>
        <v>0</v>
      </c>
      <c r="AE32" s="688"/>
      <c r="AF32" s="686">
        <f t="shared" si="28"/>
        <v>0</v>
      </c>
      <c r="AG32" s="498">
        <f t="shared" si="8"/>
        <v>0</v>
      </c>
      <c r="AH32" s="689">
        <f>+IFERROR(HLOOKUP($A$1,[14]매출!$G$5:$R$164,55,),)</f>
        <v>0</v>
      </c>
      <c r="AI32" s="690">
        <f t="shared" si="16"/>
        <v>0</v>
      </c>
      <c r="AJ32" s="691">
        <f t="shared" si="9"/>
        <v>0</v>
      </c>
      <c r="AK32" s="498">
        <f>+IFERROR(HLOOKUP($A$1,[15]이송계획!$G$6:$R$318,39,),)</f>
        <v>0</v>
      </c>
      <c r="AL32" s="686">
        <f>+'[16]부산모래장(손익)'!$O$51</f>
        <v>0</v>
      </c>
      <c r="AM32" s="710">
        <f t="shared" si="10"/>
        <v>0</v>
      </c>
      <c r="AN32" s="498">
        <f>+IFERROR(HLOOKUP($A$1,[15]이송계획!$G$6:$R$318,46,),)</f>
        <v>0</v>
      </c>
      <c r="AO32" s="686">
        <f>+'[16]부산모래장(손익)'!$N$51</f>
        <v>0</v>
      </c>
      <c r="AP32" s="498">
        <f t="shared" si="11"/>
        <v>0</v>
      </c>
      <c r="AQ32" s="689">
        <f t="shared" si="29"/>
        <v>0</v>
      </c>
      <c r="AR32" s="690">
        <f t="shared" si="29"/>
        <v>0</v>
      </c>
      <c r="AS32" s="691">
        <f t="shared" si="12"/>
        <v>0</v>
      </c>
      <c r="AT32" s="692">
        <f t="shared" ref="AT32" si="35">IFERROR(AT40/AT26,)*1000</f>
        <v>12185.533427111866</v>
      </c>
      <c r="AU32" s="693">
        <f t="shared" si="30"/>
        <v>0</v>
      </c>
      <c r="AV32" s="694">
        <f t="shared" si="13"/>
        <v>-12185.533427111866</v>
      </c>
    </row>
    <row r="33" spans="5:48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48" ht="21.95" customHeight="1">
      <c r="J34" s="479"/>
      <c r="M34" s="479"/>
      <c r="AB34" s="479"/>
      <c r="AK34" s="479"/>
      <c r="AT34" s="479"/>
    </row>
    <row r="35" spans="5:48" ht="21.95" customHeight="1">
      <c r="E35" s="25" t="s">
        <v>197</v>
      </c>
      <c r="F35" s="696" t="s">
        <v>21</v>
      </c>
      <c r="G35" s="6">
        <f>+IFERROR(HLOOKUP($A$1,[13]매출!$G$5:$R$149,58,),)</f>
        <v>69983.333333333343</v>
      </c>
      <c r="H35" s="6">
        <f>+IFERROR(VLOOKUP($F35,'[16]서부산(손익)'!$O$16:$X$29,3,),)/1000</f>
        <v>22600</v>
      </c>
      <c r="I35" s="6">
        <f t="shared" ref="I35:I41" si="36">+H35-G35</f>
        <v>-47383.333333333343</v>
      </c>
      <c r="J35" s="6">
        <f>+IFERROR(HLOOKUP($A$1,[13]매출!$G$5:$R$149,66,),)</f>
        <v>0</v>
      </c>
      <c r="K35" s="6">
        <f>+IFERROR(VLOOKUP($F35,'[16]서부산(손익)'!$O$16:$X$29,4,),)/1000</f>
        <v>7936</v>
      </c>
      <c r="L35" s="6">
        <f>+K35-J35</f>
        <v>7936</v>
      </c>
      <c r="M35" s="479"/>
      <c r="O35" s="6">
        <f>+N35-M35</f>
        <v>0</v>
      </c>
      <c r="V35" s="6">
        <f t="shared" ref="V35:W41" si="37">SUM(G35,J35,M35)</f>
        <v>69983.333333333343</v>
      </c>
      <c r="W35" s="6">
        <f t="shared" si="37"/>
        <v>30536</v>
      </c>
      <c r="X35" s="6">
        <f t="shared" ref="X35:X41" si="38">+W35-V35</f>
        <v>-39447.333333333343</v>
      </c>
      <c r="Y35" s="6">
        <f>+IFERROR(HLOOKUP($A$1,[14]매출!$G$5:$R$170,58,),)</f>
        <v>78691.666666666672</v>
      </c>
      <c r="Z35" s="6">
        <f>+IFERROR(VLOOKUP($F35,'[16]부산크라샤(손익)'!$L$16:$R$29,3,),)/1000</f>
        <v>108500</v>
      </c>
      <c r="AA35" s="6">
        <f t="shared" ref="AA35:AA41" si="39">+Z35-Y35</f>
        <v>29808.333333333328</v>
      </c>
      <c r="AB35" s="479">
        <f>+IFERROR(HLOOKUP($A$1,[14]매출!$G$5:$R$170,66,),)</f>
        <v>172405.74779999998</v>
      </c>
      <c r="AC35" s="6">
        <f>+IFERROR(VLOOKUP($F35,'[16]부산크라샤(손익)'!$L$16:$R$29,4,),)/1000</f>
        <v>129109</v>
      </c>
      <c r="AD35" s="6">
        <f>+AC35-AB35</f>
        <v>-43296.747799999983</v>
      </c>
      <c r="AG35" s="6">
        <f>+AF35-AE35</f>
        <v>0</v>
      </c>
      <c r="AH35" s="6">
        <f>SUM(Y35,AB35)</f>
        <v>251097.41446666664</v>
      </c>
      <c r="AI35" s="6">
        <f t="shared" ref="AI35:AI41" si="40">SUM(Z35,AC35)</f>
        <v>237609</v>
      </c>
      <c r="AJ35" s="6">
        <f t="shared" ref="AJ35:AJ41" si="41">+AI35-AH35</f>
        <v>-13488.41446666664</v>
      </c>
      <c r="AK35" s="697">
        <f>+IFERROR(HLOOKUP($A$1,[15]이송계획!$G$70:$R$100,2,),)</f>
        <v>9088.1118881118891</v>
      </c>
      <c r="AL35" s="6">
        <f>+IFERROR(VLOOKUP($F35,'[16]부산모래장(손익)'!$L$16:$P$26,4,),)/1000</f>
        <v>11400</v>
      </c>
      <c r="AN35" s="697">
        <f>+IFERROR(HLOOKUP($A$1,[15]이송계획!$G$70:$R$100,9,),)</f>
        <v>0</v>
      </c>
      <c r="AO35" s="6">
        <f>+IFERROR(VLOOKUP($F35,'[16]부산모래장(손익)'!$L$16:$P$26,3,),)/1000</f>
        <v>103488</v>
      </c>
      <c r="AQ35" s="6">
        <f>+AK35+AN35</f>
        <v>9088.1118881118891</v>
      </c>
      <c r="AR35" s="6">
        <f t="shared" ref="AR35:AR41" si="42">+AL35+AO35</f>
        <v>114888</v>
      </c>
      <c r="AT35" s="479">
        <f t="shared" ref="AT35:AT40" si="43">+V35+AH35+AQ35</f>
        <v>330168.85968811193</v>
      </c>
      <c r="AU35" s="479">
        <f t="shared" ref="AU35:AU40" si="44">+W35+AI35+AR35</f>
        <v>383033</v>
      </c>
      <c r="AV35" s="6">
        <f t="shared" ref="AV35:AV41" si="45">+AU35-AT35</f>
        <v>52864.14031188807</v>
      </c>
    </row>
    <row r="36" spans="5:48" ht="21.95" customHeight="1">
      <c r="E36" s="25" t="s">
        <v>124</v>
      </c>
      <c r="F36" s="696" t="s">
        <v>22</v>
      </c>
      <c r="G36" s="6">
        <f>+IFERROR(HLOOKUP($A$1,[13]매출!$G$5:$R$149,59,),)</f>
        <v>166704</v>
      </c>
      <c r="H36" s="6">
        <f>+IFERROR(VLOOKUP($F36,'[16]서부산(손익)'!$O$16:$X$29,3,),)/1000</f>
        <v>40698</v>
      </c>
      <c r="I36" s="6">
        <f t="shared" si="36"/>
        <v>-126006</v>
      </c>
      <c r="J36" s="6">
        <f>+IFERROR(HLOOKUP($A$1,[13]매출!$G$5:$R$149,67,),)</f>
        <v>149028</v>
      </c>
      <c r="K36" s="6">
        <f>+IFERROR(VLOOKUP($F36,'[16]서부산(손익)'!$O$16:$X$29,4,),)/1000</f>
        <v>53768</v>
      </c>
      <c r="L36" s="6">
        <f t="shared" ref="L36:L41" si="46">+K36-J36</f>
        <v>-95260</v>
      </c>
      <c r="O36" s="6">
        <f t="shared" ref="O36:O41" si="47">+N36-M36</f>
        <v>0</v>
      </c>
      <c r="V36" s="6">
        <f t="shared" si="37"/>
        <v>315732</v>
      </c>
      <c r="W36" s="6">
        <f t="shared" si="37"/>
        <v>94466</v>
      </c>
      <c r="X36" s="6">
        <f t="shared" si="38"/>
        <v>-221266</v>
      </c>
      <c r="Y36" s="6">
        <f>+IFERROR(HLOOKUP($A$1,[14]매출!$G$5:$R$170,59,),)</f>
        <v>0</v>
      </c>
      <c r="Z36" s="6">
        <f>+IFERROR(VLOOKUP($F36,'[16]부산크라샤(손익)'!$L$16:$R$29,3,),)/1000</f>
        <v>9024</v>
      </c>
      <c r="AA36" s="6">
        <f t="shared" si="39"/>
        <v>9024</v>
      </c>
      <c r="AB36" s="479">
        <f>+IFERROR(HLOOKUP($A$1,[14]매출!$G$5:$R$170,67,),)</f>
        <v>0</v>
      </c>
      <c r="AC36" s="6">
        <f>+IFERROR(VLOOKUP($F36,'[16]부산크라샤(손익)'!$L$16:$R$29,4,),)/1000</f>
        <v>19008</v>
      </c>
      <c r="AD36" s="6">
        <f t="shared" ref="AD36:AD41" si="48">+AC36-AB36</f>
        <v>19008</v>
      </c>
      <c r="AG36" s="6">
        <f t="shared" ref="AG36:AG41" si="49">+AF36-AE36</f>
        <v>0</v>
      </c>
      <c r="AH36" s="6">
        <f t="shared" ref="AH36:AH41" si="50">SUM(Y36,AB36)</f>
        <v>0</v>
      </c>
      <c r="AI36" s="6">
        <f t="shared" si="40"/>
        <v>28032</v>
      </c>
      <c r="AJ36" s="6">
        <f>+AI36-AH36</f>
        <v>28032</v>
      </c>
      <c r="AK36" s="697">
        <f>+IFERROR(HLOOKUP($A$1,[15]이송계획!$G$70:$R$100,3,),)</f>
        <v>0</v>
      </c>
      <c r="AL36" s="6">
        <f>+IFERROR(VLOOKUP($F36,'[16]부산모래장(손익)'!$L$16:$P$26,4,),)/1000</f>
        <v>0</v>
      </c>
      <c r="AN36" s="697">
        <f>+IFERROR(HLOOKUP($A$1,[15]이송계획!$G$70:$R$100,10,),)</f>
        <v>159302.77872204929</v>
      </c>
      <c r="AO36" s="6">
        <f>+IFERROR(VLOOKUP($F36,'[16]부산모래장(손익)'!$L$16:$P$26,3,),)/1000</f>
        <v>70840</v>
      </c>
      <c r="AQ36" s="6">
        <f t="shared" ref="AQ36:AQ41" si="51">+AK36+AN36</f>
        <v>159302.77872204929</v>
      </c>
      <c r="AR36" s="6">
        <f t="shared" si="42"/>
        <v>70840</v>
      </c>
      <c r="AT36" s="6">
        <f t="shared" si="43"/>
        <v>475034.77872204932</v>
      </c>
      <c r="AU36" s="6">
        <f t="shared" si="44"/>
        <v>193338</v>
      </c>
      <c r="AV36" s="6">
        <f t="shared" si="45"/>
        <v>-281696.77872204932</v>
      </c>
    </row>
    <row r="37" spans="5:48" ht="21.95" customHeight="1">
      <c r="F37" s="696" t="s">
        <v>23</v>
      </c>
      <c r="G37" s="6">
        <f>+IFERROR(HLOOKUP($A$1,[13]매출!$G$5:$R$149,60,),)</f>
        <v>12320</v>
      </c>
      <c r="H37" s="6">
        <f>+IFERROR(VLOOKUP($F37,'[16]서부산(손익)'!$O$16:$X$29,3,),)/1000</f>
        <v>0</v>
      </c>
      <c r="I37" s="6">
        <f t="shared" si="36"/>
        <v>-12320</v>
      </c>
      <c r="J37" s="6">
        <f>+IFERROR(HLOOKUP($A$1,[13]매출!$G$5:$R$149,68,),)</f>
        <v>17024</v>
      </c>
      <c r="K37" s="6">
        <f>+IFERROR(VLOOKUP($F37,'[16]서부산(손익)'!$O$16:$X$29,4,),)/1000</f>
        <v>0</v>
      </c>
      <c r="L37" s="6">
        <f t="shared" si="46"/>
        <v>-17024</v>
      </c>
      <c r="O37" s="6">
        <f t="shared" si="47"/>
        <v>0</v>
      </c>
      <c r="V37" s="6">
        <f t="shared" si="37"/>
        <v>29344</v>
      </c>
      <c r="W37" s="6">
        <f t="shared" si="37"/>
        <v>0</v>
      </c>
      <c r="X37" s="6">
        <f t="shared" si="38"/>
        <v>-29344</v>
      </c>
      <c r="Y37" s="6">
        <f>+IFERROR(HLOOKUP($A$1,[14]매출!$G$5:$R$170,60,),)</f>
        <v>0</v>
      </c>
      <c r="Z37" s="6">
        <f>+IFERROR(VLOOKUP($F37,'[16]부산크라샤(손익)'!$L$16:$R$29,3,),)/1000</f>
        <v>0</v>
      </c>
      <c r="AA37" s="6">
        <f t="shared" si="39"/>
        <v>0</v>
      </c>
      <c r="AB37" s="479">
        <f>+IFERROR(HLOOKUP($A$1,[14]매출!$G$5:$R$170,68,),)</f>
        <v>0</v>
      </c>
      <c r="AC37" s="6">
        <f>+IFERROR(VLOOKUP($F37,'[16]부산크라샤(손익)'!$L$16:$R$29,4,),)/1000</f>
        <v>0</v>
      </c>
      <c r="AD37" s="6">
        <f t="shared" si="48"/>
        <v>0</v>
      </c>
      <c r="AG37" s="6">
        <f t="shared" si="49"/>
        <v>0</v>
      </c>
      <c r="AH37" s="6">
        <f t="shared" si="50"/>
        <v>0</v>
      </c>
      <c r="AI37" s="6">
        <f t="shared" si="40"/>
        <v>0</v>
      </c>
      <c r="AJ37" s="6">
        <f t="shared" si="41"/>
        <v>0</v>
      </c>
      <c r="AK37" s="697">
        <f>+IFERROR(HLOOKUP($A$1,[15]이송계획!$G$70:$R$100,4,),)</f>
        <v>0</v>
      </c>
      <c r="AL37" s="6">
        <f>+IFERROR(VLOOKUP($F37,'[16]부산모래장(손익)'!$L$16:$P$26,4,),)/1000</f>
        <v>0</v>
      </c>
      <c r="AN37" s="697">
        <f>+IFERROR(HLOOKUP($A$1,[15]이송계획!$G$70:$R$100,11,),)</f>
        <v>120357.6923076923</v>
      </c>
      <c r="AO37" s="6">
        <f>+IFERROR(VLOOKUP($F37,'[16]부산모래장(손익)'!$L$16:$P$26,3,),)/1000</f>
        <v>21120</v>
      </c>
      <c r="AQ37" s="6">
        <f t="shared" si="51"/>
        <v>120357.6923076923</v>
      </c>
      <c r="AR37" s="6">
        <f t="shared" si="42"/>
        <v>21120</v>
      </c>
      <c r="AT37" s="6">
        <f t="shared" si="43"/>
        <v>149701.69230769231</v>
      </c>
      <c r="AU37" s="6">
        <f t="shared" si="44"/>
        <v>21120</v>
      </c>
      <c r="AV37" s="6">
        <f t="shared" si="45"/>
        <v>-128581.69230769231</v>
      </c>
    </row>
    <row r="38" spans="5:48" ht="21.95" customHeight="1">
      <c r="F38" s="696" t="s">
        <v>24</v>
      </c>
      <c r="G38" s="6">
        <f>+IFERROR(HLOOKUP($A$1,[13]매출!$G$5:$R$149,61,),)</f>
        <v>0</v>
      </c>
      <c r="H38" s="6">
        <f>+IFERROR(VLOOKUP($F38,'[16]서부산(손익)'!$O$16:$X$29,3,),)/1000</f>
        <v>0</v>
      </c>
      <c r="I38" s="6">
        <f t="shared" si="36"/>
        <v>0</v>
      </c>
      <c r="J38" s="6">
        <f>+IFERROR(HLOOKUP($A$1,[13]매출!$G$5:$R$149,69,),)</f>
        <v>0</v>
      </c>
      <c r="K38" s="6">
        <f>+IFERROR(VLOOKUP($F38,'[16]서부산(손익)'!$O$16:$X$29,4,),)/1000</f>
        <v>0</v>
      </c>
      <c r="L38" s="6">
        <f t="shared" si="46"/>
        <v>0</v>
      </c>
      <c r="O38" s="6">
        <f t="shared" si="47"/>
        <v>0</v>
      </c>
      <c r="V38" s="6">
        <f t="shared" si="37"/>
        <v>0</v>
      </c>
      <c r="W38" s="6">
        <f t="shared" si="37"/>
        <v>0</v>
      </c>
      <c r="X38" s="6">
        <f t="shared" si="38"/>
        <v>0</v>
      </c>
      <c r="Y38" s="6">
        <f>+IFERROR(HLOOKUP($A$1,[14]매출!$G$5:$R$170,61,),)</f>
        <v>0</v>
      </c>
      <c r="Z38" s="6">
        <f>+IFERROR(VLOOKUP($F38,'[16]부산크라샤(손익)'!$L$16:$R$29,3,),)/1000</f>
        <v>0</v>
      </c>
      <c r="AA38" s="6">
        <f t="shared" si="39"/>
        <v>0</v>
      </c>
      <c r="AB38" s="479">
        <f>+IFERROR(HLOOKUP($A$1,[14]매출!$G$5:$R$170,69,),)</f>
        <v>2290.7759999999998</v>
      </c>
      <c r="AC38" s="6">
        <f>+IFERROR(VLOOKUP($F38,'[16]부산크라샤(손익)'!$L$16:$R$29,4,),)/1000</f>
        <v>15552</v>
      </c>
      <c r="AD38" s="6">
        <f t="shared" si="48"/>
        <v>13261.224</v>
      </c>
      <c r="AG38" s="6">
        <f t="shared" si="49"/>
        <v>0</v>
      </c>
      <c r="AH38" s="6">
        <f t="shared" si="50"/>
        <v>2290.7759999999998</v>
      </c>
      <c r="AI38" s="6">
        <f t="shared" si="40"/>
        <v>15552</v>
      </c>
      <c r="AJ38" s="6">
        <f t="shared" si="41"/>
        <v>13261.224</v>
      </c>
      <c r="AK38" s="697">
        <f>+IFERROR(HLOOKUP($A$1,[15]이송계획!$G$70:$R$100,5,),)</f>
        <v>150214.6668339374</v>
      </c>
      <c r="AL38" s="6">
        <f>+IFERROR(VLOOKUP($F38,'[16]부산모래장(손익)'!$L$16:$P$26,4,),)/1000</f>
        <v>0</v>
      </c>
      <c r="AN38" s="697">
        <f>+IFERROR(HLOOKUP($A$1,[15]이송계획!$G$70:$R$100,12,),)</f>
        <v>0</v>
      </c>
      <c r="AO38" s="6">
        <f>+IFERROR(VLOOKUP($F38,'[16]부산모래장(손익)'!$L$16:$P$26,3,),)/1000</f>
        <v>83160</v>
      </c>
      <c r="AQ38" s="6">
        <f t="shared" si="51"/>
        <v>150214.6668339374</v>
      </c>
      <c r="AR38" s="6">
        <f t="shared" si="42"/>
        <v>83160</v>
      </c>
      <c r="AT38" s="6">
        <f t="shared" si="43"/>
        <v>152505.44283393741</v>
      </c>
      <c r="AU38" s="6">
        <f t="shared" si="44"/>
        <v>98712</v>
      </c>
      <c r="AV38" s="6">
        <f t="shared" si="45"/>
        <v>-53793.442833937414</v>
      </c>
    </row>
    <row r="39" spans="5:48" ht="21.95" customHeight="1">
      <c r="F39" s="696" t="s">
        <v>25</v>
      </c>
      <c r="G39" s="6">
        <f>+IFERROR(HLOOKUP($A$1,[13]매출!$G$5:$R$149,62,),)</f>
        <v>0</v>
      </c>
      <c r="H39" s="6">
        <f>+IFERROR(VLOOKUP($F39,'[16]서부산(손익)'!$O$16:$X$29,3,),)/1000</f>
        <v>0</v>
      </c>
      <c r="I39" s="6">
        <f t="shared" si="36"/>
        <v>0</v>
      </c>
      <c r="J39" s="6">
        <f>+IFERROR(HLOOKUP($A$1,[13]매출!$G$5:$R$149,70,),)</f>
        <v>0</v>
      </c>
      <c r="K39" s="6">
        <f>+IFERROR(VLOOKUP($F39,'[16]서부산(손익)'!$O$16:$X$29,4,),)/1000</f>
        <v>0</v>
      </c>
      <c r="L39" s="6">
        <f t="shared" si="46"/>
        <v>0</v>
      </c>
      <c r="O39" s="6">
        <f t="shared" si="47"/>
        <v>0</v>
      </c>
      <c r="V39" s="6">
        <f t="shared" si="37"/>
        <v>0</v>
      </c>
      <c r="W39" s="6">
        <f t="shared" si="37"/>
        <v>0</v>
      </c>
      <c r="X39" s="6">
        <f t="shared" si="38"/>
        <v>0</v>
      </c>
      <c r="Y39" s="6">
        <f>+IFERROR(HLOOKUP($A$1,[14]매출!$G$5:$R$170,62,),)</f>
        <v>0</v>
      </c>
      <c r="Z39" s="6">
        <f>+IFERROR(VLOOKUP($F39,'[16]부산크라샤(손익)'!$L$16:$R$29,3,),)/1000</f>
        <v>0</v>
      </c>
      <c r="AA39" s="6">
        <f t="shared" si="39"/>
        <v>0</v>
      </c>
      <c r="AB39" s="479">
        <f>+IFERROR(HLOOKUP($A$1,[14]매출!$G$5:$R$170,70,),)</f>
        <v>0</v>
      </c>
      <c r="AC39" s="6">
        <f>+IFERROR(VLOOKUP($F39,'[16]부산크라샤(손익)'!$L$16:$R$29,4,),)/1000</f>
        <v>0</v>
      </c>
      <c r="AD39" s="6">
        <f t="shared" si="48"/>
        <v>0</v>
      </c>
      <c r="AG39" s="6">
        <f t="shared" si="49"/>
        <v>0</v>
      </c>
      <c r="AH39" s="6">
        <f t="shared" si="50"/>
        <v>0</v>
      </c>
      <c r="AI39" s="6">
        <f t="shared" si="40"/>
        <v>0</v>
      </c>
      <c r="AJ39" s="6">
        <f t="shared" si="41"/>
        <v>0</v>
      </c>
      <c r="AK39" s="697">
        <f>+IFERROR(HLOOKUP($A$1,[15]이송계획!$G$70:$R$100,6,),)</f>
        <v>0</v>
      </c>
      <c r="AL39" s="6">
        <f>+IFERROR(VLOOKUP($F39,'[16]부산모래장(손익)'!$L$16:$P$26,4,),)/1000</f>
        <v>0</v>
      </c>
      <c r="AN39" s="697">
        <f>+IFERROR(HLOOKUP($A$1,[15]이송계획!$G$70:$R$100,13,),)</f>
        <v>30545.454545454548</v>
      </c>
      <c r="AO39" s="6">
        <f>+IFERROR(VLOOKUP($F39,'[16]부산모래장(손익)'!$L$16:$P$26,3,),)/1000</f>
        <v>0</v>
      </c>
      <c r="AQ39" s="6">
        <f t="shared" si="51"/>
        <v>30545.454545454548</v>
      </c>
      <c r="AR39" s="6">
        <f t="shared" si="42"/>
        <v>0</v>
      </c>
      <c r="AT39" s="6">
        <f t="shared" si="43"/>
        <v>30545.454545454548</v>
      </c>
      <c r="AU39" s="6">
        <f t="shared" si="44"/>
        <v>0</v>
      </c>
      <c r="AV39" s="6">
        <f t="shared" si="45"/>
        <v>-30545.454545454548</v>
      </c>
    </row>
    <row r="40" spans="5:48" ht="21.95" customHeight="1">
      <c r="F40" s="696" t="s">
        <v>26</v>
      </c>
      <c r="G40" s="6">
        <f>+IFERROR(HLOOKUP($A$1,[13]매출!$G$5:$R$149,63,),)</f>
        <v>3878</v>
      </c>
      <c r="H40" s="6">
        <f>+IFERROR(VLOOKUP($F40,'[16]서부산(손익)'!$O$16:$X$29,3,),)/1000</f>
        <v>0</v>
      </c>
      <c r="I40" s="6">
        <f t="shared" si="36"/>
        <v>-3878</v>
      </c>
      <c r="J40" s="6">
        <f>+IFERROR(HLOOKUP($A$1,[13]매출!$G$5:$R$149,71,),)</f>
        <v>3555.0967741935483</v>
      </c>
      <c r="K40" s="6">
        <f>+IFERROR(VLOOKUP($F40,'[16]서부산(손익)'!$O$16:$X$29,4,),)/1000</f>
        <v>0</v>
      </c>
      <c r="L40" s="6">
        <f t="shared" si="46"/>
        <v>-3555.0967741935483</v>
      </c>
      <c r="O40" s="6">
        <f t="shared" si="47"/>
        <v>0</v>
      </c>
      <c r="V40" s="6">
        <f t="shared" si="37"/>
        <v>7433.0967741935483</v>
      </c>
      <c r="W40" s="6">
        <f t="shared" si="37"/>
        <v>0</v>
      </c>
      <c r="X40" s="6">
        <f t="shared" si="38"/>
        <v>-7433.0967741935483</v>
      </c>
      <c r="Y40" s="6">
        <f>+IFERROR(HLOOKUP($A$1,[14]매출!$G$5:$R$170,63,),)</f>
        <v>0</v>
      </c>
      <c r="Z40" s="6">
        <f>+IFERROR(VLOOKUP($F40,'[16]부산크라샤(손익)'!$L$16:$R$29,3,),)/1000</f>
        <v>0</v>
      </c>
      <c r="AA40" s="6">
        <f t="shared" si="39"/>
        <v>0</v>
      </c>
      <c r="AB40" s="479">
        <f>+IFERROR(HLOOKUP($A$1,[14]매출!$G$5:$R$170,71,),)</f>
        <v>0</v>
      </c>
      <c r="AC40" s="6">
        <f>+IFERROR(VLOOKUP($F40,'[16]부산크라샤(손익)'!$L$16:$R$29,4,),)/1000</f>
        <v>0</v>
      </c>
      <c r="AD40" s="6">
        <f t="shared" si="48"/>
        <v>0</v>
      </c>
      <c r="AG40" s="6">
        <f t="shared" si="49"/>
        <v>0</v>
      </c>
      <c r="AH40" s="6">
        <f t="shared" si="50"/>
        <v>0</v>
      </c>
      <c r="AI40" s="6">
        <f t="shared" si="40"/>
        <v>0</v>
      </c>
      <c r="AJ40" s="6">
        <f t="shared" si="41"/>
        <v>0</v>
      </c>
      <c r="AK40" s="697">
        <f>+IFERROR(HLOOKUP($A$1,[15]이송계획!$G$70:$R$100,7,),)</f>
        <v>0</v>
      </c>
      <c r="AL40" s="6">
        <f>+IFERROR(VLOOKUP($F40,'[16]부산모래장(손익)'!$L$16:$P$26,4,),)/1000</f>
        <v>0</v>
      </c>
      <c r="AN40" s="697">
        <f>+IFERROR(HLOOKUP($A$1,[15]이송계획!$G$70:$R$100,14,),)</f>
        <v>0</v>
      </c>
      <c r="AO40" s="6">
        <f>+IFERROR(VLOOKUP($F40,'[16]부산모래장(손익)'!$L$16:$P$26,3,),)/1000</f>
        <v>0</v>
      </c>
      <c r="AQ40" s="6">
        <f t="shared" si="51"/>
        <v>0</v>
      </c>
      <c r="AR40" s="6">
        <f t="shared" si="42"/>
        <v>0</v>
      </c>
      <c r="AT40" s="6">
        <f t="shared" si="43"/>
        <v>7433.0967741935483</v>
      </c>
      <c r="AU40" s="6">
        <f t="shared" si="44"/>
        <v>0</v>
      </c>
      <c r="AV40" s="6">
        <f t="shared" si="45"/>
        <v>-7433.0967741935483</v>
      </c>
    </row>
    <row r="41" spans="5:48" ht="21.95" customHeight="1">
      <c r="F41" s="696" t="s">
        <v>8</v>
      </c>
      <c r="G41" s="6">
        <f>SUM(G35:G40)</f>
        <v>252885.33333333334</v>
      </c>
      <c r="H41" s="6">
        <f>SUM(H35:H40)</f>
        <v>63298</v>
      </c>
      <c r="I41" s="6">
        <f t="shared" si="36"/>
        <v>-189587.33333333334</v>
      </c>
      <c r="J41" s="6">
        <f>SUM(J35:J40)</f>
        <v>169607.09677419355</v>
      </c>
      <c r="K41" s="479">
        <f>SUM(K35:K40)</f>
        <v>61704</v>
      </c>
      <c r="L41" s="6">
        <f t="shared" si="46"/>
        <v>-107903.09677419355</v>
      </c>
      <c r="N41" s="479"/>
      <c r="O41" s="6">
        <f t="shared" si="47"/>
        <v>0</v>
      </c>
      <c r="V41" s="6">
        <f t="shared" si="37"/>
        <v>422492.43010752689</v>
      </c>
      <c r="W41" s="6">
        <f t="shared" si="37"/>
        <v>125002</v>
      </c>
      <c r="X41" s="6">
        <f t="shared" si="38"/>
        <v>-297490.43010752689</v>
      </c>
      <c r="Y41" s="6">
        <f>SUM(Y35:Y40)</f>
        <v>78691.666666666672</v>
      </c>
      <c r="Z41" s="6">
        <f>SUM(Z35:Z40)</f>
        <v>117524</v>
      </c>
      <c r="AA41" s="6">
        <f t="shared" si="39"/>
        <v>38832.333333333328</v>
      </c>
      <c r="AB41" s="479">
        <f>SUM(AB35:AB40)</f>
        <v>174696.5238</v>
      </c>
      <c r="AC41" s="479">
        <f>SUM(AC35:AC40)</f>
        <v>163669</v>
      </c>
      <c r="AD41" s="6">
        <f t="shared" si="48"/>
        <v>-11027.523799999995</v>
      </c>
      <c r="AF41" s="479"/>
      <c r="AG41" s="6">
        <f t="shared" si="49"/>
        <v>0</v>
      </c>
      <c r="AH41" s="6">
        <f t="shared" si="50"/>
        <v>253388.19046666665</v>
      </c>
      <c r="AI41" s="6">
        <f t="shared" si="40"/>
        <v>281193</v>
      </c>
      <c r="AJ41" s="6">
        <f t="shared" si="41"/>
        <v>27804.809533333348</v>
      </c>
      <c r="AK41" s="6">
        <f>SUM(AK35:AK40)</f>
        <v>159302.77872204929</v>
      </c>
      <c r="AL41" s="6">
        <f>SUM(AL35:AL40)</f>
        <v>11400</v>
      </c>
      <c r="AN41" s="6">
        <f>SUM(AN35:AN40)</f>
        <v>310205.9255751961</v>
      </c>
      <c r="AO41" s="6">
        <f>SUM(AO35:AO40)</f>
        <v>278608</v>
      </c>
      <c r="AQ41" s="6">
        <f t="shared" si="51"/>
        <v>469508.70429724536</v>
      </c>
      <c r="AR41" s="6">
        <f t="shared" si="42"/>
        <v>290008</v>
      </c>
      <c r="AT41" s="6">
        <f>SUM(AT35:AT40)</f>
        <v>1145389.324871439</v>
      </c>
      <c r="AU41" s="6">
        <f>SUM(AU35:AU40)</f>
        <v>696203</v>
      </c>
      <c r="AV41" s="6">
        <f t="shared" si="45"/>
        <v>-449186.32487143902</v>
      </c>
    </row>
    <row r="42" spans="5:48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b">
        <f>+AL41=AL13</f>
        <v>1</v>
      </c>
      <c r="AN42" s="6" t="b">
        <f>+AN41=AN13</f>
        <v>1</v>
      </c>
      <c r="AO42" s="6" t="b">
        <f>+AO41=AO13</f>
        <v>1</v>
      </c>
      <c r="AQ42" s="6" t="b">
        <f>+AQ41=AQ13</f>
        <v>1</v>
      </c>
      <c r="AR42" s="6" t="b">
        <f>+AR41=AR13</f>
        <v>1</v>
      </c>
      <c r="AT42" s="6" t="b">
        <f>+AT41=AT13</f>
        <v>1</v>
      </c>
      <c r="AU42" s="6" t="b">
        <f>+AU41=AU13</f>
        <v>1</v>
      </c>
    </row>
    <row r="43" spans="5:48" ht="21.95" customHeight="1"/>
    <row r="44" spans="5:48" ht="21.95" customHeight="1"/>
    <row r="45" spans="5:48" ht="21.95" customHeight="1"/>
    <row r="46" spans="5:48" ht="21.95" customHeight="1"/>
    <row r="47" spans="5:48" ht="21.95" customHeight="1"/>
    <row r="48" spans="5:48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A2C1-60B9-4149-A3D7-67F964DB322B}">
  <sheetPr>
    <tabColor theme="0" tint="-0.249977111117893"/>
    <pageSetUpPr fitToPage="1"/>
  </sheetPr>
  <dimension ref="A1:AY53"/>
  <sheetViews>
    <sheetView showGridLines="0" showZeros="0" zoomScale="60" zoomScaleNormal="60" workbookViewId="0">
      <pane xSplit="6" ySplit="7" topLeftCell="T8" activePane="bottomRight" state="frozen"/>
      <selection activeCell="L31" sqref="L31"/>
      <selection pane="topRight" activeCell="L31" sqref="L31"/>
      <selection pane="bottomLeft" activeCell="L31" sqref="L31"/>
      <selection pane="bottomRight" activeCell="AN19" sqref="AN19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15" width="10.625" style="6" customWidth="1"/>
    <col min="16" max="18" width="10.625" style="6" hidden="1" customWidth="1"/>
    <col min="19" max="48" width="10.625" style="6" customWidth="1"/>
    <col min="49" max="49" width="9" style="6"/>
    <col min="50" max="51" width="14.25" style="6" customWidth="1"/>
    <col min="52" max="16384" width="9" style="6"/>
  </cols>
  <sheetData>
    <row r="1" spans="1:51" ht="22.5" customHeight="1">
      <c r="A1" s="546" t="s">
        <v>173</v>
      </c>
      <c r="AN1" s="6" t="s">
        <v>207</v>
      </c>
    </row>
    <row r="2" spans="1:51" ht="9.75" customHeight="1"/>
    <row r="3" spans="1:51" ht="9.9499999999999993" customHeight="1"/>
    <row r="4" spans="1:51" ht="31.5">
      <c r="D4" s="398" t="s">
        <v>232</v>
      </c>
      <c r="F4" s="398"/>
      <c r="I4" s="398"/>
    </row>
    <row r="5" spans="1:51" ht="21.95" customHeight="1" thickBot="1">
      <c r="J5" s="479"/>
      <c r="AK5" s="479"/>
      <c r="AT5" s="479"/>
      <c r="AV5" s="397" t="s">
        <v>192</v>
      </c>
    </row>
    <row r="6" spans="1:51" ht="24" customHeight="1" thickTop="1">
      <c r="D6" s="547" t="s">
        <v>12</v>
      </c>
      <c r="E6" s="757" t="s">
        <v>11</v>
      </c>
      <c r="F6" s="758"/>
      <c r="G6" s="548" t="s">
        <v>227</v>
      </c>
      <c r="H6" s="549"/>
      <c r="I6" s="549"/>
      <c r="J6" s="549" t="s">
        <v>228</v>
      </c>
      <c r="K6" s="549"/>
      <c r="L6" s="550"/>
      <c r="M6" s="549" t="s">
        <v>229</v>
      </c>
      <c r="N6" s="549"/>
      <c r="O6" s="550"/>
      <c r="P6" s="549" t="s">
        <v>230</v>
      </c>
      <c r="Q6" s="549"/>
      <c r="R6" s="550"/>
      <c r="S6" s="549" t="s">
        <v>231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1" ht="24" customHeight="1">
      <c r="D7" s="555"/>
      <c r="E7" s="759"/>
      <c r="F7" s="760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1" ht="30" customHeight="1">
      <c r="D8" s="493"/>
      <c r="E8" s="563" t="s">
        <v>89</v>
      </c>
      <c r="F8" s="564" t="s">
        <v>197</v>
      </c>
      <c r="G8" s="565">
        <f>+'골재사업소(당월)'!G8+'[12]골재사업소(당월)'!G8</f>
        <v>27457.133333333331</v>
      </c>
      <c r="H8" s="566">
        <f>+'골재사업소(당월)'!H8+'[12]골재사업소(당월)'!H8</f>
        <v>4202</v>
      </c>
      <c r="I8" s="567">
        <f>H8-G8</f>
        <v>-23255.133333333331</v>
      </c>
      <c r="J8" s="568">
        <f>+'골재사업소(당월)'!J8+'[12]골재사업소(당월)'!J8</f>
        <v>14678.387096774193</v>
      </c>
      <c r="K8" s="566">
        <f>+'골재사업소(당월)'!K8+'[12]골재사업소(당월)'!K8</f>
        <v>2940</v>
      </c>
      <c r="L8" s="569">
        <f>K8-J8</f>
        <v>-11738.387096774193</v>
      </c>
      <c r="M8" s="568">
        <f>+'골재사업소(당월)'!M8+'[12]골재사업소(당월)'!M8</f>
        <v>0</v>
      </c>
      <c r="N8" s="566">
        <f>+'골재사업소(당월)'!N8+'[12]골재사업소(당월)'!N8</f>
        <v>0</v>
      </c>
      <c r="O8" s="569">
        <f>N8-M8</f>
        <v>0</v>
      </c>
      <c r="P8" s="568"/>
      <c r="Q8" s="566">
        <f>+'[7]서부산크라샤(당월)'!$O$66</f>
        <v>0</v>
      </c>
      <c r="R8" s="569">
        <f>Q8-P8</f>
        <v>0</v>
      </c>
      <c r="S8" s="568"/>
      <c r="T8" s="566">
        <f>+'[7]서부산크라샤(당월)'!$R$66</f>
        <v>0</v>
      </c>
      <c r="U8" s="569">
        <f>T8-S8</f>
        <v>0</v>
      </c>
      <c r="V8" s="570">
        <f>+G8+J8+M8+P8+S8</f>
        <v>42135.520430107528</v>
      </c>
      <c r="W8" s="566">
        <f>+H8+K8+N8+Q8+T8</f>
        <v>7142</v>
      </c>
      <c r="X8" s="571">
        <f>W8-V8</f>
        <v>-34993.520430107528</v>
      </c>
      <c r="Y8" s="565">
        <f>+'골재사업소(당월)'!Y8+'[12]골재사업소(당월)'!S8</f>
        <v>13531.459466666667</v>
      </c>
      <c r="Z8" s="566">
        <f>+'골재사업소(당월)'!Z8+'[12]골재사업소(당월)'!T8</f>
        <v>18918</v>
      </c>
      <c r="AA8" s="567">
        <f>Z8-Y8</f>
        <v>5386.5405333333329</v>
      </c>
      <c r="AB8" s="568">
        <f>+'골재사업소(당월)'!AB8+'[12]골재사업소(당월)'!V8</f>
        <v>14155.182699999999</v>
      </c>
      <c r="AC8" s="566">
        <f>+'골재사업소(당월)'!AC8+'[12]골재사업소(당월)'!W8</f>
        <v>15736</v>
      </c>
      <c r="AD8" s="569">
        <f>AC8-AB8</f>
        <v>1580.8173000000006</v>
      </c>
      <c r="AE8" s="568">
        <f>+'골재사업소(당월)'!AE8+'[12]골재사업소(당월)'!Y8</f>
        <v>0</v>
      </c>
      <c r="AF8" s="566">
        <f>+'골재사업소(당월)'!AF8+'[12]골재사업소(당월)'!Z8</f>
        <v>0</v>
      </c>
      <c r="AG8" s="569">
        <f>AF8-AE8</f>
        <v>0</v>
      </c>
      <c r="AH8" s="570">
        <f>+Y8+AB8+AE8</f>
        <v>27686.642166666665</v>
      </c>
      <c r="AI8" s="566">
        <f>+Z8+AC8+AF8</f>
        <v>34654</v>
      </c>
      <c r="AJ8" s="571">
        <f>AI8-AH8</f>
        <v>6967.3578333333353</v>
      </c>
      <c r="AK8" s="569">
        <f>+'골재사업소(당월)'!AK8+'[12]골재사업소(당월)'!AE8</f>
        <v>4807.1951671740235</v>
      </c>
      <c r="AL8" s="566">
        <f>+'골재사업소(당월)'!AL8+'[12]골재사업소(당월)'!AF8</f>
        <v>800</v>
      </c>
      <c r="AM8" s="698">
        <f>AL8-AK8</f>
        <v>-4007.1951671740235</v>
      </c>
      <c r="AN8" s="569">
        <f>+'골재사업소(당월)'!AN8+'[12]골재사업소(당월)'!AH8</f>
        <v>19561.128229886785</v>
      </c>
      <c r="AO8" s="566">
        <f>+'골재사업소(당월)'!AO8+'[12]골재사업소(당월)'!AI8</f>
        <v>19074</v>
      </c>
      <c r="AP8" s="569">
        <f>AO8-AN8</f>
        <v>-487.12822988678454</v>
      </c>
      <c r="AQ8" s="570">
        <f>AK8+AN8</f>
        <v>24368.323397060809</v>
      </c>
      <c r="AR8" s="566">
        <f>AL8+AO8</f>
        <v>19874</v>
      </c>
      <c r="AS8" s="571">
        <f>AR8-AQ8</f>
        <v>-4494.3233970608089</v>
      </c>
      <c r="AT8" s="570">
        <f>+V8+AH8+AQ8</f>
        <v>94190.485993835013</v>
      </c>
      <c r="AU8" s="566">
        <f>+W8+AI8+AR8</f>
        <v>61670</v>
      </c>
      <c r="AV8" s="571">
        <f>AU8-AT8</f>
        <v>-32520.485993835013</v>
      </c>
    </row>
    <row r="9" spans="1:51" ht="30" customHeight="1">
      <c r="D9" s="493"/>
      <c r="E9" s="572"/>
      <c r="F9" s="573" t="s">
        <v>10</v>
      </c>
      <c r="G9" s="574">
        <f>+G8/G$12</f>
        <v>0.63182108959480376</v>
      </c>
      <c r="H9" s="575">
        <f>+H8/H$12</f>
        <v>0.63416842740718382</v>
      </c>
      <c r="I9" s="576">
        <f>+H9-G9</f>
        <v>2.347337812380057E-3</v>
      </c>
      <c r="J9" s="577">
        <f>+J8/J$12</f>
        <v>0.51182749738479016</v>
      </c>
      <c r="K9" s="575">
        <f>+K8/K$12</f>
        <v>1</v>
      </c>
      <c r="L9" s="578">
        <f>+K9-J9</f>
        <v>0.48817250261520984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 t="e">
        <f>+Q8/Q$12</f>
        <v>#DIV/0!</v>
      </c>
      <c r="R9" s="578" t="e">
        <f>+Q9-P9</f>
        <v>#DIV/0!</v>
      </c>
      <c r="S9" s="577"/>
      <c r="T9" s="575">
        <f>+T8/T$12</f>
        <v>0</v>
      </c>
      <c r="U9" s="578">
        <f>+T9-S9</f>
        <v>0</v>
      </c>
      <c r="V9" s="579">
        <f>+V8/V$12</f>
        <v>0.51299998112220357</v>
      </c>
      <c r="W9" s="575">
        <f>+W8/W$12</f>
        <v>0.51197132616487451</v>
      </c>
      <c r="X9" s="580">
        <f>+W9-V9</f>
        <v>-1.0286549573290671E-3</v>
      </c>
      <c r="Y9" s="574">
        <f>+Y8/Y$12</f>
        <v>0.62845063928968781</v>
      </c>
      <c r="Z9" s="575">
        <f>+Z8/Z$12</f>
        <v>0.89888814976717668</v>
      </c>
      <c r="AA9" s="576">
        <f>+Z9-Y9</f>
        <v>0.27043751047748887</v>
      </c>
      <c r="AB9" s="577">
        <f>+AB8/AB$12</f>
        <v>0.66911181532835451</v>
      </c>
      <c r="AC9" s="575">
        <f>+AC8/AC$12</f>
        <v>0.60430107526881716</v>
      </c>
      <c r="AD9" s="578">
        <f>+AC9-AB9</f>
        <v>-6.4810740059537353E-2</v>
      </c>
      <c r="AE9" s="577">
        <f>+AE8/AE$12</f>
        <v>0</v>
      </c>
      <c r="AF9" s="575" t="e">
        <f>+AF8/AF$12</f>
        <v>#DIV/0!</v>
      </c>
      <c r="AG9" s="578" t="e">
        <f>+AF9-AE9</f>
        <v>#DIV/0!</v>
      </c>
      <c r="AH9" s="579">
        <f>+AH8/AH$12</f>
        <v>0.59303134433673999</v>
      </c>
      <c r="AI9" s="575">
        <f>+AI8/AI$12</f>
        <v>0.73597247589517056</v>
      </c>
      <c r="AJ9" s="580">
        <f>+AI9-AH9</f>
        <v>0.14294113155843058</v>
      </c>
      <c r="AK9" s="578">
        <f>+AK8/AK$12</f>
        <v>0.70619323364717179</v>
      </c>
      <c r="AL9" s="575">
        <f>+AL8/AL$12</f>
        <v>1</v>
      </c>
      <c r="AM9" s="699">
        <f>+AL9-AK9</f>
        <v>0.29380676635282821</v>
      </c>
      <c r="AN9" s="578">
        <f>+AN8/AN$12</f>
        <v>0.66171791813108694</v>
      </c>
      <c r="AO9" s="575">
        <f>+AO8/AO$12</f>
        <v>0.43004982752012266</v>
      </c>
      <c r="AP9" s="578">
        <f>+AO9-AN9</f>
        <v>-0.23166809061096427</v>
      </c>
      <c r="AQ9" s="579">
        <f>+AQ8/AQ$12</f>
        <v>0.67004252934657393</v>
      </c>
      <c r="AR9" s="575">
        <f>+AR8/AR$12</f>
        <v>0.44014794144353642</v>
      </c>
      <c r="AS9" s="580">
        <f>+AR9-AQ9</f>
        <v>-0.22989458790303752</v>
      </c>
      <c r="AT9" s="579">
        <f>+AT8/AT$12</f>
        <v>0.57019316474043324</v>
      </c>
      <c r="AU9" s="575">
        <f>+AU8/AU$12</f>
        <v>0.5807569522266901</v>
      </c>
      <c r="AV9" s="580">
        <f>+AU9-AT9</f>
        <v>1.0563787486256859E-2</v>
      </c>
    </row>
    <row r="10" spans="1:51" ht="30" customHeight="1">
      <c r="D10" s="581"/>
      <c r="E10" s="572"/>
      <c r="F10" s="582" t="s">
        <v>198</v>
      </c>
      <c r="G10" s="583">
        <f>+'골재사업소(당월)'!G10+'[12]골재사업소(당월)'!G10</f>
        <v>16000</v>
      </c>
      <c r="H10" s="584">
        <f>+'골재사업소(당월)'!H10+'[12]골재사업소(당월)'!H10</f>
        <v>2424</v>
      </c>
      <c r="I10" s="585">
        <f>H10-G10</f>
        <v>-13576</v>
      </c>
      <c r="J10" s="586">
        <f>+'골재사업소(당월)'!J10+'[12]골재사업소(당월)'!J10</f>
        <v>14000</v>
      </c>
      <c r="K10" s="584">
        <f>+'골재사업소(당월)'!K10+'[12]골재사업소(당월)'!K10</f>
        <v>0</v>
      </c>
      <c r="L10" s="587">
        <f>K10-J10</f>
        <v>-14000</v>
      </c>
      <c r="M10" s="586">
        <f>+'골재사업소(당월)'!M10+'[12]골재사업소(당월)'!M10</f>
        <v>10000</v>
      </c>
      <c r="N10" s="584">
        <f>+'골재사업소(당월)'!N10+'[12]골재사업소(당월)'!N10</f>
        <v>3664</v>
      </c>
      <c r="O10" s="587">
        <f>N10-M10</f>
        <v>-6336</v>
      </c>
      <c r="P10" s="586"/>
      <c r="Q10" s="584">
        <f>+'[7]서부산크라샤(당월)'!$O$59</f>
        <v>0</v>
      </c>
      <c r="R10" s="587">
        <f>Q10-P10</f>
        <v>0</v>
      </c>
      <c r="S10" s="586"/>
      <c r="T10" s="584">
        <f>+'[7]서부산크라샤(당월)'!$R$59</f>
        <v>720</v>
      </c>
      <c r="U10" s="587">
        <f>T10-S10</f>
        <v>720</v>
      </c>
      <c r="V10" s="588">
        <f>+G10+J10+M10+P10+S10</f>
        <v>40000</v>
      </c>
      <c r="W10" s="584">
        <f>+H10+K10+N10+Q10+T10</f>
        <v>6808</v>
      </c>
      <c r="X10" s="589">
        <f>W10-V10</f>
        <v>-33192</v>
      </c>
      <c r="Y10" s="583">
        <f>+'골재사업소(당월)'!Y10+'[12]골재사업소(당월)'!S10</f>
        <v>8000</v>
      </c>
      <c r="Z10" s="584">
        <f>+'골재사업소(당월)'!Z10+'[12]골재사업소(당월)'!T10</f>
        <v>2128</v>
      </c>
      <c r="AA10" s="585">
        <f>Z10-Y10</f>
        <v>-5872</v>
      </c>
      <c r="AB10" s="586">
        <f>+'골재사업소(당월)'!AB10+'[12]골재사업소(당월)'!V10</f>
        <v>7000</v>
      </c>
      <c r="AC10" s="584">
        <f>+'골재사업소(당월)'!AC10+'[12]골재사업소(당월)'!W10</f>
        <v>10304</v>
      </c>
      <c r="AD10" s="587">
        <f>AC10-AB10</f>
        <v>3304</v>
      </c>
      <c r="AE10" s="586">
        <f>+'골재사업소(당월)'!AE10+'[12]골재사업소(당월)'!Y10</f>
        <v>4000</v>
      </c>
      <c r="AF10" s="584">
        <f>+'골재사업소(당월)'!AF10+'[12]골재사업소(당월)'!Z10</f>
        <v>0</v>
      </c>
      <c r="AG10" s="587">
        <f>AF10-AE10</f>
        <v>-4000</v>
      </c>
      <c r="AH10" s="588">
        <f>+Y10+AB10+AE10</f>
        <v>19000</v>
      </c>
      <c r="AI10" s="584">
        <f>+Z10+AC10+AF10</f>
        <v>12432</v>
      </c>
      <c r="AJ10" s="589">
        <f>AI10-AH10</f>
        <v>-6568</v>
      </c>
      <c r="AK10" s="587">
        <f>+'골재사업소(당월)'!AK10+'[12]골재사업소(당월)'!AE10</f>
        <v>2000</v>
      </c>
      <c r="AL10" s="584">
        <f>+'골재사업소(당월)'!AL10+'[12]골재사업소(당월)'!AF10</f>
        <v>0</v>
      </c>
      <c r="AM10" s="700">
        <f>AL10-AK10</f>
        <v>-2000</v>
      </c>
      <c r="AN10" s="587">
        <f>+'골재사업소(당월)'!AN10+'[12]골재사업소(당월)'!AH10</f>
        <v>10000</v>
      </c>
      <c r="AO10" s="584">
        <f>+'골재사업소(당월)'!AO10+'[12]골재사업소(당월)'!AI10</f>
        <v>25279</v>
      </c>
      <c r="AP10" s="587">
        <f>AO10-AN10</f>
        <v>15279</v>
      </c>
      <c r="AQ10" s="588">
        <f>AK10+AN10</f>
        <v>12000</v>
      </c>
      <c r="AR10" s="584">
        <f>AL10+AO10</f>
        <v>25279</v>
      </c>
      <c r="AS10" s="589">
        <f>AR10-AQ10</f>
        <v>13279</v>
      </c>
      <c r="AT10" s="588">
        <f>+V10+AH10+AQ10</f>
        <v>71000</v>
      </c>
      <c r="AU10" s="584">
        <f>+W10+AI10+AR10</f>
        <v>44519</v>
      </c>
      <c r="AV10" s="589">
        <f>AU10-AT10</f>
        <v>-26481</v>
      </c>
    </row>
    <row r="11" spans="1:51" ht="30" customHeight="1">
      <c r="D11" s="581"/>
      <c r="E11" s="590"/>
      <c r="F11" s="591" t="s">
        <v>10</v>
      </c>
      <c r="G11" s="592">
        <f>+G10/G$12</f>
        <v>0.36817891040519624</v>
      </c>
      <c r="H11" s="593">
        <f>+H10/H$12</f>
        <v>0.36583157259281618</v>
      </c>
      <c r="I11" s="594">
        <f>+H11-G11</f>
        <v>-2.347337812380057E-3</v>
      </c>
      <c r="J11" s="595">
        <f>+J10/J$12</f>
        <v>0.48817250261520984</v>
      </c>
      <c r="K11" s="593">
        <f>+K10/K$12</f>
        <v>0</v>
      </c>
      <c r="L11" s="596">
        <f>+K11-J11</f>
        <v>-0.48817250261520984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 t="e">
        <f>+Q10/Q$12</f>
        <v>#DIV/0!</v>
      </c>
      <c r="R11" s="596" t="e">
        <f>+Q11-P11</f>
        <v>#DIV/0!</v>
      </c>
      <c r="S11" s="595"/>
      <c r="T11" s="593">
        <f>+T10/T$12</f>
        <v>1</v>
      </c>
      <c r="U11" s="596">
        <f>+T11-S11</f>
        <v>1</v>
      </c>
      <c r="V11" s="597">
        <f>+V10/V$12</f>
        <v>0.48700001887779643</v>
      </c>
      <c r="W11" s="593">
        <f>+W10/W$12</f>
        <v>0.48802867383512544</v>
      </c>
      <c r="X11" s="598">
        <f>+W11-V11</f>
        <v>1.0286549573290116E-3</v>
      </c>
      <c r="Y11" s="592">
        <f>+Y10/Y$12</f>
        <v>0.37154936071031219</v>
      </c>
      <c r="Z11" s="593">
        <f>+Z10/Z$12</f>
        <v>0.10111185023282333</v>
      </c>
      <c r="AA11" s="594">
        <f>+Z11-Y11</f>
        <v>-0.27043751047748887</v>
      </c>
      <c r="AB11" s="595">
        <f>+AB10/AB$12</f>
        <v>0.33088818467164555</v>
      </c>
      <c r="AC11" s="593">
        <f>+AC10/AC$12</f>
        <v>0.39569892473118279</v>
      </c>
      <c r="AD11" s="596">
        <f>+AC11-AB11</f>
        <v>6.4810740059537242E-2</v>
      </c>
      <c r="AE11" s="595">
        <f>+AE10/AE$12</f>
        <v>1</v>
      </c>
      <c r="AF11" s="593" t="e">
        <f>+AF10/AF$12</f>
        <v>#DIV/0!</v>
      </c>
      <c r="AG11" s="596" t="e">
        <f>+AF11-AE11</f>
        <v>#DIV/0!</v>
      </c>
      <c r="AH11" s="597">
        <f>+AH10/AH$12</f>
        <v>0.40696865566325996</v>
      </c>
      <c r="AI11" s="593">
        <f>+AI10/AI$12</f>
        <v>0.26402752410482944</v>
      </c>
      <c r="AJ11" s="598">
        <f>+AI11-AH11</f>
        <v>-0.14294113155843052</v>
      </c>
      <c r="AK11" s="596">
        <f>+AK10/AK$12</f>
        <v>0.29380676635282826</v>
      </c>
      <c r="AL11" s="593">
        <f>+AL10/AL$12</f>
        <v>0</v>
      </c>
      <c r="AM11" s="701">
        <f>+AL11-AK11</f>
        <v>-0.29380676635282826</v>
      </c>
      <c r="AN11" s="596">
        <f>+AN10/AN$12</f>
        <v>0.33828208186891312</v>
      </c>
      <c r="AO11" s="593">
        <f>+AO10/AO$12</f>
        <v>0.56995017247987734</v>
      </c>
      <c r="AP11" s="596">
        <f>+AO11-AN11</f>
        <v>0.23166809061096422</v>
      </c>
      <c r="AQ11" s="597">
        <f>+AQ10/AQ$12</f>
        <v>0.32995747065342601</v>
      </c>
      <c r="AR11" s="593">
        <f>+AR10/AR$12</f>
        <v>0.55985205855646358</v>
      </c>
      <c r="AS11" s="598">
        <f>+AR11-AQ11</f>
        <v>0.22989458790303757</v>
      </c>
      <c r="AT11" s="597">
        <f>+AT10/AT$12</f>
        <v>0.42980683525956664</v>
      </c>
      <c r="AU11" s="593">
        <f>+AU10/AU$12</f>
        <v>0.41924304777330984</v>
      </c>
      <c r="AV11" s="598">
        <f>+AU11-AT11</f>
        <v>-1.0563787486256804E-2</v>
      </c>
    </row>
    <row r="12" spans="1:51" ht="30" customHeight="1">
      <c r="D12" s="581"/>
      <c r="E12" s="599"/>
      <c r="F12" s="600" t="s">
        <v>166</v>
      </c>
      <c r="G12" s="601">
        <f>G8+G10</f>
        <v>43457.133333333331</v>
      </c>
      <c r="H12" s="602">
        <f>H8+H10</f>
        <v>6626</v>
      </c>
      <c r="I12" s="603">
        <f t="shared" ref="I12:I32" si="0">H12-G12</f>
        <v>-36831.133333333331</v>
      </c>
      <c r="J12" s="604">
        <f>J8+J10</f>
        <v>28678.387096774193</v>
      </c>
      <c r="K12" s="602">
        <f>K8+K10</f>
        <v>2940</v>
      </c>
      <c r="L12" s="605">
        <f t="shared" ref="L12:L32" si="1">K12-J12</f>
        <v>-25738.387096774193</v>
      </c>
      <c r="M12" s="604">
        <f>M8+M10</f>
        <v>10000</v>
      </c>
      <c r="N12" s="602">
        <f>N8+N10</f>
        <v>3664</v>
      </c>
      <c r="O12" s="605">
        <f t="shared" ref="O12:O32" si="2">N12-M12</f>
        <v>-6336</v>
      </c>
      <c r="P12" s="604"/>
      <c r="Q12" s="602">
        <f>Q8+Q10</f>
        <v>0</v>
      </c>
      <c r="R12" s="605">
        <f t="shared" ref="R12:R32" si="3">Q12-P12</f>
        <v>0</v>
      </c>
      <c r="S12" s="604"/>
      <c r="T12" s="602">
        <f>T8+T10</f>
        <v>720</v>
      </c>
      <c r="U12" s="605">
        <f t="shared" ref="U12:U32" si="4">T12-S12</f>
        <v>720</v>
      </c>
      <c r="V12" s="606">
        <f>V8+V10</f>
        <v>82135.520430107528</v>
      </c>
      <c r="W12" s="602">
        <f>W8+W10</f>
        <v>13950</v>
      </c>
      <c r="X12" s="607">
        <f t="shared" ref="X12:X32" si="5">W12-V12</f>
        <v>-68185.520430107528</v>
      </c>
      <c r="Y12" s="601">
        <f>Y8+Y10</f>
        <v>21531.459466666667</v>
      </c>
      <c r="Z12" s="602">
        <f>Z8+Z10</f>
        <v>21046</v>
      </c>
      <c r="AA12" s="603">
        <f t="shared" ref="AA12:AA32" si="6">Z12-Y12</f>
        <v>-485.45946666666714</v>
      </c>
      <c r="AB12" s="604">
        <f>AB8+AB10</f>
        <v>21155.182699999998</v>
      </c>
      <c r="AC12" s="602">
        <f>AC8+AC10</f>
        <v>26040</v>
      </c>
      <c r="AD12" s="605">
        <f t="shared" ref="AD12:AD32" si="7">AC12-AB12</f>
        <v>4884.8173000000024</v>
      </c>
      <c r="AE12" s="604">
        <f>AE8+AE10</f>
        <v>4000</v>
      </c>
      <c r="AF12" s="602">
        <f>AF8+AF10</f>
        <v>0</v>
      </c>
      <c r="AG12" s="605">
        <f t="shared" ref="AG12:AG32" si="8">AF12-AE12</f>
        <v>-4000</v>
      </c>
      <c r="AH12" s="606">
        <f>AH8+AH10</f>
        <v>46686.642166666665</v>
      </c>
      <c r="AI12" s="602">
        <f>AI8+AI10</f>
        <v>47086</v>
      </c>
      <c r="AJ12" s="607">
        <f t="shared" ref="AJ12:AJ32" si="9">AI12-AH12</f>
        <v>399.35783333333529</v>
      </c>
      <c r="AK12" s="605">
        <f>AK8+AK10</f>
        <v>6807.1951671740235</v>
      </c>
      <c r="AL12" s="602">
        <f>AL8+AL10</f>
        <v>800</v>
      </c>
      <c r="AM12" s="702">
        <f t="shared" ref="AM12:AM32" si="10">AL12-AK12</f>
        <v>-6007.1951671740235</v>
      </c>
      <c r="AN12" s="605">
        <f>AN8+AN10</f>
        <v>29561.128229886785</v>
      </c>
      <c r="AO12" s="602">
        <f>AO8+AO10</f>
        <v>44353</v>
      </c>
      <c r="AP12" s="605">
        <f t="shared" ref="AP12:AP32" si="11">AO12-AN12</f>
        <v>14791.871770113215</v>
      </c>
      <c r="AQ12" s="606">
        <f>AQ8+AQ10</f>
        <v>36368.323397060813</v>
      </c>
      <c r="AR12" s="602">
        <f>AR8+AR10</f>
        <v>45153</v>
      </c>
      <c r="AS12" s="607">
        <f t="shared" ref="AS12:AS32" si="12">AR12-AQ12</f>
        <v>8784.6766029391874</v>
      </c>
      <c r="AT12" s="606">
        <f>AT8+AT10</f>
        <v>165190.48599383503</v>
      </c>
      <c r="AU12" s="602">
        <f>AU8+AU10</f>
        <v>106189</v>
      </c>
      <c r="AV12" s="607">
        <f t="shared" ref="AV12:AV32" si="13">AU12-AT12</f>
        <v>-59001.485993835027</v>
      </c>
      <c r="AX12" s="6">
        <f>+'골재사업소(당월)'!AX12+'[12]골재사업소(당월)'!AR12</f>
        <v>165190.48599383497</v>
      </c>
      <c r="AY12" s="6">
        <f>+'골재사업소(당월)'!AY12+'[12]골재사업소(당월)'!AS12</f>
        <v>106189</v>
      </c>
    </row>
    <row r="13" spans="1:51" ht="30" customHeight="1">
      <c r="D13" s="581"/>
      <c r="E13" s="563" t="s">
        <v>124</v>
      </c>
      <c r="F13" s="564" t="s">
        <v>197</v>
      </c>
      <c r="G13" s="565">
        <f>+'골재사업소(당월)'!G13+'[12]골재사업소(당월)'!G13</f>
        <v>400281.2</v>
      </c>
      <c r="H13" s="566">
        <f>+'골재사업소(당월)'!H13+'[12]골재사업소(당월)'!H13</f>
        <v>63298</v>
      </c>
      <c r="I13" s="567">
        <f t="shared" si="0"/>
        <v>-336983.2</v>
      </c>
      <c r="J13" s="568">
        <f>+'골재사업소(당월)'!J13+'[12]골재사업소(당월)'!J13</f>
        <v>307490.19354838709</v>
      </c>
      <c r="K13" s="566">
        <f>+'골재사업소(당월)'!K13+'[12]골재사업소(당월)'!K13</f>
        <v>61704</v>
      </c>
      <c r="L13" s="569">
        <f t="shared" si="1"/>
        <v>-245786.19354838709</v>
      </c>
      <c r="M13" s="568">
        <f>+'골재사업소(당월)'!M13+'[12]골재사업소(당월)'!M13</f>
        <v>0</v>
      </c>
      <c r="N13" s="566">
        <f>+'골재사업소(당월)'!N13+'[12]골재사업소(당월)'!N13</f>
        <v>0</v>
      </c>
      <c r="O13" s="569">
        <f t="shared" si="2"/>
        <v>0</v>
      </c>
      <c r="P13" s="568"/>
      <c r="Q13" s="566">
        <f>+'[7]서부산크라샤(당월)'!$O$72</f>
        <v>0</v>
      </c>
      <c r="R13" s="569">
        <f t="shared" si="3"/>
        <v>0</v>
      </c>
      <c r="S13" s="568"/>
      <c r="T13" s="566">
        <f>+'[7]서부산크라샤(당월)'!$R$72</f>
        <v>0</v>
      </c>
      <c r="U13" s="569">
        <f t="shared" si="4"/>
        <v>0</v>
      </c>
      <c r="V13" s="570">
        <f>+G13+J13+M13+P13+S13</f>
        <v>707771.3935483871</v>
      </c>
      <c r="W13" s="566">
        <f>+H13+K13+N13+Q13+T13</f>
        <v>125002</v>
      </c>
      <c r="X13" s="571">
        <f t="shared" si="5"/>
        <v>-582769.3935483871</v>
      </c>
      <c r="Y13" s="565">
        <f>+'골재사업소(당월)'!Y13+'[12]골재사업소(당월)'!S13</f>
        <v>236800.5406666667</v>
      </c>
      <c r="Z13" s="566">
        <f>+'골재사업소(당월)'!Z13+'[12]골재사업소(당월)'!T13</f>
        <v>298945</v>
      </c>
      <c r="AA13" s="567">
        <f t="shared" si="6"/>
        <v>62144.459333333303</v>
      </c>
      <c r="AB13" s="568">
        <f>+'골재사업소(당월)'!AB13+'[12]골재사업소(당월)'!V13</f>
        <v>331246.51544999995</v>
      </c>
      <c r="AC13" s="566">
        <f>+'골재사업소(당월)'!AC13+'[12]골재사업소(당월)'!W13</f>
        <v>339700</v>
      </c>
      <c r="AD13" s="569">
        <f t="shared" si="7"/>
        <v>8453.484550000052</v>
      </c>
      <c r="AE13" s="568">
        <f>+'골재사업소(당월)'!AE13+'[12]골재사업소(당월)'!Y13</f>
        <v>0</v>
      </c>
      <c r="AF13" s="566">
        <f>+'골재사업소(당월)'!AF13+'[12]골재사업소(당월)'!Z13</f>
        <v>0</v>
      </c>
      <c r="AG13" s="569">
        <f t="shared" si="8"/>
        <v>0</v>
      </c>
      <c r="AH13" s="570">
        <f>+Y13+AB13+AE13</f>
        <v>568047.05611666664</v>
      </c>
      <c r="AI13" s="566">
        <f>+Z13+AC13+AF13</f>
        <v>638645</v>
      </c>
      <c r="AJ13" s="571">
        <f t="shared" si="9"/>
        <v>70597.943883333355</v>
      </c>
      <c r="AK13" s="569">
        <f>+'골재사업소(당월)'!AK13+'[12]골재사업소(당월)'!AE13</f>
        <v>167434.24725351782</v>
      </c>
      <c r="AL13" s="566">
        <f>+'골재사업소(당월)'!AL13+'[12]골재사업소(당월)'!AF13</f>
        <v>30400</v>
      </c>
      <c r="AM13" s="698">
        <f t="shared" si="10"/>
        <v>-137034.24725351782</v>
      </c>
      <c r="AN13" s="711">
        <f>+'골재사업소(당월)'!AN13+'[12]골재사업소(당월)'!AH13</f>
        <v>696831.06934246235</v>
      </c>
      <c r="AO13" s="566">
        <f>+'골재사업소(당월)'!AO13+'[12]골재사업소(당월)'!AI13</f>
        <v>549888</v>
      </c>
      <c r="AP13" s="569">
        <f t="shared" si="11"/>
        <v>-146943.06934246235</v>
      </c>
      <c r="AQ13" s="570">
        <f>AK13+AN13</f>
        <v>864265.3165959802</v>
      </c>
      <c r="AR13" s="566">
        <f>AL13+AO13</f>
        <v>580288</v>
      </c>
      <c r="AS13" s="571">
        <f t="shared" si="12"/>
        <v>-283977.3165959802</v>
      </c>
      <c r="AT13" s="570">
        <f>+V13+AH13+AQ13</f>
        <v>2140083.7662610337</v>
      </c>
      <c r="AU13" s="566">
        <f>+W13+AI13+AR13</f>
        <v>1343935</v>
      </c>
      <c r="AV13" s="571">
        <f t="shared" si="13"/>
        <v>-796148.76626103371</v>
      </c>
      <c r="AX13" s="6" t="b">
        <f>+AX12=AT12</f>
        <v>1</v>
      </c>
      <c r="AY13" s="6" t="b">
        <f>+AY12=AU12</f>
        <v>1</v>
      </c>
    </row>
    <row r="14" spans="1:51" ht="30" customHeight="1">
      <c r="D14" s="581"/>
      <c r="E14" s="590"/>
      <c r="F14" s="608" t="s">
        <v>199</v>
      </c>
      <c r="G14" s="609">
        <f>+G13/G8*1000</f>
        <v>14578.404640445593</v>
      </c>
      <c r="H14" s="610">
        <f>+H13/H8*1000</f>
        <v>15063.779152784387</v>
      </c>
      <c r="I14" s="611">
        <f t="shared" si="0"/>
        <v>485.37451233879437</v>
      </c>
      <c r="J14" s="612">
        <f>+J13/J8*1000</f>
        <v>20948.500098894576</v>
      </c>
      <c r="K14" s="610">
        <f>+K13/K8*1000</f>
        <v>20987.755102040814</v>
      </c>
      <c r="L14" s="613">
        <f t="shared" si="1"/>
        <v>39.255003146237868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16797.499741872321</v>
      </c>
      <c r="W14" s="610">
        <f>+W13/W8*1000</f>
        <v>17502.380285634277</v>
      </c>
      <c r="X14" s="615">
        <f t="shared" si="5"/>
        <v>704.88054376195578</v>
      </c>
      <c r="Y14" s="609">
        <f>+Y13/Y8*1000</f>
        <v>17500</v>
      </c>
      <c r="Z14" s="610">
        <f>+Z13/Z8*1000</f>
        <v>15802.146104239348</v>
      </c>
      <c r="AA14" s="611">
        <f t="shared" si="6"/>
        <v>-1697.8538957606524</v>
      </c>
      <c r="AB14" s="612">
        <f>+AB13/AB8*1000</f>
        <v>23401.07665653796</v>
      </c>
      <c r="AC14" s="610">
        <f>+AC13/AC8*1000</f>
        <v>21587.442806304014</v>
      </c>
      <c r="AD14" s="613">
        <f t="shared" si="7"/>
        <v>-1813.6338502339459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20517.007902119924</v>
      </c>
      <c r="AI14" s="610">
        <f>+AI13/AI8*1000</f>
        <v>18429.185663992612</v>
      </c>
      <c r="AJ14" s="615">
        <f t="shared" si="9"/>
        <v>-2087.8222381273117</v>
      </c>
      <c r="AK14" s="613">
        <f>+AK13/AK8*1000</f>
        <v>34829.92502506329</v>
      </c>
      <c r="AL14" s="610">
        <f>+AL13/AL8*1000</f>
        <v>38000</v>
      </c>
      <c r="AM14" s="703">
        <f t="shared" si="10"/>
        <v>3170.0749749367096</v>
      </c>
      <c r="AN14" s="613">
        <f>+AN13/AN8*1000</f>
        <v>35623.255527653957</v>
      </c>
      <c r="AO14" s="610">
        <f>+AO13/AO8*1000</f>
        <v>28829.191569675997</v>
      </c>
      <c r="AP14" s="613">
        <f t="shared" si="11"/>
        <v>-6794.0639579779599</v>
      </c>
      <c r="AQ14" s="614">
        <f>+AQ13/AQ8*1000</f>
        <v>35466.753395936285</v>
      </c>
      <c r="AR14" s="610">
        <f>+AR13/AR8*1000</f>
        <v>29198.349602495724</v>
      </c>
      <c r="AS14" s="615">
        <f t="shared" si="12"/>
        <v>-6268.4037934405605</v>
      </c>
      <c r="AT14" s="614">
        <f>+AT13/AT8*1000</f>
        <v>22720.806073780182</v>
      </c>
      <c r="AU14" s="610">
        <f>+AU13/AU8*1000</f>
        <v>21792.362574995946</v>
      </c>
      <c r="AV14" s="615">
        <f t="shared" si="13"/>
        <v>-928.443498784236</v>
      </c>
    </row>
    <row r="15" spans="1:51" ht="30" customHeight="1">
      <c r="D15" s="581"/>
      <c r="E15" s="713"/>
      <c r="F15" s="617" t="s">
        <v>198</v>
      </c>
      <c r="G15" s="618">
        <f>+'골재사업소(당월)'!G15+'[12]골재사업소(당월)'!G15</f>
        <v>184000</v>
      </c>
      <c r="H15" s="619">
        <f>+'골재사업소(당월)'!H15+'[12]골재사업소(당월)'!H15</f>
        <v>27876</v>
      </c>
      <c r="I15" s="620">
        <f t="shared" si="0"/>
        <v>-156124</v>
      </c>
      <c r="J15" s="621">
        <f>+'골재사업소(당월)'!J15+'[12]골재사업소(당월)'!J15</f>
        <v>210000</v>
      </c>
      <c r="K15" s="619">
        <f>+'골재사업소(당월)'!K15+'[12]골재사업소(당월)'!K15</f>
        <v>0</v>
      </c>
      <c r="L15" s="622">
        <f t="shared" si="1"/>
        <v>-210000</v>
      </c>
      <c r="M15" s="621">
        <f>+'골재사업소(당월)'!M15+'[12]골재사업소(당월)'!M15</f>
        <v>90000</v>
      </c>
      <c r="N15" s="619">
        <f>+'골재사업소(당월)'!N15+'[12]골재사업소(당월)'!N15</f>
        <v>31144</v>
      </c>
      <c r="O15" s="622">
        <f t="shared" si="2"/>
        <v>-58856</v>
      </c>
      <c r="P15" s="621"/>
      <c r="Q15" s="619">
        <f>+'[7]서부산크라샤(당월)'!$O$71</f>
        <v>0</v>
      </c>
      <c r="R15" s="622">
        <f t="shared" si="3"/>
        <v>0</v>
      </c>
      <c r="S15" s="621"/>
      <c r="T15" s="619">
        <f>+'[7]서부산크라샤(당월)'!$R$71</f>
        <v>6480</v>
      </c>
      <c r="U15" s="622">
        <f t="shared" si="4"/>
        <v>6480</v>
      </c>
      <c r="V15" s="623">
        <f>+G15+J15+M15+P15+S15</f>
        <v>484000</v>
      </c>
      <c r="W15" s="619">
        <f>+H15+K15+N15+Q15+T15</f>
        <v>65500</v>
      </c>
      <c r="X15" s="624">
        <f t="shared" si="5"/>
        <v>-418500</v>
      </c>
      <c r="Y15" s="618">
        <f>+'골재사업소(당월)'!Y15+'[12]골재사업소(당월)'!S15</f>
        <v>104000</v>
      </c>
      <c r="Z15" s="619">
        <f>+'골재사업소(당월)'!Z15+'[12]골재사업소(당월)'!T15</f>
        <v>27664</v>
      </c>
      <c r="AA15" s="620">
        <f t="shared" si="6"/>
        <v>-76336</v>
      </c>
      <c r="AB15" s="621">
        <f>+'골재사업소(당월)'!AB15+'[12]골재사업소(당월)'!V15</f>
        <v>126000</v>
      </c>
      <c r="AC15" s="619">
        <f>+'골재사업소(당월)'!AC15+'[12]골재사업소(당월)'!W15</f>
        <v>185792</v>
      </c>
      <c r="AD15" s="622">
        <f t="shared" si="7"/>
        <v>59792</v>
      </c>
      <c r="AE15" s="621">
        <f>+'골재사업소(당월)'!AE15+'[12]골재사업소(당월)'!Y15</f>
        <v>36000</v>
      </c>
      <c r="AF15" s="619">
        <f>+'골재사업소(당월)'!AF15+'[12]골재사업소(당월)'!Z15</f>
        <v>0</v>
      </c>
      <c r="AG15" s="622">
        <f t="shared" si="8"/>
        <v>-36000</v>
      </c>
      <c r="AH15" s="623">
        <f>+Y15+AB15+AE15</f>
        <v>266000</v>
      </c>
      <c r="AI15" s="619">
        <f>+Z15+AC15+AF15</f>
        <v>213456</v>
      </c>
      <c r="AJ15" s="624">
        <f t="shared" si="9"/>
        <v>-52544</v>
      </c>
      <c r="AK15" s="622">
        <f>+'골재사업소(당월)'!AK15+'[12]골재사업소(당월)'!AE15</f>
        <v>70000</v>
      </c>
      <c r="AL15" s="619">
        <f>+'골재사업소(당월)'!AL15+'[12]골재사업소(당월)'!AF15</f>
        <v>0</v>
      </c>
      <c r="AM15" s="704">
        <f t="shared" si="10"/>
        <v>-70000</v>
      </c>
      <c r="AN15" s="622">
        <f>+'골재사업소(당월)'!AN15+'[12]골재사업소(당월)'!AH15</f>
        <v>275000</v>
      </c>
      <c r="AO15" s="619">
        <f>+'골재사업소(당월)'!AO15+'[12]골재사업소(당월)'!AI15</f>
        <v>671440.5</v>
      </c>
      <c r="AP15" s="622">
        <f t="shared" si="11"/>
        <v>396440.5</v>
      </c>
      <c r="AQ15" s="623">
        <f>AK15+AN15</f>
        <v>345000</v>
      </c>
      <c r="AR15" s="619">
        <f>AL15+AO15</f>
        <v>671440.5</v>
      </c>
      <c r="AS15" s="624">
        <f t="shared" si="12"/>
        <v>326440.5</v>
      </c>
      <c r="AT15" s="623">
        <f>+V15+AH15+AQ15</f>
        <v>1095000</v>
      </c>
      <c r="AU15" s="619">
        <f>+W15+AI15+AR15</f>
        <v>950396.5</v>
      </c>
      <c r="AV15" s="624">
        <f t="shared" si="13"/>
        <v>-144603.5</v>
      </c>
    </row>
    <row r="16" spans="1:51" ht="30" customHeight="1">
      <c r="D16" s="479"/>
      <c r="E16" s="713"/>
      <c r="F16" s="608" t="s">
        <v>199</v>
      </c>
      <c r="G16" s="609">
        <f>IFERROR(G15/G10,)*1000</f>
        <v>11500</v>
      </c>
      <c r="H16" s="610">
        <f>IFERROR(H15/H10,)*1000</f>
        <v>11500</v>
      </c>
      <c r="I16" s="611">
        <f t="shared" si="0"/>
        <v>0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0</v>
      </c>
      <c r="R16" s="613">
        <f t="shared" si="3"/>
        <v>0</v>
      </c>
      <c r="S16" s="612"/>
      <c r="T16" s="610">
        <f>IFERROR(T15/T10,)*1000</f>
        <v>9000</v>
      </c>
      <c r="U16" s="613">
        <f t="shared" si="4"/>
        <v>9000</v>
      </c>
      <c r="V16" s="614">
        <f>IFERROR(V15/V10,)*1000</f>
        <v>12100</v>
      </c>
      <c r="W16" s="610">
        <f>IFERROR(W15/W10,)*1000</f>
        <v>9621.0340775558161</v>
      </c>
      <c r="X16" s="615">
        <f t="shared" si="5"/>
        <v>-2478.9659224441839</v>
      </c>
      <c r="Y16" s="609">
        <f>IFERROR(Y15/Y10,)*1000</f>
        <v>13000</v>
      </c>
      <c r="Z16" s="610">
        <f>IFERROR(Z15/Z10,)*1000</f>
        <v>13000</v>
      </c>
      <c r="AA16" s="611">
        <f t="shared" si="6"/>
        <v>0</v>
      </c>
      <c r="AB16" s="612">
        <f>IFERROR(AB15/AB10,)*1000</f>
        <v>18000</v>
      </c>
      <c r="AC16" s="610">
        <f>IFERROR(AC15/AC10,)*1000</f>
        <v>18031.055900621119</v>
      </c>
      <c r="AD16" s="613">
        <f t="shared" si="7"/>
        <v>31.055900621118781</v>
      </c>
      <c r="AE16" s="612">
        <f>IFERROR(AE15/AE10,)*1000</f>
        <v>9000</v>
      </c>
      <c r="AF16" s="610">
        <f>IFERROR(AF15/AF10,)*1000</f>
        <v>0</v>
      </c>
      <c r="AG16" s="613">
        <f t="shared" si="8"/>
        <v>-9000</v>
      </c>
      <c r="AH16" s="614">
        <f>IFERROR(AH15/AH10,)*1000</f>
        <v>14000</v>
      </c>
      <c r="AI16" s="610">
        <f>IFERROR(AI15/AI10,)*1000</f>
        <v>17169.884169884172</v>
      </c>
      <c r="AJ16" s="615">
        <f t="shared" si="9"/>
        <v>3169.8841698841716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26561.197041022195</v>
      </c>
      <c r="AP16" s="613">
        <f t="shared" si="11"/>
        <v>-938.80295897780525</v>
      </c>
      <c r="AQ16" s="614">
        <f>IFERROR(AQ15/AQ10,)*1000</f>
        <v>28750</v>
      </c>
      <c r="AR16" s="610">
        <f>IFERROR(AR15/AR10,)*1000</f>
        <v>26561.197041022195</v>
      </c>
      <c r="AS16" s="615">
        <f t="shared" si="12"/>
        <v>-2188.8029589778052</v>
      </c>
      <c r="AT16" s="614">
        <f>IFERROR(AT15/AT10,)*1000</f>
        <v>15422.535211267606</v>
      </c>
      <c r="AU16" s="610">
        <f>IFERROR(AU15/AU10,)*1000</f>
        <v>21348.109795817516</v>
      </c>
      <c r="AV16" s="615">
        <f t="shared" si="13"/>
        <v>5925.5745845499096</v>
      </c>
    </row>
    <row r="17" spans="4:51" ht="30" customHeight="1">
      <c r="D17" s="479"/>
      <c r="E17" s="713"/>
      <c r="F17" s="625" t="s">
        <v>166</v>
      </c>
      <c r="G17" s="618">
        <f>G13+G15</f>
        <v>584281.19999999995</v>
      </c>
      <c r="H17" s="619">
        <f>H13+H15</f>
        <v>91174</v>
      </c>
      <c r="I17" s="620">
        <f t="shared" si="0"/>
        <v>-493107.19999999995</v>
      </c>
      <c r="J17" s="621">
        <f>J13+J15</f>
        <v>517490.19354838709</v>
      </c>
      <c r="K17" s="619">
        <f>K13+K15</f>
        <v>61704</v>
      </c>
      <c r="L17" s="622">
        <f t="shared" si="1"/>
        <v>-455786.19354838709</v>
      </c>
      <c r="M17" s="621">
        <f>M13+M15</f>
        <v>90000</v>
      </c>
      <c r="N17" s="619">
        <f>N13+N15</f>
        <v>31144</v>
      </c>
      <c r="O17" s="622">
        <f t="shared" si="2"/>
        <v>-58856</v>
      </c>
      <c r="P17" s="621"/>
      <c r="Q17" s="619">
        <f>Q13+Q15</f>
        <v>0</v>
      </c>
      <c r="R17" s="622">
        <f t="shared" si="3"/>
        <v>0</v>
      </c>
      <c r="S17" s="621"/>
      <c r="T17" s="619">
        <f>T13+T15</f>
        <v>6480</v>
      </c>
      <c r="U17" s="622">
        <f t="shared" si="4"/>
        <v>6480</v>
      </c>
      <c r="V17" s="623">
        <f>V13+V15</f>
        <v>1191771.3935483871</v>
      </c>
      <c r="W17" s="619">
        <f>W13+W15</f>
        <v>190502</v>
      </c>
      <c r="X17" s="624">
        <f t="shared" si="5"/>
        <v>-1001269.3935483871</v>
      </c>
      <c r="Y17" s="618">
        <f>Y13+Y15</f>
        <v>340800.5406666667</v>
      </c>
      <c r="Z17" s="619">
        <f>Z13+Z15</f>
        <v>326609</v>
      </c>
      <c r="AA17" s="620">
        <f t="shared" si="6"/>
        <v>-14191.540666666697</v>
      </c>
      <c r="AB17" s="621">
        <f>AB13+AB15</f>
        <v>457246.51544999995</v>
      </c>
      <c r="AC17" s="619">
        <f>AC13+AC15</f>
        <v>525492</v>
      </c>
      <c r="AD17" s="622">
        <f t="shared" si="7"/>
        <v>68245.484550000052</v>
      </c>
      <c r="AE17" s="621">
        <f>AE13+AE15</f>
        <v>36000</v>
      </c>
      <c r="AF17" s="619">
        <f>AF13+AF15</f>
        <v>0</v>
      </c>
      <c r="AG17" s="622">
        <f t="shared" si="8"/>
        <v>-36000</v>
      </c>
      <c r="AH17" s="623">
        <f>AH13+AH15</f>
        <v>834047.05611666664</v>
      </c>
      <c r="AI17" s="619">
        <f>AI13+AI15</f>
        <v>852101</v>
      </c>
      <c r="AJ17" s="624">
        <f t="shared" si="9"/>
        <v>18053.943883333355</v>
      </c>
      <c r="AK17" s="622">
        <f>AK13+AK15</f>
        <v>237434.24725351782</v>
      </c>
      <c r="AL17" s="619">
        <f>AL13+AL15</f>
        <v>30400</v>
      </c>
      <c r="AM17" s="704">
        <f t="shared" si="10"/>
        <v>-207034.24725351782</v>
      </c>
      <c r="AN17" s="622">
        <f>AN13+AN15</f>
        <v>971831.06934246235</v>
      </c>
      <c r="AO17" s="619">
        <f>AO13+AO15</f>
        <v>1221328.5</v>
      </c>
      <c r="AP17" s="622">
        <f t="shared" si="11"/>
        <v>249497.43065753765</v>
      </c>
      <c r="AQ17" s="623">
        <f>AQ13+AQ15</f>
        <v>1209265.3165959802</v>
      </c>
      <c r="AR17" s="619">
        <f>AR13+AR15</f>
        <v>1251728.5</v>
      </c>
      <c r="AS17" s="624">
        <f t="shared" si="12"/>
        <v>42463.183404019801</v>
      </c>
      <c r="AT17" s="623">
        <f>AT13+AT15</f>
        <v>3235083.7662610337</v>
      </c>
      <c r="AU17" s="619">
        <f>AU13+AU15</f>
        <v>2294331.5</v>
      </c>
      <c r="AV17" s="624">
        <f t="shared" si="13"/>
        <v>-940752.26626103371</v>
      </c>
      <c r="AX17" s="6">
        <f>+'골재사업소(당월)'!AX17+'[12]골재사업소(당월)'!AR17</f>
        <v>3235083.7662610337</v>
      </c>
      <c r="AY17" s="6">
        <f>+'골재사업소(당월)'!AY17+'[12]골재사업소(당월)'!AS17</f>
        <v>2294331.5</v>
      </c>
    </row>
    <row r="18" spans="4:51" ht="30" customHeight="1">
      <c r="D18" s="479"/>
      <c r="E18" s="626" t="s">
        <v>7</v>
      </c>
      <c r="F18" s="627" t="s">
        <v>200</v>
      </c>
      <c r="G18" s="628">
        <f>+'골재사업소(당월)'!G18+'[12]골재사업소(당월)'!G18</f>
        <v>56687.582883854135</v>
      </c>
      <c r="H18" s="629">
        <f>+'골재사업소(당월)'!H18+'[12]골재사업소(당월)'!H18</f>
        <v>6684.5087684833979</v>
      </c>
      <c r="I18" s="630">
        <f t="shared" si="0"/>
        <v>-50003.074115370735</v>
      </c>
      <c r="J18" s="631">
        <f>+'골재사업소(당월)'!J18+'[12]골재사업소(당월)'!J18</f>
        <v>43115.732600426403</v>
      </c>
      <c r="K18" s="629">
        <f>+'골재사업소(당월)'!K18+'[12]골재사업소(당월)'!K18</f>
        <v>21439.204327682266</v>
      </c>
      <c r="L18" s="632">
        <f t="shared" si="1"/>
        <v>-21676.528272744137</v>
      </c>
      <c r="M18" s="631">
        <f>+'골재사업소(당월)'!M18+'[12]골재사업소(당월)'!M18</f>
        <v>0</v>
      </c>
      <c r="N18" s="629">
        <f>+'골재사업소(당월)'!N18+'[12]골재사업소(당월)'!N18</f>
        <v>0</v>
      </c>
      <c r="O18" s="632">
        <f t="shared" si="2"/>
        <v>0</v>
      </c>
      <c r="P18" s="631"/>
      <c r="Q18" s="629">
        <f>+'[7]서부산크라샤(당월)'!$O$87</f>
        <v>0</v>
      </c>
      <c r="R18" s="632">
        <f t="shared" si="3"/>
        <v>0</v>
      </c>
      <c r="S18" s="631"/>
      <c r="T18" s="629">
        <f>+'[7]서부산크라샤(당월)'!$R$87</f>
        <v>0</v>
      </c>
      <c r="U18" s="632">
        <f t="shared" si="4"/>
        <v>0</v>
      </c>
      <c r="V18" s="633">
        <f>+G18+J18+M18+P18+S18</f>
        <v>99803.315484280538</v>
      </c>
      <c r="W18" s="629">
        <f>+H18+K18+N18+Q18+T18</f>
        <v>28123.713096165666</v>
      </c>
      <c r="X18" s="634">
        <f t="shared" si="5"/>
        <v>-71679.602388114872</v>
      </c>
      <c r="Y18" s="628">
        <f>+'골재사업소(당월)'!Y18+'[12]골재사업소(당월)'!S18</f>
        <v>-8930.1258077741168</v>
      </c>
      <c r="Z18" s="629">
        <f>+'골재사업소(당월)'!Z18+'[12]골재사업소(당월)'!T18</f>
        <v>-148228.45727667504</v>
      </c>
      <c r="AA18" s="630">
        <f t="shared" si="6"/>
        <v>-139298.33146890093</v>
      </c>
      <c r="AB18" s="631">
        <f>+'골재사업소(당월)'!AB18+'[12]골재사업소(당월)'!V18</f>
        <v>-20600.263222813301</v>
      </c>
      <c r="AC18" s="629">
        <f>+'골재사업소(당월)'!AC18+'[12]골재사업소(당월)'!W18</f>
        <v>-35256.006484909449</v>
      </c>
      <c r="AD18" s="632">
        <f t="shared" si="7"/>
        <v>-14655.743262096148</v>
      </c>
      <c r="AE18" s="631">
        <f>+'골재사업소(당월)'!AE18+'[12]골재사업소(당월)'!Y18</f>
        <v>0</v>
      </c>
      <c r="AF18" s="629">
        <f>+'골재사업소(당월)'!AF18+'[12]골재사업소(당월)'!Z18</f>
        <v>0</v>
      </c>
      <c r="AG18" s="632">
        <f t="shared" si="8"/>
        <v>0</v>
      </c>
      <c r="AH18" s="633">
        <f>+Y18+AB18+AE18</f>
        <v>-29530.389030587416</v>
      </c>
      <c r="AI18" s="629">
        <f>+Z18+AC18+AF18</f>
        <v>-183484.46376158448</v>
      </c>
      <c r="AJ18" s="634">
        <f t="shared" si="9"/>
        <v>-153954.07473099706</v>
      </c>
      <c r="AK18" s="632">
        <f>+'골재사업소(당월)'!AK18+'[12]골재사업소(당월)'!AE18</f>
        <v>69659.505357904476</v>
      </c>
      <c r="AL18" s="629">
        <f>+'골재사업소(당월)'!AL18+'[12]골재사업소(당월)'!AF18</f>
        <v>6328.7489999999998</v>
      </c>
      <c r="AM18" s="705">
        <f t="shared" si="10"/>
        <v>-63330.75635790448</v>
      </c>
      <c r="AN18" s="632">
        <f>+'골재사업소(당월)'!AN18+'[12]골재사업소(당월)'!AH18</f>
        <v>149694.19105287161</v>
      </c>
      <c r="AO18" s="629">
        <f>+'골재사업소(당월)'!AO18+'[12]골재사업소(당월)'!AI18</f>
        <v>21248.152999999998</v>
      </c>
      <c r="AP18" s="632">
        <f t="shared" si="11"/>
        <v>-128446.03805287162</v>
      </c>
      <c r="AQ18" s="633">
        <f>AK18+AN18</f>
        <v>219353.69641077609</v>
      </c>
      <c r="AR18" s="629">
        <f>AL18+AO18</f>
        <v>27576.901999999998</v>
      </c>
      <c r="AS18" s="634">
        <f t="shared" si="12"/>
        <v>-191776.79441077608</v>
      </c>
      <c r="AT18" s="633">
        <f>+V18+AH18+AQ18</f>
        <v>289626.62286446919</v>
      </c>
      <c r="AU18" s="629">
        <f>+W18+AI18+AR18</f>
        <v>-127783.8486654188</v>
      </c>
      <c r="AV18" s="634">
        <f t="shared" si="13"/>
        <v>-417410.47152988799</v>
      </c>
      <c r="AX18" s="6" t="b">
        <f>+AX17=AT17</f>
        <v>1</v>
      </c>
      <c r="AY18" s="6" t="b">
        <f>+AY17=AU17</f>
        <v>1</v>
      </c>
    </row>
    <row r="19" spans="4:51" ht="30" customHeight="1">
      <c r="D19" s="479"/>
      <c r="E19" s="635"/>
      <c r="F19" s="636" t="s">
        <v>201</v>
      </c>
      <c r="G19" s="637">
        <f>+'골재사업소(당월)'!G19+'[12]골재사업소(당월)'!G19</f>
        <v>25634.293696151057</v>
      </c>
      <c r="H19" s="638">
        <f>+'골재사업소(당월)'!H19+'[12]골재사업소(당월)'!H19</f>
        <v>-122018.51333167368</v>
      </c>
      <c r="I19" s="639">
        <f t="shared" si="0"/>
        <v>-147652.80702782475</v>
      </c>
      <c r="J19" s="640">
        <f>+'골재사업소(당월)'!J19+'[12]골재사업소(당월)'!J19</f>
        <v>29256.530848868053</v>
      </c>
      <c r="K19" s="638">
        <f>+'골재사업소(당월)'!K19+'[12]골재사업소(당월)'!K19</f>
        <v>0</v>
      </c>
      <c r="L19" s="641">
        <f t="shared" si="1"/>
        <v>-29256.530848868053</v>
      </c>
      <c r="M19" s="640">
        <f>+'골재사업소(당월)'!M19+'[12]골재사업소(당월)'!M19</f>
        <v>12538.513220943452</v>
      </c>
      <c r="N19" s="638">
        <f>+'골재사업소(당월)'!N19+'[12]골재사업소(당월)'!N19</f>
        <v>-19626.969224210156</v>
      </c>
      <c r="O19" s="641">
        <f t="shared" si="2"/>
        <v>-32165.482445153608</v>
      </c>
      <c r="P19" s="640"/>
      <c r="Q19" s="638">
        <f>+'[7]서부산크라샤(당월)'!$O$86</f>
        <v>0</v>
      </c>
      <c r="R19" s="641">
        <f t="shared" si="3"/>
        <v>0</v>
      </c>
      <c r="S19" s="640"/>
      <c r="T19" s="638">
        <f>+'[7]서부산크라샤(당월)'!$R$86</f>
        <v>-3056.553063603963</v>
      </c>
      <c r="U19" s="641">
        <f t="shared" si="4"/>
        <v>-3056.553063603963</v>
      </c>
      <c r="V19" s="642">
        <f>+G19+J19+M19+P19+S19</f>
        <v>67429.337765962555</v>
      </c>
      <c r="W19" s="638">
        <f>+H19+K19+N19+Q19+T19</f>
        <v>-144702.03561948778</v>
      </c>
      <c r="X19" s="643">
        <f t="shared" si="5"/>
        <v>-212131.37338545034</v>
      </c>
      <c r="Y19" s="637">
        <f>+'골재사업소(당월)'!Y19+'[12]골재사업소(당월)'!S19</f>
        <v>414.63761488967248</v>
      </c>
      <c r="Z19" s="638">
        <f>+'골재사업소(당월)'!Z19+'[12]골재사업소(당월)'!T19</f>
        <v>-22610.903849154085</v>
      </c>
      <c r="AA19" s="639">
        <f t="shared" si="6"/>
        <v>-23025.541464043759</v>
      </c>
      <c r="AB19" s="640">
        <f>+'골재사업소(당월)'!AB19+'[12]골재사업소(당월)'!V19</f>
        <v>502.34941803941092</v>
      </c>
      <c r="AC19" s="638">
        <f>+'골재사업소(당월)'!AC19+'[12]골재사업소(당월)'!W19</f>
        <v>-58145.455279261463</v>
      </c>
      <c r="AD19" s="641">
        <f t="shared" si="7"/>
        <v>-58647.804697300875</v>
      </c>
      <c r="AE19" s="640">
        <f>+'골재사업소(당월)'!AE19+'[12]골재사업소(당월)'!Y19</f>
        <v>143.52840515411742</v>
      </c>
      <c r="AF19" s="638">
        <f>+'골재사업소(당월)'!AF19+'[12]골재사업소(당월)'!Z19</f>
        <v>0</v>
      </c>
      <c r="AG19" s="641">
        <f t="shared" si="8"/>
        <v>-143.52840515411742</v>
      </c>
      <c r="AH19" s="642">
        <f>+Y19+AB19+AE19</f>
        <v>1060.5154380832009</v>
      </c>
      <c r="AI19" s="638">
        <f>+Z19+AC19+AF19</f>
        <v>-80756.359128415555</v>
      </c>
      <c r="AJ19" s="643">
        <f t="shared" si="9"/>
        <v>-81816.874566498751</v>
      </c>
      <c r="AK19" s="641">
        <f>+'골재사업소(당월)'!AK19+'[12]골재사업소(당월)'!AE19</f>
        <v>708.84064045393006</v>
      </c>
      <c r="AL19" s="638">
        <f>+'골재사업소(당월)'!AL19+'[12]골재사업소(당월)'!AF19</f>
        <v>0</v>
      </c>
      <c r="AM19" s="706">
        <f t="shared" si="10"/>
        <v>-708.84064045393006</v>
      </c>
      <c r="AN19" s="641">
        <f>+'골재사업소(당월)'!AN19+'[12]골재사업소(당월)'!AH19</f>
        <v>-7753.1729723032522</v>
      </c>
      <c r="AO19" s="638">
        <f>+'골재사업소(당월)'!AO19+'[12]골재사업소(당월)'!AI19</f>
        <v>-24987.349000000002</v>
      </c>
      <c r="AP19" s="641">
        <f t="shared" si="11"/>
        <v>-17234.176027696751</v>
      </c>
      <c r="AQ19" s="642">
        <f>AK19+AN19</f>
        <v>-7044.3323318493221</v>
      </c>
      <c r="AR19" s="638">
        <f>AL19+AO19</f>
        <v>-24987.349000000002</v>
      </c>
      <c r="AS19" s="643">
        <f t="shared" si="12"/>
        <v>-17943.016668150682</v>
      </c>
      <c r="AT19" s="642">
        <f>+V19+AH19+AQ19</f>
        <v>61445.52087219643</v>
      </c>
      <c r="AU19" s="638">
        <f>+W19+AI19+AR19</f>
        <v>-250445.74374790333</v>
      </c>
      <c r="AV19" s="643">
        <f t="shared" si="13"/>
        <v>-311891.26462009974</v>
      </c>
    </row>
    <row r="20" spans="4:51" ht="30" customHeight="1">
      <c r="D20" s="479"/>
      <c r="E20" s="714"/>
      <c r="F20" s="645" t="s">
        <v>165</v>
      </c>
      <c r="G20" s="646">
        <f>G18+G19</f>
        <v>82321.876580005191</v>
      </c>
      <c r="H20" s="647">
        <f>H18+H19</f>
        <v>-115334.00456319028</v>
      </c>
      <c r="I20" s="648">
        <f t="shared" si="0"/>
        <v>-197655.88114319547</v>
      </c>
      <c r="J20" s="649">
        <f>J18+J19</f>
        <v>72372.263449294463</v>
      </c>
      <c r="K20" s="647">
        <f>K18+K19</f>
        <v>21439.204327682266</v>
      </c>
      <c r="L20" s="650">
        <f t="shared" si="1"/>
        <v>-50933.059121612197</v>
      </c>
      <c r="M20" s="649">
        <f>M18+M19</f>
        <v>12538.513220943452</v>
      </c>
      <c r="N20" s="647">
        <f>N18+N19</f>
        <v>-19626.969224210156</v>
      </c>
      <c r="O20" s="650">
        <f t="shared" si="2"/>
        <v>-32165.482445153608</v>
      </c>
      <c r="P20" s="649"/>
      <c r="Q20" s="647">
        <f>Q18+Q19</f>
        <v>0</v>
      </c>
      <c r="R20" s="650">
        <f t="shared" si="3"/>
        <v>0</v>
      </c>
      <c r="S20" s="649"/>
      <c r="T20" s="647">
        <f>T18+T19</f>
        <v>-3056.553063603963</v>
      </c>
      <c r="U20" s="650">
        <f t="shared" si="4"/>
        <v>-3056.553063603963</v>
      </c>
      <c r="V20" s="651">
        <f>V18+V19</f>
        <v>167232.65325024311</v>
      </c>
      <c r="W20" s="647">
        <f>W18+W19</f>
        <v>-116578.32252332212</v>
      </c>
      <c r="X20" s="652">
        <f t="shared" si="5"/>
        <v>-283810.97577356524</v>
      </c>
      <c r="Y20" s="646">
        <f>Y18+Y19</f>
        <v>-8515.4881928844443</v>
      </c>
      <c r="Z20" s="647">
        <f>Z18+Z19</f>
        <v>-170839.36112582911</v>
      </c>
      <c r="AA20" s="648">
        <f t="shared" si="6"/>
        <v>-162323.87293294465</v>
      </c>
      <c r="AB20" s="649">
        <f>AB18+AB19</f>
        <v>-20097.913804773889</v>
      </c>
      <c r="AC20" s="647">
        <f>AC18+AC19</f>
        <v>-93401.461764170905</v>
      </c>
      <c r="AD20" s="650">
        <f t="shared" si="7"/>
        <v>-73303.547959397023</v>
      </c>
      <c r="AE20" s="649">
        <f>AE18+AE19</f>
        <v>143.52840515411742</v>
      </c>
      <c r="AF20" s="647">
        <f>AF18+AF19</f>
        <v>0</v>
      </c>
      <c r="AG20" s="650">
        <f t="shared" si="8"/>
        <v>-143.52840515411742</v>
      </c>
      <c r="AH20" s="651">
        <f>AH18+AH19</f>
        <v>-28469.873592504213</v>
      </c>
      <c r="AI20" s="647">
        <f>AI18+AI19</f>
        <v>-264240.82289000007</v>
      </c>
      <c r="AJ20" s="652">
        <f t="shared" si="9"/>
        <v>-235770.94929749586</v>
      </c>
      <c r="AK20" s="650">
        <f>AK18+AK19</f>
        <v>70368.345998358403</v>
      </c>
      <c r="AL20" s="647">
        <f>AL18+AL19</f>
        <v>6328.7489999999998</v>
      </c>
      <c r="AM20" s="707">
        <f t="shared" si="10"/>
        <v>-64039.596998358407</v>
      </c>
      <c r="AN20" s="650">
        <f>AN18+AN19</f>
        <v>141941.01808056835</v>
      </c>
      <c r="AO20" s="647">
        <f>AO18+AO19</f>
        <v>-3739.1960000000036</v>
      </c>
      <c r="AP20" s="650">
        <f t="shared" si="11"/>
        <v>-145680.21408056834</v>
      </c>
      <c r="AQ20" s="651">
        <f>AQ18+AQ19</f>
        <v>212309.36407892677</v>
      </c>
      <c r="AR20" s="647">
        <f>AR18+AR19</f>
        <v>2589.5529999999962</v>
      </c>
      <c r="AS20" s="652">
        <f t="shared" si="12"/>
        <v>-209719.81107892678</v>
      </c>
      <c r="AT20" s="651">
        <f>AT18+AT19</f>
        <v>351072.1437366656</v>
      </c>
      <c r="AU20" s="647">
        <f>AU18+AU19</f>
        <v>-378229.59241332213</v>
      </c>
      <c r="AV20" s="652">
        <f t="shared" si="13"/>
        <v>-729301.73614998767</v>
      </c>
      <c r="AX20" s="6">
        <f>+'골재사업소(당월)'!AX20+'[12]골재사업소(당월)'!AR20</f>
        <v>351072.1437366656</v>
      </c>
      <c r="AY20" s="6">
        <f>+'골재사업소(당월)'!AY20+'[12]골재사업소(당월)'!AS20</f>
        <v>-378229.59114079637</v>
      </c>
    </row>
    <row r="21" spans="4:51" ht="30" customHeight="1">
      <c r="D21" s="479"/>
      <c r="E21" s="653" t="s">
        <v>197</v>
      </c>
      <c r="F21" s="654" t="s">
        <v>21</v>
      </c>
      <c r="G21" s="655">
        <f>+'골재사업소(당월)'!G21+'[12]골재사업소(당월)'!G21</f>
        <v>5598.666666666667</v>
      </c>
      <c r="H21" s="629">
        <f>+'골재사업소(당월)'!H21+'[12]골재사업소(당월)'!H21</f>
        <v>1808</v>
      </c>
      <c r="I21" s="630">
        <f t="shared" si="0"/>
        <v>-3790.666666666667</v>
      </c>
      <c r="J21" s="631">
        <f>+'골재사업소(당월)'!J21+'[12]골재사업소(당월)'!J21</f>
        <v>0</v>
      </c>
      <c r="K21" s="629">
        <f>+'골재사업소(당월)'!K21+'[12]골재사업소(당월)'!K21</f>
        <v>496</v>
      </c>
      <c r="L21" s="632">
        <f t="shared" si="1"/>
        <v>496</v>
      </c>
      <c r="M21" s="631">
        <f>+'골재사업소(당월)'!M21+'[12]골재사업소(당월)'!M21</f>
        <v>0</v>
      </c>
      <c r="N21" s="629">
        <f>+'골재사업소(당월)'!N21+'[12]골재사업소(당월)'!N21</f>
        <v>0</v>
      </c>
      <c r="O21" s="632">
        <f t="shared" si="2"/>
        <v>0</v>
      </c>
      <c r="P21" s="631"/>
      <c r="Q21" s="629">
        <f>+'[7]서부산크라샤(당월)'!$O$60</f>
        <v>0</v>
      </c>
      <c r="R21" s="632">
        <f t="shared" si="3"/>
        <v>0</v>
      </c>
      <c r="S21" s="631"/>
      <c r="T21" s="629">
        <f>+'[7]서부산크라샤(당월)'!$R$60</f>
        <v>0</v>
      </c>
      <c r="U21" s="632">
        <f t="shared" si="4"/>
        <v>0</v>
      </c>
      <c r="V21" s="633">
        <f t="shared" ref="V21:W26" si="14">+G21+J21+M21+P21+S21</f>
        <v>5598.666666666667</v>
      </c>
      <c r="W21" s="629">
        <f t="shared" si="14"/>
        <v>2304</v>
      </c>
      <c r="X21" s="634">
        <f t="shared" si="5"/>
        <v>-3294.666666666667</v>
      </c>
      <c r="Y21" s="655">
        <f>+'골재사업소(당월)'!Y21+'[12]골재사업소(당월)'!S21</f>
        <v>13531.459466666667</v>
      </c>
      <c r="Z21" s="629">
        <f>+'골재사업소(당월)'!Z21+'[12]골재사업소(당월)'!T21</f>
        <v>13078</v>
      </c>
      <c r="AA21" s="630">
        <f t="shared" si="6"/>
        <v>-453.45946666666714</v>
      </c>
      <c r="AB21" s="631">
        <f>+'골재사업소(당월)'!AB21+'[12]골재사업소(당월)'!V21</f>
        <v>13900.5867</v>
      </c>
      <c r="AC21" s="629">
        <f>+'골재사업소(당월)'!AC21+'[12]골재사업소(당월)'!W21</f>
        <v>10264</v>
      </c>
      <c r="AD21" s="632">
        <f t="shared" si="7"/>
        <v>-3636.5866999999998</v>
      </c>
      <c r="AE21" s="631">
        <f>+'골재사업소(당월)'!AE21+'[12]골재사업소(당월)'!Y21</f>
        <v>0</v>
      </c>
      <c r="AF21" s="629">
        <f>+'골재사업소(당월)'!AF21+'[12]골재사업소(당월)'!Z21</f>
        <v>0</v>
      </c>
      <c r="AG21" s="632">
        <f t="shared" si="8"/>
        <v>0</v>
      </c>
      <c r="AH21" s="633">
        <f t="shared" ref="AH21:AI32" si="15">+Y21+AB21+AE21</f>
        <v>27432.046166666667</v>
      </c>
      <c r="AI21" s="629">
        <f t="shared" si="15"/>
        <v>23342</v>
      </c>
      <c r="AJ21" s="634">
        <f t="shared" si="9"/>
        <v>-4090.046166666667</v>
      </c>
      <c r="AK21" s="632">
        <f>+'골재사업소(당월)'!AK21+'[12]골재사업소(당월)'!AE21</f>
        <v>453.14685314685312</v>
      </c>
      <c r="AL21" s="629">
        <f>+'골재사업소(당월)'!AL21+'[12]골재사업소(당월)'!AF21</f>
        <v>800</v>
      </c>
      <c r="AM21" s="705">
        <f t="shared" si="10"/>
        <v>346.85314685314688</v>
      </c>
      <c r="AN21" s="632">
        <f>+'골재사업소(당월)'!AN21+'[12]골재사업소(당월)'!AH21</f>
        <v>7476.9230769230771</v>
      </c>
      <c r="AO21" s="629">
        <f>+'골재사업소(당월)'!AO21+'[12]골재사업소(당월)'!AI21</f>
        <v>5634</v>
      </c>
      <c r="AP21" s="632">
        <f t="shared" si="11"/>
        <v>-1842.9230769230771</v>
      </c>
      <c r="AQ21" s="633">
        <f t="shared" ref="AQ21:AR26" si="16">AK21+AN21</f>
        <v>7930.0699300699307</v>
      </c>
      <c r="AR21" s="629">
        <f t="shared" si="16"/>
        <v>6434</v>
      </c>
      <c r="AS21" s="634">
        <f t="shared" si="12"/>
        <v>-1496.0699300699307</v>
      </c>
      <c r="AT21" s="633">
        <f t="shared" ref="AT21:AU26" si="17">+V21+AH21+AQ21</f>
        <v>40960.782763403258</v>
      </c>
      <c r="AU21" s="629">
        <f t="shared" si="17"/>
        <v>32080</v>
      </c>
      <c r="AV21" s="634">
        <f t="shared" si="13"/>
        <v>-8880.7827634032583</v>
      </c>
      <c r="AX21" s="656" t="b">
        <f>+AX20=AT20</f>
        <v>1</v>
      </c>
      <c r="AY21" s="656" t="b">
        <f>+AY20=AU20</f>
        <v>0</v>
      </c>
    </row>
    <row r="22" spans="4:51" ht="30" customHeight="1">
      <c r="D22" s="479"/>
      <c r="E22" s="635" t="s">
        <v>0</v>
      </c>
      <c r="F22" s="657" t="s">
        <v>22</v>
      </c>
      <c r="G22" s="658">
        <f>+'골재사업소(당월)'!G22+'[12]골재사업소(당월)'!G22</f>
        <v>18618.866666666669</v>
      </c>
      <c r="H22" s="659">
        <f>+'골재사업소(당월)'!H22+'[12]골재사업소(당월)'!H22</f>
        <v>2394</v>
      </c>
      <c r="I22" s="660">
        <f t="shared" si="0"/>
        <v>-16224.866666666669</v>
      </c>
      <c r="J22" s="661">
        <f>+'골재사업소(당월)'!J22+'[12]골재사업소(당월)'!J22</f>
        <v>12106</v>
      </c>
      <c r="K22" s="659">
        <f>+'골재사업소(당월)'!K22+'[12]골재사업소(당월)'!K22</f>
        <v>2444</v>
      </c>
      <c r="L22" s="662">
        <f t="shared" si="1"/>
        <v>-9662</v>
      </c>
      <c r="M22" s="661">
        <f>+'골재사업소(당월)'!M22+'[12]골재사업소(당월)'!M22</f>
        <v>0</v>
      </c>
      <c r="N22" s="659">
        <f>+'골재사업소(당월)'!N22+'[12]골재사업소(당월)'!N22</f>
        <v>0</v>
      </c>
      <c r="O22" s="662">
        <f t="shared" si="2"/>
        <v>0</v>
      </c>
      <c r="P22" s="661"/>
      <c r="Q22" s="659">
        <f>+'[7]서부산크라샤(당월)'!$O$61</f>
        <v>0</v>
      </c>
      <c r="R22" s="662">
        <f t="shared" si="3"/>
        <v>0</v>
      </c>
      <c r="S22" s="661"/>
      <c r="T22" s="659">
        <f>+'[7]서부산크라샤(당월)'!$R$61</f>
        <v>0</v>
      </c>
      <c r="U22" s="662">
        <f t="shared" si="4"/>
        <v>0</v>
      </c>
      <c r="V22" s="663">
        <f t="shared" si="14"/>
        <v>30724.866666666669</v>
      </c>
      <c r="W22" s="659">
        <f t="shared" si="14"/>
        <v>4838</v>
      </c>
      <c r="X22" s="664">
        <f t="shared" si="5"/>
        <v>-25886.866666666669</v>
      </c>
      <c r="Y22" s="658">
        <f>+'골재사업소(당월)'!Y22+'[12]골재사업소(당월)'!S22</f>
        <v>0</v>
      </c>
      <c r="Z22" s="659">
        <f>+'골재사업소(당월)'!Z22+'[12]골재사업소(당월)'!T22</f>
        <v>5840</v>
      </c>
      <c r="AA22" s="660">
        <f t="shared" si="6"/>
        <v>5840</v>
      </c>
      <c r="AB22" s="661">
        <f>+'골재사업소(당월)'!AB22+'[12]골재사업소(당월)'!V22</f>
        <v>0</v>
      </c>
      <c r="AC22" s="659">
        <f>+'골재사업소(당월)'!AC22+'[12]골재사업소(당월)'!W22</f>
        <v>3536</v>
      </c>
      <c r="AD22" s="662">
        <f t="shared" si="7"/>
        <v>3536</v>
      </c>
      <c r="AE22" s="661">
        <f>+'골재사업소(당월)'!AE22+'[12]골재사업소(당월)'!Y22</f>
        <v>0</v>
      </c>
      <c r="AF22" s="659">
        <f>+'골재사업소(당월)'!AF22+'[12]골재사업소(당월)'!Z22</f>
        <v>0</v>
      </c>
      <c r="AG22" s="662">
        <f t="shared" si="8"/>
        <v>0</v>
      </c>
      <c r="AH22" s="663">
        <f t="shared" si="15"/>
        <v>0</v>
      </c>
      <c r="AI22" s="659">
        <f t="shared" si="15"/>
        <v>9376</v>
      </c>
      <c r="AJ22" s="664">
        <f t="shared" si="9"/>
        <v>9376</v>
      </c>
      <c r="AK22" s="662">
        <f>+'골재사업소(당월)'!AK22+'[12]골재사업소(당월)'!AE22</f>
        <v>0</v>
      </c>
      <c r="AL22" s="659">
        <f>+'골재사업소(당월)'!AL22+'[12]골재사업소(당월)'!AF22</f>
        <v>0</v>
      </c>
      <c r="AM22" s="708">
        <f t="shared" si="10"/>
        <v>0</v>
      </c>
      <c r="AN22" s="662">
        <f>+'골재사업소(당월)'!AN22+'[12]골재사업소(당월)'!AH22</f>
        <v>4067.8321678321677</v>
      </c>
      <c r="AO22" s="659">
        <f>+'골재사업소(당월)'!AO22+'[12]골재사업소(당월)'!AI22</f>
        <v>5280</v>
      </c>
      <c r="AP22" s="662">
        <f t="shared" si="11"/>
        <v>1212.1678321678323</v>
      </c>
      <c r="AQ22" s="663">
        <f t="shared" si="16"/>
        <v>4067.8321678321677</v>
      </c>
      <c r="AR22" s="659">
        <f t="shared" si="16"/>
        <v>5280</v>
      </c>
      <c r="AS22" s="664">
        <f t="shared" si="12"/>
        <v>1212.1678321678323</v>
      </c>
      <c r="AT22" s="663">
        <f t="shared" si="17"/>
        <v>34792.698834498835</v>
      </c>
      <c r="AU22" s="659">
        <f t="shared" si="17"/>
        <v>19494</v>
      </c>
      <c r="AV22" s="664">
        <f t="shared" si="13"/>
        <v>-15298.698834498835</v>
      </c>
      <c r="AX22" s="86">
        <f>+AT20-AX20</f>
        <v>0</v>
      </c>
      <c r="AY22" s="86">
        <f>+AU20-AY20</f>
        <v>-1.2725257547572255E-3</v>
      </c>
    </row>
    <row r="23" spans="4:51" ht="30" customHeight="1">
      <c r="D23" s="479"/>
      <c r="E23" s="635"/>
      <c r="F23" s="657" t="s">
        <v>23</v>
      </c>
      <c r="G23" s="658">
        <f>+'골재사업소(당월)'!G23+'[12]골재사업소(당월)'!G23</f>
        <v>2464</v>
      </c>
      <c r="H23" s="659">
        <f>+'골재사업소(당월)'!H23+'[12]골재사업소(당월)'!H23</f>
        <v>0</v>
      </c>
      <c r="I23" s="660">
        <f t="shared" si="0"/>
        <v>-2464</v>
      </c>
      <c r="J23" s="661">
        <f>+'골재사업소(당월)'!J23+'[12]골재사업소(당월)'!J23</f>
        <v>2128</v>
      </c>
      <c r="K23" s="659">
        <f>+'골재사업소(당월)'!K23+'[12]골재사업소(당월)'!K23</f>
        <v>0</v>
      </c>
      <c r="L23" s="662">
        <f t="shared" si="1"/>
        <v>-2128</v>
      </c>
      <c r="M23" s="661">
        <f>+'골재사업소(당월)'!M23+'[12]골재사업소(당월)'!M23</f>
        <v>0</v>
      </c>
      <c r="N23" s="659">
        <f>+'골재사업소(당월)'!N23+'[12]골재사업소(당월)'!N23</f>
        <v>0</v>
      </c>
      <c r="O23" s="662">
        <f t="shared" si="2"/>
        <v>0</v>
      </c>
      <c r="P23" s="661"/>
      <c r="Q23" s="659">
        <f>+'[7]서부산크라샤(당월)'!$O$62</f>
        <v>0</v>
      </c>
      <c r="R23" s="662">
        <f t="shared" si="3"/>
        <v>0</v>
      </c>
      <c r="S23" s="661"/>
      <c r="T23" s="659">
        <f>+'[7]서부산크라샤(당월)'!$R$62</f>
        <v>0</v>
      </c>
      <c r="U23" s="662">
        <f t="shared" si="4"/>
        <v>0</v>
      </c>
      <c r="V23" s="663">
        <f t="shared" si="14"/>
        <v>4592</v>
      </c>
      <c r="W23" s="659">
        <f t="shared" si="14"/>
        <v>0</v>
      </c>
      <c r="X23" s="664">
        <f t="shared" si="5"/>
        <v>-4592</v>
      </c>
      <c r="Y23" s="658">
        <f>+'골재사업소(당월)'!Y23+'[12]골재사업소(당월)'!S23</f>
        <v>0</v>
      </c>
      <c r="Z23" s="659">
        <f>+'골재사업소(당월)'!Z23+'[12]골재사업소(당월)'!T23</f>
        <v>0</v>
      </c>
      <c r="AA23" s="660">
        <f t="shared" si="6"/>
        <v>0</v>
      </c>
      <c r="AB23" s="661">
        <f>+'골재사업소(당월)'!AB23+'[12]골재사업소(당월)'!V23</f>
        <v>0</v>
      </c>
      <c r="AC23" s="659">
        <f>+'골재사업소(당월)'!AC23+'[12]골재사업소(당월)'!W23</f>
        <v>0</v>
      </c>
      <c r="AD23" s="662">
        <f t="shared" si="7"/>
        <v>0</v>
      </c>
      <c r="AE23" s="661">
        <f>+'골재사업소(당월)'!AE23+'[12]골재사업소(당월)'!Y23</f>
        <v>0</v>
      </c>
      <c r="AF23" s="659">
        <f>+'골재사업소(당월)'!AF23+'[12]골재사업소(당월)'!Z23</f>
        <v>0</v>
      </c>
      <c r="AG23" s="662">
        <f t="shared" si="8"/>
        <v>0</v>
      </c>
      <c r="AH23" s="663">
        <f t="shared" si="15"/>
        <v>0</v>
      </c>
      <c r="AI23" s="659">
        <f t="shared" si="15"/>
        <v>0</v>
      </c>
      <c r="AJ23" s="664">
        <f t="shared" si="9"/>
        <v>0</v>
      </c>
      <c r="AK23" s="662">
        <f>+'골재사업소(당월)'!AK23+'[12]골재사업소(당월)'!AE23</f>
        <v>0</v>
      </c>
      <c r="AL23" s="659">
        <f>+'골재사업소(당월)'!AL23+'[12]골재사업소(당월)'!AF23</f>
        <v>0</v>
      </c>
      <c r="AM23" s="708">
        <f t="shared" si="10"/>
        <v>0</v>
      </c>
      <c r="AN23" s="662">
        <f>+'골재사업소(당월)'!AN23+'[12]골재사업소(당월)'!AH23</f>
        <v>3088.1118881118882</v>
      </c>
      <c r="AO23" s="659">
        <f>+'골재사업소(당월)'!AO23+'[12]골재사업소(당월)'!AI23</f>
        <v>2256</v>
      </c>
      <c r="AP23" s="662">
        <f t="shared" si="11"/>
        <v>-832.11188811188822</v>
      </c>
      <c r="AQ23" s="663">
        <f t="shared" si="16"/>
        <v>3088.1118881118882</v>
      </c>
      <c r="AR23" s="659">
        <f t="shared" si="16"/>
        <v>2256</v>
      </c>
      <c r="AS23" s="664">
        <f t="shared" si="12"/>
        <v>-832.11188811188822</v>
      </c>
      <c r="AT23" s="663">
        <f t="shared" si="17"/>
        <v>7680.1118881118882</v>
      </c>
      <c r="AU23" s="659">
        <f t="shared" si="17"/>
        <v>2256</v>
      </c>
      <c r="AV23" s="664">
        <f t="shared" si="13"/>
        <v>-5424.1118881118882</v>
      </c>
    </row>
    <row r="24" spans="4:51" ht="30" customHeight="1">
      <c r="D24" s="479"/>
      <c r="E24" s="635"/>
      <c r="F24" s="657" t="s">
        <v>24</v>
      </c>
      <c r="G24" s="658">
        <f>+'골재사업소(당월)'!G24+'[12]골재사업소(당월)'!G24</f>
        <v>0</v>
      </c>
      <c r="H24" s="659">
        <f>+'골재사업소(당월)'!H24+'[12]골재사업소(당월)'!H24</f>
        <v>0</v>
      </c>
      <c r="I24" s="660">
        <f t="shared" si="0"/>
        <v>0</v>
      </c>
      <c r="J24" s="661">
        <f>+'골재사업소(당월)'!J24+'[12]골재사업소(당월)'!J24</f>
        <v>0</v>
      </c>
      <c r="K24" s="659">
        <f>+'골재사업소(당월)'!K24+'[12]골재사업소(당월)'!K24</f>
        <v>0</v>
      </c>
      <c r="L24" s="662">
        <f t="shared" si="1"/>
        <v>0</v>
      </c>
      <c r="M24" s="661">
        <f>+'골재사업소(당월)'!M24+'[12]골재사업소(당월)'!M24</f>
        <v>0</v>
      </c>
      <c r="N24" s="659">
        <f>+'골재사업소(당월)'!N24+'[12]골재사업소(당월)'!N24</f>
        <v>0</v>
      </c>
      <c r="O24" s="662">
        <f t="shared" si="2"/>
        <v>0</v>
      </c>
      <c r="P24" s="661"/>
      <c r="Q24" s="659">
        <f>+'[7]서부산크라샤(당월)'!$O$63</f>
        <v>0</v>
      </c>
      <c r="R24" s="662">
        <f t="shared" si="3"/>
        <v>0</v>
      </c>
      <c r="S24" s="661"/>
      <c r="T24" s="659">
        <f>+'[7]서부산크라샤(당월)'!$R$63</f>
        <v>0</v>
      </c>
      <c r="U24" s="662">
        <f t="shared" si="4"/>
        <v>0</v>
      </c>
      <c r="V24" s="663">
        <f t="shared" si="14"/>
        <v>0</v>
      </c>
      <c r="W24" s="659">
        <f t="shared" si="14"/>
        <v>0</v>
      </c>
      <c r="X24" s="664">
        <f t="shared" si="5"/>
        <v>0</v>
      </c>
      <c r="Y24" s="658">
        <f>+'골재사업소(당월)'!Y24+'[12]골재사업소(당월)'!S24</f>
        <v>0</v>
      </c>
      <c r="Z24" s="659">
        <f>+'골재사업소(당월)'!Z24+'[12]골재사업소(당월)'!T24</f>
        <v>0</v>
      </c>
      <c r="AA24" s="660">
        <f t="shared" si="6"/>
        <v>0</v>
      </c>
      <c r="AB24" s="661">
        <f>+'골재사업소(당월)'!AB24+'[12]골재사업소(당월)'!V24</f>
        <v>254.596</v>
      </c>
      <c r="AC24" s="659">
        <f>+'골재사업소(당월)'!AC24+'[12]골재사업소(당월)'!W24</f>
        <v>1936</v>
      </c>
      <c r="AD24" s="662">
        <f t="shared" si="7"/>
        <v>1681.404</v>
      </c>
      <c r="AE24" s="661">
        <f>+'골재사업소(당월)'!AE24+'[12]골재사업소(당월)'!Y24</f>
        <v>0</v>
      </c>
      <c r="AF24" s="659">
        <f>+'골재사업소(당월)'!AF24+'[12]골재사업소(당월)'!Z24</f>
        <v>0</v>
      </c>
      <c r="AG24" s="662">
        <f t="shared" si="8"/>
        <v>0</v>
      </c>
      <c r="AH24" s="663">
        <f t="shared" si="15"/>
        <v>254.596</v>
      </c>
      <c r="AI24" s="659">
        <f t="shared" si="15"/>
        <v>1936</v>
      </c>
      <c r="AJ24" s="664">
        <f t="shared" si="9"/>
        <v>1681.404</v>
      </c>
      <c r="AK24" s="662">
        <f>+'골재사업소(당월)'!AK24+'[12]골재사업소(당월)'!AE24</f>
        <v>4354.0483140271708</v>
      </c>
      <c r="AL24" s="659">
        <f>+'골재사업소(당월)'!AL24+'[12]골재사업소(당월)'!AF24</f>
        <v>0</v>
      </c>
      <c r="AM24" s="708">
        <f t="shared" si="10"/>
        <v>-4354.0483140271708</v>
      </c>
      <c r="AN24" s="662">
        <f>+'골재사업소(당월)'!AN24+'[12]골재사업소(당월)'!AH24</f>
        <v>4356.2387193972736</v>
      </c>
      <c r="AO24" s="659">
        <f>+'골재사업소(당월)'!AO24+'[12]골재사업소(당월)'!AI24</f>
        <v>5904</v>
      </c>
      <c r="AP24" s="662">
        <f t="shared" si="11"/>
        <v>1547.7612806027264</v>
      </c>
      <c r="AQ24" s="663">
        <f t="shared" si="16"/>
        <v>8710.2870334244435</v>
      </c>
      <c r="AR24" s="659">
        <f t="shared" si="16"/>
        <v>5904</v>
      </c>
      <c r="AS24" s="664">
        <f t="shared" si="12"/>
        <v>-2806.2870334244435</v>
      </c>
      <c r="AT24" s="663">
        <f t="shared" si="17"/>
        <v>8964.8830334244431</v>
      </c>
      <c r="AU24" s="659">
        <f t="shared" si="17"/>
        <v>7840</v>
      </c>
      <c r="AV24" s="664">
        <f t="shared" si="13"/>
        <v>-1124.8830334244431</v>
      </c>
    </row>
    <row r="25" spans="4:51" ht="30" customHeight="1">
      <c r="D25" s="479"/>
      <c r="E25" s="635"/>
      <c r="F25" s="657" t="s">
        <v>25</v>
      </c>
      <c r="G25" s="658">
        <f>+'골재사업소(당월)'!G25+'[12]골재사업소(당월)'!G25</f>
        <v>0</v>
      </c>
      <c r="H25" s="659">
        <f>+'골재사업소(당월)'!H25+'[12]골재사업소(당월)'!H25</f>
        <v>0</v>
      </c>
      <c r="I25" s="660">
        <f t="shared" si="0"/>
        <v>0</v>
      </c>
      <c r="J25" s="661">
        <f>+'골재사업소(당월)'!J25+'[12]골재사업소(당월)'!J25</f>
        <v>0</v>
      </c>
      <c r="K25" s="659">
        <f>+'골재사업소(당월)'!K25+'[12]골재사업소(당월)'!K25</f>
        <v>0</v>
      </c>
      <c r="L25" s="662">
        <f t="shared" si="1"/>
        <v>0</v>
      </c>
      <c r="M25" s="661">
        <f>+'골재사업소(당월)'!M25+'[12]골재사업소(당월)'!M25</f>
        <v>0</v>
      </c>
      <c r="N25" s="659">
        <f>+'골재사업소(당월)'!N25+'[12]골재사업소(당월)'!N25</f>
        <v>0</v>
      </c>
      <c r="O25" s="662">
        <f t="shared" si="2"/>
        <v>0</v>
      </c>
      <c r="P25" s="661"/>
      <c r="Q25" s="659">
        <f>+'[7]서부산크라샤(당월)'!$O$64</f>
        <v>0</v>
      </c>
      <c r="R25" s="662">
        <f t="shared" si="3"/>
        <v>0</v>
      </c>
      <c r="S25" s="661"/>
      <c r="T25" s="659">
        <f>+'[7]서부산크라샤(당월)'!$R$64</f>
        <v>0</v>
      </c>
      <c r="U25" s="662">
        <f t="shared" si="4"/>
        <v>0</v>
      </c>
      <c r="V25" s="663">
        <f t="shared" si="14"/>
        <v>0</v>
      </c>
      <c r="W25" s="659">
        <f t="shared" si="14"/>
        <v>0</v>
      </c>
      <c r="X25" s="664">
        <f t="shared" si="5"/>
        <v>0</v>
      </c>
      <c r="Y25" s="658">
        <f>+'골재사업소(당월)'!Y25+'[12]골재사업소(당월)'!S25</f>
        <v>0</v>
      </c>
      <c r="Z25" s="659">
        <f>+'골재사업소(당월)'!Z25+'[12]골재사업소(당월)'!T25</f>
        <v>0</v>
      </c>
      <c r="AA25" s="660">
        <f t="shared" si="6"/>
        <v>0</v>
      </c>
      <c r="AB25" s="661">
        <f>+'골재사업소(당월)'!AB25+'[12]골재사업소(당월)'!V25</f>
        <v>0</v>
      </c>
      <c r="AC25" s="659">
        <f>+'골재사업소(당월)'!AC25+'[12]골재사업소(당월)'!W25</f>
        <v>0</v>
      </c>
      <c r="AD25" s="662">
        <f t="shared" si="7"/>
        <v>0</v>
      </c>
      <c r="AE25" s="661">
        <f>+'골재사업소(당월)'!AE25+'[12]골재사업소(당월)'!Y25</f>
        <v>0</v>
      </c>
      <c r="AF25" s="659">
        <f>+'골재사업소(당월)'!AF25+'[12]골재사업소(당월)'!Z25</f>
        <v>0</v>
      </c>
      <c r="AG25" s="662">
        <f t="shared" si="8"/>
        <v>0</v>
      </c>
      <c r="AH25" s="663">
        <f t="shared" si="15"/>
        <v>0</v>
      </c>
      <c r="AI25" s="659">
        <f t="shared" si="15"/>
        <v>0</v>
      </c>
      <c r="AJ25" s="664">
        <f t="shared" si="9"/>
        <v>0</v>
      </c>
      <c r="AK25" s="662">
        <f>+'골재사업소(당월)'!AK25+'[12]골재사업소(당월)'!AE25</f>
        <v>0</v>
      </c>
      <c r="AL25" s="659">
        <f>+'골재사업소(당월)'!AL25+'[12]골재사업소(당월)'!AF25</f>
        <v>0</v>
      </c>
      <c r="AM25" s="708">
        <f t="shared" si="10"/>
        <v>0</v>
      </c>
      <c r="AN25" s="662">
        <f>+'골재사업소(당월)'!AN25+'[12]골재사업소(당월)'!AH25</f>
        <v>572.02237762237758</v>
      </c>
      <c r="AO25" s="659">
        <f>+'골재사업소(당월)'!AO25+'[12]골재사업소(당월)'!AI25</f>
        <v>0</v>
      </c>
      <c r="AP25" s="662">
        <f t="shared" si="11"/>
        <v>-572.02237762237758</v>
      </c>
      <c r="AQ25" s="663">
        <f t="shared" si="16"/>
        <v>572.02237762237758</v>
      </c>
      <c r="AR25" s="659">
        <f t="shared" si="16"/>
        <v>0</v>
      </c>
      <c r="AS25" s="664">
        <f t="shared" si="12"/>
        <v>-572.02237762237758</v>
      </c>
      <c r="AT25" s="663">
        <f t="shared" si="17"/>
        <v>572.02237762237758</v>
      </c>
      <c r="AU25" s="659">
        <f t="shared" si="17"/>
        <v>0</v>
      </c>
      <c r="AV25" s="664">
        <f t="shared" si="13"/>
        <v>-572.02237762237758</v>
      </c>
    </row>
    <row r="26" spans="4:51" ht="30" customHeight="1">
      <c r="D26" s="479"/>
      <c r="E26" s="635"/>
      <c r="F26" s="657" t="s">
        <v>26</v>
      </c>
      <c r="G26" s="658">
        <f>+'골재사업소(당월)'!G26+'[12]골재사업소(당월)'!G26</f>
        <v>775.6</v>
      </c>
      <c r="H26" s="659">
        <f>+'골재사업소(당월)'!H26+'[12]골재사업소(당월)'!H26</f>
        <v>0</v>
      </c>
      <c r="I26" s="660">
        <f t="shared" si="0"/>
        <v>-775.6</v>
      </c>
      <c r="J26" s="661">
        <f>+'골재사업소(당월)'!J26+'[12]골재사업소(당월)'!J26</f>
        <v>444.38709677419354</v>
      </c>
      <c r="K26" s="659">
        <f>+'골재사업소(당월)'!K26+'[12]골재사업소(당월)'!K26</f>
        <v>0</v>
      </c>
      <c r="L26" s="662">
        <f t="shared" si="1"/>
        <v>-444.38709677419354</v>
      </c>
      <c r="M26" s="661">
        <f>+'골재사업소(당월)'!M26+'[12]골재사업소(당월)'!M26</f>
        <v>0</v>
      </c>
      <c r="N26" s="659">
        <f>+'골재사업소(당월)'!N26+'[12]골재사업소(당월)'!N26</f>
        <v>0</v>
      </c>
      <c r="O26" s="662">
        <f t="shared" si="2"/>
        <v>0</v>
      </c>
      <c r="P26" s="661"/>
      <c r="Q26" s="659">
        <f>+'[7]서부산크라샤(당월)'!$O$65</f>
        <v>0</v>
      </c>
      <c r="R26" s="662">
        <f t="shared" si="3"/>
        <v>0</v>
      </c>
      <c r="S26" s="661"/>
      <c r="T26" s="659">
        <f>+'[7]서부산크라샤(당월)'!$R$65</f>
        <v>0</v>
      </c>
      <c r="U26" s="662">
        <f t="shared" si="4"/>
        <v>0</v>
      </c>
      <c r="V26" s="663">
        <f t="shared" si="14"/>
        <v>1219.9870967741936</v>
      </c>
      <c r="W26" s="638">
        <f t="shared" si="14"/>
        <v>0</v>
      </c>
      <c r="X26" s="665">
        <f t="shared" si="5"/>
        <v>-1219.9870967741936</v>
      </c>
      <c r="Y26" s="658">
        <f>+'골재사업소(당월)'!Y26+'[12]골재사업소(당월)'!S26</f>
        <v>0</v>
      </c>
      <c r="Z26" s="659">
        <f>+'골재사업소(당월)'!Z26+'[12]골재사업소(당월)'!T26</f>
        <v>0</v>
      </c>
      <c r="AA26" s="660">
        <f t="shared" si="6"/>
        <v>0</v>
      </c>
      <c r="AB26" s="661">
        <f>+'골재사업소(당월)'!AB26+'[12]골재사업소(당월)'!V26</f>
        <v>0</v>
      </c>
      <c r="AC26" s="659">
        <f>+'골재사업소(당월)'!AC26+'[12]골재사업소(당월)'!W26</f>
        <v>0</v>
      </c>
      <c r="AD26" s="662">
        <f t="shared" si="7"/>
        <v>0</v>
      </c>
      <c r="AE26" s="661">
        <f>+'골재사업소(당월)'!AE26+'[12]골재사업소(당월)'!Y26</f>
        <v>0</v>
      </c>
      <c r="AF26" s="659">
        <f>+'골재사업소(당월)'!AF26+'[12]골재사업소(당월)'!Z26</f>
        <v>0</v>
      </c>
      <c r="AG26" s="662">
        <f t="shared" si="8"/>
        <v>0</v>
      </c>
      <c r="AH26" s="663">
        <f t="shared" si="15"/>
        <v>0</v>
      </c>
      <c r="AI26" s="638">
        <f t="shared" si="15"/>
        <v>0</v>
      </c>
      <c r="AJ26" s="665">
        <f t="shared" si="9"/>
        <v>0</v>
      </c>
      <c r="AK26" s="662">
        <f>+'골재사업소(당월)'!AK26+'[12]골재사업소(당월)'!AE26</f>
        <v>0</v>
      </c>
      <c r="AL26" s="659">
        <f>+'골재사업소(당월)'!AL26+'[12]골재사업소(당월)'!AF26</f>
        <v>0</v>
      </c>
      <c r="AM26" s="708">
        <f t="shared" si="10"/>
        <v>0</v>
      </c>
      <c r="AN26" s="662">
        <f>+'골재사업소(당월)'!AN26+'[12]골재사업소(당월)'!AH26</f>
        <v>0</v>
      </c>
      <c r="AO26" s="659">
        <f>+'골재사업소(당월)'!AO26+'[12]골재사업소(당월)'!AI26</f>
        <v>0</v>
      </c>
      <c r="AP26" s="662">
        <f t="shared" si="11"/>
        <v>0</v>
      </c>
      <c r="AQ26" s="663">
        <f t="shared" si="16"/>
        <v>0</v>
      </c>
      <c r="AR26" s="638">
        <f t="shared" si="16"/>
        <v>0</v>
      </c>
      <c r="AS26" s="665">
        <f t="shared" si="12"/>
        <v>0</v>
      </c>
      <c r="AT26" s="663">
        <f t="shared" si="17"/>
        <v>1219.9870967741936</v>
      </c>
      <c r="AU26" s="638">
        <f t="shared" si="17"/>
        <v>0</v>
      </c>
      <c r="AV26" s="664">
        <f t="shared" si="13"/>
        <v>-1219.9870967741936</v>
      </c>
    </row>
    <row r="27" spans="4:51" ht="30" customHeight="1">
      <c r="D27" s="479"/>
      <c r="E27" s="666" t="s">
        <v>197</v>
      </c>
      <c r="F27" s="617" t="s">
        <v>21</v>
      </c>
      <c r="G27" s="169">
        <f>+IFERROR(HLOOKUP($A$1,[13]매출!$G$5:$R$170,2,),)</f>
        <v>12500</v>
      </c>
      <c r="H27" s="667">
        <f t="shared" ref="H27:H32" si="18">IFERROR(H35/H21,)*1000</f>
        <v>12500</v>
      </c>
      <c r="I27" s="668">
        <f t="shared" si="0"/>
        <v>0</v>
      </c>
      <c r="J27" s="669">
        <f>+IFERROR(HLOOKUP($A$1,[13]매출!$G$5:$R$170,10,),)</f>
        <v>18500</v>
      </c>
      <c r="K27" s="667">
        <f t="shared" ref="K27:K32" si="19">IFERROR(K35/K21,)*1000</f>
        <v>16000</v>
      </c>
      <c r="L27" s="170">
        <f t="shared" si="1"/>
        <v>-2500</v>
      </c>
      <c r="M27" s="669"/>
      <c r="N27" s="667">
        <f t="shared" ref="N27:N32" si="20">IFERROR(N35/N21,)*1000</f>
        <v>0</v>
      </c>
      <c r="O27" s="170">
        <f t="shared" si="2"/>
        <v>0</v>
      </c>
      <c r="P27" s="669"/>
      <c r="Q27" s="667">
        <f t="shared" ref="Q27:Q32" si="21">IFERROR(Q35/Q21,)*1000</f>
        <v>0</v>
      </c>
      <c r="R27" s="170">
        <f t="shared" si="3"/>
        <v>0</v>
      </c>
      <c r="S27" s="669"/>
      <c r="T27" s="667">
        <f t="shared" ref="T27:T32" si="22">IFERROR(T35/T21,)*1000</f>
        <v>0</v>
      </c>
      <c r="U27" s="170">
        <f t="shared" si="4"/>
        <v>0</v>
      </c>
      <c r="V27" s="670">
        <f ca="1">+IFERROR(HLOOKUP($A$1,[13]매출!$G$5:$R$170,50,),)</f>
        <v>12500.000000000002</v>
      </c>
      <c r="W27" s="671">
        <f t="shared" ref="W27:W32" si="23">IFERROR(W35/W21,)*1000</f>
        <v>13253.472222222221</v>
      </c>
      <c r="X27" s="672">
        <f t="shared" ca="1" si="5"/>
        <v>753.47222222221899</v>
      </c>
      <c r="Y27" s="169">
        <f>+IFERROR(HLOOKUP($A$1,[14]매출!$G$5:$R$164,2,),)</f>
        <v>17500</v>
      </c>
      <c r="Z27" s="667">
        <f t="shared" ref="Z27:Z32" si="24">IFERROR(Z35/Z21,)*1000</f>
        <v>17500</v>
      </c>
      <c r="AA27" s="668">
        <f t="shared" si="6"/>
        <v>0</v>
      </c>
      <c r="AB27" s="669">
        <f>+IFERROR(HLOOKUP($A$1,[14]매출!$G$5:$R$164,10,),)</f>
        <v>23500</v>
      </c>
      <c r="AC27" s="667">
        <f t="shared" ref="AC27:AC32" si="25">IFERROR(AC35/AC21,)*1000</f>
        <v>23500</v>
      </c>
      <c r="AD27" s="170">
        <f t="shared" si="7"/>
        <v>0</v>
      </c>
      <c r="AE27" s="669"/>
      <c r="AF27" s="667">
        <f t="shared" ref="AF27:AF32" si="26">IFERROR(AF35/AF21,)*1000</f>
        <v>0</v>
      </c>
      <c r="AG27" s="170">
        <f t="shared" si="8"/>
        <v>0</v>
      </c>
      <c r="AH27" s="670">
        <f>+IFERROR(HLOOKUP($A$1,[14]매출!$G$5:$R$164,50,),)</f>
        <v>21219.951470291013</v>
      </c>
      <c r="AI27" s="671">
        <f t="shared" si="15"/>
        <v>41000</v>
      </c>
      <c r="AJ27" s="672">
        <f t="shared" si="9"/>
        <v>19780.048529708987</v>
      </c>
      <c r="AK27" s="170">
        <f>+IFERROR(HLOOKUP($A$1,[15]이송계획!$G$6:$R$318,34,),)</f>
        <v>38000</v>
      </c>
      <c r="AL27" s="667">
        <f>+'[16]부산모래장(손익)'!$O$46</f>
        <v>38000</v>
      </c>
      <c r="AM27" s="251">
        <f t="shared" si="10"/>
        <v>0</v>
      </c>
      <c r="AN27" s="170">
        <f>+IFERROR(HLOOKUP($A$1,[15]이송계획!$G$6:$R$318,41,),)</f>
        <v>30500</v>
      </c>
      <c r="AO27" s="667">
        <f>+'[16]부산모래장(손익)'!$N$46</f>
        <v>32000</v>
      </c>
      <c r="AP27" s="170">
        <f t="shared" si="11"/>
        <v>1500</v>
      </c>
      <c r="AQ27" s="670">
        <f t="shared" ref="AQ27:AR32" si="27">IFERROR(AQ35/AQ21,)*1000</f>
        <v>2171.4285714285711</v>
      </c>
      <c r="AR27" s="671">
        <f t="shared" si="27"/>
        <v>32746.036680136775</v>
      </c>
      <c r="AS27" s="672">
        <f t="shared" si="12"/>
        <v>30574.608108708202</v>
      </c>
      <c r="AT27" s="512">
        <f t="shared" ref="AT27:AU32" si="28">IFERROR(AT35/AT21,)*1000</f>
        <v>15885.127138022477</v>
      </c>
      <c r="AU27" s="667">
        <f t="shared" si="28"/>
        <v>22172.47506234414</v>
      </c>
      <c r="AV27" s="514">
        <f t="shared" si="13"/>
        <v>6287.3479243216625</v>
      </c>
    </row>
    <row r="28" spans="4:51" ht="30" customHeight="1">
      <c r="D28" s="479"/>
      <c r="E28" s="635" t="s">
        <v>199</v>
      </c>
      <c r="F28" s="657" t="s">
        <v>22</v>
      </c>
      <c r="G28" s="673">
        <f>+IFERROR(HLOOKUP($A$1,[13]매출!$G$5:$R$170,3,),)</f>
        <v>16000</v>
      </c>
      <c r="H28" s="674">
        <f t="shared" si="18"/>
        <v>17000</v>
      </c>
      <c r="I28" s="675">
        <f t="shared" si="0"/>
        <v>1000</v>
      </c>
      <c r="J28" s="676">
        <f>+IFERROR(HLOOKUP($A$1,[13]매출!$G$5:$R$170,11,),)</f>
        <v>22000</v>
      </c>
      <c r="K28" s="674">
        <f t="shared" si="19"/>
        <v>22000</v>
      </c>
      <c r="L28" s="504">
        <f t="shared" si="1"/>
        <v>0</v>
      </c>
      <c r="M28" s="676"/>
      <c r="N28" s="674">
        <f t="shared" si="20"/>
        <v>0</v>
      </c>
      <c r="O28" s="504">
        <f t="shared" si="2"/>
        <v>0</v>
      </c>
      <c r="P28" s="676"/>
      <c r="Q28" s="674">
        <f t="shared" si="21"/>
        <v>0</v>
      </c>
      <c r="R28" s="504">
        <f t="shared" si="3"/>
        <v>0</v>
      </c>
      <c r="S28" s="676"/>
      <c r="T28" s="674">
        <f t="shared" si="22"/>
        <v>0</v>
      </c>
      <c r="U28" s="504">
        <f t="shared" si="4"/>
        <v>0</v>
      </c>
      <c r="V28" s="677">
        <f ca="1">+IFERROR(HLOOKUP($A$1,[13]매출!$G$5:$R$170,51,),)</f>
        <v>18363.9853428721</v>
      </c>
      <c r="W28" s="678">
        <f t="shared" si="23"/>
        <v>19525.837122778008</v>
      </c>
      <c r="X28" s="679">
        <f t="shared" ca="1" si="5"/>
        <v>1161.8517799059082</v>
      </c>
      <c r="Y28" s="673">
        <f>+IFERROR(HLOOKUP($A$1,[14]매출!$G$5:$R$164,3,),)</f>
        <v>0</v>
      </c>
      <c r="Z28" s="674">
        <f t="shared" si="24"/>
        <v>12000</v>
      </c>
      <c r="AA28" s="675">
        <f t="shared" si="6"/>
        <v>12000</v>
      </c>
      <c r="AB28" s="676">
        <f>+IFERROR(HLOOKUP($A$1,[14]매출!$G$5:$R$164,11,),)</f>
        <v>0</v>
      </c>
      <c r="AC28" s="674">
        <f t="shared" si="25"/>
        <v>18000</v>
      </c>
      <c r="AD28" s="504">
        <f t="shared" si="7"/>
        <v>18000</v>
      </c>
      <c r="AE28" s="676"/>
      <c r="AF28" s="674">
        <f t="shared" si="26"/>
        <v>0</v>
      </c>
      <c r="AG28" s="504">
        <f t="shared" si="8"/>
        <v>0</v>
      </c>
      <c r="AH28" s="677">
        <f>+IFERROR(HLOOKUP($A$1,[14]매출!$G$5:$R$164,51,),)</f>
        <v>0</v>
      </c>
      <c r="AI28" s="678">
        <f t="shared" si="15"/>
        <v>30000</v>
      </c>
      <c r="AJ28" s="679">
        <f t="shared" si="9"/>
        <v>30000</v>
      </c>
      <c r="AK28" s="504">
        <f>+IFERROR(HLOOKUP($A$1,[15]이송계획!$G$6:$R$318,35,),)</f>
        <v>0</v>
      </c>
      <c r="AL28" s="674">
        <f>+'[16]부산모래장(손익)'!$O$47</f>
        <v>0</v>
      </c>
      <c r="AM28" s="709">
        <f t="shared" si="10"/>
        <v>0</v>
      </c>
      <c r="AN28" s="504">
        <f>+IFERROR(HLOOKUP($A$1,[15]이송계획!$G$6:$R$318,42,),)</f>
        <v>26500</v>
      </c>
      <c r="AO28" s="674">
        <f>+'[16]부산모래장(손익)'!$N$47</f>
        <v>27500</v>
      </c>
      <c r="AP28" s="504">
        <f t="shared" si="11"/>
        <v>1000</v>
      </c>
      <c r="AQ28" s="677">
        <f t="shared" si="27"/>
        <v>41160.559321390836</v>
      </c>
      <c r="AR28" s="678">
        <f t="shared" si="27"/>
        <v>27500</v>
      </c>
      <c r="AS28" s="679">
        <f t="shared" si="12"/>
        <v>-13660.559321390836</v>
      </c>
      <c r="AT28" s="502">
        <f t="shared" si="28"/>
        <v>21029.357837417781</v>
      </c>
      <c r="AU28" s="674">
        <f t="shared" si="28"/>
        <v>19154.303888375911</v>
      </c>
      <c r="AV28" s="505">
        <f t="shared" si="13"/>
        <v>-1875.0539490418705</v>
      </c>
    </row>
    <row r="29" spans="4:51" ht="30" customHeight="1">
      <c r="D29" s="479"/>
      <c r="E29" s="635"/>
      <c r="F29" s="657" t="s">
        <v>23</v>
      </c>
      <c r="G29" s="673">
        <f>+IFERROR(HLOOKUP($A$1,[13]매출!$G$5:$R$170,4,),)</f>
        <v>10000</v>
      </c>
      <c r="H29" s="674">
        <f t="shared" si="18"/>
        <v>0</v>
      </c>
      <c r="I29" s="675">
        <f t="shared" si="0"/>
        <v>-10000</v>
      </c>
      <c r="J29" s="676">
        <f>+IFERROR(HLOOKUP($A$1,[13]매출!$G$5:$R$170,12,),)</f>
        <v>16000</v>
      </c>
      <c r="K29" s="674">
        <f t="shared" si="19"/>
        <v>0</v>
      </c>
      <c r="L29" s="504">
        <f t="shared" si="1"/>
        <v>-16000</v>
      </c>
      <c r="M29" s="676"/>
      <c r="N29" s="674">
        <f t="shared" si="20"/>
        <v>0</v>
      </c>
      <c r="O29" s="504">
        <f t="shared" si="2"/>
        <v>0</v>
      </c>
      <c r="P29" s="676"/>
      <c r="Q29" s="674">
        <f t="shared" si="21"/>
        <v>0</v>
      </c>
      <c r="R29" s="504">
        <f t="shared" si="3"/>
        <v>0</v>
      </c>
      <c r="S29" s="676"/>
      <c r="T29" s="674">
        <f t="shared" si="22"/>
        <v>0</v>
      </c>
      <c r="U29" s="504">
        <f t="shared" si="4"/>
        <v>0</v>
      </c>
      <c r="V29" s="680">
        <f ca="1">+IFERROR(HLOOKUP($A$1,[13]매출!$G$5:$R$170,52,),)</f>
        <v>12780.48780487805</v>
      </c>
      <c r="W29" s="681">
        <f t="shared" si="23"/>
        <v>0</v>
      </c>
      <c r="X29" s="679">
        <f t="shared" ca="1" si="5"/>
        <v>-12780.48780487805</v>
      </c>
      <c r="Y29" s="673">
        <f>+IFERROR(HLOOKUP($A$1,[14]매출!$G$5:$R$164,4,),)</f>
        <v>0</v>
      </c>
      <c r="Z29" s="674">
        <f t="shared" si="24"/>
        <v>0</v>
      </c>
      <c r="AA29" s="675">
        <f t="shared" si="6"/>
        <v>0</v>
      </c>
      <c r="AB29" s="676">
        <f>+IFERROR(HLOOKUP($A$1,[14]매출!$G$5:$R$164,12,),)</f>
        <v>0</v>
      </c>
      <c r="AC29" s="674">
        <f t="shared" si="25"/>
        <v>0</v>
      </c>
      <c r="AD29" s="504">
        <f t="shared" si="7"/>
        <v>0</v>
      </c>
      <c r="AE29" s="676"/>
      <c r="AF29" s="674">
        <f t="shared" si="26"/>
        <v>0</v>
      </c>
      <c r="AG29" s="504">
        <f t="shared" si="8"/>
        <v>0</v>
      </c>
      <c r="AH29" s="680">
        <f>+IFERROR(HLOOKUP($A$1,[14]매출!$G$5:$R$164,52,),)</f>
        <v>0</v>
      </c>
      <c r="AI29" s="681">
        <f t="shared" si="15"/>
        <v>0</v>
      </c>
      <c r="AJ29" s="679">
        <f t="shared" si="9"/>
        <v>0</v>
      </c>
      <c r="AK29" s="504">
        <f>+IFERROR(HLOOKUP($A$1,[15]이송계획!$G$6:$R$318,36,),)</f>
        <v>0</v>
      </c>
      <c r="AL29" s="674">
        <f>+'[16]부산모래장(손익)'!$O$48</f>
        <v>0</v>
      </c>
      <c r="AM29" s="709">
        <f t="shared" si="10"/>
        <v>0</v>
      </c>
      <c r="AN29" s="504">
        <f>+IFERROR(HLOOKUP($A$1,[15]이송계획!$G$6:$R$318,43,),)</f>
        <v>26000</v>
      </c>
      <c r="AO29" s="674">
        <f>+'[16]부산모래장(손익)'!$N$48</f>
        <v>27500</v>
      </c>
      <c r="AP29" s="504">
        <f t="shared" si="11"/>
        <v>1500</v>
      </c>
      <c r="AQ29" s="680">
        <f t="shared" si="27"/>
        <v>73846.467391304337</v>
      </c>
      <c r="AR29" s="681">
        <f t="shared" si="27"/>
        <v>27500</v>
      </c>
      <c r="AS29" s="679">
        <f t="shared" si="12"/>
        <v>-46346.467391304337</v>
      </c>
      <c r="AT29" s="502">
        <f t="shared" si="28"/>
        <v>37334.632362582131</v>
      </c>
      <c r="AU29" s="674">
        <f>IFERROR(AU37/AU23,)*1000</f>
        <v>27500</v>
      </c>
      <c r="AV29" s="505">
        <f t="shared" si="13"/>
        <v>-9834.6323625821315</v>
      </c>
    </row>
    <row r="30" spans="4:51" ht="30" customHeight="1">
      <c r="D30" s="479"/>
      <c r="E30" s="635"/>
      <c r="F30" s="657" t="s">
        <v>24</v>
      </c>
      <c r="G30" s="673">
        <f>+IFERROR(HLOOKUP($A$1,[13]매출!$G$5:$R$170,5,),)</f>
        <v>0</v>
      </c>
      <c r="H30" s="674">
        <f t="shared" si="18"/>
        <v>0</v>
      </c>
      <c r="I30" s="675">
        <f t="shared" si="0"/>
        <v>0</v>
      </c>
      <c r="J30" s="676">
        <f>+IFERROR(HLOOKUP($A$1,[13]매출!$G$5:$R$170,13,),)</f>
        <v>0</v>
      </c>
      <c r="K30" s="674">
        <f t="shared" si="19"/>
        <v>0</v>
      </c>
      <c r="L30" s="504">
        <f t="shared" si="1"/>
        <v>0</v>
      </c>
      <c r="M30" s="676"/>
      <c r="N30" s="674">
        <f t="shared" si="20"/>
        <v>0</v>
      </c>
      <c r="O30" s="504">
        <f t="shared" si="2"/>
        <v>0</v>
      </c>
      <c r="P30" s="676"/>
      <c r="Q30" s="674">
        <f t="shared" si="21"/>
        <v>0</v>
      </c>
      <c r="R30" s="504">
        <f t="shared" si="3"/>
        <v>0</v>
      </c>
      <c r="S30" s="676"/>
      <c r="T30" s="674">
        <f t="shared" si="22"/>
        <v>0</v>
      </c>
      <c r="U30" s="504">
        <f t="shared" si="4"/>
        <v>0</v>
      </c>
      <c r="V30" s="680">
        <f ca="1">+IFERROR(HLOOKUP($A$1,[13]매출!$G$5:$R$170,53,),)</f>
        <v>0</v>
      </c>
      <c r="W30" s="54">
        <f t="shared" si="23"/>
        <v>0</v>
      </c>
      <c r="X30" s="682">
        <f t="shared" ca="1" si="5"/>
        <v>0</v>
      </c>
      <c r="Y30" s="673">
        <f>+IFERROR(HLOOKUP($A$1,[14]매출!$G$5:$R$164,5,),)</f>
        <v>0</v>
      </c>
      <c r="Z30" s="674">
        <f t="shared" si="24"/>
        <v>0</v>
      </c>
      <c r="AA30" s="675">
        <f t="shared" si="6"/>
        <v>0</v>
      </c>
      <c r="AB30" s="676">
        <f>+IFERROR(HLOOKUP($A$1,[14]매출!$G$5:$R$164,13,),)</f>
        <v>18000</v>
      </c>
      <c r="AC30" s="674">
        <f t="shared" si="25"/>
        <v>18000</v>
      </c>
      <c r="AD30" s="504">
        <f t="shared" si="7"/>
        <v>0</v>
      </c>
      <c r="AE30" s="676"/>
      <c r="AF30" s="674">
        <f t="shared" si="26"/>
        <v>0</v>
      </c>
      <c r="AG30" s="504">
        <f t="shared" si="8"/>
        <v>0</v>
      </c>
      <c r="AH30" s="680">
        <f>+IFERROR(HLOOKUP($A$1,[14]매출!$G$5:$R$164,53,),)</f>
        <v>18000</v>
      </c>
      <c r="AI30" s="54">
        <f t="shared" si="15"/>
        <v>18000</v>
      </c>
      <c r="AJ30" s="682">
        <f t="shared" si="9"/>
        <v>0</v>
      </c>
      <c r="AK30" s="504">
        <f>+IFERROR(HLOOKUP($A$1,[15]이송계획!$G$6:$R$318,37,),)</f>
        <v>34500</v>
      </c>
      <c r="AL30" s="674">
        <f>+'[16]부산모래장(손익)'!$O$49</f>
        <v>0</v>
      </c>
      <c r="AM30" s="709">
        <f t="shared" si="10"/>
        <v>-34500</v>
      </c>
      <c r="AN30" s="504">
        <f>+IFERROR(HLOOKUP($A$1,[15]이송계획!$G$6:$R$318,44,),)</f>
        <v>26000</v>
      </c>
      <c r="AO30" s="674">
        <f>+'[16]부산모래장(손익)'!$N$49</f>
        <v>27500</v>
      </c>
      <c r="AP30" s="504">
        <f t="shared" si="11"/>
        <v>1500</v>
      </c>
      <c r="AQ30" s="680">
        <f t="shared" si="27"/>
        <v>29621.551883583856</v>
      </c>
      <c r="AR30" s="54">
        <f t="shared" si="27"/>
        <v>27500</v>
      </c>
      <c r="AS30" s="682">
        <f t="shared" si="12"/>
        <v>-2121.5518835838557</v>
      </c>
      <c r="AT30" s="502">
        <f t="shared" si="28"/>
        <v>29291.50846725356</v>
      </c>
      <c r="AU30" s="674">
        <f t="shared" si="28"/>
        <v>25154.081632653062</v>
      </c>
      <c r="AV30" s="505">
        <f t="shared" si="13"/>
        <v>-4137.4268346004974</v>
      </c>
    </row>
    <row r="31" spans="4:51" ht="30" customHeight="1">
      <c r="D31" s="479"/>
      <c r="E31" s="635"/>
      <c r="F31" s="657" t="s">
        <v>25</v>
      </c>
      <c r="G31" s="673">
        <f>+IFERROR(HLOOKUP($A$1,[13]매출!$G$5:$R$170,6,),)</f>
        <v>0</v>
      </c>
      <c r="H31" s="674">
        <f t="shared" si="18"/>
        <v>0</v>
      </c>
      <c r="I31" s="675">
        <f t="shared" si="0"/>
        <v>0</v>
      </c>
      <c r="J31" s="676">
        <f>+IFERROR(HLOOKUP($A$1,[13]매출!$G$5:$R$170,14,),)</f>
        <v>0</v>
      </c>
      <c r="K31" s="674">
        <f t="shared" si="19"/>
        <v>0</v>
      </c>
      <c r="L31" s="504">
        <f t="shared" si="1"/>
        <v>0</v>
      </c>
      <c r="M31" s="676"/>
      <c r="N31" s="674">
        <f t="shared" si="20"/>
        <v>0</v>
      </c>
      <c r="O31" s="504">
        <f t="shared" si="2"/>
        <v>0</v>
      </c>
      <c r="P31" s="676"/>
      <c r="Q31" s="674">
        <f t="shared" si="21"/>
        <v>0</v>
      </c>
      <c r="R31" s="504">
        <f t="shared" si="3"/>
        <v>0</v>
      </c>
      <c r="S31" s="676"/>
      <c r="T31" s="674">
        <f t="shared" si="22"/>
        <v>0</v>
      </c>
      <c r="U31" s="504">
        <f t="shared" si="4"/>
        <v>0</v>
      </c>
      <c r="V31" s="680">
        <f ca="1">+IFERROR(HLOOKUP($A$1,[13]매출!$G$5:$R$170,54,),)</f>
        <v>0</v>
      </c>
      <c r="W31" s="54">
        <f t="shared" si="23"/>
        <v>0</v>
      </c>
      <c r="X31" s="682">
        <f t="shared" ca="1" si="5"/>
        <v>0</v>
      </c>
      <c r="Y31" s="673">
        <f>+IFERROR(HLOOKUP($A$1,[14]매출!$G$5:$R$164,6,),)</f>
        <v>0</v>
      </c>
      <c r="Z31" s="674">
        <f t="shared" si="24"/>
        <v>0</v>
      </c>
      <c r="AA31" s="675">
        <f t="shared" si="6"/>
        <v>0</v>
      </c>
      <c r="AB31" s="676">
        <f>+IFERROR(HLOOKUP($A$1,[14]매출!$G$5:$R$164,14,),)</f>
        <v>0</v>
      </c>
      <c r="AC31" s="674">
        <f t="shared" si="25"/>
        <v>0</v>
      </c>
      <c r="AD31" s="504">
        <f t="shared" si="7"/>
        <v>0</v>
      </c>
      <c r="AE31" s="676"/>
      <c r="AF31" s="674">
        <f t="shared" si="26"/>
        <v>0</v>
      </c>
      <c r="AG31" s="504">
        <f t="shared" si="8"/>
        <v>0</v>
      </c>
      <c r="AH31" s="680">
        <f>+IFERROR(HLOOKUP($A$1,[14]매출!$G$5:$R$164,54,),)</f>
        <v>0</v>
      </c>
      <c r="AI31" s="54">
        <f t="shared" si="15"/>
        <v>0</v>
      </c>
      <c r="AJ31" s="682">
        <f t="shared" si="9"/>
        <v>0</v>
      </c>
      <c r="AK31" s="504">
        <f>+IFERROR(HLOOKUP($A$1,[15]이송계획!$G$6:$R$318,38,),)</f>
        <v>0</v>
      </c>
      <c r="AL31" s="674">
        <f>+'[16]부산모래장(손익)'!$O$50</f>
        <v>0</v>
      </c>
      <c r="AM31" s="709">
        <f t="shared" si="10"/>
        <v>0</v>
      </c>
      <c r="AN31" s="504">
        <f>+IFERROR(HLOOKUP($A$1,[15]이송계획!$G$6:$R$318,45,),)</f>
        <v>26000</v>
      </c>
      <c r="AO31" s="674">
        <f>+'[16]부산모래장(손익)'!$N$50</f>
        <v>0</v>
      </c>
      <c r="AP31" s="504">
        <f t="shared" si="11"/>
        <v>-26000</v>
      </c>
      <c r="AQ31" s="680">
        <f t="shared" si="27"/>
        <v>140363.2309362439</v>
      </c>
      <c r="AR31" s="54">
        <f t="shared" si="27"/>
        <v>0</v>
      </c>
      <c r="AS31" s="682">
        <f t="shared" si="12"/>
        <v>-140363.2309362439</v>
      </c>
      <c r="AT31" s="502">
        <f t="shared" si="28"/>
        <v>140363.2309362439</v>
      </c>
      <c r="AU31" s="674">
        <f t="shared" si="28"/>
        <v>0</v>
      </c>
      <c r="AV31" s="505">
        <f t="shared" si="13"/>
        <v>-140363.2309362439</v>
      </c>
    </row>
    <row r="32" spans="4:51" ht="30" customHeight="1" thickBot="1">
      <c r="D32" s="479"/>
      <c r="E32" s="683"/>
      <c r="F32" s="684" t="s">
        <v>26</v>
      </c>
      <c r="G32" s="685">
        <f>+IFERROR(HLOOKUP($A$1,[13]매출!$G$5:$R$170,7,),)</f>
        <v>10000</v>
      </c>
      <c r="H32" s="686">
        <f t="shared" si="18"/>
        <v>0</v>
      </c>
      <c r="I32" s="687">
        <f t="shared" si="0"/>
        <v>-10000</v>
      </c>
      <c r="J32" s="688">
        <f>+IFERROR(HLOOKUP($A$1,[13]매출!$G$5:$R$170,15,),)</f>
        <v>16000</v>
      </c>
      <c r="K32" s="686">
        <f t="shared" si="19"/>
        <v>0</v>
      </c>
      <c r="L32" s="498">
        <f t="shared" si="1"/>
        <v>-16000</v>
      </c>
      <c r="M32" s="688"/>
      <c r="N32" s="686">
        <f t="shared" si="20"/>
        <v>0</v>
      </c>
      <c r="O32" s="498">
        <f t="shared" si="2"/>
        <v>0</v>
      </c>
      <c r="P32" s="688"/>
      <c r="Q32" s="686">
        <f t="shared" si="21"/>
        <v>0</v>
      </c>
      <c r="R32" s="498">
        <f t="shared" si="3"/>
        <v>0</v>
      </c>
      <c r="S32" s="688"/>
      <c r="T32" s="686">
        <f t="shared" si="22"/>
        <v>0</v>
      </c>
      <c r="U32" s="498">
        <f t="shared" si="4"/>
        <v>0</v>
      </c>
      <c r="V32" s="689">
        <f ca="1">+IFERROR(HLOOKUP($A$1,[13]매출!$G$5:$R$170,55,),)</f>
        <v>12185.533427111866</v>
      </c>
      <c r="W32" s="690">
        <f t="shared" si="23"/>
        <v>0</v>
      </c>
      <c r="X32" s="691">
        <f t="shared" ca="1" si="5"/>
        <v>-12185.533427111866</v>
      </c>
      <c r="Y32" s="685">
        <f>+IFERROR(HLOOKUP($A$1,[14]매출!$G$5:$R$164,7,),)</f>
        <v>0</v>
      </c>
      <c r="Z32" s="686">
        <f t="shared" si="24"/>
        <v>0</v>
      </c>
      <c r="AA32" s="687">
        <f t="shared" si="6"/>
        <v>0</v>
      </c>
      <c r="AB32" s="688">
        <f>+IFERROR(HLOOKUP($A$1,[14]매출!$G$5:$R$164,15,),)</f>
        <v>0</v>
      </c>
      <c r="AC32" s="686">
        <f t="shared" si="25"/>
        <v>0</v>
      </c>
      <c r="AD32" s="498">
        <f t="shared" si="7"/>
        <v>0</v>
      </c>
      <c r="AE32" s="688"/>
      <c r="AF32" s="686">
        <f t="shared" si="26"/>
        <v>0</v>
      </c>
      <c r="AG32" s="498">
        <f t="shared" si="8"/>
        <v>0</v>
      </c>
      <c r="AH32" s="689">
        <f>+IFERROR(HLOOKUP($A$1,[14]매출!$G$5:$R$164,55,),)</f>
        <v>0</v>
      </c>
      <c r="AI32" s="690">
        <f t="shared" si="15"/>
        <v>0</v>
      </c>
      <c r="AJ32" s="691">
        <f t="shared" si="9"/>
        <v>0</v>
      </c>
      <c r="AK32" s="498">
        <f>+IFERROR(HLOOKUP($A$1,[15]이송계획!$G$6:$R$318,39,),)</f>
        <v>0</v>
      </c>
      <c r="AL32" s="686">
        <f>+'[16]부산모래장(손익)'!$O$51</f>
        <v>0</v>
      </c>
      <c r="AM32" s="710">
        <f t="shared" si="10"/>
        <v>0</v>
      </c>
      <c r="AN32" s="498">
        <f>+IFERROR(HLOOKUP($A$1,[15]이송계획!$G$6:$R$318,46,),)</f>
        <v>0</v>
      </c>
      <c r="AO32" s="686">
        <f>+'[16]부산모래장(손익)'!$N$51</f>
        <v>0</v>
      </c>
      <c r="AP32" s="498">
        <f t="shared" si="11"/>
        <v>0</v>
      </c>
      <c r="AQ32" s="689">
        <f t="shared" si="27"/>
        <v>0</v>
      </c>
      <c r="AR32" s="690">
        <f t="shared" si="27"/>
        <v>0</v>
      </c>
      <c r="AS32" s="691">
        <f t="shared" si="12"/>
        <v>0</v>
      </c>
      <c r="AT32" s="692">
        <f t="shared" si="28"/>
        <v>105024.38967715687</v>
      </c>
      <c r="AU32" s="693">
        <f t="shared" si="28"/>
        <v>0</v>
      </c>
      <c r="AV32" s="694">
        <f t="shared" si="13"/>
        <v>-105024.38967715687</v>
      </c>
    </row>
    <row r="33" spans="5:48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48" ht="21.95" customHeight="1">
      <c r="J34" s="479"/>
      <c r="M34" s="479"/>
      <c r="AB34" s="479"/>
      <c r="AK34" s="479"/>
      <c r="AT34" s="479"/>
    </row>
    <row r="35" spans="5:48" ht="21.95" customHeight="1">
      <c r="E35" s="25" t="s">
        <v>197</v>
      </c>
      <c r="F35" s="696" t="s">
        <v>21</v>
      </c>
      <c r="G35" s="6">
        <f>+'골재사업소(당월)'!G35+'[12]골재사업소(당월)'!G35</f>
        <v>69983.333333333343</v>
      </c>
      <c r="H35" s="6">
        <f>+'골재사업소(당월)'!H35+'[12]골재사업소(당월)'!H35</f>
        <v>22600</v>
      </c>
      <c r="I35" s="6">
        <f t="shared" ref="I35:I41" si="29">+H35-G35</f>
        <v>-47383.333333333343</v>
      </c>
      <c r="J35" s="6">
        <f>+'골재사업소(당월)'!J35+'[12]골재사업소(당월)'!J35</f>
        <v>0</v>
      </c>
      <c r="K35" s="6">
        <f>+'골재사업소(당월)'!K35+'[12]골재사업소(당월)'!K35</f>
        <v>7936</v>
      </c>
      <c r="L35" s="6">
        <f>+K35-J35</f>
        <v>7936</v>
      </c>
      <c r="M35" s="479"/>
      <c r="O35" s="6">
        <f>+N35-M35</f>
        <v>0</v>
      </c>
      <c r="V35" s="6">
        <f t="shared" ref="V35:W41" si="30">SUM(G35,J35,M35)</f>
        <v>69983.333333333343</v>
      </c>
      <c r="W35" s="6">
        <f t="shared" si="30"/>
        <v>30536</v>
      </c>
      <c r="X35" s="6">
        <f t="shared" ref="X35:X41" si="31">+W35-V35</f>
        <v>-39447.333333333343</v>
      </c>
      <c r="Y35" s="6">
        <f>+'골재사업소(당월)'!Y35+'[12]골재사업소(당월)'!S35</f>
        <v>236800.5406666667</v>
      </c>
      <c r="Z35" s="6">
        <f>+'골재사업소(당월)'!Z35+'[12]골재사업소(당월)'!T35</f>
        <v>228865</v>
      </c>
      <c r="AA35" s="6">
        <f t="shared" ref="AA35:AA41" si="32">+Z35-Y35</f>
        <v>-7935.5406666666968</v>
      </c>
      <c r="AB35" s="479">
        <f>+'골재사업소(당월)'!AB35+'[12]골재사업소(당월)'!V35</f>
        <v>326663.78744999995</v>
      </c>
      <c r="AC35" s="6">
        <f>+'골재사업소(당월)'!AC35+'[12]골재사업소(당월)'!W35</f>
        <v>241204</v>
      </c>
      <c r="AD35" s="6">
        <f>+AC35-AB35</f>
        <v>-85459.787449999945</v>
      </c>
      <c r="AE35" s="6">
        <f>+'골재사업소(당월)'!AE35+'[12]골재사업소(당월)'!Y35</f>
        <v>0</v>
      </c>
      <c r="AF35" s="6">
        <f>+'골재사업소(당월)'!AF35+'[12]골재사업소(당월)'!Z35</f>
        <v>0</v>
      </c>
      <c r="AG35" s="6">
        <f>+AF35-AE35</f>
        <v>0</v>
      </c>
      <c r="AH35" s="6">
        <f>SUM(Y35,AB35)</f>
        <v>563464.32811666664</v>
      </c>
      <c r="AI35" s="6">
        <f t="shared" ref="AI35:AI41" si="33">SUM(Z35,AC35)</f>
        <v>470069</v>
      </c>
      <c r="AJ35" s="6">
        <f t="shared" ref="AJ35:AJ41" si="34">+AI35-AH35</f>
        <v>-93395.328116666642</v>
      </c>
      <c r="AK35" s="697">
        <f>+'골재사업소(당월)'!AK35+'[12]골재사업소(당월)'!AE35</f>
        <v>17219.580419580419</v>
      </c>
      <c r="AL35" s="6">
        <f>+'골재사업소(당월)'!AL35+'[12]골재사업소(당월)'!AF35</f>
        <v>30400</v>
      </c>
      <c r="AN35" s="697">
        <f>+'골재사업소(당월)'!AN35+'[12]골재사업소(당월)'!AH35</f>
        <v>0</v>
      </c>
      <c r="AO35" s="6">
        <f>+'골재사업소(당월)'!AO35+'[12]골재사업소(당월)'!AI35</f>
        <v>180288</v>
      </c>
      <c r="AQ35" s="6">
        <f>+AK35+AN35</f>
        <v>17219.580419580419</v>
      </c>
      <c r="AR35" s="6">
        <f t="shared" ref="AR35:AR41" si="35">+AL35+AO35</f>
        <v>210688</v>
      </c>
      <c r="AT35" s="479">
        <f t="shared" ref="AT35:AU40" si="36">+V35+AH35+AQ35</f>
        <v>650667.24186958047</v>
      </c>
      <c r="AU35" s="479">
        <f t="shared" si="36"/>
        <v>711293</v>
      </c>
      <c r="AV35" s="6">
        <f t="shared" ref="AV35:AV41" si="37">+AU35-AT35</f>
        <v>60625.758130419534</v>
      </c>
    </row>
    <row r="36" spans="5:48" ht="21.95" customHeight="1">
      <c r="E36" s="25" t="s">
        <v>124</v>
      </c>
      <c r="F36" s="696" t="s">
        <v>22</v>
      </c>
      <c r="G36" s="6">
        <f>+'골재사업소(당월)'!G36+'[12]골재사업소(당월)'!G36</f>
        <v>297901.8666666667</v>
      </c>
      <c r="H36" s="6">
        <f>+'골재사업소(당월)'!H36+'[12]골재사업소(당월)'!H36</f>
        <v>40698</v>
      </c>
      <c r="I36" s="6">
        <f t="shared" si="29"/>
        <v>-257203.8666666667</v>
      </c>
      <c r="J36" s="6">
        <f>+'골재사업소(당월)'!J36+'[12]골재사업소(당월)'!J36</f>
        <v>266332</v>
      </c>
      <c r="K36" s="6">
        <f>+'골재사업소(당월)'!K36+'[12]골재사업소(당월)'!K36</f>
        <v>53768</v>
      </c>
      <c r="L36" s="6">
        <f t="shared" ref="L36:L41" si="38">+K36-J36</f>
        <v>-212564</v>
      </c>
      <c r="O36" s="6">
        <f t="shared" ref="O36:O41" si="39">+N36-M36</f>
        <v>0</v>
      </c>
      <c r="V36" s="6">
        <f t="shared" si="30"/>
        <v>564233.8666666667</v>
      </c>
      <c r="W36" s="6">
        <f t="shared" si="30"/>
        <v>94466</v>
      </c>
      <c r="X36" s="6">
        <f t="shared" si="31"/>
        <v>-469767.8666666667</v>
      </c>
      <c r="Y36" s="6">
        <f>+'골재사업소(당월)'!Y36+'[12]골재사업소(당월)'!S36</f>
        <v>0</v>
      </c>
      <c r="Z36" s="6">
        <f>+'골재사업소(당월)'!Z36+'[12]골재사업소(당월)'!T36</f>
        <v>70080</v>
      </c>
      <c r="AA36" s="6">
        <f t="shared" si="32"/>
        <v>70080</v>
      </c>
      <c r="AB36" s="479">
        <f>+'골재사업소(당월)'!AB36+'[12]골재사업소(당월)'!V36</f>
        <v>0</v>
      </c>
      <c r="AC36" s="6">
        <f>+'골재사업소(당월)'!AC36+'[12]골재사업소(당월)'!W36</f>
        <v>63648</v>
      </c>
      <c r="AD36" s="6">
        <f t="shared" ref="AD36:AD41" si="40">+AC36-AB36</f>
        <v>63648</v>
      </c>
      <c r="AE36" s="6">
        <f>+'골재사업소(당월)'!AE36+'[12]골재사업소(당월)'!Y36</f>
        <v>0</v>
      </c>
      <c r="AF36" s="6">
        <f>+'골재사업소(당월)'!AF36+'[12]골재사업소(당월)'!Z36</f>
        <v>0</v>
      </c>
      <c r="AG36" s="6">
        <f t="shared" ref="AG36:AG41" si="41">+AF36-AE36</f>
        <v>0</v>
      </c>
      <c r="AH36" s="6">
        <f t="shared" ref="AH36:AH41" si="42">SUM(Y36,AB36)</f>
        <v>0</v>
      </c>
      <c r="AI36" s="6">
        <f t="shared" si="33"/>
        <v>133728</v>
      </c>
      <c r="AJ36" s="6">
        <f>+AI36-AH36</f>
        <v>133728</v>
      </c>
      <c r="AK36" s="697">
        <f>+'골재사업소(당월)'!AK36+'[12]골재사업소(당월)'!AE36</f>
        <v>0</v>
      </c>
      <c r="AL36" s="6">
        <f>+'골재사업소(당월)'!AL36+'[12]골재사업소(당월)'!AF36</f>
        <v>0</v>
      </c>
      <c r="AN36" s="697">
        <f>+'골재사업소(당월)'!AN36+'[12]골재사업소(당월)'!AH36</f>
        <v>167434.24725351782</v>
      </c>
      <c r="AO36" s="6">
        <f>+'골재사업소(당월)'!AO36+'[12]골재사업소(당월)'!AI36</f>
        <v>145200</v>
      </c>
      <c r="AQ36" s="6">
        <f t="shared" ref="AQ36:AQ41" si="43">+AK36+AN36</f>
        <v>167434.24725351782</v>
      </c>
      <c r="AR36" s="6">
        <f t="shared" si="35"/>
        <v>145200</v>
      </c>
      <c r="AT36" s="6">
        <f t="shared" si="36"/>
        <v>731668.11392018455</v>
      </c>
      <c r="AU36" s="6">
        <f t="shared" si="36"/>
        <v>373394</v>
      </c>
      <c r="AV36" s="6">
        <f t="shared" si="37"/>
        <v>-358274.11392018455</v>
      </c>
    </row>
    <row r="37" spans="5:48" ht="21.95" customHeight="1">
      <c r="F37" s="696" t="s">
        <v>23</v>
      </c>
      <c r="G37" s="6">
        <f>+'골재사업소(당월)'!G37+'[12]골재사업소(당월)'!G37</f>
        <v>24640</v>
      </c>
      <c r="H37" s="6">
        <f>+'골재사업소(당월)'!H37+'[12]골재사업소(당월)'!H37</f>
        <v>0</v>
      </c>
      <c r="I37" s="6">
        <f t="shared" si="29"/>
        <v>-24640</v>
      </c>
      <c r="J37" s="6">
        <f>+'골재사업소(당월)'!J37+'[12]골재사업소(당월)'!J37</f>
        <v>34048</v>
      </c>
      <c r="K37" s="6">
        <f>+'골재사업소(당월)'!K37+'[12]골재사업소(당월)'!K37</f>
        <v>0</v>
      </c>
      <c r="L37" s="6">
        <f t="shared" si="38"/>
        <v>-34048</v>
      </c>
      <c r="O37" s="6">
        <f t="shared" si="39"/>
        <v>0</v>
      </c>
      <c r="V37" s="6">
        <f t="shared" si="30"/>
        <v>58688</v>
      </c>
      <c r="W37" s="6">
        <f t="shared" si="30"/>
        <v>0</v>
      </c>
      <c r="X37" s="6">
        <f t="shared" si="31"/>
        <v>-58688</v>
      </c>
      <c r="Y37" s="6">
        <f>+'골재사업소(당월)'!Y37+'[12]골재사업소(당월)'!S37</f>
        <v>0</v>
      </c>
      <c r="Z37" s="6">
        <f>+'골재사업소(당월)'!Z37+'[12]골재사업소(당월)'!T37</f>
        <v>0</v>
      </c>
      <c r="AA37" s="6">
        <f t="shared" si="32"/>
        <v>0</v>
      </c>
      <c r="AB37" s="479">
        <f>+'골재사업소(당월)'!AB37+'[12]골재사업소(당월)'!V37</f>
        <v>0</v>
      </c>
      <c r="AC37" s="6">
        <f>+'골재사업소(당월)'!AC37+'[12]골재사업소(당월)'!W37</f>
        <v>0</v>
      </c>
      <c r="AD37" s="6">
        <f t="shared" si="40"/>
        <v>0</v>
      </c>
      <c r="AE37" s="6">
        <f>+'골재사업소(당월)'!AE37+'[12]골재사업소(당월)'!Y37</f>
        <v>0</v>
      </c>
      <c r="AF37" s="6">
        <f>+'골재사업소(당월)'!AF37+'[12]골재사업소(당월)'!Z37</f>
        <v>0</v>
      </c>
      <c r="AG37" s="6">
        <f t="shared" si="41"/>
        <v>0</v>
      </c>
      <c r="AH37" s="6">
        <f t="shared" si="42"/>
        <v>0</v>
      </c>
      <c r="AI37" s="6">
        <f t="shared" si="33"/>
        <v>0</v>
      </c>
      <c r="AJ37" s="6">
        <f t="shared" si="34"/>
        <v>0</v>
      </c>
      <c r="AK37" s="697">
        <f>+'골재사업소(당월)'!AK37+'[12]골재사업소(당월)'!AE37</f>
        <v>0</v>
      </c>
      <c r="AL37" s="6">
        <f>+'골재사업소(당월)'!AL37+'[12]골재사업소(당월)'!AF37</f>
        <v>0</v>
      </c>
      <c r="AN37" s="697">
        <f>+'골재사업소(당월)'!AN37+'[12]골재사업소(당월)'!AH37</f>
        <v>228046.15384615384</v>
      </c>
      <c r="AO37" s="6">
        <f>+'골재사업소(당월)'!AO37+'[12]골재사업소(당월)'!AI37</f>
        <v>62040</v>
      </c>
      <c r="AQ37" s="6">
        <f t="shared" si="43"/>
        <v>228046.15384615384</v>
      </c>
      <c r="AR37" s="6">
        <f t="shared" si="35"/>
        <v>62040</v>
      </c>
      <c r="AT37" s="6">
        <f t="shared" si="36"/>
        <v>286734.15384615387</v>
      </c>
      <c r="AU37" s="6">
        <f t="shared" si="36"/>
        <v>62040</v>
      </c>
      <c r="AV37" s="6">
        <f t="shared" si="37"/>
        <v>-224694.15384615387</v>
      </c>
    </row>
    <row r="38" spans="5:48" ht="21.95" customHeight="1">
      <c r="F38" s="696" t="s">
        <v>24</v>
      </c>
      <c r="G38" s="6">
        <f>+'골재사업소(당월)'!G38+'[12]골재사업소(당월)'!G38</f>
        <v>0</v>
      </c>
      <c r="H38" s="6">
        <f>+'골재사업소(당월)'!H38+'[12]골재사업소(당월)'!H38</f>
        <v>0</v>
      </c>
      <c r="I38" s="6">
        <f t="shared" si="29"/>
        <v>0</v>
      </c>
      <c r="J38" s="6">
        <f>+'골재사업소(당월)'!J38+'[12]골재사업소(당월)'!J38</f>
        <v>0</v>
      </c>
      <c r="K38" s="6">
        <f>+'골재사업소(당월)'!K38+'[12]골재사업소(당월)'!K38</f>
        <v>0</v>
      </c>
      <c r="L38" s="6">
        <f t="shared" si="38"/>
        <v>0</v>
      </c>
      <c r="O38" s="6">
        <f t="shared" si="39"/>
        <v>0</v>
      </c>
      <c r="V38" s="6">
        <f t="shared" si="30"/>
        <v>0</v>
      </c>
      <c r="W38" s="6">
        <f t="shared" si="30"/>
        <v>0</v>
      </c>
      <c r="X38" s="6">
        <f t="shared" si="31"/>
        <v>0</v>
      </c>
      <c r="Y38" s="6">
        <f>+'골재사업소(당월)'!Y38+'[12]골재사업소(당월)'!S38</f>
        <v>0</v>
      </c>
      <c r="Z38" s="6">
        <f>+'골재사업소(당월)'!Z38+'[12]골재사업소(당월)'!T38</f>
        <v>0</v>
      </c>
      <c r="AA38" s="6">
        <f t="shared" si="32"/>
        <v>0</v>
      </c>
      <c r="AB38" s="479">
        <f>+'골재사업소(당월)'!AB38+'[12]골재사업소(당월)'!V38</f>
        <v>4582.7280000000001</v>
      </c>
      <c r="AC38" s="6">
        <f>+'골재사업소(당월)'!AC38+'[12]골재사업소(당월)'!W38</f>
        <v>34848</v>
      </c>
      <c r="AD38" s="6">
        <f t="shared" si="40"/>
        <v>30265.272000000001</v>
      </c>
      <c r="AE38" s="6">
        <f>+'골재사업소(당월)'!AE38+'[12]골재사업소(당월)'!Y38</f>
        <v>0</v>
      </c>
      <c r="AF38" s="6">
        <f>+'골재사업소(당월)'!AF38+'[12]골재사업소(당월)'!Z38</f>
        <v>0</v>
      </c>
      <c r="AG38" s="6">
        <f t="shared" si="41"/>
        <v>0</v>
      </c>
      <c r="AH38" s="6">
        <f t="shared" si="42"/>
        <v>4582.7280000000001</v>
      </c>
      <c r="AI38" s="6">
        <f t="shared" si="33"/>
        <v>34848</v>
      </c>
      <c r="AJ38" s="6">
        <f t="shared" si="34"/>
        <v>30265.272000000001</v>
      </c>
      <c r="AK38" s="697">
        <f>+'골재사업소(당월)'!AK38+'[12]골재사업소(당월)'!AE38</f>
        <v>150214.6668339374</v>
      </c>
      <c r="AL38" s="6">
        <f>+'골재사업소(당월)'!AL38+'[12]골재사업소(당월)'!AF38</f>
        <v>0</v>
      </c>
      <c r="AN38" s="697">
        <f>+'골재사업소(당월)'!AN38+'[12]골재사업소(당월)'!AH38</f>
        <v>107797.55244755244</v>
      </c>
      <c r="AO38" s="6">
        <f>+'골재사업소(당월)'!AO38+'[12]골재사업소(당월)'!AI38</f>
        <v>162360</v>
      </c>
      <c r="AQ38" s="6">
        <f t="shared" si="43"/>
        <v>258012.21928148984</v>
      </c>
      <c r="AR38" s="6">
        <f t="shared" si="35"/>
        <v>162360</v>
      </c>
      <c r="AT38" s="6">
        <f t="shared" si="36"/>
        <v>262594.94728148985</v>
      </c>
      <c r="AU38" s="6">
        <f t="shared" si="36"/>
        <v>197208</v>
      </c>
      <c r="AV38" s="6">
        <f t="shared" si="37"/>
        <v>-65386.947281489847</v>
      </c>
    </row>
    <row r="39" spans="5:48" ht="21.95" customHeight="1">
      <c r="F39" s="696" t="s">
        <v>25</v>
      </c>
      <c r="G39" s="6">
        <f>+'골재사업소(당월)'!G39+'[12]골재사업소(당월)'!G39</f>
        <v>0</v>
      </c>
      <c r="H39" s="6">
        <f>+'골재사업소(당월)'!H39+'[12]골재사업소(당월)'!H39</f>
        <v>0</v>
      </c>
      <c r="I39" s="6">
        <f t="shared" si="29"/>
        <v>0</v>
      </c>
      <c r="J39" s="6">
        <f>+'골재사업소(당월)'!J39+'[12]골재사업소(당월)'!J39</f>
        <v>0</v>
      </c>
      <c r="K39" s="6">
        <f>+'골재사업소(당월)'!K39+'[12]골재사업소(당월)'!K39</f>
        <v>0</v>
      </c>
      <c r="L39" s="6">
        <f t="shared" si="38"/>
        <v>0</v>
      </c>
      <c r="O39" s="6">
        <f t="shared" si="39"/>
        <v>0</v>
      </c>
      <c r="V39" s="6">
        <f t="shared" si="30"/>
        <v>0</v>
      </c>
      <c r="W39" s="6">
        <f t="shared" si="30"/>
        <v>0</v>
      </c>
      <c r="X39" s="6">
        <f t="shared" si="31"/>
        <v>0</v>
      </c>
      <c r="Y39" s="6">
        <f>+'골재사업소(당월)'!Y39+'[12]골재사업소(당월)'!S39</f>
        <v>0</v>
      </c>
      <c r="Z39" s="6">
        <f>+'골재사업소(당월)'!Z39+'[12]골재사업소(당월)'!T39</f>
        <v>0</v>
      </c>
      <c r="AA39" s="6">
        <f t="shared" si="32"/>
        <v>0</v>
      </c>
      <c r="AB39" s="479">
        <f>+'골재사업소(당월)'!AB39+'[12]골재사업소(당월)'!V39</f>
        <v>0</v>
      </c>
      <c r="AC39" s="6">
        <f>+'골재사업소(당월)'!AC39+'[12]골재사업소(당월)'!W39</f>
        <v>0</v>
      </c>
      <c r="AD39" s="6">
        <f t="shared" si="40"/>
        <v>0</v>
      </c>
      <c r="AE39" s="6">
        <f>+'골재사업소(당월)'!AE39+'[12]골재사업소(당월)'!Y39</f>
        <v>0</v>
      </c>
      <c r="AF39" s="6">
        <f>+'골재사업소(당월)'!AF39+'[12]골재사업소(당월)'!Z39</f>
        <v>0</v>
      </c>
      <c r="AG39" s="6">
        <f t="shared" si="41"/>
        <v>0</v>
      </c>
      <c r="AH39" s="6">
        <f t="shared" si="42"/>
        <v>0</v>
      </c>
      <c r="AI39" s="6">
        <f t="shared" si="33"/>
        <v>0</v>
      </c>
      <c r="AJ39" s="6">
        <f t="shared" si="34"/>
        <v>0</v>
      </c>
      <c r="AK39" s="697">
        <f>+'골재사업소(당월)'!AK39+'[12]골재사업소(당월)'!AE39</f>
        <v>0</v>
      </c>
      <c r="AL39" s="6">
        <f>+'골재사업소(당월)'!AL39+'[12]골재사업소(당월)'!AF39</f>
        <v>0</v>
      </c>
      <c r="AN39" s="697">
        <f>+'골재사업소(당월)'!AN39+'[12]골재사업소(당월)'!AH39</f>
        <v>80290.909090909088</v>
      </c>
      <c r="AO39" s="6">
        <f>+'골재사업소(당월)'!AO39+'[12]골재사업소(당월)'!AI39</f>
        <v>0</v>
      </c>
      <c r="AQ39" s="6">
        <f t="shared" si="43"/>
        <v>80290.909090909088</v>
      </c>
      <c r="AR39" s="6">
        <f t="shared" si="35"/>
        <v>0</v>
      </c>
      <c r="AT39" s="6">
        <f t="shared" si="36"/>
        <v>80290.909090909088</v>
      </c>
      <c r="AU39" s="6">
        <f t="shared" si="36"/>
        <v>0</v>
      </c>
      <c r="AV39" s="6">
        <f t="shared" si="37"/>
        <v>-80290.909090909088</v>
      </c>
    </row>
    <row r="40" spans="5:48" ht="21.95" customHeight="1">
      <c r="F40" s="696" t="s">
        <v>26</v>
      </c>
      <c r="G40" s="6">
        <f>+'골재사업소(당월)'!G40+'[12]골재사업소(당월)'!G40</f>
        <v>7756</v>
      </c>
      <c r="H40" s="6">
        <f>+'골재사업소(당월)'!H40+'[12]골재사업소(당월)'!H40</f>
        <v>0</v>
      </c>
      <c r="I40" s="6">
        <f t="shared" si="29"/>
        <v>-7756</v>
      </c>
      <c r="J40" s="6">
        <f>+'골재사업소(당월)'!J40+'[12]골재사업소(당월)'!J40</f>
        <v>7110.1935483870966</v>
      </c>
      <c r="K40" s="6">
        <f>+'골재사업소(당월)'!K40+'[12]골재사업소(당월)'!K40</f>
        <v>0</v>
      </c>
      <c r="L40" s="6">
        <f t="shared" si="38"/>
        <v>-7110.1935483870966</v>
      </c>
      <c r="O40" s="6">
        <f t="shared" si="39"/>
        <v>0</v>
      </c>
      <c r="V40" s="6">
        <f t="shared" si="30"/>
        <v>14866.193548387097</v>
      </c>
      <c r="W40" s="6">
        <f t="shared" si="30"/>
        <v>0</v>
      </c>
      <c r="X40" s="6">
        <f t="shared" si="31"/>
        <v>-14866.193548387097</v>
      </c>
      <c r="Y40" s="6">
        <f>+'골재사업소(당월)'!Y40+'[12]골재사업소(당월)'!S40</f>
        <v>0</v>
      </c>
      <c r="Z40" s="6">
        <f>+'골재사업소(당월)'!Z40+'[12]골재사업소(당월)'!T40</f>
        <v>0</v>
      </c>
      <c r="AA40" s="6">
        <f t="shared" si="32"/>
        <v>0</v>
      </c>
      <c r="AB40" s="479">
        <f>+'골재사업소(당월)'!AB40+'[12]골재사업소(당월)'!V40</f>
        <v>0</v>
      </c>
      <c r="AC40" s="6">
        <f>+'골재사업소(당월)'!AC40+'[12]골재사업소(당월)'!W40</f>
        <v>0</v>
      </c>
      <c r="AD40" s="6">
        <f t="shared" si="40"/>
        <v>0</v>
      </c>
      <c r="AE40" s="6">
        <f>+'골재사업소(당월)'!AE40+'[12]골재사업소(당월)'!Y40</f>
        <v>0</v>
      </c>
      <c r="AF40" s="6">
        <f>+'골재사업소(당월)'!AF40+'[12]골재사업소(당월)'!Z40</f>
        <v>0</v>
      </c>
      <c r="AG40" s="6">
        <f t="shared" si="41"/>
        <v>0</v>
      </c>
      <c r="AH40" s="6">
        <f t="shared" si="42"/>
        <v>0</v>
      </c>
      <c r="AI40" s="6">
        <f t="shared" si="33"/>
        <v>0</v>
      </c>
      <c r="AJ40" s="6">
        <f t="shared" si="34"/>
        <v>0</v>
      </c>
      <c r="AK40" s="697">
        <f>+'골재사업소(당월)'!AK40+'[12]골재사업소(당월)'!AE40</f>
        <v>0</v>
      </c>
      <c r="AL40" s="6">
        <f>+'골재사업소(당월)'!AL40+'[12]골재사업소(당월)'!AF40</f>
        <v>0</v>
      </c>
      <c r="AN40" s="712">
        <f>+'골재사업소(당월)'!AN40+'[12]골재사업소(당월)'!AH40</f>
        <v>113262.20670432912</v>
      </c>
      <c r="AO40" s="6">
        <f>+'골재사업소(당월)'!AO40+'[12]골재사업소(당월)'!AI40</f>
        <v>0</v>
      </c>
      <c r="AQ40" s="6">
        <f t="shared" si="43"/>
        <v>113262.20670432912</v>
      </c>
      <c r="AR40" s="6">
        <f t="shared" si="35"/>
        <v>0</v>
      </c>
      <c r="AT40" s="6">
        <f t="shared" si="36"/>
        <v>128128.40025271621</v>
      </c>
      <c r="AU40" s="6">
        <f t="shared" si="36"/>
        <v>0</v>
      </c>
      <c r="AV40" s="6">
        <f t="shared" si="37"/>
        <v>-128128.40025271621</v>
      </c>
    </row>
    <row r="41" spans="5:48" ht="21.95" customHeight="1">
      <c r="F41" s="696" t="s">
        <v>8</v>
      </c>
      <c r="G41" s="6">
        <f>SUM(G35:G40)</f>
        <v>400281.20000000007</v>
      </c>
      <c r="H41" s="6">
        <f>SUM(H35:H40)</f>
        <v>63298</v>
      </c>
      <c r="I41" s="6">
        <f t="shared" si="29"/>
        <v>-336983.20000000007</v>
      </c>
      <c r="J41" s="6">
        <f>SUM(J35:J40)</f>
        <v>307490.19354838709</v>
      </c>
      <c r="K41" s="479">
        <f>SUM(K35:K40)</f>
        <v>61704</v>
      </c>
      <c r="L41" s="6">
        <f t="shared" si="38"/>
        <v>-245786.19354838709</v>
      </c>
      <c r="N41" s="479"/>
      <c r="O41" s="6">
        <f t="shared" si="39"/>
        <v>0</v>
      </c>
      <c r="V41" s="6">
        <f t="shared" si="30"/>
        <v>707771.3935483871</v>
      </c>
      <c r="W41" s="6">
        <f t="shared" si="30"/>
        <v>125002</v>
      </c>
      <c r="X41" s="6">
        <f t="shared" si="31"/>
        <v>-582769.3935483871</v>
      </c>
      <c r="Y41" s="6">
        <f>SUM(Y35:Y40)</f>
        <v>236800.5406666667</v>
      </c>
      <c r="Z41" s="6">
        <f>SUM(Z35:Z40)</f>
        <v>298945</v>
      </c>
      <c r="AA41" s="6">
        <f t="shared" si="32"/>
        <v>62144.459333333303</v>
      </c>
      <c r="AB41" s="479">
        <f>SUM(AB35:AB40)</f>
        <v>331246.51544999995</v>
      </c>
      <c r="AC41" s="479">
        <f>SUM(AC35:AC40)</f>
        <v>339700</v>
      </c>
      <c r="AD41" s="6">
        <f t="shared" si="40"/>
        <v>8453.484550000052</v>
      </c>
      <c r="AF41" s="479"/>
      <c r="AG41" s="6">
        <f t="shared" si="41"/>
        <v>0</v>
      </c>
      <c r="AH41" s="6">
        <f t="shared" si="42"/>
        <v>568047.05611666664</v>
      </c>
      <c r="AI41" s="6">
        <f t="shared" si="33"/>
        <v>638645</v>
      </c>
      <c r="AJ41" s="6">
        <f t="shared" si="34"/>
        <v>70597.943883333355</v>
      </c>
      <c r="AK41" s="6">
        <f>SUM(AK35:AK40)</f>
        <v>167434.24725351782</v>
      </c>
      <c r="AL41" s="6">
        <f>SUM(AL35:AL40)</f>
        <v>30400</v>
      </c>
      <c r="AN41" s="6">
        <f>SUM(AN35:AN40)</f>
        <v>696831.06934246235</v>
      </c>
      <c r="AO41" s="6">
        <f>SUM(AO35:AO40)</f>
        <v>549888</v>
      </c>
      <c r="AQ41" s="6">
        <f t="shared" si="43"/>
        <v>864265.3165959802</v>
      </c>
      <c r="AR41" s="6">
        <f t="shared" si="35"/>
        <v>580288</v>
      </c>
      <c r="AT41" s="6">
        <f>SUM(AT35:AT40)</f>
        <v>2140083.7662610342</v>
      </c>
      <c r="AU41" s="6">
        <f>SUM(AU35:AU40)</f>
        <v>1343935</v>
      </c>
      <c r="AV41" s="6">
        <f t="shared" si="37"/>
        <v>-796148.76626103418</v>
      </c>
    </row>
    <row r="42" spans="5:48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b">
        <f>+AL41=AL13</f>
        <v>1</v>
      </c>
      <c r="AN42" s="6" t="b">
        <f>+AN41=AN13</f>
        <v>1</v>
      </c>
      <c r="AO42" s="6" t="b">
        <f>+AO41=AO13</f>
        <v>1</v>
      </c>
      <c r="AQ42" s="6" t="b">
        <f>+AQ41=AQ13</f>
        <v>1</v>
      </c>
      <c r="AR42" s="6" t="b">
        <f>+AR41=AR13</f>
        <v>1</v>
      </c>
      <c r="AT42" s="6" t="b">
        <f>+AT41=AT13</f>
        <v>1</v>
      </c>
      <c r="AU42" s="6" t="b">
        <f>+AU41=AU13</f>
        <v>1</v>
      </c>
    </row>
    <row r="43" spans="5:48" ht="21.95" customHeight="1"/>
    <row r="44" spans="5:48" ht="21.95" customHeight="1"/>
    <row r="45" spans="5:48" ht="21.95" customHeight="1"/>
    <row r="46" spans="5:48" ht="21.95" customHeight="1"/>
    <row r="47" spans="5:48" ht="21.95" customHeight="1"/>
    <row r="48" spans="5:48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  <colBreaks count="1" manualBreakCount="1">
    <brk id="24" min="3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2025-03-19T23:03:57Z</cp:lastPrinted>
  <dcterms:created xsi:type="dcterms:W3CDTF">2018-12-20T00:38:36Z</dcterms:created>
  <dcterms:modified xsi:type="dcterms:W3CDTF">2025-04-15T03:46:22Z</dcterms:modified>
</cp:coreProperties>
</file>