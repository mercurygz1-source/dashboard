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2025년\원가손익\202506\00_보고서\"/>
    </mc:Choice>
  </mc:AlternateContent>
  <xr:revisionPtr revIDLastSave="0" documentId="13_ncr:1_{9CBAFF5B-3F0C-430F-B6D5-3C38754DDA27}" xr6:coauthVersionLast="36" xr6:coauthVersionMax="36" xr10:uidLastSave="{00000000-0000-0000-0000-000000000000}"/>
  <bookViews>
    <workbookView xWindow="480" yWindow="75" windowWidth="27975" windowHeight="12495" activeTab="2" xr2:uid="{00000000-000D-0000-FFFF-FFFF00000000}"/>
  </bookViews>
  <sheets>
    <sheet name="표지" sheetId="24" r:id="rId1"/>
    <sheet name="손익총괄" sheetId="1" r:id="rId2"/>
    <sheet name="사업장별(당월)" sheetId="2" r:id="rId3"/>
    <sheet name="영업이익" sheetId="25" r:id="rId4"/>
    <sheet name="공헌이익" sheetId="26" r:id="rId5"/>
    <sheet name="재료비단가" sheetId="27" r:id="rId6"/>
    <sheet name="원단위" sheetId="28" r:id="rId7"/>
    <sheet name="건자재" sheetId="29" r:id="rId8"/>
    <sheet name="골재사업소(당월)" sheetId="30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ASSUMPTIONS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fdfdf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edsd" localSheetId="7" hidden="1">{"Header",#N/A,TRUE,"Summary";"ProjectInfo",#N/A,TRUE,"Total Value"}</definedName>
    <definedName name="edsd" localSheetId="8" hidden="1">{"Header",#N/A,TRUE,"Summary";"ProjectInfo",#N/A,TRUE,"Total Value"}</definedName>
    <definedName name="edsd" localSheetId="4" hidden="1">{"Header",#N/A,TRUE,"Summary";"ProjectInfo",#N/A,TRUE,"Total Value"}</definedName>
    <definedName name="edsd" localSheetId="3" hidden="1">{"Header",#N/A,TRUE,"Summary";"ProjectInfo",#N/A,TRUE,"Total Value"}</definedName>
    <definedName name="edsd" localSheetId="6" hidden="1">{"Header",#N/A,TRUE,"Summary";"ProjectInfo",#N/A,TRUE,"Total Value"}</definedName>
    <definedName name="edsd" localSheetId="5" hidden="1">{"Header",#N/A,TRUE,"Summary";"ProjectInfo",#N/A,TRUE,"Total Value"}</definedName>
    <definedName name="edsd" hidden="1">{"Header",#N/A,TRUE,"Summary";"ProjectInfo",#N/A,TRUE,"Total Value"}</definedName>
    <definedName name="f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JHS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ijk" localSheetId="7" hidden="1">{"Header",#N/A,TRUE,"Summary";"ProjectInfo",#N/A,TRUE,"Total Value"}</definedName>
    <definedName name="jijk" localSheetId="8" hidden="1">{"Header",#N/A,TRUE,"Summary";"ProjectInfo",#N/A,TRUE,"Total Value"}</definedName>
    <definedName name="jijk" localSheetId="4" hidden="1">{"Header",#N/A,TRUE,"Summary";"ProjectInfo",#N/A,TRUE,"Total Value"}</definedName>
    <definedName name="jijk" localSheetId="3" hidden="1">{"Header",#N/A,TRUE,"Summary";"ProjectInfo",#N/A,TRUE,"Total Value"}</definedName>
    <definedName name="jijk" localSheetId="6" hidden="1">{"Header",#N/A,TRUE,"Summary";"ProjectInfo",#N/A,TRUE,"Total Value"}</definedName>
    <definedName name="jijk" localSheetId="5" hidden="1">{"Header",#N/A,TRUE,"Summary";"ProjectInfo",#N/A,TRUE,"Total Value"}</definedName>
    <definedName name="jijk" hidden="1">{"Header",#N/A,TRUE,"Summary";"ProjectInfo",#N/A,TRUE,"Total Value"}</definedName>
    <definedName name="jjj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csq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_xlnm.Print_Area" localSheetId="7">건자재!$D$6:$O$34</definedName>
    <definedName name="_xlnm.Print_Area" localSheetId="8">'골재사업소(당월)'!$D$4:$AP$33</definedName>
    <definedName name="_xlnm.Print_Area" localSheetId="4">공헌이익!$D$4:$V$29</definedName>
    <definedName name="_xlnm.Print_Area" localSheetId="2">'사업장별(당월)'!$H$3:$AG$43</definedName>
    <definedName name="_xlnm.Print_Area" localSheetId="1">손익총괄!$C$3:$X$36</definedName>
    <definedName name="_xlnm.Print_Area" localSheetId="3">영업이익!$D$4:$W$29</definedName>
    <definedName name="_xlnm.Print_Area" localSheetId="6">원단위!$D$4:$V$29</definedName>
    <definedName name="_xlnm.Print_Area" localSheetId="5">재료비단가!$D$4:$V$29</definedName>
    <definedName name="sa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" localSheetId="7" hidden="1">{"Header",#N/A,TRUE,"Summary";"ProjectInfo",#N/A,TRUE,"Total Value"}</definedName>
    <definedName name="w" localSheetId="8" hidden="1">{"Header",#N/A,TRUE,"Summary";"ProjectInfo",#N/A,TRUE,"Total Value"}</definedName>
    <definedName name="w" localSheetId="4" hidden="1">{"Header",#N/A,TRUE,"Summary";"ProjectInfo",#N/A,TRUE,"Total Value"}</definedName>
    <definedName name="w" localSheetId="3" hidden="1">{"Header",#N/A,TRUE,"Summary";"ProjectInfo",#N/A,TRUE,"Total Value"}</definedName>
    <definedName name="w" localSheetId="6" hidden="1">{"Header",#N/A,TRUE,"Summary";"ProjectInfo",#N/A,TRUE,"Total Value"}</definedName>
    <definedName name="w" localSheetId="5" hidden="1">{"Header",#N/A,TRUE,"Summary";"ProjectInfo",#N/A,TRUE,"Total Value"}</definedName>
    <definedName name="w" hidden="1">{"Header",#N/A,TRUE,"Summary";"ProjectInfo",#N/A,TRUE,"Total Value"}</definedName>
    <definedName name="wrn.iIMPRESSION._.DOC.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SummaryReport." localSheetId="7" hidden="1">{"Header",#N/A,TRUE,"Summary";"ProjectInfo",#N/A,TRUE,"Total Value"}</definedName>
    <definedName name="wrn.SummaryReport." localSheetId="8" hidden="1">{"Header",#N/A,TRUE,"Summary";"ProjectInfo",#N/A,TRUE,"Total Value"}</definedName>
    <definedName name="wrn.SummaryReport." localSheetId="4" hidden="1">{"Header",#N/A,TRUE,"Summary";"ProjectInfo",#N/A,TRUE,"Total Value"}</definedName>
    <definedName name="wrn.SummaryReport." localSheetId="3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localSheetId="5" hidden="1">{"Header",#N/A,TRUE,"Summary";"ProjectInfo",#N/A,TRUE,"Total Value"}</definedName>
    <definedName name="wrn.SummaryReport." hidden="1">{"Header",#N/A,TRUE,"Summary";"ProjectInfo",#N/A,TRUE,"Total Value"}</definedName>
    <definedName name="ww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ㅁ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로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ㄴㄴㅇ" localSheetId="7" hidden="1">{"Header",#N/A,TRUE,"Summary";"ProjectInfo",#N/A,TRUE,"Total Value"}</definedName>
    <definedName name="ㅁㄴㄴㅇ" localSheetId="8" hidden="1">{"Header",#N/A,TRUE,"Summary";"ProjectInfo",#N/A,TRUE,"Total Value"}</definedName>
    <definedName name="ㅁㄴㄴㅇ" localSheetId="4" hidden="1">{"Header",#N/A,TRUE,"Summary";"ProjectInfo",#N/A,TRUE,"Total Value"}</definedName>
    <definedName name="ㅁㄴㄴㅇ" localSheetId="3" hidden="1">{"Header",#N/A,TRUE,"Summary";"ProjectInfo",#N/A,TRUE,"Total Value"}</definedName>
    <definedName name="ㅁㄴㄴㅇ" localSheetId="6" hidden="1">{"Header",#N/A,TRUE,"Summary";"ProjectInfo",#N/A,TRUE,"Total Value"}</definedName>
    <definedName name="ㅁㄴㄴㅇ" localSheetId="5" hidden="1">{"Header",#N/A,TRUE,"Summary";"ProjectInfo",#N/A,TRUE,"Total Value"}</definedName>
    <definedName name="ㅁㄴㄴㅇ" hidden="1">{"Header",#N/A,TRUE,"Summary";"ProjectInfo",#N/A,TRUE,"Total Value"}</definedName>
    <definedName name="ㅁㅂㅁㅂㅂㅁㅁㅂ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ㅅ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ㅇ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ㅈ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ㅇ" localSheetId="7" hidden="1">{"Header",#N/A,TRUE,"Summary";"ProjectInfo",#N/A,TRUE,"Total Value"}</definedName>
    <definedName name="ㅈㅇ" localSheetId="8" hidden="1">{"Header",#N/A,TRUE,"Summary";"ProjectInfo",#N/A,TRUE,"Total Value"}</definedName>
    <definedName name="ㅈㅇ" localSheetId="4" hidden="1">{"Header",#N/A,TRUE,"Summary";"ProjectInfo",#N/A,TRUE,"Total Value"}</definedName>
    <definedName name="ㅈㅇ" localSheetId="3" hidden="1">{"Header",#N/A,TRUE,"Summary";"ProjectInfo",#N/A,TRUE,"Total Value"}</definedName>
    <definedName name="ㅈㅇ" localSheetId="6" hidden="1">{"Header",#N/A,TRUE,"Summary";"ProjectInfo",#N/A,TRUE,"Total Value"}</definedName>
    <definedName name="ㅈㅇ" localSheetId="5" hidden="1">{"Header",#N/A,TRUE,"Summary";"ProjectInfo",#N/A,TRUE,"Total Value"}</definedName>
    <definedName name="ㅈㅇ" hidden="1">{"Header",#N/A,TRUE,"Summary";"ProjectInfo",#N/A,TRUE,"Total Value"}</definedName>
    <definedName name="차이분서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ㅏㅏ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ㅣㅏㅣ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ㅗ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</definedNames>
  <calcPr calcId="191029"/>
</workbook>
</file>

<file path=xl/calcChain.xml><?xml version="1.0" encoding="utf-8"?>
<calcChain xmlns="http://schemas.openxmlformats.org/spreadsheetml/2006/main">
  <c r="T43" i="2" l="1"/>
  <c r="AH19" i="30" l="1"/>
  <c r="AH18" i="30"/>
  <c r="AE19" i="30"/>
  <c r="AE18" i="30"/>
  <c r="AH40" i="30" l="1"/>
  <c r="U39" i="2" l="1"/>
  <c r="V39" i="2" s="1"/>
  <c r="G39" i="2"/>
  <c r="W46" i="2"/>
  <c r="T46" i="2"/>
  <c r="R46" i="2"/>
  <c r="O46" i="2"/>
  <c r="M46" i="2"/>
  <c r="J46" i="2"/>
  <c r="W40" i="2"/>
  <c r="T40" i="2"/>
  <c r="R40" i="2"/>
  <c r="O40" i="2"/>
  <c r="W38" i="2"/>
  <c r="T38" i="2"/>
  <c r="R38" i="2"/>
  <c r="W37" i="2"/>
  <c r="W36" i="2"/>
  <c r="T36" i="2"/>
  <c r="W35" i="2"/>
  <c r="T35" i="2"/>
  <c r="W34" i="2"/>
  <c r="T34" i="2"/>
  <c r="R34" i="2"/>
  <c r="O34" i="2"/>
  <c r="W33" i="2"/>
  <c r="T33" i="2"/>
  <c r="R33" i="2"/>
  <c r="O33" i="2"/>
  <c r="W31" i="2"/>
  <c r="T31" i="2"/>
  <c r="R31" i="2"/>
  <c r="O31" i="2"/>
  <c r="M31" i="2"/>
  <c r="J31" i="2"/>
  <c r="W30" i="2"/>
  <c r="T30" i="2"/>
  <c r="R30" i="2"/>
  <c r="O30" i="2"/>
  <c r="M30" i="2"/>
  <c r="J30" i="2"/>
  <c r="W29" i="2"/>
  <c r="T29" i="2"/>
  <c r="R29" i="2"/>
  <c r="O29" i="2"/>
  <c r="M29" i="2"/>
  <c r="J29" i="2"/>
  <c r="W28" i="2"/>
  <c r="T28" i="2"/>
  <c r="R28" i="2"/>
  <c r="O28" i="2"/>
  <c r="M28" i="2"/>
  <c r="J28" i="2"/>
  <c r="AD27" i="2"/>
  <c r="AC27" i="2"/>
  <c r="AB27" i="2"/>
  <c r="AA27" i="2"/>
  <c r="Z27" i="2"/>
  <c r="Y27" i="2"/>
  <c r="AD26" i="2"/>
  <c r="AC26" i="2"/>
  <c r="AB26" i="2"/>
  <c r="AA26" i="2"/>
  <c r="Z26" i="2"/>
  <c r="Y26" i="2"/>
  <c r="AD25" i="2"/>
  <c r="AC25" i="2"/>
  <c r="AB25" i="2"/>
  <c r="AA25" i="2"/>
  <c r="Z25" i="2"/>
  <c r="Y25" i="2"/>
  <c r="AD24" i="2"/>
  <c r="AC24" i="2"/>
  <c r="AB24" i="2"/>
  <c r="AA24" i="2"/>
  <c r="Z24" i="2"/>
  <c r="Y24" i="2"/>
  <c r="AD23" i="2"/>
  <c r="AC23" i="2"/>
  <c r="AB23" i="2"/>
  <c r="AA23" i="2"/>
  <c r="Z23" i="2"/>
  <c r="Y23" i="2"/>
  <c r="W23" i="2"/>
  <c r="T23" i="2"/>
  <c r="R23" i="2"/>
  <c r="O23" i="2"/>
  <c r="M23" i="2"/>
  <c r="J23" i="2"/>
  <c r="AD22" i="2"/>
  <c r="AC22" i="2"/>
  <c r="AB22" i="2"/>
  <c r="AA22" i="2"/>
  <c r="Z22" i="2"/>
  <c r="Y22" i="2"/>
  <c r="W22" i="2"/>
  <c r="T22" i="2"/>
  <c r="R22" i="2"/>
  <c r="O22" i="2"/>
  <c r="M22" i="2"/>
  <c r="J22" i="2"/>
  <c r="AD21" i="2"/>
  <c r="AC21" i="2"/>
  <c r="AB21" i="2"/>
  <c r="AA21" i="2"/>
  <c r="Z21" i="2"/>
  <c r="Y21" i="2"/>
  <c r="W21" i="2"/>
  <c r="T21" i="2"/>
  <c r="R21" i="2"/>
  <c r="O21" i="2"/>
  <c r="M21" i="2"/>
  <c r="J21" i="2"/>
  <c r="AD20" i="2"/>
  <c r="AC20" i="2"/>
  <c r="AB20" i="2"/>
  <c r="AA20" i="2"/>
  <c r="Z20" i="2"/>
  <c r="Y20" i="2"/>
  <c r="W20" i="2"/>
  <c r="T20" i="2"/>
  <c r="R20" i="2"/>
  <c r="O20" i="2"/>
  <c r="M20" i="2"/>
  <c r="J20" i="2"/>
  <c r="AD19" i="2"/>
  <c r="AC19" i="2"/>
  <c r="AB19" i="2"/>
  <c r="AA19" i="2"/>
  <c r="Z19" i="2"/>
  <c r="Y19" i="2"/>
  <c r="W19" i="2"/>
  <c r="T19" i="2"/>
  <c r="R19" i="2"/>
  <c r="O19" i="2"/>
  <c r="M19" i="2"/>
  <c r="J19" i="2"/>
  <c r="AD18" i="2"/>
  <c r="AC18" i="2"/>
  <c r="AB18" i="2"/>
  <c r="AA18" i="2"/>
  <c r="Z18" i="2"/>
  <c r="Y18" i="2"/>
  <c r="W18" i="2"/>
  <c r="T18" i="2"/>
  <c r="R18" i="2"/>
  <c r="O18" i="2"/>
  <c r="M18" i="2"/>
  <c r="J18" i="2"/>
  <c r="AD17" i="2"/>
  <c r="AC17" i="2"/>
  <c r="AB17" i="2"/>
  <c r="AA17" i="2"/>
  <c r="Z17" i="2"/>
  <c r="Y17" i="2"/>
  <c r="W17" i="2"/>
  <c r="T17" i="2"/>
  <c r="R17" i="2"/>
  <c r="O17" i="2"/>
  <c r="M17" i="2"/>
  <c r="J17" i="2"/>
  <c r="AD16" i="2"/>
  <c r="AC16" i="2"/>
  <c r="AB16" i="2"/>
  <c r="AA16" i="2"/>
  <c r="Z16" i="2"/>
  <c r="Y16" i="2"/>
  <c r="W16" i="2"/>
  <c r="T16" i="2"/>
  <c r="R16" i="2"/>
  <c r="O16" i="2"/>
  <c r="M16" i="2"/>
  <c r="J16" i="2"/>
  <c r="AD15" i="2"/>
  <c r="AC15" i="2"/>
  <c r="AB15" i="2"/>
  <c r="AA15" i="2"/>
  <c r="Z15" i="2"/>
  <c r="Y15" i="2"/>
  <c r="W15" i="2"/>
  <c r="T15" i="2"/>
  <c r="R15" i="2"/>
  <c r="O15" i="2"/>
  <c r="M15" i="2"/>
  <c r="J15" i="2"/>
  <c r="AD14" i="2"/>
  <c r="AC14" i="2"/>
  <c r="AB14" i="2"/>
  <c r="AA14" i="2"/>
  <c r="Z14" i="2"/>
  <c r="Y14" i="2"/>
  <c r="W14" i="2"/>
  <c r="T14" i="2"/>
  <c r="R14" i="2"/>
  <c r="O14" i="2"/>
  <c r="M14" i="2"/>
  <c r="J14" i="2"/>
  <c r="AD13" i="2"/>
  <c r="AC13" i="2"/>
  <c r="AB13" i="2"/>
  <c r="AA13" i="2"/>
  <c r="Z13" i="2"/>
  <c r="Y13" i="2"/>
  <c r="W13" i="2"/>
  <c r="T13" i="2"/>
  <c r="R13" i="2"/>
  <c r="O13" i="2"/>
  <c r="M13" i="2"/>
  <c r="J13" i="2"/>
  <c r="AD12" i="2"/>
  <c r="AC12" i="2"/>
  <c r="AB12" i="2"/>
  <c r="AA12" i="2"/>
  <c r="Z12" i="2"/>
  <c r="Y12" i="2"/>
  <c r="W12" i="2"/>
  <c r="T12" i="2"/>
  <c r="R12" i="2"/>
  <c r="O12" i="2"/>
  <c r="M12" i="2"/>
  <c r="J12" i="2"/>
  <c r="AD11" i="2"/>
  <c r="AC11" i="2"/>
  <c r="AB11" i="2"/>
  <c r="AA11" i="2"/>
  <c r="Z11" i="2"/>
  <c r="Y11" i="2"/>
  <c r="W11" i="2"/>
  <c r="T11" i="2"/>
  <c r="R11" i="2"/>
  <c r="O11" i="2"/>
  <c r="M11" i="2"/>
  <c r="J11" i="2"/>
  <c r="AD10" i="2"/>
  <c r="AC10" i="2"/>
  <c r="AB10" i="2"/>
  <c r="AA10" i="2"/>
  <c r="Z10" i="2"/>
  <c r="Y10" i="2"/>
  <c r="W10" i="2"/>
  <c r="T10" i="2"/>
  <c r="R10" i="2"/>
  <c r="O10" i="2"/>
  <c r="M10" i="2"/>
  <c r="J10" i="2"/>
  <c r="AD9" i="2"/>
  <c r="AC9" i="2"/>
  <c r="AB9" i="2"/>
  <c r="AA9" i="2"/>
  <c r="Z9" i="2"/>
  <c r="Y9" i="2"/>
  <c r="W9" i="2"/>
  <c r="T9" i="2"/>
  <c r="R9" i="2"/>
  <c r="O9" i="2"/>
  <c r="M9" i="2"/>
  <c r="J9" i="2"/>
  <c r="AD8" i="2"/>
  <c r="AC8" i="2"/>
  <c r="AB8" i="2"/>
  <c r="AA8" i="2"/>
  <c r="Z8" i="2"/>
  <c r="Y8" i="2"/>
  <c r="W8" i="2"/>
  <c r="T8" i="2"/>
  <c r="R8" i="2"/>
  <c r="O8" i="2"/>
  <c r="M8" i="2"/>
  <c r="J8" i="2"/>
  <c r="AD7" i="2"/>
  <c r="AC7" i="2"/>
  <c r="AB7" i="2"/>
  <c r="AA7" i="2"/>
  <c r="Z7" i="2"/>
  <c r="Y7" i="2"/>
  <c r="W7" i="2"/>
  <c r="T7" i="2"/>
  <c r="R7" i="2"/>
  <c r="O7" i="2"/>
  <c r="M7" i="2"/>
  <c r="J7" i="2"/>
  <c r="W28" i="25"/>
  <c r="U28" i="25"/>
  <c r="T28" i="25"/>
  <c r="S28" i="25"/>
  <c r="Q28" i="25"/>
  <c r="P28" i="25"/>
  <c r="O28" i="25"/>
  <c r="M28" i="25"/>
  <c r="L28" i="25"/>
  <c r="K28" i="25"/>
  <c r="I28" i="25"/>
  <c r="H28" i="25"/>
  <c r="F28" i="25"/>
  <c r="E28" i="25"/>
  <c r="W27" i="25"/>
  <c r="U27" i="25"/>
  <c r="T27" i="25"/>
  <c r="S27" i="25"/>
  <c r="Q27" i="25"/>
  <c r="P27" i="25"/>
  <c r="O27" i="25"/>
  <c r="M27" i="25"/>
  <c r="L27" i="25"/>
  <c r="K27" i="25"/>
  <c r="I27" i="25"/>
  <c r="H27" i="25"/>
  <c r="F27" i="25"/>
  <c r="E27" i="25"/>
  <c r="W26" i="25"/>
  <c r="U26" i="25"/>
  <c r="T26" i="25"/>
  <c r="S26" i="25"/>
  <c r="Q26" i="25"/>
  <c r="P26" i="25"/>
  <c r="O26" i="25"/>
  <c r="M26" i="25"/>
  <c r="L26" i="25"/>
  <c r="K26" i="25"/>
  <c r="I26" i="25"/>
  <c r="H26" i="25"/>
  <c r="F26" i="25"/>
  <c r="E26" i="25"/>
  <c r="W25" i="25"/>
  <c r="U25" i="25"/>
  <c r="T25" i="25"/>
  <c r="S25" i="25"/>
  <c r="Q25" i="25"/>
  <c r="P25" i="25"/>
  <c r="O25" i="25"/>
  <c r="M25" i="25"/>
  <c r="L25" i="25"/>
  <c r="K25" i="25"/>
  <c r="I25" i="25"/>
  <c r="H25" i="25"/>
  <c r="F25" i="25"/>
  <c r="E25" i="25"/>
  <c r="W24" i="25"/>
  <c r="U24" i="25"/>
  <c r="T24" i="25"/>
  <c r="S24" i="25"/>
  <c r="Q24" i="25"/>
  <c r="P24" i="25"/>
  <c r="O24" i="25"/>
  <c r="M24" i="25"/>
  <c r="L24" i="25"/>
  <c r="K24" i="25"/>
  <c r="I24" i="25"/>
  <c r="H24" i="25"/>
  <c r="F24" i="25"/>
  <c r="E24" i="25"/>
  <c r="W23" i="25"/>
  <c r="U23" i="25"/>
  <c r="T23" i="25"/>
  <c r="S23" i="25"/>
  <c r="Q23" i="25"/>
  <c r="P23" i="25"/>
  <c r="O23" i="25"/>
  <c r="M23" i="25"/>
  <c r="L23" i="25"/>
  <c r="K23" i="25"/>
  <c r="I23" i="25"/>
  <c r="H23" i="25"/>
  <c r="F23" i="25"/>
  <c r="E23" i="25"/>
  <c r="W22" i="25"/>
  <c r="U22" i="25"/>
  <c r="T22" i="25"/>
  <c r="S22" i="25"/>
  <c r="Q22" i="25"/>
  <c r="P22" i="25"/>
  <c r="O22" i="25"/>
  <c r="M22" i="25"/>
  <c r="L22" i="25"/>
  <c r="K22" i="25"/>
  <c r="I22" i="25"/>
  <c r="H22" i="25"/>
  <c r="F22" i="25"/>
  <c r="E22" i="25"/>
  <c r="W21" i="25"/>
  <c r="U21" i="25"/>
  <c r="T21" i="25"/>
  <c r="S21" i="25"/>
  <c r="Q21" i="25"/>
  <c r="P21" i="25"/>
  <c r="O21" i="25"/>
  <c r="M21" i="25"/>
  <c r="L21" i="25"/>
  <c r="K21" i="25"/>
  <c r="I21" i="25"/>
  <c r="H21" i="25"/>
  <c r="F21" i="25"/>
  <c r="E21" i="25"/>
  <c r="W20" i="25"/>
  <c r="U20" i="25"/>
  <c r="T20" i="25"/>
  <c r="S20" i="25"/>
  <c r="Q20" i="25"/>
  <c r="P20" i="25"/>
  <c r="O20" i="25"/>
  <c r="M20" i="25"/>
  <c r="L20" i="25"/>
  <c r="K20" i="25"/>
  <c r="I20" i="25"/>
  <c r="H20" i="25"/>
  <c r="F20" i="25"/>
  <c r="E20" i="25"/>
  <c r="W19" i="25"/>
  <c r="U19" i="25"/>
  <c r="T19" i="25"/>
  <c r="S19" i="25"/>
  <c r="Q19" i="25"/>
  <c r="P19" i="25"/>
  <c r="O19" i="25"/>
  <c r="M19" i="25"/>
  <c r="L19" i="25"/>
  <c r="K19" i="25"/>
  <c r="I19" i="25"/>
  <c r="H19" i="25"/>
  <c r="F19" i="25"/>
  <c r="E19" i="25"/>
  <c r="W18" i="25"/>
  <c r="U18" i="25"/>
  <c r="T18" i="25"/>
  <c r="S18" i="25"/>
  <c r="Q18" i="25"/>
  <c r="P18" i="25"/>
  <c r="O18" i="25"/>
  <c r="M18" i="25"/>
  <c r="L18" i="25"/>
  <c r="K18" i="25"/>
  <c r="I18" i="25"/>
  <c r="H18" i="25"/>
  <c r="F18" i="25"/>
  <c r="E18" i="25"/>
  <c r="W17" i="25"/>
  <c r="U17" i="25"/>
  <c r="T17" i="25"/>
  <c r="S17" i="25"/>
  <c r="Q17" i="25"/>
  <c r="P17" i="25"/>
  <c r="O17" i="25"/>
  <c r="M17" i="25"/>
  <c r="L17" i="25"/>
  <c r="K17" i="25"/>
  <c r="I17" i="25"/>
  <c r="H17" i="25"/>
  <c r="F17" i="25"/>
  <c r="E17" i="25"/>
  <c r="W16" i="25"/>
  <c r="U16" i="25"/>
  <c r="T16" i="25"/>
  <c r="S16" i="25"/>
  <c r="Q16" i="25"/>
  <c r="P16" i="25"/>
  <c r="O16" i="25"/>
  <c r="M16" i="25"/>
  <c r="L16" i="25"/>
  <c r="K16" i="25"/>
  <c r="I16" i="25"/>
  <c r="H16" i="25"/>
  <c r="F16" i="25"/>
  <c r="E16" i="25"/>
  <c r="W15" i="25"/>
  <c r="U15" i="25"/>
  <c r="T15" i="25"/>
  <c r="S15" i="25"/>
  <c r="Q15" i="25"/>
  <c r="P15" i="25"/>
  <c r="O15" i="25"/>
  <c r="M15" i="25"/>
  <c r="L15" i="25"/>
  <c r="K15" i="25"/>
  <c r="I15" i="25"/>
  <c r="H15" i="25"/>
  <c r="F15" i="25"/>
  <c r="E15" i="25"/>
  <c r="W14" i="25"/>
  <c r="U14" i="25"/>
  <c r="T14" i="25"/>
  <c r="S14" i="25"/>
  <c r="Q14" i="25"/>
  <c r="P14" i="25"/>
  <c r="O14" i="25"/>
  <c r="M14" i="25"/>
  <c r="L14" i="25"/>
  <c r="K14" i="25"/>
  <c r="I14" i="25"/>
  <c r="H14" i="25"/>
  <c r="F14" i="25"/>
  <c r="E14" i="25"/>
  <c r="W13" i="25"/>
  <c r="U13" i="25"/>
  <c r="T13" i="25"/>
  <c r="S13" i="25"/>
  <c r="Q13" i="25"/>
  <c r="P13" i="25"/>
  <c r="O13" i="25"/>
  <c r="M13" i="25"/>
  <c r="L13" i="25"/>
  <c r="K13" i="25"/>
  <c r="I13" i="25"/>
  <c r="H13" i="25"/>
  <c r="F13" i="25"/>
  <c r="E13" i="25"/>
  <c r="W12" i="25"/>
  <c r="U12" i="25"/>
  <c r="T12" i="25"/>
  <c r="S12" i="25"/>
  <c r="Q12" i="25"/>
  <c r="P12" i="25"/>
  <c r="O12" i="25"/>
  <c r="M12" i="25"/>
  <c r="L12" i="25"/>
  <c r="K12" i="25"/>
  <c r="I12" i="25"/>
  <c r="H12" i="25"/>
  <c r="F12" i="25"/>
  <c r="E12" i="25"/>
  <c r="W11" i="25"/>
  <c r="U11" i="25"/>
  <c r="T11" i="25"/>
  <c r="S11" i="25"/>
  <c r="Q11" i="25"/>
  <c r="P11" i="25"/>
  <c r="O11" i="25"/>
  <c r="M11" i="25"/>
  <c r="L11" i="25"/>
  <c r="K11" i="25"/>
  <c r="I11" i="25"/>
  <c r="H11" i="25"/>
  <c r="F11" i="25"/>
  <c r="E11" i="25"/>
  <c r="W10" i="25"/>
  <c r="U10" i="25"/>
  <c r="T10" i="25"/>
  <c r="S10" i="25"/>
  <c r="Q10" i="25"/>
  <c r="P10" i="25"/>
  <c r="O10" i="25"/>
  <c r="M10" i="25"/>
  <c r="L10" i="25"/>
  <c r="K10" i="25"/>
  <c r="I10" i="25"/>
  <c r="H10" i="25"/>
  <c r="F10" i="25"/>
  <c r="E10" i="25"/>
  <c r="W9" i="25"/>
  <c r="U9" i="25"/>
  <c r="T9" i="25"/>
  <c r="S9" i="25"/>
  <c r="Q9" i="25"/>
  <c r="P9" i="25"/>
  <c r="O9" i="25"/>
  <c r="M9" i="25"/>
  <c r="L9" i="25"/>
  <c r="K9" i="25"/>
  <c r="I9" i="25"/>
  <c r="H9" i="25"/>
  <c r="F9" i="25"/>
  <c r="E9" i="25"/>
  <c r="W8" i="25"/>
  <c r="U8" i="25"/>
  <c r="T8" i="25"/>
  <c r="S8" i="25"/>
  <c r="Q8" i="25"/>
  <c r="P8" i="25"/>
  <c r="O8" i="25"/>
  <c r="M8" i="25"/>
  <c r="L8" i="25"/>
  <c r="K8" i="25"/>
  <c r="I8" i="25"/>
  <c r="H8" i="25"/>
  <c r="F8" i="25"/>
  <c r="E8" i="25"/>
  <c r="O28" i="26"/>
  <c r="N28" i="26"/>
  <c r="L28" i="26"/>
  <c r="K28" i="26"/>
  <c r="I28" i="26"/>
  <c r="H28" i="26"/>
  <c r="F28" i="26"/>
  <c r="E28" i="26"/>
  <c r="O27" i="26"/>
  <c r="N27" i="26"/>
  <c r="L27" i="26"/>
  <c r="K27" i="26"/>
  <c r="I27" i="26"/>
  <c r="H27" i="26"/>
  <c r="F27" i="26"/>
  <c r="E27" i="26"/>
  <c r="O26" i="26"/>
  <c r="N26" i="26"/>
  <c r="L26" i="26"/>
  <c r="K26" i="26"/>
  <c r="I26" i="26"/>
  <c r="H26" i="26"/>
  <c r="F26" i="26"/>
  <c r="E26" i="26"/>
  <c r="O25" i="26"/>
  <c r="N25" i="26"/>
  <c r="L25" i="26"/>
  <c r="K25" i="26"/>
  <c r="I25" i="26"/>
  <c r="H25" i="26"/>
  <c r="F25" i="26"/>
  <c r="E25" i="26"/>
  <c r="O24" i="26"/>
  <c r="N24" i="26"/>
  <c r="L24" i="26"/>
  <c r="K24" i="26"/>
  <c r="I24" i="26"/>
  <c r="H24" i="26"/>
  <c r="F24" i="26"/>
  <c r="E24" i="26"/>
  <c r="O23" i="26"/>
  <c r="N23" i="26"/>
  <c r="L23" i="26"/>
  <c r="K23" i="26"/>
  <c r="I23" i="26"/>
  <c r="H23" i="26"/>
  <c r="F23" i="26"/>
  <c r="E23" i="26"/>
  <c r="O22" i="26"/>
  <c r="N22" i="26"/>
  <c r="L22" i="26"/>
  <c r="K22" i="26"/>
  <c r="I22" i="26"/>
  <c r="H22" i="26"/>
  <c r="F22" i="26"/>
  <c r="E22" i="26"/>
  <c r="O21" i="26"/>
  <c r="N21" i="26"/>
  <c r="L21" i="26"/>
  <c r="K21" i="26"/>
  <c r="I21" i="26"/>
  <c r="H21" i="26"/>
  <c r="F21" i="26"/>
  <c r="E21" i="26"/>
  <c r="O20" i="26"/>
  <c r="N20" i="26"/>
  <c r="L20" i="26"/>
  <c r="K20" i="26"/>
  <c r="I20" i="26"/>
  <c r="H20" i="26"/>
  <c r="F20" i="26"/>
  <c r="E20" i="26"/>
  <c r="O19" i="26"/>
  <c r="N19" i="26"/>
  <c r="L19" i="26"/>
  <c r="K19" i="26"/>
  <c r="I19" i="26"/>
  <c r="H19" i="26"/>
  <c r="F19" i="26"/>
  <c r="E19" i="26"/>
  <c r="O18" i="26"/>
  <c r="N18" i="26"/>
  <c r="L18" i="26"/>
  <c r="K18" i="26"/>
  <c r="I18" i="26"/>
  <c r="H18" i="26"/>
  <c r="F18" i="26"/>
  <c r="E18" i="26"/>
  <c r="O17" i="26"/>
  <c r="N17" i="26"/>
  <c r="L17" i="26"/>
  <c r="K17" i="26"/>
  <c r="I17" i="26"/>
  <c r="H17" i="26"/>
  <c r="F17" i="26"/>
  <c r="E17" i="26"/>
  <c r="O16" i="26"/>
  <c r="N16" i="26"/>
  <c r="L16" i="26"/>
  <c r="K16" i="26"/>
  <c r="I16" i="26"/>
  <c r="H16" i="26"/>
  <c r="F16" i="26"/>
  <c r="E16" i="26"/>
  <c r="O15" i="26"/>
  <c r="N15" i="26"/>
  <c r="L15" i="26"/>
  <c r="K15" i="26"/>
  <c r="I15" i="26"/>
  <c r="H15" i="26"/>
  <c r="F15" i="26"/>
  <c r="E15" i="26"/>
  <c r="O14" i="26"/>
  <c r="N14" i="26"/>
  <c r="L14" i="26"/>
  <c r="K14" i="26"/>
  <c r="I14" i="26"/>
  <c r="H14" i="26"/>
  <c r="F14" i="26"/>
  <c r="E14" i="26"/>
  <c r="O13" i="26"/>
  <c r="N13" i="26"/>
  <c r="L13" i="26"/>
  <c r="K13" i="26"/>
  <c r="I13" i="26"/>
  <c r="H13" i="26"/>
  <c r="F13" i="26"/>
  <c r="E13" i="26"/>
  <c r="O12" i="26"/>
  <c r="N12" i="26"/>
  <c r="L12" i="26"/>
  <c r="K12" i="26"/>
  <c r="I12" i="26"/>
  <c r="H12" i="26"/>
  <c r="F12" i="26"/>
  <c r="E12" i="26"/>
  <c r="O11" i="26"/>
  <c r="N11" i="26"/>
  <c r="L11" i="26"/>
  <c r="K11" i="26"/>
  <c r="I11" i="26"/>
  <c r="H11" i="26"/>
  <c r="F11" i="26"/>
  <c r="E11" i="26"/>
  <c r="O10" i="26"/>
  <c r="N10" i="26"/>
  <c r="L10" i="26"/>
  <c r="K10" i="26"/>
  <c r="I10" i="26"/>
  <c r="H10" i="26"/>
  <c r="F10" i="26"/>
  <c r="E10" i="26"/>
  <c r="O9" i="26"/>
  <c r="N9" i="26"/>
  <c r="L9" i="26"/>
  <c r="K9" i="26"/>
  <c r="I9" i="26"/>
  <c r="H9" i="26"/>
  <c r="F9" i="26"/>
  <c r="E9" i="26"/>
  <c r="O8" i="26"/>
  <c r="N8" i="26"/>
  <c r="L8" i="26"/>
  <c r="K8" i="26"/>
  <c r="I8" i="26"/>
  <c r="H8" i="26"/>
  <c r="F8" i="26"/>
  <c r="E8" i="26"/>
  <c r="U28" i="27"/>
  <c r="T28" i="27"/>
  <c r="R28" i="27"/>
  <c r="Q28" i="27"/>
  <c r="O28" i="27"/>
  <c r="N28" i="27"/>
  <c r="L28" i="27"/>
  <c r="K28" i="27"/>
  <c r="I28" i="27"/>
  <c r="H28" i="27"/>
  <c r="F28" i="27"/>
  <c r="E28" i="27"/>
  <c r="U27" i="27"/>
  <c r="T27" i="27"/>
  <c r="R27" i="27"/>
  <c r="Q27" i="27"/>
  <c r="O27" i="27"/>
  <c r="N27" i="27"/>
  <c r="L27" i="27"/>
  <c r="K27" i="27"/>
  <c r="I27" i="27"/>
  <c r="H27" i="27"/>
  <c r="F27" i="27"/>
  <c r="E27" i="27"/>
  <c r="U26" i="27"/>
  <c r="T26" i="27"/>
  <c r="R26" i="27"/>
  <c r="Q26" i="27"/>
  <c r="O26" i="27"/>
  <c r="N26" i="27"/>
  <c r="L26" i="27"/>
  <c r="K26" i="27"/>
  <c r="I26" i="27"/>
  <c r="H26" i="27"/>
  <c r="F26" i="27"/>
  <c r="E26" i="27"/>
  <c r="U25" i="27"/>
  <c r="T25" i="27"/>
  <c r="R25" i="27"/>
  <c r="Q25" i="27"/>
  <c r="O25" i="27"/>
  <c r="N25" i="27"/>
  <c r="L25" i="27"/>
  <c r="K25" i="27"/>
  <c r="I25" i="27"/>
  <c r="H25" i="27"/>
  <c r="F25" i="27"/>
  <c r="E25" i="27"/>
  <c r="U24" i="27"/>
  <c r="T24" i="27"/>
  <c r="R24" i="27"/>
  <c r="Q24" i="27"/>
  <c r="O24" i="27"/>
  <c r="N24" i="27"/>
  <c r="L24" i="27"/>
  <c r="K24" i="27"/>
  <c r="I24" i="27"/>
  <c r="H24" i="27"/>
  <c r="F24" i="27"/>
  <c r="E24" i="27"/>
  <c r="U23" i="27"/>
  <c r="T23" i="27"/>
  <c r="R23" i="27"/>
  <c r="Q23" i="27"/>
  <c r="O23" i="27"/>
  <c r="N23" i="27"/>
  <c r="L23" i="27"/>
  <c r="K23" i="27"/>
  <c r="I23" i="27"/>
  <c r="H23" i="27"/>
  <c r="F23" i="27"/>
  <c r="E23" i="27"/>
  <c r="U22" i="27"/>
  <c r="T22" i="27"/>
  <c r="R22" i="27"/>
  <c r="Q22" i="27"/>
  <c r="O22" i="27"/>
  <c r="N22" i="27"/>
  <c r="L22" i="27"/>
  <c r="K22" i="27"/>
  <c r="I22" i="27"/>
  <c r="H22" i="27"/>
  <c r="F22" i="27"/>
  <c r="E22" i="27"/>
  <c r="U21" i="27"/>
  <c r="T21" i="27"/>
  <c r="R21" i="27"/>
  <c r="Q21" i="27"/>
  <c r="O21" i="27"/>
  <c r="N21" i="27"/>
  <c r="L21" i="27"/>
  <c r="K21" i="27"/>
  <c r="I21" i="27"/>
  <c r="H21" i="27"/>
  <c r="F21" i="27"/>
  <c r="E21" i="27"/>
  <c r="U20" i="27"/>
  <c r="T20" i="27"/>
  <c r="R20" i="27"/>
  <c r="Q20" i="27"/>
  <c r="O20" i="27"/>
  <c r="N20" i="27"/>
  <c r="L20" i="27"/>
  <c r="K20" i="27"/>
  <c r="I20" i="27"/>
  <c r="H20" i="27"/>
  <c r="F20" i="27"/>
  <c r="E20" i="27"/>
  <c r="U19" i="27"/>
  <c r="T19" i="27"/>
  <c r="R19" i="27"/>
  <c r="Q19" i="27"/>
  <c r="O19" i="27"/>
  <c r="N19" i="27"/>
  <c r="L19" i="27"/>
  <c r="K19" i="27"/>
  <c r="I19" i="27"/>
  <c r="H19" i="27"/>
  <c r="F19" i="27"/>
  <c r="E19" i="27"/>
  <c r="U18" i="27"/>
  <c r="T18" i="27"/>
  <c r="R18" i="27"/>
  <c r="Q18" i="27"/>
  <c r="O18" i="27"/>
  <c r="N18" i="27"/>
  <c r="L18" i="27"/>
  <c r="K18" i="27"/>
  <c r="I18" i="27"/>
  <c r="H18" i="27"/>
  <c r="F18" i="27"/>
  <c r="E18" i="27"/>
  <c r="U17" i="27"/>
  <c r="T17" i="27"/>
  <c r="R17" i="27"/>
  <c r="Q17" i="27"/>
  <c r="O17" i="27"/>
  <c r="N17" i="27"/>
  <c r="L17" i="27"/>
  <c r="K17" i="27"/>
  <c r="I17" i="27"/>
  <c r="H17" i="27"/>
  <c r="F17" i="27"/>
  <c r="E17" i="27"/>
  <c r="U16" i="27"/>
  <c r="T16" i="27"/>
  <c r="R16" i="27"/>
  <c r="Q16" i="27"/>
  <c r="O16" i="27"/>
  <c r="N16" i="27"/>
  <c r="L16" i="27"/>
  <c r="K16" i="27"/>
  <c r="I16" i="27"/>
  <c r="H16" i="27"/>
  <c r="F16" i="27"/>
  <c r="E16" i="27"/>
  <c r="U15" i="27"/>
  <c r="T15" i="27"/>
  <c r="R15" i="27"/>
  <c r="Q15" i="27"/>
  <c r="O15" i="27"/>
  <c r="N15" i="27"/>
  <c r="L15" i="27"/>
  <c r="K15" i="27"/>
  <c r="I15" i="27"/>
  <c r="H15" i="27"/>
  <c r="F15" i="27"/>
  <c r="E15" i="27"/>
  <c r="U14" i="27"/>
  <c r="T14" i="27"/>
  <c r="R14" i="27"/>
  <c r="Q14" i="27"/>
  <c r="O14" i="27"/>
  <c r="N14" i="27"/>
  <c r="L14" i="27"/>
  <c r="K14" i="27"/>
  <c r="I14" i="27"/>
  <c r="H14" i="27"/>
  <c r="F14" i="27"/>
  <c r="E14" i="27"/>
  <c r="U13" i="27"/>
  <c r="T13" i="27"/>
  <c r="R13" i="27"/>
  <c r="Q13" i="27"/>
  <c r="O13" i="27"/>
  <c r="N13" i="27"/>
  <c r="L13" i="27"/>
  <c r="K13" i="27"/>
  <c r="I13" i="27"/>
  <c r="H13" i="27"/>
  <c r="F13" i="27"/>
  <c r="E13" i="27"/>
  <c r="U12" i="27"/>
  <c r="T12" i="27"/>
  <c r="R12" i="27"/>
  <c r="Q12" i="27"/>
  <c r="O12" i="27"/>
  <c r="N12" i="27"/>
  <c r="L12" i="27"/>
  <c r="K12" i="27"/>
  <c r="I12" i="27"/>
  <c r="H12" i="27"/>
  <c r="F12" i="27"/>
  <c r="E12" i="27"/>
  <c r="U11" i="27"/>
  <c r="T11" i="27"/>
  <c r="R11" i="27"/>
  <c r="Q11" i="27"/>
  <c r="O11" i="27"/>
  <c r="N11" i="27"/>
  <c r="L11" i="27"/>
  <c r="K11" i="27"/>
  <c r="I11" i="27"/>
  <c r="H11" i="27"/>
  <c r="F11" i="27"/>
  <c r="E11" i="27"/>
  <c r="U10" i="27"/>
  <c r="T10" i="27"/>
  <c r="R10" i="27"/>
  <c r="Q10" i="27"/>
  <c r="O10" i="27"/>
  <c r="N10" i="27"/>
  <c r="L10" i="27"/>
  <c r="K10" i="27"/>
  <c r="I10" i="27"/>
  <c r="H10" i="27"/>
  <c r="F10" i="27"/>
  <c r="E10" i="27"/>
  <c r="U9" i="27"/>
  <c r="T9" i="27"/>
  <c r="R9" i="27"/>
  <c r="Q9" i="27"/>
  <c r="O9" i="27"/>
  <c r="N9" i="27"/>
  <c r="L9" i="27"/>
  <c r="K9" i="27"/>
  <c r="I9" i="27"/>
  <c r="H9" i="27"/>
  <c r="F9" i="27"/>
  <c r="E9" i="27"/>
  <c r="U8" i="27"/>
  <c r="T8" i="27"/>
  <c r="R8" i="27"/>
  <c r="Q8" i="27"/>
  <c r="O8" i="27"/>
  <c r="N8" i="27"/>
  <c r="L8" i="27"/>
  <c r="K8" i="27"/>
  <c r="I8" i="27"/>
  <c r="H8" i="27"/>
  <c r="F8" i="27"/>
  <c r="E8" i="27"/>
  <c r="U28" i="28"/>
  <c r="T28" i="28"/>
  <c r="R28" i="28"/>
  <c r="Q28" i="28"/>
  <c r="O28" i="28"/>
  <c r="N28" i="28"/>
  <c r="L28" i="28"/>
  <c r="K28" i="28"/>
  <c r="I28" i="28"/>
  <c r="H28" i="28"/>
  <c r="F28" i="28"/>
  <c r="E28" i="28"/>
  <c r="U27" i="28"/>
  <c r="T27" i="28"/>
  <c r="R27" i="28"/>
  <c r="Q27" i="28"/>
  <c r="O27" i="28"/>
  <c r="N27" i="28"/>
  <c r="L27" i="28"/>
  <c r="K27" i="28"/>
  <c r="I27" i="28"/>
  <c r="H27" i="28"/>
  <c r="F27" i="28"/>
  <c r="E27" i="28"/>
  <c r="U26" i="28"/>
  <c r="T26" i="28"/>
  <c r="R26" i="28"/>
  <c r="Q26" i="28"/>
  <c r="O26" i="28"/>
  <c r="N26" i="28"/>
  <c r="L26" i="28"/>
  <c r="K26" i="28"/>
  <c r="I26" i="28"/>
  <c r="H26" i="28"/>
  <c r="F26" i="28"/>
  <c r="E26" i="28"/>
  <c r="U25" i="28"/>
  <c r="T25" i="28"/>
  <c r="R25" i="28"/>
  <c r="Q25" i="28"/>
  <c r="O25" i="28"/>
  <c r="N25" i="28"/>
  <c r="L25" i="28"/>
  <c r="K25" i="28"/>
  <c r="I25" i="28"/>
  <c r="H25" i="28"/>
  <c r="F25" i="28"/>
  <c r="E25" i="28"/>
  <c r="U24" i="28"/>
  <c r="T24" i="28"/>
  <c r="R24" i="28"/>
  <c r="Q24" i="28"/>
  <c r="O24" i="28"/>
  <c r="N24" i="28"/>
  <c r="L24" i="28"/>
  <c r="K24" i="28"/>
  <c r="I24" i="28"/>
  <c r="H24" i="28"/>
  <c r="F24" i="28"/>
  <c r="E24" i="28"/>
  <c r="U23" i="28"/>
  <c r="T23" i="28"/>
  <c r="R23" i="28"/>
  <c r="Q23" i="28"/>
  <c r="O23" i="28"/>
  <c r="N23" i="28"/>
  <c r="L23" i="28"/>
  <c r="K23" i="28"/>
  <c r="I23" i="28"/>
  <c r="H23" i="28"/>
  <c r="F23" i="28"/>
  <c r="E23" i="28"/>
  <c r="U22" i="28"/>
  <c r="T22" i="28"/>
  <c r="R22" i="28"/>
  <c r="Q22" i="28"/>
  <c r="O22" i="28"/>
  <c r="N22" i="28"/>
  <c r="L22" i="28"/>
  <c r="K22" i="28"/>
  <c r="I22" i="28"/>
  <c r="H22" i="28"/>
  <c r="F22" i="28"/>
  <c r="E22" i="28"/>
  <c r="U21" i="28"/>
  <c r="T21" i="28"/>
  <c r="R21" i="28"/>
  <c r="Q21" i="28"/>
  <c r="O21" i="28"/>
  <c r="N21" i="28"/>
  <c r="L21" i="28"/>
  <c r="K21" i="28"/>
  <c r="I21" i="28"/>
  <c r="H21" i="28"/>
  <c r="F21" i="28"/>
  <c r="E21" i="28"/>
  <c r="U20" i="28"/>
  <c r="T20" i="28"/>
  <c r="R20" i="28"/>
  <c r="Q20" i="28"/>
  <c r="O20" i="28"/>
  <c r="N20" i="28"/>
  <c r="L20" i="28"/>
  <c r="K20" i="28"/>
  <c r="I20" i="28"/>
  <c r="H20" i="28"/>
  <c r="F20" i="28"/>
  <c r="E20" i="28"/>
  <c r="U19" i="28"/>
  <c r="T19" i="28"/>
  <c r="R19" i="28"/>
  <c r="Q19" i="28"/>
  <c r="O19" i="28"/>
  <c r="N19" i="28"/>
  <c r="L19" i="28"/>
  <c r="K19" i="28"/>
  <c r="I19" i="28"/>
  <c r="H19" i="28"/>
  <c r="F19" i="28"/>
  <c r="E19" i="28"/>
  <c r="U18" i="28"/>
  <c r="T18" i="28"/>
  <c r="R18" i="28"/>
  <c r="Q18" i="28"/>
  <c r="O18" i="28"/>
  <c r="N18" i="28"/>
  <c r="L18" i="28"/>
  <c r="K18" i="28"/>
  <c r="I18" i="28"/>
  <c r="H18" i="28"/>
  <c r="F18" i="28"/>
  <c r="E18" i="28"/>
  <c r="U17" i="28"/>
  <c r="T17" i="28"/>
  <c r="R17" i="28"/>
  <c r="Q17" i="28"/>
  <c r="O17" i="28"/>
  <c r="N17" i="28"/>
  <c r="L17" i="28"/>
  <c r="K17" i="28"/>
  <c r="I17" i="28"/>
  <c r="H17" i="28"/>
  <c r="F17" i="28"/>
  <c r="E17" i="28"/>
  <c r="U16" i="28"/>
  <c r="T16" i="28"/>
  <c r="R16" i="28"/>
  <c r="Q16" i="28"/>
  <c r="O16" i="28"/>
  <c r="N16" i="28"/>
  <c r="L16" i="28"/>
  <c r="K16" i="28"/>
  <c r="I16" i="28"/>
  <c r="H16" i="28"/>
  <c r="F16" i="28"/>
  <c r="E16" i="28"/>
  <c r="U15" i="28"/>
  <c r="T15" i="28"/>
  <c r="R15" i="28"/>
  <c r="Q15" i="28"/>
  <c r="O15" i="28"/>
  <c r="N15" i="28"/>
  <c r="L15" i="28"/>
  <c r="K15" i="28"/>
  <c r="I15" i="28"/>
  <c r="H15" i="28"/>
  <c r="F15" i="28"/>
  <c r="E15" i="28"/>
  <c r="U14" i="28"/>
  <c r="T14" i="28"/>
  <c r="R14" i="28"/>
  <c r="Q14" i="28"/>
  <c r="O14" i="28"/>
  <c r="N14" i="28"/>
  <c r="L14" i="28"/>
  <c r="K14" i="28"/>
  <c r="I14" i="28"/>
  <c r="H14" i="28"/>
  <c r="F14" i="28"/>
  <c r="E14" i="28"/>
  <c r="U13" i="28"/>
  <c r="T13" i="28"/>
  <c r="R13" i="28"/>
  <c r="Q13" i="28"/>
  <c r="O13" i="28"/>
  <c r="N13" i="28"/>
  <c r="L13" i="28"/>
  <c r="K13" i="28"/>
  <c r="I13" i="28"/>
  <c r="H13" i="28"/>
  <c r="F13" i="28"/>
  <c r="E13" i="28"/>
  <c r="U12" i="28"/>
  <c r="T12" i="28"/>
  <c r="R12" i="28"/>
  <c r="Q12" i="28"/>
  <c r="O12" i="28"/>
  <c r="N12" i="28"/>
  <c r="L12" i="28"/>
  <c r="K12" i="28"/>
  <c r="I12" i="28"/>
  <c r="H12" i="28"/>
  <c r="F12" i="28"/>
  <c r="E12" i="28"/>
  <c r="U11" i="28"/>
  <c r="T11" i="28"/>
  <c r="R11" i="28"/>
  <c r="Q11" i="28"/>
  <c r="O11" i="28"/>
  <c r="N11" i="28"/>
  <c r="L11" i="28"/>
  <c r="K11" i="28"/>
  <c r="I11" i="28"/>
  <c r="H11" i="28"/>
  <c r="F11" i="28"/>
  <c r="E11" i="28"/>
  <c r="U10" i="28"/>
  <c r="T10" i="28"/>
  <c r="R10" i="28"/>
  <c r="Q10" i="28"/>
  <c r="O10" i="28"/>
  <c r="N10" i="28"/>
  <c r="L10" i="28"/>
  <c r="K10" i="28"/>
  <c r="I10" i="28"/>
  <c r="H10" i="28"/>
  <c r="F10" i="28"/>
  <c r="E10" i="28"/>
  <c r="U9" i="28"/>
  <c r="T9" i="28"/>
  <c r="R9" i="28"/>
  <c r="Q9" i="28"/>
  <c r="O9" i="28"/>
  <c r="N9" i="28"/>
  <c r="L9" i="28"/>
  <c r="K9" i="28"/>
  <c r="I9" i="28"/>
  <c r="H9" i="28"/>
  <c r="F9" i="28"/>
  <c r="E9" i="28"/>
  <c r="U8" i="28"/>
  <c r="T8" i="28"/>
  <c r="R8" i="28"/>
  <c r="Q8" i="28"/>
  <c r="O8" i="28"/>
  <c r="N8" i="28"/>
  <c r="L8" i="28"/>
  <c r="K8" i="28"/>
  <c r="I8" i="28"/>
  <c r="H8" i="28"/>
  <c r="F8" i="28"/>
  <c r="E8" i="28"/>
  <c r="AQ39" i="29"/>
  <c r="AP39" i="29"/>
  <c r="AO39" i="29"/>
  <c r="AN39" i="29"/>
  <c r="AM39" i="29"/>
  <c r="AL39" i="29"/>
  <c r="AK39" i="29"/>
  <c r="AJ39" i="29"/>
  <c r="AI39" i="29"/>
  <c r="AH39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AQ38" i="29"/>
  <c r="AP38" i="29"/>
  <c r="AO38" i="29"/>
  <c r="AN38" i="29"/>
  <c r="AM38" i="29"/>
  <c r="AL38" i="29"/>
  <c r="AK38" i="29"/>
  <c r="AJ38" i="29"/>
  <c r="AI38" i="29"/>
  <c r="AH38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I36" i="29"/>
  <c r="G36" i="29"/>
  <c r="F36" i="29"/>
  <c r="I25" i="29"/>
  <c r="G25" i="29"/>
  <c r="F25" i="29"/>
  <c r="I24" i="29"/>
  <c r="G24" i="29"/>
  <c r="F24" i="29"/>
  <c r="I16" i="29"/>
  <c r="G16" i="29"/>
  <c r="F16" i="29"/>
  <c r="I15" i="29"/>
  <c r="G15" i="29"/>
  <c r="F15" i="29"/>
  <c r="I13" i="29"/>
  <c r="G13" i="29"/>
  <c r="F13" i="29"/>
  <c r="I12" i="29"/>
  <c r="G12" i="29"/>
  <c r="F12" i="29"/>
  <c r="I10" i="29"/>
  <c r="G10" i="29"/>
  <c r="F10" i="29"/>
  <c r="AI40" i="30"/>
  <c r="AF40" i="30"/>
  <c r="AE40" i="30"/>
  <c r="W40" i="30"/>
  <c r="V40" i="30"/>
  <c r="T40" i="30"/>
  <c r="S40" i="30"/>
  <c r="K40" i="30"/>
  <c r="J40" i="30"/>
  <c r="H40" i="30"/>
  <c r="G40" i="30"/>
  <c r="AI39" i="30"/>
  <c r="AH39" i="30"/>
  <c r="AF39" i="30"/>
  <c r="AE39" i="30"/>
  <c r="W39" i="30"/>
  <c r="V39" i="30"/>
  <c r="T39" i="30"/>
  <c r="S39" i="30"/>
  <c r="K39" i="30"/>
  <c r="J39" i="30"/>
  <c r="H39" i="30"/>
  <c r="G39" i="30"/>
  <c r="AI38" i="30"/>
  <c r="AH38" i="30"/>
  <c r="AF38" i="30"/>
  <c r="AE38" i="30"/>
  <c r="W38" i="30"/>
  <c r="V38" i="30"/>
  <c r="T38" i="30"/>
  <c r="S38" i="30"/>
  <c r="K38" i="30"/>
  <c r="J38" i="30"/>
  <c r="H38" i="30"/>
  <c r="G38" i="30"/>
  <c r="AI37" i="30"/>
  <c r="AH37" i="30"/>
  <c r="AF37" i="30"/>
  <c r="AE37" i="30"/>
  <c r="W37" i="30"/>
  <c r="V37" i="30"/>
  <c r="T37" i="30"/>
  <c r="S37" i="30"/>
  <c r="K37" i="30"/>
  <c r="J37" i="30"/>
  <c r="H37" i="30"/>
  <c r="G37" i="30"/>
  <c r="AI36" i="30"/>
  <c r="AH36" i="30"/>
  <c r="AF36" i="30"/>
  <c r="AE36" i="30"/>
  <c r="W36" i="30"/>
  <c r="V36" i="30"/>
  <c r="T36" i="30"/>
  <c r="S36" i="30"/>
  <c r="K36" i="30"/>
  <c r="J36" i="30"/>
  <c r="H36" i="30"/>
  <c r="G36" i="30"/>
  <c r="AI35" i="30"/>
  <c r="AH35" i="30"/>
  <c r="AF35" i="30"/>
  <c r="AE35" i="30"/>
  <c r="W35" i="30"/>
  <c r="V35" i="30"/>
  <c r="T35" i="30"/>
  <c r="S35" i="30"/>
  <c r="K35" i="30"/>
  <c r="J35" i="30"/>
  <c r="H35" i="30"/>
  <c r="G35" i="30"/>
  <c r="AI32" i="30"/>
  <c r="AH32" i="30"/>
  <c r="AF32" i="30"/>
  <c r="AE32" i="30"/>
  <c r="AB32" i="30"/>
  <c r="V32" i="30"/>
  <c r="S32" i="30"/>
  <c r="J32" i="30"/>
  <c r="G32" i="30"/>
  <c r="AI31" i="30"/>
  <c r="AH31" i="30"/>
  <c r="AF31" i="30"/>
  <c r="AE31" i="30"/>
  <c r="AB31" i="30"/>
  <c r="V31" i="30"/>
  <c r="S31" i="30"/>
  <c r="J31" i="30"/>
  <c r="G31" i="30"/>
  <c r="AI30" i="30"/>
  <c r="AH30" i="30"/>
  <c r="AF30" i="30"/>
  <c r="AE30" i="30"/>
  <c r="AB30" i="30"/>
  <c r="V30" i="30"/>
  <c r="S30" i="30"/>
  <c r="J30" i="30"/>
  <c r="G30" i="30"/>
  <c r="AI29" i="30"/>
  <c r="AH29" i="30"/>
  <c r="AF29" i="30"/>
  <c r="AE29" i="30"/>
  <c r="AB29" i="30"/>
  <c r="V29" i="30"/>
  <c r="S29" i="30"/>
  <c r="J29" i="30"/>
  <c r="G29" i="30"/>
  <c r="AI28" i="30"/>
  <c r="AH28" i="30"/>
  <c r="AF28" i="30"/>
  <c r="AE28" i="30"/>
  <c r="AB28" i="30"/>
  <c r="V28" i="30"/>
  <c r="S28" i="30"/>
  <c r="J28" i="30"/>
  <c r="G28" i="30"/>
  <c r="AI27" i="30"/>
  <c r="AH27" i="30"/>
  <c r="AF27" i="30"/>
  <c r="AE27" i="30"/>
  <c r="AB27" i="30"/>
  <c r="V27" i="30"/>
  <c r="S27" i="30"/>
  <c r="J27" i="30"/>
  <c r="G27" i="30"/>
  <c r="AI26" i="30"/>
  <c r="AH26" i="30"/>
  <c r="AF26" i="30"/>
  <c r="AE26" i="30"/>
  <c r="Z26" i="30"/>
  <c r="W26" i="30"/>
  <c r="V26" i="30"/>
  <c r="T26" i="30"/>
  <c r="S26" i="30"/>
  <c r="N26" i="30"/>
  <c r="K26" i="30"/>
  <c r="J26" i="30"/>
  <c r="H26" i="30"/>
  <c r="G26" i="30"/>
  <c r="AI25" i="30"/>
  <c r="AH25" i="30"/>
  <c r="AF25" i="30"/>
  <c r="AE25" i="30"/>
  <c r="Z25" i="30"/>
  <c r="W25" i="30"/>
  <c r="V25" i="30"/>
  <c r="T25" i="30"/>
  <c r="S25" i="30"/>
  <c r="N25" i="30"/>
  <c r="K25" i="30"/>
  <c r="J25" i="30"/>
  <c r="H25" i="30"/>
  <c r="G25" i="30"/>
  <c r="AI24" i="30"/>
  <c r="AH24" i="30"/>
  <c r="AF24" i="30"/>
  <c r="AE24" i="30"/>
  <c r="Z24" i="30"/>
  <c r="W24" i="30"/>
  <c r="V24" i="30"/>
  <c r="T24" i="30"/>
  <c r="S24" i="30"/>
  <c r="N24" i="30"/>
  <c r="K24" i="30"/>
  <c r="J24" i="30"/>
  <c r="H24" i="30"/>
  <c r="G24" i="30"/>
  <c r="AI23" i="30"/>
  <c r="AH23" i="30"/>
  <c r="AF23" i="30"/>
  <c r="AE23" i="30"/>
  <c r="Z23" i="30"/>
  <c r="W23" i="30"/>
  <c r="V23" i="30"/>
  <c r="T23" i="30"/>
  <c r="S23" i="30"/>
  <c r="N23" i="30"/>
  <c r="K23" i="30"/>
  <c r="J23" i="30"/>
  <c r="H23" i="30"/>
  <c r="G23" i="30"/>
  <c r="AI22" i="30"/>
  <c r="AH22" i="30"/>
  <c r="AF22" i="30"/>
  <c r="AE22" i="30"/>
  <c r="Z22" i="30"/>
  <c r="W22" i="30"/>
  <c r="V22" i="30"/>
  <c r="T22" i="30"/>
  <c r="S22" i="30"/>
  <c r="N22" i="30"/>
  <c r="K22" i="30"/>
  <c r="J22" i="30"/>
  <c r="H22" i="30"/>
  <c r="G22" i="30"/>
  <c r="AI21" i="30"/>
  <c r="AH21" i="30"/>
  <c r="AF21" i="30"/>
  <c r="AE21" i="30"/>
  <c r="Z21" i="30"/>
  <c r="W21" i="30"/>
  <c r="V21" i="30"/>
  <c r="T21" i="30"/>
  <c r="S21" i="30"/>
  <c r="N21" i="30"/>
  <c r="K21" i="30"/>
  <c r="J21" i="30"/>
  <c r="H21" i="30"/>
  <c r="G21" i="30"/>
  <c r="AI19" i="30"/>
  <c r="AF19" i="30"/>
  <c r="Z19" i="30"/>
  <c r="Y19" i="30"/>
  <c r="W19" i="30"/>
  <c r="V19" i="30"/>
  <c r="T19" i="30"/>
  <c r="S19" i="30"/>
  <c r="N19" i="30"/>
  <c r="K19" i="30"/>
  <c r="H19" i="30"/>
  <c r="AI18" i="30"/>
  <c r="AF18" i="30"/>
  <c r="Z18" i="30"/>
  <c r="Y18" i="30"/>
  <c r="W18" i="30"/>
  <c r="V18" i="30"/>
  <c r="T18" i="30"/>
  <c r="S18" i="30"/>
  <c r="N18" i="30"/>
  <c r="K18" i="30"/>
  <c r="H18" i="30"/>
  <c r="AI15" i="30"/>
  <c r="AF15" i="30"/>
  <c r="Z15" i="30"/>
  <c r="Y15" i="30"/>
  <c r="W15" i="30"/>
  <c r="V15" i="30"/>
  <c r="T15" i="30"/>
  <c r="S15" i="30"/>
  <c r="N15" i="30"/>
  <c r="M15" i="30"/>
  <c r="K15" i="30"/>
  <c r="J15" i="30"/>
  <c r="H15" i="30"/>
  <c r="G15" i="30"/>
  <c r="AI13" i="30"/>
  <c r="AF13" i="30"/>
  <c r="Z13" i="30"/>
  <c r="W13" i="30"/>
  <c r="V13" i="30"/>
  <c r="T13" i="30"/>
  <c r="S13" i="30"/>
  <c r="N13" i="30"/>
  <c r="M13" i="30"/>
  <c r="K13" i="30"/>
  <c r="J13" i="30"/>
  <c r="H13" i="30"/>
  <c r="G13" i="30"/>
  <c r="AI10" i="30"/>
  <c r="AF10" i="30"/>
  <c r="Z10" i="30"/>
  <c r="Y10" i="30"/>
  <c r="W10" i="30"/>
  <c r="V10" i="30"/>
  <c r="T10" i="30"/>
  <c r="S10" i="30"/>
  <c r="N10" i="30"/>
  <c r="M10" i="30"/>
  <c r="K10" i="30"/>
  <c r="J10" i="30"/>
  <c r="H10" i="30"/>
  <c r="G10" i="30"/>
  <c r="AI8" i="30"/>
  <c r="AF8" i="30"/>
  <c r="Z8" i="30"/>
  <c r="W8" i="30"/>
  <c r="V8" i="30"/>
  <c r="T8" i="30"/>
  <c r="S8" i="30"/>
  <c r="N8" i="30"/>
  <c r="M8" i="30"/>
  <c r="K8" i="30"/>
  <c r="J8" i="30"/>
  <c r="H8" i="30"/>
  <c r="G8" i="30"/>
  <c r="H38" i="1"/>
  <c r="E38" i="1"/>
  <c r="V28" i="1"/>
  <c r="T28" i="1"/>
  <c r="S28" i="1"/>
  <c r="V27" i="1"/>
  <c r="T27" i="1"/>
  <c r="S27" i="1"/>
  <c r="H27" i="1"/>
  <c r="E27" i="1"/>
  <c r="H26" i="1"/>
  <c r="E26" i="1"/>
  <c r="H25" i="1"/>
  <c r="E25" i="1"/>
  <c r="V24" i="1"/>
  <c r="T24" i="1"/>
  <c r="S24" i="1"/>
  <c r="V23" i="1"/>
  <c r="T23" i="1"/>
  <c r="S23" i="1"/>
  <c r="V20" i="1"/>
  <c r="T20" i="1"/>
  <c r="S20" i="1"/>
  <c r="V19" i="1"/>
  <c r="T19" i="1"/>
  <c r="S19" i="1"/>
  <c r="V18" i="1"/>
  <c r="T18" i="1"/>
  <c r="S18" i="1"/>
  <c r="V17" i="1"/>
  <c r="T17" i="1"/>
  <c r="S17" i="1"/>
  <c r="H17" i="1"/>
  <c r="E17" i="1"/>
  <c r="V16" i="1"/>
  <c r="T16" i="1"/>
  <c r="S16" i="1"/>
  <c r="H16" i="1"/>
  <c r="E16" i="1"/>
  <c r="V15" i="1"/>
  <c r="T15" i="1"/>
  <c r="S15" i="1"/>
  <c r="H15" i="1"/>
  <c r="E15" i="1"/>
  <c r="V14" i="1"/>
  <c r="T14" i="1"/>
  <c r="S14" i="1"/>
  <c r="V13" i="1"/>
  <c r="T13" i="1"/>
  <c r="S13" i="1"/>
  <c r="H12" i="1"/>
  <c r="E12" i="1"/>
  <c r="V11" i="1"/>
  <c r="T11" i="1"/>
  <c r="S11" i="1"/>
  <c r="H11" i="1"/>
  <c r="E11" i="1"/>
  <c r="V10" i="1"/>
  <c r="T10" i="1"/>
  <c r="S10" i="1"/>
  <c r="H10" i="1"/>
  <c r="E10" i="1"/>
  <c r="V9" i="1"/>
  <c r="T9" i="1"/>
  <c r="S9" i="1"/>
  <c r="H9" i="1"/>
  <c r="E9" i="1"/>
  <c r="H8" i="1"/>
  <c r="E8" i="1"/>
  <c r="H7" i="1"/>
  <c r="E7" i="1"/>
  <c r="X39" i="2" l="1"/>
  <c r="U40" i="2"/>
  <c r="E18" i="1"/>
  <c r="E13" i="1"/>
  <c r="H18" i="1"/>
  <c r="E28" i="1"/>
  <c r="H13" i="1"/>
  <c r="H28" i="1"/>
  <c r="AL22" i="30" l="1"/>
  <c r="AL18" i="30"/>
  <c r="AL15" i="30"/>
  <c r="AL21" i="30"/>
  <c r="AL10" i="30"/>
  <c r="AL8" i="30"/>
  <c r="AL40" i="30"/>
  <c r="AL39" i="30"/>
  <c r="AL38" i="30"/>
  <c r="AL24" i="30" l="1"/>
  <c r="AL25" i="30"/>
  <c r="AL26" i="30"/>
  <c r="AL32" i="30" s="1"/>
  <c r="AL23" i="30"/>
  <c r="AL13" i="30"/>
  <c r="AL14" i="30" s="1"/>
  <c r="AL19" i="30"/>
  <c r="AL35" i="30"/>
  <c r="AL27" i="30" s="1"/>
  <c r="AL36" i="30"/>
  <c r="AL28" i="30" s="1"/>
  <c r="AL37" i="30"/>
  <c r="AL12" i="30"/>
  <c r="AL11" i="30" s="1"/>
  <c r="AL16" i="30"/>
  <c r="AI41" i="30"/>
  <c r="AI42" i="30" s="1"/>
  <c r="AL17" i="30" l="1"/>
  <c r="AL31" i="30"/>
  <c r="AL30" i="30"/>
  <c r="AL29" i="30"/>
  <c r="AL20" i="30"/>
  <c r="AL9" i="30"/>
  <c r="AK40" i="30" l="1"/>
  <c r="AK39" i="30" l="1"/>
  <c r="AK38" i="30"/>
  <c r="AK37" i="30"/>
  <c r="AK36" i="30"/>
  <c r="AK35" i="30"/>
  <c r="AH41" i="30" l="1"/>
  <c r="N16" i="30" l="1"/>
  <c r="N32" i="30"/>
  <c r="N31" i="30"/>
  <c r="N30" i="30"/>
  <c r="N29" i="30"/>
  <c r="N28" i="30"/>
  <c r="N27" i="30"/>
  <c r="N17" i="30" l="1"/>
  <c r="N12" i="30" l="1"/>
  <c r="N11" i="30" s="1"/>
  <c r="N9" i="30"/>
  <c r="N14" i="30"/>
  <c r="N20" i="30" l="1"/>
  <c r="AK25" i="30" l="1"/>
  <c r="AK23" i="30"/>
  <c r="AK21" i="30"/>
  <c r="AK22" i="30"/>
  <c r="AK24" i="30"/>
  <c r="AK26" i="30"/>
  <c r="AM24" i="30" l="1"/>
  <c r="AK30" i="30"/>
  <c r="AM30" i="30" s="1"/>
  <c r="AM26" i="30"/>
  <c r="AK32" i="30"/>
  <c r="AM32" i="30" s="1"/>
  <c r="AM22" i="30"/>
  <c r="AK28" i="30"/>
  <c r="AM28" i="30" s="1"/>
  <c r="AM21" i="30"/>
  <c r="AK27" i="30"/>
  <c r="AM27" i="30" s="1"/>
  <c r="AM23" i="30"/>
  <c r="AK29" i="30"/>
  <c r="AM29" i="30" s="1"/>
  <c r="AM25" i="30"/>
  <c r="AK31" i="30"/>
  <c r="AM31" i="30" s="1"/>
  <c r="AI12" i="30" l="1"/>
  <c r="AI9" i="30" s="1"/>
  <c r="AI17" i="30"/>
  <c r="AI16" i="30"/>
  <c r="AJ21" i="30"/>
  <c r="AJ22" i="30"/>
  <c r="AJ23" i="30"/>
  <c r="AJ25" i="30"/>
  <c r="AJ28" i="30"/>
  <c r="AJ24" i="30"/>
  <c r="AJ18" i="30"/>
  <c r="AJ30" i="30"/>
  <c r="AI11" i="30"/>
  <c r="AJ29" i="30"/>
  <c r="AJ32" i="30"/>
  <c r="AJ26" i="30"/>
  <c r="AI20" i="30"/>
  <c r="AI14" i="30"/>
  <c r="AJ27" i="30"/>
  <c r="AJ31" i="30"/>
  <c r="Y16" i="30" l="1"/>
  <c r="Y12" i="30"/>
  <c r="Y11" i="30" s="1"/>
  <c r="Y14" i="30"/>
  <c r="Y17" i="30"/>
  <c r="V16" i="30"/>
  <c r="V12" i="30"/>
  <c r="V9" i="30" s="1"/>
  <c r="V14" i="30"/>
  <c r="V17" i="30"/>
  <c r="V11" i="30" l="1"/>
  <c r="Y9" i="30"/>
  <c r="V20" i="30" l="1"/>
  <c r="O40" i="30"/>
  <c r="O39" i="30"/>
  <c r="O38" i="30"/>
  <c r="O37" i="30"/>
  <c r="O41" i="30"/>
  <c r="O31" i="30"/>
  <c r="O30" i="30"/>
  <c r="O24" i="30"/>
  <c r="O21" i="30"/>
  <c r="O22" i="30"/>
  <c r="O23" i="30"/>
  <c r="O25" i="30"/>
  <c r="O26" i="30"/>
  <c r="O27" i="30"/>
  <c r="O28" i="30"/>
  <c r="O29" i="30"/>
  <c r="O32" i="30"/>
  <c r="O35" i="30"/>
  <c r="Y20" i="30" l="1"/>
  <c r="O36" i="30"/>
  <c r="J41" i="30"/>
  <c r="M16" i="30"/>
  <c r="O16" i="30" s="1"/>
  <c r="M12" i="30"/>
  <c r="M9" i="30" s="1"/>
  <c r="M14" i="30"/>
  <c r="O14" i="30" s="1"/>
  <c r="M11" i="30"/>
  <c r="O15" i="30"/>
  <c r="O13" i="30"/>
  <c r="O10" i="30"/>
  <c r="M17" i="30"/>
  <c r="O17" i="30" s="1"/>
  <c r="O8" i="30"/>
  <c r="O12" i="30"/>
  <c r="O11" i="30"/>
  <c r="O9" i="30"/>
  <c r="J16" i="30"/>
  <c r="J12" i="30"/>
  <c r="J9" i="30" s="1"/>
  <c r="J14" i="30"/>
  <c r="J17" i="30"/>
  <c r="J11" i="30" l="1"/>
  <c r="AF20" i="30" l="1"/>
  <c r="Z32" i="30"/>
  <c r="AA32" i="30" s="1"/>
  <c r="AA25" i="30"/>
  <c r="AA24" i="30"/>
  <c r="Z29" i="30"/>
  <c r="AA29" i="30" s="1"/>
  <c r="X23" i="30"/>
  <c r="Z28" i="30"/>
  <c r="AA28" i="30" s="1"/>
  <c r="Z27" i="30"/>
  <c r="AA27" i="30" s="1"/>
  <c r="AA19" i="30"/>
  <c r="AA8" i="30"/>
  <c r="L24" i="30"/>
  <c r="Q21" i="30"/>
  <c r="Q18" i="30"/>
  <c r="P24" i="30"/>
  <c r="P23" i="30"/>
  <c r="P22" i="30"/>
  <c r="AB38" i="30"/>
  <c r="AB26" i="30"/>
  <c r="AB24" i="30"/>
  <c r="AB23" i="30"/>
  <c r="AG26" i="30"/>
  <c r="AA41" i="30"/>
  <c r="AA40" i="30"/>
  <c r="Q40" i="30"/>
  <c r="AA39" i="30"/>
  <c r="AA38" i="30"/>
  <c r="AA37" i="30"/>
  <c r="AA36" i="30"/>
  <c r="AA35" i="30"/>
  <c r="P25" i="30"/>
  <c r="AP37" i="29"/>
  <c r="J25" i="29"/>
  <c r="N24" i="29"/>
  <c r="N16" i="29"/>
  <c r="N15" i="29"/>
  <c r="N13" i="29"/>
  <c r="N10" i="29"/>
  <c r="L12" i="29"/>
  <c r="L25" i="29"/>
  <c r="L24" i="29"/>
  <c r="G17" i="29"/>
  <c r="L15" i="29"/>
  <c r="L13" i="29"/>
  <c r="K13" i="29"/>
  <c r="K12" i="29"/>
  <c r="L10" i="29"/>
  <c r="K10" i="29"/>
  <c r="K25" i="29"/>
  <c r="F26" i="29"/>
  <c r="K16" i="29"/>
  <c r="K15" i="29"/>
  <c r="F11" i="29"/>
  <c r="K11" i="29" s="1"/>
  <c r="AQ37" i="29"/>
  <c r="AO37" i="29"/>
  <c r="AN37" i="29"/>
  <c r="AM37" i="29"/>
  <c r="AL37" i="29"/>
  <c r="AK37" i="29"/>
  <c r="AJ37" i="29"/>
  <c r="AI37" i="29"/>
  <c r="AH37" i="29"/>
  <c r="AG37" i="29"/>
  <c r="AF37" i="29"/>
  <c r="AE37" i="29"/>
  <c r="AD37" i="29"/>
  <c r="AC37" i="29"/>
  <c r="AB37" i="29"/>
  <c r="AA37" i="29"/>
  <c r="Z37" i="29"/>
  <c r="G26" i="29"/>
  <c r="G11" i="29"/>
  <c r="L11" i="29" s="1"/>
  <c r="V8" i="28"/>
  <c r="M8" i="28"/>
  <c r="Q8" i="26"/>
  <c r="J8" i="25"/>
  <c r="P9" i="28"/>
  <c r="N9" i="25"/>
  <c r="J10" i="28"/>
  <c r="J11" i="28"/>
  <c r="G11" i="26"/>
  <c r="S12" i="28"/>
  <c r="M12" i="28"/>
  <c r="G13" i="26"/>
  <c r="N13" i="25"/>
  <c r="P14" i="28"/>
  <c r="M14" i="28"/>
  <c r="G14" i="28"/>
  <c r="S15" i="28"/>
  <c r="P15" i="28"/>
  <c r="N15" i="25"/>
  <c r="S16" i="28"/>
  <c r="M17" i="28"/>
  <c r="G17" i="26"/>
  <c r="V18" i="28"/>
  <c r="M18" i="28"/>
  <c r="Q18" i="26"/>
  <c r="T18" i="26" s="1"/>
  <c r="V19" i="28"/>
  <c r="P19" i="28"/>
  <c r="J19" i="25"/>
  <c r="J20" i="28"/>
  <c r="P21" i="28"/>
  <c r="J21" i="28"/>
  <c r="G21" i="26"/>
  <c r="S22" i="28"/>
  <c r="M22" i="28"/>
  <c r="P23" i="28"/>
  <c r="P24" i="28"/>
  <c r="G24" i="28"/>
  <c r="G24" i="26"/>
  <c r="P25" i="28"/>
  <c r="N25" i="25"/>
  <c r="N26" i="25"/>
  <c r="M27" i="28"/>
  <c r="V28" i="28"/>
  <c r="M28" i="28"/>
  <c r="Q28" i="26"/>
  <c r="G28" i="26"/>
  <c r="J28" i="25"/>
  <c r="P8" i="28"/>
  <c r="S8" i="28"/>
  <c r="V9" i="28"/>
  <c r="G10" i="28"/>
  <c r="P11" i="28"/>
  <c r="S11" i="28"/>
  <c r="V12" i="28"/>
  <c r="G13" i="28"/>
  <c r="V15" i="28"/>
  <c r="J17" i="28"/>
  <c r="P18" i="28"/>
  <c r="S18" i="28"/>
  <c r="G20" i="28"/>
  <c r="P22" i="28"/>
  <c r="V22" i="28"/>
  <c r="G23" i="28"/>
  <c r="M24" i="28"/>
  <c r="S25" i="28"/>
  <c r="V25" i="28"/>
  <c r="J27" i="28"/>
  <c r="P28" i="28"/>
  <c r="S28" i="28"/>
  <c r="G8" i="26"/>
  <c r="G10" i="26"/>
  <c r="Q14" i="26"/>
  <c r="G20" i="26"/>
  <c r="N10" i="25"/>
  <c r="J11" i="25"/>
  <c r="N12" i="25"/>
  <c r="J15" i="25"/>
  <c r="J18" i="25"/>
  <c r="N19" i="25"/>
  <c r="J21" i="25"/>
  <c r="N22" i="25"/>
  <c r="J25" i="25"/>
  <c r="S21" i="28" l="1"/>
  <c r="G23" i="26"/>
  <c r="Q19" i="26"/>
  <c r="Q9" i="26"/>
  <c r="J28" i="28"/>
  <c r="J26" i="25"/>
  <c r="Q25" i="26"/>
  <c r="J22" i="25"/>
  <c r="J18" i="28"/>
  <c r="J12" i="25"/>
  <c r="P16" i="28"/>
  <c r="N23" i="25"/>
  <c r="G21" i="28"/>
  <c r="G11" i="28"/>
  <c r="AN23" i="30"/>
  <c r="Q24" i="30"/>
  <c r="R24" i="30" s="1"/>
  <c r="AO21" i="30"/>
  <c r="AN24" i="30"/>
  <c r="Q13" i="30"/>
  <c r="AO13" i="30" s="1"/>
  <c r="J27" i="25"/>
  <c r="P20" i="28"/>
  <c r="V14" i="28"/>
  <c r="G9" i="26"/>
  <c r="N14" i="25"/>
  <c r="M19" i="28"/>
  <c r="M9" i="28"/>
  <c r="G28" i="28"/>
  <c r="S26" i="28"/>
  <c r="J25" i="28"/>
  <c r="V23" i="28"/>
  <c r="G18" i="26"/>
  <c r="G18" i="28"/>
  <c r="J16" i="25"/>
  <c r="J15" i="28"/>
  <c r="V13" i="28"/>
  <c r="G8" i="28"/>
  <c r="M23" i="28"/>
  <c r="G19" i="28"/>
  <c r="G9" i="28"/>
  <c r="P13" i="28"/>
  <c r="S19" i="28"/>
  <c r="J9" i="25"/>
  <c r="Q21" i="26"/>
  <c r="T21" i="26" s="1"/>
  <c r="T14" i="26"/>
  <c r="J16" i="28"/>
  <c r="P10" i="28"/>
  <c r="M16" i="28"/>
  <c r="M15" i="28"/>
  <c r="M13" i="28"/>
  <c r="M26" i="28"/>
  <c r="J10" i="25"/>
  <c r="M25" i="28"/>
  <c r="P12" i="28"/>
  <c r="S9" i="28"/>
  <c r="J8" i="28"/>
  <c r="G27" i="26"/>
  <c r="S27" i="28"/>
  <c r="P26" i="28"/>
  <c r="T25" i="26"/>
  <c r="V16" i="28"/>
  <c r="V24" i="28"/>
  <c r="S17" i="28"/>
  <c r="Q12" i="26"/>
  <c r="J26" i="28"/>
  <c r="J17" i="25"/>
  <c r="V26" i="28"/>
  <c r="N28" i="25"/>
  <c r="Q20" i="26"/>
  <c r="T20" i="26" s="1"/>
  <c r="N18" i="25"/>
  <c r="Q10" i="26"/>
  <c r="T10" i="26" s="1"/>
  <c r="N8" i="25"/>
  <c r="P27" i="28"/>
  <c r="G26" i="26"/>
  <c r="G26" i="28"/>
  <c r="J24" i="25"/>
  <c r="S24" i="28"/>
  <c r="J23" i="28"/>
  <c r="V21" i="28"/>
  <c r="M20" i="28"/>
  <c r="P17" i="28"/>
  <c r="G16" i="26"/>
  <c r="G16" i="28"/>
  <c r="J14" i="25"/>
  <c r="S14" i="28"/>
  <c r="J13" i="28"/>
  <c r="V11" i="28"/>
  <c r="M10" i="28"/>
  <c r="J24" i="28"/>
  <c r="G17" i="28"/>
  <c r="J20" i="25"/>
  <c r="J19" i="28"/>
  <c r="S10" i="28"/>
  <c r="J9" i="28"/>
  <c r="N27" i="25"/>
  <c r="Q22" i="26"/>
  <c r="T22" i="26" s="1"/>
  <c r="N17" i="25"/>
  <c r="G25" i="28"/>
  <c r="V20" i="28"/>
  <c r="G15" i="26"/>
  <c r="J13" i="25"/>
  <c r="S13" i="28"/>
  <c r="J12" i="28"/>
  <c r="V10" i="28"/>
  <c r="G14" i="26"/>
  <c r="T28" i="26"/>
  <c r="N20" i="25"/>
  <c r="Q15" i="26"/>
  <c r="T15" i="26" s="1"/>
  <c r="T8" i="26"/>
  <c r="T12" i="26"/>
  <c r="V17" i="28"/>
  <c r="G12" i="28"/>
  <c r="G25" i="26"/>
  <c r="J23" i="25"/>
  <c r="S23" i="28"/>
  <c r="J22" i="28"/>
  <c r="G15" i="28"/>
  <c r="V27" i="28"/>
  <c r="G27" i="28"/>
  <c r="M21" i="28"/>
  <c r="J14" i="28"/>
  <c r="M11" i="28"/>
  <c r="S20" i="28"/>
  <c r="N16" i="25"/>
  <c r="Q11" i="26"/>
  <c r="T11" i="26" s="1"/>
  <c r="G22" i="28"/>
  <c r="N24" i="25"/>
  <c r="Q27" i="26"/>
  <c r="T27" i="26" s="1"/>
  <c r="Q23" i="26"/>
  <c r="T23" i="26" s="1"/>
  <c r="Q17" i="26"/>
  <c r="T17" i="26" s="1"/>
  <c r="Q13" i="26"/>
  <c r="T13" i="26" s="1"/>
  <c r="G22" i="26"/>
  <c r="Q26" i="26"/>
  <c r="T26" i="26" s="1"/>
  <c r="N21" i="25"/>
  <c r="G19" i="26"/>
  <c r="Q16" i="26"/>
  <c r="T16" i="26" s="1"/>
  <c r="N11" i="25"/>
  <c r="T9" i="26"/>
  <c r="I11" i="29"/>
  <c r="N11" i="29" s="1"/>
  <c r="H12" i="30"/>
  <c r="H9" i="30" s="1"/>
  <c r="K12" i="30"/>
  <c r="K9" i="30" s="1"/>
  <c r="Z31" i="30"/>
  <c r="AA31" i="30" s="1"/>
  <c r="AC25" i="30"/>
  <c r="K17" i="30"/>
  <c r="L17" i="30" s="1"/>
  <c r="Q15" i="30"/>
  <c r="Z20" i="30"/>
  <c r="AA20" i="30" s="1"/>
  <c r="W17" i="30"/>
  <c r="X17" i="30" s="1"/>
  <c r="AF41" i="30"/>
  <c r="Z17" i="30"/>
  <c r="AA17" i="30" s="1"/>
  <c r="AC21" i="30"/>
  <c r="AB36" i="30"/>
  <c r="AG24" i="30"/>
  <c r="W32" i="30"/>
  <c r="X32" i="30" s="1"/>
  <c r="AA23" i="30"/>
  <c r="K20" i="30"/>
  <c r="AC38" i="30"/>
  <c r="AD38" i="30" s="1"/>
  <c r="AB40" i="30"/>
  <c r="AF17" i="30"/>
  <c r="X37" i="30"/>
  <c r="Q37" i="30"/>
  <c r="AO37" i="30" s="1"/>
  <c r="K27" i="30"/>
  <c r="L27" i="30" s="1"/>
  <c r="W31" i="30"/>
  <c r="X31" i="30" s="1"/>
  <c r="AA13" i="30"/>
  <c r="H27" i="30"/>
  <c r="I27" i="30" s="1"/>
  <c r="I21" i="30"/>
  <c r="P39" i="30"/>
  <c r="Z30" i="30"/>
  <c r="AA30" i="30" s="1"/>
  <c r="X38" i="30"/>
  <c r="L39" i="30"/>
  <c r="K31" i="30"/>
  <c r="L31" i="30" s="1"/>
  <c r="L40" i="30"/>
  <c r="AG29" i="30"/>
  <c r="S41" i="30"/>
  <c r="S42" i="30" s="1"/>
  <c r="X8" i="30"/>
  <c r="X24" i="30"/>
  <c r="AC37" i="30"/>
  <c r="P37" i="30"/>
  <c r="L35" i="30"/>
  <c r="P38" i="30"/>
  <c r="AN38" i="30" s="1"/>
  <c r="AN30" i="30" s="1"/>
  <c r="Q22" i="30"/>
  <c r="L22" i="30"/>
  <c r="H31" i="30"/>
  <c r="I31" i="30" s="1"/>
  <c r="P36" i="30"/>
  <c r="K28" i="30"/>
  <c r="L28" i="30" s="1"/>
  <c r="P35" i="30"/>
  <c r="Q26" i="30"/>
  <c r="Q39" i="30"/>
  <c r="Q23" i="30"/>
  <c r="U10" i="30"/>
  <c r="AC19" i="30"/>
  <c r="U23" i="30"/>
  <c r="AC36" i="30"/>
  <c r="AC39" i="30"/>
  <c r="L37" i="30"/>
  <c r="X21" i="30"/>
  <c r="AC23" i="30"/>
  <c r="AD23" i="30" s="1"/>
  <c r="W41" i="30"/>
  <c r="W42" i="30" s="1"/>
  <c r="I36" i="30"/>
  <c r="T29" i="30"/>
  <c r="U29" i="30" s="1"/>
  <c r="W29" i="30"/>
  <c r="X29" i="30" s="1"/>
  <c r="X36" i="30"/>
  <c r="AB19" i="30"/>
  <c r="U38" i="30"/>
  <c r="K41" i="30"/>
  <c r="K42" i="30" s="1"/>
  <c r="X35" i="30"/>
  <c r="AF16" i="30"/>
  <c r="AA18" i="30"/>
  <c r="L36" i="30"/>
  <c r="T28" i="30"/>
  <c r="U28" i="30" s="1"/>
  <c r="Q8" i="30"/>
  <c r="AC26" i="30"/>
  <c r="AD26" i="30" s="1"/>
  <c r="U39" i="30"/>
  <c r="L38" i="30"/>
  <c r="X39" i="30"/>
  <c r="W14" i="30"/>
  <c r="T30" i="30"/>
  <c r="U30" i="30" s="1"/>
  <c r="AA21" i="30"/>
  <c r="W27" i="30"/>
  <c r="X27" i="30" s="1"/>
  <c r="AG19" i="30"/>
  <c r="X40" i="30"/>
  <c r="AB10" i="30"/>
  <c r="AG21" i="30"/>
  <c r="L8" i="30"/>
  <c r="AB25" i="30"/>
  <c r="AD25" i="30" s="1"/>
  <c r="K16" i="30"/>
  <c r="L16" i="30" s="1"/>
  <c r="H32" i="30"/>
  <c r="I32" i="30" s="1"/>
  <c r="AG22" i="30"/>
  <c r="X25" i="30"/>
  <c r="AA26" i="30"/>
  <c r="AA22" i="30"/>
  <c r="T20" i="30"/>
  <c r="AF14" i="30"/>
  <c r="Q35" i="30"/>
  <c r="AB21" i="30"/>
  <c r="K29" i="30"/>
  <c r="L29" i="30" s="1"/>
  <c r="W20" i="30"/>
  <c r="U26" i="30"/>
  <c r="P10" i="30"/>
  <c r="Q36" i="30"/>
  <c r="P26" i="30"/>
  <c r="AN26" i="30" s="1"/>
  <c r="P15" i="30"/>
  <c r="L15" i="30"/>
  <c r="H14" i="30"/>
  <c r="K14" i="30"/>
  <c r="L14" i="30" s="1"/>
  <c r="H28" i="30"/>
  <c r="I28" i="30" s="1"/>
  <c r="AB39" i="30"/>
  <c r="I15" i="30"/>
  <c r="P8" i="30"/>
  <c r="X15" i="30"/>
  <c r="U24" i="30"/>
  <c r="U40" i="30"/>
  <c r="G17" i="30"/>
  <c r="I39" i="30"/>
  <c r="AE41" i="30"/>
  <c r="P13" i="30"/>
  <c r="U13" i="30"/>
  <c r="AB37" i="30"/>
  <c r="P40" i="30"/>
  <c r="AG25" i="30"/>
  <c r="V41" i="30"/>
  <c r="I38" i="30"/>
  <c r="AC18" i="30"/>
  <c r="AO18" i="30" s="1"/>
  <c r="X19" i="30"/>
  <c r="K30" i="30"/>
  <c r="L30" i="30" s="1"/>
  <c r="L10" i="30"/>
  <c r="Q25" i="30"/>
  <c r="AO25" i="30" s="1"/>
  <c r="U22" i="30"/>
  <c r="I25" i="30"/>
  <c r="H17" i="30"/>
  <c r="AF12" i="30"/>
  <c r="AF11" i="30" s="1"/>
  <c r="L23" i="30"/>
  <c r="L25" i="30"/>
  <c r="I13" i="30"/>
  <c r="I26" i="30"/>
  <c r="X26" i="30"/>
  <c r="I24" i="30"/>
  <c r="G12" i="30"/>
  <c r="G11" i="30" s="1"/>
  <c r="G14" i="30"/>
  <c r="G16" i="30"/>
  <c r="J42" i="30"/>
  <c r="I35" i="30"/>
  <c r="G41" i="30"/>
  <c r="G42" i="30" s="1"/>
  <c r="I8" i="30"/>
  <c r="I22" i="30"/>
  <c r="I40" i="30"/>
  <c r="L13" i="30"/>
  <c r="U19" i="30"/>
  <c r="AB22" i="30"/>
  <c r="AN22" i="30" s="1"/>
  <c r="X18" i="30"/>
  <c r="U21" i="30"/>
  <c r="X22" i="30"/>
  <c r="U37" i="30"/>
  <c r="AG32" i="30"/>
  <c r="H41" i="30"/>
  <c r="H29" i="30"/>
  <c r="I29" i="30" s="1"/>
  <c r="I37" i="30"/>
  <c r="W12" i="30"/>
  <c r="W11" i="30" s="1"/>
  <c r="W16" i="30"/>
  <c r="X10" i="30"/>
  <c r="K32" i="30"/>
  <c r="L32" i="30" s="1"/>
  <c r="S12" i="30"/>
  <c r="S11" i="30" s="1"/>
  <c r="AB8" i="30"/>
  <c r="AA10" i="30"/>
  <c r="H20" i="30"/>
  <c r="Q19" i="30"/>
  <c r="AO19" i="30" s="1"/>
  <c r="T12" i="30"/>
  <c r="T9" i="30" s="1"/>
  <c r="AC8" i="30"/>
  <c r="U25" i="30"/>
  <c r="AC10" i="30"/>
  <c r="P21" i="30"/>
  <c r="L21" i="30"/>
  <c r="AB18" i="30"/>
  <c r="U18" i="30"/>
  <c r="AG23" i="30"/>
  <c r="Q10" i="30"/>
  <c r="H16" i="30"/>
  <c r="S16" i="30"/>
  <c r="AB15" i="30"/>
  <c r="I23" i="30"/>
  <c r="AC24" i="30"/>
  <c r="T31" i="30"/>
  <c r="T27" i="30"/>
  <c r="T41" i="30"/>
  <c r="AC35" i="30"/>
  <c r="Z14" i="30"/>
  <c r="AA14" i="30" s="1"/>
  <c r="Z12" i="30"/>
  <c r="AA12" i="30" s="1"/>
  <c r="I10" i="30"/>
  <c r="T17" i="30"/>
  <c r="T14" i="30"/>
  <c r="AC13" i="30"/>
  <c r="T16" i="30"/>
  <c r="AC15" i="30"/>
  <c r="U35" i="30"/>
  <c r="U36" i="30"/>
  <c r="AC22" i="30"/>
  <c r="W28" i="30"/>
  <c r="X28" i="30" s="1"/>
  <c r="Q38" i="30"/>
  <c r="H30" i="30"/>
  <c r="I30" i="30" s="1"/>
  <c r="U15" i="30"/>
  <c r="T32" i="30"/>
  <c r="AC40" i="30"/>
  <c r="AO40" i="30" s="1"/>
  <c r="U8" i="30"/>
  <c r="W30" i="30"/>
  <c r="X30" i="30" s="1"/>
  <c r="X13" i="30"/>
  <c r="S20" i="30"/>
  <c r="L26" i="30"/>
  <c r="Z16" i="30"/>
  <c r="AA16" i="30" s="1"/>
  <c r="AB35" i="30"/>
  <c r="S17" i="30"/>
  <c r="S14" i="30"/>
  <c r="AB13" i="30"/>
  <c r="AA15" i="30"/>
  <c r="N12" i="29"/>
  <c r="N14" i="29" s="1"/>
  <c r="H13" i="29"/>
  <c r="N25" i="29"/>
  <c r="O25" i="29" s="1"/>
  <c r="K24" i="29"/>
  <c r="K26" i="29" s="1"/>
  <c r="L16" i="29"/>
  <c r="L20" i="29" s="1"/>
  <c r="K20" i="29"/>
  <c r="K21" i="29" s="1"/>
  <c r="F20" i="29"/>
  <c r="F21" i="29" s="1"/>
  <c r="H25" i="29"/>
  <c r="N20" i="29"/>
  <c r="N21" i="29" s="1"/>
  <c r="N17" i="29"/>
  <c r="H15" i="29"/>
  <c r="M25" i="29"/>
  <c r="O10" i="29"/>
  <c r="M10" i="29"/>
  <c r="H11" i="29"/>
  <c r="K17" i="29"/>
  <c r="O15" i="29"/>
  <c r="H26" i="29"/>
  <c r="I17" i="29"/>
  <c r="J17" i="29" s="1"/>
  <c r="J13" i="29"/>
  <c r="J15" i="29"/>
  <c r="O13" i="29"/>
  <c r="H12" i="29"/>
  <c r="H16" i="29"/>
  <c r="H24" i="29"/>
  <c r="I14" i="29"/>
  <c r="I18" i="29"/>
  <c r="I20" i="29"/>
  <c r="I21" i="29" s="1"/>
  <c r="I26" i="29"/>
  <c r="J26" i="29" s="1"/>
  <c r="M13" i="29"/>
  <c r="G14" i="29"/>
  <c r="G18" i="29"/>
  <c r="G20" i="29"/>
  <c r="H10" i="29"/>
  <c r="J10" i="29"/>
  <c r="J12" i="29"/>
  <c r="J16" i="29"/>
  <c r="J24" i="29"/>
  <c r="M15" i="29"/>
  <c r="F14" i="29"/>
  <c r="F18" i="29"/>
  <c r="F17" i="29"/>
  <c r="H17" i="29" s="1"/>
  <c r="G12" i="26"/>
  <c r="Q24" i="26"/>
  <c r="T24" i="26" s="1"/>
  <c r="T19" i="26"/>
  <c r="AN37" i="30" l="1"/>
  <c r="AN29" i="30" s="1"/>
  <c r="AO38" i="30"/>
  <c r="AO10" i="30"/>
  <c r="L17" i="29"/>
  <c r="J11" i="29"/>
  <c r="I17" i="30"/>
  <c r="H11" i="30"/>
  <c r="AO24" i="30"/>
  <c r="Q14" i="30"/>
  <c r="AO8" i="30"/>
  <c r="K11" i="30"/>
  <c r="L11" i="30" s="1"/>
  <c r="AO23" i="30"/>
  <c r="AO29" i="30" s="1"/>
  <c r="AN25" i="30"/>
  <c r="AO39" i="30"/>
  <c r="AO26" i="30"/>
  <c r="AP26" i="30" s="1"/>
  <c r="AN35" i="30"/>
  <c r="AN39" i="30"/>
  <c r="AN31" i="30" s="1"/>
  <c r="AO15" i="30"/>
  <c r="AO17" i="30" s="1"/>
  <c r="R22" i="30"/>
  <c r="AO22" i="30"/>
  <c r="AP22" i="30" s="1"/>
  <c r="AK41" i="30"/>
  <c r="AN40" i="30"/>
  <c r="AN32" i="30" s="1"/>
  <c r="AO36" i="30"/>
  <c r="Q17" i="30"/>
  <c r="AN21" i="30"/>
  <c r="AP21" i="30" s="1"/>
  <c r="AN36" i="30"/>
  <c r="AN28" i="30" s="1"/>
  <c r="Q27" i="30"/>
  <c r="AO35" i="30"/>
  <c r="N22" i="29"/>
  <c r="N23" i="29" s="1"/>
  <c r="N18" i="29"/>
  <c r="N19" i="29" s="1"/>
  <c r="AF42" i="30"/>
  <c r="AL41" i="30"/>
  <c r="AL42" i="30" s="1"/>
  <c r="R37" i="30"/>
  <c r="AD21" i="30"/>
  <c r="AD36" i="30"/>
  <c r="Z9" i="30"/>
  <c r="AA9" i="30" s="1"/>
  <c r="AG31" i="30"/>
  <c r="AG30" i="30"/>
  <c r="AG28" i="30"/>
  <c r="X14" i="30"/>
  <c r="Q29" i="30"/>
  <c r="AB41" i="30"/>
  <c r="AB42" i="30" s="1"/>
  <c r="R23" i="30"/>
  <c r="S9" i="30"/>
  <c r="U9" i="30" s="1"/>
  <c r="I14" i="30"/>
  <c r="Q28" i="30"/>
  <c r="AD19" i="30"/>
  <c r="R26" i="30"/>
  <c r="Q32" i="30"/>
  <c r="R39" i="30"/>
  <c r="P17" i="30"/>
  <c r="R17" i="30" s="1"/>
  <c r="Q31" i="30"/>
  <c r="AP23" i="30"/>
  <c r="R25" i="30"/>
  <c r="X20" i="30"/>
  <c r="X41" i="30"/>
  <c r="AB20" i="30"/>
  <c r="V42" i="30"/>
  <c r="R36" i="30"/>
  <c r="X16" i="30"/>
  <c r="AC29" i="30"/>
  <c r="AD29" i="30" s="1"/>
  <c r="AC20" i="30"/>
  <c r="P16" i="30"/>
  <c r="R35" i="30"/>
  <c r="AD22" i="30"/>
  <c r="AD37" i="30"/>
  <c r="AD39" i="30"/>
  <c r="U20" i="30"/>
  <c r="G9" i="30"/>
  <c r="I9" i="30" s="1"/>
  <c r="P12" i="30"/>
  <c r="P11" i="30" s="1"/>
  <c r="R40" i="30"/>
  <c r="X11" i="30"/>
  <c r="I12" i="30"/>
  <c r="R13" i="30"/>
  <c r="R15" i="30"/>
  <c r="L12" i="30"/>
  <c r="R8" i="30"/>
  <c r="P14" i="30"/>
  <c r="P41" i="30"/>
  <c r="P42" i="30" s="1"/>
  <c r="I16" i="30"/>
  <c r="U17" i="30"/>
  <c r="U16" i="30"/>
  <c r="AC30" i="30"/>
  <c r="AD30" i="30" s="1"/>
  <c r="AG27" i="30"/>
  <c r="AF9" i="30"/>
  <c r="L9" i="30"/>
  <c r="L41" i="30"/>
  <c r="AD18" i="30"/>
  <c r="AD35" i="30"/>
  <c r="U14" i="30"/>
  <c r="X12" i="30"/>
  <c r="W9" i="30"/>
  <c r="AC16" i="30"/>
  <c r="AD15" i="30"/>
  <c r="AB16" i="30"/>
  <c r="AB12" i="30"/>
  <c r="AB11" i="30" s="1"/>
  <c r="AD13" i="30"/>
  <c r="AC14" i="30"/>
  <c r="AC17" i="30"/>
  <c r="I11" i="30"/>
  <c r="Q30" i="30"/>
  <c r="R38" i="30"/>
  <c r="H42" i="30"/>
  <c r="Q41" i="30"/>
  <c r="I41" i="30"/>
  <c r="AO14" i="30"/>
  <c r="AD8" i="30"/>
  <c r="AC12" i="30"/>
  <c r="AC9" i="30" s="1"/>
  <c r="R21" i="30"/>
  <c r="R10" i="30"/>
  <c r="Q12" i="30"/>
  <c r="Q11" i="30" s="1"/>
  <c r="Q16" i="30"/>
  <c r="AC31" i="30"/>
  <c r="AD31" i="30" s="1"/>
  <c r="U31" i="30"/>
  <c r="AB14" i="30"/>
  <c r="AB17" i="30"/>
  <c r="AC41" i="30"/>
  <c r="T42" i="30"/>
  <c r="U41" i="30"/>
  <c r="AD40" i="30"/>
  <c r="AD10" i="30"/>
  <c r="Z11" i="30"/>
  <c r="AA11" i="30" s="1"/>
  <c r="AC27" i="30"/>
  <c r="AD27" i="30" s="1"/>
  <c r="U27" i="30"/>
  <c r="AP24" i="30"/>
  <c r="AD24" i="30"/>
  <c r="U32" i="30"/>
  <c r="AC32" i="30"/>
  <c r="AD32" i="30" s="1"/>
  <c r="AC28" i="30"/>
  <c r="AD28" i="30" s="1"/>
  <c r="U12" i="30"/>
  <c r="T11" i="30"/>
  <c r="U11" i="30" s="1"/>
  <c r="Q20" i="30"/>
  <c r="M16" i="29"/>
  <c r="O16" i="29"/>
  <c r="L21" i="29"/>
  <c r="M20" i="29"/>
  <c r="O20" i="29"/>
  <c r="N26" i="29"/>
  <c r="M21" i="29"/>
  <c r="O21" i="29"/>
  <c r="G21" i="29"/>
  <c r="J20" i="29"/>
  <c r="H20" i="29"/>
  <c r="J14" i="29"/>
  <c r="H14" i="29"/>
  <c r="I22" i="29"/>
  <c r="I19" i="29"/>
  <c r="F19" i="29"/>
  <c r="F22" i="29"/>
  <c r="O17" i="29"/>
  <c r="M17" i="29"/>
  <c r="O24" i="29"/>
  <c r="M24" i="29"/>
  <c r="L26" i="29"/>
  <c r="O12" i="29"/>
  <c r="M12" i="29"/>
  <c r="L18" i="29"/>
  <c r="L14" i="29"/>
  <c r="G19" i="29"/>
  <c r="G22" i="29"/>
  <c r="J18" i="29"/>
  <c r="H18" i="29"/>
  <c r="K18" i="29"/>
  <c r="K19" i="29" s="1"/>
  <c r="K14" i="29"/>
  <c r="K22" i="29" s="1"/>
  <c r="R14" i="30" l="1"/>
  <c r="AN41" i="30"/>
  <c r="AN27" i="30"/>
  <c r="AO41" i="30"/>
  <c r="N27" i="29"/>
  <c r="AP37" i="30"/>
  <c r="AP36" i="30"/>
  <c r="AP39" i="30"/>
  <c r="AO31" i="30"/>
  <c r="AP31" i="30" s="1"/>
  <c r="AD20" i="30"/>
  <c r="R16" i="30"/>
  <c r="AP25" i="30"/>
  <c r="R11" i="30"/>
  <c r="P9" i="30"/>
  <c r="X9" i="30"/>
  <c r="AC11" i="30"/>
  <c r="AD11" i="30" s="1"/>
  <c r="AO28" i="30"/>
  <c r="AP28" i="30" s="1"/>
  <c r="AP29" i="30"/>
  <c r="AD14" i="30"/>
  <c r="AD17" i="30"/>
  <c r="AP40" i="30"/>
  <c r="AO32" i="30"/>
  <c r="AP32" i="30" s="1"/>
  <c r="AO30" i="30"/>
  <c r="AP30" i="30" s="1"/>
  <c r="AP38" i="30"/>
  <c r="AO12" i="30"/>
  <c r="AO9" i="30" s="1"/>
  <c r="AD41" i="30"/>
  <c r="AC42" i="30"/>
  <c r="AO20" i="30"/>
  <c r="AB9" i="30"/>
  <c r="AD9" i="30" s="1"/>
  <c r="AO16" i="30"/>
  <c r="AP35" i="30"/>
  <c r="AO27" i="30"/>
  <c r="AD12" i="30"/>
  <c r="Q42" i="30"/>
  <c r="R41" i="30"/>
  <c r="AD16" i="30"/>
  <c r="R12" i="30"/>
  <c r="Q9" i="30"/>
  <c r="N28" i="29"/>
  <c r="K27" i="29"/>
  <c r="K23" i="29"/>
  <c r="O26" i="29"/>
  <c r="M26" i="29"/>
  <c r="I27" i="29"/>
  <c r="I23" i="29"/>
  <c r="O11" i="29"/>
  <c r="M11" i="29"/>
  <c r="H21" i="29"/>
  <c r="J21" i="29"/>
  <c r="F27" i="29"/>
  <c r="F23" i="29"/>
  <c r="G27" i="29"/>
  <c r="G23" i="29"/>
  <c r="H22" i="29"/>
  <c r="J22" i="29"/>
  <c r="H19" i="29"/>
  <c r="J19" i="29"/>
  <c r="O14" i="29"/>
  <c r="M14" i="29"/>
  <c r="L22" i="29"/>
  <c r="O18" i="29"/>
  <c r="M18" i="29"/>
  <c r="L19" i="29"/>
  <c r="R9" i="30" l="1"/>
  <c r="AP27" i="30"/>
  <c r="AO11" i="30"/>
  <c r="AO42" i="30"/>
  <c r="AP41" i="30"/>
  <c r="H23" i="29"/>
  <c r="J23" i="29"/>
  <c r="H27" i="29"/>
  <c r="G28" i="29"/>
  <c r="G38" i="29"/>
  <c r="J27" i="29"/>
  <c r="G37" i="29"/>
  <c r="I38" i="29"/>
  <c r="I37" i="29"/>
  <c r="I28" i="29"/>
  <c r="M19" i="29"/>
  <c r="O19" i="29"/>
  <c r="O22" i="29"/>
  <c r="M22" i="29"/>
  <c r="L23" i="29"/>
  <c r="L27" i="29"/>
  <c r="K28" i="29"/>
  <c r="F37" i="29"/>
  <c r="F28" i="29"/>
  <c r="F38" i="29"/>
  <c r="M27" i="29" l="1"/>
  <c r="L28" i="29"/>
  <c r="O27" i="29"/>
  <c r="J28" i="29"/>
  <c r="H28" i="29"/>
  <c r="O23" i="29"/>
  <c r="M23" i="29"/>
  <c r="O28" i="29" l="1"/>
  <c r="M28" i="29"/>
  <c r="AJ26" i="1" l="1"/>
  <c r="AH26" i="1"/>
  <c r="AG26" i="1"/>
  <c r="AA21" i="1"/>
  <c r="AA20" i="1"/>
  <c r="M38" i="1" l="1"/>
  <c r="M27" i="1"/>
  <c r="M17" i="1"/>
  <c r="M18" i="1"/>
  <c r="M13" i="1"/>
  <c r="M11" i="1"/>
  <c r="M10" i="1"/>
  <c r="J38" i="1"/>
  <c r="J27" i="1"/>
  <c r="J26" i="1"/>
  <c r="J28" i="1"/>
  <c r="J17" i="1"/>
  <c r="J16" i="1"/>
  <c r="J15" i="1"/>
  <c r="J11" i="1"/>
  <c r="J10" i="1"/>
  <c r="J9" i="1"/>
  <c r="J8" i="1"/>
  <c r="J7" i="1"/>
  <c r="M26" i="1"/>
  <c r="M25" i="1"/>
  <c r="M16" i="1"/>
  <c r="M15" i="1"/>
  <c r="M12" i="1"/>
  <c r="J12" i="1"/>
  <c r="J13" i="1" l="1"/>
  <c r="M28" i="1"/>
  <c r="J18" i="1"/>
  <c r="J25" i="1"/>
  <c r="AA28" i="1" l="1"/>
  <c r="S62" i="2" l="1"/>
  <c r="S61" i="2"/>
  <c r="T60" i="2"/>
  <c r="S60" i="2"/>
  <c r="S59" i="2"/>
  <c r="M41" i="2"/>
  <c r="K41" i="2"/>
  <c r="N41" i="2" s="1"/>
  <c r="J41" i="2"/>
  <c r="N40" i="2"/>
  <c r="L40" i="2"/>
  <c r="G40" i="2"/>
  <c r="Q38" i="2"/>
  <c r="N38" i="2"/>
  <c r="M38" i="2"/>
  <c r="G38" i="2"/>
  <c r="AE21" i="1"/>
  <c r="AJ21" i="1" s="1"/>
  <c r="S37" i="2"/>
  <c r="Q37" i="2"/>
  <c r="N37" i="2"/>
  <c r="G37" i="2"/>
  <c r="S36" i="2"/>
  <c r="Q36" i="2"/>
  <c r="N36" i="2"/>
  <c r="G36" i="2"/>
  <c r="V34" i="1"/>
  <c r="S34" i="1"/>
  <c r="S35" i="2"/>
  <c r="Q35" i="2"/>
  <c r="N35" i="2"/>
  <c r="L35" i="2"/>
  <c r="G35" i="2"/>
  <c r="V33" i="1"/>
  <c r="N34" i="2"/>
  <c r="L34" i="2"/>
  <c r="G34" i="2"/>
  <c r="S32" i="1"/>
  <c r="N33" i="2"/>
  <c r="L33" i="2"/>
  <c r="G33" i="2"/>
  <c r="G31" i="2"/>
  <c r="G30" i="2"/>
  <c r="G29" i="2"/>
  <c r="T51" i="2"/>
  <c r="AG27" i="2"/>
  <c r="AG26" i="2"/>
  <c r="G26" i="2"/>
  <c r="AG25" i="2"/>
  <c r="G25" i="2"/>
  <c r="AG24" i="2"/>
  <c r="G24" i="2"/>
  <c r="AG23" i="2"/>
  <c r="G23" i="2"/>
  <c r="AG22" i="2"/>
  <c r="G22" i="2"/>
  <c r="AG21" i="2"/>
  <c r="G21" i="2"/>
  <c r="AG20" i="2"/>
  <c r="G20" i="2"/>
  <c r="AG19" i="2"/>
  <c r="G19" i="2"/>
  <c r="AG18" i="2"/>
  <c r="G18" i="2"/>
  <c r="AG17" i="2"/>
  <c r="G17" i="2"/>
  <c r="AG16" i="2"/>
  <c r="G16" i="2"/>
  <c r="AG15" i="2"/>
  <c r="G15" i="2"/>
  <c r="AG14" i="2"/>
  <c r="G14" i="2"/>
  <c r="AG13" i="2"/>
  <c r="G13" i="2"/>
  <c r="AG12" i="2"/>
  <c r="G12" i="2"/>
  <c r="AG11" i="2"/>
  <c r="G11" i="2"/>
  <c r="AG10" i="2"/>
  <c r="G10" i="2"/>
  <c r="AG9" i="2"/>
  <c r="G9" i="2"/>
  <c r="AG8" i="2"/>
  <c r="AE8" i="2"/>
  <c r="G8" i="2"/>
  <c r="AG7" i="2"/>
  <c r="G7" i="2"/>
  <c r="V32" i="1"/>
  <c r="V29" i="1"/>
  <c r="T29" i="1"/>
  <c r="S29" i="1"/>
  <c r="W28" i="1"/>
  <c r="U28" i="1"/>
  <c r="W27" i="1"/>
  <c r="U27" i="1"/>
  <c r="AA24" i="1"/>
  <c r="AA22" i="1"/>
  <c r="AB21" i="1"/>
  <c r="AG21" i="1" s="1"/>
  <c r="AA18" i="1"/>
  <c r="AA17" i="1"/>
  <c r="AA16" i="1"/>
  <c r="AA15" i="1"/>
  <c r="H20" i="1"/>
  <c r="H30" i="1" s="1"/>
  <c r="H31" i="1" s="1"/>
  <c r="AE16" i="1" s="1"/>
  <c r="AA13" i="1"/>
  <c r="AA12" i="1"/>
  <c r="V12" i="1"/>
  <c r="AE12" i="1"/>
  <c r="AB12" i="1"/>
  <c r="AA11" i="1"/>
  <c r="AB11" i="1"/>
  <c r="AA10" i="1"/>
  <c r="E20" i="1"/>
  <c r="AA9" i="1"/>
  <c r="AB9" i="1"/>
  <c r="AA8" i="1"/>
  <c r="AA7" i="1"/>
  <c r="AK6" i="1"/>
  <c r="AJ6" i="1"/>
  <c r="AI6" i="1"/>
  <c r="AH6" i="1"/>
  <c r="AG6" i="1"/>
  <c r="AF6" i="1"/>
  <c r="AE6" i="1"/>
  <c r="AD6" i="1"/>
  <c r="AC6" i="1"/>
  <c r="AB6" i="1"/>
  <c r="AG5" i="1"/>
  <c r="AB5" i="1"/>
  <c r="L41" i="2" l="1"/>
  <c r="U29" i="1"/>
  <c r="AE19" i="1"/>
  <c r="AB19" i="1"/>
  <c r="AG19" i="1" s="1"/>
  <c r="W29" i="1"/>
  <c r="H29" i="1"/>
  <c r="AE20" i="1"/>
  <c r="W26" i="2"/>
  <c r="H19" i="1"/>
  <c r="T59" i="2"/>
  <c r="W24" i="1"/>
  <c r="AE16" i="2"/>
  <c r="E22" i="1"/>
  <c r="E33" i="1" s="1"/>
  <c r="AB18" i="1" s="1"/>
  <c r="T61" i="2"/>
  <c r="AE20" i="2"/>
  <c r="AE11" i="2"/>
  <c r="AB10" i="1"/>
  <c r="AE7" i="2"/>
  <c r="W15" i="1"/>
  <c r="S33" i="1"/>
  <c r="R24" i="2"/>
  <c r="AB8" i="1"/>
  <c r="W24" i="2"/>
  <c r="E30" i="1"/>
  <c r="AE10" i="1"/>
  <c r="H21" i="1"/>
  <c r="H32" i="1" s="1"/>
  <c r="AE17" i="1" s="1"/>
  <c r="H14" i="1"/>
  <c r="R25" i="2"/>
  <c r="R32" i="2"/>
  <c r="O41" i="2"/>
  <c r="AB20" i="1"/>
  <c r="T25" i="2"/>
  <c r="O32" i="2"/>
  <c r="AR17" i="30" s="1"/>
  <c r="T58" i="2"/>
  <c r="T24" i="2"/>
  <c r="AB7" i="1"/>
  <c r="AE15" i="1"/>
  <c r="E21" i="1"/>
  <c r="E32" i="1" s="1"/>
  <c r="AB17" i="1" s="1"/>
  <c r="H22" i="1"/>
  <c r="H33" i="1" s="1"/>
  <c r="AE18" i="1" s="1"/>
  <c r="O26" i="2"/>
  <c r="E29" i="1"/>
  <c r="AE11" i="1"/>
  <c r="O24" i="2"/>
  <c r="R26" i="2"/>
  <c r="J32" i="2"/>
  <c r="AR12" i="30" s="1"/>
  <c r="W25" i="2"/>
  <c r="T26" i="2"/>
  <c r="R41" i="2"/>
  <c r="J24" i="2"/>
  <c r="T41" i="2"/>
  <c r="T62" i="2"/>
  <c r="J25" i="2"/>
  <c r="W41" i="2"/>
  <c r="T53" i="2"/>
  <c r="T32" i="2"/>
  <c r="AR20" i="30" s="1"/>
  <c r="J26" i="2"/>
  <c r="W23" i="1"/>
  <c r="W32" i="2"/>
  <c r="S38" i="2"/>
  <c r="O25" i="2"/>
  <c r="AE19" i="2"/>
  <c r="AE13" i="2"/>
  <c r="AE15" i="2"/>
  <c r="AE22" i="2"/>
  <c r="AE23" i="2"/>
  <c r="AE9" i="2"/>
  <c r="AE10" i="2"/>
  <c r="AE12" i="2"/>
  <c r="W13" i="1"/>
  <c r="AE14" i="2"/>
  <c r="AE21" i="2"/>
  <c r="AE17" i="2"/>
  <c r="AE18" i="2"/>
  <c r="W16" i="1"/>
  <c r="W14" i="1"/>
  <c r="AG20" i="1" l="1"/>
  <c r="AJ20" i="1"/>
  <c r="AJ19" i="1"/>
  <c r="T63" i="2"/>
  <c r="T27" i="2"/>
  <c r="V36" i="1"/>
  <c r="V35" i="1" s="1"/>
  <c r="AE26" i="1"/>
  <c r="AB13" i="1"/>
  <c r="AB14" i="1" s="1"/>
  <c r="E23" i="1"/>
  <c r="AE13" i="1"/>
  <c r="AE14" i="1" s="1"/>
  <c r="H23" i="1"/>
  <c r="E31" i="1"/>
  <c r="AB16" i="1" s="1"/>
  <c r="AB15" i="1"/>
  <c r="W27" i="2"/>
  <c r="W43" i="2" s="1"/>
  <c r="W47" i="2" s="1"/>
  <c r="J27" i="2"/>
  <c r="J47" i="2" s="1"/>
  <c r="E14" i="1"/>
  <c r="R27" i="2"/>
  <c r="R43" i="2" s="1"/>
  <c r="R47" i="2" s="1"/>
  <c r="E19" i="1"/>
  <c r="O27" i="2"/>
  <c r="O43" i="2" s="1"/>
  <c r="O47" i="2" s="1"/>
  <c r="S36" i="1"/>
  <c r="S35" i="1" s="1"/>
  <c r="AB26" i="1"/>
  <c r="AB22" i="1" s="1"/>
  <c r="AG22" i="1" s="1"/>
  <c r="T52" i="2"/>
  <c r="U15" i="1"/>
  <c r="U13" i="1"/>
  <c r="AB23" i="1" l="1"/>
  <c r="U11" i="1"/>
  <c r="T12" i="1"/>
  <c r="W9" i="1"/>
  <c r="U14" i="1"/>
  <c r="W11" i="1"/>
  <c r="U16" i="1"/>
  <c r="U10" i="1"/>
  <c r="W10" i="1"/>
  <c r="H34" i="1"/>
  <c r="H35" i="1" s="1"/>
  <c r="H24" i="1"/>
  <c r="AE22" i="1"/>
  <c r="E34" i="1"/>
  <c r="E35" i="1" s="1"/>
  <c r="E24" i="1"/>
  <c r="T50" i="2"/>
  <c r="AE23" i="1" l="1"/>
  <c r="AJ22" i="1"/>
  <c r="S12" i="1"/>
  <c r="W12" i="1"/>
  <c r="U12" i="1"/>
  <c r="U9" i="1"/>
  <c r="AE25" i="2"/>
  <c r="E36" i="1"/>
  <c r="AB24" i="1" s="1"/>
  <c r="E40" i="1"/>
  <c r="E39" i="1"/>
  <c r="H39" i="1"/>
  <c r="H36" i="1"/>
  <c r="AE24" i="1" s="1"/>
  <c r="H40" i="1"/>
  <c r="T54" i="2"/>
  <c r="T55" i="2" s="1"/>
  <c r="T44" i="2"/>
  <c r="T47" i="2"/>
  <c r="AE26" i="2" l="1"/>
  <c r="AE27" i="2"/>
  <c r="AE24" i="2"/>
  <c r="T56" i="2"/>
  <c r="AG9" i="1" l="1"/>
  <c r="AG8" i="1"/>
  <c r="AG7" i="1"/>
  <c r="AG12" i="1" l="1"/>
  <c r="M22" i="1"/>
  <c r="M33" i="1" s="1"/>
  <c r="AJ18" i="1" s="1"/>
  <c r="AJ12" i="1"/>
  <c r="AJ11" i="1"/>
  <c r="J21" i="1"/>
  <c r="J32" i="1" s="1"/>
  <c r="AG17" i="1" s="1"/>
  <c r="AG11" i="1"/>
  <c r="AG10" i="1"/>
  <c r="J20" i="1"/>
  <c r="J29" i="1"/>
  <c r="M19" i="1"/>
  <c r="J22" i="1"/>
  <c r="J33" i="1" s="1"/>
  <c r="AG18" i="1" s="1"/>
  <c r="M29" i="1"/>
  <c r="M21" i="1" l="1"/>
  <c r="M32" i="1" s="1"/>
  <c r="AJ17" i="1" s="1"/>
  <c r="M23" i="1"/>
  <c r="M34" i="1" s="1"/>
  <c r="AJ13" i="1"/>
  <c r="J19" i="1"/>
  <c r="M20" i="1"/>
  <c r="AJ10" i="1"/>
  <c r="M14" i="1"/>
  <c r="J23" i="1"/>
  <c r="J34" i="1" s="1"/>
  <c r="AG13" i="1"/>
  <c r="AG14" i="1" s="1"/>
  <c r="J14" i="1"/>
  <c r="J30" i="1"/>
  <c r="J24" i="1" l="1"/>
  <c r="AJ14" i="1"/>
  <c r="M30" i="1"/>
  <c r="M24" i="1"/>
  <c r="AG15" i="1"/>
  <c r="J31" i="1"/>
  <c r="AG16" i="1" s="1"/>
  <c r="J35" i="1"/>
  <c r="AG23" i="1" l="1"/>
  <c r="J39" i="1"/>
  <c r="J36" i="1"/>
  <c r="AG24" i="1" s="1"/>
  <c r="J40" i="1"/>
  <c r="M31" i="1"/>
  <c r="AJ16" i="1" s="1"/>
  <c r="AJ15" i="1"/>
  <c r="AJ23" i="1" s="1"/>
  <c r="M35" i="1"/>
  <c r="M39" i="1" l="1"/>
  <c r="M40" i="1"/>
  <c r="M36" i="1"/>
  <c r="AJ24" i="1" s="1"/>
  <c r="U24" i="1" l="1"/>
  <c r="U23" i="1" l="1"/>
  <c r="M8" i="1" l="1"/>
  <c r="AJ8" i="1" s="1"/>
  <c r="AE8" i="1"/>
  <c r="M26" i="2" l="1"/>
  <c r="M24" i="2"/>
  <c r="M32" i="2"/>
  <c r="M25" i="2"/>
  <c r="M27" i="2" l="1"/>
  <c r="M9" i="1" l="1"/>
  <c r="AJ9" i="1" s="1"/>
  <c r="AE9" i="1"/>
  <c r="M47" i="2"/>
  <c r="M7" i="1" l="1"/>
  <c r="AJ7" i="1" s="1"/>
  <c r="AE7" i="1"/>
  <c r="P21" i="2" l="1"/>
  <c r="P23" i="2"/>
  <c r="P18" i="2"/>
  <c r="P22" i="2"/>
  <c r="P20" i="2"/>
  <c r="P19" i="2"/>
  <c r="P31" i="2"/>
  <c r="Q18" i="2" l="1"/>
  <c r="S18" i="2"/>
  <c r="S23" i="2"/>
  <c r="Q23" i="2"/>
  <c r="Q19" i="2"/>
  <c r="S19" i="2"/>
  <c r="P26" i="2"/>
  <c r="Q20" i="2"/>
  <c r="S20" i="2"/>
  <c r="Q21" i="2"/>
  <c r="S21" i="2"/>
  <c r="Q31" i="2"/>
  <c r="S31" i="2"/>
  <c r="Q22" i="2"/>
  <c r="S22" i="2"/>
  <c r="Q26" i="2" l="1"/>
  <c r="S26" i="2"/>
  <c r="U38" i="2"/>
  <c r="U18" i="2"/>
  <c r="U36" i="2"/>
  <c r="U37" i="2"/>
  <c r="U19" i="2"/>
  <c r="V19" i="2" l="1"/>
  <c r="X19" i="2"/>
  <c r="V37" i="2"/>
  <c r="X37" i="2"/>
  <c r="AC21" i="1"/>
  <c r="U60" i="2"/>
  <c r="V60" i="2" s="1"/>
  <c r="U61" i="2"/>
  <c r="V61" i="2" s="1"/>
  <c r="V38" i="2"/>
  <c r="X38" i="2"/>
  <c r="V18" i="2"/>
  <c r="X18" i="2"/>
  <c r="X36" i="2"/>
  <c r="U59" i="2"/>
  <c r="V59" i="2" s="1"/>
  <c r="V36" i="2"/>
  <c r="U22" i="2"/>
  <c r="U21" i="2"/>
  <c r="U20" i="2"/>
  <c r="U23" i="2"/>
  <c r="V21" i="2" l="1"/>
  <c r="X21" i="2"/>
  <c r="V22" i="2"/>
  <c r="X22" i="2"/>
  <c r="X20" i="2"/>
  <c r="V20" i="2"/>
  <c r="V23" i="2"/>
  <c r="X23" i="2"/>
  <c r="AD21" i="1"/>
  <c r="AH21" i="1"/>
  <c r="AF21" i="1"/>
  <c r="U26" i="2"/>
  <c r="X26" i="2" l="1"/>
  <c r="V26" i="2"/>
  <c r="AK21" i="1"/>
  <c r="AI21" i="1"/>
  <c r="P10" i="2" l="1"/>
  <c r="Q10" i="2" l="1"/>
  <c r="S10" i="2"/>
  <c r="P17" i="2" l="1"/>
  <c r="P9" i="2"/>
  <c r="P15" i="2"/>
  <c r="P7" i="2"/>
  <c r="P29" i="2"/>
  <c r="P30" i="2"/>
  <c r="P14" i="2"/>
  <c r="P12" i="2"/>
  <c r="P16" i="2"/>
  <c r="P11" i="2"/>
  <c r="P8" i="2"/>
  <c r="P13" i="2"/>
  <c r="S17" i="2" l="1"/>
  <c r="Q17" i="2"/>
  <c r="S9" i="2"/>
  <c r="Q9" i="2"/>
  <c r="F11" i="1"/>
  <c r="P28" i="2"/>
  <c r="S12" i="2"/>
  <c r="Q12" i="2"/>
  <c r="Q13" i="2"/>
  <c r="S13" i="2"/>
  <c r="P24" i="2"/>
  <c r="S7" i="2"/>
  <c r="Q7" i="2"/>
  <c r="Q30" i="2"/>
  <c r="S30" i="2"/>
  <c r="S15" i="2"/>
  <c r="Q15" i="2"/>
  <c r="P25" i="2"/>
  <c r="S11" i="2"/>
  <c r="Q11" i="2"/>
  <c r="Q29" i="2"/>
  <c r="P32" i="2"/>
  <c r="AS17" i="30" s="1"/>
  <c r="AS18" i="30" s="1"/>
  <c r="S29" i="2"/>
  <c r="S8" i="2"/>
  <c r="Q8" i="2"/>
  <c r="Q14" i="2"/>
  <c r="S14" i="2"/>
  <c r="S16" i="2"/>
  <c r="Q16" i="2"/>
  <c r="P33" i="2"/>
  <c r="F12" i="1"/>
  <c r="F10" i="1"/>
  <c r="K12" i="1" l="1"/>
  <c r="AC12" i="1"/>
  <c r="G12" i="1"/>
  <c r="I12" i="1"/>
  <c r="P27" i="2"/>
  <c r="Q24" i="2"/>
  <c r="S24" i="2"/>
  <c r="S25" i="2"/>
  <c r="Q25" i="2"/>
  <c r="Q33" i="2"/>
  <c r="S33" i="2"/>
  <c r="S28" i="2"/>
  <c r="Q28" i="2"/>
  <c r="K11" i="1"/>
  <c r="AC11" i="1"/>
  <c r="G11" i="1"/>
  <c r="I11" i="1"/>
  <c r="K10" i="1"/>
  <c r="G10" i="1"/>
  <c r="AC10" i="1"/>
  <c r="I10" i="1"/>
  <c r="S32" i="2"/>
  <c r="Q32" i="2"/>
  <c r="P34" i="2"/>
  <c r="S34" i="2" l="1"/>
  <c r="Q34" i="2"/>
  <c r="AD11" i="1"/>
  <c r="AF11" i="1"/>
  <c r="S27" i="2"/>
  <c r="Q27" i="2"/>
  <c r="AD10" i="1"/>
  <c r="AF10" i="1"/>
  <c r="AH11" i="1"/>
  <c r="N11" i="1"/>
  <c r="L11" i="1"/>
  <c r="AD12" i="1"/>
  <c r="AF12" i="1"/>
  <c r="AH10" i="1"/>
  <c r="L10" i="1"/>
  <c r="N10" i="1"/>
  <c r="AH12" i="1"/>
  <c r="L12" i="1"/>
  <c r="N12" i="1"/>
  <c r="AK11" i="1" l="1"/>
  <c r="AI11" i="1"/>
  <c r="AI10" i="1"/>
  <c r="AK10" i="1"/>
  <c r="P46" i="2"/>
  <c r="P40" i="2"/>
  <c r="F13" i="1"/>
  <c r="AI12" i="1"/>
  <c r="AK12" i="1"/>
  <c r="K13" i="1" l="1"/>
  <c r="I13" i="1"/>
  <c r="G13" i="1"/>
  <c r="AC13" i="1"/>
  <c r="F14" i="1"/>
  <c r="S40" i="2"/>
  <c r="Q40" i="2"/>
  <c r="P41" i="2"/>
  <c r="Q41" i="2" l="1"/>
  <c r="S41" i="2"/>
  <c r="P43" i="2"/>
  <c r="I14" i="1"/>
  <c r="G14" i="1"/>
  <c r="A14" i="1"/>
  <c r="AF13" i="1"/>
  <c r="AD13" i="1"/>
  <c r="AC14" i="1"/>
  <c r="L13" i="1"/>
  <c r="AH13" i="1"/>
  <c r="N13" i="1"/>
  <c r="K14" i="1"/>
  <c r="L14" i="1" l="1"/>
  <c r="N14" i="1"/>
  <c r="B14" i="1"/>
  <c r="AI13" i="1"/>
  <c r="AK13" i="1"/>
  <c r="AH14" i="1"/>
  <c r="AF14" i="1"/>
  <c r="AD14" i="1"/>
  <c r="P44" i="2"/>
  <c r="G43" i="2"/>
  <c r="S43" i="2"/>
  <c r="Q43" i="2"/>
  <c r="P47" i="2"/>
  <c r="AI14" i="1" l="1"/>
  <c r="AK14" i="1"/>
  <c r="F16" i="1" l="1"/>
  <c r="K16" i="1" l="1"/>
  <c r="I16" i="1"/>
  <c r="G16" i="1"/>
  <c r="F21" i="1"/>
  <c r="F15" i="1"/>
  <c r="F17" i="1"/>
  <c r="K15" i="1" l="1"/>
  <c r="G15" i="1"/>
  <c r="I15" i="1"/>
  <c r="F20" i="1"/>
  <c r="K17" i="1"/>
  <c r="I17" i="1"/>
  <c r="G17" i="1"/>
  <c r="F22" i="1"/>
  <c r="I21" i="1"/>
  <c r="G21" i="1"/>
  <c r="L16" i="1"/>
  <c r="N16" i="1"/>
  <c r="K21" i="1"/>
  <c r="L21" i="1" l="1"/>
  <c r="N21" i="1"/>
  <c r="G22" i="1"/>
  <c r="I22" i="1"/>
  <c r="L17" i="1"/>
  <c r="N17" i="1"/>
  <c r="K22" i="1"/>
  <c r="I20" i="1"/>
  <c r="G20" i="1"/>
  <c r="N15" i="1"/>
  <c r="L15" i="1"/>
  <c r="K20" i="1"/>
  <c r="F18" i="1" l="1"/>
  <c r="L22" i="1"/>
  <c r="N22" i="1"/>
  <c r="N20" i="1"/>
  <c r="L20" i="1"/>
  <c r="K18" i="1" l="1"/>
  <c r="I18" i="1"/>
  <c r="G18" i="1"/>
  <c r="F23" i="1"/>
  <c r="F19" i="1"/>
  <c r="G19" i="1" l="1"/>
  <c r="I19" i="1"/>
  <c r="G23" i="1"/>
  <c r="I23" i="1"/>
  <c r="F24" i="1"/>
  <c r="L18" i="1"/>
  <c r="N18" i="1"/>
  <c r="K23" i="1"/>
  <c r="K19" i="1"/>
  <c r="N19" i="1" l="1"/>
  <c r="L19" i="1"/>
  <c r="G24" i="1"/>
  <c r="I24" i="1"/>
  <c r="L23" i="1"/>
  <c r="N23" i="1"/>
  <c r="K24" i="1"/>
  <c r="N24" i="1" l="1"/>
  <c r="L24" i="1"/>
  <c r="U10" i="2" l="1"/>
  <c r="X10" i="2" l="1"/>
  <c r="V10" i="2"/>
  <c r="U7" i="2" l="1"/>
  <c r="V7" i="2" l="1"/>
  <c r="X7" i="2"/>
  <c r="U8" i="2" l="1"/>
  <c r="V8" i="2" l="1"/>
  <c r="X8" i="2"/>
  <c r="U9" i="2" l="1"/>
  <c r="X9" i="2" l="1"/>
  <c r="V9" i="2"/>
  <c r="U24" i="2"/>
  <c r="X24" i="2" l="1"/>
  <c r="V24" i="2"/>
  <c r="U17" i="2" l="1"/>
  <c r="X17" i="2" l="1"/>
  <c r="V17" i="2"/>
  <c r="U16" i="2" l="1"/>
  <c r="X16" i="2" l="1"/>
  <c r="V16" i="2"/>
  <c r="U12" i="2" l="1"/>
  <c r="U11" i="2"/>
  <c r="X11" i="2" l="1"/>
  <c r="V11" i="2"/>
  <c r="X12" i="2"/>
  <c r="V12" i="2"/>
  <c r="U14" i="2"/>
  <c r="X14" i="2" l="1"/>
  <c r="V14" i="2"/>
  <c r="U15" i="2" l="1"/>
  <c r="V15" i="2" l="1"/>
  <c r="X15" i="2"/>
  <c r="U13" i="2"/>
  <c r="V13" i="2" l="1"/>
  <c r="X13" i="2"/>
  <c r="U25" i="2"/>
  <c r="X25" i="2" l="1"/>
  <c r="V25" i="2"/>
  <c r="U27" i="2"/>
  <c r="X27" i="2" l="1"/>
  <c r="V27" i="2"/>
  <c r="U33" i="2" l="1"/>
  <c r="T32" i="1" l="1"/>
  <c r="X33" i="2"/>
  <c r="V33" i="2"/>
  <c r="W32" i="1" l="1"/>
  <c r="U32" i="1"/>
  <c r="U34" i="2" l="1"/>
  <c r="T33" i="1" l="1"/>
  <c r="V34" i="2"/>
  <c r="X34" i="2"/>
  <c r="AC20" i="1"/>
  <c r="U58" i="2"/>
  <c r="U53" i="2"/>
  <c r="V53" i="2" l="1"/>
  <c r="V58" i="2"/>
  <c r="AH20" i="1"/>
  <c r="AD20" i="1"/>
  <c r="AF20" i="1"/>
  <c r="W33" i="1"/>
  <c r="U33" i="1"/>
  <c r="AK20" i="1" l="1"/>
  <c r="AI20" i="1"/>
  <c r="U31" i="2" l="1"/>
  <c r="V31" i="2" l="1"/>
  <c r="X31" i="2"/>
  <c r="F26" i="1"/>
  <c r="K26" i="1" l="1"/>
  <c r="G26" i="1"/>
  <c r="I26" i="1"/>
  <c r="F32" i="1"/>
  <c r="U28" i="2"/>
  <c r="X28" i="2" l="1"/>
  <c r="U51" i="2"/>
  <c r="V51" i="2" s="1"/>
  <c r="V28" i="2"/>
  <c r="AC17" i="1"/>
  <c r="I32" i="1"/>
  <c r="G32" i="1"/>
  <c r="L26" i="1"/>
  <c r="N26" i="1"/>
  <c r="K32" i="1"/>
  <c r="AH17" i="1" l="1"/>
  <c r="N32" i="1"/>
  <c r="L32" i="1"/>
  <c r="AF17" i="1"/>
  <c r="AD17" i="1"/>
  <c r="AK17" i="1" l="1"/>
  <c r="AI17" i="1"/>
  <c r="F25" i="1" l="1"/>
  <c r="K25" i="1" l="1"/>
  <c r="G25" i="1"/>
  <c r="I25" i="1"/>
  <c r="F30" i="1"/>
  <c r="F31" i="1" l="1"/>
  <c r="I30" i="1"/>
  <c r="G30" i="1"/>
  <c r="AC15" i="1"/>
  <c r="L25" i="1"/>
  <c r="N25" i="1"/>
  <c r="K30" i="1"/>
  <c r="K31" i="1" l="1"/>
  <c r="L30" i="1"/>
  <c r="N30" i="1"/>
  <c r="AH15" i="1"/>
  <c r="AF15" i="1"/>
  <c r="AD15" i="1"/>
  <c r="AC16" i="1"/>
  <c r="I31" i="1"/>
  <c r="G31" i="1"/>
  <c r="AD16" i="1" l="1"/>
  <c r="AF16" i="1"/>
  <c r="AI15" i="1"/>
  <c r="AK15" i="1"/>
  <c r="AH16" i="1"/>
  <c r="L31" i="1"/>
  <c r="N31" i="1"/>
  <c r="AK16" i="1" l="1"/>
  <c r="AI16" i="1"/>
  <c r="U30" i="2" l="1"/>
  <c r="F27" i="1"/>
  <c r="X30" i="2" l="1"/>
  <c r="V30" i="2"/>
  <c r="K27" i="1"/>
  <c r="I27" i="1"/>
  <c r="G27" i="1"/>
  <c r="F33" i="1"/>
  <c r="U29" i="2"/>
  <c r="X29" i="2" l="1"/>
  <c r="V29" i="2"/>
  <c r="U32" i="2"/>
  <c r="AS20" i="30" s="1"/>
  <c r="AC18" i="1"/>
  <c r="G33" i="1"/>
  <c r="I33" i="1"/>
  <c r="N27" i="1"/>
  <c r="L27" i="1"/>
  <c r="K33" i="1"/>
  <c r="AS22" i="30" l="1"/>
  <c r="AS21" i="30"/>
  <c r="N33" i="1"/>
  <c r="AH18" i="1"/>
  <c r="L33" i="1"/>
  <c r="AF18" i="1"/>
  <c r="AD18" i="1"/>
  <c r="X32" i="2"/>
  <c r="V32" i="2"/>
  <c r="U52" i="2"/>
  <c r="V52" i="2" s="1"/>
  <c r="AK18" i="1" l="1"/>
  <c r="AI18" i="1"/>
  <c r="U35" i="2"/>
  <c r="AC19" i="1" l="1"/>
  <c r="X35" i="2"/>
  <c r="T34" i="1"/>
  <c r="V35" i="2"/>
  <c r="U50" i="2"/>
  <c r="U34" i="1" l="1"/>
  <c r="W34" i="1"/>
  <c r="V50" i="2"/>
  <c r="W50" i="2"/>
  <c r="F28" i="1"/>
  <c r="AH19" i="1"/>
  <c r="AD19" i="1"/>
  <c r="AF19" i="1"/>
  <c r="F38" i="1" l="1"/>
  <c r="K38" i="1" s="1"/>
  <c r="U46" i="2"/>
  <c r="AK19" i="1"/>
  <c r="AI19" i="1"/>
  <c r="K28" i="1"/>
  <c r="I28" i="1"/>
  <c r="G28" i="1"/>
  <c r="F34" i="1"/>
  <c r="F29" i="1"/>
  <c r="G29" i="1" l="1"/>
  <c r="I29" i="1"/>
  <c r="U54" i="2"/>
  <c r="F35" i="1"/>
  <c r="I34" i="1"/>
  <c r="G34" i="1"/>
  <c r="X40" i="2"/>
  <c r="V40" i="2"/>
  <c r="U62" i="2"/>
  <c r="U41" i="2"/>
  <c r="N28" i="1"/>
  <c r="L28" i="1"/>
  <c r="K34" i="1"/>
  <c r="K29" i="1"/>
  <c r="N29" i="1" l="1"/>
  <c r="L29" i="1"/>
  <c r="AC26" i="1"/>
  <c r="V41" i="2"/>
  <c r="X41" i="2"/>
  <c r="T36" i="1"/>
  <c r="U43" i="2"/>
  <c r="N34" i="1"/>
  <c r="L34" i="1"/>
  <c r="K35" i="1"/>
  <c r="V62" i="2"/>
  <c r="V63" i="2" s="1"/>
  <c r="U63" i="2"/>
  <c r="G35" i="1"/>
  <c r="F36" i="1"/>
  <c r="F39" i="1"/>
  <c r="F40" i="1"/>
  <c r="I35" i="1"/>
  <c r="U56" i="2"/>
  <c r="V56" i="2" s="1"/>
  <c r="V54" i="2"/>
  <c r="V55" i="2" s="1"/>
  <c r="U55" i="2"/>
  <c r="G36" i="1" l="1"/>
  <c r="AD24" i="1" s="1"/>
  <c r="I36" i="1"/>
  <c r="AF24" i="1" s="1"/>
  <c r="AC24" i="1"/>
  <c r="G44" i="2"/>
  <c r="U44" i="2"/>
  <c r="V43" i="2"/>
  <c r="X43" i="2"/>
  <c r="U47" i="2"/>
  <c r="N35" i="1"/>
  <c r="L35" i="1"/>
  <c r="K36" i="1"/>
  <c r="K39" i="1"/>
  <c r="K40" i="1"/>
  <c r="T35" i="1"/>
  <c r="W36" i="1"/>
  <c r="U36" i="1"/>
  <c r="AC22" i="1"/>
  <c r="AD26" i="1"/>
  <c r="AF26" i="1" s="1"/>
  <c r="AH22" i="1" l="1"/>
  <c r="AF22" i="1"/>
  <c r="AD22" i="1"/>
  <c r="AC23" i="1"/>
  <c r="W35" i="1"/>
  <c r="U35" i="1"/>
  <c r="AH24" i="1"/>
  <c r="N36" i="1"/>
  <c r="AK24" i="1" s="1"/>
  <c r="L36" i="1"/>
  <c r="AI24" i="1" s="1"/>
  <c r="AD23" i="1" l="1"/>
  <c r="AF23" i="1"/>
  <c r="AI22" i="1"/>
  <c r="AK22" i="1"/>
  <c r="AH23" i="1"/>
  <c r="AI23" i="1" l="1"/>
  <c r="AK23" i="1"/>
  <c r="K28" i="2" l="1"/>
  <c r="F8" i="1"/>
  <c r="K8" i="1" l="1"/>
  <c r="AC8" i="1"/>
  <c r="G8" i="1"/>
  <c r="I8" i="1"/>
  <c r="N28" i="2"/>
  <c r="L28" i="2"/>
  <c r="AD8" i="1" l="1"/>
  <c r="AF8" i="1"/>
  <c r="L8" i="1"/>
  <c r="N8" i="1"/>
  <c r="AH8" i="1"/>
  <c r="AI8" i="1" l="1"/>
  <c r="AK8" i="1"/>
  <c r="K17" i="2" l="1"/>
  <c r="K19" i="2"/>
  <c r="K15" i="2"/>
  <c r="K23" i="2"/>
  <c r="K20" i="2"/>
  <c r="K21" i="2"/>
  <c r="K16" i="2"/>
  <c r="K13" i="2"/>
  <c r="K22" i="2"/>
  <c r="K14" i="2"/>
  <c r="K9" i="2"/>
  <c r="K8" i="2"/>
  <c r="K18" i="2"/>
  <c r="K31" i="2"/>
  <c r="K12" i="2"/>
  <c r="K30" i="2"/>
  <c r="K11" i="2"/>
  <c r="K29" i="2"/>
  <c r="K10" i="2"/>
  <c r="K7" i="2"/>
  <c r="N21" i="2" l="1"/>
  <c r="L21" i="2"/>
  <c r="N31" i="2"/>
  <c r="L31" i="2"/>
  <c r="L13" i="2"/>
  <c r="N13" i="2"/>
  <c r="L10" i="2"/>
  <c r="N10" i="2"/>
  <c r="L11" i="2"/>
  <c r="N11" i="2"/>
  <c r="K25" i="2"/>
  <c r="L8" i="2"/>
  <c r="N8" i="2"/>
  <c r="L20" i="2"/>
  <c r="N20" i="2"/>
  <c r="L12" i="2"/>
  <c r="N12" i="2"/>
  <c r="L17" i="2"/>
  <c r="N17" i="2"/>
  <c r="K24" i="2"/>
  <c r="N7" i="2"/>
  <c r="L7" i="2"/>
  <c r="N30" i="2"/>
  <c r="L30" i="2"/>
  <c r="L14" i="2"/>
  <c r="N14" i="2"/>
  <c r="N23" i="2"/>
  <c r="L23" i="2"/>
  <c r="N22" i="2"/>
  <c r="L22" i="2"/>
  <c r="L29" i="2"/>
  <c r="K32" i="2"/>
  <c r="N29" i="2"/>
  <c r="L18" i="2"/>
  <c r="N18" i="2"/>
  <c r="L16" i="2"/>
  <c r="N16" i="2"/>
  <c r="L15" i="2"/>
  <c r="N15" i="2"/>
  <c r="L9" i="2"/>
  <c r="N9" i="2"/>
  <c r="K26" i="2"/>
  <c r="L19" i="2"/>
  <c r="N19" i="2"/>
  <c r="AS12" i="30" l="1"/>
  <c r="AS13" i="30" s="1"/>
  <c r="N25" i="2"/>
  <c r="L25" i="2"/>
  <c r="L32" i="2"/>
  <c r="N32" i="2"/>
  <c r="L24" i="2"/>
  <c r="N24" i="2"/>
  <c r="K27" i="2"/>
  <c r="L26" i="2"/>
  <c r="N26" i="2"/>
  <c r="G27" i="2" l="1"/>
  <c r="N27" i="2"/>
  <c r="L27" i="2"/>
  <c r="F9" i="1" l="1"/>
  <c r="F7" i="1"/>
  <c r="K7" i="1" l="1"/>
  <c r="AC7" i="1"/>
  <c r="A7" i="1"/>
  <c r="I7" i="1"/>
  <c r="G7" i="1"/>
  <c r="K9" i="1"/>
  <c r="AC9" i="1"/>
  <c r="G9" i="1"/>
  <c r="I9" i="1"/>
  <c r="K46" i="2"/>
  <c r="K47" i="2" s="1"/>
  <c r="AD9" i="1" l="1"/>
  <c r="AF9" i="1"/>
  <c r="L9" i="1"/>
  <c r="AH9" i="1"/>
  <c r="N9" i="1"/>
  <c r="AD7" i="1"/>
  <c r="AF7" i="1"/>
  <c r="AH7" i="1"/>
  <c r="B7" i="1"/>
  <c r="L7" i="1"/>
  <c r="N7" i="1"/>
  <c r="AI9" i="1" l="1"/>
  <c r="AK9" i="1"/>
  <c r="AI7" i="1"/>
  <c r="AK7" i="1"/>
  <c r="P28" i="27" l="1"/>
  <c r="J28" i="27"/>
  <c r="M25" i="27"/>
  <c r="J26" i="27"/>
  <c r="J27" i="27"/>
  <c r="J23" i="27"/>
  <c r="M22" i="27"/>
  <c r="J22" i="27"/>
  <c r="G22" i="27"/>
  <c r="J21" i="27"/>
  <c r="J19" i="27"/>
  <c r="P18" i="27"/>
  <c r="M16" i="27"/>
  <c r="J15" i="27"/>
  <c r="M14" i="27"/>
  <c r="J12" i="27"/>
  <c r="P13" i="27" l="1"/>
  <c r="P22" i="27"/>
  <c r="M17" i="27"/>
  <c r="P21" i="27"/>
  <c r="G25" i="27"/>
  <c r="J13" i="27"/>
  <c r="J20" i="27"/>
  <c r="M24" i="27"/>
  <c r="P27" i="27"/>
  <c r="J17" i="27"/>
  <c r="P23" i="27"/>
  <c r="M12" i="27"/>
  <c r="P14" i="27"/>
  <c r="M11" i="27"/>
  <c r="P20" i="27"/>
  <c r="G23" i="27"/>
  <c r="V17" i="27"/>
  <c r="S19" i="27"/>
  <c r="G17" i="27"/>
  <c r="M23" i="27"/>
  <c r="V14" i="27"/>
  <c r="M19" i="27"/>
  <c r="V21" i="27"/>
  <c r="P26" i="27"/>
  <c r="V18" i="27"/>
  <c r="G18" i="27"/>
  <c r="M20" i="27"/>
  <c r="P12" i="27"/>
  <c r="P24" i="27"/>
  <c r="V22" i="27"/>
  <c r="G20" i="27"/>
  <c r="S21" i="27"/>
  <c r="P15" i="27"/>
  <c r="P19" i="27"/>
  <c r="S22" i="27"/>
  <c r="S27" i="27"/>
  <c r="J16" i="27"/>
  <c r="V15" i="27"/>
  <c r="S24" i="27"/>
  <c r="P16" i="27"/>
  <c r="V13" i="27"/>
  <c r="M15" i="27"/>
  <c r="V28" i="27"/>
  <c r="V23" i="27"/>
  <c r="P17" i="27"/>
  <c r="G21" i="27"/>
  <c r="G12" i="27"/>
  <c r="M13" i="27"/>
  <c r="G15" i="27"/>
  <c r="J14" i="27"/>
  <c r="V12" i="27"/>
  <c r="S14" i="27"/>
  <c r="G14" i="27"/>
  <c r="G13" i="27"/>
  <c r="S16" i="27"/>
  <c r="V16" i="27"/>
  <c r="S15" i="27"/>
  <c r="V24" i="27"/>
  <c r="G19" i="27"/>
  <c r="J18" i="27"/>
  <c r="G16" i="27"/>
  <c r="S18" i="27"/>
  <c r="M18" i="27"/>
  <c r="M21" i="27"/>
  <c r="S23" i="27"/>
  <c r="V19" i="27"/>
  <c r="G26" i="27"/>
  <c r="S20" i="27"/>
  <c r="G27" i="27"/>
  <c r="M28" i="27"/>
  <c r="V25" i="27"/>
  <c r="J24" i="27"/>
  <c r="M27" i="27"/>
  <c r="G28" i="27"/>
  <c r="J25" i="27"/>
  <c r="M26" i="27"/>
  <c r="G24" i="27"/>
  <c r="V26" i="27"/>
  <c r="P25" i="27"/>
  <c r="S28" i="27"/>
  <c r="G10" i="27" l="1"/>
  <c r="P20" i="26"/>
  <c r="P8" i="27"/>
  <c r="J10" i="27"/>
  <c r="P26" i="26"/>
  <c r="J8" i="27"/>
  <c r="M10" i="27"/>
  <c r="P15" i="26"/>
  <c r="J11" i="27"/>
  <c r="S26" i="27"/>
  <c r="M15" i="26"/>
  <c r="S13" i="27"/>
  <c r="J9" i="27"/>
  <c r="M20" i="26"/>
  <c r="V20" i="27"/>
  <c r="V8" i="27"/>
  <c r="P11" i="27"/>
  <c r="P10" i="27"/>
  <c r="V27" i="27"/>
  <c r="M21" i="26"/>
  <c r="M23" i="26"/>
  <c r="P23" i="26"/>
  <c r="M22" i="26"/>
  <c r="P9" i="27"/>
  <c r="P22" i="26"/>
  <c r="P27" i="26"/>
  <c r="G11" i="27"/>
  <c r="P28" i="26"/>
  <c r="M28" i="26"/>
  <c r="P16" i="26"/>
  <c r="M16" i="26"/>
  <c r="G8" i="27"/>
  <c r="P13" i="26"/>
  <c r="M13" i="26"/>
  <c r="G9" i="27"/>
  <c r="M14" i="26"/>
  <c r="P14" i="26"/>
  <c r="P12" i="26"/>
  <c r="M12" i="26"/>
  <c r="S12" i="27"/>
  <c r="P25" i="26"/>
  <c r="M24" i="26"/>
  <c r="S17" i="27"/>
  <c r="V9" i="27"/>
  <c r="S25" i="27"/>
  <c r="P18" i="26"/>
  <c r="M18" i="26"/>
  <c r="M9" i="27"/>
  <c r="P17" i="26"/>
  <c r="M17" i="26"/>
  <c r="M8" i="27"/>
  <c r="V26" i="25" l="1"/>
  <c r="M27" i="26"/>
  <c r="P19" i="26"/>
  <c r="M26" i="26"/>
  <c r="V18" i="25"/>
  <c r="V12" i="25"/>
  <c r="M25" i="26"/>
  <c r="V23" i="25"/>
  <c r="M19" i="26"/>
  <c r="V16" i="25"/>
  <c r="V13" i="25"/>
  <c r="P21" i="26"/>
  <c r="V22" i="25"/>
  <c r="P24" i="26"/>
  <c r="P11" i="26"/>
  <c r="V11" i="27"/>
  <c r="S8" i="27"/>
  <c r="P10" i="26"/>
  <c r="M10" i="26"/>
  <c r="S11" i="27"/>
  <c r="P9" i="26"/>
  <c r="M9" i="26"/>
  <c r="S9" i="27"/>
  <c r="P8" i="26"/>
  <c r="M8" i="26"/>
  <c r="V25" i="25" l="1"/>
  <c r="V10" i="27"/>
  <c r="V14" i="25"/>
  <c r="V24" i="25"/>
  <c r="V8" i="25"/>
  <c r="M11" i="26"/>
  <c r="V19" i="25"/>
  <c r="V15" i="25"/>
  <c r="V28" i="25"/>
  <c r="S10" i="27"/>
  <c r="V20" i="25"/>
  <c r="V21" i="25"/>
  <c r="V10" i="25"/>
  <c r="V27" i="25"/>
  <c r="V9" i="25"/>
  <c r="V17" i="25"/>
  <c r="G16" i="25"/>
  <c r="Y16" i="25" s="1"/>
  <c r="Z16" i="25" s="1"/>
  <c r="V11" i="25"/>
  <c r="G25" i="25"/>
  <c r="J14" i="26" l="1"/>
  <c r="R14" i="26"/>
  <c r="J17" i="26"/>
  <c r="R17" i="26"/>
  <c r="R15" i="25"/>
  <c r="R12" i="26"/>
  <c r="J12" i="26"/>
  <c r="J13" i="26"/>
  <c r="R13" i="26"/>
  <c r="J24" i="26"/>
  <c r="R24" i="26"/>
  <c r="J18" i="26"/>
  <c r="R18" i="26"/>
  <c r="R16" i="26"/>
  <c r="J16" i="26"/>
  <c r="R28" i="26"/>
  <c r="J28" i="26"/>
  <c r="Y25" i="25"/>
  <c r="Z25" i="25" s="1"/>
  <c r="J25" i="26"/>
  <c r="R25" i="26"/>
  <c r="AF21" i="2"/>
  <c r="R22" i="25"/>
  <c r="AF14" i="2"/>
  <c r="AF10" i="2"/>
  <c r="G20" i="25"/>
  <c r="Y20" i="25" s="1"/>
  <c r="Z20" i="25" s="1"/>
  <c r="G12" i="25"/>
  <c r="Y12" i="25" s="1"/>
  <c r="Z12" i="25" s="1"/>
  <c r="G22" i="25"/>
  <c r="Y22" i="25" s="1"/>
  <c r="Z22" i="25" s="1"/>
  <c r="G24" i="25"/>
  <c r="Y24" i="25" s="1"/>
  <c r="Z24" i="25" s="1"/>
  <c r="AF22" i="2"/>
  <c r="G13" i="25"/>
  <c r="Y13" i="25" s="1"/>
  <c r="Z13" i="25" s="1"/>
  <c r="G28" i="25"/>
  <c r="Y28" i="25" s="1"/>
  <c r="Z28" i="25" s="1"/>
  <c r="G23" i="25"/>
  <c r="Y23" i="25" s="1"/>
  <c r="Z23" i="25" s="1"/>
  <c r="AF15" i="2"/>
  <c r="AF18" i="2"/>
  <c r="G14" i="25"/>
  <c r="Y14" i="25" s="1"/>
  <c r="Z14" i="25" s="1"/>
  <c r="G26" i="25"/>
  <c r="Y26" i="25" s="1"/>
  <c r="Z26" i="25" s="1"/>
  <c r="AF17" i="2"/>
  <c r="G21" i="25"/>
  <c r="Y21" i="25" s="1"/>
  <c r="Z21" i="25" s="1"/>
  <c r="G18" i="25"/>
  <c r="Y18" i="25" s="1"/>
  <c r="Z18" i="25" s="1"/>
  <c r="G27" i="25"/>
  <c r="Y27" i="25" s="1"/>
  <c r="Z27" i="25" s="1"/>
  <c r="G17" i="25"/>
  <c r="Y17" i="25" s="1"/>
  <c r="Z17" i="25" s="1"/>
  <c r="G15" i="25"/>
  <c r="Y15" i="25" s="1"/>
  <c r="Z15" i="25" s="1"/>
  <c r="G19" i="25"/>
  <c r="Y19" i="25" s="1"/>
  <c r="Z19" i="25" s="1"/>
  <c r="AF16" i="2"/>
  <c r="R19" i="25"/>
  <c r="J23" i="26" l="1"/>
  <c r="R23" i="26"/>
  <c r="R11" i="26"/>
  <c r="J11" i="26"/>
  <c r="R26" i="25"/>
  <c r="S16" i="26"/>
  <c r="U16" i="26"/>
  <c r="V16" i="26" s="1"/>
  <c r="S18" i="26"/>
  <c r="U18" i="26"/>
  <c r="V18" i="26" s="1"/>
  <c r="S17" i="26"/>
  <c r="U17" i="26"/>
  <c r="V17" i="26" s="1"/>
  <c r="R21" i="25"/>
  <c r="S24" i="26"/>
  <c r="U24" i="26"/>
  <c r="V24" i="26" s="1"/>
  <c r="U14" i="26"/>
  <c r="V14" i="26" s="1"/>
  <c r="S14" i="26"/>
  <c r="J8" i="26"/>
  <c r="R8" i="26"/>
  <c r="R20" i="25"/>
  <c r="R26" i="26"/>
  <c r="J26" i="26"/>
  <c r="J20" i="26"/>
  <c r="R20" i="26"/>
  <c r="S25" i="26"/>
  <c r="U25" i="26"/>
  <c r="V25" i="26" s="1"/>
  <c r="J10" i="26"/>
  <c r="R10" i="26"/>
  <c r="S13" i="26"/>
  <c r="U13" i="26"/>
  <c r="V13" i="26" s="1"/>
  <c r="R19" i="26"/>
  <c r="J19" i="26"/>
  <c r="J22" i="26"/>
  <c r="R22" i="26"/>
  <c r="J15" i="26"/>
  <c r="R15" i="26"/>
  <c r="J9" i="26"/>
  <c r="R9" i="26"/>
  <c r="R21" i="26"/>
  <c r="J21" i="26"/>
  <c r="U28" i="26"/>
  <c r="V28" i="26" s="1"/>
  <c r="S28" i="26"/>
  <c r="J27" i="26"/>
  <c r="R27" i="26"/>
  <c r="U12" i="26"/>
  <c r="V12" i="26" s="1"/>
  <c r="S12" i="26"/>
  <c r="AF19" i="2"/>
  <c r="AF9" i="2"/>
  <c r="AF13" i="2"/>
  <c r="AF7" i="2"/>
  <c r="AF12" i="2"/>
  <c r="AF8" i="2"/>
  <c r="AF11" i="2"/>
  <c r="G8" i="25"/>
  <c r="Y8" i="25" s="1"/>
  <c r="Z8" i="25" s="1"/>
  <c r="G10" i="25"/>
  <c r="Y10" i="25" s="1"/>
  <c r="Z10" i="25" s="1"/>
  <c r="AF23" i="2"/>
  <c r="AF20" i="2"/>
  <c r="G9" i="25" l="1"/>
  <c r="Y9" i="25" s="1"/>
  <c r="Z9" i="25" s="1"/>
  <c r="R25" i="25"/>
  <c r="R28" i="25"/>
  <c r="R16" i="25"/>
  <c r="S9" i="26"/>
  <c r="U9" i="26"/>
  <c r="V9" i="26" s="1"/>
  <c r="S20" i="26"/>
  <c r="U20" i="26"/>
  <c r="V20" i="26" s="1"/>
  <c r="R14" i="25"/>
  <c r="R12" i="25"/>
  <c r="U15" i="26"/>
  <c r="V15" i="26" s="1"/>
  <c r="S15" i="26"/>
  <c r="U26" i="26"/>
  <c r="V26" i="26" s="1"/>
  <c r="S26" i="26"/>
  <c r="U11" i="26"/>
  <c r="V11" i="26" s="1"/>
  <c r="S11" i="26"/>
  <c r="R17" i="25"/>
  <c r="U22" i="26"/>
  <c r="V22" i="26" s="1"/>
  <c r="S22" i="26"/>
  <c r="U23" i="26"/>
  <c r="V23" i="26" s="1"/>
  <c r="S23" i="26"/>
  <c r="R13" i="25"/>
  <c r="R23" i="25"/>
  <c r="S8" i="26"/>
  <c r="U8" i="26"/>
  <c r="V8" i="26" s="1"/>
  <c r="R27" i="25"/>
  <c r="S10" i="26"/>
  <c r="U10" i="26"/>
  <c r="V10" i="26" s="1"/>
  <c r="R18" i="25"/>
  <c r="U21" i="26"/>
  <c r="V21" i="26" s="1"/>
  <c r="S21" i="26"/>
  <c r="U19" i="26"/>
  <c r="V19" i="26" s="1"/>
  <c r="S19" i="26"/>
  <c r="G11" i="25"/>
  <c r="Y11" i="25" s="1"/>
  <c r="Z11" i="25" s="1"/>
  <c r="U27" i="26"/>
  <c r="V27" i="26" s="1"/>
  <c r="S27" i="26"/>
  <c r="R24" i="25"/>
  <c r="AF24" i="2"/>
  <c r="R10" i="25"/>
  <c r="AF26" i="2"/>
  <c r="AF27" i="2"/>
  <c r="R8" i="25"/>
  <c r="R9" i="25"/>
  <c r="R11" i="25"/>
  <c r="AF25" i="2"/>
  <c r="W17" i="1" l="1"/>
  <c r="U17" i="1"/>
  <c r="W18" i="1"/>
  <c r="U18" i="1"/>
  <c r="W19" i="1"/>
  <c r="U19" i="1"/>
  <c r="W20" i="1"/>
  <c r="U20" i="1"/>
  <c r="J18" i="30" l="1"/>
  <c r="G18" i="30"/>
  <c r="M18" i="30"/>
  <c r="J19" i="30"/>
  <c r="L19" i="30" s="1"/>
  <c r="M19" i="30"/>
  <c r="O19" i="30" s="1"/>
  <c r="G19" i="30"/>
  <c r="P19" i="30" l="1"/>
  <c r="I19" i="30"/>
  <c r="O18" i="30"/>
  <c r="M20" i="30"/>
  <c r="O20" i="30" s="1"/>
  <c r="G20" i="30"/>
  <c r="I20" i="30" s="1"/>
  <c r="I18" i="30"/>
  <c r="P18" i="30"/>
  <c r="J20" i="30"/>
  <c r="L20" i="30" s="1"/>
  <c r="L18" i="30"/>
  <c r="P20" i="30" l="1"/>
  <c r="R20" i="30" s="1"/>
  <c r="R18" i="30"/>
  <c r="R19" i="30"/>
  <c r="AH10" i="30" l="1"/>
  <c r="AE10" i="30"/>
  <c r="AK10" i="30" l="1"/>
  <c r="AG10" i="30"/>
  <c r="AJ10" i="30"/>
  <c r="AM10" i="30" l="1"/>
  <c r="AN10" i="30"/>
  <c r="AP10" i="30" l="1"/>
  <c r="AH15" i="30" l="1"/>
  <c r="AH16" i="30" l="1"/>
  <c r="AJ16" i="30" s="1"/>
  <c r="AJ15" i="30"/>
  <c r="AE8" i="30" l="1"/>
  <c r="AE12" i="30" l="1"/>
  <c r="AG8" i="30"/>
  <c r="AE13" i="30"/>
  <c r="AG13" i="30" l="1"/>
  <c r="AE14" i="30"/>
  <c r="AG14" i="30" s="1"/>
  <c r="AE42" i="30"/>
  <c r="AE9" i="30"/>
  <c r="AG9" i="30" s="1"/>
  <c r="AG12" i="30"/>
  <c r="AE11" i="30"/>
  <c r="AG11" i="30" s="1"/>
  <c r="AH13" i="30" l="1"/>
  <c r="AH42" i="30" l="1"/>
  <c r="AH17" i="30"/>
  <c r="AJ17" i="30" s="1"/>
  <c r="AJ13" i="30"/>
  <c r="AK13" i="30"/>
  <c r="AM13" i="30" l="1"/>
  <c r="AN13" i="30"/>
  <c r="AK42" i="30"/>
  <c r="AP13" i="30" l="1"/>
  <c r="AN42" i="30"/>
  <c r="AE15" i="30" l="1"/>
  <c r="AK15" i="30" l="1"/>
  <c r="AE16" i="30"/>
  <c r="AG16" i="30" s="1"/>
  <c r="AG15" i="30"/>
  <c r="AE17" i="30"/>
  <c r="AG17" i="30" s="1"/>
  <c r="AM15" i="30" l="1"/>
  <c r="AK16" i="30"/>
  <c r="AM16" i="30" s="1"/>
  <c r="AN15" i="30"/>
  <c r="AK17" i="30"/>
  <c r="AM17" i="30" s="1"/>
  <c r="AN16" i="30" l="1"/>
  <c r="AP16" i="30" s="1"/>
  <c r="AP15" i="30"/>
  <c r="AN17" i="30"/>
  <c r="AP17" i="30" l="1"/>
  <c r="AR18" i="30"/>
  <c r="AH8" i="30" l="1"/>
  <c r="AH12" i="30" l="1"/>
  <c r="AH9" i="30"/>
  <c r="AJ9" i="30" s="1"/>
  <c r="AJ8" i="30"/>
  <c r="AK8" i="30"/>
  <c r="AH14" i="30"/>
  <c r="AJ14" i="30" s="1"/>
  <c r="AM8" i="30" l="1"/>
  <c r="AK12" i="30"/>
  <c r="AK9" i="30" s="1"/>
  <c r="AM9" i="30" s="1"/>
  <c r="AN8" i="30"/>
  <c r="AK14" i="30"/>
  <c r="AM14" i="30" s="1"/>
  <c r="AJ12" i="30"/>
  <c r="AH11" i="30"/>
  <c r="AJ11" i="30" s="1"/>
  <c r="AN12" i="30" l="1"/>
  <c r="AP8" i="30"/>
  <c r="AN14" i="30"/>
  <c r="AP14" i="30" s="1"/>
  <c r="AM12" i="30"/>
  <c r="AK11" i="30"/>
  <c r="AM11" i="30" s="1"/>
  <c r="AN9" i="30" l="1"/>
  <c r="AP9" i="30" s="1"/>
  <c r="AP12" i="30"/>
  <c r="AR13" i="30"/>
  <c r="AN11" i="30"/>
  <c r="AP11" i="30" s="1"/>
  <c r="AK18" i="30" l="1"/>
  <c r="AG18" i="30"/>
  <c r="AE20" i="30"/>
  <c r="AG20" i="30" s="1"/>
  <c r="AM18" i="30" l="1"/>
  <c r="AN18" i="30"/>
  <c r="AP18" i="30" l="1"/>
  <c r="AH20" i="30" l="1"/>
  <c r="AJ20" i="30" s="1"/>
  <c r="AK19" i="30"/>
  <c r="AJ19" i="30"/>
  <c r="AM19" i="30" l="1"/>
  <c r="AN19" i="30"/>
  <c r="AK20" i="30"/>
  <c r="AM20" i="30" s="1"/>
  <c r="AP19" i="30" l="1"/>
  <c r="AN20" i="30"/>
  <c r="AP20" i="30" l="1"/>
  <c r="AR22" i="30"/>
  <c r="AR21" i="30"/>
  <c r="P32" i="30" l="1"/>
  <c r="R32" i="30" s="1"/>
  <c r="P29" i="30"/>
  <c r="R29" i="30" s="1"/>
  <c r="P28" i="30"/>
  <c r="R28" i="30" s="1"/>
  <c r="P31" i="30"/>
  <c r="R31" i="30" s="1"/>
  <c r="P27" i="30"/>
  <c r="R27" i="30" s="1"/>
  <c r="P30" i="30"/>
  <c r="R30" i="30" s="1"/>
</calcChain>
</file>

<file path=xl/sharedStrings.xml><?xml version="1.0" encoding="utf-8"?>
<sst xmlns="http://schemas.openxmlformats.org/spreadsheetml/2006/main" count="603" uniqueCount="234">
  <si>
    <t>물량</t>
    <phoneticPr fontId="1" type="noConversion"/>
  </si>
  <si>
    <t>골재</t>
    <phoneticPr fontId="1" type="noConversion"/>
  </si>
  <si>
    <t>매출</t>
    <phoneticPr fontId="1" type="noConversion"/>
  </si>
  <si>
    <t>건자재</t>
    <phoneticPr fontId="1" type="noConversion"/>
  </si>
  <si>
    <t>기타</t>
    <phoneticPr fontId="1" type="noConversion"/>
  </si>
  <si>
    <t>매출원가</t>
    <phoneticPr fontId="1" type="noConversion"/>
  </si>
  <si>
    <t>판관비</t>
    <phoneticPr fontId="1" type="noConversion"/>
  </si>
  <si>
    <t>영업이익</t>
    <phoneticPr fontId="1" type="noConversion"/>
  </si>
  <si>
    <t>계</t>
    <phoneticPr fontId="1" type="noConversion"/>
  </si>
  <si>
    <t>%</t>
  </si>
  <si>
    <t>%</t>
    <phoneticPr fontId="1" type="noConversion"/>
  </si>
  <si>
    <t>구분</t>
    <phoneticPr fontId="1" type="noConversion"/>
  </si>
  <si>
    <t>계획</t>
  </si>
  <si>
    <t>실적</t>
  </si>
  <si>
    <t>전년</t>
  </si>
  <si>
    <t>매출이익</t>
    <phoneticPr fontId="1" type="noConversion"/>
  </si>
  <si>
    <t>수도권</t>
  </si>
  <si>
    <t>영남권</t>
  </si>
  <si>
    <t>안양</t>
  </si>
  <si>
    <t>인천</t>
  </si>
  <si>
    <t>파주</t>
  </si>
  <si>
    <t>부산</t>
  </si>
  <si>
    <t>서부산</t>
  </si>
  <si>
    <t>김해</t>
  </si>
  <si>
    <t>정관</t>
  </si>
  <si>
    <t>양산</t>
  </si>
  <si>
    <t>창원</t>
  </si>
  <si>
    <t>아산</t>
  </si>
  <si>
    <t>차이</t>
  </si>
  <si>
    <t>공통비</t>
    <phoneticPr fontId="1" type="noConversion"/>
  </si>
  <si>
    <t>기타 계</t>
  </si>
  <si>
    <t>임대 계</t>
    <phoneticPr fontId="1" type="noConversion"/>
  </si>
  <si>
    <t>합계</t>
    <phoneticPr fontId="1" type="noConversion"/>
  </si>
  <si>
    <t>골재 계</t>
    <phoneticPr fontId="1" type="noConversion"/>
  </si>
  <si>
    <t>변동비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</si>
  <si>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</si>
  <si>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</si>
  <si>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</si>
  <si>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차이</t>
    <phoneticPr fontId="1" type="noConversion"/>
  </si>
  <si>
    <t>전년</t>
    <phoneticPr fontId="1" type="noConversion"/>
  </si>
  <si>
    <t>레미콘</t>
    <phoneticPr fontId="1" type="noConversion"/>
  </si>
  <si>
    <t>직영</t>
    <phoneticPr fontId="1" type="noConversion"/>
  </si>
  <si>
    <t>수도권</t>
    <phoneticPr fontId="1" type="noConversion"/>
  </si>
  <si>
    <t>영남권</t>
    <phoneticPr fontId="1" type="noConversion"/>
  </si>
  <si>
    <t>임대</t>
    <phoneticPr fontId="1" type="noConversion"/>
  </si>
  <si>
    <t>골재</t>
    <phoneticPr fontId="1" type="noConversion"/>
  </si>
  <si>
    <t>부산골재</t>
    <phoneticPr fontId="1" type="noConversion"/>
  </si>
  <si>
    <t>서부산골재</t>
    <phoneticPr fontId="1" type="noConversion"/>
  </si>
  <si>
    <t>건자재</t>
    <phoneticPr fontId="1" type="noConversion"/>
  </si>
  <si>
    <t>기타</t>
    <phoneticPr fontId="1" type="noConversion"/>
  </si>
  <si>
    <t>공통비</t>
    <phoneticPr fontId="1" type="noConversion"/>
  </si>
  <si>
    <t>물량</t>
    <phoneticPr fontId="1" type="noConversion"/>
  </si>
  <si>
    <t>매출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</si>
  <si>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</si>
  <si>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</si>
  <si>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</si>
  <si>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계획대비</t>
    <phoneticPr fontId="1" type="noConversion"/>
  </si>
  <si>
    <t>전년대비</t>
    <phoneticPr fontId="1" type="noConversion"/>
  </si>
  <si>
    <t>계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</si>
  <si>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</si>
  <si>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</si>
  <si>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</si>
  <si>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</si>
  <si>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</si>
  <si>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계획대비</t>
    <phoneticPr fontId="1" type="noConversion"/>
  </si>
  <si>
    <t>전년</t>
    <phoneticPr fontId="1" type="noConversion"/>
  </si>
  <si>
    <t>전년대비</t>
    <phoneticPr fontId="1" type="noConversion"/>
  </si>
  <si>
    <t>실적</t>
    <phoneticPr fontId="1" type="noConversion"/>
  </si>
  <si>
    <t>건자재</t>
    <phoneticPr fontId="1" type="noConversion"/>
  </si>
  <si>
    <t>철강재</t>
    <phoneticPr fontId="1" type="noConversion"/>
  </si>
  <si>
    <t>대구</t>
    <phoneticPr fontId="1" type="noConversion"/>
  </si>
  <si>
    <t>울산</t>
    <phoneticPr fontId="1" type="noConversion"/>
  </si>
  <si>
    <t>전주</t>
    <phoneticPr fontId="1" type="noConversion"/>
  </si>
  <si>
    <t>군산</t>
    <phoneticPr fontId="1" type="noConversion"/>
  </si>
  <si>
    <t>원주</t>
    <phoneticPr fontId="1" type="noConversion"/>
  </si>
  <si>
    <t>제주</t>
    <phoneticPr fontId="1" type="noConversion"/>
  </si>
  <si>
    <t>아산</t>
    <phoneticPr fontId="1" type="noConversion"/>
  </si>
  <si>
    <t>[단위 : 천㎥, 톤, 백만원]</t>
  </si>
  <si>
    <t>대구</t>
    <phoneticPr fontId="1" type="noConversion"/>
  </si>
  <si>
    <t>울산</t>
    <phoneticPr fontId="1" type="noConversion"/>
  </si>
  <si>
    <t>레미콘임대</t>
    <phoneticPr fontId="1" type="noConversion"/>
  </si>
  <si>
    <t>레미콘임대 계</t>
    <phoneticPr fontId="1" type="noConversion"/>
  </si>
  <si>
    <t>확인</t>
    <phoneticPr fontId="1" type="noConversion"/>
  </si>
  <si>
    <t xml:space="preserve"> </t>
    <phoneticPr fontId="1" type="noConversion"/>
  </si>
  <si>
    <t>□ 레미콘</t>
    <phoneticPr fontId="1" type="noConversion"/>
  </si>
  <si>
    <t>□ 건자재</t>
    <phoneticPr fontId="1" type="noConversion"/>
  </si>
  <si>
    <t>철강재 판매단가</t>
    <phoneticPr fontId="1" type="noConversion"/>
  </si>
  <si>
    <t>철강재 마진률</t>
    <phoneticPr fontId="1" type="noConversion"/>
  </si>
  <si>
    <t>□ 골재</t>
    <phoneticPr fontId="1" type="noConversion"/>
  </si>
  <si>
    <t>판매량</t>
    <phoneticPr fontId="1" type="noConversion"/>
  </si>
  <si>
    <t>자가</t>
    <phoneticPr fontId="1" type="noConversion"/>
  </si>
  <si>
    <t>외판</t>
    <phoneticPr fontId="1" type="noConversion"/>
  </si>
  <si>
    <t>계획대비</t>
  </si>
  <si>
    <t>전년대비</t>
  </si>
  <si>
    <t>레미콘 계</t>
    <phoneticPr fontId="1" type="noConversion"/>
  </si>
  <si>
    <t>OPC 소급분</t>
    <phoneticPr fontId="1" type="noConversion"/>
  </si>
  <si>
    <t>대손</t>
    <phoneticPr fontId="1" type="noConversion"/>
  </si>
  <si>
    <t>기타 계</t>
    <phoneticPr fontId="1" type="noConversion"/>
  </si>
  <si>
    <t>영업이익(공통비 배부전)</t>
    <phoneticPr fontId="1" type="noConversion"/>
  </si>
  <si>
    <t>건재사업본부</t>
    <phoneticPr fontId="1" type="noConversion"/>
  </si>
  <si>
    <t>합 계</t>
    <phoneticPr fontId="1" type="noConversion"/>
  </si>
  <si>
    <t>[단위 : 천㎥, 톤, 원/㎥, 원/톤, 백만원]</t>
    <phoneticPr fontId="1" type="noConversion"/>
  </si>
  <si>
    <t>합계</t>
    <phoneticPr fontId="1" type="noConversion"/>
  </si>
  <si>
    <t>기타</t>
    <phoneticPr fontId="1" type="noConversion"/>
  </si>
  <si>
    <t>레미콘임대</t>
    <phoneticPr fontId="1" type="noConversion"/>
  </si>
  <si>
    <t>중부권</t>
  </si>
  <si>
    <t>중부권</t>
    <phoneticPr fontId="1" type="noConversion"/>
  </si>
  <si>
    <t>중부권</t>
    <phoneticPr fontId="1" type="noConversion"/>
  </si>
  <si>
    <t>김포</t>
    <phoneticPr fontId="1" type="noConversion"/>
  </si>
  <si>
    <t xml:space="preserve"> ■ 비고</t>
  </si>
  <si>
    <t>김포</t>
  </si>
  <si>
    <t>부산크라샤</t>
    <phoneticPr fontId="1" type="noConversion"/>
  </si>
  <si>
    <t>미운영 공장</t>
    <phoneticPr fontId="1" type="noConversion"/>
  </si>
  <si>
    <t>□ 기타내역(영업이익)</t>
    <phoneticPr fontId="1" type="noConversion"/>
  </si>
  <si>
    <t>건자재</t>
    <phoneticPr fontId="1" type="noConversion"/>
  </si>
  <si>
    <t>부산모래장</t>
    <phoneticPr fontId="1" type="noConversion"/>
  </si>
  <si>
    <t>서부산크라샤</t>
    <phoneticPr fontId="1" type="noConversion"/>
  </si>
  <si>
    <t>강릉임대</t>
    <phoneticPr fontId="1" type="noConversion"/>
  </si>
  <si>
    <t>속초임대</t>
    <phoneticPr fontId="1" type="noConversion"/>
  </si>
  <si>
    <t>포항임대</t>
    <phoneticPr fontId="1" type="noConversion"/>
  </si>
  <si>
    <t>부동산임대</t>
  </si>
  <si>
    <t>주유소임대</t>
  </si>
  <si>
    <t>공    통    비</t>
  </si>
  <si>
    <t>건자재영업</t>
    <phoneticPr fontId="1" type="noConversion"/>
  </si>
  <si>
    <t>구분</t>
    <phoneticPr fontId="1" type="noConversion"/>
  </si>
  <si>
    <t>물량</t>
    <phoneticPr fontId="1" type="noConversion"/>
  </si>
  <si>
    <t>매출액</t>
    <phoneticPr fontId="1" type="noConversion"/>
  </si>
  <si>
    <t>영업이익</t>
    <phoneticPr fontId="1" type="noConversion"/>
  </si>
  <si>
    <t>계</t>
    <phoneticPr fontId="1" type="noConversion"/>
  </si>
  <si>
    <t>(단위 : 천㎥, 천톤, 억원)</t>
    <phoneticPr fontId="1" type="noConversion"/>
  </si>
  <si>
    <t>서부산CR</t>
    <phoneticPr fontId="1" type="noConversion"/>
  </si>
  <si>
    <t>부산CR</t>
    <phoneticPr fontId="1" type="noConversion"/>
  </si>
  <si>
    <t>공통비</t>
    <phoneticPr fontId="1" type="noConversion"/>
  </si>
  <si>
    <t>2024년 11월 마감 손익</t>
    <phoneticPr fontId="1" type="noConversion"/>
  </si>
  <si>
    <t>2025년 1월 마감 손익</t>
    <phoneticPr fontId="1" type="noConversion"/>
  </si>
  <si>
    <t>□ 건재부문 실적(1월)</t>
  </si>
  <si>
    <t>1월</t>
  </si>
  <si>
    <t>1월 누계</t>
  </si>
  <si>
    <t>1월 주요지표</t>
  </si>
  <si>
    <t>□ 사업장별 손익실적(2025-01)</t>
    <phoneticPr fontId="1" type="noConversion"/>
  </si>
  <si>
    <t>2024년 1월 마감 손익</t>
  </si>
  <si>
    <t xml:space="preserve">  - OPC 소급분 : 삼표 2.5억(총 9.9억 中 1회차) → 8~1월 총 4회 소급예정</t>
  </si>
  <si>
    <t>□ 건재사업본부 손익실적(2025-01)</t>
    <phoneticPr fontId="1" type="noConversion"/>
  </si>
  <si>
    <t>제주</t>
  </si>
  <si>
    <t>원주</t>
  </si>
  <si>
    <t>군산</t>
  </si>
  <si>
    <t>전주</t>
  </si>
  <si>
    <t>울산</t>
  </si>
  <si>
    <t>대구</t>
  </si>
  <si>
    <t>기타권</t>
    <phoneticPr fontId="1" type="noConversion"/>
  </si>
  <si>
    <t>손익</t>
    <phoneticPr fontId="1" type="noConversion"/>
  </si>
  <si>
    <t>판관비 등 차이</t>
    <phoneticPr fontId="1" type="noConversion"/>
  </si>
  <si>
    <t>제조원가 차이</t>
    <phoneticPr fontId="1" type="noConversion"/>
  </si>
  <si>
    <t>판매단가 차이</t>
    <phoneticPr fontId="1" type="noConversion"/>
  </si>
  <si>
    <t>물량 차이</t>
    <phoneticPr fontId="1" type="noConversion"/>
  </si>
  <si>
    <t>영업이익(공통비 미배부)</t>
    <phoneticPr fontId="1" type="noConversion"/>
  </si>
  <si>
    <t>2024년 12월 마감 손익</t>
  </si>
  <si>
    <t>[단위 : 백만원, 천㎥]</t>
    <phoneticPr fontId="1" type="noConversion"/>
  </si>
  <si>
    <t>평균</t>
    <phoneticPr fontId="1" type="noConversion"/>
  </si>
  <si>
    <t>변동비 계</t>
    <phoneticPr fontId="1" type="noConversion"/>
  </si>
  <si>
    <t>유류비</t>
    <phoneticPr fontId="1" type="noConversion"/>
  </si>
  <si>
    <t>운반비</t>
    <phoneticPr fontId="1" type="noConversion"/>
  </si>
  <si>
    <t>재료비</t>
    <phoneticPr fontId="1" type="noConversion"/>
  </si>
  <si>
    <t>[단위 : 원/㎥]</t>
    <phoneticPr fontId="1" type="noConversion"/>
  </si>
  <si>
    <t>모래 (원/톤)</t>
  </si>
  <si>
    <t>자갈 (원/톤)</t>
  </si>
  <si>
    <t>FA (원/톤)</t>
  </si>
  <si>
    <t>SP (원/톤)</t>
  </si>
  <si>
    <t>SC (원/톤)</t>
    <phoneticPr fontId="1" type="noConversion"/>
  </si>
  <si>
    <t>OPC (원/톤)</t>
    <phoneticPr fontId="1" type="noConversion"/>
  </si>
  <si>
    <t>혼화제</t>
    <phoneticPr fontId="1" type="noConversion"/>
  </si>
  <si>
    <t>모래</t>
    <phoneticPr fontId="1" type="noConversion"/>
  </si>
  <si>
    <t>자갈</t>
    <phoneticPr fontId="1" type="noConversion"/>
  </si>
  <si>
    <t>분체류 치환률</t>
    <phoneticPr fontId="1" type="noConversion"/>
  </si>
  <si>
    <t>분체류</t>
    <phoneticPr fontId="1" type="noConversion"/>
  </si>
  <si>
    <t>OPC</t>
    <phoneticPr fontId="1" type="noConversion"/>
  </si>
  <si>
    <t>[단위 : kg/㎥]</t>
    <phoneticPr fontId="1" type="noConversion"/>
  </si>
  <si>
    <t>[단위 : 톤, 천원]</t>
    <phoneticPr fontId="1" type="noConversion"/>
  </si>
  <si>
    <t>철강재</t>
  </si>
  <si>
    <t>기타</t>
  </si>
  <si>
    <t>(소계)</t>
    <phoneticPr fontId="1" type="noConversion"/>
  </si>
  <si>
    <t>(소계)</t>
  </si>
  <si>
    <t>판관비</t>
  </si>
  <si>
    <t>노무비</t>
  </si>
  <si>
    <t>경비</t>
  </si>
  <si>
    <t>철강재 단가
및
마진률</t>
    <phoneticPr fontId="1" type="noConversion"/>
  </si>
  <si>
    <t>* 공통비</t>
    <phoneticPr fontId="1" type="noConversion"/>
  </si>
  <si>
    <t>1월</t>
    <phoneticPr fontId="1" type="noConversion"/>
  </si>
  <si>
    <t>2월</t>
  </si>
  <si>
    <t>3월</t>
    <phoneticPr fontId="1" type="noConversion"/>
  </si>
  <si>
    <t>4월</t>
    <phoneticPr fontId="1" type="noConversion"/>
  </si>
  <si>
    <t>5월</t>
  </si>
  <si>
    <t>6월</t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</si>
  <si>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</si>
  <si>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</si>
  <si>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</si>
  <si>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</si>
  <si>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</si>
  <si>
    <t>12월</t>
    <phoneticPr fontId="1" type="noConversion"/>
  </si>
  <si>
    <t>2월</t>
    <phoneticPr fontId="1" type="noConversion"/>
  </si>
  <si>
    <t>3월</t>
  </si>
  <si>
    <t>4월</t>
  </si>
  <si>
    <t>8월</t>
  </si>
  <si>
    <t>11월</t>
    <phoneticPr fontId="1" type="noConversion"/>
  </si>
  <si>
    <t>구분</t>
  </si>
  <si>
    <t>판매단가</t>
  </si>
  <si>
    <t>마진률</t>
  </si>
  <si>
    <t>1월누계</t>
    <phoneticPr fontId="1" type="noConversion"/>
  </si>
  <si>
    <t>[단위 : ㎥, 천원]</t>
    <phoneticPr fontId="1" type="noConversion"/>
  </si>
  <si>
    <t>서부산 쇄석</t>
    <phoneticPr fontId="1" type="noConversion"/>
  </si>
  <si>
    <t>혼합석(25mm)</t>
    <phoneticPr fontId="1" type="noConversion"/>
  </si>
  <si>
    <t>서부산 소계</t>
    <phoneticPr fontId="1" type="noConversion"/>
  </si>
  <si>
    <t>부산크라샤 쇄석</t>
    <phoneticPr fontId="1" type="noConversion"/>
  </si>
  <si>
    <t>부산크라샤 소계</t>
    <phoneticPr fontId="1" type="noConversion"/>
  </si>
  <si>
    <t>골재사업소 계</t>
    <phoneticPr fontId="1" type="noConversion"/>
  </si>
  <si>
    <t>자가이송</t>
    <phoneticPr fontId="1" type="noConversion"/>
  </si>
  <si>
    <t>외부판매</t>
    <phoneticPr fontId="1" type="noConversion"/>
  </si>
  <si>
    <t>단가</t>
    <phoneticPr fontId="1" type="noConversion"/>
  </si>
  <si>
    <t>자가이송</t>
  </si>
  <si>
    <t>외부판매</t>
  </si>
  <si>
    <t>□ 건자재 손익실적(2025-01)</t>
    <phoneticPr fontId="1" type="noConversion"/>
  </si>
  <si>
    <t>서부산 쇄사(습식)</t>
    <phoneticPr fontId="1" type="noConversion"/>
  </si>
  <si>
    <t>부산크라샤 쇄사(습식)</t>
    <phoneticPr fontId="1" type="noConversion"/>
  </si>
  <si>
    <t>40혼합석</t>
    <phoneticPr fontId="1" type="noConversion"/>
  </si>
  <si>
    <t>부산 하천사</t>
    <phoneticPr fontId="1" type="noConversion"/>
  </si>
  <si>
    <t>부산 세척사</t>
    <phoneticPr fontId="1" type="noConversion"/>
  </si>
  <si>
    <t>부산모래장 소계</t>
    <phoneticPr fontId="1" type="noConversion"/>
  </si>
  <si>
    <t xml:space="preserve">부산 세척사 - 창원공장 </t>
    <phoneticPr fontId="1" type="noConversion"/>
  </si>
  <si>
    <t>□ 레미콘 영업이익 차이분석(2025-01)</t>
    <phoneticPr fontId="1" type="noConversion"/>
  </si>
  <si>
    <t>□ 레미콘 단위당 공헌이익(2025-01)</t>
    <phoneticPr fontId="1" type="noConversion"/>
  </si>
  <si>
    <t>□ 레미콘 원재료단가(2025-01)</t>
    <phoneticPr fontId="1" type="noConversion"/>
  </si>
  <si>
    <t>□ 레미콘 원재료 원단위(2025-01)</t>
    <phoneticPr fontId="1" type="noConversion"/>
  </si>
  <si>
    <t>□ 골재사업소 손익(2025-01)</t>
    <phoneticPr fontId="1" type="noConversion"/>
  </si>
  <si>
    <t>퇴직금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</si>
</sst>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#,##0_ "/>
    <numFmt numFmtId="177" formatCode="0.0%"/>
    <numFmt numFmtId="178" formatCode="#,##0_);[Red]\(#,##0\)"/>
    <numFmt numFmtId="179" formatCode="#,##0.0_);[Red]\(#,##0.0\)"/>
    <numFmt numFmtId="180" formatCode="0_ "/>
    <numFmt numFmtId="181" formatCode="_-* #,##0.0_-;\-* #,##0.0_-;_-* &quot;-&quot;_-;_-@_-"/>
    <numFmt numFmtId="182" formatCode="#,##0.000_);[Red]\(#,##0.000\)"/>
    <numFmt numFmtId="183" formatCode="#,##0.00_);[Red]\(#,##0.00\)"/>
  </numFmts>
  <fonts count="2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theme="1" tint="0.499984740745262"/>
        <bgColor indexed="64"/>
      </patternFill>
    </fill>
  </fills>
  <borders count="14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thick">
        <color auto="1"/>
      </left>
      <right/>
      <top style="hair">
        <color auto="1"/>
      </top>
      <bottom/>
      <diagonal/>
    </border>
    <border>
      <left/>
      <right style="thick">
        <color auto="1"/>
      </right>
      <top style="hair">
        <color auto="1"/>
      </top>
      <bottom/>
      <diagonal/>
    </border>
    <border>
      <left style="thick">
        <color auto="1"/>
      </left>
      <right/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thick">
        <color auto="1"/>
      </right>
      <top style="thick">
        <color auto="1"/>
      </top>
      <bottom/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0" fontId="11" fillId="0" borderId="0"/>
  </cellStyleXfs>
  <cellXfs count="860">
    <xf numFmtId="0" fontId="0" fillId="0" borderId="0" xfId="0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178" fontId="6" fillId="0" borderId="24" xfId="1" applyNumberFormat="1" applyFont="1" applyFill="1" applyBorder="1" applyAlignment="1">
      <alignment vertical="center"/>
    </xf>
    <xf numFmtId="178" fontId="6" fillId="2" borderId="25" xfId="1" applyNumberFormat="1" applyFont="1" applyFill="1" applyBorder="1" applyAlignment="1">
      <alignment vertical="center"/>
    </xf>
    <xf numFmtId="178" fontId="6" fillId="0" borderId="49" xfId="1" applyNumberFormat="1" applyFont="1" applyFill="1" applyBorder="1">
      <alignment vertical="center"/>
    </xf>
    <xf numFmtId="178" fontId="6" fillId="0" borderId="25" xfId="1" applyNumberFormat="1" applyFont="1" applyFill="1" applyBorder="1">
      <alignment vertical="center"/>
    </xf>
    <xf numFmtId="178" fontId="6" fillId="0" borderId="26" xfId="1" applyNumberFormat="1" applyFont="1" applyFill="1" applyBorder="1">
      <alignment vertical="center"/>
    </xf>
    <xf numFmtId="178" fontId="6" fillId="0" borderId="51" xfId="1" applyNumberFormat="1" applyFont="1" applyFill="1" applyBorder="1" applyAlignment="1">
      <alignment vertical="center"/>
    </xf>
    <xf numFmtId="178" fontId="6" fillId="0" borderId="49" xfId="1" applyNumberFormat="1" applyFont="1" applyFill="1" applyBorder="1" applyAlignment="1">
      <alignment vertical="center"/>
    </xf>
    <xf numFmtId="178" fontId="6" fillId="0" borderId="26" xfId="1" applyNumberFormat="1" applyFont="1" applyFill="1" applyBorder="1" applyAlignment="1">
      <alignment vertical="center"/>
    </xf>
    <xf numFmtId="178" fontId="6" fillId="0" borderId="0" xfId="1" applyNumberFormat="1" applyFont="1">
      <alignment vertical="center"/>
    </xf>
    <xf numFmtId="41" fontId="6" fillId="0" borderId="0" xfId="1" applyFont="1">
      <alignment vertical="center"/>
    </xf>
    <xf numFmtId="178" fontId="6" fillId="2" borderId="43" xfId="1" applyNumberFormat="1" applyFont="1" applyFill="1" applyBorder="1" applyAlignment="1">
      <alignment vertical="center"/>
    </xf>
    <xf numFmtId="178" fontId="6" fillId="0" borderId="42" xfId="1" applyNumberFormat="1" applyFont="1" applyFill="1" applyBorder="1">
      <alignment vertical="center"/>
    </xf>
    <xf numFmtId="178" fontId="6" fillId="0" borderId="44" xfId="1" applyNumberFormat="1" applyFont="1" applyFill="1" applyBorder="1">
      <alignment vertical="center"/>
    </xf>
    <xf numFmtId="178" fontId="6" fillId="0" borderId="41" xfId="1" applyNumberFormat="1" applyFont="1" applyFill="1" applyBorder="1" applyAlignment="1">
      <alignment vertical="center"/>
    </xf>
    <xf numFmtId="178" fontId="6" fillId="0" borderId="52" xfId="1" applyNumberFormat="1" applyFont="1" applyFill="1" applyBorder="1" applyAlignment="1">
      <alignment vertical="center"/>
    </xf>
    <xf numFmtId="178" fontId="6" fillId="0" borderId="43" xfId="1" applyNumberFormat="1" applyFont="1" applyFill="1" applyBorder="1">
      <alignment vertical="center"/>
    </xf>
    <xf numFmtId="178" fontId="2" fillId="0" borderId="0" xfId="0" applyNumberFormat="1" applyFont="1">
      <alignment vertical="center"/>
    </xf>
    <xf numFmtId="178" fontId="2" fillId="0" borderId="0" xfId="1" applyNumberFormat="1" applyFont="1">
      <alignment vertical="center"/>
    </xf>
    <xf numFmtId="41" fontId="2" fillId="0" borderId="0" xfId="1" applyFont="1">
      <alignment vertical="center"/>
    </xf>
    <xf numFmtId="178" fontId="6" fillId="0" borderId="42" xfId="1" applyNumberFormat="1" applyFont="1" applyFill="1" applyBorder="1" applyAlignment="1">
      <alignment vertical="center"/>
    </xf>
    <xf numFmtId="178" fontId="6" fillId="0" borderId="44" xfId="1" applyNumberFormat="1" applyFont="1" applyFill="1" applyBorder="1" applyAlignment="1">
      <alignment vertical="center"/>
    </xf>
    <xf numFmtId="178" fontId="6" fillId="0" borderId="0" xfId="0" applyNumberFormat="1" applyFont="1">
      <alignment vertical="center"/>
    </xf>
    <xf numFmtId="178" fontId="6" fillId="0" borderId="0" xfId="0" applyNumberFormat="1" applyFont="1" applyFill="1">
      <alignment vertical="center"/>
    </xf>
    <xf numFmtId="178" fontId="6" fillId="0" borderId="0" xfId="0" applyNumberFormat="1" applyFont="1" applyFill="1" applyAlignment="1">
      <alignment vertical="center"/>
    </xf>
    <xf numFmtId="178" fontId="0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178" fontId="6" fillId="0" borderId="28" xfId="1" applyNumberFormat="1" applyFont="1" applyFill="1" applyBorder="1" applyAlignment="1">
      <alignment vertical="center"/>
    </xf>
    <xf numFmtId="178" fontId="6" fillId="2" borderId="29" xfId="1" applyNumberFormat="1" applyFont="1" applyFill="1" applyBorder="1" applyAlignment="1">
      <alignment vertical="center"/>
    </xf>
    <xf numFmtId="178" fontId="6" fillId="0" borderId="39" xfId="1" applyNumberFormat="1" applyFont="1" applyFill="1" applyBorder="1">
      <alignment vertical="center"/>
    </xf>
    <xf numFmtId="178" fontId="6" fillId="0" borderId="29" xfId="1" applyNumberFormat="1" applyFont="1" applyFill="1" applyBorder="1">
      <alignment vertical="center"/>
    </xf>
    <xf numFmtId="178" fontId="6" fillId="0" borderId="30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178" fontId="6" fillId="0" borderId="29" xfId="1" applyNumberFormat="1" applyFont="1" applyFill="1" applyBorder="1" applyAlignment="1">
      <alignment horizontal="right" vertical="center"/>
    </xf>
    <xf numFmtId="178" fontId="6" fillId="0" borderId="3" xfId="1" applyNumberFormat="1" applyFont="1" applyFill="1" applyBorder="1" applyAlignment="1">
      <alignment vertical="center"/>
    </xf>
    <xf numFmtId="178" fontId="6" fillId="0" borderId="39" xfId="1" applyNumberFormat="1" applyFont="1" applyFill="1" applyBorder="1" applyAlignment="1">
      <alignment vertical="center"/>
    </xf>
    <xf numFmtId="178" fontId="6" fillId="0" borderId="30" xfId="1" applyNumberFormat="1" applyFont="1" applyFill="1" applyBorder="1" applyAlignment="1">
      <alignment vertical="center"/>
    </xf>
    <xf numFmtId="178" fontId="6" fillId="0" borderId="12" xfId="1" applyNumberFormat="1" applyFont="1" applyFill="1" applyBorder="1" applyAlignment="1">
      <alignment vertical="center"/>
    </xf>
    <xf numFmtId="178" fontId="6" fillId="2" borderId="13" xfId="1" applyNumberFormat="1" applyFont="1" applyFill="1" applyBorder="1" applyAlignment="1">
      <alignment vertical="center"/>
    </xf>
    <xf numFmtId="178" fontId="6" fillId="0" borderId="46" xfId="1" applyNumberFormat="1" applyFont="1" applyFill="1" applyBorder="1">
      <alignment vertical="center"/>
    </xf>
    <xf numFmtId="178" fontId="6" fillId="0" borderId="13" xfId="1" applyNumberFormat="1" applyFont="1" applyFill="1" applyBorder="1">
      <alignment vertical="center"/>
    </xf>
    <xf numFmtId="178" fontId="6" fillId="0" borderId="14" xfId="1" applyNumberFormat="1" applyFont="1" applyFill="1" applyBorder="1">
      <alignment vertical="center"/>
    </xf>
    <xf numFmtId="178" fontId="6" fillId="0" borderId="5" xfId="1" applyNumberFormat="1" applyFont="1" applyFill="1" applyBorder="1" applyAlignment="1">
      <alignment vertical="center"/>
    </xf>
    <xf numFmtId="178" fontId="6" fillId="0" borderId="46" xfId="1" applyNumberFormat="1" applyFont="1" applyFill="1" applyBorder="1" applyAlignment="1">
      <alignment vertical="center"/>
    </xf>
    <xf numFmtId="178" fontId="6" fillId="0" borderId="14" xfId="1" applyNumberFormat="1" applyFont="1" applyFill="1" applyBorder="1" applyAlignment="1">
      <alignment vertical="center"/>
    </xf>
    <xf numFmtId="178" fontId="6" fillId="0" borderId="12" xfId="0" applyNumberFormat="1" applyFont="1" applyFill="1" applyBorder="1" applyAlignment="1">
      <alignment vertical="center"/>
    </xf>
    <xf numFmtId="178" fontId="6" fillId="0" borderId="13" xfId="0" applyNumberFormat="1" applyFont="1" applyFill="1" applyBorder="1">
      <alignment vertical="center"/>
    </xf>
    <xf numFmtId="178" fontId="6" fillId="0" borderId="28" xfId="0" applyNumberFormat="1" applyFont="1" applyFill="1" applyBorder="1" applyAlignment="1">
      <alignment vertical="center"/>
    </xf>
    <xf numFmtId="178" fontId="6" fillId="2" borderId="39" xfId="0" applyNumberFormat="1" applyFont="1" applyFill="1" applyBorder="1" applyAlignment="1">
      <alignment vertical="center"/>
    </xf>
    <xf numFmtId="178" fontId="6" fillId="0" borderId="3" xfId="1" applyNumberFormat="1" applyFont="1" applyFill="1" applyBorder="1">
      <alignment vertical="center"/>
    </xf>
    <xf numFmtId="178" fontId="6" fillId="2" borderId="46" xfId="0" applyNumberFormat="1" applyFont="1" applyFill="1" applyBorder="1" applyAlignment="1">
      <alignment vertical="center"/>
    </xf>
    <xf numFmtId="178" fontId="6" fillId="0" borderId="5" xfId="1" applyNumberFormat="1" applyFont="1" applyFill="1" applyBorder="1">
      <alignment vertical="center"/>
    </xf>
    <xf numFmtId="178" fontId="6" fillId="0" borderId="46" xfId="0" applyNumberFormat="1" applyFont="1" applyFill="1" applyBorder="1">
      <alignment vertical="center"/>
    </xf>
    <xf numFmtId="178" fontId="6" fillId="0" borderId="5" xfId="0" applyNumberFormat="1" applyFont="1" applyFill="1" applyBorder="1">
      <alignment vertical="center"/>
    </xf>
    <xf numFmtId="178" fontId="6" fillId="0" borderId="19" xfId="1" applyNumberFormat="1" applyFont="1" applyFill="1" applyBorder="1" applyAlignment="1">
      <alignment vertical="center"/>
    </xf>
    <xf numFmtId="178" fontId="6" fillId="2" borderId="20" xfId="1" applyNumberFormat="1" applyFont="1" applyFill="1" applyBorder="1" applyAlignment="1">
      <alignment vertical="center"/>
    </xf>
    <xf numFmtId="178" fontId="6" fillId="0" borderId="53" xfId="1" applyNumberFormat="1" applyFont="1" applyFill="1" applyBorder="1">
      <alignment vertical="center"/>
    </xf>
    <xf numFmtId="178" fontId="6" fillId="0" borderId="20" xfId="1" applyNumberFormat="1" applyFont="1" applyFill="1" applyBorder="1">
      <alignment vertical="center"/>
    </xf>
    <xf numFmtId="178" fontId="6" fillId="0" borderId="21" xfId="1" applyNumberFormat="1" applyFont="1" applyFill="1" applyBorder="1">
      <alignment vertical="center"/>
    </xf>
    <xf numFmtId="178" fontId="6" fillId="0" borderId="54" xfId="1" applyNumberFormat="1" applyFont="1" applyFill="1" applyBorder="1" applyAlignment="1">
      <alignment vertical="center"/>
    </xf>
    <xf numFmtId="178" fontId="6" fillId="0" borderId="53" xfId="1" applyNumberFormat="1" applyFont="1" applyFill="1" applyBorder="1" applyAlignment="1">
      <alignment vertical="center"/>
    </xf>
    <xf numFmtId="178" fontId="6" fillId="0" borderId="21" xfId="1" applyNumberFormat="1" applyFont="1" applyFill="1" applyBorder="1" applyAlignment="1">
      <alignment vertical="center"/>
    </xf>
    <xf numFmtId="178" fontId="0" fillId="0" borderId="10" xfId="0" applyNumberFormat="1" applyBorder="1">
      <alignment vertical="center"/>
    </xf>
    <xf numFmtId="178" fontId="0" fillId="0" borderId="0" xfId="0" applyNumberFormat="1" applyBorder="1">
      <alignment vertical="center"/>
    </xf>
    <xf numFmtId="14" fontId="2" fillId="0" borderId="28" xfId="0" applyNumberFormat="1" applyFont="1" applyBorder="1" applyAlignment="1">
      <alignment horizontal="center" vertical="center"/>
    </xf>
    <xf numFmtId="14" fontId="2" fillId="0" borderId="30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8" fontId="0" fillId="0" borderId="0" xfId="0" applyNumberFormat="1" applyFont="1">
      <alignment vertical="center"/>
    </xf>
    <xf numFmtId="176" fontId="0" fillId="0" borderId="0" xfId="0" applyNumberFormat="1">
      <alignment vertical="center"/>
    </xf>
    <xf numFmtId="41" fontId="0" fillId="0" borderId="0" xfId="1" applyFont="1">
      <alignment vertical="center"/>
    </xf>
    <xf numFmtId="0" fontId="13" fillId="0" borderId="0" xfId="0" applyFont="1">
      <alignment vertical="center"/>
    </xf>
    <xf numFmtId="0" fontId="7" fillId="0" borderId="4" xfId="0" applyFont="1" applyBorder="1" applyAlignment="1">
      <alignment horizontal="centerContinuous" vertical="center"/>
    </xf>
    <xf numFmtId="0" fontId="7" fillId="0" borderId="27" xfId="0" applyFont="1" applyBorder="1" applyAlignment="1">
      <alignment horizontal="centerContinuous" vertical="center"/>
    </xf>
    <xf numFmtId="0" fontId="13" fillId="0" borderId="4" xfId="0" applyFont="1" applyBorder="1">
      <alignment vertical="center"/>
    </xf>
    <xf numFmtId="0" fontId="7" fillId="0" borderId="0" xfId="0" applyFont="1" applyBorder="1">
      <alignment vertical="center"/>
    </xf>
    <xf numFmtId="0" fontId="13" fillId="0" borderId="5" xfId="0" applyFont="1" applyBorder="1">
      <alignment vertical="center"/>
    </xf>
    <xf numFmtId="0" fontId="7" fillId="0" borderId="31" xfId="0" applyFont="1" applyBorder="1" applyAlignment="1">
      <alignment horizontal="centerContinuous"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>
      <alignment vertical="center"/>
    </xf>
    <xf numFmtId="0" fontId="7" fillId="0" borderId="18" xfId="0" applyFont="1" applyBorder="1" applyAlignment="1">
      <alignment horizontal="centerContinuous" vertical="center"/>
    </xf>
    <xf numFmtId="0" fontId="7" fillId="0" borderId="32" xfId="0" applyFont="1" applyBorder="1" applyAlignment="1">
      <alignment horizontal="centerContinuous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>
      <alignment vertical="center"/>
    </xf>
    <xf numFmtId="176" fontId="7" fillId="0" borderId="25" xfId="0" applyNumberFormat="1" applyFont="1" applyBorder="1">
      <alignment vertical="center"/>
    </xf>
    <xf numFmtId="176" fontId="7" fillId="0" borderId="6" xfId="0" applyNumberFormat="1" applyFont="1" applyBorder="1" applyAlignment="1">
      <alignment horizontal="centerContinuous" vertical="center"/>
    </xf>
    <xf numFmtId="176" fontId="7" fillId="0" borderId="16" xfId="0" applyNumberFormat="1" applyFont="1" applyBorder="1">
      <alignment vertical="center"/>
    </xf>
    <xf numFmtId="0" fontId="7" fillId="0" borderId="33" xfId="0" applyFont="1" applyBorder="1" applyAlignment="1">
      <alignment horizontal="centerContinuous" vertical="center"/>
    </xf>
    <xf numFmtId="0" fontId="7" fillId="0" borderId="22" xfId="0" applyFont="1" applyBorder="1" applyAlignment="1">
      <alignment horizontal="centerContinuous" vertical="center"/>
    </xf>
    <xf numFmtId="0" fontId="7" fillId="0" borderId="23" xfId="0" applyFont="1" applyBorder="1" applyAlignment="1">
      <alignment horizontal="centerContinuous" vertical="center"/>
    </xf>
    <xf numFmtId="176" fontId="7" fillId="3" borderId="29" xfId="0" applyNumberFormat="1" applyFont="1" applyFill="1" applyBorder="1">
      <alignment vertical="center"/>
    </xf>
    <xf numFmtId="176" fontId="7" fillId="3" borderId="13" xfId="0" applyNumberFormat="1" applyFont="1" applyFill="1" applyBorder="1">
      <alignment vertical="center"/>
    </xf>
    <xf numFmtId="0" fontId="7" fillId="0" borderId="0" xfId="0" applyFont="1" applyBorder="1" applyAlignment="1">
      <alignment horizontal="centerContinuous" vertical="center"/>
    </xf>
    <xf numFmtId="176" fontId="7" fillId="3" borderId="25" xfId="0" applyNumberFormat="1" applyFont="1" applyFill="1" applyBorder="1">
      <alignment vertical="center"/>
    </xf>
    <xf numFmtId="176" fontId="7" fillId="3" borderId="16" xfId="0" applyNumberFormat="1" applyFont="1" applyFill="1" applyBorder="1">
      <alignment vertical="center"/>
    </xf>
    <xf numFmtId="0" fontId="7" fillId="0" borderId="31" xfId="0" applyFont="1" applyBorder="1" applyAlignment="1">
      <alignment horizontal="right" vertical="top"/>
    </xf>
    <xf numFmtId="177" fontId="13" fillId="0" borderId="13" xfId="0" applyNumberFormat="1" applyFont="1" applyBorder="1">
      <alignment vertical="center"/>
    </xf>
    <xf numFmtId="177" fontId="13" fillId="0" borderId="14" xfId="0" applyNumberFormat="1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 applyAlignment="1">
      <alignment horizontal="right" vertical="center"/>
    </xf>
    <xf numFmtId="177" fontId="13" fillId="0" borderId="16" xfId="0" applyNumberFormat="1" applyFont="1" applyBorder="1">
      <alignment vertical="center"/>
    </xf>
    <xf numFmtId="177" fontId="13" fillId="0" borderId="17" xfId="0" applyNumberFormat="1" applyFont="1" applyBorder="1">
      <alignment vertical="center"/>
    </xf>
    <xf numFmtId="0" fontId="13" fillId="0" borderId="6" xfId="0" applyFont="1" applyBorder="1">
      <alignment vertical="center"/>
    </xf>
    <xf numFmtId="0" fontId="13" fillId="0" borderId="8" xfId="0" applyFont="1" applyBorder="1">
      <alignment vertical="center"/>
    </xf>
    <xf numFmtId="0" fontId="14" fillId="6" borderId="1" xfId="0" applyFont="1" applyFill="1" applyBorder="1" applyAlignment="1">
      <alignment horizontal="centerContinuous" vertical="center"/>
    </xf>
    <xf numFmtId="0" fontId="14" fillId="6" borderId="2" xfId="0" applyFont="1" applyFill="1" applyBorder="1" applyAlignment="1">
      <alignment horizontal="centerContinuous" vertical="center"/>
    </xf>
    <xf numFmtId="0" fontId="14" fillId="6" borderId="3" xfId="0" applyFont="1" applyFill="1" applyBorder="1" applyAlignment="1">
      <alignment horizontal="centerContinuous" vertical="center"/>
    </xf>
    <xf numFmtId="0" fontId="15" fillId="0" borderId="0" xfId="0" applyFont="1">
      <alignment vertical="center"/>
    </xf>
    <xf numFmtId="0" fontId="14" fillId="6" borderId="10" xfId="0" applyFont="1" applyFill="1" applyBorder="1" applyAlignment="1">
      <alignment horizontal="centerContinuous" vertical="center"/>
    </xf>
    <xf numFmtId="0" fontId="14" fillId="6" borderId="11" xfId="0" applyFont="1" applyFill="1" applyBorder="1" applyAlignment="1">
      <alignment horizontal="centerContinuous" vertical="center"/>
    </xf>
    <xf numFmtId="178" fontId="0" fillId="0" borderId="56" xfId="0" applyNumberFormat="1" applyFont="1" applyBorder="1" applyAlignment="1">
      <alignment vertical="center"/>
    </xf>
    <xf numFmtId="178" fontId="0" fillId="0" borderId="57" xfId="0" applyNumberFormat="1" applyFont="1" applyBorder="1" applyAlignment="1">
      <alignment vertical="center"/>
    </xf>
    <xf numFmtId="178" fontId="0" fillId="0" borderId="58" xfId="0" applyNumberFormat="1" applyFont="1" applyBorder="1" applyAlignment="1">
      <alignment vertical="center"/>
    </xf>
    <xf numFmtId="178" fontId="0" fillId="4" borderId="60" xfId="0" applyNumberFormat="1" applyFont="1" applyFill="1" applyBorder="1" applyAlignment="1">
      <alignment vertical="center"/>
    </xf>
    <xf numFmtId="178" fontId="0" fillId="4" borderId="61" xfId="0" applyNumberFormat="1" applyFont="1" applyFill="1" applyBorder="1" applyAlignment="1">
      <alignment vertical="center"/>
    </xf>
    <xf numFmtId="178" fontId="0" fillId="4" borderId="59" xfId="0" applyNumberFormat="1" applyFont="1" applyFill="1" applyBorder="1" applyAlignment="1">
      <alignment vertical="center"/>
    </xf>
    <xf numFmtId="178" fontId="0" fillId="0" borderId="57" xfId="1" applyNumberFormat="1" applyFont="1" applyBorder="1" applyAlignment="1">
      <alignment vertical="center"/>
    </xf>
    <xf numFmtId="178" fontId="0" fillId="4" borderId="60" xfId="1" applyNumberFormat="1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horizontal="centerContinuous" vertical="center"/>
    </xf>
    <xf numFmtId="14" fontId="2" fillId="3" borderId="50" xfId="0" applyNumberFormat="1" applyFont="1" applyFill="1" applyBorder="1" applyAlignment="1">
      <alignment horizontal="centerContinuous" vertical="center"/>
    </xf>
    <xf numFmtId="178" fontId="2" fillId="3" borderId="9" xfId="1" applyNumberFormat="1" applyFont="1" applyFill="1" applyBorder="1" applyAlignment="1">
      <alignment vertical="center"/>
    </xf>
    <xf numFmtId="178" fontId="2" fillId="3" borderId="10" xfId="1" applyNumberFormat="1" applyFont="1" applyFill="1" applyBorder="1" applyAlignment="1">
      <alignment vertical="center"/>
    </xf>
    <xf numFmtId="178" fontId="2" fillId="3" borderId="45" xfId="1" applyNumberFormat="1" applyFont="1" applyFill="1" applyBorder="1">
      <alignment vertical="center"/>
    </xf>
    <xf numFmtId="178" fontId="2" fillId="3" borderId="50" xfId="1" applyNumberFormat="1" applyFont="1" applyFill="1" applyBorder="1">
      <alignment vertical="center"/>
    </xf>
    <xf numFmtId="178" fontId="2" fillId="3" borderId="45" xfId="1" applyNumberFormat="1" applyFont="1" applyFill="1" applyBorder="1" applyAlignment="1">
      <alignment vertical="center"/>
    </xf>
    <xf numFmtId="178" fontId="2" fillId="3" borderId="10" xfId="0" applyNumberFormat="1" applyFont="1" applyFill="1" applyBorder="1">
      <alignment vertical="center"/>
    </xf>
    <xf numFmtId="178" fontId="2" fillId="3" borderId="45" xfId="0" applyNumberFormat="1" applyFont="1" applyFill="1" applyBorder="1">
      <alignment vertical="center"/>
    </xf>
    <xf numFmtId="178" fontId="2" fillId="3" borderId="5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8" fontId="0" fillId="0" borderId="2" xfId="0" applyNumberFormat="1" applyBorder="1">
      <alignment vertical="center"/>
    </xf>
    <xf numFmtId="0" fontId="2" fillId="0" borderId="34" xfId="0" applyFont="1" applyBorder="1" applyAlignment="1">
      <alignment horizontal="centerContinuous" vertical="center"/>
    </xf>
    <xf numFmtId="0" fontId="2" fillId="0" borderId="35" xfId="0" applyFont="1" applyBorder="1" applyAlignment="1">
      <alignment horizontal="centerContinuous" vertical="center"/>
    </xf>
    <xf numFmtId="0" fontId="2" fillId="0" borderId="71" xfId="0" applyFont="1" applyBorder="1" applyAlignment="1">
      <alignment horizontal="centerContinuous" vertical="center"/>
    </xf>
    <xf numFmtId="176" fontId="2" fillId="0" borderId="64" xfId="0" applyNumberFormat="1" applyFont="1" applyBorder="1" applyAlignment="1">
      <alignment horizontal="centerContinuous" vertical="center"/>
    </xf>
    <xf numFmtId="176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>
      <alignment vertical="center"/>
    </xf>
    <xf numFmtId="178" fontId="6" fillId="3" borderId="28" xfId="1" applyNumberFormat="1" applyFont="1" applyFill="1" applyBorder="1" applyAlignment="1">
      <alignment vertical="center"/>
    </xf>
    <xf numFmtId="178" fontId="6" fillId="3" borderId="29" xfId="1" applyNumberFormat="1" applyFont="1" applyFill="1" applyBorder="1" applyAlignment="1">
      <alignment vertical="center"/>
    </xf>
    <xf numFmtId="178" fontId="6" fillId="3" borderId="29" xfId="1" applyNumberFormat="1" applyFont="1" applyFill="1" applyBorder="1">
      <alignment vertical="center"/>
    </xf>
    <xf numFmtId="178" fontId="6" fillId="3" borderId="39" xfId="1" applyNumberFormat="1" applyFont="1" applyFill="1" applyBorder="1">
      <alignment vertical="center"/>
    </xf>
    <xf numFmtId="178" fontId="6" fillId="3" borderId="3" xfId="1" applyNumberFormat="1" applyFont="1" applyFill="1" applyBorder="1">
      <alignment vertical="center"/>
    </xf>
    <xf numFmtId="0" fontId="16" fillId="10" borderId="34" xfId="0" applyFont="1" applyFill="1" applyBorder="1" applyAlignment="1">
      <alignment horizontal="centerContinuous" vertical="center"/>
    </xf>
    <xf numFmtId="0" fontId="16" fillId="10" borderId="35" xfId="0" applyFont="1" applyFill="1" applyBorder="1" applyAlignment="1">
      <alignment horizontal="centerContinuous" vertical="center"/>
    </xf>
    <xf numFmtId="0" fontId="16" fillId="10" borderId="36" xfId="0" applyFont="1" applyFill="1" applyBorder="1" applyAlignment="1">
      <alignment horizontal="centerContinuous" vertical="center"/>
    </xf>
    <xf numFmtId="0" fontId="16" fillId="10" borderId="9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6" fillId="10" borderId="45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6" fillId="10" borderId="15" xfId="0" applyFont="1" applyFill="1" applyBorder="1" applyAlignment="1">
      <alignment horizontal="center" vertical="center"/>
    </xf>
    <xf numFmtId="0" fontId="16" fillId="10" borderId="16" xfId="0" applyFont="1" applyFill="1" applyBorder="1" applyAlignment="1">
      <alignment horizontal="center" vertical="center"/>
    </xf>
    <xf numFmtId="0" fontId="16" fillId="10" borderId="50" xfId="0" applyFont="1" applyFill="1" applyBorder="1" applyAlignment="1">
      <alignment horizontal="center" vertical="center"/>
    </xf>
    <xf numFmtId="0" fontId="16" fillId="10" borderId="47" xfId="0" applyFont="1" applyFill="1" applyBorder="1" applyAlignment="1">
      <alignment horizontal="center" vertical="center"/>
    </xf>
    <xf numFmtId="178" fontId="6" fillId="0" borderId="18" xfId="0" applyNumberFormat="1" applyFont="1" applyBorder="1">
      <alignment vertical="center"/>
    </xf>
    <xf numFmtId="178" fontId="6" fillId="0" borderId="66" xfId="0" applyNumberFormat="1" applyFont="1" applyBorder="1">
      <alignment vertical="center"/>
    </xf>
    <xf numFmtId="0" fontId="14" fillId="6" borderId="71" xfId="0" applyFont="1" applyFill="1" applyBorder="1" applyAlignment="1">
      <alignment horizontal="centerContinuous" vertical="center"/>
    </xf>
    <xf numFmtId="178" fontId="6" fillId="0" borderId="54" xfId="0" applyNumberFormat="1" applyFont="1" applyBorder="1">
      <alignment vertical="center"/>
    </xf>
    <xf numFmtId="176" fontId="7" fillId="9" borderId="28" xfId="0" applyNumberFormat="1" applyFont="1" applyFill="1" applyBorder="1" applyAlignment="1">
      <alignment horizontal="center" vertical="center"/>
    </xf>
    <xf numFmtId="176" fontId="7" fillId="9" borderId="12" xfId="0" applyNumberFormat="1" applyFont="1" applyFill="1" applyBorder="1" applyAlignment="1">
      <alignment horizontal="center" vertical="center"/>
    </xf>
    <xf numFmtId="176" fontId="7" fillId="9" borderId="6" xfId="0" applyNumberFormat="1" applyFont="1" applyFill="1" applyBorder="1" applyAlignment="1">
      <alignment horizontal="centerContinuous" vertical="center"/>
    </xf>
    <xf numFmtId="0" fontId="2" fillId="0" borderId="72" xfId="0" applyFont="1" applyBorder="1" applyAlignment="1">
      <alignment horizontal="centerContinuous" vertical="center"/>
    </xf>
    <xf numFmtId="176" fontId="2" fillId="0" borderId="73" xfId="0" applyNumberFormat="1" applyFont="1" applyBorder="1" applyAlignment="1">
      <alignment horizontal="centerContinuous" vertical="center"/>
    </xf>
    <xf numFmtId="176" fontId="7" fillId="0" borderId="27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Continuous" vertical="center"/>
    </xf>
    <xf numFmtId="176" fontId="7" fillId="9" borderId="27" xfId="0" applyNumberFormat="1" applyFont="1" applyFill="1" applyBorder="1" applyAlignment="1">
      <alignment horizontal="center" vertical="center"/>
    </xf>
    <xf numFmtId="176" fontId="7" fillId="9" borderId="31" xfId="0" applyNumberFormat="1" applyFont="1" applyFill="1" applyBorder="1" applyAlignment="1">
      <alignment horizontal="center" vertical="center"/>
    </xf>
    <xf numFmtId="176" fontId="7" fillId="9" borderId="33" xfId="0" applyNumberFormat="1" applyFont="1" applyFill="1" applyBorder="1" applyAlignment="1">
      <alignment horizontal="center" vertical="center"/>
    </xf>
    <xf numFmtId="176" fontId="7" fillId="9" borderId="7" xfId="0" applyNumberFormat="1" applyFont="1" applyFill="1" applyBorder="1" applyAlignment="1">
      <alignment horizontal="centerContinuous" vertical="center"/>
    </xf>
    <xf numFmtId="178" fontId="2" fillId="0" borderId="36" xfId="0" applyNumberFormat="1" applyFont="1" applyBorder="1" applyAlignment="1">
      <alignment vertical="center"/>
    </xf>
    <xf numFmtId="177" fontId="0" fillId="0" borderId="50" xfId="0" applyNumberFormat="1" applyBorder="1">
      <alignment vertical="center"/>
    </xf>
    <xf numFmtId="178" fontId="0" fillId="0" borderId="50" xfId="0" applyNumberFormat="1" applyBorder="1">
      <alignment vertical="center"/>
    </xf>
    <xf numFmtId="178" fontId="2" fillId="0" borderId="63" xfId="0" applyNumberFormat="1" applyFont="1" applyBorder="1" applyAlignment="1">
      <alignment vertical="center"/>
    </xf>
    <xf numFmtId="177" fontId="0" fillId="0" borderId="10" xfId="0" applyNumberFormat="1" applyBorder="1">
      <alignment vertical="center"/>
    </xf>
    <xf numFmtId="176" fontId="13" fillId="0" borderId="1" xfId="0" applyNumberFormat="1" applyFont="1" applyBorder="1">
      <alignment vertical="center"/>
    </xf>
    <xf numFmtId="176" fontId="13" fillId="0" borderId="4" xfId="0" applyNumberFormat="1" applyFont="1" applyBorder="1">
      <alignment vertical="center"/>
    </xf>
    <xf numFmtId="176" fontId="13" fillId="0" borderId="22" xfId="0" applyNumberFormat="1" applyFont="1" applyBorder="1">
      <alignment vertical="center"/>
    </xf>
    <xf numFmtId="176" fontId="13" fillId="0" borderId="6" xfId="0" applyNumberFormat="1" applyFont="1" applyBorder="1">
      <alignment vertical="center"/>
    </xf>
    <xf numFmtId="176" fontId="13" fillId="9" borderId="1" xfId="0" applyNumberFormat="1" applyFont="1" applyFill="1" applyBorder="1">
      <alignment vertical="center"/>
    </xf>
    <xf numFmtId="176" fontId="13" fillId="9" borderId="4" xfId="0" applyNumberFormat="1" applyFont="1" applyFill="1" applyBorder="1">
      <alignment vertical="center"/>
    </xf>
    <xf numFmtId="176" fontId="13" fillId="9" borderId="22" xfId="0" applyNumberFormat="1" applyFont="1" applyFill="1" applyBorder="1">
      <alignment vertical="center"/>
    </xf>
    <xf numFmtId="176" fontId="13" fillId="9" borderId="6" xfId="0" applyNumberFormat="1" applyFont="1" applyFill="1" applyBorder="1">
      <alignment vertical="center"/>
    </xf>
    <xf numFmtId="177" fontId="13" fillId="0" borderId="4" xfId="0" applyNumberFormat="1" applyFont="1" applyBorder="1">
      <alignment vertical="center"/>
    </xf>
    <xf numFmtId="177" fontId="13" fillId="0" borderId="6" xfId="0" applyNumberFormat="1" applyFont="1" applyBorder="1">
      <alignment vertical="center"/>
    </xf>
    <xf numFmtId="0" fontId="14" fillId="6" borderId="45" xfId="0" applyFont="1" applyFill="1" applyBorder="1" applyAlignment="1">
      <alignment horizontal="centerContinuous" vertical="center"/>
    </xf>
    <xf numFmtId="177" fontId="13" fillId="0" borderId="46" xfId="0" applyNumberFormat="1" applyFont="1" applyBorder="1">
      <alignment vertical="center"/>
    </xf>
    <xf numFmtId="177" fontId="13" fillId="0" borderId="47" xfId="0" applyNumberFormat="1" applyFont="1" applyBorder="1">
      <alignment vertical="center"/>
    </xf>
    <xf numFmtId="0" fontId="14" fillId="6" borderId="78" xfId="0" applyFont="1" applyFill="1" applyBorder="1" applyAlignment="1">
      <alignment horizontal="centerContinuous" vertical="center"/>
    </xf>
    <xf numFmtId="177" fontId="13" fillId="0" borderId="75" xfId="0" applyNumberFormat="1" applyFont="1" applyBorder="1">
      <alignment vertical="center"/>
    </xf>
    <xf numFmtId="177" fontId="13" fillId="0" borderId="77" xfId="0" applyNumberFormat="1" applyFont="1" applyBorder="1">
      <alignment vertical="center"/>
    </xf>
    <xf numFmtId="178" fontId="2" fillId="0" borderId="34" xfId="0" applyNumberFormat="1" applyFont="1" applyBorder="1" applyAlignment="1">
      <alignment vertical="center"/>
    </xf>
    <xf numFmtId="177" fontId="0" fillId="0" borderId="71" xfId="0" applyNumberFormat="1" applyBorder="1">
      <alignment vertical="center"/>
    </xf>
    <xf numFmtId="178" fontId="0" fillId="0" borderId="71" xfId="0" applyNumberFormat="1" applyBorder="1">
      <alignment vertical="center"/>
    </xf>
    <xf numFmtId="178" fontId="2" fillId="0" borderId="35" xfId="0" applyNumberFormat="1" applyFont="1" applyFill="1" applyBorder="1" applyAlignment="1">
      <alignment vertical="center"/>
    </xf>
    <xf numFmtId="177" fontId="0" fillId="0" borderId="64" xfId="0" applyNumberFormat="1" applyBorder="1">
      <alignment vertical="center"/>
    </xf>
    <xf numFmtId="178" fontId="0" fillId="0" borderId="64" xfId="0" applyNumberFormat="1" applyBorder="1">
      <alignment vertical="center"/>
    </xf>
    <xf numFmtId="178" fontId="2" fillId="3" borderId="63" xfId="0" applyNumberFormat="1" applyFont="1" applyFill="1" applyBorder="1" applyAlignment="1">
      <alignment vertical="center"/>
    </xf>
    <xf numFmtId="177" fontId="2" fillId="3" borderId="10" xfId="0" applyNumberFormat="1" applyFont="1" applyFill="1" applyBorder="1">
      <alignment vertical="center"/>
    </xf>
    <xf numFmtId="0" fontId="7" fillId="11" borderId="48" xfId="0" applyFont="1" applyFill="1" applyBorder="1" applyAlignment="1">
      <alignment horizontal="centerContinuous" vertical="center"/>
    </xf>
    <xf numFmtId="0" fontId="7" fillId="11" borderId="67" xfId="0" applyFont="1" applyFill="1" applyBorder="1" applyAlignment="1">
      <alignment horizontal="centerContinuous" vertical="center"/>
    </xf>
    <xf numFmtId="0" fontId="7" fillId="11" borderId="1" xfId="0" applyFont="1" applyFill="1" applyBorder="1" applyAlignment="1">
      <alignment horizontal="centerContinuous" vertical="center"/>
    </xf>
    <xf numFmtId="0" fontId="7" fillId="11" borderId="29" xfId="0" applyFont="1" applyFill="1" applyBorder="1" applyAlignment="1">
      <alignment horizontal="centerContinuous" vertical="center"/>
    </xf>
    <xf numFmtId="0" fontId="7" fillId="11" borderId="39" xfId="0" applyFont="1" applyFill="1" applyBorder="1" applyAlignment="1">
      <alignment horizontal="centerContinuous" vertical="center"/>
    </xf>
    <xf numFmtId="0" fontId="7" fillId="11" borderId="30" xfId="0" applyFont="1" applyFill="1" applyBorder="1" applyAlignment="1">
      <alignment horizontal="centerContinuous" vertical="center"/>
    </xf>
    <xf numFmtId="0" fontId="2" fillId="11" borderId="48" xfId="0" applyFont="1" applyFill="1" applyBorder="1" applyAlignment="1">
      <alignment horizontal="centerContinuous" vertical="center"/>
    </xf>
    <xf numFmtId="0" fontId="2" fillId="11" borderId="67" xfId="0" applyFont="1" applyFill="1" applyBorder="1" applyAlignment="1">
      <alignment horizontal="centerContinuous" vertical="center"/>
    </xf>
    <xf numFmtId="178" fontId="2" fillId="11" borderId="1" xfId="0" applyNumberFormat="1" applyFont="1" applyFill="1" applyBorder="1" applyAlignment="1">
      <alignment horizontal="centerContinuous" vertical="center"/>
    </xf>
    <xf numFmtId="178" fontId="2" fillId="11" borderId="29" xfId="0" applyNumberFormat="1" applyFont="1" applyFill="1" applyBorder="1" applyAlignment="1">
      <alignment horizontal="centerContinuous" vertical="center"/>
    </xf>
    <xf numFmtId="178" fontId="2" fillId="11" borderId="2" xfId="0" applyNumberFormat="1" applyFont="1" applyFill="1" applyBorder="1" applyAlignment="1">
      <alignment horizontal="centerContinuous" vertical="center"/>
    </xf>
    <xf numFmtId="178" fontId="2" fillId="11" borderId="3" xfId="0" applyNumberFormat="1" applyFont="1" applyFill="1" applyBorder="1" applyAlignment="1">
      <alignment horizontal="centerContinuous" vertical="center"/>
    </xf>
    <xf numFmtId="180" fontId="0" fillId="0" borderId="0" xfId="0" applyNumberFormat="1">
      <alignment vertical="center"/>
    </xf>
    <xf numFmtId="178" fontId="6" fillId="0" borderId="4" xfId="1" applyNumberFormat="1" applyFont="1" applyFill="1" applyBorder="1" applyAlignment="1">
      <alignment vertical="center"/>
    </xf>
    <xf numFmtId="178" fontId="6" fillId="0" borderId="0" xfId="1" applyNumberFormat="1" applyFont="1" applyFill="1" applyBorder="1" applyAlignment="1">
      <alignment vertical="center"/>
    </xf>
    <xf numFmtId="178" fontId="6" fillId="0" borderId="6" xfId="1" applyNumberFormat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center"/>
    </xf>
    <xf numFmtId="178" fontId="6" fillId="0" borderId="8" xfId="1" applyNumberFormat="1" applyFont="1" applyFill="1" applyBorder="1" applyAlignment="1">
      <alignment vertical="center"/>
    </xf>
    <xf numFmtId="178" fontId="2" fillId="0" borderId="4" xfId="1" applyNumberFormat="1" applyFont="1" applyFill="1" applyBorder="1" applyAlignment="1">
      <alignment vertical="center"/>
    </xf>
    <xf numFmtId="41" fontId="0" fillId="0" borderId="0" xfId="0" applyNumberFormat="1" applyFont="1">
      <alignment vertical="center"/>
    </xf>
    <xf numFmtId="9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176" fontId="0" fillId="9" borderId="0" xfId="0" applyNumberFormat="1" applyFill="1">
      <alignment vertical="center"/>
    </xf>
    <xf numFmtId="0" fontId="0" fillId="9" borderId="0" xfId="0" applyFill="1">
      <alignment vertical="center"/>
    </xf>
    <xf numFmtId="178" fontId="0" fillId="4" borderId="0" xfId="1" applyNumberFormat="1" applyFont="1" applyFill="1">
      <alignment vertical="center"/>
    </xf>
    <xf numFmtId="178" fontId="6" fillId="0" borderId="34" xfId="0" applyNumberFormat="1" applyFont="1" applyBorder="1" applyAlignment="1">
      <alignment vertical="center"/>
    </xf>
    <xf numFmtId="178" fontId="6" fillId="3" borderId="63" xfId="0" applyNumberFormat="1" applyFont="1" applyFill="1" applyBorder="1" applyAlignment="1">
      <alignment vertical="center"/>
    </xf>
    <xf numFmtId="178" fontId="6" fillId="0" borderId="35" xfId="0" applyNumberFormat="1" applyFont="1" applyFill="1" applyBorder="1" applyAlignment="1">
      <alignment vertical="center"/>
    </xf>
    <xf numFmtId="178" fontId="6" fillId="0" borderId="63" xfId="0" applyNumberFormat="1" applyFont="1" applyBorder="1" applyAlignment="1">
      <alignment vertical="center"/>
    </xf>
    <xf numFmtId="178" fontId="6" fillId="0" borderId="36" xfId="0" applyNumberFormat="1" applyFont="1" applyBorder="1" applyAlignment="1">
      <alignment vertical="center"/>
    </xf>
    <xf numFmtId="178" fontId="6" fillId="0" borderId="48" xfId="1" applyNumberFormat="1" applyFont="1" applyBorder="1">
      <alignment vertical="center"/>
    </xf>
    <xf numFmtId="178" fontId="6" fillId="3" borderId="38" xfId="1" applyNumberFormat="1" applyFont="1" applyFill="1" applyBorder="1">
      <alignment vertical="center"/>
    </xf>
    <xf numFmtId="178" fontId="6" fillId="0" borderId="67" xfId="0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55" xfId="0" applyNumberFormat="1" applyFont="1" applyBorder="1">
      <alignment vertical="center"/>
    </xf>
    <xf numFmtId="178" fontId="6" fillId="3" borderId="20" xfId="0" applyNumberFormat="1" applyFont="1" applyFill="1" applyBorder="1">
      <alignment vertical="center"/>
    </xf>
    <xf numFmtId="178" fontId="6" fillId="0" borderId="20" xfId="0" applyNumberFormat="1" applyFont="1" applyBorder="1">
      <alignment vertical="center"/>
    </xf>
    <xf numFmtId="178" fontId="6" fillId="0" borderId="6" xfId="1" applyNumberFormat="1" applyFont="1" applyBorder="1">
      <alignment vertical="center"/>
    </xf>
    <xf numFmtId="178" fontId="6" fillId="3" borderId="16" xfId="1" applyNumberFormat="1" applyFont="1" applyFill="1" applyBorder="1">
      <alignment vertical="center"/>
    </xf>
    <xf numFmtId="178" fontId="6" fillId="0" borderId="7" xfId="1" applyNumberFormat="1" applyFont="1" applyBorder="1">
      <alignment vertical="center"/>
    </xf>
    <xf numFmtId="178" fontId="6" fillId="0" borderId="16" xfId="1" applyNumberFormat="1" applyFont="1" applyBorder="1">
      <alignment vertical="center"/>
    </xf>
    <xf numFmtId="178" fontId="6" fillId="0" borderId="8" xfId="1" applyNumberFormat="1" applyFont="1" applyBorder="1">
      <alignment vertical="center"/>
    </xf>
    <xf numFmtId="178" fontId="6" fillId="0" borderId="80" xfId="1" applyNumberFormat="1" applyFont="1" applyBorder="1">
      <alignment vertical="center"/>
    </xf>
    <xf numFmtId="178" fontId="6" fillId="3" borderId="43" xfId="1" applyNumberFormat="1" applyFont="1" applyFill="1" applyBorder="1">
      <alignment vertical="center"/>
    </xf>
    <xf numFmtId="178" fontId="6" fillId="0" borderId="81" xfId="0" applyNumberFormat="1" applyFont="1" applyBorder="1">
      <alignment vertical="center"/>
    </xf>
    <xf numFmtId="178" fontId="6" fillId="0" borderId="43" xfId="1" applyNumberFormat="1" applyFont="1" applyBorder="1">
      <alignment vertical="center"/>
    </xf>
    <xf numFmtId="178" fontId="6" fillId="0" borderId="52" xfId="0" applyNumberFormat="1" applyFont="1" applyBorder="1">
      <alignment vertical="center"/>
    </xf>
    <xf numFmtId="178" fontId="6" fillId="0" borderId="80" xfId="0" applyNumberFormat="1" applyFont="1" applyBorder="1" applyAlignment="1">
      <alignment horizontal="centerContinuous" vertical="center"/>
    </xf>
    <xf numFmtId="178" fontId="6" fillId="0" borderId="81" xfId="0" applyNumberFormat="1" applyFont="1" applyBorder="1" applyAlignment="1">
      <alignment horizontal="centerContinuous" vertical="center"/>
    </xf>
    <xf numFmtId="178" fontId="6" fillId="0" borderId="6" xfId="0" applyNumberFormat="1" applyFont="1" applyBorder="1" applyAlignment="1">
      <alignment horizontal="centerContinuous" vertical="center"/>
    </xf>
    <xf numFmtId="178" fontId="6" fillId="0" borderId="7" xfId="0" applyNumberFormat="1" applyFont="1" applyBorder="1" applyAlignment="1">
      <alignment horizontal="centerContinuous" vertical="center"/>
    </xf>
    <xf numFmtId="178" fontId="6" fillId="9" borderId="4" xfId="1" applyNumberFormat="1" applyFont="1" applyFill="1" applyBorder="1" applyAlignment="1">
      <alignment vertical="center"/>
    </xf>
    <xf numFmtId="14" fontId="2" fillId="4" borderId="4" xfId="0" applyNumberFormat="1" applyFont="1" applyFill="1" applyBorder="1" applyAlignment="1">
      <alignment horizontal="centerContinuous" vertical="center"/>
    </xf>
    <xf numFmtId="14" fontId="2" fillId="4" borderId="5" xfId="0" applyNumberFormat="1" applyFont="1" applyFill="1" applyBorder="1" applyAlignment="1">
      <alignment horizontal="centerContinuous" vertical="center"/>
    </xf>
    <xf numFmtId="178" fontId="2" fillId="4" borderId="12" xfId="1" applyNumberFormat="1" applyFont="1" applyFill="1" applyBorder="1" applyAlignment="1">
      <alignment vertical="center"/>
    </xf>
    <xf numFmtId="178" fontId="2" fillId="4" borderId="13" xfId="1" applyNumberFormat="1" applyFont="1" applyFill="1" applyBorder="1" applyAlignment="1">
      <alignment vertical="center"/>
    </xf>
    <xf numFmtId="178" fontId="2" fillId="4" borderId="46" xfId="1" applyNumberFormat="1" applyFont="1" applyFill="1" applyBorder="1">
      <alignment vertical="center"/>
    </xf>
    <xf numFmtId="178" fontId="2" fillId="4" borderId="13" xfId="1" applyNumberFormat="1" applyFont="1" applyFill="1" applyBorder="1">
      <alignment vertical="center"/>
    </xf>
    <xf numFmtId="178" fontId="2" fillId="4" borderId="14" xfId="1" applyNumberFormat="1" applyFont="1" applyFill="1" applyBorder="1">
      <alignment vertical="center"/>
    </xf>
    <xf numFmtId="178" fontId="2" fillId="4" borderId="5" xfId="1" applyNumberFormat="1" applyFont="1" applyFill="1" applyBorder="1" applyAlignment="1">
      <alignment vertical="center"/>
    </xf>
    <xf numFmtId="178" fontId="2" fillId="4" borderId="46" xfId="1" applyNumberFormat="1" applyFont="1" applyFill="1" applyBorder="1" applyAlignment="1">
      <alignment vertical="center"/>
    </xf>
    <xf numFmtId="178" fontId="2" fillId="4" borderId="14" xfId="1" applyNumberFormat="1" applyFont="1" applyFill="1" applyBorder="1" applyAlignment="1">
      <alignment vertical="center"/>
    </xf>
    <xf numFmtId="14" fontId="2" fillId="4" borderId="48" xfId="0" applyNumberFormat="1" applyFont="1" applyFill="1" applyBorder="1" applyAlignment="1">
      <alignment horizontal="centerContinuous" vertical="center"/>
    </xf>
    <xf numFmtId="14" fontId="2" fillId="4" borderId="55" xfId="0" applyNumberFormat="1" applyFont="1" applyFill="1" applyBorder="1" applyAlignment="1">
      <alignment horizontal="centerContinuous" vertical="center"/>
    </xf>
    <xf numFmtId="178" fontId="2" fillId="4" borderId="37" xfId="0" applyNumberFormat="1" applyFont="1" applyFill="1" applyBorder="1" applyAlignment="1">
      <alignment vertical="center"/>
    </xf>
    <xf numFmtId="178" fontId="2" fillId="4" borderId="38" xfId="1" applyNumberFormat="1" applyFont="1" applyFill="1" applyBorder="1" applyAlignment="1">
      <alignment vertical="center"/>
    </xf>
    <xf numFmtId="178" fontId="2" fillId="4" borderId="40" xfId="0" applyNumberFormat="1" applyFont="1" applyFill="1" applyBorder="1">
      <alignment vertical="center"/>
    </xf>
    <xf numFmtId="178" fontId="2" fillId="4" borderId="40" xfId="1" applyNumberFormat="1" applyFont="1" applyFill="1" applyBorder="1">
      <alignment vertical="center"/>
    </xf>
    <xf numFmtId="178" fontId="2" fillId="4" borderId="55" xfId="1" applyNumberFormat="1" applyFont="1" applyFill="1" applyBorder="1">
      <alignment vertical="center"/>
    </xf>
    <xf numFmtId="178" fontId="2" fillId="3" borderId="71" xfId="0" applyNumberFormat="1" applyFont="1" applyFill="1" applyBorder="1" applyAlignment="1">
      <alignment vertical="center"/>
    </xf>
    <xf numFmtId="178" fontId="2" fillId="3" borderId="64" xfId="0" applyNumberFormat="1" applyFont="1" applyFill="1" applyBorder="1" applyAlignment="1">
      <alignment vertical="center"/>
    </xf>
    <xf numFmtId="178" fontId="2" fillId="3" borderId="50" xfId="0" applyNumberFormat="1" applyFont="1" applyFill="1" applyBorder="1" applyAlignment="1">
      <alignment vertical="center"/>
    </xf>
    <xf numFmtId="178" fontId="6" fillId="9" borderId="1" xfId="1" applyNumberFormat="1" applyFont="1" applyFill="1" applyBorder="1" applyAlignment="1">
      <alignment vertical="center"/>
    </xf>
    <xf numFmtId="178" fontId="6" fillId="9" borderId="2" xfId="1" applyNumberFormat="1" applyFont="1" applyFill="1" applyBorder="1" applyAlignment="1">
      <alignment vertical="center"/>
    </xf>
    <xf numFmtId="178" fontId="6" fillId="9" borderId="3" xfId="1" applyNumberFormat="1" applyFont="1" applyFill="1" applyBorder="1" applyAlignment="1">
      <alignment vertical="center"/>
    </xf>
    <xf numFmtId="178" fontId="2" fillId="4" borderId="48" xfId="0" applyNumberFormat="1" applyFont="1" applyFill="1" applyBorder="1" applyAlignment="1">
      <alignment vertical="center"/>
    </xf>
    <xf numFmtId="178" fontId="2" fillId="4" borderId="67" xfId="0" applyNumberFormat="1" applyFont="1" applyFill="1" applyBorder="1" applyAlignment="1">
      <alignment vertical="center"/>
    </xf>
    <xf numFmtId="178" fontId="2" fillId="4" borderId="55" xfId="0" applyNumberFormat="1" applyFont="1" applyFill="1" applyBorder="1" applyAlignment="1">
      <alignment vertical="center"/>
    </xf>
    <xf numFmtId="0" fontId="6" fillId="0" borderId="0" xfId="0" applyFont="1">
      <alignment vertical="center"/>
    </xf>
    <xf numFmtId="179" fontId="0" fillId="0" borderId="0" xfId="1" applyNumberFormat="1" applyFont="1">
      <alignment vertical="center"/>
    </xf>
    <xf numFmtId="179" fontId="0" fillId="0" borderId="0" xfId="0" applyNumberFormat="1">
      <alignment vertical="center"/>
    </xf>
    <xf numFmtId="9" fontId="0" fillId="0" borderId="0" xfId="0" applyNumberFormat="1" applyFont="1" applyAlignment="1">
      <alignment vertical="center"/>
    </xf>
    <xf numFmtId="0" fontId="13" fillId="0" borderId="69" xfId="0" applyFont="1" applyBorder="1" applyAlignment="1">
      <alignment horizontal="center" vertical="center"/>
    </xf>
    <xf numFmtId="178" fontId="13" fillId="0" borderId="69" xfId="0" applyNumberFormat="1" applyFont="1" applyBorder="1" applyAlignment="1">
      <alignment horizontal="center" vertical="center"/>
    </xf>
    <xf numFmtId="0" fontId="13" fillId="0" borderId="70" xfId="0" applyFont="1" applyBorder="1" applyAlignment="1">
      <alignment horizontal="center" vertical="center"/>
    </xf>
    <xf numFmtId="178" fontId="13" fillId="0" borderId="69" xfId="1" applyNumberFormat="1" applyFont="1" applyBorder="1" applyAlignment="1">
      <alignment horizontal="right" vertical="center"/>
    </xf>
    <xf numFmtId="178" fontId="13" fillId="0" borderId="70" xfId="1" applyNumberFormat="1" applyFont="1" applyBorder="1" applyAlignment="1">
      <alignment horizontal="right" vertical="center"/>
    </xf>
    <xf numFmtId="179" fontId="13" fillId="0" borderId="69" xfId="0" applyNumberFormat="1" applyFont="1" applyBorder="1" applyAlignment="1">
      <alignment horizontal="right" vertical="center"/>
    </xf>
    <xf numFmtId="0" fontId="10" fillId="0" borderId="0" xfId="0" applyFont="1">
      <alignment vertical="center"/>
    </xf>
    <xf numFmtId="178" fontId="13" fillId="0" borderId="4" xfId="1" applyNumberFormat="1" applyFont="1" applyBorder="1" applyAlignment="1">
      <alignment horizontal="right" vertical="center"/>
    </xf>
    <xf numFmtId="178" fontId="13" fillId="0" borderId="6" xfId="1" applyNumberFormat="1" applyFont="1" applyBorder="1" applyAlignment="1">
      <alignment horizontal="right" vertical="center"/>
    </xf>
    <xf numFmtId="179" fontId="13" fillId="0" borderId="4" xfId="0" applyNumberFormat="1" applyFont="1" applyBorder="1" applyAlignment="1">
      <alignment horizontal="right" vertical="center"/>
    </xf>
    <xf numFmtId="178" fontId="13" fillId="0" borderId="5" xfId="1" applyNumberFormat="1" applyFont="1" applyBorder="1" applyAlignment="1">
      <alignment horizontal="right" vertical="center"/>
    </xf>
    <xf numFmtId="178" fontId="13" fillId="0" borderId="8" xfId="1" applyNumberFormat="1" applyFont="1" applyBorder="1" applyAlignment="1">
      <alignment horizontal="right" vertical="center"/>
    </xf>
    <xf numFmtId="179" fontId="13" fillId="0" borderId="5" xfId="0" applyNumberFormat="1" applyFont="1" applyBorder="1" applyAlignment="1">
      <alignment horizontal="right" vertical="center"/>
    </xf>
    <xf numFmtId="178" fontId="13" fillId="0" borderId="83" xfId="1" applyNumberFormat="1" applyFont="1" applyBorder="1" applyAlignment="1">
      <alignment horizontal="right" vertical="center"/>
    </xf>
    <xf numFmtId="178" fontId="13" fillId="0" borderId="84" xfId="1" applyNumberFormat="1" applyFont="1" applyBorder="1" applyAlignment="1">
      <alignment horizontal="right" vertical="center"/>
    </xf>
    <xf numFmtId="179" fontId="13" fillId="0" borderId="83" xfId="0" applyNumberFormat="1" applyFont="1" applyBorder="1" applyAlignment="1">
      <alignment horizontal="right" vertical="center"/>
    </xf>
    <xf numFmtId="178" fontId="13" fillId="0" borderId="0" xfId="1" applyNumberFormat="1" applyFont="1" applyBorder="1" applyAlignment="1">
      <alignment horizontal="right" vertical="center"/>
    </xf>
    <xf numFmtId="178" fontId="13" fillId="0" borderId="7" xfId="1" applyNumberFormat="1" applyFont="1" applyBorder="1" applyAlignment="1">
      <alignment horizontal="right" vertical="center"/>
    </xf>
    <xf numFmtId="179" fontId="13" fillId="0" borderId="0" xfId="0" applyNumberFormat="1" applyFont="1" applyBorder="1" applyAlignment="1">
      <alignment horizontal="right" vertical="center"/>
    </xf>
    <xf numFmtId="178" fontId="13" fillId="0" borderId="89" xfId="1" applyNumberFormat="1" applyFont="1" applyBorder="1" applyAlignment="1">
      <alignment horizontal="right" vertical="center"/>
    </xf>
    <xf numFmtId="178" fontId="13" fillId="0" borderId="90" xfId="1" applyNumberFormat="1" applyFont="1" applyBorder="1" applyAlignment="1">
      <alignment horizontal="right" vertical="center"/>
    </xf>
    <xf numFmtId="179" fontId="13" fillId="0" borderId="89" xfId="0" applyNumberFormat="1" applyFont="1" applyBorder="1" applyAlignment="1">
      <alignment horizontal="right" vertical="center"/>
    </xf>
    <xf numFmtId="0" fontId="12" fillId="12" borderId="92" xfId="0" applyFont="1" applyFill="1" applyBorder="1" applyAlignment="1">
      <alignment horizontal="center" vertical="center"/>
    </xf>
    <xf numFmtId="0" fontId="12" fillId="12" borderId="93" xfId="0" applyFont="1" applyFill="1" applyBorder="1" applyAlignment="1">
      <alignment horizontal="center" vertical="center"/>
    </xf>
    <xf numFmtId="0" fontId="12" fillId="12" borderId="94" xfId="0" applyFont="1" applyFill="1" applyBorder="1" applyAlignment="1">
      <alignment horizontal="center" vertical="center"/>
    </xf>
    <xf numFmtId="0" fontId="12" fillId="12" borderId="91" xfId="0" applyFont="1" applyFill="1" applyBorder="1" applyAlignment="1">
      <alignment horizontal="center" vertical="center"/>
    </xf>
    <xf numFmtId="0" fontId="12" fillId="12" borderId="95" xfId="0" applyFont="1" applyFill="1" applyBorder="1" applyAlignment="1">
      <alignment horizontal="center" vertical="center"/>
    </xf>
    <xf numFmtId="0" fontId="12" fillId="12" borderId="96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60" xfId="0" applyFont="1" applyBorder="1" applyAlignment="1">
      <alignment horizontal="center" vertical="center"/>
    </xf>
    <xf numFmtId="177" fontId="6" fillId="0" borderId="69" xfId="0" applyNumberFormat="1" applyFont="1" applyBorder="1" applyAlignment="1">
      <alignment horizontal="center" vertical="center"/>
    </xf>
    <xf numFmtId="177" fontId="6" fillId="0" borderId="4" xfId="0" applyNumberFormat="1" applyFont="1" applyBorder="1" applyAlignment="1">
      <alignment horizontal="right" vertical="center"/>
    </xf>
    <xf numFmtId="177" fontId="6" fillId="0" borderId="83" xfId="0" applyNumberFormat="1" applyFont="1" applyBorder="1" applyAlignment="1">
      <alignment horizontal="right" vertical="center"/>
    </xf>
    <xf numFmtId="177" fontId="6" fillId="0" borderId="5" xfId="0" applyNumberFormat="1" applyFont="1" applyBorder="1" applyAlignment="1">
      <alignment horizontal="right" vertical="center"/>
    </xf>
    <xf numFmtId="177" fontId="6" fillId="0" borderId="69" xfId="0" applyNumberFormat="1" applyFont="1" applyBorder="1" applyAlignment="1">
      <alignment horizontal="right" vertical="center"/>
    </xf>
    <xf numFmtId="177" fontId="6" fillId="0" borderId="89" xfId="0" applyNumberFormat="1" applyFont="1" applyBorder="1" applyAlignment="1">
      <alignment horizontal="right" vertical="center"/>
    </xf>
    <xf numFmtId="177" fontId="6" fillId="0" borderId="0" xfId="0" applyNumberFormat="1" applyFont="1" applyBorder="1" applyAlignment="1">
      <alignment horizontal="right" vertical="center"/>
    </xf>
    <xf numFmtId="177" fontId="6" fillId="0" borderId="0" xfId="0" applyNumberFormat="1" applyFont="1">
      <alignment vertical="center"/>
    </xf>
    <xf numFmtId="0" fontId="7" fillId="13" borderId="55" xfId="0" applyFont="1" applyFill="1" applyBorder="1" applyAlignment="1">
      <alignment horizontal="center" vertical="center"/>
    </xf>
    <xf numFmtId="178" fontId="7" fillId="13" borderId="48" xfId="1" applyNumberFormat="1" applyFont="1" applyFill="1" applyBorder="1" applyAlignment="1">
      <alignment horizontal="right" vertical="center"/>
    </xf>
    <xf numFmtId="178" fontId="7" fillId="13" borderId="55" xfId="1" applyNumberFormat="1" applyFont="1" applyFill="1" applyBorder="1" applyAlignment="1">
      <alignment horizontal="right" vertical="center"/>
    </xf>
    <xf numFmtId="178" fontId="7" fillId="13" borderId="65" xfId="1" applyNumberFormat="1" applyFont="1" applyFill="1" applyBorder="1" applyAlignment="1">
      <alignment horizontal="right" vertical="center"/>
    </xf>
    <xf numFmtId="178" fontId="7" fillId="13" borderId="88" xfId="1" applyNumberFormat="1" applyFont="1" applyFill="1" applyBorder="1" applyAlignment="1">
      <alignment horizontal="right" vertical="center"/>
    </xf>
    <xf numFmtId="178" fontId="7" fillId="13" borderId="67" xfId="1" applyNumberFormat="1" applyFont="1" applyFill="1" applyBorder="1" applyAlignment="1">
      <alignment horizontal="right" vertical="center"/>
    </xf>
    <xf numFmtId="178" fontId="7" fillId="13" borderId="3" xfId="0" applyNumberFormat="1" applyFont="1" applyFill="1" applyBorder="1" applyAlignment="1">
      <alignment horizontal="center" vertical="center"/>
    </xf>
    <xf numFmtId="179" fontId="7" fillId="13" borderId="1" xfId="0" applyNumberFormat="1" applyFont="1" applyFill="1" applyBorder="1" applyAlignment="1">
      <alignment horizontal="right" vertical="center"/>
    </xf>
    <xf numFmtId="179" fontId="7" fillId="13" borderId="3" xfId="0" applyNumberFormat="1" applyFont="1" applyFill="1" applyBorder="1" applyAlignment="1">
      <alignment horizontal="right" vertical="center"/>
    </xf>
    <xf numFmtId="179" fontId="7" fillId="13" borderId="68" xfId="0" applyNumberFormat="1" applyFont="1" applyFill="1" applyBorder="1" applyAlignment="1">
      <alignment horizontal="right" vertical="center"/>
    </xf>
    <xf numFmtId="179" fontId="7" fillId="13" borderId="87" xfId="0" applyNumberFormat="1" applyFont="1" applyFill="1" applyBorder="1" applyAlignment="1">
      <alignment horizontal="right" vertical="center"/>
    </xf>
    <xf numFmtId="179" fontId="7" fillId="13" borderId="2" xfId="0" applyNumberFormat="1" applyFont="1" applyFill="1" applyBorder="1" applyAlignment="1">
      <alignment horizontal="right" vertical="center"/>
    </xf>
    <xf numFmtId="177" fontId="6" fillId="9" borderId="97" xfId="0" applyNumberFormat="1" applyFont="1" applyFill="1" applyBorder="1" applyAlignment="1">
      <alignment horizontal="center" vertical="center"/>
    </xf>
    <xf numFmtId="177" fontId="6" fillId="9" borderId="98" xfId="0" applyNumberFormat="1" applyFont="1" applyFill="1" applyBorder="1" applyAlignment="1">
      <alignment horizontal="right" vertical="center"/>
    </xf>
    <xf numFmtId="177" fontId="6" fillId="9" borderId="97" xfId="0" applyNumberFormat="1" applyFont="1" applyFill="1" applyBorder="1" applyAlignment="1">
      <alignment horizontal="right" vertical="center"/>
    </xf>
    <xf numFmtId="177" fontId="6" fillId="9" borderId="99" xfId="0" applyNumberFormat="1" applyFont="1" applyFill="1" applyBorder="1" applyAlignment="1">
      <alignment horizontal="right" vertical="center"/>
    </xf>
    <xf numFmtId="177" fontId="6" fillId="9" borderId="100" xfId="0" applyNumberFormat="1" applyFont="1" applyFill="1" applyBorder="1" applyAlignment="1">
      <alignment horizontal="right" vertical="center"/>
    </xf>
    <xf numFmtId="177" fontId="6" fillId="9" borderId="60" xfId="0" applyNumberFormat="1" applyFont="1" applyFill="1" applyBorder="1" applyAlignment="1">
      <alignment horizontal="right" vertical="center"/>
    </xf>
    <xf numFmtId="178" fontId="12" fillId="7" borderId="85" xfId="1" applyNumberFormat="1" applyFont="1" applyFill="1" applyBorder="1" applyAlignment="1">
      <alignment horizontal="right" vertical="center"/>
    </xf>
    <xf numFmtId="179" fontId="12" fillId="5" borderId="82" xfId="0" applyNumberFormat="1" applyFont="1" applyFill="1" applyBorder="1" applyAlignment="1">
      <alignment horizontal="right" vertical="center"/>
    </xf>
    <xf numFmtId="177" fontId="6" fillId="9" borderId="86" xfId="0" applyNumberFormat="1" applyFont="1" applyFill="1" applyBorder="1" applyAlignment="1">
      <alignment horizontal="right" vertical="center"/>
    </xf>
    <xf numFmtId="179" fontId="13" fillId="0" borderId="4" xfId="1" applyNumberFormat="1" applyFont="1" applyBorder="1" applyAlignment="1">
      <alignment horizontal="right" vertical="center"/>
    </xf>
    <xf numFmtId="179" fontId="13" fillId="0" borderId="83" xfId="1" applyNumberFormat="1" applyFont="1" applyBorder="1" applyAlignment="1">
      <alignment horizontal="right" vertical="center"/>
    </xf>
    <xf numFmtId="179" fontId="13" fillId="0" borderId="5" xfId="1" applyNumberFormat="1" applyFont="1" applyBorder="1" applyAlignment="1">
      <alignment horizontal="right" vertical="center"/>
    </xf>
    <xf numFmtId="179" fontId="13" fillId="0" borderId="69" xfId="1" applyNumberFormat="1" applyFont="1" applyBorder="1" applyAlignment="1">
      <alignment horizontal="right" vertical="center"/>
    </xf>
    <xf numFmtId="179" fontId="13" fillId="0" borderId="89" xfId="1" applyNumberFormat="1" applyFont="1" applyBorder="1" applyAlignment="1">
      <alignment horizontal="right" vertical="center"/>
    </xf>
    <xf numFmtId="179" fontId="13" fillId="0" borderId="0" xfId="1" applyNumberFormat="1" applyFont="1" applyBorder="1" applyAlignment="1">
      <alignment horizontal="right" vertical="center"/>
    </xf>
    <xf numFmtId="0" fontId="13" fillId="11" borderId="69" xfId="0" applyFont="1" applyFill="1" applyBorder="1" applyAlignment="1">
      <alignment horizontal="center" vertical="center"/>
    </xf>
    <xf numFmtId="178" fontId="13" fillId="11" borderId="4" xfId="1" applyNumberFormat="1" applyFont="1" applyFill="1" applyBorder="1" applyAlignment="1">
      <alignment horizontal="right" vertical="center"/>
    </xf>
    <xf numFmtId="178" fontId="13" fillId="11" borderId="83" xfId="1" applyNumberFormat="1" applyFont="1" applyFill="1" applyBorder="1" applyAlignment="1">
      <alignment horizontal="right" vertical="center"/>
    </xf>
    <xf numFmtId="178" fontId="13" fillId="11" borderId="5" xfId="1" applyNumberFormat="1" applyFont="1" applyFill="1" applyBorder="1" applyAlignment="1">
      <alignment horizontal="right" vertical="center"/>
    </xf>
    <xf numFmtId="178" fontId="13" fillId="11" borderId="69" xfId="1" applyNumberFormat="1" applyFont="1" applyFill="1" applyBorder="1" applyAlignment="1">
      <alignment horizontal="right" vertical="center"/>
    </xf>
    <xf numFmtId="178" fontId="13" fillId="11" borderId="89" xfId="1" applyNumberFormat="1" applyFont="1" applyFill="1" applyBorder="1" applyAlignment="1">
      <alignment horizontal="right" vertical="center"/>
    </xf>
    <xf numFmtId="178" fontId="13" fillId="11" borderId="0" xfId="1" applyNumberFormat="1" applyFont="1" applyFill="1" applyBorder="1" applyAlignment="1">
      <alignment horizontal="right" vertical="center"/>
    </xf>
    <xf numFmtId="178" fontId="13" fillId="11" borderId="68" xfId="0" applyNumberFormat="1" applyFont="1" applyFill="1" applyBorder="1" applyAlignment="1">
      <alignment horizontal="center" vertical="center"/>
    </xf>
    <xf numFmtId="179" fontId="13" fillId="11" borderId="1" xfId="0" applyNumberFormat="1" applyFont="1" applyFill="1" applyBorder="1" applyAlignment="1">
      <alignment horizontal="right" vertical="center"/>
    </xf>
    <xf numFmtId="179" fontId="13" fillId="11" borderId="82" xfId="0" applyNumberFormat="1" applyFont="1" applyFill="1" applyBorder="1" applyAlignment="1">
      <alignment horizontal="right" vertical="center"/>
    </xf>
    <xf numFmtId="179" fontId="13" fillId="11" borderId="3" xfId="0" applyNumberFormat="1" applyFont="1" applyFill="1" applyBorder="1" applyAlignment="1">
      <alignment horizontal="right" vertical="center"/>
    </xf>
    <xf numFmtId="179" fontId="13" fillId="11" borderId="68" xfId="0" applyNumberFormat="1" applyFont="1" applyFill="1" applyBorder="1" applyAlignment="1">
      <alignment horizontal="right" vertical="center"/>
    </xf>
    <xf numFmtId="179" fontId="13" fillId="11" borderId="87" xfId="0" applyNumberFormat="1" applyFont="1" applyFill="1" applyBorder="1" applyAlignment="1">
      <alignment horizontal="right" vertical="center"/>
    </xf>
    <xf numFmtId="179" fontId="13" fillId="11" borderId="2" xfId="0" applyNumberFormat="1" applyFont="1" applyFill="1" applyBorder="1" applyAlignment="1">
      <alignment horizontal="right" vertical="center"/>
    </xf>
    <xf numFmtId="178" fontId="13" fillId="0" borderId="39" xfId="0" applyNumberFormat="1" applyFont="1" applyBorder="1">
      <alignment vertical="center"/>
    </xf>
    <xf numFmtId="178" fontId="13" fillId="0" borderId="29" xfId="0" applyNumberFormat="1" applyFont="1" applyBorder="1">
      <alignment vertical="center"/>
    </xf>
    <xf numFmtId="178" fontId="13" fillId="0" borderId="30" xfId="0" applyNumberFormat="1" applyFont="1" applyBorder="1">
      <alignment vertical="center"/>
    </xf>
    <xf numFmtId="178" fontId="13" fillId="0" borderId="46" xfId="0" applyNumberFormat="1" applyFont="1" applyBorder="1">
      <alignment vertical="center"/>
    </xf>
    <xf numFmtId="178" fontId="13" fillId="0" borderId="13" xfId="0" applyNumberFormat="1" applyFont="1" applyBorder="1">
      <alignment vertical="center"/>
    </xf>
    <xf numFmtId="178" fontId="13" fillId="0" borderId="14" xfId="0" applyNumberFormat="1" applyFont="1" applyBorder="1">
      <alignment vertical="center"/>
    </xf>
    <xf numFmtId="178" fontId="13" fillId="0" borderId="49" xfId="0" applyNumberFormat="1" applyFont="1" applyBorder="1">
      <alignment vertical="center"/>
    </xf>
    <xf numFmtId="178" fontId="13" fillId="0" borderId="25" xfId="0" applyNumberFormat="1" applyFont="1" applyBorder="1">
      <alignment vertical="center"/>
    </xf>
    <xf numFmtId="178" fontId="13" fillId="0" borderId="26" xfId="0" applyNumberFormat="1" applyFont="1" applyBorder="1">
      <alignment vertical="center"/>
    </xf>
    <xf numFmtId="178" fontId="13" fillId="0" borderId="47" xfId="0" applyNumberFormat="1" applyFont="1" applyBorder="1">
      <alignment vertical="center"/>
    </xf>
    <xf numFmtId="178" fontId="13" fillId="0" borderId="16" xfId="0" applyNumberFormat="1" applyFont="1" applyBorder="1">
      <alignment vertical="center"/>
    </xf>
    <xf numFmtId="178" fontId="13" fillId="0" borderId="17" xfId="0" applyNumberFormat="1" applyFont="1" applyBorder="1">
      <alignment vertical="center"/>
    </xf>
    <xf numFmtId="178" fontId="13" fillId="9" borderId="39" xfId="0" applyNumberFormat="1" applyFont="1" applyFill="1" applyBorder="1">
      <alignment vertical="center"/>
    </xf>
    <xf numFmtId="178" fontId="13" fillId="9" borderId="29" xfId="0" applyNumberFormat="1" applyFont="1" applyFill="1" applyBorder="1">
      <alignment vertical="center"/>
    </xf>
    <xf numFmtId="178" fontId="13" fillId="9" borderId="30" xfId="0" applyNumberFormat="1" applyFont="1" applyFill="1" applyBorder="1">
      <alignment vertical="center"/>
    </xf>
    <xf numFmtId="178" fontId="13" fillId="9" borderId="46" xfId="0" applyNumberFormat="1" applyFont="1" applyFill="1" applyBorder="1">
      <alignment vertical="center"/>
    </xf>
    <xf numFmtId="178" fontId="13" fillId="9" borderId="13" xfId="0" applyNumberFormat="1" applyFont="1" applyFill="1" applyBorder="1">
      <alignment vertical="center"/>
    </xf>
    <xf numFmtId="178" fontId="13" fillId="9" borderId="14" xfId="0" applyNumberFormat="1" applyFont="1" applyFill="1" applyBorder="1">
      <alignment vertical="center"/>
    </xf>
    <xf numFmtId="178" fontId="13" fillId="9" borderId="49" xfId="0" applyNumberFormat="1" applyFont="1" applyFill="1" applyBorder="1">
      <alignment vertical="center"/>
    </xf>
    <xf numFmtId="178" fontId="13" fillId="9" borderId="25" xfId="0" applyNumberFormat="1" applyFont="1" applyFill="1" applyBorder="1">
      <alignment vertical="center"/>
    </xf>
    <xf numFmtId="178" fontId="13" fillId="9" borderId="26" xfId="0" applyNumberFormat="1" applyFont="1" applyFill="1" applyBorder="1">
      <alignment vertical="center"/>
    </xf>
    <xf numFmtId="178" fontId="13" fillId="9" borderId="47" xfId="0" applyNumberFormat="1" applyFont="1" applyFill="1" applyBorder="1">
      <alignment vertical="center"/>
    </xf>
    <xf numFmtId="178" fontId="13" fillId="9" borderId="16" xfId="0" applyNumberFormat="1" applyFont="1" applyFill="1" applyBorder="1">
      <alignment vertical="center"/>
    </xf>
    <xf numFmtId="178" fontId="13" fillId="9" borderId="17" xfId="0" applyNumberFormat="1" applyFont="1" applyFill="1" applyBorder="1">
      <alignment vertical="center"/>
    </xf>
    <xf numFmtId="178" fontId="13" fillId="0" borderId="1" xfId="0" applyNumberFormat="1" applyFont="1" applyBorder="1">
      <alignment vertical="center"/>
    </xf>
    <xf numFmtId="178" fontId="13" fillId="0" borderId="74" xfId="0" applyNumberFormat="1" applyFont="1" applyBorder="1">
      <alignment vertical="center"/>
    </xf>
    <xf numFmtId="178" fontId="13" fillId="0" borderId="4" xfId="0" applyNumberFormat="1" applyFont="1" applyBorder="1">
      <alignment vertical="center"/>
    </xf>
    <xf numFmtId="178" fontId="13" fillId="0" borderId="75" xfId="0" applyNumberFormat="1" applyFont="1" applyBorder="1">
      <alignment vertical="center"/>
    </xf>
    <xf numFmtId="178" fontId="13" fillId="0" borderId="18" xfId="0" applyNumberFormat="1" applyFont="1" applyBorder="1">
      <alignment vertical="center"/>
    </xf>
    <xf numFmtId="178" fontId="13" fillId="0" borderId="79" xfId="0" applyNumberFormat="1" applyFont="1" applyBorder="1">
      <alignment vertical="center"/>
    </xf>
    <xf numFmtId="178" fontId="13" fillId="0" borderId="53" xfId="0" applyNumberFormat="1" applyFont="1" applyBorder="1">
      <alignment vertical="center"/>
    </xf>
    <xf numFmtId="178" fontId="13" fillId="0" borderId="20" xfId="0" applyNumberFormat="1" applyFont="1" applyBorder="1">
      <alignment vertical="center"/>
    </xf>
    <xf numFmtId="178" fontId="13" fillId="0" borderId="21" xfId="0" applyNumberFormat="1" applyFont="1" applyBorder="1">
      <alignment vertical="center"/>
    </xf>
    <xf numFmtId="178" fontId="13" fillId="0" borderId="22" xfId="0" applyNumberFormat="1" applyFont="1" applyBorder="1">
      <alignment vertical="center"/>
    </xf>
    <xf numFmtId="178" fontId="13" fillId="0" borderId="76" xfId="0" applyNumberFormat="1" applyFont="1" applyBorder="1">
      <alignment vertical="center"/>
    </xf>
    <xf numFmtId="178" fontId="12" fillId="7" borderId="79" xfId="0" applyNumberFormat="1" applyFont="1" applyFill="1" applyBorder="1">
      <alignment vertical="center"/>
    </xf>
    <xf numFmtId="178" fontId="12" fillId="5" borderId="75" xfId="0" applyNumberFormat="1" applyFont="1" applyFill="1" applyBorder="1">
      <alignment vertical="center"/>
    </xf>
    <xf numFmtId="181" fontId="0" fillId="0" borderId="0" xfId="1" applyNumberFormat="1" applyFont="1">
      <alignment vertical="center"/>
    </xf>
    <xf numFmtId="0" fontId="13" fillId="0" borderId="2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0" fillId="0" borderId="0" xfId="0" applyFont="1" applyAlignment="1">
      <alignment horizontal="right" vertical="center"/>
    </xf>
    <xf numFmtId="14" fontId="0" fillId="0" borderId="0" xfId="0" applyNumberFormat="1" applyFont="1" applyAlignment="1">
      <alignment horizontal="right" vertical="center"/>
    </xf>
    <xf numFmtId="9" fontId="0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178" fontId="0" fillId="0" borderId="0" xfId="0" applyNumberFormat="1" applyFont="1" applyAlignment="1">
      <alignment horizontal="right" vertical="center"/>
    </xf>
    <xf numFmtId="3" fontId="0" fillId="0" borderId="0" xfId="0" applyNumberFormat="1">
      <alignment vertical="center"/>
    </xf>
    <xf numFmtId="179" fontId="6" fillId="0" borderId="0" xfId="1" applyNumberFormat="1" applyFont="1" applyFill="1" applyBorder="1" applyAlignment="1">
      <alignment vertical="center"/>
    </xf>
    <xf numFmtId="182" fontId="0" fillId="0" borderId="0" xfId="0" applyNumberFormat="1">
      <alignment vertical="center"/>
    </xf>
    <xf numFmtId="178" fontId="0" fillId="0" borderId="17" xfId="0" applyNumberFormat="1" applyBorder="1">
      <alignment vertical="center"/>
    </xf>
    <xf numFmtId="178" fontId="2" fillId="0" borderId="7" xfId="0" applyNumberFormat="1" applyFont="1" applyBorder="1">
      <alignment vertical="center"/>
    </xf>
    <xf numFmtId="178" fontId="2" fillId="0" borderId="101" xfId="0" applyNumberFormat="1" applyFont="1" applyBorder="1">
      <alignment vertical="center"/>
    </xf>
    <xf numFmtId="178" fontId="0" fillId="0" borderId="6" xfId="0" applyNumberFormat="1" applyBorder="1">
      <alignment vertical="center"/>
    </xf>
    <xf numFmtId="178" fontId="0" fillId="0" borderId="8" xfId="0" applyNumberFormat="1" applyBorder="1">
      <alignment vertical="center"/>
    </xf>
    <xf numFmtId="178" fontId="0" fillId="0" borderId="6" xfId="0" applyNumberFormat="1" applyBorder="1" applyAlignment="1">
      <alignment horizontal="center" vertical="center"/>
    </xf>
    <xf numFmtId="178" fontId="0" fillId="0" borderId="14" xfId="0" applyNumberFormat="1" applyBorder="1">
      <alignment vertical="center"/>
    </xf>
    <xf numFmtId="178" fontId="2" fillId="0" borderId="102" xfId="0" applyNumberFormat="1" applyFont="1" applyBorder="1">
      <alignment vertical="center"/>
    </xf>
    <xf numFmtId="178" fontId="0" fillId="0" borderId="4" xfId="0" applyNumberFormat="1" applyBorder="1">
      <alignment vertical="center"/>
    </xf>
    <xf numFmtId="178" fontId="0" fillId="0" borderId="5" xfId="0" applyNumberFormat="1" applyBorder="1">
      <alignment vertical="center"/>
    </xf>
    <xf numFmtId="178" fontId="0" fillId="0" borderId="4" xfId="0" applyNumberFormat="1" applyBorder="1" applyAlignment="1">
      <alignment horizontal="center" vertical="center"/>
    </xf>
    <xf numFmtId="178" fontId="0" fillId="0" borderId="69" xfId="0" applyNumberFormat="1" applyBorder="1" applyAlignment="1">
      <alignment horizontal="center" vertical="center"/>
    </xf>
    <xf numFmtId="178" fontId="0" fillId="0" borderId="21" xfId="0" applyNumberFormat="1" applyBorder="1">
      <alignment vertical="center"/>
    </xf>
    <xf numFmtId="178" fontId="2" fillId="0" borderId="66" xfId="0" applyNumberFormat="1" applyFont="1" applyBorder="1">
      <alignment vertical="center"/>
    </xf>
    <xf numFmtId="178" fontId="2" fillId="0" borderId="103" xfId="0" applyNumberFormat="1" applyFont="1" applyBorder="1">
      <alignment vertical="center"/>
    </xf>
    <xf numFmtId="178" fontId="0" fillId="0" borderId="18" xfId="0" applyNumberFormat="1" applyBorder="1">
      <alignment vertical="center"/>
    </xf>
    <xf numFmtId="178" fontId="0" fillId="0" borderId="54" xfId="0" applyNumberFormat="1" applyBorder="1">
      <alignment vertical="center"/>
    </xf>
    <xf numFmtId="178" fontId="0" fillId="0" borderId="104" xfId="0" applyNumberFormat="1" applyBorder="1" applyAlignment="1">
      <alignment horizontal="center" vertical="center"/>
    </xf>
    <xf numFmtId="178" fontId="2" fillId="0" borderId="105" xfId="0" applyNumberFormat="1" applyFont="1" applyBorder="1">
      <alignment vertical="center"/>
    </xf>
    <xf numFmtId="178" fontId="0" fillId="0" borderId="30" xfId="0" applyNumberFormat="1" applyBorder="1">
      <alignment vertical="center"/>
    </xf>
    <xf numFmtId="178" fontId="2" fillId="0" borderId="2" xfId="0" applyNumberFormat="1" applyFont="1" applyBorder="1">
      <alignment vertical="center"/>
    </xf>
    <xf numFmtId="178" fontId="2" fillId="0" borderId="106" xfId="0" applyNumberFormat="1" applyFont="1" applyBorder="1">
      <alignment vertical="center"/>
    </xf>
    <xf numFmtId="178" fontId="0" fillId="0" borderId="1" xfId="0" applyNumberFormat="1" applyBorder="1">
      <alignment vertical="center"/>
    </xf>
    <xf numFmtId="178" fontId="0" fillId="0" borderId="3" xfId="0" applyNumberFormat="1" applyBorder="1">
      <alignment vertical="center"/>
    </xf>
    <xf numFmtId="178" fontId="0" fillId="0" borderId="68" xfId="0" applyNumberFormat="1" applyBorder="1" applyAlignment="1">
      <alignment horizontal="center" vertical="center"/>
    </xf>
    <xf numFmtId="178" fontId="17" fillId="14" borderId="17" xfId="0" applyNumberFormat="1" applyFont="1" applyFill="1" applyBorder="1" applyAlignment="1">
      <alignment horizontal="right" vertical="center"/>
    </xf>
    <xf numFmtId="178" fontId="17" fillId="14" borderId="0" xfId="0" applyNumberFormat="1" applyFont="1" applyFill="1" applyBorder="1" applyAlignment="1">
      <alignment horizontal="right" vertical="center"/>
    </xf>
    <xf numFmtId="178" fontId="17" fillId="14" borderId="102" xfId="0" applyNumberFormat="1" applyFont="1" applyFill="1" applyBorder="1" applyAlignment="1">
      <alignment horizontal="right" vertical="center"/>
    </xf>
    <xf numFmtId="178" fontId="17" fillId="14" borderId="4" xfId="0" applyNumberFormat="1" applyFont="1" applyFill="1" applyBorder="1" applyAlignment="1">
      <alignment horizontal="right" vertical="center"/>
    </xf>
    <xf numFmtId="178" fontId="17" fillId="14" borderId="69" xfId="0" applyNumberFormat="1" applyFont="1" applyFill="1" applyBorder="1" applyAlignment="1">
      <alignment horizontal="center" vertical="center"/>
    </xf>
    <xf numFmtId="178" fontId="17" fillId="14" borderId="44" xfId="0" applyNumberFormat="1" applyFont="1" applyFill="1" applyBorder="1" applyAlignment="1">
      <alignment horizontal="right" vertical="center"/>
    </xf>
    <xf numFmtId="178" fontId="17" fillId="14" borderId="81" xfId="0" applyNumberFormat="1" applyFont="1" applyFill="1" applyBorder="1" applyAlignment="1">
      <alignment horizontal="right" vertical="center"/>
    </xf>
    <xf numFmtId="178" fontId="17" fillId="14" borderId="107" xfId="0" applyNumberFormat="1" applyFont="1" applyFill="1" applyBorder="1" applyAlignment="1">
      <alignment horizontal="right" vertical="center"/>
    </xf>
    <xf numFmtId="178" fontId="17" fillId="14" borderId="80" xfId="0" applyNumberFormat="1" applyFont="1" applyFill="1" applyBorder="1" applyAlignment="1">
      <alignment horizontal="right" vertical="center"/>
    </xf>
    <xf numFmtId="178" fontId="17" fillId="14" borderId="108" xfId="0" applyNumberFormat="1" applyFont="1" applyFill="1" applyBorder="1" applyAlignment="1">
      <alignment horizontal="center" vertical="center"/>
    </xf>
    <xf numFmtId="178" fontId="17" fillId="14" borderId="30" xfId="0" applyNumberFormat="1" applyFont="1" applyFill="1" applyBorder="1" applyAlignment="1">
      <alignment horizontal="right" vertical="center"/>
    </xf>
    <xf numFmtId="178" fontId="17" fillId="14" borderId="2" xfId="0" applyNumberFormat="1" applyFont="1" applyFill="1" applyBorder="1" applyAlignment="1">
      <alignment horizontal="right" vertical="center"/>
    </xf>
    <xf numFmtId="178" fontId="17" fillId="14" borderId="106" xfId="0" applyNumberFormat="1" applyFont="1" applyFill="1" applyBorder="1" applyAlignment="1">
      <alignment horizontal="right" vertical="center"/>
    </xf>
    <xf numFmtId="178" fontId="17" fillId="14" borderId="1" xfId="0" applyNumberFormat="1" applyFont="1" applyFill="1" applyBorder="1" applyAlignment="1">
      <alignment horizontal="right" vertical="center"/>
    </xf>
    <xf numFmtId="178" fontId="17" fillId="14" borderId="68" xfId="0" applyNumberFormat="1" applyFont="1" applyFill="1" applyBorder="1" applyAlignment="1">
      <alignment horizontal="center" vertical="center"/>
    </xf>
    <xf numFmtId="178" fontId="18" fillId="15" borderId="109" xfId="0" applyNumberFormat="1" applyFont="1" applyFill="1" applyBorder="1" applyAlignment="1">
      <alignment horizontal="right" vertical="center"/>
    </xf>
    <xf numFmtId="178" fontId="18" fillId="15" borderId="67" xfId="0" applyNumberFormat="1" applyFont="1" applyFill="1" applyBorder="1" applyAlignment="1">
      <alignment horizontal="right" vertical="center"/>
    </xf>
    <xf numFmtId="178" fontId="18" fillId="15" borderId="110" xfId="0" applyNumberFormat="1" applyFont="1" applyFill="1" applyBorder="1" applyAlignment="1">
      <alignment horizontal="right" vertical="center"/>
    </xf>
    <xf numFmtId="178" fontId="18" fillId="15" borderId="48" xfId="0" applyNumberFormat="1" applyFont="1" applyFill="1" applyBorder="1" applyAlignment="1">
      <alignment horizontal="right" vertical="center"/>
    </xf>
    <xf numFmtId="178" fontId="18" fillId="15" borderId="111" xfId="0" applyNumberFormat="1" applyFont="1" applyFill="1" applyBorder="1" applyAlignment="1">
      <alignment horizontal="right" vertical="center"/>
    </xf>
    <xf numFmtId="178" fontId="18" fillId="15" borderId="65" xfId="0" applyNumberFormat="1" applyFont="1" applyFill="1" applyBorder="1" applyAlignment="1">
      <alignment horizontal="center" vertical="center"/>
    </xf>
    <xf numFmtId="178" fontId="16" fillId="16" borderId="11" xfId="0" applyNumberFormat="1" applyFont="1" applyFill="1" applyBorder="1" applyAlignment="1">
      <alignment horizontal="centerContinuous" vertical="center"/>
    </xf>
    <xf numFmtId="178" fontId="16" fillId="16" borderId="64" xfId="0" applyNumberFormat="1" applyFont="1" applyFill="1" applyBorder="1" applyAlignment="1">
      <alignment horizontal="centerContinuous" vertical="center"/>
    </xf>
    <xf numFmtId="178" fontId="16" fillId="16" borderId="112" xfId="0" applyNumberFormat="1" applyFont="1" applyFill="1" applyBorder="1" applyAlignment="1">
      <alignment horizontal="centerContinuous" vertical="center"/>
    </xf>
    <xf numFmtId="178" fontId="16" fillId="16" borderId="71" xfId="0" applyNumberFormat="1" applyFont="1" applyFill="1" applyBorder="1" applyAlignment="1">
      <alignment horizontal="centerContinuous" vertical="center"/>
    </xf>
    <xf numFmtId="178" fontId="16" fillId="16" borderId="50" xfId="0" applyNumberFormat="1" applyFont="1" applyFill="1" applyBorder="1" applyAlignment="1">
      <alignment horizontal="centerContinuous" vertical="center"/>
    </xf>
    <xf numFmtId="178" fontId="16" fillId="16" borderId="3" xfId="0" applyNumberFormat="1" applyFont="1" applyFill="1" applyBorder="1" applyAlignment="1">
      <alignment horizontal="centerContinuous" vertical="center"/>
    </xf>
    <xf numFmtId="178" fontId="16" fillId="16" borderId="2" xfId="0" applyNumberFormat="1" applyFont="1" applyFill="1" applyBorder="1" applyAlignment="1">
      <alignment horizontal="centerContinuous" vertical="center"/>
    </xf>
    <xf numFmtId="178" fontId="16" fillId="16" borderId="1" xfId="0" applyNumberFormat="1" applyFont="1" applyFill="1" applyBorder="1" applyAlignment="1">
      <alignment horizontal="centerContinuous" vertical="center"/>
    </xf>
    <xf numFmtId="178" fontId="0" fillId="0" borderId="0" xfId="0" applyNumberFormat="1" applyAlignment="1">
      <alignment horizontal="right" vertical="center"/>
    </xf>
    <xf numFmtId="178" fontId="19" fillId="0" borderId="0" xfId="0" applyNumberFormat="1" applyFont="1">
      <alignment vertical="center"/>
    </xf>
    <xf numFmtId="178" fontId="0" fillId="0" borderId="8" xfId="0" applyNumberFormat="1" applyBorder="1" applyAlignment="1">
      <alignment horizontal="right" vertical="center"/>
    </xf>
    <xf numFmtId="178" fontId="2" fillId="0" borderId="113" xfId="0" applyNumberFormat="1" applyFont="1" applyBorder="1" applyAlignment="1">
      <alignment horizontal="right" vertical="center"/>
    </xf>
    <xf numFmtId="178" fontId="0" fillId="0" borderId="6" xfId="0" applyNumberFormat="1" applyBorder="1" applyAlignment="1">
      <alignment horizontal="right" vertical="center"/>
    </xf>
    <xf numFmtId="178" fontId="0" fillId="0" borderId="5" xfId="0" applyNumberFormat="1" applyBorder="1" applyAlignment="1">
      <alignment horizontal="right" vertical="center"/>
    </xf>
    <xf numFmtId="178" fontId="2" fillId="0" borderId="102" xfId="0" applyNumberFormat="1" applyFont="1" applyBorder="1" applyAlignment="1">
      <alignment horizontal="right" vertical="center"/>
    </xf>
    <xf numFmtId="178" fontId="0" fillId="0" borderId="4" xfId="0" applyNumberFormat="1" applyBorder="1" applyAlignment="1">
      <alignment horizontal="right" vertical="center"/>
    </xf>
    <xf numFmtId="178" fontId="0" fillId="0" borderId="54" xfId="0" applyNumberFormat="1" applyBorder="1" applyAlignment="1">
      <alignment horizontal="right" vertical="center"/>
    </xf>
    <xf numFmtId="178" fontId="2" fillId="0" borderId="103" xfId="0" applyNumberFormat="1" applyFont="1" applyBorder="1" applyAlignment="1">
      <alignment horizontal="right" vertical="center"/>
    </xf>
    <xf numFmtId="178" fontId="0" fillId="0" borderId="18" xfId="0" applyNumberFormat="1" applyBorder="1" applyAlignment="1">
      <alignment horizontal="right" vertical="center"/>
    </xf>
    <xf numFmtId="178" fontId="0" fillId="0" borderId="18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right" vertical="center"/>
    </xf>
    <xf numFmtId="178" fontId="2" fillId="0" borderId="106" xfId="0" applyNumberFormat="1" applyFon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0" fillId="0" borderId="1" xfId="0" applyNumberFormat="1" applyBorder="1" applyAlignment="1">
      <alignment horizontal="center" vertical="center"/>
    </xf>
    <xf numFmtId="178" fontId="17" fillId="14" borderId="5" xfId="0" applyNumberFormat="1" applyFont="1" applyFill="1" applyBorder="1" applyAlignment="1">
      <alignment horizontal="right" vertical="center"/>
    </xf>
    <xf numFmtId="178" fontId="17" fillId="14" borderId="52" xfId="0" applyNumberFormat="1" applyFont="1" applyFill="1" applyBorder="1" applyAlignment="1">
      <alignment horizontal="right" vertical="center"/>
    </xf>
    <xf numFmtId="178" fontId="17" fillId="14" borderId="3" xfId="0" applyNumberFormat="1" applyFont="1" applyFill="1" applyBorder="1" applyAlignment="1">
      <alignment horizontal="right" vertical="center"/>
    </xf>
    <xf numFmtId="178" fontId="18" fillId="15" borderId="55" xfId="0" applyNumberFormat="1" applyFont="1" applyFill="1" applyBorder="1" applyAlignment="1">
      <alignment horizontal="right" vertical="center"/>
    </xf>
    <xf numFmtId="178" fontId="0" fillId="0" borderId="8" xfId="1" applyNumberFormat="1" applyFont="1" applyBorder="1">
      <alignment vertical="center"/>
    </xf>
    <xf numFmtId="178" fontId="2" fillId="0" borderId="113" xfId="1" applyNumberFormat="1" applyFont="1" applyBorder="1">
      <alignment vertical="center"/>
    </xf>
    <xf numFmtId="178" fontId="0" fillId="0" borderId="6" xfId="1" applyNumberFormat="1" applyFont="1" applyBorder="1">
      <alignment vertical="center"/>
    </xf>
    <xf numFmtId="178" fontId="0" fillId="0" borderId="5" xfId="1" applyNumberFormat="1" applyFont="1" applyBorder="1">
      <alignment vertical="center"/>
    </xf>
    <xf numFmtId="178" fontId="2" fillId="0" borderId="102" xfId="1" applyNumberFormat="1" applyFont="1" applyBorder="1">
      <alignment vertical="center"/>
    </xf>
    <xf numFmtId="178" fontId="0" fillId="0" borderId="4" xfId="1" applyNumberFormat="1" applyFont="1" applyBorder="1">
      <alignment vertical="center"/>
    </xf>
    <xf numFmtId="178" fontId="0" fillId="0" borderId="54" xfId="1" applyNumberFormat="1" applyFont="1" applyBorder="1">
      <alignment vertical="center"/>
    </xf>
    <xf numFmtId="178" fontId="2" fillId="0" borderId="103" xfId="1" applyNumberFormat="1" applyFont="1" applyBorder="1">
      <alignment vertical="center"/>
    </xf>
    <xf numFmtId="178" fontId="0" fillId="0" borderId="18" xfId="1" applyNumberFormat="1" applyFont="1" applyBorder="1">
      <alignment vertical="center"/>
    </xf>
    <xf numFmtId="178" fontId="0" fillId="0" borderId="0" xfId="0" quotePrefix="1" applyNumberFormat="1">
      <alignment vertical="center"/>
    </xf>
    <xf numFmtId="178" fontId="0" fillId="0" borderId="3" xfId="1" applyNumberFormat="1" applyFont="1" applyBorder="1">
      <alignment vertical="center"/>
    </xf>
    <xf numFmtId="178" fontId="2" fillId="0" borderId="106" xfId="1" applyNumberFormat="1" applyFont="1" applyBorder="1">
      <alignment vertical="center"/>
    </xf>
    <xf numFmtId="178" fontId="0" fillId="0" borderId="1" xfId="1" applyNumberFormat="1" applyFont="1" applyBorder="1">
      <alignment vertical="center"/>
    </xf>
    <xf numFmtId="178" fontId="17" fillId="14" borderId="5" xfId="1" applyNumberFormat="1" applyFont="1" applyFill="1" applyBorder="1" applyAlignment="1">
      <alignment horizontal="right" vertical="center"/>
    </xf>
    <xf numFmtId="178" fontId="17" fillId="14" borderId="102" xfId="1" applyNumberFormat="1" applyFont="1" applyFill="1" applyBorder="1" applyAlignment="1">
      <alignment horizontal="right" vertical="center"/>
    </xf>
    <xf numFmtId="178" fontId="17" fillId="14" borderId="4" xfId="1" applyNumberFormat="1" applyFont="1" applyFill="1" applyBorder="1" applyAlignment="1">
      <alignment horizontal="right" vertical="center"/>
    </xf>
    <xf numFmtId="178" fontId="17" fillId="14" borderId="52" xfId="1" applyNumberFormat="1" applyFont="1" applyFill="1" applyBorder="1" applyAlignment="1">
      <alignment horizontal="right" vertical="center"/>
    </xf>
    <xf numFmtId="178" fontId="17" fillId="14" borderId="107" xfId="1" applyNumberFormat="1" applyFont="1" applyFill="1" applyBorder="1" applyAlignment="1">
      <alignment horizontal="right" vertical="center"/>
    </xf>
    <xf numFmtId="178" fontId="17" fillId="14" borderId="80" xfId="1" applyNumberFormat="1" applyFont="1" applyFill="1" applyBorder="1" applyAlignment="1">
      <alignment horizontal="right" vertical="center"/>
    </xf>
    <xf numFmtId="178" fontId="17" fillId="14" borderId="3" xfId="1" applyNumberFormat="1" applyFont="1" applyFill="1" applyBorder="1" applyAlignment="1">
      <alignment horizontal="right" vertical="center"/>
    </xf>
    <xf numFmtId="178" fontId="17" fillId="14" borderId="106" xfId="1" applyNumberFormat="1" applyFont="1" applyFill="1" applyBorder="1" applyAlignment="1">
      <alignment horizontal="right" vertical="center"/>
    </xf>
    <xf numFmtId="178" fontId="17" fillId="14" borderId="1" xfId="1" applyNumberFormat="1" applyFont="1" applyFill="1" applyBorder="1" applyAlignment="1">
      <alignment horizontal="right" vertical="center"/>
    </xf>
    <xf numFmtId="178" fontId="18" fillId="15" borderId="55" xfId="1" applyNumberFormat="1" applyFont="1" applyFill="1" applyBorder="1" applyAlignment="1">
      <alignment horizontal="right" vertical="center"/>
    </xf>
    <xf numFmtId="178" fontId="18" fillId="15" borderId="110" xfId="1" applyNumberFormat="1" applyFont="1" applyFill="1" applyBorder="1" applyAlignment="1">
      <alignment horizontal="right" vertical="center"/>
    </xf>
    <xf numFmtId="178" fontId="18" fillId="15" borderId="48" xfId="1" applyNumberFormat="1" applyFont="1" applyFill="1" applyBorder="1" applyAlignment="1">
      <alignment horizontal="right" vertical="center"/>
    </xf>
    <xf numFmtId="179" fontId="0" fillId="0" borderId="8" xfId="0" applyNumberFormat="1" applyBorder="1">
      <alignment vertical="center"/>
    </xf>
    <xf numFmtId="179" fontId="2" fillId="0" borderId="113" xfId="0" applyNumberFormat="1" applyFont="1" applyBorder="1">
      <alignment vertical="center"/>
    </xf>
    <xf numFmtId="179" fontId="0" fillId="0" borderId="6" xfId="0" applyNumberFormat="1" applyBorder="1">
      <alignment vertical="center"/>
    </xf>
    <xf numFmtId="178" fontId="2" fillId="0" borderId="113" xfId="0" applyNumberFormat="1" applyFont="1" applyBorder="1">
      <alignment vertical="center"/>
    </xf>
    <xf numFmtId="9" fontId="0" fillId="0" borderId="8" xfId="0" applyNumberFormat="1" applyBorder="1">
      <alignment vertical="center"/>
    </xf>
    <xf numFmtId="9" fontId="2" fillId="0" borderId="113" xfId="0" applyNumberFormat="1" applyFont="1" applyBorder="1">
      <alignment vertical="center"/>
    </xf>
    <xf numFmtId="9" fontId="0" fillId="0" borderId="6" xfId="0" applyNumberFormat="1" applyBorder="1">
      <alignment vertical="center"/>
    </xf>
    <xf numFmtId="179" fontId="0" fillId="0" borderId="5" xfId="0" applyNumberFormat="1" applyBorder="1">
      <alignment vertical="center"/>
    </xf>
    <xf numFmtId="179" fontId="2" fillId="0" borderId="102" xfId="0" applyNumberFormat="1" applyFont="1" applyBorder="1">
      <alignment vertical="center"/>
    </xf>
    <xf numFmtId="179" fontId="0" fillId="0" borderId="4" xfId="0" applyNumberFormat="1" applyBorder="1">
      <alignment vertical="center"/>
    </xf>
    <xf numFmtId="9" fontId="0" fillId="0" borderId="5" xfId="0" applyNumberFormat="1" applyBorder="1">
      <alignment vertical="center"/>
    </xf>
    <xf numFmtId="9" fontId="2" fillId="0" borderId="102" xfId="0" applyNumberFormat="1" applyFont="1" applyBorder="1">
      <alignment vertical="center"/>
    </xf>
    <xf numFmtId="9" fontId="0" fillId="0" borderId="4" xfId="0" applyNumberFormat="1" applyBorder="1">
      <alignment vertical="center"/>
    </xf>
    <xf numFmtId="179" fontId="0" fillId="0" borderId="54" xfId="0" applyNumberFormat="1" applyBorder="1">
      <alignment vertical="center"/>
    </xf>
    <xf numFmtId="179" fontId="2" fillId="0" borderId="103" xfId="0" applyNumberFormat="1" applyFont="1" applyBorder="1">
      <alignment vertical="center"/>
    </xf>
    <xf numFmtId="179" fontId="0" fillId="0" borderId="18" xfId="0" applyNumberFormat="1" applyBorder="1">
      <alignment vertical="center"/>
    </xf>
    <xf numFmtId="9" fontId="0" fillId="0" borderId="54" xfId="0" applyNumberFormat="1" applyBorder="1">
      <alignment vertical="center"/>
    </xf>
    <xf numFmtId="9" fontId="2" fillId="0" borderId="103" xfId="0" applyNumberFormat="1" applyFont="1" applyBorder="1">
      <alignment vertical="center"/>
    </xf>
    <xf numFmtId="9" fontId="0" fillId="0" borderId="18" xfId="0" applyNumberFormat="1" applyBorder="1">
      <alignment vertical="center"/>
    </xf>
    <xf numFmtId="179" fontId="0" fillId="0" borderId="3" xfId="0" applyNumberFormat="1" applyBorder="1">
      <alignment vertical="center"/>
    </xf>
    <xf numFmtId="179" fontId="2" fillId="0" borderId="106" xfId="0" applyNumberFormat="1" applyFont="1" applyBorder="1">
      <alignment vertical="center"/>
    </xf>
    <xf numFmtId="179" fontId="0" fillId="0" borderId="1" xfId="0" applyNumberFormat="1" applyBorder="1">
      <alignment vertical="center"/>
    </xf>
    <xf numFmtId="9" fontId="0" fillId="0" borderId="3" xfId="0" applyNumberFormat="1" applyBorder="1">
      <alignment vertical="center"/>
    </xf>
    <xf numFmtId="9" fontId="2" fillId="0" borderId="106" xfId="0" applyNumberFormat="1" applyFont="1" applyBorder="1">
      <alignment vertical="center"/>
    </xf>
    <xf numFmtId="9" fontId="0" fillId="0" borderId="1" xfId="0" applyNumberFormat="1" applyBorder="1">
      <alignment vertical="center"/>
    </xf>
    <xf numFmtId="9" fontId="17" fillId="14" borderId="5" xfId="0" applyNumberFormat="1" applyFont="1" applyFill="1" applyBorder="1" applyAlignment="1">
      <alignment horizontal="right" vertical="center"/>
    </xf>
    <xf numFmtId="9" fontId="17" fillId="14" borderId="102" xfId="0" applyNumberFormat="1" applyFont="1" applyFill="1" applyBorder="1" applyAlignment="1">
      <alignment horizontal="right" vertical="center"/>
    </xf>
    <xf numFmtId="9" fontId="17" fillId="14" borderId="4" xfId="0" applyNumberFormat="1" applyFont="1" applyFill="1" applyBorder="1" applyAlignment="1">
      <alignment horizontal="right" vertical="center"/>
    </xf>
    <xf numFmtId="9" fontId="17" fillId="14" borderId="52" xfId="0" applyNumberFormat="1" applyFont="1" applyFill="1" applyBorder="1" applyAlignment="1">
      <alignment horizontal="right" vertical="center"/>
    </xf>
    <xf numFmtId="9" fontId="17" fillId="14" borderId="107" xfId="0" applyNumberFormat="1" applyFont="1" applyFill="1" applyBorder="1" applyAlignment="1">
      <alignment horizontal="right" vertical="center"/>
    </xf>
    <xf numFmtId="9" fontId="17" fillId="14" borderId="80" xfId="0" applyNumberFormat="1" applyFont="1" applyFill="1" applyBorder="1" applyAlignment="1">
      <alignment horizontal="right" vertical="center"/>
    </xf>
    <xf numFmtId="9" fontId="17" fillId="14" borderId="3" xfId="0" applyNumberFormat="1" applyFont="1" applyFill="1" applyBorder="1" applyAlignment="1">
      <alignment horizontal="right" vertical="center"/>
    </xf>
    <xf numFmtId="9" fontId="17" fillId="14" borderId="106" xfId="0" applyNumberFormat="1" applyFont="1" applyFill="1" applyBorder="1" applyAlignment="1">
      <alignment horizontal="right" vertical="center"/>
    </xf>
    <xf numFmtId="9" fontId="17" fillId="14" borderId="1" xfId="0" applyNumberFormat="1" applyFont="1" applyFill="1" applyBorder="1" applyAlignment="1">
      <alignment horizontal="right" vertical="center"/>
    </xf>
    <xf numFmtId="9" fontId="18" fillId="15" borderId="55" xfId="0" applyNumberFormat="1" applyFont="1" applyFill="1" applyBorder="1" applyAlignment="1">
      <alignment horizontal="right" vertical="center"/>
    </xf>
    <xf numFmtId="9" fontId="18" fillId="15" borderId="110" xfId="0" applyNumberFormat="1" applyFont="1" applyFill="1" applyBorder="1" applyAlignment="1">
      <alignment horizontal="right" vertical="center"/>
    </xf>
    <xf numFmtId="9" fontId="18" fillId="15" borderId="48" xfId="0" applyNumberFormat="1" applyFont="1" applyFill="1" applyBorder="1" applyAlignment="1">
      <alignment horizontal="right" vertical="center"/>
    </xf>
    <xf numFmtId="178" fontId="0" fillId="0" borderId="0" xfId="0" applyNumberFormat="1" applyFill="1" applyBorder="1">
      <alignment vertical="center"/>
    </xf>
    <xf numFmtId="178" fontId="20" fillId="0" borderId="0" xfId="0" applyNumberFormat="1" applyFont="1">
      <alignment vertical="center"/>
    </xf>
    <xf numFmtId="178" fontId="16" fillId="0" borderId="0" xfId="0" applyNumberFormat="1" applyFont="1" applyFill="1" applyBorder="1" applyAlignment="1">
      <alignment vertical="center"/>
    </xf>
    <xf numFmtId="0" fontId="14" fillId="6" borderId="117" xfId="0" applyFont="1" applyFill="1" applyBorder="1" applyAlignment="1">
      <alignment horizontal="centerContinuous" vertical="center"/>
    </xf>
    <xf numFmtId="0" fontId="14" fillId="6" borderId="65" xfId="0" applyFont="1" applyFill="1" applyBorder="1" applyAlignment="1">
      <alignment horizontal="centerContinuous" vertical="center"/>
    </xf>
    <xf numFmtId="0" fontId="14" fillId="6" borderId="67" xfId="0" applyFont="1" applyFill="1" applyBorder="1" applyAlignment="1">
      <alignment horizontal="centerContinuous" vertical="center"/>
    </xf>
    <xf numFmtId="0" fontId="14" fillId="6" borderId="118" xfId="0" applyFont="1" applyFill="1" applyBorder="1" applyAlignment="1">
      <alignment horizontal="centerContinuous" vertical="center"/>
    </xf>
    <xf numFmtId="0" fontId="14" fillId="6" borderId="55" xfId="0" applyFont="1" applyFill="1" applyBorder="1" applyAlignment="1">
      <alignment horizontal="centerContinuous" vertical="center"/>
    </xf>
    <xf numFmtId="178" fontId="2" fillId="0" borderId="1" xfId="0" applyNumberFormat="1" applyFont="1" applyBorder="1" applyAlignment="1">
      <alignment horizontal="centerContinuous" vertical="center"/>
    </xf>
    <xf numFmtId="178" fontId="2" fillId="0" borderId="27" xfId="0" applyNumberFormat="1" applyFont="1" applyBorder="1" applyAlignment="1">
      <alignment horizontal="centerContinuous" vertical="center"/>
    </xf>
    <xf numFmtId="178" fontId="6" fillId="0" borderId="119" xfId="0" applyNumberFormat="1" applyFont="1" applyBorder="1">
      <alignment vertical="center"/>
    </xf>
    <xf numFmtId="178" fontId="6" fillId="0" borderId="68" xfId="0" applyNumberFormat="1" applyFont="1" applyBorder="1">
      <alignment vertical="center"/>
    </xf>
    <xf numFmtId="178" fontId="6" fillId="0" borderId="2" xfId="0" applyNumberFormat="1" applyFont="1" applyBorder="1">
      <alignment vertical="center"/>
    </xf>
    <xf numFmtId="178" fontId="6" fillId="0" borderId="120" xfId="0" applyNumberFormat="1" applyFont="1" applyBorder="1">
      <alignment vertical="center"/>
    </xf>
    <xf numFmtId="178" fontId="6" fillId="0" borderId="3" xfId="0" applyNumberFormat="1" applyFont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6" xfId="0" applyNumberFormat="1" applyFont="1" applyBorder="1" applyAlignment="1">
      <alignment horizontal="centerContinuous" vertical="center"/>
    </xf>
    <xf numFmtId="178" fontId="2" fillId="0" borderId="121" xfId="0" applyNumberFormat="1" applyFont="1" applyBorder="1" applyAlignment="1">
      <alignment horizontal="centerContinuous" vertical="center"/>
    </xf>
    <xf numFmtId="178" fontId="6" fillId="0" borderId="122" xfId="0" applyNumberFormat="1" applyFont="1" applyBorder="1">
      <alignment vertical="center"/>
    </xf>
    <xf numFmtId="178" fontId="6" fillId="0" borderId="70" xfId="0" applyNumberFormat="1" applyFont="1" applyBorder="1">
      <alignment vertical="center"/>
    </xf>
    <xf numFmtId="178" fontId="6" fillId="0" borderId="7" xfId="0" applyNumberFormat="1" applyFont="1" applyBorder="1">
      <alignment vertical="center"/>
    </xf>
    <xf numFmtId="178" fontId="6" fillId="0" borderId="123" xfId="0" applyNumberFormat="1" applyFont="1" applyBorder="1">
      <alignment vertical="center"/>
    </xf>
    <xf numFmtId="178" fontId="6" fillId="0" borderId="8" xfId="0" applyNumberFormat="1" applyFont="1" applyBorder="1">
      <alignment vertical="center"/>
    </xf>
    <xf numFmtId="178" fontId="2" fillId="0" borderId="4" xfId="0" applyNumberFormat="1" applyFont="1" applyBorder="1" applyAlignment="1">
      <alignment horizontal="centerContinuous" vertical="center"/>
    </xf>
    <xf numFmtId="178" fontId="2" fillId="0" borderId="31" xfId="0" applyNumberFormat="1" applyFont="1" applyBorder="1" applyAlignment="1">
      <alignment horizontal="centerContinuous" vertical="center"/>
    </xf>
    <xf numFmtId="178" fontId="6" fillId="0" borderId="124" xfId="0" applyNumberFormat="1" applyFont="1" applyBorder="1">
      <alignment vertical="center"/>
    </xf>
    <xf numFmtId="178" fontId="6" fillId="0" borderId="69" xfId="0" applyNumberFormat="1" applyFont="1" applyBorder="1">
      <alignment vertical="center"/>
    </xf>
    <xf numFmtId="178" fontId="6" fillId="0" borderId="0" xfId="0" applyNumberFormat="1" applyFont="1" applyBorder="1">
      <alignment vertical="center"/>
    </xf>
    <xf numFmtId="178" fontId="6" fillId="0" borderId="125" xfId="0" applyNumberFormat="1" applyFont="1" applyBorder="1">
      <alignment vertical="center"/>
    </xf>
    <xf numFmtId="178" fontId="6" fillId="0" borderId="5" xfId="0" applyNumberFormat="1" applyFont="1" applyBorder="1">
      <alignment vertical="center"/>
    </xf>
    <xf numFmtId="178" fontId="2" fillId="0" borderId="33" xfId="0" applyNumberFormat="1" applyFont="1" applyBorder="1" applyAlignment="1">
      <alignment horizontal="centerContinuous" vertical="center"/>
    </xf>
    <xf numFmtId="178" fontId="6" fillId="0" borderId="126" xfId="0" applyNumberFormat="1" applyFont="1" applyBorder="1">
      <alignment vertical="center"/>
    </xf>
    <xf numFmtId="178" fontId="6" fillId="0" borderId="127" xfId="0" applyNumberFormat="1" applyFont="1" applyBorder="1">
      <alignment vertical="center"/>
    </xf>
    <xf numFmtId="178" fontId="6" fillId="0" borderId="23" xfId="0" applyNumberFormat="1" applyFont="1" applyBorder="1">
      <alignment vertical="center"/>
    </xf>
    <xf numFmtId="178" fontId="6" fillId="0" borderId="128" xfId="0" applyNumberFormat="1" applyFont="1" applyBorder="1">
      <alignment vertical="center"/>
    </xf>
    <xf numFmtId="178" fontId="6" fillId="0" borderId="51" xfId="0" applyNumberFormat="1" applyFont="1" applyBorder="1">
      <alignment vertical="center"/>
    </xf>
    <xf numFmtId="178" fontId="2" fillId="0" borderId="66" xfId="0" applyNumberFormat="1" applyFont="1" applyBorder="1" applyAlignment="1">
      <alignment horizontal="centerContinuous" vertical="center"/>
    </xf>
    <xf numFmtId="178" fontId="6" fillId="0" borderId="129" xfId="0" applyNumberFormat="1" applyFont="1" applyBorder="1">
      <alignment vertical="center"/>
    </xf>
    <xf numFmtId="178" fontId="6" fillId="0" borderId="104" xfId="0" applyNumberFormat="1" applyFont="1" applyBorder="1">
      <alignment vertical="center"/>
    </xf>
    <xf numFmtId="178" fontId="6" fillId="0" borderId="130" xfId="0" applyNumberFormat="1" applyFont="1" applyBorder="1">
      <alignment vertical="center"/>
    </xf>
    <xf numFmtId="178" fontId="2" fillId="0" borderId="64" xfId="0" applyNumberFormat="1" applyFont="1" applyBorder="1" applyAlignment="1">
      <alignment horizontal="centerContinuous" vertical="center"/>
    </xf>
    <xf numFmtId="178" fontId="6" fillId="0" borderId="131" xfId="0" applyNumberFormat="1" applyFont="1" applyBorder="1">
      <alignment vertical="center"/>
    </xf>
    <xf numFmtId="178" fontId="6" fillId="0" borderId="73" xfId="0" applyNumberFormat="1" applyFont="1" applyBorder="1">
      <alignment vertical="center"/>
    </xf>
    <xf numFmtId="178" fontId="6" fillId="0" borderId="64" xfId="0" applyNumberFormat="1" applyFont="1" applyBorder="1">
      <alignment vertical="center"/>
    </xf>
    <xf numFmtId="178" fontId="6" fillId="0" borderId="132" xfId="0" applyNumberFormat="1" applyFont="1" applyBorder="1">
      <alignment vertical="center"/>
    </xf>
    <xf numFmtId="178" fontId="6" fillId="0" borderId="50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right" vertical="center"/>
    </xf>
    <xf numFmtId="177" fontId="6" fillId="0" borderId="124" xfId="0" applyNumberFormat="1" applyFont="1" applyBorder="1">
      <alignment vertical="center"/>
    </xf>
    <xf numFmtId="177" fontId="6" fillId="0" borderId="69" xfId="0" applyNumberFormat="1" applyFont="1" applyBorder="1">
      <alignment vertical="center"/>
    </xf>
    <xf numFmtId="177" fontId="6" fillId="0" borderId="0" xfId="0" applyNumberFormat="1" applyFont="1" applyBorder="1">
      <alignment vertical="center"/>
    </xf>
    <xf numFmtId="177" fontId="6" fillId="0" borderId="125" xfId="0" applyNumberFormat="1" applyFont="1" applyBorder="1">
      <alignment vertical="center"/>
    </xf>
    <xf numFmtId="177" fontId="6" fillId="0" borderId="5" xfId="0" applyNumberFormat="1" applyFont="1" applyBorder="1">
      <alignment vertical="center"/>
    </xf>
    <xf numFmtId="178" fontId="2" fillId="0" borderId="32" xfId="0" applyNumberFormat="1" applyFont="1" applyBorder="1" applyAlignment="1">
      <alignment horizontal="centerContinuous" vertical="center"/>
    </xf>
    <xf numFmtId="178" fontId="2" fillId="0" borderId="33" xfId="0" applyNumberFormat="1" applyFont="1" applyBorder="1" applyAlignment="1">
      <alignment horizontal="right" vertical="center"/>
    </xf>
    <xf numFmtId="177" fontId="6" fillId="0" borderId="126" xfId="0" applyNumberFormat="1" applyFont="1" applyBorder="1">
      <alignment vertical="center"/>
    </xf>
    <xf numFmtId="177" fontId="6" fillId="0" borderId="127" xfId="0" applyNumberFormat="1" applyFont="1" applyBorder="1">
      <alignment vertical="center"/>
    </xf>
    <xf numFmtId="177" fontId="6" fillId="0" borderId="23" xfId="0" applyNumberFormat="1" applyFont="1" applyBorder="1">
      <alignment vertical="center"/>
    </xf>
    <xf numFmtId="177" fontId="6" fillId="0" borderId="128" xfId="0" applyNumberFormat="1" applyFont="1" applyBorder="1">
      <alignment vertical="center"/>
    </xf>
    <xf numFmtId="177" fontId="6" fillId="0" borderId="51" xfId="0" applyNumberFormat="1" applyFont="1" applyBorder="1">
      <alignment vertical="center"/>
    </xf>
    <xf numFmtId="178" fontId="2" fillId="0" borderId="0" xfId="0" applyNumberFormat="1" applyFont="1" applyBorder="1" applyAlignment="1">
      <alignment horizontal="centerContinuous" vertical="center"/>
    </xf>
    <xf numFmtId="178" fontId="2" fillId="0" borderId="7" xfId="0" applyNumberFormat="1" applyFont="1" applyBorder="1" applyAlignment="1">
      <alignment horizontal="right" vertical="center"/>
    </xf>
    <xf numFmtId="177" fontId="6" fillId="0" borderId="133" xfId="0" applyNumberFormat="1" applyFont="1" applyBorder="1">
      <alignment vertical="center"/>
    </xf>
    <xf numFmtId="177" fontId="6" fillId="0" borderId="134" xfId="0" applyNumberFormat="1" applyFont="1" applyBorder="1">
      <alignment vertical="center"/>
    </xf>
    <xf numFmtId="177" fontId="6" fillId="0" borderId="135" xfId="0" applyNumberFormat="1" applyFont="1" applyBorder="1">
      <alignment vertical="center"/>
    </xf>
    <xf numFmtId="177" fontId="6" fillId="0" borderId="136" xfId="0" applyNumberFormat="1" applyFont="1" applyBorder="1">
      <alignment vertical="center"/>
    </xf>
    <xf numFmtId="177" fontId="6" fillId="0" borderId="7" xfId="0" applyNumberFormat="1" applyFont="1" applyBorder="1">
      <alignment vertical="center"/>
    </xf>
    <xf numFmtId="177" fontId="6" fillId="0" borderId="70" xfId="0" applyNumberFormat="1" applyFont="1" applyBorder="1">
      <alignment vertical="center"/>
    </xf>
    <xf numFmtId="177" fontId="6" fillId="0" borderId="8" xfId="0" applyNumberFormat="1" applyFont="1" applyBorder="1">
      <alignment vertical="center"/>
    </xf>
    <xf numFmtId="178" fontId="0" fillId="0" borderId="7" xfId="0" applyNumberFormat="1" applyBorder="1">
      <alignment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 wrapText="1"/>
    </xf>
    <xf numFmtId="178" fontId="0" fillId="0" borderId="55" xfId="0" applyNumberFormat="1" applyBorder="1" applyAlignment="1">
      <alignment horizontal="center" vertical="center"/>
    </xf>
    <xf numFmtId="178" fontId="0" fillId="0" borderId="30" xfId="0" applyNumberFormat="1" applyBorder="1" applyAlignment="1">
      <alignment horizontal="center" vertical="center" wrapText="1"/>
    </xf>
    <xf numFmtId="183" fontId="0" fillId="0" borderId="0" xfId="0" applyNumberFormat="1">
      <alignment vertical="center"/>
    </xf>
    <xf numFmtId="178" fontId="0" fillId="0" borderId="3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7" fontId="0" fillId="0" borderId="17" xfId="0" applyNumberFormat="1" applyBorder="1">
      <alignment vertical="center"/>
    </xf>
    <xf numFmtId="178" fontId="2" fillId="4" borderId="0" xfId="0" applyNumberFormat="1" applyFont="1" applyFill="1">
      <alignment vertical="center"/>
    </xf>
    <xf numFmtId="178" fontId="16" fillId="0" borderId="0" xfId="0" applyNumberFormat="1" applyFont="1" applyFill="1" applyBorder="1" applyAlignment="1">
      <alignment horizontal="centerContinuous" vertical="center"/>
    </xf>
    <xf numFmtId="178" fontId="16" fillId="6" borderId="28" xfId="0" applyNumberFormat="1" applyFont="1" applyFill="1" applyBorder="1" applyAlignment="1">
      <alignment horizontal="centerContinuous" vertical="center"/>
    </xf>
    <xf numFmtId="178" fontId="16" fillId="6" borderId="29" xfId="0" applyNumberFormat="1" applyFont="1" applyFill="1" applyBorder="1" applyAlignment="1">
      <alignment horizontal="centerContinuous" vertical="center"/>
    </xf>
    <xf numFmtId="178" fontId="16" fillId="6" borderId="27" xfId="0" applyNumberFormat="1" applyFont="1" applyFill="1" applyBorder="1" applyAlignment="1">
      <alignment horizontal="centerContinuous" vertical="center"/>
    </xf>
    <xf numFmtId="178" fontId="16" fillId="6" borderId="137" xfId="0" applyNumberFormat="1" applyFont="1" applyFill="1" applyBorder="1" applyAlignment="1">
      <alignment horizontal="centerContinuous" vertical="center"/>
    </xf>
    <xf numFmtId="178" fontId="16" fillId="6" borderId="138" xfId="0" applyNumberFormat="1" applyFont="1" applyFill="1" applyBorder="1" applyAlignment="1">
      <alignment horizontal="centerContinuous" vertical="center"/>
    </xf>
    <xf numFmtId="178" fontId="16" fillId="6" borderId="139" xfId="0" applyNumberFormat="1" applyFont="1" applyFill="1" applyBorder="1" applyAlignment="1">
      <alignment horizontal="centerContinuous" vertical="center"/>
    </xf>
    <xf numFmtId="178" fontId="16" fillId="6" borderId="39" xfId="0" applyNumberFormat="1" applyFont="1" applyFill="1" applyBorder="1" applyAlignment="1">
      <alignment horizontal="centerContinuous" vertical="center"/>
    </xf>
    <xf numFmtId="178" fontId="2" fillId="0" borderId="0" xfId="0" applyNumberFormat="1" applyFont="1" applyFill="1" applyBorder="1" applyAlignment="1">
      <alignment horizontal="center" vertical="center"/>
    </xf>
    <xf numFmtId="178" fontId="16" fillId="6" borderId="71" xfId="0" applyNumberFormat="1" applyFont="1" applyFill="1" applyBorder="1" applyAlignment="1">
      <alignment horizontal="center" vertical="center"/>
    </xf>
    <xf numFmtId="178" fontId="16" fillId="6" borderId="10" xfId="0" applyNumberFormat="1" applyFont="1" applyFill="1" applyBorder="1" applyAlignment="1">
      <alignment horizontal="center" vertical="center"/>
    </xf>
    <xf numFmtId="178" fontId="16" fillId="6" borderId="45" xfId="0" applyNumberFormat="1" applyFont="1" applyFill="1" applyBorder="1" applyAlignment="1">
      <alignment horizontal="center" vertical="center"/>
    </xf>
    <xf numFmtId="178" fontId="16" fillId="6" borderId="140" xfId="0" applyNumberFormat="1" applyFont="1" applyFill="1" applyBorder="1" applyAlignment="1">
      <alignment horizontal="center" vertical="center"/>
    </xf>
    <xf numFmtId="178" fontId="16" fillId="6" borderId="64" xfId="0" applyNumberFormat="1" applyFont="1" applyFill="1" applyBorder="1" applyAlignment="1">
      <alignment horizontal="center" vertical="center"/>
    </xf>
    <xf numFmtId="178" fontId="16" fillId="6" borderId="131" xfId="0" applyNumberFormat="1" applyFont="1" applyFill="1" applyBorder="1" applyAlignment="1">
      <alignment horizontal="center" vertical="center"/>
    </xf>
    <xf numFmtId="178" fontId="16" fillId="6" borderId="132" xfId="0" applyNumberFormat="1" applyFont="1" applyFill="1" applyBorder="1" applyAlignment="1">
      <alignment horizontal="center" vertical="center"/>
    </xf>
    <xf numFmtId="178" fontId="2" fillId="0" borderId="28" xfId="0" applyNumberFormat="1" applyFont="1" applyFill="1" applyBorder="1" applyAlignment="1">
      <alignment horizontal="center" vertical="center"/>
    </xf>
    <xf numFmtId="178" fontId="2" fillId="0" borderId="27" xfId="0" applyNumberFormat="1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vertical="center"/>
    </xf>
    <xf numFmtId="178" fontId="2" fillId="0" borderId="29" xfId="0" applyNumberFormat="1" applyFont="1" applyFill="1" applyBorder="1" applyAlignment="1">
      <alignment vertical="center"/>
    </xf>
    <xf numFmtId="178" fontId="6" fillId="0" borderId="39" xfId="0" applyNumberFormat="1" applyFont="1" applyFill="1" applyBorder="1" applyAlignment="1">
      <alignment vertical="center"/>
    </xf>
    <xf numFmtId="178" fontId="6" fillId="0" borderId="27" xfId="0" applyNumberFormat="1" applyFont="1" applyFill="1" applyBorder="1" applyAlignment="1">
      <alignment vertical="center"/>
    </xf>
    <xf numFmtId="178" fontId="6" fillId="0" borderId="2" xfId="0" applyNumberFormat="1" applyFont="1" applyFill="1" applyBorder="1" applyAlignment="1">
      <alignment vertical="center"/>
    </xf>
    <xf numFmtId="178" fontId="6" fillId="0" borderId="119" xfId="0" applyNumberFormat="1" applyFont="1" applyFill="1" applyBorder="1" applyAlignment="1">
      <alignment vertical="center"/>
    </xf>
    <xf numFmtId="178" fontId="6" fillId="0" borderId="120" xfId="0" applyNumberFormat="1" applyFont="1" applyFill="1" applyBorder="1" applyAlignment="1">
      <alignment vertical="center"/>
    </xf>
    <xf numFmtId="178" fontId="2" fillId="0" borderId="12" xfId="0" applyNumberFormat="1" applyFont="1" applyFill="1" applyBorder="1" applyAlignment="1">
      <alignment horizontal="center" vertical="center"/>
    </xf>
    <xf numFmtId="9" fontId="2" fillId="0" borderId="31" xfId="0" applyNumberFormat="1" applyFont="1" applyFill="1" applyBorder="1" applyAlignment="1">
      <alignment horizontal="right" vertical="center"/>
    </xf>
    <xf numFmtId="9" fontId="6" fillId="0" borderId="4" xfId="0" applyNumberFormat="1" applyFont="1" applyFill="1" applyBorder="1" applyAlignment="1">
      <alignment vertical="center"/>
    </xf>
    <xf numFmtId="9" fontId="2" fillId="0" borderId="13" xfId="0" applyNumberFormat="1" applyFont="1" applyFill="1" applyBorder="1" applyAlignment="1">
      <alignment vertical="center"/>
    </xf>
    <xf numFmtId="9" fontId="6" fillId="0" borderId="46" xfId="0" applyNumberFormat="1" applyFont="1" applyFill="1" applyBorder="1" applyAlignment="1">
      <alignment vertical="center"/>
    </xf>
    <xf numFmtId="9" fontId="6" fillId="0" borderId="31" xfId="0" applyNumberFormat="1" applyFont="1" applyFill="1" applyBorder="1" applyAlignment="1">
      <alignment vertical="center"/>
    </xf>
    <xf numFmtId="9" fontId="6" fillId="0" borderId="0" xfId="0" applyNumberFormat="1" applyFont="1" applyFill="1" applyBorder="1" applyAlignment="1">
      <alignment vertical="center"/>
    </xf>
    <xf numFmtId="9" fontId="6" fillId="0" borderId="124" xfId="0" applyNumberFormat="1" applyFont="1" applyFill="1" applyBorder="1" applyAlignment="1">
      <alignment vertical="center"/>
    </xf>
    <xf numFmtId="9" fontId="6" fillId="0" borderId="125" xfId="0" applyNumberFormat="1" applyFont="1" applyFill="1" applyBorder="1" applyAlignment="1">
      <alignment vertical="center"/>
    </xf>
    <xf numFmtId="178" fontId="6" fillId="0" borderId="0" xfId="0" applyNumberFormat="1" applyFont="1" applyFill="1" applyBorder="1">
      <alignment vertical="center"/>
    </xf>
    <xf numFmtId="178" fontId="2" fillId="0" borderId="32" xfId="0" applyNumberFormat="1" applyFont="1" applyFill="1" applyBorder="1" applyAlignment="1">
      <alignment horizontal="center" vertical="center"/>
    </xf>
    <xf numFmtId="178" fontId="6" fillId="0" borderId="18" xfId="0" applyNumberFormat="1" applyFont="1" applyFill="1" applyBorder="1" applyAlignment="1">
      <alignment vertical="center"/>
    </xf>
    <xf numFmtId="178" fontId="2" fillId="0" borderId="20" xfId="0" applyNumberFormat="1" applyFont="1" applyFill="1" applyBorder="1" applyAlignment="1">
      <alignment vertical="center"/>
    </xf>
    <xf numFmtId="178" fontId="6" fillId="0" borderId="53" xfId="0" applyNumberFormat="1" applyFont="1" applyFill="1" applyBorder="1" applyAlignment="1">
      <alignment vertical="center"/>
    </xf>
    <xf numFmtId="178" fontId="6" fillId="0" borderId="32" xfId="0" applyNumberFormat="1" applyFont="1" applyFill="1" applyBorder="1" applyAlignment="1">
      <alignment vertical="center"/>
    </xf>
    <xf numFmtId="178" fontId="6" fillId="0" borderId="66" xfId="0" applyNumberFormat="1" applyFont="1" applyFill="1" applyBorder="1" applyAlignment="1">
      <alignment vertical="center"/>
    </xf>
    <xf numFmtId="178" fontId="6" fillId="0" borderId="129" xfId="0" applyNumberFormat="1" applyFont="1" applyFill="1" applyBorder="1" applyAlignment="1">
      <alignment vertical="center"/>
    </xf>
    <xf numFmtId="178" fontId="6" fillId="0" borderId="130" xfId="0" applyNumberFormat="1" applyFont="1" applyFill="1" applyBorder="1" applyAlignment="1">
      <alignment vertical="center"/>
    </xf>
    <xf numFmtId="178" fontId="2" fillId="0" borderId="4" xfId="0" applyNumberFormat="1" applyFont="1" applyFill="1" applyBorder="1" applyAlignment="1">
      <alignment horizontal="center" vertical="center"/>
    </xf>
    <xf numFmtId="9" fontId="2" fillId="0" borderId="33" xfId="0" applyNumberFormat="1" applyFont="1" applyFill="1" applyBorder="1" applyAlignment="1">
      <alignment horizontal="right" vertical="center"/>
    </xf>
    <xf numFmtId="9" fontId="6" fillId="0" borderId="22" xfId="0" applyNumberFormat="1" applyFont="1" applyFill="1" applyBorder="1" applyAlignment="1">
      <alignment vertical="center"/>
    </xf>
    <xf numFmtId="9" fontId="2" fillId="0" borderId="25" xfId="0" applyNumberFormat="1" applyFont="1" applyFill="1" applyBorder="1" applyAlignment="1">
      <alignment vertical="center"/>
    </xf>
    <xf numFmtId="9" fontId="6" fillId="0" borderId="49" xfId="0" applyNumberFormat="1" applyFont="1" applyFill="1" applyBorder="1" applyAlignment="1">
      <alignment vertical="center"/>
    </xf>
    <xf numFmtId="9" fontId="6" fillId="0" borderId="33" xfId="0" applyNumberFormat="1" applyFont="1" applyFill="1" applyBorder="1" applyAlignment="1">
      <alignment vertical="center"/>
    </xf>
    <xf numFmtId="9" fontId="6" fillId="0" borderId="23" xfId="0" applyNumberFormat="1" applyFont="1" applyFill="1" applyBorder="1" applyAlignment="1">
      <alignment vertical="center"/>
    </xf>
    <xf numFmtId="9" fontId="6" fillId="0" borderId="126" xfId="0" applyNumberFormat="1" applyFont="1" applyFill="1" applyBorder="1" applyAlignment="1">
      <alignment vertical="center"/>
    </xf>
    <xf numFmtId="9" fontId="6" fillId="0" borderId="128" xfId="0" applyNumberFormat="1" applyFont="1" applyFill="1" applyBorder="1" applyAlignment="1">
      <alignment vertical="center"/>
    </xf>
    <xf numFmtId="178" fontId="2" fillId="0" borderId="6" xfId="0" applyNumberFormat="1" applyFont="1" applyFill="1" applyBorder="1" applyAlignment="1">
      <alignment horizontal="center" vertical="center"/>
    </xf>
    <xf numFmtId="178" fontId="2" fillId="0" borderId="64" xfId="0" applyNumberFormat="1" applyFont="1" applyFill="1" applyBorder="1" applyAlignment="1">
      <alignment horizontal="center" vertical="center"/>
    </xf>
    <xf numFmtId="178" fontId="6" fillId="0" borderId="71" xfId="0" applyNumberFormat="1" applyFont="1" applyFill="1" applyBorder="1" applyAlignment="1">
      <alignment vertical="center"/>
    </xf>
    <xf numFmtId="178" fontId="2" fillId="0" borderId="10" xfId="0" applyNumberFormat="1" applyFont="1" applyFill="1" applyBorder="1" applyAlignment="1">
      <alignment vertical="center"/>
    </xf>
    <xf numFmtId="178" fontId="6" fillId="0" borderId="45" xfId="0" applyNumberFormat="1" applyFont="1" applyFill="1" applyBorder="1" applyAlignment="1">
      <alignment vertical="center"/>
    </xf>
    <xf numFmtId="178" fontId="6" fillId="0" borderId="140" xfId="0" applyNumberFormat="1" applyFont="1" applyFill="1" applyBorder="1" applyAlignment="1">
      <alignment vertical="center"/>
    </xf>
    <xf numFmtId="178" fontId="6" fillId="0" borderId="64" xfId="0" applyNumberFormat="1" applyFont="1" applyFill="1" applyBorder="1" applyAlignment="1">
      <alignment vertical="center"/>
    </xf>
    <xf numFmtId="178" fontId="6" fillId="0" borderId="131" xfId="0" applyNumberFormat="1" applyFont="1" applyFill="1" applyBorder="1" applyAlignment="1">
      <alignment vertical="center"/>
    </xf>
    <xf numFmtId="178" fontId="6" fillId="0" borderId="132" xfId="0" applyNumberFormat="1" applyFont="1" applyFill="1" applyBorder="1" applyAlignment="1">
      <alignment vertical="center"/>
    </xf>
    <xf numFmtId="178" fontId="21" fillId="0" borderId="33" xfId="0" applyNumberFormat="1" applyFont="1" applyBorder="1" applyAlignment="1">
      <alignment horizontal="center" vertical="center"/>
    </xf>
    <xf numFmtId="178" fontId="22" fillId="0" borderId="22" xfId="0" applyNumberFormat="1" applyFont="1" applyBorder="1" applyAlignment="1">
      <alignment vertical="center"/>
    </xf>
    <xf numFmtId="178" fontId="21" fillId="0" borderId="25" xfId="0" applyNumberFormat="1" applyFont="1" applyBorder="1" applyAlignment="1">
      <alignment vertical="center"/>
    </xf>
    <xf numFmtId="178" fontId="22" fillId="0" borderId="49" xfId="0" applyNumberFormat="1" applyFont="1" applyBorder="1" applyAlignment="1">
      <alignment vertical="center"/>
    </xf>
    <xf numFmtId="178" fontId="22" fillId="0" borderId="33" xfId="0" applyNumberFormat="1" applyFont="1" applyBorder="1" applyAlignment="1">
      <alignment vertical="center"/>
    </xf>
    <xf numFmtId="178" fontId="22" fillId="0" borderId="23" xfId="0" applyNumberFormat="1" applyFont="1" applyBorder="1" applyAlignment="1">
      <alignment vertical="center"/>
    </xf>
    <xf numFmtId="178" fontId="22" fillId="0" borderId="126" xfId="0" applyNumberFormat="1" applyFont="1" applyBorder="1" applyAlignment="1">
      <alignment vertical="center"/>
    </xf>
    <xf numFmtId="178" fontId="22" fillId="0" borderId="128" xfId="0" applyNumberFormat="1" applyFont="1" applyBorder="1" applyAlignment="1">
      <alignment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32" xfId="0" applyNumberFormat="1" applyFont="1" applyBorder="1" applyAlignment="1">
      <alignment horizontal="center" vertical="center"/>
    </xf>
    <xf numFmtId="178" fontId="6" fillId="0" borderId="18" xfId="0" applyNumberFormat="1" applyFont="1" applyBorder="1" applyAlignment="1">
      <alignment vertical="center"/>
    </xf>
    <xf numFmtId="178" fontId="2" fillId="0" borderId="20" xfId="0" applyNumberFormat="1" applyFont="1" applyBorder="1" applyAlignment="1">
      <alignment vertical="center"/>
    </xf>
    <xf numFmtId="178" fontId="6" fillId="0" borderId="53" xfId="0" applyNumberFormat="1" applyFont="1" applyBorder="1" applyAlignment="1">
      <alignment vertical="center"/>
    </xf>
    <xf numFmtId="178" fontId="6" fillId="0" borderId="32" xfId="0" applyNumberFormat="1" applyFont="1" applyBorder="1" applyAlignment="1">
      <alignment vertical="center"/>
    </xf>
    <xf numFmtId="178" fontId="6" fillId="0" borderId="66" xfId="0" applyNumberFormat="1" applyFont="1" applyBorder="1" applyAlignment="1">
      <alignment vertical="center"/>
    </xf>
    <xf numFmtId="178" fontId="6" fillId="0" borderId="129" xfId="0" applyNumberFormat="1" applyFont="1" applyBorder="1" applyAlignment="1">
      <alignment vertical="center"/>
    </xf>
    <xf numFmtId="178" fontId="6" fillId="0" borderId="130" xfId="0" applyNumberFormat="1" applyFont="1" applyBorder="1" applyAlignment="1">
      <alignment vertical="center"/>
    </xf>
    <xf numFmtId="178" fontId="2" fillId="0" borderId="66" xfId="0" applyNumberFormat="1" applyFont="1" applyBorder="1" applyAlignment="1">
      <alignment horizontal="center" vertical="center"/>
    </xf>
    <xf numFmtId="178" fontId="2" fillId="0" borderId="28" xfId="0" applyNumberFormat="1" applyFont="1" applyBorder="1" applyAlignment="1">
      <alignment horizontal="center" vertical="center"/>
    </xf>
    <xf numFmtId="178" fontId="2" fillId="0" borderId="27" xfId="0" applyNumberFormat="1" applyFont="1" applyBorder="1" applyAlignment="1">
      <alignment horizontal="center" vertical="center"/>
    </xf>
    <xf numFmtId="178" fontId="6" fillId="9" borderId="1" xfId="0" applyNumberFormat="1" applyFont="1" applyFill="1" applyBorder="1" applyAlignment="1">
      <alignment vertical="center"/>
    </xf>
    <xf numFmtId="178" fontId="2" fillId="0" borderId="29" xfId="0" applyNumberFormat="1" applyFont="1" applyBorder="1" applyAlignment="1">
      <alignment vertical="center"/>
    </xf>
    <xf numFmtId="178" fontId="6" fillId="0" borderId="39" xfId="0" applyNumberFormat="1" applyFont="1" applyBorder="1" applyAlignment="1">
      <alignment vertical="center"/>
    </xf>
    <xf numFmtId="178" fontId="6" fillId="0" borderId="27" xfId="0" applyNumberFormat="1" applyFont="1" applyBorder="1" applyAlignment="1">
      <alignment vertical="center"/>
    </xf>
    <xf numFmtId="178" fontId="6" fillId="0" borderId="2" xfId="0" applyNumberFormat="1" applyFont="1" applyBorder="1" applyAlignment="1">
      <alignment vertical="center"/>
    </xf>
    <xf numFmtId="178" fontId="6" fillId="0" borderId="119" xfId="0" applyNumberFormat="1" applyFont="1" applyBorder="1" applyAlignment="1">
      <alignment vertical="center"/>
    </xf>
    <xf numFmtId="178" fontId="6" fillId="0" borderId="120" xfId="0" applyNumberFormat="1" applyFont="1" applyBorder="1" applyAlignment="1">
      <alignment vertical="center"/>
    </xf>
    <xf numFmtId="178" fontId="2" fillId="0" borderId="12" xfId="0" applyNumberFormat="1" applyFont="1" applyBorder="1" applyAlignment="1">
      <alignment horizontal="center" vertical="center"/>
    </xf>
    <xf numFmtId="178" fontId="2" fillId="0" borderId="33" xfId="0" applyNumberFormat="1" applyFont="1" applyBorder="1" applyAlignment="1">
      <alignment horizontal="center" vertical="center"/>
    </xf>
    <xf numFmtId="178" fontId="6" fillId="0" borderId="22" xfId="0" applyNumberFormat="1" applyFont="1" applyBorder="1" applyAlignment="1">
      <alignment vertical="center"/>
    </xf>
    <xf numFmtId="178" fontId="2" fillId="0" borderId="25" xfId="0" applyNumberFormat="1" applyFont="1" applyBorder="1" applyAlignment="1">
      <alignment vertical="center"/>
    </xf>
    <xf numFmtId="178" fontId="6" fillId="0" borderId="49" xfId="0" applyNumberFormat="1" applyFont="1" applyBorder="1" applyAlignment="1">
      <alignment vertical="center"/>
    </xf>
    <xf numFmtId="178" fontId="6" fillId="0" borderId="33" xfId="0" applyNumberFormat="1" applyFont="1" applyBorder="1" applyAlignment="1">
      <alignment vertical="center"/>
    </xf>
    <xf numFmtId="178" fontId="6" fillId="0" borderId="23" xfId="0" applyNumberFormat="1" applyFont="1" applyBorder="1" applyAlignment="1">
      <alignment vertical="center"/>
    </xf>
    <xf numFmtId="178" fontId="6" fillId="0" borderId="126" xfId="0" applyNumberFormat="1" applyFont="1" applyBorder="1" applyAlignment="1">
      <alignment vertical="center"/>
    </xf>
    <xf numFmtId="178" fontId="6" fillId="0" borderId="128" xfId="0" applyNumberFormat="1" applyFont="1" applyBorder="1" applyAlignment="1">
      <alignment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7" xfId="0" applyNumberFormat="1" applyFont="1" applyBorder="1" applyAlignment="1">
      <alignment horizontal="center" vertical="center"/>
    </xf>
    <xf numFmtId="178" fontId="6" fillId="0" borderId="6" xfId="0" applyNumberFormat="1" applyFont="1" applyBorder="1" applyAlignment="1">
      <alignment vertical="center"/>
    </xf>
    <xf numFmtId="178" fontId="2" fillId="0" borderId="16" xfId="0" applyNumberFormat="1" applyFont="1" applyBorder="1" applyAlignment="1">
      <alignment vertical="center"/>
    </xf>
    <xf numFmtId="178" fontId="6" fillId="0" borderId="47" xfId="0" applyNumberFormat="1" applyFont="1" applyBorder="1" applyAlignment="1">
      <alignment vertical="center"/>
    </xf>
    <xf numFmtId="178" fontId="6" fillId="0" borderId="121" xfId="0" applyNumberFormat="1" applyFont="1" applyBorder="1" applyAlignment="1">
      <alignment vertical="center"/>
    </xf>
    <xf numFmtId="178" fontId="6" fillId="0" borderId="7" xfId="0" applyNumberFormat="1" applyFont="1" applyBorder="1" applyAlignment="1">
      <alignment vertical="center"/>
    </xf>
    <xf numFmtId="178" fontId="6" fillId="0" borderId="122" xfId="0" applyNumberFormat="1" applyFont="1" applyBorder="1" applyAlignment="1">
      <alignment vertical="center"/>
    </xf>
    <xf numFmtId="178" fontId="6" fillId="0" borderId="123" xfId="0" applyNumberFormat="1" applyFont="1" applyBorder="1" applyAlignment="1">
      <alignment vertical="center"/>
    </xf>
    <xf numFmtId="178" fontId="2" fillId="0" borderId="1" xfId="0" applyNumberFormat="1" applyFont="1" applyBorder="1" applyAlignment="1">
      <alignment horizontal="center" vertical="center"/>
    </xf>
    <xf numFmtId="178" fontId="2" fillId="0" borderId="30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vertical="center"/>
    </xf>
    <xf numFmtId="178" fontId="0" fillId="4" borderId="0" xfId="0" applyNumberFormat="1" applyFill="1">
      <alignment vertical="center"/>
    </xf>
    <xf numFmtId="178" fontId="2" fillId="0" borderId="31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vertical="center"/>
    </xf>
    <xf numFmtId="178" fontId="2" fillId="0" borderId="13" xfId="0" applyNumberFormat="1" applyFont="1" applyBorder="1" applyAlignment="1">
      <alignment vertical="center"/>
    </xf>
    <xf numFmtId="178" fontId="6" fillId="0" borderId="46" xfId="0" applyNumberFormat="1" applyFont="1" applyBorder="1" applyAlignment="1">
      <alignment vertical="center"/>
    </xf>
    <xf numFmtId="178" fontId="6" fillId="0" borderId="31" xfId="0" applyNumberFormat="1" applyFont="1" applyBorder="1" applyAlignment="1">
      <alignment vertical="center"/>
    </xf>
    <xf numFmtId="178" fontId="6" fillId="0" borderId="0" xfId="0" applyNumberFormat="1" applyFont="1" applyBorder="1" applyAlignment="1">
      <alignment vertical="center"/>
    </xf>
    <xf numFmtId="178" fontId="6" fillId="0" borderId="124" xfId="0" applyNumberFormat="1" applyFont="1" applyBorder="1" applyAlignment="1">
      <alignment vertical="center"/>
    </xf>
    <xf numFmtId="178" fontId="6" fillId="0" borderId="125" xfId="0" applyNumberFormat="1" applyFont="1" applyBorder="1" applyAlignment="1">
      <alignment vertical="center"/>
    </xf>
    <xf numFmtId="178" fontId="6" fillId="0" borderId="125" xfId="0" applyNumberFormat="1" applyFont="1" applyBorder="1" applyAlignment="1">
      <alignment horizontal="right" vertical="center"/>
    </xf>
    <xf numFmtId="178" fontId="2" fillId="0" borderId="19" xfId="0" applyNumberFormat="1" applyFont="1" applyBorder="1" applyAlignment="1">
      <alignment horizontal="center" vertical="center"/>
    </xf>
    <xf numFmtId="178" fontId="2" fillId="0" borderId="20" xfId="0" applyNumberFormat="1" applyFont="1" applyBorder="1">
      <alignment vertical="center"/>
    </xf>
    <xf numFmtId="178" fontId="6" fillId="0" borderId="53" xfId="0" applyNumberFormat="1" applyFont="1" applyBorder="1">
      <alignment vertical="center"/>
    </xf>
    <xf numFmtId="178" fontId="6" fillId="0" borderId="32" xfId="0" applyNumberFormat="1" applyFont="1" applyBorder="1">
      <alignment vertical="center"/>
    </xf>
    <xf numFmtId="41" fontId="23" fillId="0" borderId="129" xfId="1" applyFont="1" applyFill="1" applyBorder="1" applyAlignment="1">
      <alignment vertical="center"/>
    </xf>
    <xf numFmtId="178" fontId="24" fillId="0" borderId="20" xfId="0" applyNumberFormat="1" applyFont="1" applyFill="1" applyBorder="1" applyAlignment="1">
      <alignment vertical="center"/>
    </xf>
    <xf numFmtId="178" fontId="24" fillId="0" borderId="130" xfId="0" applyNumberFormat="1" applyFont="1" applyFill="1" applyBorder="1" applyAlignment="1">
      <alignment horizontal="right" vertical="center"/>
    </xf>
    <xf numFmtId="178" fontId="6" fillId="0" borderId="4" xfId="0" applyNumberFormat="1" applyFont="1" applyBorder="1">
      <alignment vertical="center"/>
    </xf>
    <xf numFmtId="178" fontId="2" fillId="0" borderId="13" xfId="0" applyNumberFormat="1" applyFont="1" applyBorder="1">
      <alignment vertical="center"/>
    </xf>
    <xf numFmtId="178" fontId="6" fillId="0" borderId="46" xfId="0" applyNumberFormat="1" applyFont="1" applyBorder="1">
      <alignment vertical="center"/>
    </xf>
    <xf numFmtId="178" fontId="6" fillId="0" borderId="31" xfId="0" applyNumberFormat="1" applyFont="1" applyBorder="1">
      <alignment vertical="center"/>
    </xf>
    <xf numFmtId="41" fontId="23" fillId="0" borderId="124" xfId="1" applyFont="1" applyFill="1" applyBorder="1" applyAlignment="1">
      <alignment vertical="center"/>
    </xf>
    <xf numFmtId="178" fontId="24" fillId="0" borderId="13" xfId="0" applyNumberFormat="1" applyFont="1" applyFill="1" applyBorder="1" applyAlignment="1">
      <alignment vertical="center"/>
    </xf>
    <xf numFmtId="178" fontId="24" fillId="0" borderId="125" xfId="0" applyNumberFormat="1" applyFont="1" applyFill="1" applyBorder="1" applyAlignment="1">
      <alignment horizontal="right" vertical="center"/>
    </xf>
    <xf numFmtId="41" fontId="23" fillId="0" borderId="124" xfId="1" applyFont="1" applyFill="1" applyBorder="1" applyAlignment="1">
      <alignment horizontal="center" vertical="center"/>
    </xf>
    <xf numFmtId="178" fontId="24" fillId="0" borderId="13" xfId="0" applyNumberFormat="1" applyFont="1" applyFill="1" applyBorder="1" applyAlignment="1">
      <alignment horizontal="center" vertical="center"/>
    </xf>
    <xf numFmtId="178" fontId="6" fillId="0" borderId="125" xfId="0" applyNumberFormat="1" applyFont="1" applyFill="1" applyBorder="1" applyAlignment="1">
      <alignment horizontal="right" vertical="center"/>
    </xf>
    <xf numFmtId="178" fontId="2" fillId="0" borderId="15" xfId="0" applyNumberFormat="1" applyFont="1" applyBorder="1" applyAlignment="1">
      <alignment horizontal="center" vertical="center"/>
    </xf>
    <xf numFmtId="178" fontId="2" fillId="0" borderId="121" xfId="0" applyNumberFormat="1" applyFont="1" applyBorder="1" applyAlignment="1">
      <alignment horizontal="center" vertical="center"/>
    </xf>
    <xf numFmtId="178" fontId="6" fillId="0" borderId="6" xfId="0" applyNumberFormat="1" applyFont="1" applyBorder="1">
      <alignment vertical="center"/>
    </xf>
    <xf numFmtId="178" fontId="2" fillId="0" borderId="16" xfId="0" applyNumberFormat="1" applyFont="1" applyBorder="1">
      <alignment vertical="center"/>
    </xf>
    <xf numFmtId="178" fontId="6" fillId="0" borderId="47" xfId="0" applyNumberFormat="1" applyFont="1" applyBorder="1">
      <alignment vertical="center"/>
    </xf>
    <xf numFmtId="178" fontId="6" fillId="0" borderId="121" xfId="0" applyNumberFormat="1" applyFont="1" applyBorder="1">
      <alignment vertical="center"/>
    </xf>
    <xf numFmtId="41" fontId="23" fillId="0" borderId="133" xfId="1" applyFont="1" applyFill="1" applyBorder="1" applyAlignment="1">
      <alignment horizontal="center" vertical="center"/>
    </xf>
    <xf numFmtId="178" fontId="6" fillId="0" borderId="141" xfId="0" applyNumberFormat="1" applyFont="1" applyFill="1" applyBorder="1">
      <alignment vertical="center"/>
    </xf>
    <xf numFmtId="178" fontId="6" fillId="0" borderId="136" xfId="0" applyNumberFormat="1" applyFont="1" applyFill="1" applyBorder="1" applyAlignment="1">
      <alignment horizontal="right" vertical="center"/>
    </xf>
    <xf numFmtId="178" fontId="6" fillId="0" borderId="133" xfId="0" applyNumberFormat="1" applyFont="1" applyBorder="1">
      <alignment vertical="center"/>
    </xf>
    <xf numFmtId="178" fontId="2" fillId="0" borderId="141" xfId="0" applyNumberFormat="1" applyFont="1" applyBorder="1">
      <alignment vertical="center"/>
    </xf>
    <xf numFmtId="178" fontId="6" fillId="0" borderId="136" xfId="0" applyNumberFormat="1" applyFont="1" applyBorder="1">
      <alignment vertical="center"/>
    </xf>
    <xf numFmtId="178" fontId="0" fillId="0" borderId="0" xfId="0" applyNumberFormat="1" applyAlignment="1">
      <alignment vertical="center"/>
    </xf>
    <xf numFmtId="178" fontId="2" fillId="0" borderId="0" xfId="0" applyNumberFormat="1" applyFont="1" applyAlignment="1">
      <alignment horizontal="center" vertical="center"/>
    </xf>
    <xf numFmtId="41" fontId="0" fillId="0" borderId="0" xfId="1" applyFont="1" applyFill="1" applyBorder="1">
      <alignment vertical="center"/>
    </xf>
    <xf numFmtId="178" fontId="6" fillId="0" borderId="29" xfId="0" applyNumberFormat="1" applyFont="1" applyFill="1" applyBorder="1" applyAlignment="1">
      <alignment vertical="center"/>
    </xf>
    <xf numFmtId="9" fontId="6" fillId="0" borderId="13" xfId="0" applyNumberFormat="1" applyFont="1" applyFill="1" applyBorder="1" applyAlignment="1">
      <alignment vertical="center"/>
    </xf>
    <xf numFmtId="178" fontId="6" fillId="0" borderId="20" xfId="0" applyNumberFormat="1" applyFont="1" applyFill="1" applyBorder="1" applyAlignment="1">
      <alignment vertical="center"/>
    </xf>
    <xf numFmtId="9" fontId="6" fillId="0" borderId="25" xfId="0" applyNumberFormat="1" applyFont="1" applyFill="1" applyBorder="1" applyAlignment="1">
      <alignment vertical="center"/>
    </xf>
    <xf numFmtId="178" fontId="6" fillId="0" borderId="10" xfId="0" applyNumberFormat="1" applyFont="1" applyFill="1" applyBorder="1" applyAlignment="1">
      <alignment vertical="center"/>
    </xf>
    <xf numFmtId="178" fontId="22" fillId="0" borderId="25" xfId="0" applyNumberFormat="1" applyFont="1" applyBorder="1" applyAlignment="1">
      <alignment vertical="center"/>
    </xf>
    <xf numFmtId="178" fontId="6" fillId="0" borderId="20" xfId="0" applyNumberFormat="1" applyFont="1" applyBorder="1" applyAlignment="1">
      <alignment vertical="center"/>
    </xf>
    <xf numFmtId="178" fontId="6" fillId="0" borderId="29" xfId="0" applyNumberFormat="1" applyFont="1" applyBorder="1" applyAlignment="1">
      <alignment vertical="center"/>
    </xf>
    <xf numFmtId="178" fontId="6" fillId="0" borderId="25" xfId="0" applyNumberFormat="1" applyFont="1" applyBorder="1" applyAlignment="1">
      <alignment vertical="center"/>
    </xf>
    <xf numFmtId="178" fontId="6" fillId="0" borderId="16" xfId="0" applyNumberFormat="1" applyFont="1" applyBorder="1" applyAlignment="1">
      <alignment vertical="center"/>
    </xf>
    <xf numFmtId="178" fontId="6" fillId="0" borderId="13" xfId="0" applyNumberFormat="1" applyFont="1" applyBorder="1" applyAlignment="1">
      <alignment vertical="center"/>
    </xf>
    <xf numFmtId="178" fontId="6" fillId="0" borderId="13" xfId="0" applyNumberFormat="1" applyFont="1" applyBorder="1">
      <alignment vertical="center"/>
    </xf>
    <xf numFmtId="178" fontId="6" fillId="0" borderId="16" xfId="0" applyNumberFormat="1" applyFont="1" applyBorder="1">
      <alignment vertical="center"/>
    </xf>
    <xf numFmtId="3" fontId="6" fillId="4" borderId="2" xfId="0" applyNumberFormat="1" applyFont="1" applyFill="1" applyBorder="1" applyAlignment="1">
      <alignment vertical="center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78" fontId="6" fillId="0" borderId="48" xfId="0" applyNumberFormat="1" applyFont="1" applyBorder="1" applyAlignment="1">
      <alignment horizontal="center" vertical="center"/>
    </xf>
    <xf numFmtId="178" fontId="6" fillId="0" borderId="55" xfId="0" applyNumberFormat="1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2" fillId="12" borderId="65" xfId="0" applyFont="1" applyFill="1" applyBorder="1" applyAlignment="1">
      <alignment horizontal="center" vertical="center"/>
    </xf>
    <xf numFmtId="0" fontId="12" fillId="12" borderId="68" xfId="0" applyFont="1" applyFill="1" applyBorder="1" applyAlignment="1">
      <alignment horizontal="center" vertical="center"/>
    </xf>
    <xf numFmtId="0" fontId="12" fillId="12" borderId="88" xfId="0" applyFont="1" applyFill="1" applyBorder="1" applyAlignment="1">
      <alignment horizontal="center" vertical="center"/>
    </xf>
    <xf numFmtId="0" fontId="12" fillId="12" borderId="55" xfId="0" applyFont="1" applyFill="1" applyBorder="1" applyAlignment="1">
      <alignment horizontal="center" vertical="center"/>
    </xf>
    <xf numFmtId="0" fontId="12" fillId="12" borderId="4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2" borderId="94" xfId="0" applyFont="1" applyFill="1" applyBorder="1" applyAlignment="1">
      <alignment horizontal="center" vertical="center"/>
    </xf>
    <xf numFmtId="0" fontId="12" fillId="12" borderId="9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0" borderId="8" xfId="0" applyFont="1" applyFill="1" applyBorder="1" applyAlignment="1">
      <alignment horizontal="center" vertical="center"/>
    </xf>
    <xf numFmtId="178" fontId="2" fillId="0" borderId="62" xfId="0" applyNumberFormat="1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178" fontId="2" fillId="4" borderId="48" xfId="1" applyNumberFormat="1" applyFont="1" applyFill="1" applyBorder="1" applyAlignment="1">
      <alignment horizontal="center" vertical="center"/>
    </xf>
    <xf numFmtId="178" fontId="2" fillId="4" borderId="67" xfId="1" applyNumberFormat="1" applyFont="1" applyFill="1" applyBorder="1" applyAlignment="1">
      <alignment horizontal="center" vertical="center"/>
    </xf>
    <xf numFmtId="178" fontId="2" fillId="4" borderId="55" xfId="1" applyNumberFormat="1" applyFont="1" applyFill="1" applyBorder="1" applyAlignment="1">
      <alignment horizontal="center" vertical="center"/>
    </xf>
    <xf numFmtId="178" fontId="16" fillId="16" borderId="68" xfId="0" applyNumberFormat="1" applyFont="1" applyFill="1" applyBorder="1" applyAlignment="1">
      <alignment horizontal="center" vertical="center"/>
    </xf>
    <xf numFmtId="178" fontId="16" fillId="16" borderId="70" xfId="0" applyNumberFormat="1" applyFont="1" applyFill="1" applyBorder="1" applyAlignment="1">
      <alignment horizontal="center" vertical="center"/>
    </xf>
    <xf numFmtId="178" fontId="16" fillId="16" borderId="1" xfId="0" applyNumberFormat="1" applyFont="1" applyFill="1" applyBorder="1" applyAlignment="1">
      <alignment horizontal="center" vertical="center"/>
    </xf>
    <xf numFmtId="178" fontId="16" fillId="16" borderId="2" xfId="0" applyNumberFormat="1" applyFont="1" applyFill="1" applyBorder="1" applyAlignment="1">
      <alignment horizontal="center" vertical="center"/>
    </xf>
    <xf numFmtId="178" fontId="16" fillId="16" borderId="6" xfId="0" applyNumberFormat="1" applyFont="1" applyFill="1" applyBorder="1" applyAlignment="1">
      <alignment horizontal="center" vertical="center"/>
    </xf>
    <xf numFmtId="178" fontId="16" fillId="16" borderId="7" xfId="0" applyNumberFormat="1" applyFont="1" applyFill="1" applyBorder="1" applyAlignment="1">
      <alignment horizontal="center" vertical="center"/>
    </xf>
    <xf numFmtId="0" fontId="14" fillId="6" borderId="114" xfId="0" applyFont="1" applyFill="1" applyBorder="1" applyAlignment="1">
      <alignment horizontal="center" vertical="center"/>
    </xf>
    <xf numFmtId="0" fontId="14" fillId="6" borderId="115" xfId="0" applyFont="1" applyFill="1" applyBorder="1" applyAlignment="1">
      <alignment horizontal="center" vertical="center"/>
    </xf>
    <xf numFmtId="0" fontId="14" fillId="6" borderId="116" xfId="0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8" fontId="2" fillId="0" borderId="3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178" fontId="16" fillId="6" borderId="1" xfId="0" applyNumberFormat="1" applyFont="1" applyFill="1" applyBorder="1" applyAlignment="1">
      <alignment horizontal="center" vertical="center"/>
    </xf>
    <xf numFmtId="178" fontId="16" fillId="6" borderId="3" xfId="0" applyNumberFormat="1" applyFont="1" applyFill="1" applyBorder="1" applyAlignment="1">
      <alignment horizontal="center" vertical="center"/>
    </xf>
    <xf numFmtId="178" fontId="16" fillId="6" borderId="6" xfId="0" applyNumberFormat="1" applyFont="1" applyFill="1" applyBorder="1" applyAlignment="1">
      <alignment horizontal="center" vertical="center"/>
    </xf>
    <xf numFmtId="178" fontId="16" fillId="6" borderId="8" xfId="0" applyNumberFormat="1" applyFont="1" applyFill="1" applyBorder="1" applyAlignment="1">
      <alignment horizontal="center" vertical="center"/>
    </xf>
  </cellXfs>
  <cellStyles count="5">
    <cellStyle name="백분율 3" xfId="2" xr:uid="{00000000-0005-0000-0000-000001000000}"/>
    <cellStyle name="쉼표 [0]" xfId="1" builtinId="6"/>
    <cellStyle name="쉼표 [0] 2" xfId="3" xr:uid="{00000000-0005-0000-0000-000003000000}"/>
    <cellStyle name="표준" xfId="0" builtinId="0"/>
    <cellStyle name="표준 2 2" xfId="4" xr:uid="{00000000-0005-0000-0000-000005000000}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건자재!$R$38</c:f>
              <c:strCache>
                <c:ptCount val="1"/>
                <c:pt idx="0">
                  <c:v>판매단가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3175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건자재!$Z$37:$AQ$37</c:f>
              <c:strCache>
                <c:ptCount val="1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  <c:pt idx="12">
                  <c:v>1월</c:v>
                </c:pt>
              </c:strCache>
            </c:strRef>
          </c:cat>
          <c:val>
            <c:numRef>
              <c:f>건자재!$Z$38:$AQ$38</c:f>
              <c:numCache>
                <c:formatCode>#,##0_);[Red]\(#,##0\)</c:formatCode>
                <c:ptCount val="13"/>
                <c:pt idx="0">
                  <c:v>920730.85338998202</c:v>
                </c:pt>
                <c:pt idx="1">
                  <c:v>886130.8859870329</c:v>
                </c:pt>
                <c:pt idx="2">
                  <c:v>873530.5235919673</c:v>
                </c:pt>
                <c:pt idx="3">
                  <c:v>853042.90795678552</c:v>
                </c:pt>
                <c:pt idx="4">
                  <c:v>811389.30758305453</c:v>
                </c:pt>
                <c:pt idx="5">
                  <c:v>785072.67759542307</c:v>
                </c:pt>
                <c:pt idx="6">
                  <c:v>751049.2097042331</c:v>
                </c:pt>
                <c:pt idx="7">
                  <c:v>846014.52770958561</c:v>
                </c:pt>
                <c:pt idx="8">
                  <c:v>879572.42936012533</c:v>
                </c:pt>
                <c:pt idx="9">
                  <c:v>818946.47731031897</c:v>
                </c:pt>
                <c:pt idx="10">
                  <c:v>798803.69146262086</c:v>
                </c:pt>
                <c:pt idx="11">
                  <c:v>752238.01942182856</c:v>
                </c:pt>
                <c:pt idx="12">
                  <c:v>756420.01123690419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F1-4BDB-AA53-7C567B86B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924856"/>
        <c:axId val="725929120"/>
      </c:lineChart>
      <c:lineChart>
        <c:grouping val="standard"/>
        <c:varyColors val="0"/>
        <c:ser>
          <c:idx val="1"/>
          <c:order val="1"/>
          <c:tx>
            <c:strRef>
              <c:f>건자재!$R$39</c:f>
              <c:strCache>
                <c:ptCount val="1"/>
                <c:pt idx="0">
                  <c:v>마진률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건자재!$Z$37:$AQ$37</c:f>
              <c:strCache>
                <c:ptCount val="1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  <c:pt idx="12">
                  <c:v>1월</c:v>
                </c:pt>
              </c:strCache>
            </c:strRef>
          </c:cat>
          <c:val>
            <c:numRef>
              <c:f>건자재!$Z$39:$AQ$39</c:f>
              <c:numCache>
                <c:formatCode>0.0%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F1-4BDB-AA53-7C567B86B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496360"/>
        <c:axId val="622269880"/>
      </c:lineChart>
      <c:catAx>
        <c:axId val="72592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9120"/>
        <c:crosses val="autoZero"/>
        <c:auto val="1"/>
        <c:lblAlgn val="ctr"/>
        <c:lblOffset val="0"/>
        <c:noMultiLvlLbl val="0"/>
      </c:catAx>
      <c:valAx>
        <c:axId val="725929120"/>
        <c:scaling>
          <c:orientation val="minMax"/>
          <c:max val="1400000"/>
          <c:min val="300000"/>
        </c:scaling>
        <c:delete val="0"/>
        <c:axPos val="l"/>
        <c:numFmt formatCode="#,##0_);[Red]\(#,##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4856"/>
        <c:crosses val="autoZero"/>
        <c:crossBetween val="between"/>
      </c:valAx>
      <c:valAx>
        <c:axId val="622269880"/>
        <c:scaling>
          <c:orientation val="minMax"/>
          <c:max val="0.15000000000000002"/>
          <c:min val="1.0000000000000002E-3"/>
        </c:scaling>
        <c:delete val="0"/>
        <c:axPos val="r"/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496360"/>
        <c:crosses val="max"/>
        <c:crossBetween val="between"/>
      </c:valAx>
      <c:catAx>
        <c:axId val="725496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2269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666750</xdr:colOff>
      <xdr:row>27</xdr:row>
      <xdr:rowOff>299358</xdr:rowOff>
    </xdr:from>
    <xdr:to>
      <xdr:col>14</xdr:col>
      <xdr:colOff>206375</xdr:colOff>
      <xdr:row>34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96CB9CB-481A-4980-A34C-0F614ED72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1_&#51665;&#44228;/&#50896;&#44032;&#49552;&#51061;/2025&#45380;_&#54637;&#47785;&#48324;&#49552;&#51061;&#50696;&#4932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_&#54637;&#47785;&#48324;&#49552;&#51061;&#49892;&#51201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412(&#52572;&#51333;)/00_&#48372;&#44256;&#49436;/2024&#45380;_&#54637;&#47785;&#48324;&#49552;&#51061;&#49892;&#51201;_&#54620;&#49457;&#54252;&#5463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1/01_&#47112;&#48120;&#53080;/&#47112;&#48120;&#53080;&#50896;&#44032;&#49552;&#51061;(2025-01)&#44228;&#54925;&#45824;&#4870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1/01_&#47112;&#48120;&#53080;/&#47112;&#48120;&#53080;&#50896;&#44032;&#49552;&#51061;(2025-01)&#51204;&#45380;&#45824;&#4870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1/02_&#44148;&#51088;&#51116;/&#44148;&#51088;&#51116;&#50689;&#50629;&#49552;&#51061;(2025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1/03_&#44264;&#51116;/&#44264;&#51116;&#50896;&#44032;&#49552;&#51061;(2025-01)&#44228;&#54925;&#45824;&#48708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2_&#50696;&#49328;&#50836;&#44396;&#50504;/&#44148;&#51088;&#51116;/2025&#45380;_&#50696;&#49328;&#50836;&#44396;&#50504;_&#44148;&#51088;&#51116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412(&#52572;&#51333;)/02_&#44148;&#51088;&#51116;/&#44148;&#51088;&#51116;&#50689;&#50629;&#49552;&#51061;(2024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2_&#50696;&#49328;&#50836;&#44396;&#50504;/&#44264;&#51116;/2025&#45380;_&#50696;&#49328;&#50836;&#44396;&#50504;_&#49436;&#48512;&#49328;&#53356;&#46972;&#49380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2_&#50696;&#49328;&#50836;&#44396;&#50504;/&#44264;&#51116;/2025&#45380;_&#50696;&#49328;&#50836;&#44396;&#50504;_&#48512;&#49328;&#53356;&#46972;&#49380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2_&#50696;&#49328;&#50836;&#44396;&#50504;/&#44264;&#51116;/2025&#45380;_&#50696;&#49328;&#50836;&#44396;&#50504;_&#48512;&#49328;&#47784;&#47000;&#51109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1/03_&#44264;&#51116;/&#44264;&#51116;&#49892;&#51201;(2025-01)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412(&#52572;&#51333;)/03_&#44264;&#51116;/&#44264;&#51116;&#49892;&#51201;(2024-1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손익"/>
      <sheetName val="월별손익 (2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2월누계"/>
      <sheetName val="3월누계"/>
      <sheetName val="4월누계"/>
      <sheetName val="5월누계"/>
      <sheetName val="6월누계"/>
      <sheetName val="7월누계"/>
      <sheetName val="8월누계"/>
      <sheetName val="9월누계"/>
      <sheetName val="10월누계"/>
      <sheetName val="11월누계"/>
      <sheetName val="12월누계"/>
      <sheetName val="6-12월"/>
      <sheetName val="하반기"/>
      <sheetName val="물량"/>
      <sheetName val="매출액"/>
      <sheetName val="매출원가"/>
      <sheetName val="노무비"/>
      <sheetName val="경비"/>
      <sheetName val="운반비"/>
      <sheetName val="감가상각비_제조"/>
      <sheetName val="감가상각비_판매"/>
      <sheetName val="영업공통비"/>
      <sheetName val="부문공통비"/>
      <sheetName val="본사공통비"/>
      <sheetName val="매출이익"/>
      <sheetName val="영업이익1"/>
      <sheetName val="영업이익2"/>
      <sheetName val="Sheet1"/>
      <sheetName val="Sheet2"/>
      <sheetName val="Sheet2 (2)"/>
    </sheetNames>
    <sheetDataSet>
      <sheetData sheetId="0"/>
      <sheetData sheetId="1"/>
      <sheetData sheetId="2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W6"/>
          <cell r="X6"/>
          <cell r="Y6"/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K6"/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부산시그마</v>
          </cell>
          <cell r="AS6" t="str">
            <v>임금인상</v>
          </cell>
          <cell r="AT6" t="str">
            <v>기타</v>
          </cell>
          <cell r="AU6" t="str">
            <v>기타 계</v>
          </cell>
          <cell r="AV6"/>
        </row>
        <row r="7">
          <cell r="D7" t="str">
            <v>물     량</v>
          </cell>
          <cell r="E7"/>
          <cell r="F7">
            <v>30000</v>
          </cell>
          <cell r="G7">
            <v>25000</v>
          </cell>
          <cell r="H7">
            <v>14000</v>
          </cell>
          <cell r="I7">
            <v>7000</v>
          </cell>
          <cell r="J7">
            <v>17000</v>
          </cell>
          <cell r="K7">
            <v>15000</v>
          </cell>
          <cell r="L7">
            <v>12000</v>
          </cell>
          <cell r="M7">
            <v>18000</v>
          </cell>
          <cell r="N7">
            <v>10000</v>
          </cell>
          <cell r="O7">
            <v>7000</v>
          </cell>
          <cell r="P7">
            <v>10000</v>
          </cell>
          <cell r="Q7">
            <v>8000</v>
          </cell>
          <cell r="R7">
            <v>13000</v>
          </cell>
          <cell r="S7">
            <v>7000</v>
          </cell>
          <cell r="T7">
            <v>5000</v>
          </cell>
          <cell r="U7">
            <v>2000</v>
          </cell>
          <cell r="V7">
            <v>7000</v>
          </cell>
          <cell r="W7">
            <v>0</v>
          </cell>
          <cell r="X7">
            <v>0</v>
          </cell>
          <cell r="Y7">
            <v>0</v>
          </cell>
          <cell r="Z7">
            <v>207000</v>
          </cell>
          <cell r="AA7">
            <v>9800</v>
          </cell>
          <cell r="AB7">
            <v>36437.860215053763</v>
          </cell>
          <cell r="AC7">
            <v>34726.295366666665</v>
          </cell>
          <cell r="AD7">
            <v>19654.135222893776</v>
          </cell>
          <cell r="AE7">
            <v>90818.290804614211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/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/>
          <cell r="AV7"/>
          <cell r="AW7"/>
          <cell r="AX7"/>
          <cell r="AY7"/>
          <cell r="AZ7"/>
        </row>
        <row r="8">
          <cell r="D8" t="str">
            <v>매 출 액</v>
          </cell>
          <cell r="E8">
            <v>33354111.836054023</v>
          </cell>
          <cell r="F8">
            <v>2946573.9299999992</v>
          </cell>
          <cell r="G8">
            <v>2433988.3684047488</v>
          </cell>
          <cell r="H8">
            <v>1347728.8414</v>
          </cell>
          <cell r="I8">
            <v>680689.8</v>
          </cell>
          <cell r="J8">
            <v>1830904.30718</v>
          </cell>
          <cell r="K8">
            <v>1489502.5399999998</v>
          </cell>
          <cell r="L8">
            <v>1155603.2999999998</v>
          </cell>
          <cell r="M8">
            <v>1835994.2988</v>
          </cell>
          <cell r="N8">
            <v>944787.5</v>
          </cell>
          <cell r="O8">
            <v>700002.20193600049</v>
          </cell>
          <cell r="P8">
            <v>974658.93488888885</v>
          </cell>
          <cell r="Q8">
            <v>817062</v>
          </cell>
          <cell r="R8">
            <v>1339000</v>
          </cell>
          <cell r="S8">
            <v>678038.31999999983</v>
          </cell>
          <cell r="T8">
            <v>557601.24</v>
          </cell>
          <cell r="U8">
            <v>224000</v>
          </cell>
          <cell r="V8">
            <v>859757.5</v>
          </cell>
          <cell r="W8">
            <v>0</v>
          </cell>
          <cell r="X8">
            <v>0</v>
          </cell>
          <cell r="Y8">
            <v>0</v>
          </cell>
          <cell r="Z8">
            <v>20815893.082609635</v>
          </cell>
          <cell r="AA8">
            <v>10731322.812054796</v>
          </cell>
          <cell r="AB8">
            <v>527278.96344086016</v>
          </cell>
          <cell r="AC8">
            <v>580658.86564999993</v>
          </cell>
          <cell r="AD8">
            <v>532256.61229873472</v>
          </cell>
          <cell r="AE8">
            <v>1640194.4413895949</v>
          </cell>
          <cell r="AF8">
            <v>12500</v>
          </cell>
          <cell r="AG8">
            <v>50000</v>
          </cell>
          <cell r="AH8">
            <v>28340</v>
          </cell>
          <cell r="AI8">
            <v>68570</v>
          </cell>
          <cell r="AJ8">
            <v>5521.5</v>
          </cell>
          <cell r="AK8">
            <v>0</v>
          </cell>
          <cell r="AL8">
            <v>164931.5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1770</v>
          </cell>
          <cell r="AU8">
            <v>1770</v>
          </cell>
          <cell r="AV8"/>
          <cell r="AW8"/>
          <cell r="AX8"/>
          <cell r="AY8"/>
          <cell r="AZ8"/>
        </row>
        <row r="9">
          <cell r="D9" t="str">
            <v xml:space="preserve"> - 단  위  당</v>
          </cell>
          <cell r="E9"/>
          <cell r="F9">
            <v>98219.130999999979</v>
          </cell>
          <cell r="G9">
            <v>97359.534736189962</v>
          </cell>
          <cell r="H9">
            <v>96266.345814285713</v>
          </cell>
          <cell r="I9">
            <v>97241.400000000009</v>
          </cell>
          <cell r="J9">
            <v>107700.25336352941</v>
          </cell>
          <cell r="K9">
            <v>99300.16933333331</v>
          </cell>
          <cell r="L9">
            <v>96300.27499999998</v>
          </cell>
          <cell r="M9">
            <v>101999.68326666666</v>
          </cell>
          <cell r="N9">
            <v>94478.75</v>
          </cell>
          <cell r="O9">
            <v>100000.31456228578</v>
          </cell>
          <cell r="P9">
            <v>97465.893488888876</v>
          </cell>
          <cell r="Q9">
            <v>102132.75</v>
          </cell>
          <cell r="R9">
            <v>103000</v>
          </cell>
          <cell r="S9">
            <v>96862.617142857125</v>
          </cell>
          <cell r="T9">
            <v>111520.24799999999</v>
          </cell>
          <cell r="U9">
            <v>112000</v>
          </cell>
          <cell r="V9">
            <v>122822.5</v>
          </cell>
          <cell r="W9">
            <v>0</v>
          </cell>
          <cell r="X9">
            <v>0</v>
          </cell>
          <cell r="Y9">
            <v>0</v>
          </cell>
          <cell r="Z9">
            <v>100559.86996429774</v>
          </cell>
          <cell r="AA9">
            <v>1095032.9400055914</v>
          </cell>
          <cell r="AB9">
            <v>14470.634673081671</v>
          </cell>
          <cell r="AC9">
            <v>16721.013846106001</v>
          </cell>
          <cell r="AD9">
            <v>27081.151435182197</v>
          </cell>
          <cell r="AE9">
            <v>18060.177381209443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/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/>
          <cell r="AV9"/>
          <cell r="AW9"/>
          <cell r="AX9"/>
          <cell r="AY9"/>
          <cell r="AZ9"/>
        </row>
        <row r="10">
          <cell r="D10" t="str">
            <v>매출원가</v>
          </cell>
          <cell r="E10">
            <v>30899181.945442211</v>
          </cell>
          <cell r="F10">
            <v>2695775.1534585934</v>
          </cell>
          <cell r="G10">
            <v>2319902.2104982296</v>
          </cell>
          <cell r="H10">
            <v>1289864.485564512</v>
          </cell>
          <cell r="I10">
            <v>660393.45669047488</v>
          </cell>
          <cell r="J10">
            <v>1646115.4844882151</v>
          </cell>
          <cell r="K10">
            <v>1360673.4765705003</v>
          </cell>
          <cell r="L10">
            <v>1047676.675449024</v>
          </cell>
          <cell r="M10">
            <v>1631219.0066687097</v>
          </cell>
          <cell r="N10">
            <v>864797.2433824339</v>
          </cell>
          <cell r="O10">
            <v>650248.37575088337</v>
          </cell>
          <cell r="P10">
            <v>887528.19629632391</v>
          </cell>
          <cell r="Q10">
            <v>769515.13872071228</v>
          </cell>
          <cell r="R10">
            <v>1227602.7932007494</v>
          </cell>
          <cell r="S10">
            <v>621245.14765389438</v>
          </cell>
          <cell r="T10">
            <v>435820.31091693457</v>
          </cell>
          <cell r="U10">
            <v>228410.07676736638</v>
          </cell>
          <cell r="V10">
            <v>708422.05381298042</v>
          </cell>
          <cell r="W10">
            <v>0</v>
          </cell>
          <cell r="X10">
            <v>0</v>
          </cell>
          <cell r="Y10">
            <v>0</v>
          </cell>
          <cell r="Z10">
            <v>19045209.285890531</v>
          </cell>
          <cell r="AA10">
            <v>10441182.304265575</v>
          </cell>
          <cell r="AB10">
            <v>431285.75500000006</v>
          </cell>
          <cell r="AC10">
            <v>504197.77769013331</v>
          </cell>
          <cell r="AD10">
            <v>475871.82259597082</v>
          </cell>
          <cell r="AE10">
            <v>1411355.3552861041</v>
          </cell>
          <cell r="AF10">
            <v>103</v>
          </cell>
          <cell r="AG10">
            <v>587</v>
          </cell>
          <cell r="AH10">
            <v>420</v>
          </cell>
          <cell r="AI10">
            <v>184</v>
          </cell>
          <cell r="AJ10">
            <v>141</v>
          </cell>
          <cell r="AK10">
            <v>0</v>
          </cell>
          <cell r="AL10">
            <v>1435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/>
          <cell r="AW10"/>
          <cell r="AX10"/>
          <cell r="AY10"/>
          <cell r="AZ10"/>
        </row>
        <row r="11">
          <cell r="D11" t="str">
            <v xml:space="preserve"> - 단  위  당</v>
          </cell>
          <cell r="E11"/>
          <cell r="F11">
            <v>89859.171781953104</v>
          </cell>
          <cell r="G11">
            <v>92796.08841992919</v>
          </cell>
          <cell r="H11">
            <v>92133.177540322285</v>
          </cell>
          <cell r="I11">
            <v>94341.922384353558</v>
          </cell>
          <cell r="J11">
            <v>96830.322616953825</v>
          </cell>
          <cell r="K11">
            <v>90711.565104700014</v>
          </cell>
          <cell r="L11">
            <v>87306.389620752001</v>
          </cell>
          <cell r="M11">
            <v>90623.278148261641</v>
          </cell>
          <cell r="N11">
            <v>86479.724338243381</v>
          </cell>
          <cell r="O11">
            <v>92892.62510726905</v>
          </cell>
          <cell r="P11">
            <v>88752.819629632388</v>
          </cell>
          <cell r="Q11">
            <v>96189.392340089034</v>
          </cell>
          <cell r="R11">
            <v>94430.984092365339</v>
          </cell>
          <cell r="S11">
            <v>88749.306807699206</v>
          </cell>
          <cell r="T11">
            <v>87164.062183386923</v>
          </cell>
          <cell r="U11">
            <v>114205.03838368319</v>
          </cell>
          <cell r="V11">
            <v>101203.15054471149</v>
          </cell>
          <cell r="W11">
            <v>0</v>
          </cell>
          <cell r="X11">
            <v>0</v>
          </cell>
          <cell r="Y11">
            <v>0</v>
          </cell>
          <cell r="Z11">
            <v>92005.841960823818</v>
          </cell>
          <cell r="AA11">
            <v>1065426.7657413853</v>
          </cell>
          <cell r="AB11">
            <v>11836.19873545211</v>
          </cell>
          <cell r="AC11">
            <v>14519.192800914387</v>
          </cell>
          <cell r="AD11">
            <v>24212.300220752517</v>
          </cell>
          <cell r="AE11">
            <v>15540.430708198235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/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/>
          <cell r="AV11"/>
          <cell r="AW11"/>
          <cell r="AX11"/>
          <cell r="AY11"/>
          <cell r="AZ11"/>
        </row>
        <row r="12">
          <cell r="D12" t="str">
            <v>매출이익</v>
          </cell>
          <cell r="E12">
            <v>2454929.8906118125</v>
          </cell>
          <cell r="F12">
            <v>250798.77654140582</v>
          </cell>
          <cell r="G12">
            <v>114086.15790651925</v>
          </cell>
          <cell r="H12">
            <v>57864.355835488066</v>
          </cell>
          <cell r="I12">
            <v>20296.343309525168</v>
          </cell>
          <cell r="J12">
            <v>184788.82269178494</v>
          </cell>
          <cell r="K12">
            <v>128829.06342949951</v>
          </cell>
          <cell r="L12">
            <v>107926.62455097586</v>
          </cell>
          <cell r="M12">
            <v>204775.29213129031</v>
          </cell>
          <cell r="N12">
            <v>79990.256617566105</v>
          </cell>
          <cell r="O12">
            <v>49753.826185117126</v>
          </cell>
          <cell r="P12">
            <v>87130.738592564943</v>
          </cell>
          <cell r="Q12">
            <v>47546.861279287725</v>
          </cell>
          <cell r="R12">
            <v>111397.20679925056</v>
          </cell>
          <cell r="S12">
            <v>56793.17234610545</v>
          </cell>
          <cell r="T12">
            <v>121780.92908306542</v>
          </cell>
          <cell r="U12">
            <v>-4410.0767673663795</v>
          </cell>
          <cell r="V12">
            <v>151335.44618701958</v>
          </cell>
          <cell r="W12">
            <v>0</v>
          </cell>
          <cell r="X12">
            <v>0</v>
          </cell>
          <cell r="Y12">
            <v>0</v>
          </cell>
          <cell r="Z12">
            <v>1770683.7967191041</v>
          </cell>
          <cell r="AA12">
            <v>290140.50778922066</v>
          </cell>
          <cell r="AB12">
            <v>95993.208440860093</v>
          </cell>
          <cell r="AC12">
            <v>76461.087959866622</v>
          </cell>
          <cell r="AD12">
            <v>56384.789702763897</v>
          </cell>
          <cell r="AE12">
            <v>228839.08610349079</v>
          </cell>
          <cell r="AF12">
            <v>12397</v>
          </cell>
          <cell r="AG12">
            <v>49413</v>
          </cell>
          <cell r="AH12">
            <v>27920</v>
          </cell>
          <cell r="AI12">
            <v>68386</v>
          </cell>
          <cell r="AJ12">
            <v>5380.5</v>
          </cell>
          <cell r="AK12">
            <v>0</v>
          </cell>
          <cell r="AL12">
            <v>163496.5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1770</v>
          </cell>
          <cell r="AU12">
            <v>1770</v>
          </cell>
          <cell r="AV12"/>
          <cell r="AW12"/>
          <cell r="AX12"/>
          <cell r="AY12"/>
          <cell r="AZ12"/>
        </row>
        <row r="13">
          <cell r="D13" t="str">
            <v>판 관 비</v>
          </cell>
          <cell r="E13">
            <v>786783.57000000007</v>
          </cell>
          <cell r="F13">
            <v>67348.929999999993</v>
          </cell>
          <cell r="G13">
            <v>60493.929999999993</v>
          </cell>
          <cell r="H13">
            <v>50358.34</v>
          </cell>
          <cell r="I13">
            <v>36500.67</v>
          </cell>
          <cell r="J13">
            <v>46261.66</v>
          </cell>
          <cell r="K13">
            <v>48109.139999999992</v>
          </cell>
          <cell r="L13">
            <v>37597.519999999997</v>
          </cell>
          <cell r="M13">
            <v>49540.69</v>
          </cell>
          <cell r="N13">
            <v>28625.78</v>
          </cell>
          <cell r="O13">
            <v>36191.94</v>
          </cell>
          <cell r="P13">
            <v>37599.03</v>
          </cell>
          <cell r="Q13">
            <v>36447.420000000006</v>
          </cell>
          <cell r="R13">
            <v>44797.600000000006</v>
          </cell>
          <cell r="S13">
            <v>30027.61</v>
          </cell>
          <cell r="T13">
            <v>11880.24</v>
          </cell>
          <cell r="U13">
            <v>12200.2</v>
          </cell>
          <cell r="V13">
            <v>16434.45</v>
          </cell>
          <cell r="W13">
            <v>0</v>
          </cell>
          <cell r="X13">
            <v>0</v>
          </cell>
          <cell r="Y13">
            <v>0</v>
          </cell>
          <cell r="Z13">
            <v>650415.15</v>
          </cell>
          <cell r="AA13">
            <v>117303.42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5468</v>
          </cell>
          <cell r="AN13">
            <v>5264</v>
          </cell>
          <cell r="AO13">
            <v>216</v>
          </cell>
          <cell r="AP13">
            <v>166</v>
          </cell>
          <cell r="AQ13">
            <v>7951</v>
          </cell>
          <cell r="AR13">
            <v>0</v>
          </cell>
          <cell r="AS13">
            <v>0</v>
          </cell>
          <cell r="AT13">
            <v>0</v>
          </cell>
          <cell r="AU13">
            <v>19065</v>
          </cell>
          <cell r="AV13"/>
          <cell r="AW13"/>
          <cell r="AX13"/>
          <cell r="AY13"/>
          <cell r="AZ13"/>
        </row>
        <row r="14">
          <cell r="D14" t="str">
            <v xml:space="preserve"> - 노   무   비</v>
          </cell>
          <cell r="E14">
            <v>551377.94000000006</v>
          </cell>
          <cell r="F14">
            <v>49121.599999999999</v>
          </cell>
          <cell r="G14">
            <v>42812.85</v>
          </cell>
          <cell r="H14">
            <v>37165.25</v>
          </cell>
          <cell r="I14">
            <v>25764.83</v>
          </cell>
          <cell r="J14">
            <v>32822.07</v>
          </cell>
          <cell r="K14">
            <v>35323.249999999993</v>
          </cell>
          <cell r="L14">
            <v>26940.379999999997</v>
          </cell>
          <cell r="M14">
            <v>34544.370000000003</v>
          </cell>
          <cell r="N14">
            <v>20313.559999999998</v>
          </cell>
          <cell r="O14">
            <v>26453.98</v>
          </cell>
          <cell r="P14">
            <v>26779.119999999999</v>
          </cell>
          <cell r="Q14">
            <v>26187.150000000005</v>
          </cell>
          <cell r="R14">
            <v>32239.420000000002</v>
          </cell>
          <cell r="S14">
            <v>21868.81</v>
          </cell>
          <cell r="T14">
            <v>7384.49</v>
          </cell>
          <cell r="U14">
            <v>7347.5</v>
          </cell>
          <cell r="V14">
            <v>10807.03</v>
          </cell>
          <cell r="W14">
            <v>0</v>
          </cell>
          <cell r="X14">
            <v>0</v>
          </cell>
          <cell r="Y14">
            <v>0</v>
          </cell>
          <cell r="Z14">
            <v>463875.66000000003</v>
          </cell>
          <cell r="AA14">
            <v>87502.28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/>
          <cell r="AW14"/>
          <cell r="AX14"/>
          <cell r="AY14"/>
          <cell r="AZ14"/>
        </row>
        <row r="15">
          <cell r="D15" t="str">
            <v xml:space="preserve"> - 경        비</v>
          </cell>
          <cell r="E15">
            <v>235405.63</v>
          </cell>
          <cell r="F15">
            <v>18227.330000000002</v>
          </cell>
          <cell r="G15">
            <v>17681.079999999998</v>
          </cell>
          <cell r="H15">
            <v>13193.09</v>
          </cell>
          <cell r="I15">
            <v>10735.84</v>
          </cell>
          <cell r="J15">
            <v>13439.59</v>
          </cell>
          <cell r="K15">
            <v>12785.89</v>
          </cell>
          <cell r="L15">
            <v>10657.14</v>
          </cell>
          <cell r="M15">
            <v>14996.32</v>
          </cell>
          <cell r="N15">
            <v>8312.2200000000012</v>
          </cell>
          <cell r="O15">
            <v>9737.9599999999991</v>
          </cell>
          <cell r="P15">
            <v>10819.91</v>
          </cell>
          <cell r="Q15">
            <v>10260.27</v>
          </cell>
          <cell r="R15">
            <v>12558.18</v>
          </cell>
          <cell r="S15">
            <v>8158.8</v>
          </cell>
          <cell r="T15">
            <v>4495.75</v>
          </cell>
          <cell r="U15">
            <v>4852.7</v>
          </cell>
          <cell r="V15">
            <v>5627.42</v>
          </cell>
          <cell r="W15">
            <v>0</v>
          </cell>
          <cell r="X15">
            <v>0</v>
          </cell>
          <cell r="Y15">
            <v>0</v>
          </cell>
          <cell r="Z15">
            <v>186539.49</v>
          </cell>
          <cell r="AA15">
            <v>29801.14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5468</v>
          </cell>
          <cell r="AN15">
            <v>5264</v>
          </cell>
          <cell r="AO15">
            <v>216</v>
          </cell>
          <cell r="AP15">
            <v>166</v>
          </cell>
          <cell r="AQ15">
            <v>7951</v>
          </cell>
          <cell r="AR15">
            <v>0</v>
          </cell>
          <cell r="AS15">
            <v>0</v>
          </cell>
          <cell r="AT15">
            <v>0</v>
          </cell>
          <cell r="AU15">
            <v>19065</v>
          </cell>
          <cell r="AV15"/>
          <cell r="AW15"/>
          <cell r="AX15"/>
          <cell r="AY15"/>
          <cell r="AZ15"/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/>
          <cell r="AW16"/>
          <cell r="AX16"/>
          <cell r="AY16"/>
          <cell r="AZ16"/>
        </row>
        <row r="17">
          <cell r="D17" t="str">
            <v>EBITDA</v>
          </cell>
          <cell r="E17">
            <v>1668146.3206118124</v>
          </cell>
          <cell r="F17">
            <v>183449.84654140583</v>
          </cell>
          <cell r="G17">
            <v>53592.227906519256</v>
          </cell>
          <cell r="H17">
            <v>7506.0158354880696</v>
          </cell>
          <cell r="I17">
            <v>-16204.326690474831</v>
          </cell>
          <cell r="J17">
            <v>138527.16269178494</v>
          </cell>
          <cell r="K17">
            <v>80719.923429499526</v>
          </cell>
          <cell r="L17">
            <v>70329.10455097587</v>
          </cell>
          <cell r="M17">
            <v>155234.6021312903</v>
          </cell>
          <cell r="N17">
            <v>51364.476617566106</v>
          </cell>
          <cell r="O17">
            <v>13561.886185117124</v>
          </cell>
          <cell r="P17">
            <v>49531.708592564944</v>
          </cell>
          <cell r="Q17">
            <v>11099.441279287719</v>
          </cell>
          <cell r="R17">
            <v>66599.606799250556</v>
          </cell>
          <cell r="S17">
            <v>26765.562346105449</v>
          </cell>
          <cell r="T17">
            <v>109900.68908306542</v>
          </cell>
          <cell r="U17">
            <v>-16610.27676736638</v>
          </cell>
          <cell r="V17">
            <v>134900.99618701957</v>
          </cell>
          <cell r="W17">
            <v>0</v>
          </cell>
          <cell r="X17">
            <v>0</v>
          </cell>
          <cell r="Y17">
            <v>0</v>
          </cell>
          <cell r="Z17">
            <v>1120268.6467191041</v>
          </cell>
          <cell r="AA17">
            <v>172837.08778922068</v>
          </cell>
          <cell r="AB17">
            <v>95993.208440860093</v>
          </cell>
          <cell r="AC17">
            <v>76461.087959866622</v>
          </cell>
          <cell r="AD17">
            <v>56384.789702763897</v>
          </cell>
          <cell r="AE17">
            <v>228839.08610349079</v>
          </cell>
          <cell r="AF17">
            <v>12397</v>
          </cell>
          <cell r="AG17">
            <v>49413</v>
          </cell>
          <cell r="AH17">
            <v>27920</v>
          </cell>
          <cell r="AI17">
            <v>68386</v>
          </cell>
          <cell r="AJ17">
            <v>5380.5</v>
          </cell>
          <cell r="AK17">
            <v>0</v>
          </cell>
          <cell r="AL17">
            <v>163496.5</v>
          </cell>
          <cell r="AM17">
            <v>-5468</v>
          </cell>
          <cell r="AN17">
            <v>-5264</v>
          </cell>
          <cell r="AO17">
            <v>-216</v>
          </cell>
          <cell r="AP17">
            <v>-166</v>
          </cell>
          <cell r="AQ17">
            <v>-7951</v>
          </cell>
          <cell r="AR17">
            <v>0</v>
          </cell>
          <cell r="AS17">
            <v>0</v>
          </cell>
          <cell r="AT17">
            <v>1770</v>
          </cell>
          <cell r="AU17">
            <v>-17295</v>
          </cell>
          <cell r="AV17"/>
          <cell r="AW17"/>
          <cell r="AX17"/>
          <cell r="AY17"/>
          <cell r="AZ17"/>
        </row>
        <row r="18">
          <cell r="D18" t="str">
            <v>감가상각비</v>
          </cell>
          <cell r="E18">
            <v>556288.48646234546</v>
          </cell>
          <cell r="F18">
            <v>29313.37911111111</v>
          </cell>
          <cell r="G18">
            <v>34961.551795022235</v>
          </cell>
          <cell r="H18">
            <v>21048.774222222222</v>
          </cell>
          <cell r="I18">
            <v>18219.079444444447</v>
          </cell>
          <cell r="J18">
            <v>46858.586555555557</v>
          </cell>
          <cell r="K18">
            <v>28540.450777777776</v>
          </cell>
          <cell r="L18">
            <v>13426.643333333332</v>
          </cell>
          <cell r="M18">
            <v>25004.934999999998</v>
          </cell>
          <cell r="N18">
            <v>11350.066999999999</v>
          </cell>
          <cell r="O18">
            <v>31382.526333333331</v>
          </cell>
          <cell r="P18">
            <v>15161.930436470893</v>
          </cell>
          <cell r="Q18">
            <v>15437.812055282729</v>
          </cell>
          <cell r="R18">
            <v>36746.377888888885</v>
          </cell>
          <cell r="S18">
            <v>21151.136666666665</v>
          </cell>
          <cell r="T18">
            <v>10763.843000000001</v>
          </cell>
          <cell r="U18">
            <v>5952.9711111111101</v>
          </cell>
          <cell r="V18">
            <v>12223.494842236318</v>
          </cell>
          <cell r="W18">
            <v>0</v>
          </cell>
          <cell r="X18">
            <v>0</v>
          </cell>
          <cell r="Y18">
            <v>0</v>
          </cell>
          <cell r="Z18">
            <v>377543.55957345659</v>
          </cell>
          <cell r="AA18">
            <v>5475.768</v>
          </cell>
          <cell r="AB18">
            <v>11834.705</v>
          </cell>
          <cell r="AC18">
            <v>57289.855000000003</v>
          </cell>
          <cell r="AD18">
            <v>35123.078888888878</v>
          </cell>
          <cell r="AE18">
            <v>104247.63888888888</v>
          </cell>
          <cell r="AF18">
            <v>3295.3759999999997</v>
          </cell>
          <cell r="AG18">
            <v>5669.0560000000005</v>
          </cell>
          <cell r="AH18">
            <v>8242.3469999999998</v>
          </cell>
          <cell r="AI18">
            <v>8489.6080000000002</v>
          </cell>
          <cell r="AJ18">
            <v>1312.8920000000001</v>
          </cell>
          <cell r="AK18">
            <v>0</v>
          </cell>
          <cell r="AL18">
            <v>27009.279000000002</v>
          </cell>
          <cell r="AM18">
            <v>3687.22</v>
          </cell>
          <cell r="AN18">
            <v>899.51400000000001</v>
          </cell>
          <cell r="AO18">
            <v>353.67200000000003</v>
          </cell>
          <cell r="AP18">
            <v>241.20500000000001</v>
          </cell>
          <cell r="AQ18">
            <v>18257.885000000002</v>
          </cell>
          <cell r="AR18">
            <v>855.83600000000001</v>
          </cell>
          <cell r="AS18">
            <v>0</v>
          </cell>
          <cell r="AT18">
            <v>17716.909</v>
          </cell>
          <cell r="AU18">
            <v>42012.240999999995</v>
          </cell>
          <cell r="AV18"/>
          <cell r="AW18"/>
          <cell r="AX18"/>
          <cell r="AY18"/>
          <cell r="AZ18"/>
        </row>
        <row r="19">
          <cell r="D19" t="str">
            <v xml:space="preserve"> - 제        조</v>
          </cell>
          <cell r="E19">
            <v>486737.06446234544</v>
          </cell>
          <cell r="F19">
            <v>26985.75711111111</v>
          </cell>
          <cell r="G19">
            <v>33016.416795022233</v>
          </cell>
          <cell r="H19">
            <v>19277.527222222223</v>
          </cell>
          <cell r="I19">
            <v>17027.091444444446</v>
          </cell>
          <cell r="J19">
            <v>44982.520555555559</v>
          </cell>
          <cell r="K19">
            <v>26976.048777777778</v>
          </cell>
          <cell r="L19">
            <v>12233.044333333331</v>
          </cell>
          <cell r="M19">
            <v>23441.629999999997</v>
          </cell>
          <cell r="N19">
            <v>10600.030999999999</v>
          </cell>
          <cell r="O19">
            <v>30163.760333333332</v>
          </cell>
          <cell r="P19">
            <v>13956.542436470892</v>
          </cell>
          <cell r="Q19">
            <v>14335.657055282729</v>
          </cell>
          <cell r="R19">
            <v>35158.176888888884</v>
          </cell>
          <cell r="S19">
            <v>20024.272666666664</v>
          </cell>
          <cell r="T19">
            <v>10320.974</v>
          </cell>
          <cell r="U19">
            <v>5582.5711111111104</v>
          </cell>
          <cell r="V19">
            <v>11398.124842236317</v>
          </cell>
          <cell r="W19">
            <v>0</v>
          </cell>
          <cell r="X19">
            <v>0</v>
          </cell>
          <cell r="Y19">
            <v>0</v>
          </cell>
          <cell r="Z19">
            <v>355480.14657345659</v>
          </cell>
          <cell r="AA19">
            <v>0</v>
          </cell>
          <cell r="AB19">
            <v>11834.705</v>
          </cell>
          <cell r="AC19">
            <v>57289.855000000003</v>
          </cell>
          <cell r="AD19">
            <v>35123.078888888878</v>
          </cell>
          <cell r="AE19">
            <v>104247.63888888888</v>
          </cell>
          <cell r="AF19">
            <v>3295.3759999999997</v>
          </cell>
          <cell r="AG19">
            <v>5669.0560000000005</v>
          </cell>
          <cell r="AH19">
            <v>8242.3469999999998</v>
          </cell>
          <cell r="AI19">
            <v>8489.6080000000002</v>
          </cell>
          <cell r="AJ19">
            <v>1312.8920000000001</v>
          </cell>
          <cell r="AK19">
            <v>0</v>
          </cell>
          <cell r="AL19">
            <v>27009.279000000002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/>
          <cell r="AW19"/>
          <cell r="AX19"/>
          <cell r="AY19"/>
          <cell r="AZ19"/>
        </row>
        <row r="20">
          <cell r="D20" t="str">
            <v xml:space="preserve"> - 판        매</v>
          </cell>
          <cell r="E20">
            <v>69551.421999999991</v>
          </cell>
          <cell r="F20">
            <v>2327.6220000000003</v>
          </cell>
          <cell r="G20">
            <v>1945.135</v>
          </cell>
          <cell r="H20">
            <v>1771.2469999999998</v>
          </cell>
          <cell r="I20">
            <v>1191.9880000000001</v>
          </cell>
          <cell r="J20">
            <v>1876.066</v>
          </cell>
          <cell r="K20">
            <v>1564.402</v>
          </cell>
          <cell r="L20">
            <v>1193.5990000000002</v>
          </cell>
          <cell r="M20">
            <v>1563.3050000000001</v>
          </cell>
          <cell r="N20">
            <v>750.03599999999994</v>
          </cell>
          <cell r="O20">
            <v>1218.7660000000001</v>
          </cell>
          <cell r="P20">
            <v>1205.3880000000001</v>
          </cell>
          <cell r="Q20">
            <v>1102.155</v>
          </cell>
          <cell r="R20">
            <v>1588.201</v>
          </cell>
          <cell r="S20">
            <v>1126.864</v>
          </cell>
          <cell r="T20">
            <v>442.86900000000003</v>
          </cell>
          <cell r="U20">
            <v>370.4</v>
          </cell>
          <cell r="V20">
            <v>825.37</v>
          </cell>
          <cell r="W20">
            <v>0</v>
          </cell>
          <cell r="X20">
            <v>0</v>
          </cell>
          <cell r="Y20">
            <v>0</v>
          </cell>
          <cell r="Z20">
            <v>22063.413</v>
          </cell>
          <cell r="AA20">
            <v>5475.768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3687.22</v>
          </cell>
          <cell r="AN20">
            <v>899.51400000000001</v>
          </cell>
          <cell r="AO20">
            <v>353.67200000000003</v>
          </cell>
          <cell r="AP20">
            <v>241.20500000000001</v>
          </cell>
          <cell r="AQ20">
            <v>18257.885000000002</v>
          </cell>
          <cell r="AR20">
            <v>855.83600000000001</v>
          </cell>
          <cell r="AS20">
            <v>0</v>
          </cell>
          <cell r="AT20">
            <v>17716.909</v>
          </cell>
          <cell r="AU20">
            <v>42012.240999999995</v>
          </cell>
          <cell r="AV20"/>
          <cell r="AW20"/>
          <cell r="AX20"/>
          <cell r="AY20"/>
          <cell r="AZ20"/>
        </row>
        <row r="21">
          <cell r="D21" t="str">
            <v>영업이익 I</v>
          </cell>
          <cell r="E21">
            <v>1111857.8341494668</v>
          </cell>
          <cell r="F21">
            <v>154136.46743029472</v>
          </cell>
          <cell r="G21">
            <v>18630.676111497021</v>
          </cell>
          <cell r="H21">
            <v>-13542.758386734153</v>
          </cell>
          <cell r="I21">
            <v>-34423.406134919278</v>
          </cell>
          <cell r="J21">
            <v>91668.576136229385</v>
          </cell>
          <cell r="K21">
            <v>52179.47265172175</v>
          </cell>
          <cell r="L21">
            <v>56902.461217642536</v>
          </cell>
          <cell r="M21">
            <v>130229.66713129031</v>
          </cell>
          <cell r="N21">
            <v>40014.409617566111</v>
          </cell>
          <cell r="O21">
            <v>-17820.640148216207</v>
          </cell>
          <cell r="P21">
            <v>34369.778156094049</v>
          </cell>
          <cell r="Q21">
            <v>-4338.3707759950103</v>
          </cell>
          <cell r="R21">
            <v>29853.228910361671</v>
          </cell>
          <cell r="S21">
            <v>5614.4256794387838</v>
          </cell>
          <cell r="T21">
            <v>99136.846083065408</v>
          </cell>
          <cell r="U21">
            <v>-22563.24787847749</v>
          </cell>
          <cell r="V21">
            <v>122677.50134478325</v>
          </cell>
          <cell r="W21">
            <v>0</v>
          </cell>
          <cell r="X21">
            <v>0</v>
          </cell>
          <cell r="Y21">
            <v>0</v>
          </cell>
          <cell r="Z21">
            <v>742725.0871456475</v>
          </cell>
          <cell r="AA21">
            <v>167361.31978922067</v>
          </cell>
          <cell r="AB21">
            <v>84158.503440860091</v>
          </cell>
          <cell r="AC21">
            <v>19171.232959866618</v>
          </cell>
          <cell r="AD21">
            <v>21261.710813875019</v>
          </cell>
          <cell r="AE21">
            <v>124591.44721460191</v>
          </cell>
          <cell r="AF21">
            <v>9101.6239999999998</v>
          </cell>
          <cell r="AG21">
            <v>43743.944000000003</v>
          </cell>
          <cell r="AH21">
            <v>19677.652999999998</v>
          </cell>
          <cell r="AI21">
            <v>59896.392</v>
          </cell>
          <cell r="AJ21">
            <v>4067.6080000000002</v>
          </cell>
          <cell r="AK21">
            <v>0</v>
          </cell>
          <cell r="AL21">
            <v>136487.22099999999</v>
          </cell>
          <cell r="AM21">
            <v>-9155.2199999999993</v>
          </cell>
          <cell r="AN21">
            <v>-6163.5140000000001</v>
          </cell>
          <cell r="AO21">
            <v>-569.67200000000003</v>
          </cell>
          <cell r="AP21">
            <v>-407.20500000000004</v>
          </cell>
          <cell r="AQ21">
            <v>-26208.885000000002</v>
          </cell>
          <cell r="AR21">
            <v>-855.83600000000001</v>
          </cell>
          <cell r="AS21">
            <v>0</v>
          </cell>
          <cell r="AT21">
            <v>-15946.909</v>
          </cell>
          <cell r="AU21">
            <v>-59307.240999999995</v>
          </cell>
          <cell r="AV21"/>
          <cell r="AW21"/>
          <cell r="AX21"/>
          <cell r="AY21"/>
          <cell r="AZ21"/>
        </row>
        <row r="22">
          <cell r="D22" t="str">
            <v>공    통    비</v>
          </cell>
          <cell r="E22">
            <v>1832330.7199305752</v>
          </cell>
          <cell r="F22">
            <v>252573.40723919513</v>
          </cell>
          <cell r="G22">
            <v>208635.77496884897</v>
          </cell>
          <cell r="H22">
            <v>115524.15571223455</v>
          </cell>
          <cell r="I22">
            <v>58347.133363447072</v>
          </cell>
          <cell r="J22">
            <v>158755.15841776755</v>
          </cell>
          <cell r="K22">
            <v>129152.68743104204</v>
          </cell>
          <cell r="L22">
            <v>100200.75011028897</v>
          </cell>
          <cell r="M22">
            <v>159196.50449074872</v>
          </cell>
          <cell r="N22">
            <v>81921.206174146995</v>
          </cell>
          <cell r="O22">
            <v>60696.214447329141</v>
          </cell>
          <cell r="P22">
            <v>84511.316623586972</v>
          </cell>
          <cell r="Q22">
            <v>70846.306242473467</v>
          </cell>
          <cell r="R22">
            <v>111396.57822100689</v>
          </cell>
          <cell r="S22">
            <v>56408.624907184523</v>
          </cell>
          <cell r="T22">
            <v>46388.999363547744</v>
          </cell>
          <cell r="U22">
            <v>18635.424586635956</v>
          </cell>
          <cell r="V22">
            <v>71526.544884127943</v>
          </cell>
          <cell r="W22">
            <v>0</v>
          </cell>
          <cell r="X22">
            <v>0</v>
          </cell>
          <cell r="Y22">
            <v>0</v>
          </cell>
          <cell r="Z22">
            <v>1784716.7871836126</v>
          </cell>
          <cell r="AA22">
            <v>0</v>
          </cell>
          <cell r="AB22">
            <v>15306.615161365504</v>
          </cell>
          <cell r="AC22">
            <v>16856.204045273767</v>
          </cell>
          <cell r="AD22">
            <v>15451.113540323577</v>
          </cell>
          <cell r="AE22">
            <v>47613.932746962848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/>
          <cell r="AW22"/>
          <cell r="AX22"/>
          <cell r="AY22"/>
          <cell r="AZ22"/>
        </row>
        <row r="23">
          <cell r="D23" t="str">
            <v xml:space="preserve"> - 영업공통비</v>
          </cell>
          <cell r="E23">
            <v>331816.29333333333</v>
          </cell>
          <cell r="F23">
            <v>40169.515969494496</v>
          </cell>
          <cell r="G23">
            <v>33181.632959807815</v>
          </cell>
          <cell r="H23">
            <v>18373.07208414948</v>
          </cell>
          <cell r="I23">
            <v>9279.5838288612103</v>
          </cell>
          <cell r="J23">
            <v>26774.353379053518</v>
          </cell>
          <cell r="K23">
            <v>21781.841469575535</v>
          </cell>
          <cell r="L23">
            <v>16899.043275426935</v>
          </cell>
          <cell r="M23">
            <v>26848.787216909415</v>
          </cell>
          <cell r="N23">
            <v>13816.164118415401</v>
          </cell>
          <cell r="O23">
            <v>10236.529701334895</v>
          </cell>
          <cell r="P23">
            <v>14252.991073553405</v>
          </cell>
          <cell r="Q23">
            <v>11948.36160186362</v>
          </cell>
          <cell r="R23">
            <v>14874.713449696284</v>
          </cell>
          <cell r="S23">
            <v>7532.207406955541</v>
          </cell>
          <cell r="T23">
            <v>6194.2932518262323</v>
          </cell>
          <cell r="U23">
            <v>2488.3762604420967</v>
          </cell>
          <cell r="V23">
            <v>9550.8935390046681</v>
          </cell>
          <cell r="W23">
            <v>0</v>
          </cell>
          <cell r="X23">
            <v>0</v>
          </cell>
          <cell r="Y23">
            <v>0</v>
          </cell>
          <cell r="Z23">
            <v>284202.36058637052</v>
          </cell>
          <cell r="AA23">
            <v>0</v>
          </cell>
          <cell r="AB23">
            <v>15306.615161365504</v>
          </cell>
          <cell r="AC23">
            <v>16856.204045273767</v>
          </cell>
          <cell r="AD23">
            <v>15451.113540323577</v>
          </cell>
          <cell r="AE23">
            <v>47613.932746962848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/>
          <cell r="AW23"/>
          <cell r="AX23"/>
          <cell r="AY23"/>
          <cell r="AZ23"/>
        </row>
        <row r="24">
          <cell r="D24" t="str">
            <v xml:space="preserve"> - 부문공통비</v>
          </cell>
          <cell r="E24">
            <v>619986.24388888909</v>
          </cell>
          <cell r="F24">
            <v>87761.562569123067</v>
          </cell>
          <cell r="G24">
            <v>72494.574227863079</v>
          </cell>
          <cell r="H24">
            <v>40141.123844375383</v>
          </cell>
          <cell r="I24">
            <v>20273.850883104737</v>
          </cell>
          <cell r="J24">
            <v>54532.153860688821</v>
          </cell>
          <cell r="K24">
            <v>44363.750398442491</v>
          </cell>
          <cell r="L24">
            <v>34418.804254483817</v>
          </cell>
          <cell r="M24">
            <v>54683.755561052385</v>
          </cell>
          <cell r="N24">
            <v>28139.808898592742</v>
          </cell>
          <cell r="O24">
            <v>20849.056736115985</v>
          </cell>
          <cell r="P24">
            <v>29029.507872489081</v>
          </cell>
          <cell r="Q24">
            <v>24335.597727850953</v>
          </cell>
          <cell r="R24">
            <v>39881.141648482524</v>
          </cell>
          <cell r="S24">
            <v>20194.878478729734</v>
          </cell>
          <cell r="T24">
            <v>16607.747599558996</v>
          </cell>
          <cell r="U24">
            <v>6671.6771689769121</v>
          </cell>
          <cell r="V24">
            <v>25607.252158958334</v>
          </cell>
          <cell r="W24">
            <v>0</v>
          </cell>
          <cell r="X24">
            <v>0</v>
          </cell>
          <cell r="Y24">
            <v>0</v>
          </cell>
          <cell r="Z24">
            <v>619986.24388888909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/>
          <cell r="AW24"/>
          <cell r="AX24"/>
          <cell r="AY24"/>
          <cell r="AZ24"/>
        </row>
        <row r="25">
          <cell r="D25" t="str">
            <v xml:space="preserve"> - 본사공통비</v>
          </cell>
          <cell r="E25">
            <v>880528.18270835292</v>
          </cell>
          <cell r="F25">
            <v>124642.32870057756</v>
          </cell>
          <cell r="G25">
            <v>102959.56778117808</v>
          </cell>
          <cell r="H25">
            <v>57009.959783709688</v>
          </cell>
          <cell r="I25">
            <v>28793.698651481125</v>
          </cell>
          <cell r="J25">
            <v>77448.651178025204</v>
          </cell>
          <cell r="K25">
            <v>63007.095563024006</v>
          </cell>
          <cell r="L25">
            <v>48882.902580378206</v>
          </cell>
          <cell r="M25">
            <v>77663.961712786913</v>
          </cell>
          <cell r="N25">
            <v>39965.233157138857</v>
          </cell>
          <cell r="O25">
            <v>29610.628009878263</v>
          </cell>
          <cell r="P25">
            <v>41228.817677544488</v>
          </cell>
          <cell r="Q25">
            <v>34562.346912758891</v>
          </cell>
          <cell r="R25">
            <v>56640.72312282808</v>
          </cell>
          <cell r="S25">
            <v>28681.539021499248</v>
          </cell>
          <cell r="T25">
            <v>23586.958512162513</v>
          </cell>
          <cell r="U25">
            <v>9475.371157216945</v>
          </cell>
          <cell r="V25">
            <v>36368.399186164941</v>
          </cell>
          <cell r="W25">
            <v>0</v>
          </cell>
          <cell r="X25">
            <v>0</v>
          </cell>
          <cell r="Y25">
            <v>0</v>
          </cell>
          <cell r="Z25">
            <v>880528.18270835292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/>
          <cell r="AW25"/>
          <cell r="AX25"/>
          <cell r="AY25"/>
          <cell r="AZ25"/>
        </row>
        <row r="26">
          <cell r="D26" t="str">
            <v>영업이익 II</v>
          </cell>
          <cell r="E26">
            <v>-720472.8857811084</v>
          </cell>
          <cell r="F26">
            <v>-98436.93980890041</v>
          </cell>
          <cell r="G26">
            <v>-190005.09885735196</v>
          </cell>
          <cell r="H26">
            <v>-129066.9140989687</v>
          </cell>
          <cell r="I26">
            <v>-92770.539498366357</v>
          </cell>
          <cell r="J26">
            <v>-67086.582281538169</v>
          </cell>
          <cell r="K26">
            <v>-76973.214779320289</v>
          </cell>
          <cell r="L26">
            <v>-43298.288892646429</v>
          </cell>
          <cell r="M26">
            <v>-28966.837359458412</v>
          </cell>
          <cell r="N26">
            <v>-41906.796556580884</v>
          </cell>
          <cell r="O26">
            <v>-78516.854595545345</v>
          </cell>
          <cell r="P26">
            <v>-50141.538467492923</v>
          </cell>
          <cell r="Q26">
            <v>-75184.677018468472</v>
          </cell>
          <cell r="R26">
            <v>-81543.349310645222</v>
          </cell>
          <cell r="S26">
            <v>-50794.199227745739</v>
          </cell>
          <cell r="T26">
            <v>52747.846719517664</v>
          </cell>
          <cell r="U26">
            <v>-41198.672465113443</v>
          </cell>
          <cell r="V26">
            <v>51150.956460655303</v>
          </cell>
          <cell r="W26">
            <v>0</v>
          </cell>
          <cell r="X26">
            <v>0</v>
          </cell>
          <cell r="Y26">
            <v>0</v>
          </cell>
          <cell r="Z26">
            <v>-1041991.7000379651</v>
          </cell>
          <cell r="AA26">
            <v>167361.31978922067</v>
          </cell>
          <cell r="AB26">
            <v>68851.888279494582</v>
          </cell>
          <cell r="AC26">
            <v>2315.0289145928509</v>
          </cell>
          <cell r="AD26">
            <v>5810.5972735514424</v>
          </cell>
          <cell r="AE26">
            <v>76977.514467639063</v>
          </cell>
          <cell r="AF26">
            <v>9101.6239999999998</v>
          </cell>
          <cell r="AG26">
            <v>43743.944000000003</v>
          </cell>
          <cell r="AH26">
            <v>19677.652999999998</v>
          </cell>
          <cell r="AI26">
            <v>59896.392</v>
          </cell>
          <cell r="AJ26">
            <v>4067.6080000000002</v>
          </cell>
          <cell r="AK26">
            <v>0</v>
          </cell>
          <cell r="AL26">
            <v>136487.22099999999</v>
          </cell>
          <cell r="AM26">
            <v>-9155.2199999999993</v>
          </cell>
          <cell r="AN26">
            <v>-6163.5140000000001</v>
          </cell>
          <cell r="AO26">
            <v>-569.67200000000003</v>
          </cell>
          <cell r="AP26">
            <v>-407.20500000000004</v>
          </cell>
          <cell r="AQ26">
            <v>-26208.885000000002</v>
          </cell>
          <cell r="AR26">
            <v>-855.83600000000001</v>
          </cell>
          <cell r="AS26">
            <v>0</v>
          </cell>
          <cell r="AT26">
            <v>-15946.909</v>
          </cell>
          <cell r="AU26">
            <v>-59307.240999999995</v>
          </cell>
          <cell r="AV26"/>
          <cell r="AW26"/>
          <cell r="AX26"/>
          <cell r="AY26"/>
          <cell r="AZ26"/>
        </row>
        <row r="27">
          <cell r="E27">
            <v>-720472.88578111026</v>
          </cell>
          <cell r="F27">
            <v>-98436.93980890041</v>
          </cell>
          <cell r="G27">
            <v>-190005.09885735193</v>
          </cell>
          <cell r="H27">
            <v>-129066.91409896871</v>
          </cell>
          <cell r="I27">
            <v>-92770.539498366357</v>
          </cell>
          <cell r="J27">
            <v>-67086.582281538183</v>
          </cell>
          <cell r="K27">
            <v>-76973.214779320304</v>
          </cell>
          <cell r="L27">
            <v>-43298.288892646437</v>
          </cell>
          <cell r="M27">
            <v>-28966.837359458412</v>
          </cell>
          <cell r="N27">
            <v>-41906.796556580892</v>
          </cell>
          <cell r="O27">
            <v>-78516.854595545359</v>
          </cell>
          <cell r="P27">
            <v>-50141.538467492916</v>
          </cell>
          <cell r="Q27">
            <v>-75184.677018468472</v>
          </cell>
          <cell r="R27">
            <v>-81543.349310645208</v>
          </cell>
          <cell r="S27">
            <v>-50794.199227745739</v>
          </cell>
          <cell r="T27">
            <v>52747.846719517678</v>
          </cell>
          <cell r="U27">
            <v>-41198.67246511345</v>
          </cell>
          <cell r="V27">
            <v>51150.956460655318</v>
          </cell>
          <cell r="W27">
            <v>0</v>
          </cell>
          <cell r="X27">
            <v>0</v>
          </cell>
          <cell r="Y27">
            <v>0</v>
          </cell>
          <cell r="Z27">
            <v>-1041991.7000379699</v>
          </cell>
          <cell r="AA27">
            <v>167361.31978922067</v>
          </cell>
          <cell r="AB27">
            <v>68851.888279494582</v>
          </cell>
          <cell r="AC27">
            <v>2315.0289145928509</v>
          </cell>
          <cell r="AD27">
            <v>5810.5972735514424</v>
          </cell>
          <cell r="AE27">
            <v>76977.514467638874</v>
          </cell>
          <cell r="AF27">
            <v>9101.6239999999998</v>
          </cell>
          <cell r="AG27">
            <v>43743.944000000003</v>
          </cell>
          <cell r="AH27">
            <v>19677.652999999998</v>
          </cell>
          <cell r="AI27">
            <v>59896.392</v>
          </cell>
          <cell r="AJ27">
            <v>4067.6080000000002</v>
          </cell>
          <cell r="AK27">
            <v>0</v>
          </cell>
          <cell r="AL27">
            <v>136487.22099999999</v>
          </cell>
          <cell r="AM27">
            <v>-9155.2199999999993</v>
          </cell>
          <cell r="AN27">
            <v>-6163.5140000000001</v>
          </cell>
          <cell r="AO27">
            <v>-569.67200000000003</v>
          </cell>
          <cell r="AP27">
            <v>-407.20500000000004</v>
          </cell>
          <cell r="AQ27">
            <v>-26208.885000000002</v>
          </cell>
          <cell r="AR27">
            <v>-855.83600000000001</v>
          </cell>
          <cell r="AS27">
            <v>0</v>
          </cell>
          <cell r="AT27">
            <v>-15946.909</v>
          </cell>
          <cell r="AU27">
            <v>-59307.241000000002</v>
          </cell>
          <cell r="AV27"/>
          <cell r="AW27"/>
          <cell r="AX27"/>
          <cell r="AY27"/>
          <cell r="AZ27"/>
        </row>
        <row r="28">
          <cell r="E28">
            <v>1.862645149230957E-9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4.7730281949043274E-9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</row>
        <row r="29"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</row>
        <row r="30">
          <cell r="E30">
            <v>307618.2908046142</v>
          </cell>
          <cell r="F30">
            <v>30000</v>
          </cell>
          <cell r="G30">
            <v>25000</v>
          </cell>
          <cell r="H30">
            <v>14000</v>
          </cell>
          <cell r="I30">
            <v>7000</v>
          </cell>
          <cell r="J30">
            <v>17000</v>
          </cell>
          <cell r="K30">
            <v>15000</v>
          </cell>
          <cell r="L30">
            <v>12000</v>
          </cell>
          <cell r="M30">
            <v>18000</v>
          </cell>
          <cell r="N30">
            <v>10000</v>
          </cell>
          <cell r="O30">
            <v>7000</v>
          </cell>
          <cell r="P30">
            <v>10000</v>
          </cell>
          <cell r="Q30">
            <v>8000</v>
          </cell>
          <cell r="R30">
            <v>13000</v>
          </cell>
          <cell r="S30">
            <v>7000</v>
          </cell>
          <cell r="T30">
            <v>5000</v>
          </cell>
          <cell r="U30">
            <v>2000</v>
          </cell>
          <cell r="V30">
            <v>7000</v>
          </cell>
          <cell r="W30">
            <v>0</v>
          </cell>
          <cell r="X30">
            <v>0</v>
          </cell>
          <cell r="Y30">
            <v>0</v>
          </cell>
          <cell r="Z30">
            <v>207000</v>
          </cell>
          <cell r="AA30">
            <v>9800</v>
          </cell>
          <cell r="AB30">
            <v>36437.860215053763</v>
          </cell>
          <cell r="AC30">
            <v>34726.295366666665</v>
          </cell>
          <cell r="AD30">
            <v>19654.135222893776</v>
          </cell>
          <cell r="AE30">
            <v>90818.290804614211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33354111.836054023</v>
          </cell>
          <cell r="F31">
            <v>2946573.9299999992</v>
          </cell>
          <cell r="G31">
            <v>2433988.3684047488</v>
          </cell>
          <cell r="H31">
            <v>1347728.8414</v>
          </cell>
          <cell r="I31">
            <v>680689.8</v>
          </cell>
          <cell r="J31">
            <v>1830904.30718</v>
          </cell>
          <cell r="K31">
            <v>1489502.5399999998</v>
          </cell>
          <cell r="L31">
            <v>1155603.2999999998</v>
          </cell>
          <cell r="M31">
            <v>1835994.2988</v>
          </cell>
          <cell r="N31">
            <v>944787.5</v>
          </cell>
          <cell r="O31">
            <v>700002.20193600049</v>
          </cell>
          <cell r="P31">
            <v>974658.93488888885</v>
          </cell>
          <cell r="Q31">
            <v>817062</v>
          </cell>
          <cell r="R31">
            <v>1339000</v>
          </cell>
          <cell r="S31">
            <v>678038.31999999983</v>
          </cell>
          <cell r="T31">
            <v>557601.24</v>
          </cell>
          <cell r="U31">
            <v>224000</v>
          </cell>
          <cell r="V31">
            <v>859757.5</v>
          </cell>
          <cell r="W31">
            <v>0</v>
          </cell>
          <cell r="X31">
            <v>0</v>
          </cell>
          <cell r="Y31">
            <v>0</v>
          </cell>
          <cell r="Z31">
            <v>20815893.082609635</v>
          </cell>
          <cell r="AA31">
            <v>10731322.812054796</v>
          </cell>
          <cell r="AB31">
            <v>527278.96344086016</v>
          </cell>
          <cell r="AC31">
            <v>580658.86564999993</v>
          </cell>
          <cell r="AD31">
            <v>532256.61229873472</v>
          </cell>
          <cell r="AE31">
            <v>1640194.4413895949</v>
          </cell>
          <cell r="AF31">
            <v>12500</v>
          </cell>
          <cell r="AG31">
            <v>50000</v>
          </cell>
          <cell r="AH31">
            <v>28340</v>
          </cell>
          <cell r="AI31">
            <v>68570</v>
          </cell>
          <cell r="AJ31">
            <v>5521.5</v>
          </cell>
          <cell r="AK31">
            <v>0</v>
          </cell>
          <cell r="AL31">
            <v>164931.5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1770</v>
          </cell>
          <cell r="AU31">
            <v>1770</v>
          </cell>
        </row>
        <row r="32">
          <cell r="D32" t="str">
            <v>매출원가</v>
          </cell>
          <cell r="E32">
            <v>31385919.009904556</v>
          </cell>
          <cell r="F32">
            <v>2722760.9105697046</v>
          </cell>
          <cell r="G32">
            <v>2352918.6272932519</v>
          </cell>
          <cell r="H32">
            <v>1309142.0127867342</v>
          </cell>
          <cell r="I32">
            <v>677420.54813491937</v>
          </cell>
          <cell r="J32">
            <v>1691098.0050437707</v>
          </cell>
          <cell r="K32">
            <v>1387649.525348278</v>
          </cell>
          <cell r="L32">
            <v>1059909.7197823573</v>
          </cell>
          <cell r="M32">
            <v>1654660.6366687096</v>
          </cell>
          <cell r="N32">
            <v>875397.27438243385</v>
          </cell>
          <cell r="O32">
            <v>680412.13608421665</v>
          </cell>
          <cell r="P32">
            <v>901484.73873279477</v>
          </cell>
          <cell r="Q32">
            <v>783850.79577599501</v>
          </cell>
          <cell r="R32">
            <v>1262760.9700896384</v>
          </cell>
          <cell r="S32">
            <v>641269.42032056104</v>
          </cell>
          <cell r="T32">
            <v>446141.28491693456</v>
          </cell>
          <cell r="U32">
            <v>233992.6478784775</v>
          </cell>
          <cell r="V32">
            <v>719820.1786552167</v>
          </cell>
          <cell r="W32">
            <v>0</v>
          </cell>
          <cell r="X32">
            <v>0</v>
          </cell>
          <cell r="Y32">
            <v>0</v>
          </cell>
          <cell r="Z32">
            <v>19400689.432463989</v>
          </cell>
          <cell r="AA32">
            <v>10441182.304265575</v>
          </cell>
          <cell r="AB32">
            <v>443120.46000000008</v>
          </cell>
          <cell r="AC32">
            <v>561487.63269013329</v>
          </cell>
          <cell r="AD32">
            <v>510994.9014848597</v>
          </cell>
          <cell r="AE32">
            <v>1515602.9941749931</v>
          </cell>
          <cell r="AF32">
            <v>3398.3759999999997</v>
          </cell>
          <cell r="AG32">
            <v>6256.0560000000005</v>
          </cell>
          <cell r="AH32">
            <v>8662.3469999999998</v>
          </cell>
          <cell r="AI32">
            <v>8673.6080000000002</v>
          </cell>
          <cell r="AJ32">
            <v>1453.8920000000001</v>
          </cell>
          <cell r="AK32">
            <v>0</v>
          </cell>
          <cell r="AL32">
            <v>28444.279000000002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</row>
        <row r="33">
          <cell r="D33" t="str">
            <v>매출이익</v>
          </cell>
          <cell r="E33">
            <v>1968192.8261494685</v>
          </cell>
          <cell r="F33">
            <v>223813.01943029463</v>
          </cell>
          <cell r="G33">
            <v>81069.741111496929</v>
          </cell>
          <cell r="H33">
            <v>38586.828613265883</v>
          </cell>
          <cell r="I33">
            <v>3269.2518650806742</v>
          </cell>
          <cell r="J33">
            <v>139806.30213622935</v>
          </cell>
          <cell r="K33">
            <v>101853.01465172181</v>
          </cell>
          <cell r="L33">
            <v>95693.580217642477</v>
          </cell>
          <cell r="M33">
            <v>181333.66213129042</v>
          </cell>
          <cell r="N33">
            <v>69390.225617566146</v>
          </cell>
          <cell r="O33">
            <v>19590.065851783846</v>
          </cell>
          <cell r="P33">
            <v>73174.196156094084</v>
          </cell>
          <cell r="Q33">
            <v>33211.204224004992</v>
          </cell>
          <cell r="R33">
            <v>76239.029910361627</v>
          </cell>
          <cell r="S33">
            <v>36768.899679438793</v>
          </cell>
          <cell r="T33">
            <v>111459.95508306543</v>
          </cell>
          <cell r="U33">
            <v>-9992.6478784774954</v>
          </cell>
          <cell r="V33">
            <v>139937.3213447833</v>
          </cell>
          <cell r="W33">
            <v>0</v>
          </cell>
          <cell r="X33">
            <v>0</v>
          </cell>
          <cell r="Y33">
            <v>0</v>
          </cell>
          <cell r="Z33">
            <v>1415203.6501456462</v>
          </cell>
          <cell r="AA33">
            <v>290140.50778922066</v>
          </cell>
          <cell r="AB33">
            <v>84158.503440860077</v>
          </cell>
          <cell r="AC33">
            <v>19171.23295986664</v>
          </cell>
          <cell r="AD33">
            <v>21261.710813875019</v>
          </cell>
          <cell r="AE33">
            <v>124591.44721460179</v>
          </cell>
          <cell r="AF33">
            <v>9101.6239999999998</v>
          </cell>
          <cell r="AG33">
            <v>43743.944000000003</v>
          </cell>
          <cell r="AH33">
            <v>19677.652999999998</v>
          </cell>
          <cell r="AI33">
            <v>59896.392</v>
          </cell>
          <cell r="AJ33">
            <v>4067.6080000000002</v>
          </cell>
          <cell r="AK33">
            <v>0</v>
          </cell>
          <cell r="AL33">
            <v>136487.22099999999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1770</v>
          </cell>
          <cell r="AU33">
            <v>1770</v>
          </cell>
        </row>
        <row r="34">
          <cell r="D34" t="str">
            <v>판관비</v>
          </cell>
          <cell r="E34">
            <v>2688665.7119305753</v>
          </cell>
          <cell r="F34">
            <v>322249.9592391951</v>
          </cell>
          <cell r="G34">
            <v>271074.83996884897</v>
          </cell>
          <cell r="H34">
            <v>167653.74271223455</v>
          </cell>
          <cell r="I34">
            <v>96039.791363447075</v>
          </cell>
          <cell r="J34">
            <v>206892.88441776755</v>
          </cell>
          <cell r="K34">
            <v>178826.22943104204</v>
          </cell>
          <cell r="L34">
            <v>138991.86911028894</v>
          </cell>
          <cell r="M34">
            <v>210300.49949074871</v>
          </cell>
          <cell r="N34">
            <v>111297.02217414699</v>
          </cell>
          <cell r="O34">
            <v>98106.920447329147</v>
          </cell>
          <cell r="P34">
            <v>123315.73462358698</v>
          </cell>
          <cell r="Q34">
            <v>108395.88124247346</v>
          </cell>
          <cell r="R34">
            <v>157782.37922100688</v>
          </cell>
          <cell r="S34">
            <v>87563.098907184525</v>
          </cell>
          <cell r="T34">
            <v>58712.108363547741</v>
          </cell>
          <cell r="U34">
            <v>31206.024586635958</v>
          </cell>
          <cell r="V34">
            <v>88786.364884127936</v>
          </cell>
          <cell r="W34">
            <v>0</v>
          </cell>
          <cell r="X34">
            <v>0</v>
          </cell>
          <cell r="Y34">
            <v>0</v>
          </cell>
          <cell r="Z34">
            <v>2457195.3501836127</v>
          </cell>
          <cell r="AA34">
            <v>122779.18799999999</v>
          </cell>
          <cell r="AB34">
            <v>15306.615161365504</v>
          </cell>
          <cell r="AC34">
            <v>16856.204045273767</v>
          </cell>
          <cell r="AD34">
            <v>15451.113540323577</v>
          </cell>
          <cell r="AE34">
            <v>47613.932746962848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9155.2199999999993</v>
          </cell>
          <cell r="AN34">
            <v>6163.5140000000001</v>
          </cell>
          <cell r="AO34">
            <v>569.67200000000003</v>
          </cell>
          <cell r="AP34">
            <v>407.20500000000004</v>
          </cell>
          <cell r="AQ34">
            <v>26208.885000000002</v>
          </cell>
          <cell r="AR34">
            <v>855.83600000000001</v>
          </cell>
          <cell r="AS34">
            <v>0</v>
          </cell>
          <cell r="AT34">
            <v>17716.909</v>
          </cell>
          <cell r="AU34">
            <v>61077.240999999995</v>
          </cell>
        </row>
        <row r="35">
          <cell r="D35" t="str">
            <v>영업이익</v>
          </cell>
          <cell r="E35">
            <v>-720472.88578110689</v>
          </cell>
          <cell r="F35">
            <v>-98436.939808900468</v>
          </cell>
          <cell r="G35">
            <v>-190005.09885735204</v>
          </cell>
          <cell r="H35">
            <v>-129066.91409896867</v>
          </cell>
          <cell r="I35">
            <v>-92770.539498366401</v>
          </cell>
          <cell r="J35">
            <v>-67086.582281538198</v>
          </cell>
          <cell r="K35">
            <v>-76973.214779320231</v>
          </cell>
          <cell r="L35">
            <v>-43298.288892646466</v>
          </cell>
          <cell r="M35">
            <v>-28966.837359458295</v>
          </cell>
          <cell r="N35">
            <v>-41906.796556580841</v>
          </cell>
          <cell r="O35">
            <v>-78516.854595545301</v>
          </cell>
          <cell r="P35">
            <v>-50141.538467492894</v>
          </cell>
          <cell r="Q35">
            <v>-75184.677018468472</v>
          </cell>
          <cell r="R35">
            <v>-81543.349310645252</v>
          </cell>
          <cell r="S35">
            <v>-50794.199227745732</v>
          </cell>
          <cell r="T35">
            <v>52747.846719517693</v>
          </cell>
          <cell r="U35">
            <v>-41198.672465113457</v>
          </cell>
          <cell r="V35">
            <v>51150.956460655361</v>
          </cell>
          <cell r="W35">
            <v>0</v>
          </cell>
          <cell r="X35">
            <v>0</v>
          </cell>
          <cell r="Y35">
            <v>0</v>
          </cell>
          <cell r="Z35">
            <v>-1041991.7000379665</v>
          </cell>
          <cell r="AA35">
            <v>167361.31978922067</v>
          </cell>
          <cell r="AB35">
            <v>68851.888279494568</v>
          </cell>
          <cell r="AC35">
            <v>2315.0289145928728</v>
          </cell>
          <cell r="AD35">
            <v>5810.5972735514424</v>
          </cell>
          <cell r="AE35">
            <v>76977.514467638946</v>
          </cell>
          <cell r="AF35">
            <v>9101.6239999999998</v>
          </cell>
          <cell r="AG35">
            <v>43743.944000000003</v>
          </cell>
          <cell r="AH35">
            <v>19677.652999999998</v>
          </cell>
          <cell r="AI35">
            <v>59896.392</v>
          </cell>
          <cell r="AJ35">
            <v>4067.6080000000002</v>
          </cell>
          <cell r="AK35">
            <v>0</v>
          </cell>
          <cell r="AL35">
            <v>136487.22099999999</v>
          </cell>
          <cell r="AM35">
            <v>-9155.2199999999993</v>
          </cell>
          <cell r="AN35">
            <v>-6163.5140000000001</v>
          </cell>
          <cell r="AO35">
            <v>-569.67200000000003</v>
          </cell>
          <cell r="AP35">
            <v>-407.20500000000004</v>
          </cell>
          <cell r="AQ35">
            <v>-26208.885000000002</v>
          </cell>
          <cell r="AR35">
            <v>-855.83600000000001</v>
          </cell>
          <cell r="AS35">
            <v>0</v>
          </cell>
          <cell r="AT35">
            <v>-15946.909</v>
          </cell>
          <cell r="AU35">
            <v>-59307.240999999995</v>
          </cell>
        </row>
      </sheetData>
      <sheetData sheetId="3">
        <row r="6">
          <cell r="D6" t="str">
            <v>구분</v>
          </cell>
        </row>
      </sheetData>
      <sheetData sheetId="4">
        <row r="6">
          <cell r="D6" t="str">
            <v>구분</v>
          </cell>
        </row>
      </sheetData>
      <sheetData sheetId="5"/>
      <sheetData sheetId="6"/>
      <sheetData sheetId="7">
        <row r="6">
          <cell r="D6" t="str">
            <v>구분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6">
          <cell r="D6" t="str">
            <v>구분</v>
          </cell>
        </row>
      </sheetData>
      <sheetData sheetId="15">
        <row r="6">
          <cell r="D6" t="str">
            <v>구분</v>
          </cell>
        </row>
      </sheetData>
      <sheetData sheetId="16"/>
      <sheetData sheetId="17"/>
      <sheetData sheetId="18">
        <row r="6">
          <cell r="D6" t="str">
            <v>구분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  <sheetName val="Sheet1"/>
    </sheetNames>
    <sheetDataSet>
      <sheetData sheetId="0"/>
      <sheetData sheetId="1"/>
      <sheetData sheetId="2"/>
      <sheetData sheetId="3"/>
      <sheetData sheetId="4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/>
          <cell r="BI6"/>
          <cell r="BJ6" t="str">
            <v>기타 계</v>
          </cell>
          <cell r="BK6"/>
        </row>
        <row r="7">
          <cell r="G7">
            <v>27197</v>
          </cell>
          <cell r="H7">
            <v>15904</v>
          </cell>
          <cell r="I7">
            <v>8443</v>
          </cell>
          <cell r="J7">
            <v>5384.5</v>
          </cell>
          <cell r="K7">
            <v>13731</v>
          </cell>
          <cell r="L7">
            <v>12446</v>
          </cell>
          <cell r="M7">
            <v>5217</v>
          </cell>
          <cell r="N7">
            <v>16167</v>
          </cell>
          <cell r="O7">
            <v>5826</v>
          </cell>
          <cell r="P7">
            <v>9070</v>
          </cell>
          <cell r="Q7">
            <v>9533</v>
          </cell>
          <cell r="R7">
            <v>9133</v>
          </cell>
          <cell r="S7">
            <v>16996</v>
          </cell>
          <cell r="T7">
            <v>2178</v>
          </cell>
          <cell r="U7">
            <v>2625.5</v>
          </cell>
          <cell r="V7">
            <v>12050</v>
          </cell>
          <cell r="W7">
            <v>5978.5</v>
          </cell>
          <cell r="X7"/>
          <cell r="Y7"/>
          <cell r="Z7">
            <v>177879.5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177879.5</v>
          </cell>
          <cell r="AJ7">
            <v>20580</v>
          </cell>
          <cell r="AK7">
            <v>1000</v>
          </cell>
          <cell r="AL7">
            <v>26672</v>
          </cell>
          <cell r="AM7"/>
          <cell r="AN7">
            <v>48252</v>
          </cell>
          <cell r="AO7">
            <v>8735.5020000000004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/>
          <cell r="BI7"/>
          <cell r="BJ7">
            <v>0</v>
          </cell>
          <cell r="BK7"/>
          <cell r="BL7"/>
          <cell r="BM7"/>
          <cell r="BN7"/>
        </row>
        <row r="8">
          <cell r="F8">
            <v>26673512.355000004</v>
          </cell>
          <cell r="G8">
            <v>2706270.0350000001</v>
          </cell>
          <cell r="H8">
            <v>1602281.8019999999</v>
          </cell>
          <cell r="I8">
            <v>801171.8</v>
          </cell>
          <cell r="J8">
            <v>526205.76599999995</v>
          </cell>
          <cell r="K8">
            <v>1446236.6</v>
          </cell>
          <cell r="L8">
            <v>1219829.2</v>
          </cell>
          <cell r="M8">
            <v>492656.9</v>
          </cell>
          <cell r="N8">
            <v>1665289.3</v>
          </cell>
          <cell r="O8">
            <v>539413.9</v>
          </cell>
          <cell r="P8">
            <v>915394.65</v>
          </cell>
          <cell r="Q8">
            <v>932073.5</v>
          </cell>
          <cell r="R8">
            <v>978791.9</v>
          </cell>
          <cell r="S8">
            <v>1719265.737</v>
          </cell>
          <cell r="T8">
            <v>248372.8</v>
          </cell>
          <cell r="U8">
            <v>293559.777</v>
          </cell>
          <cell r="V8">
            <v>1162357.9369999999</v>
          </cell>
          <cell r="W8">
            <v>725220.46799999999</v>
          </cell>
          <cell r="X8"/>
          <cell r="Y8"/>
          <cell r="Z8">
            <v>17974392.072000001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E8"/>
          <cell r="AF8"/>
          <cell r="AG8"/>
          <cell r="AH8">
            <v>90840</v>
          </cell>
          <cell r="AI8">
            <v>18065232.072000001</v>
          </cell>
          <cell r="AJ8">
            <v>571868</v>
          </cell>
          <cell r="AK8">
            <v>11500</v>
          </cell>
          <cell r="AL8">
            <v>468380</v>
          </cell>
          <cell r="AM8"/>
          <cell r="AN8">
            <v>1051748</v>
          </cell>
          <cell r="AO8">
            <v>7480119.6840000004</v>
          </cell>
          <cell r="AP8">
            <v>0</v>
          </cell>
          <cell r="AQ8"/>
          <cell r="AR8"/>
          <cell r="AS8">
            <v>7480119.6840000004</v>
          </cell>
          <cell r="AT8">
            <v>5512.5</v>
          </cell>
          <cell r="AU8">
            <v>5850</v>
          </cell>
          <cell r="AV8">
            <v>63370.249000000003</v>
          </cell>
          <cell r="AW8"/>
          <cell r="AX8"/>
          <cell r="AY8"/>
          <cell r="AZ8"/>
          <cell r="BA8">
            <v>74732.749000000011</v>
          </cell>
          <cell r="BB8">
            <v>0</v>
          </cell>
          <cell r="BC8">
            <v>1679.85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/>
          <cell r="BI8"/>
          <cell r="BJ8">
            <v>1679.85</v>
          </cell>
          <cell r="BK8"/>
          <cell r="BL8"/>
          <cell r="BM8"/>
          <cell r="BN8"/>
        </row>
        <row r="9">
          <cell r="G9">
            <v>99506.196823179038</v>
          </cell>
          <cell r="H9">
            <v>100747.09519617706</v>
          </cell>
          <cell r="I9">
            <v>94891.839393580478</v>
          </cell>
          <cell r="J9">
            <v>97726.022100473565</v>
          </cell>
          <cell r="K9">
            <v>105326.38555094313</v>
          </cell>
          <cell r="L9">
            <v>98009.738068455714</v>
          </cell>
          <cell r="M9">
            <v>94432.988307456399</v>
          </cell>
          <cell r="N9">
            <v>103005.46174305685</v>
          </cell>
          <cell r="O9">
            <v>92587.349811191219</v>
          </cell>
          <cell r="P9">
            <v>100925.54024255788</v>
          </cell>
          <cell r="Q9">
            <v>97773.366201615441</v>
          </cell>
          <cell r="R9">
            <v>107170.90769736121</v>
          </cell>
          <cell r="S9">
            <v>101157.08031301483</v>
          </cell>
          <cell r="T9">
            <v>114037.09825528007</v>
          </cell>
          <cell r="U9">
            <v>111810.99866692058</v>
          </cell>
          <cell r="V9">
            <v>96461.239585062227</v>
          </cell>
          <cell r="W9">
            <v>121304.75336622898</v>
          </cell>
          <cell r="X9"/>
          <cell r="Y9"/>
          <cell r="Z9">
            <v>101048.1369241537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101558.81971784269</v>
          </cell>
          <cell r="AJ9">
            <v>27787.560738581145</v>
          </cell>
          <cell r="AK9">
            <v>11500</v>
          </cell>
          <cell r="AL9">
            <v>17560.737852429516</v>
          </cell>
          <cell r="AM9"/>
          <cell r="AN9"/>
          <cell r="AO9">
            <v>856289.61953188269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/>
          <cell r="BI9"/>
          <cell r="BJ9">
            <v>0</v>
          </cell>
          <cell r="BK9"/>
          <cell r="BL9"/>
          <cell r="BM9"/>
          <cell r="BN9"/>
        </row>
        <row r="10">
          <cell r="F10">
            <v>25674012.180410005</v>
          </cell>
          <cell r="G10">
            <v>2516437.6450799997</v>
          </cell>
          <cell r="H10">
            <v>1624424.8696899998</v>
          </cell>
          <cell r="I10">
            <v>832892.25553999993</v>
          </cell>
          <cell r="J10">
            <v>577945.46550000005</v>
          </cell>
          <cell r="K10">
            <v>1288689.06311</v>
          </cell>
          <cell r="L10">
            <v>1099541.6025</v>
          </cell>
          <cell r="M10">
            <v>497157.40454000008</v>
          </cell>
          <cell r="N10">
            <v>1503228.7066600001</v>
          </cell>
          <cell r="O10">
            <v>539519.96563999995</v>
          </cell>
          <cell r="P10">
            <v>832692.94425000006</v>
          </cell>
          <cell r="Q10">
            <v>861324.6202</v>
          </cell>
          <cell r="R10">
            <v>877896.27072999999</v>
          </cell>
          <cell r="S10">
            <v>1667301.46747</v>
          </cell>
          <cell r="T10">
            <v>235268.52212000001</v>
          </cell>
          <cell r="U10">
            <v>260598.66834999999</v>
          </cell>
          <cell r="V10">
            <v>1005285.5663300001</v>
          </cell>
          <cell r="W10">
            <v>626672.07039999997</v>
          </cell>
          <cell r="X10"/>
          <cell r="Y10"/>
          <cell r="Z10">
            <v>16846877.108110003</v>
          </cell>
          <cell r="AA10">
            <v>593.60500000000002</v>
          </cell>
          <cell r="AB10">
            <v>0</v>
          </cell>
          <cell r="AC10">
            <v>3451.52</v>
          </cell>
          <cell r="AD10">
            <v>8539.5400000000009</v>
          </cell>
          <cell r="AE10"/>
          <cell r="AF10"/>
          <cell r="AG10"/>
          <cell r="AH10">
            <v>12584.665000000001</v>
          </cell>
          <cell r="AI10">
            <v>16859461.773110002</v>
          </cell>
          <cell r="AJ10">
            <v>516885.04330000002</v>
          </cell>
          <cell r="AK10">
            <v>115055.70413</v>
          </cell>
          <cell r="AL10">
            <v>545266.33186999999</v>
          </cell>
          <cell r="AM10"/>
          <cell r="AN10">
            <v>1177207.0792999999</v>
          </cell>
          <cell r="AO10">
            <v>7334209.1920000007</v>
          </cell>
          <cell r="AP10">
            <v>0</v>
          </cell>
          <cell r="AQ10"/>
          <cell r="AR10"/>
          <cell r="AS10">
            <v>7334209.1920000007</v>
          </cell>
          <cell r="AT10">
            <v>143.00399999999999</v>
          </cell>
          <cell r="AU10">
            <v>186.25200000000001</v>
          </cell>
          <cell r="AV10">
            <v>0</v>
          </cell>
          <cell r="AW10"/>
          <cell r="AX10"/>
          <cell r="AY10"/>
          <cell r="AZ10"/>
          <cell r="BA10">
            <v>329.25599999999997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302804.88</v>
          </cell>
          <cell r="BH10"/>
          <cell r="BI10"/>
          <cell r="BJ10">
            <v>302804.88</v>
          </cell>
          <cell r="BK10"/>
          <cell r="BL10"/>
          <cell r="BM10"/>
          <cell r="BN10"/>
        </row>
        <row r="11">
          <cell r="G11">
            <v>92526.294998713085</v>
          </cell>
          <cell r="H11">
            <v>102139.39069982394</v>
          </cell>
          <cell r="I11">
            <v>98648.851775435265</v>
          </cell>
          <cell r="J11">
            <v>107335.02934348595</v>
          </cell>
          <cell r="K11">
            <v>93852.528083169469</v>
          </cell>
          <cell r="L11">
            <v>88344.978507150896</v>
          </cell>
          <cell r="M11">
            <v>95295.649710561629</v>
          </cell>
          <cell r="N11">
            <v>92981.301828415919</v>
          </cell>
          <cell r="O11">
            <v>92605.555379334008</v>
          </cell>
          <cell r="P11">
            <v>91807.380843439911</v>
          </cell>
          <cell r="Q11">
            <v>90351.895541802165</v>
          </cell>
          <cell r="R11">
            <v>96123.537800284685</v>
          </cell>
          <cell r="S11">
            <v>98099.639178041893</v>
          </cell>
          <cell r="T11">
            <v>108020.44174471994</v>
          </cell>
          <cell r="U11">
            <v>99256.777128166068</v>
          </cell>
          <cell r="V11">
            <v>83426.18807717842</v>
          </cell>
          <cell r="W11">
            <v>104820.95348331521</v>
          </cell>
          <cell r="X11"/>
          <cell r="Y11"/>
          <cell r="Z11">
            <v>94709.492145581724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94780.240404937067</v>
          </cell>
          <cell r="AJ11">
            <v>25115.891316812442</v>
          </cell>
          <cell r="AK11">
            <v>115055.70413</v>
          </cell>
          <cell r="AL11">
            <v>20443.398765371923</v>
          </cell>
          <cell r="AM11"/>
          <cell r="AN11"/>
          <cell r="AO11">
            <v>839586.45902662503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/>
          <cell r="BI11"/>
          <cell r="BJ11">
            <v>0</v>
          </cell>
          <cell r="BK11"/>
          <cell r="BL11"/>
          <cell r="BM11"/>
          <cell r="BN11"/>
        </row>
        <row r="12">
          <cell r="F12">
            <v>999500.17458999902</v>
          </cell>
          <cell r="G12">
            <v>189832.38992000045</v>
          </cell>
          <cell r="H12">
            <v>-22143.067689999938</v>
          </cell>
          <cell r="I12">
            <v>-31720.455539999879</v>
          </cell>
          <cell r="J12">
            <v>-51739.699500000104</v>
          </cell>
          <cell r="K12">
            <v>157547.5368900001</v>
          </cell>
          <cell r="L12">
            <v>120287.59749999992</v>
          </cell>
          <cell r="M12">
            <v>-4500.5045400000527</v>
          </cell>
          <cell r="N12">
            <v>162060.5933399999</v>
          </cell>
          <cell r="O12">
            <v>-106.06563999992795</v>
          </cell>
          <cell r="P12">
            <v>82701.705749999965</v>
          </cell>
          <cell r="Q12">
            <v>70748.879799999995</v>
          </cell>
          <cell r="R12">
            <v>100895.62927000003</v>
          </cell>
          <cell r="S12">
            <v>51964.269529999932</v>
          </cell>
          <cell r="T12">
            <v>13104.27787999998</v>
          </cell>
          <cell r="U12">
            <v>32961.108650000009</v>
          </cell>
          <cell r="V12">
            <v>157072.37066999986</v>
          </cell>
          <cell r="W12">
            <v>98548.397600000026</v>
          </cell>
          <cell r="X12"/>
          <cell r="Y12"/>
          <cell r="Z12">
            <v>1127514.9638900002</v>
          </cell>
          <cell r="AA12">
            <v>49406.394999999997</v>
          </cell>
          <cell r="AB12">
            <v>0</v>
          </cell>
          <cell r="AC12">
            <v>9048.48</v>
          </cell>
          <cell r="AD12">
            <v>19800.46</v>
          </cell>
          <cell r="AE12"/>
          <cell r="AF12"/>
          <cell r="AG12"/>
          <cell r="AH12">
            <v>78255.334999999992</v>
          </cell>
          <cell r="AI12">
            <v>1205770.2988899983</v>
          </cell>
          <cell r="AJ12">
            <v>54982.956699999981</v>
          </cell>
          <cell r="AK12">
            <v>-103555.70413</v>
          </cell>
          <cell r="AL12">
            <v>-76886.331869999995</v>
          </cell>
          <cell r="AM12"/>
          <cell r="AN12">
            <v>-125459.07929999987</v>
          </cell>
          <cell r="AO12">
            <v>145910.49199999962</v>
          </cell>
          <cell r="AP12">
            <v>0</v>
          </cell>
          <cell r="AQ12"/>
          <cell r="AR12"/>
          <cell r="AS12">
            <v>145910.49199999962</v>
          </cell>
          <cell r="AT12">
            <v>5369.4960000000001</v>
          </cell>
          <cell r="AU12">
            <v>5663.7479999999996</v>
          </cell>
          <cell r="AV12">
            <v>63370.249000000003</v>
          </cell>
          <cell r="AW12"/>
          <cell r="AX12"/>
          <cell r="AY12"/>
          <cell r="AZ12"/>
          <cell r="BA12">
            <v>74403.493000000002</v>
          </cell>
          <cell r="BB12">
            <v>0</v>
          </cell>
          <cell r="BC12">
            <v>1679.85</v>
          </cell>
          <cell r="BD12">
            <v>0</v>
          </cell>
          <cell r="BE12">
            <v>0</v>
          </cell>
          <cell r="BF12">
            <v>0</v>
          </cell>
          <cell r="BG12">
            <v>-302804.88</v>
          </cell>
          <cell r="BH12"/>
          <cell r="BI12"/>
          <cell r="BJ12">
            <v>-301125.03000000003</v>
          </cell>
          <cell r="BK12"/>
          <cell r="BL12"/>
          <cell r="BM12"/>
          <cell r="BN12"/>
        </row>
        <row r="13">
          <cell r="F13">
            <v>1076816.2989999999</v>
          </cell>
          <cell r="G13">
            <v>71642.523000000001</v>
          </cell>
          <cell r="H13">
            <v>69543.555999999997</v>
          </cell>
          <cell r="I13">
            <v>54212.025000000001</v>
          </cell>
          <cell r="J13">
            <v>37536.703999999998</v>
          </cell>
          <cell r="K13">
            <v>53079.100999999995</v>
          </cell>
          <cell r="L13">
            <v>53894.702999999994</v>
          </cell>
          <cell r="M13">
            <v>45115.08</v>
          </cell>
          <cell r="N13">
            <v>42900.11</v>
          </cell>
          <cell r="O13">
            <v>37458.630999999994</v>
          </cell>
          <cell r="P13">
            <v>43561.896999999997</v>
          </cell>
          <cell r="Q13">
            <v>32876.558000000005</v>
          </cell>
          <cell r="R13">
            <v>27909.211000000003</v>
          </cell>
          <cell r="S13">
            <v>47001.212999999996</v>
          </cell>
          <cell r="T13">
            <v>11220.124</v>
          </cell>
          <cell r="U13">
            <v>11779.870999999999</v>
          </cell>
          <cell r="V13">
            <v>32395.294000000002</v>
          </cell>
          <cell r="W13">
            <v>16992.517</v>
          </cell>
          <cell r="X13"/>
          <cell r="Y13"/>
          <cell r="Z13">
            <v>689119.11800000002</v>
          </cell>
          <cell r="AA13">
            <v>0</v>
          </cell>
          <cell r="AB13">
            <v>281.00400000000002</v>
          </cell>
          <cell r="AC13">
            <v>0</v>
          </cell>
          <cell r="AD13">
            <v>0</v>
          </cell>
          <cell r="AE13"/>
          <cell r="AF13"/>
          <cell r="AG13"/>
          <cell r="AH13">
            <v>281.00400000000002</v>
          </cell>
          <cell r="AI13">
            <v>689400.12199999997</v>
          </cell>
          <cell r="AJ13">
            <v>0</v>
          </cell>
          <cell r="AK13">
            <v>0</v>
          </cell>
          <cell r="AL13">
            <v>0</v>
          </cell>
          <cell r="AM13"/>
          <cell r="AN13">
            <v>0</v>
          </cell>
          <cell r="AO13">
            <v>138418.897</v>
          </cell>
          <cell r="AP13">
            <v>0</v>
          </cell>
          <cell r="AQ13"/>
          <cell r="AR13"/>
          <cell r="AS13">
            <v>138418.897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10610.380000000001</v>
          </cell>
          <cell r="BG13">
            <v>238386.9</v>
          </cell>
          <cell r="BH13"/>
          <cell r="BI13"/>
          <cell r="BJ13">
            <v>248997.28</v>
          </cell>
          <cell r="BK13"/>
          <cell r="BL13"/>
          <cell r="BM13"/>
          <cell r="BN13"/>
        </row>
        <row r="14">
          <cell r="F14">
            <v>783412.6</v>
          </cell>
          <cell r="G14">
            <v>43118.315999999999</v>
          </cell>
          <cell r="H14">
            <v>45428.038999999997</v>
          </cell>
          <cell r="I14">
            <v>35294.118000000002</v>
          </cell>
          <cell r="J14">
            <v>26325.045000000002</v>
          </cell>
          <cell r="K14">
            <v>33487.981999999996</v>
          </cell>
          <cell r="L14">
            <v>35821.814999999995</v>
          </cell>
          <cell r="M14">
            <v>27388.455000000002</v>
          </cell>
          <cell r="N14">
            <v>27498.452999999998</v>
          </cell>
          <cell r="O14">
            <v>26735.756999999998</v>
          </cell>
          <cell r="P14">
            <v>27280.241000000002</v>
          </cell>
          <cell r="Q14">
            <v>21680.509000000002</v>
          </cell>
          <cell r="R14">
            <v>18819.569000000003</v>
          </cell>
          <cell r="S14">
            <v>32553.380999999998</v>
          </cell>
          <cell r="T14">
            <v>7515.6970000000001</v>
          </cell>
          <cell r="U14">
            <v>7570.5159999999996</v>
          </cell>
          <cell r="V14">
            <v>22264.538</v>
          </cell>
          <cell r="W14">
            <v>10860.244000000001</v>
          </cell>
          <cell r="X14"/>
          <cell r="Y14"/>
          <cell r="Z14">
            <v>449642.67499999999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449642.67499999999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95383.024999999994</v>
          </cell>
          <cell r="AP14">
            <v>0</v>
          </cell>
          <cell r="AQ14"/>
          <cell r="AR14"/>
          <cell r="AS14">
            <v>95383.024999999994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238386.9</v>
          </cell>
          <cell r="BH14"/>
          <cell r="BI14"/>
          <cell r="BJ14">
            <v>238386.9</v>
          </cell>
          <cell r="BK14"/>
          <cell r="BL14"/>
          <cell r="BM14"/>
          <cell r="BN14"/>
        </row>
        <row r="15">
          <cell r="F15">
            <v>293403.69899999996</v>
          </cell>
          <cell r="G15">
            <v>28524.207000000002</v>
          </cell>
          <cell r="H15">
            <v>24115.517</v>
          </cell>
          <cell r="I15">
            <v>18917.906999999999</v>
          </cell>
          <cell r="J15">
            <v>11211.659</v>
          </cell>
          <cell r="K15">
            <v>19591.119000000002</v>
          </cell>
          <cell r="L15">
            <v>18072.887999999999</v>
          </cell>
          <cell r="M15">
            <v>17726.625</v>
          </cell>
          <cell r="N15">
            <v>15401.656999999999</v>
          </cell>
          <cell r="O15">
            <v>10722.874</v>
          </cell>
          <cell r="P15">
            <v>16281.655999999999</v>
          </cell>
          <cell r="Q15">
            <v>11196.048999999999</v>
          </cell>
          <cell r="R15">
            <v>9089.6419999999998</v>
          </cell>
          <cell r="S15">
            <v>14447.832</v>
          </cell>
          <cell r="T15">
            <v>3704.4270000000006</v>
          </cell>
          <cell r="U15">
            <v>4209.3550000000005</v>
          </cell>
          <cell r="V15">
            <v>10130.755999999999</v>
          </cell>
          <cell r="W15">
            <v>6132.2729999999992</v>
          </cell>
          <cell r="X15"/>
          <cell r="Y15"/>
          <cell r="Z15">
            <v>239476.44299999997</v>
          </cell>
          <cell r="AA15">
            <v>0</v>
          </cell>
          <cell r="AB15">
            <v>281.00400000000002</v>
          </cell>
          <cell r="AC15">
            <v>0</v>
          </cell>
          <cell r="AD15">
            <v>0</v>
          </cell>
          <cell r="AE15"/>
          <cell r="AF15"/>
          <cell r="AG15"/>
          <cell r="AH15">
            <v>281.00400000000002</v>
          </cell>
          <cell r="AI15">
            <v>239757.44699999996</v>
          </cell>
          <cell r="AJ15">
            <v>0</v>
          </cell>
          <cell r="AK15">
            <v>0</v>
          </cell>
          <cell r="AL15">
            <v>0</v>
          </cell>
          <cell r="AM15"/>
          <cell r="AN15">
            <v>0</v>
          </cell>
          <cell r="AO15">
            <v>43035.871999999996</v>
          </cell>
          <cell r="AP15">
            <v>0</v>
          </cell>
          <cell r="AQ15"/>
          <cell r="AR15"/>
          <cell r="AS15">
            <v>43035.871999999996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10610.380000000001</v>
          </cell>
          <cell r="BG15">
            <v>0</v>
          </cell>
          <cell r="BH15"/>
          <cell r="BI15"/>
          <cell r="BJ15">
            <v>10610.380000000001</v>
          </cell>
          <cell r="BK15"/>
          <cell r="BL15"/>
          <cell r="BM15"/>
          <cell r="BN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/>
          <cell r="BI16"/>
          <cell r="BJ16">
            <v>0</v>
          </cell>
          <cell r="BK16"/>
          <cell r="BL16"/>
          <cell r="BM16"/>
          <cell r="BN16"/>
        </row>
        <row r="17">
          <cell r="F17">
            <v>-77316.124410000863</v>
          </cell>
          <cell r="G17">
            <v>118189.86692000045</v>
          </cell>
          <cell r="H17">
            <v>-91686.623689999935</v>
          </cell>
          <cell r="I17">
            <v>-85932.480539999873</v>
          </cell>
          <cell r="J17">
            <v>-89276.403500000102</v>
          </cell>
          <cell r="K17">
            <v>104468.43589000011</v>
          </cell>
          <cell r="L17">
            <v>66392.894499999922</v>
          </cell>
          <cell r="M17">
            <v>-49615.584540000054</v>
          </cell>
          <cell r="N17">
            <v>119160.4833399999</v>
          </cell>
          <cell r="O17">
            <v>-37564.696639999922</v>
          </cell>
          <cell r="P17">
            <v>39139.808749999967</v>
          </cell>
          <cell r="Q17">
            <v>37872.321799999991</v>
          </cell>
          <cell r="R17">
            <v>72986.418270000024</v>
          </cell>
          <cell r="S17">
            <v>4963.0565299999362</v>
          </cell>
          <cell r="T17">
            <v>1884.1538799999798</v>
          </cell>
          <cell r="U17">
            <v>21181.23765000001</v>
          </cell>
          <cell r="V17">
            <v>124677.07666999986</v>
          </cell>
          <cell r="W17">
            <v>81555.880600000033</v>
          </cell>
          <cell r="X17"/>
          <cell r="Y17"/>
          <cell r="Z17">
            <v>438395.84589000023</v>
          </cell>
          <cell r="AA17">
            <v>49406.394999999997</v>
          </cell>
          <cell r="AB17">
            <v>-281.00400000000002</v>
          </cell>
          <cell r="AC17">
            <v>9048.48</v>
          </cell>
          <cell r="AD17">
            <v>19800.46</v>
          </cell>
          <cell r="AE17"/>
          <cell r="AF17"/>
          <cell r="AG17"/>
          <cell r="AH17">
            <v>77974.330999999991</v>
          </cell>
          <cell r="AI17">
            <v>516370.17688999837</v>
          </cell>
          <cell r="AJ17">
            <v>54982.956699999981</v>
          </cell>
          <cell r="AK17">
            <v>-103555.70413</v>
          </cell>
          <cell r="AL17">
            <v>-76886.331869999995</v>
          </cell>
          <cell r="AM17"/>
          <cell r="AN17">
            <v>-125459.07929999987</v>
          </cell>
          <cell r="AO17">
            <v>7491.5949999996228</v>
          </cell>
          <cell r="AP17">
            <v>0</v>
          </cell>
          <cell r="AQ17"/>
          <cell r="AR17"/>
          <cell r="AS17">
            <v>7491.5949999996228</v>
          </cell>
          <cell r="AT17">
            <v>5369.4960000000001</v>
          </cell>
          <cell r="AU17">
            <v>5663.7479999999996</v>
          </cell>
          <cell r="AV17">
            <v>63370.249000000003</v>
          </cell>
          <cell r="AW17"/>
          <cell r="AX17"/>
          <cell r="AY17"/>
          <cell r="AZ17"/>
          <cell r="BA17">
            <v>74403.493000000002</v>
          </cell>
          <cell r="BB17">
            <v>0</v>
          </cell>
          <cell r="BC17">
            <v>1679.85</v>
          </cell>
          <cell r="BD17">
            <v>0</v>
          </cell>
          <cell r="BE17">
            <v>0</v>
          </cell>
          <cell r="BF17">
            <v>-10610.380000000001</v>
          </cell>
          <cell r="BG17">
            <v>-541191.78</v>
          </cell>
          <cell r="BH17"/>
          <cell r="BI17"/>
          <cell r="BJ17">
            <v>-550122.31000000006</v>
          </cell>
          <cell r="BK17"/>
          <cell r="BL17"/>
          <cell r="BM17"/>
          <cell r="BN17"/>
        </row>
        <row r="18">
          <cell r="F18">
            <v>581733.24360000005</v>
          </cell>
          <cell r="G18">
            <v>30132.181920000003</v>
          </cell>
          <cell r="H18">
            <v>35463.118310000005</v>
          </cell>
          <cell r="I18">
            <v>20612.66646</v>
          </cell>
          <cell r="J18">
            <v>18060.4925</v>
          </cell>
          <cell r="K18">
            <v>77537.196890000007</v>
          </cell>
          <cell r="L18">
            <v>31233.861499999999</v>
          </cell>
          <cell r="M18">
            <v>14872.136460000002</v>
          </cell>
          <cell r="N18">
            <v>24751.993340000001</v>
          </cell>
          <cell r="O18">
            <v>12644.55536</v>
          </cell>
          <cell r="P18">
            <v>31930.691749999998</v>
          </cell>
          <cell r="Q18">
            <v>15841.6198</v>
          </cell>
          <cell r="R18">
            <v>15261.930270000001</v>
          </cell>
          <cell r="S18">
            <v>35744.613530000002</v>
          </cell>
          <cell r="T18">
            <v>5913.8578799999996</v>
          </cell>
          <cell r="U18">
            <v>11124.03765</v>
          </cell>
          <cell r="V18">
            <v>20972.915670000002</v>
          </cell>
          <cell r="W18">
            <v>13159.7356</v>
          </cell>
          <cell r="X18"/>
          <cell r="Y18"/>
          <cell r="Z18">
            <v>415257.60489000002</v>
          </cell>
          <cell r="AA18">
            <v>5669.0559999999996</v>
          </cell>
          <cell r="AB18">
            <v>0</v>
          </cell>
          <cell r="AC18">
            <v>0</v>
          </cell>
          <cell r="AD18">
            <v>0</v>
          </cell>
          <cell r="AE18"/>
          <cell r="AF18"/>
          <cell r="AG18"/>
          <cell r="AH18">
            <v>5669.0559999999996</v>
          </cell>
          <cell r="AI18">
            <v>420926.66089000006</v>
          </cell>
          <cell r="AJ18">
            <v>30808.8027</v>
          </cell>
          <cell r="AK18">
            <v>15301.89487</v>
          </cell>
          <cell r="AL18">
            <v>58947.765140000003</v>
          </cell>
          <cell r="AM18"/>
          <cell r="AN18">
            <v>105058.46271000001</v>
          </cell>
          <cell r="AO18">
            <v>5794.3459999999995</v>
          </cell>
          <cell r="AP18">
            <v>0</v>
          </cell>
          <cell r="AQ18"/>
          <cell r="AR18"/>
          <cell r="AS18">
            <v>5794.3459999999995</v>
          </cell>
          <cell r="AT18">
            <v>1312.8920000000001</v>
          </cell>
          <cell r="AU18">
            <v>8489.6080000000002</v>
          </cell>
          <cell r="AV18">
            <v>0</v>
          </cell>
          <cell r="AW18"/>
          <cell r="AX18"/>
          <cell r="AY18"/>
          <cell r="AZ18"/>
          <cell r="BA18">
            <v>9802.5</v>
          </cell>
          <cell r="BB18">
            <v>0</v>
          </cell>
          <cell r="BC18">
            <v>17689.941999999999</v>
          </cell>
          <cell r="BD18">
            <v>0</v>
          </cell>
          <cell r="BE18">
            <v>0</v>
          </cell>
          <cell r="BF18">
            <v>22461.331999999999</v>
          </cell>
          <cell r="BG18">
            <v>0</v>
          </cell>
          <cell r="BH18"/>
          <cell r="BI18"/>
          <cell r="BJ18">
            <v>40151.273999999998</v>
          </cell>
          <cell r="BK18"/>
          <cell r="BL18"/>
          <cell r="BM18"/>
          <cell r="BN18"/>
        </row>
        <row r="19">
          <cell r="F19">
            <v>514378.30760000006</v>
          </cell>
          <cell r="G19">
            <v>28174.959920000001</v>
          </cell>
          <cell r="H19">
            <v>33147.583310000002</v>
          </cell>
          <cell r="I19">
            <v>18841.419460000001</v>
          </cell>
          <cell r="J19">
            <v>16868.504499999999</v>
          </cell>
          <cell r="K19">
            <v>75661.13089</v>
          </cell>
          <cell r="L19">
            <v>29669.459500000001</v>
          </cell>
          <cell r="M19">
            <v>13678.537460000001</v>
          </cell>
          <cell r="N19">
            <v>23188.688340000001</v>
          </cell>
          <cell r="O19">
            <v>11894.51936</v>
          </cell>
          <cell r="P19">
            <v>30711.925749999999</v>
          </cell>
          <cell r="Q19">
            <v>15006.6288</v>
          </cell>
          <cell r="R19">
            <v>14159.77527</v>
          </cell>
          <cell r="S19">
            <v>34156.412530000001</v>
          </cell>
          <cell r="T19">
            <v>5543.4578799999999</v>
          </cell>
          <cell r="U19">
            <v>10681.16865</v>
          </cell>
          <cell r="V19">
            <v>20129.751670000001</v>
          </cell>
          <cell r="W19">
            <v>12334.365599999999</v>
          </cell>
          <cell r="X19"/>
          <cell r="Y19"/>
          <cell r="Z19">
            <v>393848.28889000008</v>
          </cell>
          <cell r="AA19">
            <v>5669.0559999999996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>
            <v>5669.0559999999996</v>
          </cell>
          <cell r="AI19">
            <v>399517.34489000007</v>
          </cell>
          <cell r="AJ19">
            <v>30808.8027</v>
          </cell>
          <cell r="AK19">
            <v>15301.89487</v>
          </cell>
          <cell r="AL19">
            <v>58947.765140000003</v>
          </cell>
          <cell r="AM19"/>
          <cell r="AN19">
            <v>105058.46271000001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1312.8920000000001</v>
          </cell>
          <cell r="AU19">
            <v>8489.6080000000002</v>
          </cell>
          <cell r="AV19">
            <v>0</v>
          </cell>
          <cell r="AW19"/>
          <cell r="AX19"/>
          <cell r="AY19"/>
          <cell r="AZ19"/>
          <cell r="BA19">
            <v>9802.5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I19"/>
          <cell r="BJ19">
            <v>0</v>
          </cell>
          <cell r="BK19"/>
          <cell r="BL19"/>
          <cell r="BM19"/>
          <cell r="BN19"/>
        </row>
        <row r="20">
          <cell r="F20">
            <v>67354.936000000002</v>
          </cell>
          <cell r="G20">
            <v>1957.222</v>
          </cell>
          <cell r="H20">
            <v>2315.5349999999999</v>
          </cell>
          <cell r="I20">
            <v>1771.2470000000001</v>
          </cell>
          <cell r="J20">
            <v>1191.9880000000001</v>
          </cell>
          <cell r="K20">
            <v>1876.066</v>
          </cell>
          <cell r="L20">
            <v>1564.402</v>
          </cell>
          <cell r="M20">
            <v>1193.5989999999999</v>
          </cell>
          <cell r="N20">
            <v>1563.3050000000001</v>
          </cell>
          <cell r="O20">
            <v>750.03599999999994</v>
          </cell>
          <cell r="P20">
            <v>1218.7660000000001</v>
          </cell>
          <cell r="Q20">
            <v>834.99099999999999</v>
          </cell>
          <cell r="R20">
            <v>1102.155</v>
          </cell>
          <cell r="S20">
            <v>1588.201</v>
          </cell>
          <cell r="T20">
            <v>370.4</v>
          </cell>
          <cell r="U20">
            <v>442.86900000000003</v>
          </cell>
          <cell r="V20">
            <v>843.16399999999999</v>
          </cell>
          <cell r="W20">
            <v>825.37</v>
          </cell>
          <cell r="X20"/>
          <cell r="Y20"/>
          <cell r="Z20">
            <v>21409.316000000003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/>
          <cell r="AF20"/>
          <cell r="AG20"/>
          <cell r="AH20">
            <v>0</v>
          </cell>
          <cell r="AI20">
            <v>21409.316000000003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5794.3459999999995</v>
          </cell>
          <cell r="AP20">
            <v>0</v>
          </cell>
          <cell r="AQ20"/>
          <cell r="AR20"/>
          <cell r="AS20">
            <v>5794.3459999999995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17689.941999999999</v>
          </cell>
          <cell r="BD20">
            <v>0</v>
          </cell>
          <cell r="BE20">
            <v>0</v>
          </cell>
          <cell r="BF20">
            <v>22461.331999999999</v>
          </cell>
          <cell r="BG20">
            <v>0</v>
          </cell>
          <cell r="BH20"/>
          <cell r="BI20"/>
          <cell r="BJ20">
            <v>40151.273999999998</v>
          </cell>
          <cell r="BK20"/>
          <cell r="BL20"/>
          <cell r="BM20"/>
          <cell r="BN20"/>
        </row>
        <row r="21">
          <cell r="F21">
            <v>-659049.36801000091</v>
          </cell>
          <cell r="G21">
            <v>88057.685000000449</v>
          </cell>
          <cell r="H21">
            <v>-127149.74199999994</v>
          </cell>
          <cell r="I21">
            <v>-106545.14699999988</v>
          </cell>
          <cell r="J21">
            <v>-107336.8960000001</v>
          </cell>
          <cell r="K21">
            <v>26931.239000000103</v>
          </cell>
          <cell r="L21">
            <v>35159.032999999923</v>
          </cell>
          <cell r="M21">
            <v>-64487.721000000056</v>
          </cell>
          <cell r="N21">
            <v>94408.489999999903</v>
          </cell>
          <cell r="O21">
            <v>-50209.25199999992</v>
          </cell>
          <cell r="P21">
            <v>7209.1169999999693</v>
          </cell>
          <cell r="Q21">
            <v>22030.70199999999</v>
          </cell>
          <cell r="R21">
            <v>57724.488000000027</v>
          </cell>
          <cell r="S21">
            <v>-30781.557000000066</v>
          </cell>
          <cell r="T21">
            <v>-4029.7040000000197</v>
          </cell>
          <cell r="U21">
            <v>10057.20000000001</v>
          </cell>
          <cell r="V21">
            <v>103704.16099999986</v>
          </cell>
          <cell r="W21">
            <v>68396.145000000033</v>
          </cell>
          <cell r="X21"/>
          <cell r="Y21"/>
          <cell r="Z21">
            <v>23138.241000000213</v>
          </cell>
          <cell r="AA21">
            <v>43737.339</v>
          </cell>
          <cell r="AB21">
            <v>-281.00400000000002</v>
          </cell>
          <cell r="AC21">
            <v>9048.48</v>
          </cell>
          <cell r="AD21">
            <v>19800.46</v>
          </cell>
          <cell r="AE21"/>
          <cell r="AF21"/>
          <cell r="AG21"/>
          <cell r="AH21">
            <v>72305.274999999994</v>
          </cell>
          <cell r="AI21">
            <v>95443.515999998315</v>
          </cell>
          <cell r="AJ21">
            <v>24174.15399999998</v>
          </cell>
          <cell r="AK21">
            <v>-118857.599</v>
          </cell>
          <cell r="AL21">
            <v>-135834.09701</v>
          </cell>
          <cell r="AM21"/>
          <cell r="AN21">
            <v>-230517.54200999986</v>
          </cell>
          <cell r="AO21">
            <v>1697.2489999996233</v>
          </cell>
          <cell r="AP21">
            <v>0</v>
          </cell>
          <cell r="AQ21"/>
          <cell r="AR21"/>
          <cell r="AS21">
            <v>1697.2489999996233</v>
          </cell>
          <cell r="AT21">
            <v>4056.6040000000003</v>
          </cell>
          <cell r="AU21">
            <v>-2825.8600000000006</v>
          </cell>
          <cell r="AV21">
            <v>63370.249000000003</v>
          </cell>
          <cell r="AW21"/>
          <cell r="AX21"/>
          <cell r="AY21"/>
          <cell r="AZ21"/>
          <cell r="BA21">
            <v>64600.993000000002</v>
          </cell>
          <cell r="BB21">
            <v>0</v>
          </cell>
          <cell r="BC21">
            <v>-16010.091999999999</v>
          </cell>
          <cell r="BD21">
            <v>0</v>
          </cell>
          <cell r="BE21">
            <v>0</v>
          </cell>
          <cell r="BF21">
            <v>-33071.712</v>
          </cell>
          <cell r="BG21">
            <v>-541191.78</v>
          </cell>
          <cell r="BH21"/>
          <cell r="BI21"/>
          <cell r="BJ21">
            <v>-590273.58400000003</v>
          </cell>
          <cell r="BK21"/>
          <cell r="BL21"/>
          <cell r="BM21"/>
          <cell r="BN21"/>
        </row>
        <row r="22">
          <cell r="F22">
            <v>1904912.3079957718</v>
          </cell>
          <cell r="G22">
            <v>241066.64423464346</v>
          </cell>
          <cell r="H22">
            <v>142726.59126064536</v>
          </cell>
          <cell r="I22">
            <v>71366.048023152616</v>
          </cell>
          <cell r="J22">
            <v>46872.875413757451</v>
          </cell>
          <cell r="K22">
            <v>135198.79755959311</v>
          </cell>
          <cell r="L22">
            <v>114033.51365058828</v>
          </cell>
          <cell r="M22">
            <v>46055.134055822331</v>
          </cell>
          <cell r="N22">
            <v>155676.54071875688</v>
          </cell>
          <cell r="O22">
            <v>50426.127140559569</v>
          </cell>
          <cell r="P22">
            <v>85574.003570705216</v>
          </cell>
          <cell r="Q22">
            <v>87133.195520816851</v>
          </cell>
          <cell r="R22">
            <v>91500.580154775147</v>
          </cell>
          <cell r="S22">
            <v>153147.17910852935</v>
          </cell>
          <cell r="T22">
            <v>22124.324860716362</v>
          </cell>
          <cell r="U22">
            <v>26149.449023353005</v>
          </cell>
          <cell r="V22">
            <v>103539.45602183526</v>
          </cell>
          <cell r="W22">
            <v>64600.52481460433</v>
          </cell>
          <cell r="X22"/>
          <cell r="Y22"/>
          <cell r="Z22">
            <v>1637190.9851328547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1637190.9851328547</v>
          </cell>
          <cell r="AJ22">
            <v>26952.699272872214</v>
          </cell>
          <cell r="AK22">
            <v>542.00627004488877</v>
          </cell>
          <cell r="AL22">
            <v>22075.208409999999</v>
          </cell>
          <cell r="AM22"/>
          <cell r="AN22">
            <v>49569.913952917101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218151.40891</v>
          </cell>
          <cell r="BH22"/>
          <cell r="BI22"/>
          <cell r="BJ22">
            <v>218151.40891</v>
          </cell>
          <cell r="BK22"/>
          <cell r="BL22"/>
          <cell r="BM22"/>
          <cell r="BN22"/>
        </row>
        <row r="23">
          <cell r="F23">
            <v>268277.95799577172</v>
          </cell>
          <cell r="G23">
            <v>27496.256804934041</v>
          </cell>
          <cell r="H23">
            <v>16279.510666667256</v>
          </cell>
          <cell r="I23">
            <v>8140.069273490386</v>
          </cell>
          <cell r="J23">
            <v>5346.3581560784733</v>
          </cell>
          <cell r="K23">
            <v>21066.317436623525</v>
          </cell>
          <cell r="L23">
            <v>17768.399130310019</v>
          </cell>
          <cell r="M23">
            <v>7176.188628294216</v>
          </cell>
          <cell r="N23">
            <v>24257.104969970045</v>
          </cell>
          <cell r="O23">
            <v>7857.2651578082705</v>
          </cell>
          <cell r="P23">
            <v>13333.913881509352</v>
          </cell>
          <cell r="Q23">
            <v>13576.863028680587</v>
          </cell>
          <cell r="R23">
            <v>14257.377298981277</v>
          </cell>
          <cell r="S23">
            <v>17468.091361576258</v>
          </cell>
          <cell r="T23">
            <v>2523.5184234527137</v>
          </cell>
          <cell r="U23">
            <v>2982.6273474558011</v>
          </cell>
          <cell r="V23">
            <v>11809.794263566657</v>
          </cell>
          <cell r="W23">
            <v>7368.388213455738</v>
          </cell>
          <cell r="X23"/>
          <cell r="Y23"/>
          <cell r="Z23">
            <v>218708.0440428546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218708.0440428546</v>
          </cell>
          <cell r="AJ23">
            <v>26952.699272872214</v>
          </cell>
          <cell r="AK23">
            <v>542.00627004488877</v>
          </cell>
          <cell r="AL23">
            <v>22075.208409999999</v>
          </cell>
          <cell r="AM23"/>
          <cell r="AN23">
            <v>49569.913952917101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I23"/>
          <cell r="BJ23">
            <v>0</v>
          </cell>
          <cell r="BK23"/>
          <cell r="BL23"/>
          <cell r="BM23"/>
          <cell r="BN23"/>
        </row>
        <row r="24">
          <cell r="F24">
            <v>522917.45699999988</v>
          </cell>
          <cell r="G24">
            <v>78731.777908750009</v>
          </cell>
          <cell r="H24">
            <v>46614.156514612463</v>
          </cell>
          <cell r="I24">
            <v>23307.977182089842</v>
          </cell>
          <cell r="J24">
            <v>15308.56676060254</v>
          </cell>
          <cell r="K24">
            <v>42074.433564315659</v>
          </cell>
          <cell r="L24">
            <v>35487.708328784043</v>
          </cell>
          <cell r="M24">
            <v>14332.551125487838</v>
          </cell>
          <cell r="N24">
            <v>48447.193231187572</v>
          </cell>
          <cell r="O24">
            <v>15692.822529327781</v>
          </cell>
          <cell r="P24">
            <v>26630.989276965462</v>
          </cell>
          <cell r="Q24">
            <v>27116.216359625509</v>
          </cell>
          <cell r="R24">
            <v>28475.364798429451</v>
          </cell>
          <cell r="S24">
            <v>50017.49508400679</v>
          </cell>
          <cell r="T24">
            <v>7225.7505257321382</v>
          </cell>
          <cell r="U24">
            <v>8540.3462576882775</v>
          </cell>
          <cell r="V24">
            <v>33815.733745267891</v>
          </cell>
          <cell r="W24">
            <v>21098.373807126656</v>
          </cell>
          <cell r="X24"/>
          <cell r="Y24"/>
          <cell r="Z24">
            <v>522917.45699999988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522917.45699999988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I24"/>
          <cell r="BJ24">
            <v>0</v>
          </cell>
          <cell r="BK24"/>
          <cell r="BL24"/>
          <cell r="BM24"/>
          <cell r="BN24"/>
        </row>
        <row r="25">
          <cell r="F25">
            <v>1113716.8930000002</v>
          </cell>
          <cell r="G25">
            <v>134838.60952095941</v>
          </cell>
          <cell r="H25">
            <v>79832.924079365635</v>
          </cell>
          <cell r="I25">
            <v>39918.001567572384</v>
          </cell>
          <cell r="J25">
            <v>26217.950497076439</v>
          </cell>
          <cell r="K25">
            <v>72058.046558653907</v>
          </cell>
          <cell r="L25">
            <v>60777.406191494221</v>
          </cell>
          <cell r="M25">
            <v>24546.394302040277</v>
          </cell>
          <cell r="N25">
            <v>82972.242517599254</v>
          </cell>
          <cell r="O25">
            <v>26876.039453423517</v>
          </cell>
          <cell r="P25">
            <v>45609.100412230408</v>
          </cell>
          <cell r="Q25">
            <v>46440.116132510753</v>
          </cell>
          <cell r="R25">
            <v>48767.838057364417</v>
          </cell>
          <cell r="S25">
            <v>85661.592662946321</v>
          </cell>
          <cell r="T25">
            <v>12375.055911531512</v>
          </cell>
          <cell r="U25">
            <v>14626.475418208927</v>
          </cell>
          <cell r="V25">
            <v>57913.92801300071</v>
          </cell>
          <cell r="W25">
            <v>36133.762794021932</v>
          </cell>
          <cell r="X25"/>
          <cell r="Y25"/>
          <cell r="Z25">
            <v>895565.48409000016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895565.48409000016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218151.40891</v>
          </cell>
          <cell r="BH25"/>
          <cell r="BI25"/>
          <cell r="BJ25">
            <v>218151.40891</v>
          </cell>
          <cell r="BK25"/>
          <cell r="BL25"/>
          <cell r="BM25"/>
          <cell r="BN25"/>
        </row>
        <row r="26">
          <cell r="F26">
            <v>-2563961.6760057728</v>
          </cell>
          <cell r="G26">
            <v>-153008.95923464303</v>
          </cell>
          <cell r="H26">
            <v>-269876.33326064528</v>
          </cell>
          <cell r="I26">
            <v>-177911.19502315251</v>
          </cell>
          <cell r="J26">
            <v>-154209.77141375755</v>
          </cell>
          <cell r="K26">
            <v>-108267.558559593</v>
          </cell>
          <cell r="L26">
            <v>-78874.480650588361</v>
          </cell>
          <cell r="M26">
            <v>-110542.85505582238</v>
          </cell>
          <cell r="N26">
            <v>-61268.050718756975</v>
          </cell>
          <cell r="O26">
            <v>-100635.3791405595</v>
          </cell>
          <cell r="P26">
            <v>-78364.886570705246</v>
          </cell>
          <cell r="Q26">
            <v>-65102.493520816861</v>
          </cell>
          <cell r="R26">
            <v>-33776.09215477512</v>
          </cell>
          <cell r="S26">
            <v>-183928.73610852941</v>
          </cell>
          <cell r="T26">
            <v>-26154.028860716382</v>
          </cell>
          <cell r="U26">
            <v>-16092.249023352995</v>
          </cell>
          <cell r="V26">
            <v>164.70497816460556</v>
          </cell>
          <cell r="W26">
            <v>3795.6201853957027</v>
          </cell>
          <cell r="X26"/>
          <cell r="Y26"/>
          <cell r="Z26">
            <v>-1614052.7441328545</v>
          </cell>
          <cell r="AA26">
            <v>43737.339</v>
          </cell>
          <cell r="AB26">
            <v>-281.00400000000002</v>
          </cell>
          <cell r="AC26">
            <v>9048.48</v>
          </cell>
          <cell r="AD26">
            <v>19800.46</v>
          </cell>
          <cell r="AE26"/>
          <cell r="AF26"/>
          <cell r="AG26"/>
          <cell r="AH26">
            <v>72305.274999999994</v>
          </cell>
          <cell r="AI26">
            <v>-1541747.4691328565</v>
          </cell>
          <cell r="AJ26">
            <v>-2778.5452728722339</v>
          </cell>
          <cell r="AK26">
            <v>-119399.60527004489</v>
          </cell>
          <cell r="AL26">
            <v>-157909.30541999999</v>
          </cell>
          <cell r="AM26"/>
          <cell r="AN26">
            <v>-280087.45596291695</v>
          </cell>
          <cell r="AO26">
            <v>1697.2489999996233</v>
          </cell>
          <cell r="AP26">
            <v>0</v>
          </cell>
          <cell r="AQ26"/>
          <cell r="AR26"/>
          <cell r="AS26">
            <v>1697.2489999996233</v>
          </cell>
          <cell r="AT26">
            <v>4056.6040000000003</v>
          </cell>
          <cell r="AU26">
            <v>-2825.8600000000006</v>
          </cell>
          <cell r="AV26">
            <v>63370.249000000003</v>
          </cell>
          <cell r="AW26"/>
          <cell r="AX26"/>
          <cell r="AY26"/>
          <cell r="AZ26"/>
          <cell r="BA26">
            <v>64600.993000000002</v>
          </cell>
          <cell r="BB26">
            <v>0</v>
          </cell>
          <cell r="BC26">
            <v>-16010.091999999999</v>
          </cell>
          <cell r="BD26">
            <v>0</v>
          </cell>
          <cell r="BE26">
            <v>0</v>
          </cell>
          <cell r="BF26">
            <v>-33071.712</v>
          </cell>
          <cell r="BG26">
            <v>-759343.18891000003</v>
          </cell>
          <cell r="BH26"/>
          <cell r="BI26"/>
          <cell r="BJ26">
            <v>-808424.99291000003</v>
          </cell>
          <cell r="BK26"/>
          <cell r="BL26"/>
          <cell r="BM26"/>
          <cell r="BN26"/>
        </row>
        <row r="27">
          <cell r="F27">
            <v>-2563961.6760057723</v>
          </cell>
          <cell r="G27">
            <v>-153008.959234643</v>
          </cell>
          <cell r="H27">
            <v>-269876.33326064528</v>
          </cell>
          <cell r="I27">
            <v>-177911.19502315248</v>
          </cell>
          <cell r="J27">
            <v>-154209.77141375755</v>
          </cell>
          <cell r="K27">
            <v>-108267.558559593</v>
          </cell>
          <cell r="L27">
            <v>-78874.480650588375</v>
          </cell>
          <cell r="M27">
            <v>-110542.85505582239</v>
          </cell>
          <cell r="N27">
            <v>-61268.050718756975</v>
          </cell>
          <cell r="O27">
            <v>-100635.3791405595</v>
          </cell>
          <cell r="P27">
            <v>-78364.886570705261</v>
          </cell>
          <cell r="Q27">
            <v>-65102.493520816861</v>
          </cell>
          <cell r="R27">
            <v>-33776.09215477512</v>
          </cell>
          <cell r="S27">
            <v>-183928.73610852944</v>
          </cell>
          <cell r="T27">
            <v>-26154.028860716389</v>
          </cell>
          <cell r="U27">
            <v>-16092.249023352995</v>
          </cell>
          <cell r="V27">
            <v>164.70497816460625</v>
          </cell>
          <cell r="W27">
            <v>3795.6201853956964</v>
          </cell>
          <cell r="X27"/>
          <cell r="Y27"/>
          <cell r="Z27">
            <v>-1614052.7441328543</v>
          </cell>
          <cell r="AA27">
            <v>43737.339</v>
          </cell>
          <cell r="AB27">
            <v>-281.00400000000002</v>
          </cell>
          <cell r="AC27">
            <v>9048.48</v>
          </cell>
          <cell r="AD27">
            <v>19800.46</v>
          </cell>
          <cell r="AE27"/>
          <cell r="AF27"/>
          <cell r="AG27"/>
          <cell r="AH27">
            <v>72305.274999999994</v>
          </cell>
          <cell r="AI27">
            <v>-1541747.4691328544</v>
          </cell>
          <cell r="AJ27">
            <v>-2778.5452728722339</v>
          </cell>
          <cell r="AK27">
            <v>-119399.60527004489</v>
          </cell>
          <cell r="AL27">
            <v>-157909.30541999999</v>
          </cell>
          <cell r="AM27"/>
          <cell r="AN27">
            <v>-280087.45596291713</v>
          </cell>
          <cell r="AO27">
            <v>1697.2489999996305</v>
          </cell>
          <cell r="AP27">
            <v>0</v>
          </cell>
          <cell r="AQ27"/>
          <cell r="AR27"/>
          <cell r="AS27">
            <v>1697.2489999996305</v>
          </cell>
          <cell r="AT27">
            <v>4056.6040000000003</v>
          </cell>
          <cell r="AU27">
            <v>-2825.8600000000006</v>
          </cell>
          <cell r="AV27">
            <v>63370.249000000003</v>
          </cell>
          <cell r="AW27"/>
          <cell r="AX27"/>
          <cell r="AY27"/>
          <cell r="AZ27"/>
          <cell r="BA27">
            <v>64600.993000000002</v>
          </cell>
          <cell r="BB27">
            <v>0</v>
          </cell>
          <cell r="BC27">
            <v>-16010.091999999999</v>
          </cell>
          <cell r="BD27">
            <v>0</v>
          </cell>
          <cell r="BE27">
            <v>0</v>
          </cell>
          <cell r="BF27">
            <v>-33071.712</v>
          </cell>
          <cell r="BG27">
            <v>-759343.18891000003</v>
          </cell>
          <cell r="BH27"/>
          <cell r="BI27"/>
          <cell r="BJ27">
            <v>-808424.99291000003</v>
          </cell>
          <cell r="BK27"/>
          <cell r="BL27"/>
          <cell r="BM27"/>
          <cell r="BN27"/>
        </row>
        <row r="28"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-6.8212102632969618E-13</v>
          </cell>
          <cell r="W28">
            <v>6.3664629124104977E-12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-2.0954757928848267E-9</v>
          </cell>
          <cell r="AJ28">
            <v>0</v>
          </cell>
          <cell r="AK28">
            <v>0</v>
          </cell>
          <cell r="AL28">
            <v>0</v>
          </cell>
          <cell r="AM28"/>
          <cell r="AN28">
            <v>0</v>
          </cell>
          <cell r="AO28">
            <v>-7.2759576141834259E-12</v>
          </cell>
          <cell r="AP28">
            <v>0</v>
          </cell>
          <cell r="AQ28"/>
          <cell r="AR28"/>
          <cell r="AS28">
            <v>-7.2759576141834259E-12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/>
          <cell r="BI28"/>
          <cell r="BJ28">
            <v>0</v>
          </cell>
        </row>
        <row r="29"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G31">
            <v>27197</v>
          </cell>
          <cell r="H31">
            <v>15904</v>
          </cell>
          <cell r="I31">
            <v>8443</v>
          </cell>
          <cell r="J31">
            <v>5384.5</v>
          </cell>
          <cell r="K31">
            <v>13731</v>
          </cell>
          <cell r="L31">
            <v>12446</v>
          </cell>
          <cell r="M31">
            <v>5217</v>
          </cell>
          <cell r="N31">
            <v>16167</v>
          </cell>
          <cell r="O31">
            <v>5826</v>
          </cell>
          <cell r="P31">
            <v>9070</v>
          </cell>
          <cell r="Q31">
            <v>9533</v>
          </cell>
          <cell r="R31">
            <v>9133</v>
          </cell>
          <cell r="S31">
            <v>16996</v>
          </cell>
          <cell r="T31">
            <v>2178</v>
          </cell>
          <cell r="U31">
            <v>2625.5</v>
          </cell>
          <cell r="V31">
            <v>12050</v>
          </cell>
          <cell r="W31">
            <v>5978.5</v>
          </cell>
          <cell r="X31">
            <v>0</v>
          </cell>
          <cell r="Y31">
            <v>0</v>
          </cell>
          <cell r="Z31">
            <v>177879.5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177879.5</v>
          </cell>
          <cell r="AJ31">
            <v>20580</v>
          </cell>
          <cell r="AK31">
            <v>1000</v>
          </cell>
          <cell r="AL31">
            <v>26672</v>
          </cell>
          <cell r="AM31"/>
          <cell r="AN31">
            <v>48252</v>
          </cell>
          <cell r="AO31">
            <v>8735.5020000000004</v>
          </cell>
          <cell r="AP31">
            <v>0</v>
          </cell>
          <cell r="AQ31"/>
          <cell r="AR31"/>
          <cell r="AS31">
            <v>8735.5020000000004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/>
          <cell r="BI31"/>
          <cell r="BJ31">
            <v>0</v>
          </cell>
        </row>
        <row r="32">
          <cell r="F32">
            <v>26673512.355000004</v>
          </cell>
          <cell r="G32">
            <v>2706270.0350000001</v>
          </cell>
          <cell r="H32">
            <v>1602281.8019999999</v>
          </cell>
          <cell r="I32">
            <v>801171.8</v>
          </cell>
          <cell r="J32">
            <v>526205.76599999995</v>
          </cell>
          <cell r="K32">
            <v>1446236.6</v>
          </cell>
          <cell r="L32">
            <v>1219829.2</v>
          </cell>
          <cell r="M32">
            <v>492656.9</v>
          </cell>
          <cell r="N32">
            <v>1665289.3</v>
          </cell>
          <cell r="O32">
            <v>539413.9</v>
          </cell>
          <cell r="P32">
            <v>915394.65</v>
          </cell>
          <cell r="Q32">
            <v>932073.5</v>
          </cell>
          <cell r="R32">
            <v>978791.9</v>
          </cell>
          <cell r="S32">
            <v>1719265.737</v>
          </cell>
          <cell r="T32">
            <v>248372.8</v>
          </cell>
          <cell r="U32">
            <v>293559.777</v>
          </cell>
          <cell r="V32">
            <v>1162357.9369999999</v>
          </cell>
          <cell r="W32">
            <v>725220.46799999999</v>
          </cell>
          <cell r="X32">
            <v>0</v>
          </cell>
          <cell r="Y32">
            <v>0</v>
          </cell>
          <cell r="Z32">
            <v>17974392.072000001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E32"/>
          <cell r="AF32"/>
          <cell r="AG32"/>
          <cell r="AH32">
            <v>90840</v>
          </cell>
          <cell r="AI32">
            <v>18065232.072000001</v>
          </cell>
          <cell r="AJ32">
            <v>571868</v>
          </cell>
          <cell r="AK32">
            <v>11500</v>
          </cell>
          <cell r="AL32">
            <v>468380</v>
          </cell>
          <cell r="AM32"/>
          <cell r="AN32">
            <v>1051748</v>
          </cell>
          <cell r="AO32">
            <v>7480119.6840000004</v>
          </cell>
          <cell r="AP32">
            <v>0</v>
          </cell>
          <cell r="AQ32"/>
          <cell r="AR32"/>
          <cell r="AS32">
            <v>7480119.6840000004</v>
          </cell>
          <cell r="AT32">
            <v>5512.5</v>
          </cell>
          <cell r="AU32">
            <v>5850</v>
          </cell>
          <cell r="AV32">
            <v>63370.249000000003</v>
          </cell>
          <cell r="AW32"/>
          <cell r="AX32"/>
          <cell r="AY32"/>
          <cell r="AZ32"/>
          <cell r="BA32">
            <v>74732.749000000011</v>
          </cell>
          <cell r="BB32">
            <v>0</v>
          </cell>
          <cell r="BC32">
            <v>1679.85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/>
          <cell r="BI32"/>
          <cell r="BJ32">
            <v>1679.85</v>
          </cell>
        </row>
        <row r="33">
          <cell r="F33">
            <v>26188390.488009997</v>
          </cell>
          <cell r="G33">
            <v>2544612.6049999995</v>
          </cell>
          <cell r="H33">
            <v>1657572.4529999997</v>
          </cell>
          <cell r="I33">
            <v>851733.67499999993</v>
          </cell>
          <cell r="J33">
            <v>594813.97000000009</v>
          </cell>
          <cell r="K33">
            <v>1364350.1939999999</v>
          </cell>
          <cell r="L33">
            <v>1129211.0620000002</v>
          </cell>
          <cell r="M33">
            <v>510835.9420000001</v>
          </cell>
          <cell r="N33">
            <v>1526417.3950000003</v>
          </cell>
          <cell r="O33">
            <v>551414.48499999999</v>
          </cell>
          <cell r="P33">
            <v>863404.87000000011</v>
          </cell>
          <cell r="Q33">
            <v>876331.24899999995</v>
          </cell>
          <cell r="R33">
            <v>892056.04599999997</v>
          </cell>
          <cell r="S33">
            <v>1701457.8800000001</v>
          </cell>
          <cell r="T33">
            <v>240811.98</v>
          </cell>
          <cell r="U33">
            <v>271279.837</v>
          </cell>
          <cell r="V33">
            <v>1025415.3180000001</v>
          </cell>
          <cell r="W33">
            <v>639006.43599999999</v>
          </cell>
          <cell r="X33">
            <v>0</v>
          </cell>
          <cell r="Y33">
            <v>0</v>
          </cell>
          <cell r="Z33">
            <v>17240725.396999996</v>
          </cell>
          <cell r="AA33">
            <v>6262.6610000000001</v>
          </cell>
          <cell r="AB33">
            <v>0</v>
          </cell>
          <cell r="AC33">
            <v>3451.52</v>
          </cell>
          <cell r="AD33">
            <v>8539.5400000000009</v>
          </cell>
          <cell r="AE33"/>
          <cell r="AF33"/>
          <cell r="AG33"/>
          <cell r="AH33">
            <v>18253.721000000001</v>
          </cell>
          <cell r="AI33">
            <v>17258979.117999997</v>
          </cell>
          <cell r="AJ33">
            <v>547693.84600000002</v>
          </cell>
          <cell r="AK33">
            <v>130357.599</v>
          </cell>
          <cell r="AL33">
            <v>604214.09701000003</v>
          </cell>
          <cell r="AM33"/>
          <cell r="AN33">
            <v>1282265.54201</v>
          </cell>
          <cell r="AO33">
            <v>7334209.1920000007</v>
          </cell>
          <cell r="AP33">
            <v>0</v>
          </cell>
          <cell r="AQ33"/>
          <cell r="AR33"/>
          <cell r="AS33">
            <v>7334209.1920000007</v>
          </cell>
          <cell r="AT33">
            <v>1455.896</v>
          </cell>
          <cell r="AU33">
            <v>8675.86</v>
          </cell>
          <cell r="AV33">
            <v>0</v>
          </cell>
          <cell r="AW33"/>
          <cell r="AX33"/>
          <cell r="AY33"/>
          <cell r="AZ33"/>
          <cell r="BA33">
            <v>10131.756000000001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302804.88</v>
          </cell>
          <cell r="BH33"/>
          <cell r="BI33"/>
          <cell r="BJ33">
            <v>302804.88</v>
          </cell>
        </row>
        <row r="34">
          <cell r="F34">
            <v>485121.86699000746</v>
          </cell>
          <cell r="G34">
            <v>161657.43000000063</v>
          </cell>
          <cell r="H34">
            <v>-55290.650999999838</v>
          </cell>
          <cell r="I34">
            <v>-50561.874999999884</v>
          </cell>
          <cell r="J34">
            <v>-68608.204000000143</v>
          </cell>
          <cell r="K34">
            <v>81886.406000000192</v>
          </cell>
          <cell r="L34">
            <v>90618.137999999803</v>
          </cell>
          <cell r="M34">
            <v>-18179.042000000074</v>
          </cell>
          <cell r="N34">
            <v>138871.9049999998</v>
          </cell>
          <cell r="O34">
            <v>-12000.584999999963</v>
          </cell>
          <cell r="P34">
            <v>51989.779999999912</v>
          </cell>
          <cell r="Q34">
            <v>55742.251000000047</v>
          </cell>
          <cell r="R34">
            <v>86735.85400000005</v>
          </cell>
          <cell r="S34">
            <v>17807.856999999844</v>
          </cell>
          <cell r="T34">
            <v>7560.8199999999779</v>
          </cell>
          <cell r="U34">
            <v>22279.940000000002</v>
          </cell>
          <cell r="V34">
            <v>136942.61899999983</v>
          </cell>
          <cell r="W34">
            <v>86214.032000000007</v>
          </cell>
          <cell r="X34">
            <v>0</v>
          </cell>
          <cell r="Y34">
            <v>0</v>
          </cell>
          <cell r="Z34">
            <v>733666.67500000447</v>
          </cell>
          <cell r="AA34">
            <v>43737.339</v>
          </cell>
          <cell r="AB34">
            <v>0</v>
          </cell>
          <cell r="AC34">
            <v>9048.48</v>
          </cell>
          <cell r="AD34">
            <v>19800.46</v>
          </cell>
          <cell r="AE34"/>
          <cell r="AF34"/>
          <cell r="AG34"/>
          <cell r="AH34">
            <v>72586.278999999995</v>
          </cell>
          <cell r="AI34">
            <v>806252.95400000364</v>
          </cell>
          <cell r="AJ34">
            <v>24174.15399999998</v>
          </cell>
          <cell r="AK34">
            <v>-118857.599</v>
          </cell>
          <cell r="AL34">
            <v>-135834.09701000003</v>
          </cell>
          <cell r="AM34"/>
          <cell r="AN34">
            <v>-230517.54200999998</v>
          </cell>
          <cell r="AO34">
            <v>145910.49199999962</v>
          </cell>
          <cell r="AP34">
            <v>0</v>
          </cell>
          <cell r="AQ34"/>
          <cell r="AR34"/>
          <cell r="AS34">
            <v>145910.49199999962</v>
          </cell>
          <cell r="AT34">
            <v>4056.6040000000003</v>
          </cell>
          <cell r="AU34">
            <v>-2825.8600000000006</v>
          </cell>
          <cell r="AV34">
            <v>63370.249000000003</v>
          </cell>
          <cell r="AW34"/>
          <cell r="AX34"/>
          <cell r="AY34"/>
          <cell r="AZ34"/>
          <cell r="BA34">
            <v>64600.993000000009</v>
          </cell>
          <cell r="BB34">
            <v>0</v>
          </cell>
          <cell r="BC34">
            <v>1679.85</v>
          </cell>
          <cell r="BD34">
            <v>0</v>
          </cell>
          <cell r="BE34">
            <v>0</v>
          </cell>
          <cell r="BF34">
            <v>0</v>
          </cell>
          <cell r="BG34">
            <v>-302804.88</v>
          </cell>
          <cell r="BH34"/>
          <cell r="BI34"/>
          <cell r="BJ34">
            <v>-301125.03000000003</v>
          </cell>
        </row>
        <row r="35">
          <cell r="F35">
            <v>3049083.5429957723</v>
          </cell>
          <cell r="G35">
            <v>314666.38923464349</v>
          </cell>
          <cell r="H35">
            <v>214585.68226064535</v>
          </cell>
          <cell r="I35">
            <v>127349.32002315263</v>
          </cell>
          <cell r="J35">
            <v>85601.567413757453</v>
          </cell>
          <cell r="K35">
            <v>190153.96455959309</v>
          </cell>
          <cell r="L35">
            <v>169492.61865058827</v>
          </cell>
          <cell r="M35">
            <v>92363.813055822335</v>
          </cell>
          <cell r="N35">
            <v>200139.95571875689</v>
          </cell>
          <cell r="O35">
            <v>88634.794140559563</v>
          </cell>
          <cell r="P35">
            <v>130354.66657070522</v>
          </cell>
          <cell r="Q35">
            <v>120844.74452081685</v>
          </cell>
          <cell r="R35">
            <v>120511.94615477516</v>
          </cell>
          <cell r="S35">
            <v>201736.59310852934</v>
          </cell>
          <cell r="T35">
            <v>33714.848860716367</v>
          </cell>
          <cell r="U35">
            <v>38372.189023353007</v>
          </cell>
          <cell r="V35">
            <v>136777.91402183525</v>
          </cell>
          <cell r="W35">
            <v>82418.411814604333</v>
          </cell>
          <cell r="X35">
            <v>0</v>
          </cell>
          <cell r="Y35">
            <v>0</v>
          </cell>
          <cell r="Z35">
            <v>2347719.4191328548</v>
          </cell>
          <cell r="AA35">
            <v>0</v>
          </cell>
          <cell r="AB35">
            <v>281.00400000000002</v>
          </cell>
          <cell r="AC35">
            <v>0</v>
          </cell>
          <cell r="AD35">
            <v>0</v>
          </cell>
          <cell r="AE35"/>
          <cell r="AF35"/>
          <cell r="AG35"/>
          <cell r="AH35">
            <v>281.00400000000002</v>
          </cell>
          <cell r="AI35">
            <v>2348000.423132855</v>
          </cell>
          <cell r="AJ35">
            <v>26952.699272872214</v>
          </cell>
          <cell r="AK35">
            <v>542.00627004488877</v>
          </cell>
          <cell r="AL35">
            <v>22075.208409999999</v>
          </cell>
          <cell r="AM35"/>
          <cell r="AN35">
            <v>49569.913952917101</v>
          </cell>
          <cell r="AO35">
            <v>144213.24299999999</v>
          </cell>
          <cell r="AP35">
            <v>0</v>
          </cell>
          <cell r="AQ35"/>
          <cell r="AR35"/>
          <cell r="AS35">
            <v>144213.24299999999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17689.941999999999</v>
          </cell>
          <cell r="BD35">
            <v>0</v>
          </cell>
          <cell r="BE35">
            <v>0</v>
          </cell>
          <cell r="BF35">
            <v>33071.712</v>
          </cell>
          <cell r="BG35">
            <v>456538.30891000002</v>
          </cell>
          <cell r="BH35"/>
          <cell r="BI35"/>
          <cell r="BJ35">
            <v>507299.96291</v>
          </cell>
        </row>
        <row r="36">
          <cell r="F36">
            <v>-2563961.6760057649</v>
          </cell>
          <cell r="G36">
            <v>-153008.95923464285</v>
          </cell>
          <cell r="H36">
            <v>-269876.33326064516</v>
          </cell>
          <cell r="I36">
            <v>-177911.19502315251</v>
          </cell>
          <cell r="J36">
            <v>-154209.77141375758</v>
          </cell>
          <cell r="K36">
            <v>-108267.5585595929</v>
          </cell>
          <cell r="L36">
            <v>-78874.480650588463</v>
          </cell>
          <cell r="M36">
            <v>-110542.85505582241</v>
          </cell>
          <cell r="N36">
            <v>-61268.050718757091</v>
          </cell>
          <cell r="O36">
            <v>-100635.37914055953</v>
          </cell>
          <cell r="P36">
            <v>-78364.886570705305</v>
          </cell>
          <cell r="Q36">
            <v>-65102.493520816803</v>
          </cell>
          <cell r="R36">
            <v>-33776.092154775106</v>
          </cell>
          <cell r="S36">
            <v>-183928.7361085295</v>
          </cell>
          <cell r="T36">
            <v>-26154.028860716389</v>
          </cell>
          <cell r="U36">
            <v>-16092.249023353004</v>
          </cell>
          <cell r="V36">
            <v>164.70497816457646</v>
          </cell>
          <cell r="W36">
            <v>3795.6201853956736</v>
          </cell>
          <cell r="X36">
            <v>0</v>
          </cell>
          <cell r="Y36">
            <v>0</v>
          </cell>
          <cell r="Z36">
            <v>-1614052.7441328503</v>
          </cell>
          <cell r="AA36">
            <v>43737.339</v>
          </cell>
          <cell r="AB36">
            <v>-281.00400000000002</v>
          </cell>
          <cell r="AC36">
            <v>9048.48</v>
          </cell>
          <cell r="AD36">
            <v>19800.46</v>
          </cell>
          <cell r="AE36"/>
          <cell r="AF36"/>
          <cell r="AG36"/>
          <cell r="AH36">
            <v>72305.274999999994</v>
          </cell>
          <cell r="AI36">
            <v>-1541747.4691328513</v>
          </cell>
          <cell r="AJ36">
            <v>-2778.5452728722339</v>
          </cell>
          <cell r="AK36">
            <v>-119399.60527004489</v>
          </cell>
          <cell r="AL36">
            <v>-157909.30542000002</v>
          </cell>
          <cell r="AM36"/>
          <cell r="AN36">
            <v>-280087.45596291707</v>
          </cell>
          <cell r="AO36">
            <v>1697.2489999996324</v>
          </cell>
          <cell r="AP36">
            <v>0</v>
          </cell>
          <cell r="AQ36"/>
          <cell r="AR36"/>
          <cell r="AS36">
            <v>1697.2489999996324</v>
          </cell>
          <cell r="AT36">
            <v>4056.6040000000003</v>
          </cell>
          <cell r="AU36">
            <v>-2825.8600000000006</v>
          </cell>
          <cell r="AV36">
            <v>63370.249000000003</v>
          </cell>
          <cell r="AW36"/>
          <cell r="AX36"/>
          <cell r="AY36"/>
          <cell r="AZ36"/>
          <cell r="BA36">
            <v>64600.993000000009</v>
          </cell>
          <cell r="BB36">
            <v>0</v>
          </cell>
          <cell r="BC36">
            <v>-16010.091999999999</v>
          </cell>
          <cell r="BD36">
            <v>0</v>
          </cell>
          <cell r="BE36">
            <v>0</v>
          </cell>
          <cell r="BF36">
            <v>-33071.712</v>
          </cell>
          <cell r="BG36">
            <v>-759343.18891000003</v>
          </cell>
          <cell r="BH36"/>
          <cell r="BI36"/>
          <cell r="BJ36">
            <v>-808424.99291000003</v>
          </cell>
        </row>
        <row r="38"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-9972</v>
          </cell>
          <cell r="AK38">
            <v>0</v>
          </cell>
          <cell r="AL38">
            <v>-20288</v>
          </cell>
          <cell r="AM38"/>
          <cell r="AN38">
            <v>-30260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-647732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-290280</v>
          </cell>
          <cell r="AK39">
            <v>0</v>
          </cell>
          <cell r="AL39">
            <v>-357452</v>
          </cell>
          <cell r="AM39"/>
          <cell r="AN39">
            <v>-647732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-647732</v>
          </cell>
          <cell r="G40"/>
          <cell r="H40"/>
          <cell r="I40"/>
          <cell r="J40"/>
          <cell r="K40">
            <v>13826.505999999999</v>
          </cell>
          <cell r="L40">
            <v>63495.374000000003</v>
          </cell>
          <cell r="M40">
            <v>-1370.634</v>
          </cell>
          <cell r="N40">
            <v>2250.4879999999998</v>
          </cell>
          <cell r="O40">
            <v>0</v>
          </cell>
          <cell r="P40">
            <v>0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78201.733999999997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78201.733999999997</v>
          </cell>
          <cell r="AJ40">
            <v>-265972.26899999997</v>
          </cell>
          <cell r="AK40">
            <v>0</v>
          </cell>
          <cell r="AL40">
            <v>-459961.46500000003</v>
          </cell>
          <cell r="AM40"/>
          <cell r="AN40">
            <v>-725933.73399999994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-13826.505999999999</v>
          </cell>
          <cell r="L41">
            <v>-63495.374000000003</v>
          </cell>
          <cell r="M41">
            <v>1370.634</v>
          </cell>
          <cell r="N41">
            <v>-2250.4879999999998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-78201.733999999997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-78201.733999999997</v>
          </cell>
          <cell r="AJ41">
            <v>-24307.731000000029</v>
          </cell>
          <cell r="AK41">
            <v>0</v>
          </cell>
          <cell r="AL41">
            <v>102509.46500000003</v>
          </cell>
          <cell r="AM41"/>
          <cell r="AN41">
            <v>78201.733999999939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-13826.505999999999</v>
          </cell>
          <cell r="L43">
            <v>-63495.374000000003</v>
          </cell>
          <cell r="M43">
            <v>1370.634</v>
          </cell>
          <cell r="N43">
            <v>-2250.4879999999998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-78201.733999999997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-78201.733999999997</v>
          </cell>
          <cell r="AJ43">
            <v>-24307.731000000029</v>
          </cell>
          <cell r="AK43">
            <v>0</v>
          </cell>
          <cell r="AL43">
            <v>102509.46500000003</v>
          </cell>
          <cell r="AM43"/>
          <cell r="AN43">
            <v>78201.733999999939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/>
          <cell r="BI43"/>
          <cell r="BJ43">
            <v>0</v>
          </cell>
        </row>
        <row r="45">
          <cell r="G45">
            <v>27197</v>
          </cell>
          <cell r="H45">
            <v>15904</v>
          </cell>
          <cell r="I45">
            <v>8443</v>
          </cell>
          <cell r="J45">
            <v>5384.5</v>
          </cell>
          <cell r="K45">
            <v>13731</v>
          </cell>
          <cell r="L45">
            <v>12446</v>
          </cell>
          <cell r="M45">
            <v>5217</v>
          </cell>
          <cell r="N45">
            <v>16167</v>
          </cell>
          <cell r="O45">
            <v>5826</v>
          </cell>
          <cell r="P45">
            <v>9070</v>
          </cell>
          <cell r="Q45">
            <v>9533</v>
          </cell>
          <cell r="R45">
            <v>9133</v>
          </cell>
          <cell r="S45">
            <v>16996</v>
          </cell>
          <cell r="T45">
            <v>2178</v>
          </cell>
          <cell r="U45">
            <v>2625.5</v>
          </cell>
          <cell r="V45">
            <v>12050</v>
          </cell>
          <cell r="W45">
            <v>5978.5</v>
          </cell>
          <cell r="X45">
            <v>0</v>
          </cell>
          <cell r="Y45">
            <v>0</v>
          </cell>
          <cell r="Z45">
            <v>177879.5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177879.5</v>
          </cell>
          <cell r="AJ45">
            <v>10608</v>
          </cell>
          <cell r="AK45">
            <v>1000</v>
          </cell>
          <cell r="AL45">
            <v>6384</v>
          </cell>
          <cell r="AM45"/>
          <cell r="AN45">
            <v>17992</v>
          </cell>
          <cell r="AO45">
            <v>8735.5020000000004</v>
          </cell>
          <cell r="AP45">
            <v>0</v>
          </cell>
          <cell r="AQ45"/>
          <cell r="AR45"/>
          <cell r="AS45">
            <v>8735.5020000000004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/>
          <cell r="BI45"/>
          <cell r="BJ45">
            <v>0</v>
          </cell>
        </row>
        <row r="46">
          <cell r="F46">
            <v>26025780.355000004</v>
          </cell>
          <cell r="G46">
            <v>2706270.0350000001</v>
          </cell>
          <cell r="H46">
            <v>1602281.8019999999</v>
          </cell>
          <cell r="I46">
            <v>801171.8</v>
          </cell>
          <cell r="J46">
            <v>526205.76599999995</v>
          </cell>
          <cell r="K46">
            <v>1446236.6</v>
          </cell>
          <cell r="L46">
            <v>1219829.2</v>
          </cell>
          <cell r="M46">
            <v>492656.9</v>
          </cell>
          <cell r="N46">
            <v>1665289.3</v>
          </cell>
          <cell r="O46">
            <v>539413.9</v>
          </cell>
          <cell r="P46">
            <v>915394.65</v>
          </cell>
          <cell r="Q46">
            <v>932073.5</v>
          </cell>
          <cell r="R46">
            <v>978791.9</v>
          </cell>
          <cell r="S46">
            <v>1719265.737</v>
          </cell>
          <cell r="T46">
            <v>248372.8</v>
          </cell>
          <cell r="U46">
            <v>293559.777</v>
          </cell>
          <cell r="V46">
            <v>1162357.9369999999</v>
          </cell>
          <cell r="W46">
            <v>725220.46799999999</v>
          </cell>
          <cell r="X46">
            <v>0</v>
          </cell>
          <cell r="Y46">
            <v>0</v>
          </cell>
          <cell r="Z46">
            <v>17974392.072000001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E46"/>
          <cell r="AF46"/>
          <cell r="AG46"/>
          <cell r="AH46">
            <v>90840</v>
          </cell>
          <cell r="AI46">
            <v>18065232.072000001</v>
          </cell>
          <cell r="AJ46">
            <v>281588</v>
          </cell>
          <cell r="AK46">
            <v>11500</v>
          </cell>
          <cell r="AL46">
            <v>110928</v>
          </cell>
          <cell r="AM46"/>
          <cell r="AN46">
            <v>404016</v>
          </cell>
          <cell r="AO46">
            <v>7480119.6840000004</v>
          </cell>
          <cell r="AP46">
            <v>0</v>
          </cell>
          <cell r="AQ46"/>
          <cell r="AR46"/>
          <cell r="AS46">
            <v>7480119.6840000004</v>
          </cell>
          <cell r="AT46">
            <v>5512.5</v>
          </cell>
          <cell r="AU46">
            <v>5850</v>
          </cell>
          <cell r="AV46">
            <v>63370.249000000003</v>
          </cell>
          <cell r="AW46"/>
          <cell r="AX46"/>
          <cell r="AY46"/>
          <cell r="AZ46"/>
          <cell r="BA46">
            <v>74732.749000000011</v>
          </cell>
          <cell r="BB46">
            <v>0</v>
          </cell>
          <cell r="BC46">
            <v>1679.85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/>
          <cell r="BI46"/>
          <cell r="BJ46">
            <v>1679.85</v>
          </cell>
        </row>
        <row r="47">
          <cell r="F47">
            <v>25540658.48801</v>
          </cell>
          <cell r="G47">
            <v>2544612.6049999995</v>
          </cell>
          <cell r="H47">
            <v>1657572.4529999997</v>
          </cell>
          <cell r="I47">
            <v>851733.67499999993</v>
          </cell>
          <cell r="J47">
            <v>594813.97000000009</v>
          </cell>
          <cell r="K47">
            <v>1378176.7</v>
          </cell>
          <cell r="L47">
            <v>1192706.4360000002</v>
          </cell>
          <cell r="M47">
            <v>509465.30800000008</v>
          </cell>
          <cell r="N47">
            <v>1528667.8830000001</v>
          </cell>
          <cell r="O47">
            <v>551414.48499999999</v>
          </cell>
          <cell r="P47">
            <v>863404.87000000011</v>
          </cell>
          <cell r="Q47">
            <v>876331.24899999995</v>
          </cell>
          <cell r="R47">
            <v>892056.04599999997</v>
          </cell>
          <cell r="S47">
            <v>1701457.8800000001</v>
          </cell>
          <cell r="T47">
            <v>240811.98</v>
          </cell>
          <cell r="U47">
            <v>271279.837</v>
          </cell>
          <cell r="V47">
            <v>1025415.3180000001</v>
          </cell>
          <cell r="W47">
            <v>639006.43599999999</v>
          </cell>
          <cell r="X47">
            <v>0</v>
          </cell>
          <cell r="Y47">
            <v>0</v>
          </cell>
          <cell r="Z47">
            <v>17318927.130999997</v>
          </cell>
          <cell r="AA47">
            <v>6262.6610000000001</v>
          </cell>
          <cell r="AB47">
            <v>0</v>
          </cell>
          <cell r="AC47">
            <v>3451.52</v>
          </cell>
          <cell r="AD47">
            <v>8539.5400000000009</v>
          </cell>
          <cell r="AE47"/>
          <cell r="AF47"/>
          <cell r="AG47"/>
          <cell r="AH47">
            <v>18253.721000000001</v>
          </cell>
          <cell r="AI47">
            <v>17337180.851999998</v>
          </cell>
          <cell r="AJ47">
            <v>281721.57700000005</v>
          </cell>
          <cell r="AK47">
            <v>130357.599</v>
          </cell>
          <cell r="AL47">
            <v>144252.63201</v>
          </cell>
          <cell r="AM47"/>
          <cell r="AN47">
            <v>556331.80801000004</v>
          </cell>
          <cell r="AO47">
            <v>7334209.1920000007</v>
          </cell>
          <cell r="AP47">
            <v>0</v>
          </cell>
          <cell r="AQ47"/>
          <cell r="AR47"/>
          <cell r="AS47">
            <v>7334209.1920000007</v>
          </cell>
          <cell r="AT47">
            <v>1455.896</v>
          </cell>
          <cell r="AU47">
            <v>8675.86</v>
          </cell>
          <cell r="AV47">
            <v>0</v>
          </cell>
          <cell r="AW47"/>
          <cell r="AX47"/>
          <cell r="AY47"/>
          <cell r="AZ47"/>
          <cell r="BA47">
            <v>10131.756000000001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302804.88</v>
          </cell>
          <cell r="BH47"/>
          <cell r="BI47"/>
          <cell r="BJ47">
            <v>302804.88</v>
          </cell>
        </row>
        <row r="48">
          <cell r="F48">
            <v>485121.86699000373</v>
          </cell>
          <cell r="G48">
            <v>161657.43000000063</v>
          </cell>
          <cell r="H48">
            <v>-55290.650999999838</v>
          </cell>
          <cell r="I48">
            <v>-50561.874999999884</v>
          </cell>
          <cell r="J48">
            <v>-68608.204000000143</v>
          </cell>
          <cell r="K48">
            <v>68059.90000000014</v>
          </cell>
          <cell r="L48">
            <v>27122.763999999734</v>
          </cell>
          <cell r="M48">
            <v>-16808.408000000054</v>
          </cell>
          <cell r="N48">
            <v>136621.4169999999</v>
          </cell>
          <cell r="O48">
            <v>-12000.584999999963</v>
          </cell>
          <cell r="P48">
            <v>51989.779999999912</v>
          </cell>
          <cell r="Q48">
            <v>55742.251000000047</v>
          </cell>
          <cell r="R48">
            <v>86735.85400000005</v>
          </cell>
          <cell r="S48">
            <v>17807.856999999844</v>
          </cell>
          <cell r="T48">
            <v>7560.8199999999779</v>
          </cell>
          <cell r="U48">
            <v>22279.940000000002</v>
          </cell>
          <cell r="V48">
            <v>136942.61899999983</v>
          </cell>
          <cell r="W48">
            <v>86214.032000000007</v>
          </cell>
          <cell r="X48">
            <v>0</v>
          </cell>
          <cell r="Y48">
            <v>0</v>
          </cell>
          <cell r="Z48">
            <v>655464.94100000337</v>
          </cell>
          <cell r="AA48">
            <v>43737.339</v>
          </cell>
          <cell r="AB48">
            <v>0</v>
          </cell>
          <cell r="AC48">
            <v>9048.48</v>
          </cell>
          <cell r="AD48">
            <v>19800.46</v>
          </cell>
          <cell r="AE48"/>
          <cell r="AF48"/>
          <cell r="AG48"/>
          <cell r="AH48">
            <v>72586.278999999995</v>
          </cell>
          <cell r="AI48">
            <v>728051.22000000253</v>
          </cell>
          <cell r="AJ48">
            <v>-133.57700000004843</v>
          </cell>
          <cell r="AK48">
            <v>-118857.599</v>
          </cell>
          <cell r="AL48">
            <v>-33324.632010000001</v>
          </cell>
          <cell r="AM48"/>
          <cell r="AN48">
            <v>-152315.80801000004</v>
          </cell>
          <cell r="AO48">
            <v>145910.49199999962</v>
          </cell>
          <cell r="AP48">
            <v>0</v>
          </cell>
          <cell r="AQ48"/>
          <cell r="AR48"/>
          <cell r="AS48">
            <v>145910.49199999962</v>
          </cell>
          <cell r="AT48">
            <v>4056.6040000000003</v>
          </cell>
          <cell r="AU48">
            <v>-2825.8600000000006</v>
          </cell>
          <cell r="AV48">
            <v>63370.249000000003</v>
          </cell>
          <cell r="AW48"/>
          <cell r="AX48"/>
          <cell r="AY48"/>
          <cell r="AZ48"/>
          <cell r="BA48">
            <v>64600.993000000009</v>
          </cell>
          <cell r="BB48">
            <v>0</v>
          </cell>
          <cell r="BC48">
            <v>1679.85</v>
          </cell>
          <cell r="BD48">
            <v>0</v>
          </cell>
          <cell r="BE48">
            <v>0</v>
          </cell>
          <cell r="BF48">
            <v>0</v>
          </cell>
          <cell r="BG48">
            <v>-302804.88</v>
          </cell>
          <cell r="BH48"/>
          <cell r="BI48"/>
          <cell r="BJ48">
            <v>-301125.03000000003</v>
          </cell>
        </row>
        <row r="49">
          <cell r="F49">
            <v>3049083.5429957723</v>
          </cell>
          <cell r="G49">
            <v>314666.38923464349</v>
          </cell>
          <cell r="H49">
            <v>214585.68226064535</v>
          </cell>
          <cell r="I49">
            <v>127349.32002315263</v>
          </cell>
          <cell r="J49">
            <v>85601.567413757453</v>
          </cell>
          <cell r="K49">
            <v>190153.96455959309</v>
          </cell>
          <cell r="L49">
            <v>169492.61865058827</v>
          </cell>
          <cell r="M49">
            <v>92363.813055822335</v>
          </cell>
          <cell r="N49">
            <v>200139.95571875689</v>
          </cell>
          <cell r="O49">
            <v>88634.794140559563</v>
          </cell>
          <cell r="P49">
            <v>130354.66657070522</v>
          </cell>
          <cell r="Q49">
            <v>120844.74452081685</v>
          </cell>
          <cell r="R49">
            <v>120511.94615477516</v>
          </cell>
          <cell r="S49">
            <v>201736.59310852934</v>
          </cell>
          <cell r="T49">
            <v>33714.848860716367</v>
          </cell>
          <cell r="U49">
            <v>38372.189023353007</v>
          </cell>
          <cell r="V49">
            <v>136777.91402183525</v>
          </cell>
          <cell r="W49">
            <v>82418.411814604333</v>
          </cell>
          <cell r="X49">
            <v>0</v>
          </cell>
          <cell r="Y49">
            <v>0</v>
          </cell>
          <cell r="Z49">
            <v>2347719.4191328548</v>
          </cell>
          <cell r="AA49">
            <v>0</v>
          </cell>
          <cell r="AB49">
            <v>281.00400000000002</v>
          </cell>
          <cell r="AC49">
            <v>0</v>
          </cell>
          <cell r="AD49">
            <v>0</v>
          </cell>
          <cell r="AE49"/>
          <cell r="AF49"/>
          <cell r="AG49"/>
          <cell r="AH49">
            <v>281.00400000000002</v>
          </cell>
          <cell r="AI49">
            <v>2348000.423132855</v>
          </cell>
          <cell r="AJ49">
            <v>26952.699272872214</v>
          </cell>
          <cell r="AK49">
            <v>542.00627004488877</v>
          </cell>
          <cell r="AL49">
            <v>22075.208409999999</v>
          </cell>
          <cell r="AM49"/>
          <cell r="AN49">
            <v>49569.913952917101</v>
          </cell>
          <cell r="AO49">
            <v>144213.24299999999</v>
          </cell>
          <cell r="AP49">
            <v>0</v>
          </cell>
          <cell r="AQ49"/>
          <cell r="AR49"/>
          <cell r="AS49">
            <v>144213.24299999999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17689.941999999999</v>
          </cell>
          <cell r="BD49">
            <v>0</v>
          </cell>
          <cell r="BE49">
            <v>0</v>
          </cell>
          <cell r="BF49">
            <v>33071.712</v>
          </cell>
          <cell r="BG49">
            <v>456538.30891000002</v>
          </cell>
          <cell r="BH49"/>
          <cell r="BI49"/>
          <cell r="BJ49">
            <v>507299.96291</v>
          </cell>
        </row>
        <row r="50">
          <cell r="F50">
            <v>-2563961.6760057686</v>
          </cell>
          <cell r="G50">
            <v>-153008.95923464285</v>
          </cell>
          <cell r="H50">
            <v>-269876.33326064516</v>
          </cell>
          <cell r="I50">
            <v>-177911.19502315251</v>
          </cell>
          <cell r="J50">
            <v>-154209.77141375758</v>
          </cell>
          <cell r="K50">
            <v>-122094.06455959295</v>
          </cell>
          <cell r="L50">
            <v>-142369.85465058853</v>
          </cell>
          <cell r="M50">
            <v>-109172.22105582239</v>
          </cell>
          <cell r="N50">
            <v>-63518.538718756987</v>
          </cell>
          <cell r="O50">
            <v>-100635.37914055953</v>
          </cell>
          <cell r="P50">
            <v>-78364.886570705305</v>
          </cell>
          <cell r="Q50">
            <v>-65102.493520816803</v>
          </cell>
          <cell r="R50">
            <v>-33776.092154775106</v>
          </cell>
          <cell r="S50">
            <v>-183928.7361085295</v>
          </cell>
          <cell r="T50">
            <v>-26154.028860716389</v>
          </cell>
          <cell r="U50">
            <v>-16092.249023353004</v>
          </cell>
          <cell r="V50">
            <v>164.70497816457646</v>
          </cell>
          <cell r="W50">
            <v>3795.6201853956736</v>
          </cell>
          <cell r="X50">
            <v>0</v>
          </cell>
          <cell r="Y50">
            <v>0</v>
          </cell>
          <cell r="Z50">
            <v>-1692254.4781328514</v>
          </cell>
          <cell r="AA50">
            <v>43737.339</v>
          </cell>
          <cell r="AB50">
            <v>-281.00400000000002</v>
          </cell>
          <cell r="AC50">
            <v>9048.48</v>
          </cell>
          <cell r="AD50">
            <v>19800.46</v>
          </cell>
          <cell r="AE50"/>
          <cell r="AF50"/>
          <cell r="AG50"/>
          <cell r="AH50">
            <v>72305.274999999994</v>
          </cell>
          <cell r="AI50">
            <v>-1619949.2031328524</v>
          </cell>
          <cell r="AJ50">
            <v>-27086.276272872263</v>
          </cell>
          <cell r="AK50">
            <v>-119399.60527004489</v>
          </cell>
          <cell r="AL50">
            <v>-55399.84042</v>
          </cell>
          <cell r="AM50"/>
          <cell r="AN50">
            <v>-201885.72196291713</v>
          </cell>
          <cell r="AO50">
            <v>1697.2489999996324</v>
          </cell>
          <cell r="AP50">
            <v>0</v>
          </cell>
          <cell r="AQ50"/>
          <cell r="AR50"/>
          <cell r="AS50">
            <v>1697.2489999996324</v>
          </cell>
          <cell r="AT50">
            <v>4056.6040000000003</v>
          </cell>
          <cell r="AU50">
            <v>-2825.8600000000006</v>
          </cell>
          <cell r="AV50">
            <v>63370.249000000003</v>
          </cell>
          <cell r="AW50"/>
          <cell r="AX50"/>
          <cell r="AY50"/>
          <cell r="AZ50"/>
          <cell r="BA50">
            <v>64600.993000000009</v>
          </cell>
          <cell r="BB50">
            <v>0</v>
          </cell>
          <cell r="BC50">
            <v>-16010.091999999999</v>
          </cell>
          <cell r="BD50">
            <v>0</v>
          </cell>
          <cell r="BE50">
            <v>0</v>
          </cell>
          <cell r="BF50">
            <v>-33071.712</v>
          </cell>
          <cell r="BG50">
            <v>-759343.18891000003</v>
          </cell>
          <cell r="BH50"/>
          <cell r="BI50"/>
          <cell r="BJ50">
            <v>-808424.99291000003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5">
        <row r="6">
          <cell r="F6" t="str">
            <v>합계</v>
          </cell>
        </row>
      </sheetData>
      <sheetData sheetId="6">
        <row r="6">
          <cell r="F6" t="str">
            <v>합계</v>
          </cell>
        </row>
      </sheetData>
      <sheetData sheetId="7">
        <row r="6">
          <cell r="F6" t="str">
            <v>합계</v>
          </cell>
        </row>
      </sheetData>
      <sheetData sheetId="8">
        <row r="6">
          <cell r="F6" t="str">
            <v>합계</v>
          </cell>
        </row>
      </sheetData>
      <sheetData sheetId="9"/>
      <sheetData sheetId="10"/>
      <sheetData sheetId="11"/>
      <sheetData sheetId="12"/>
      <sheetData sheetId="13">
        <row r="6">
          <cell r="F6" t="str">
            <v>합계</v>
          </cell>
        </row>
      </sheetData>
      <sheetData sheetId="14">
        <row r="6">
          <cell r="F6" t="str">
            <v>합계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/>
          <cell r="BH6"/>
          <cell r="BI6"/>
          <cell r="BJ6" t="str">
            <v>기타 계</v>
          </cell>
          <cell r="BK6"/>
        </row>
        <row r="7">
          <cell r="F7"/>
          <cell r="G7">
            <v>45761</v>
          </cell>
          <cell r="H7">
            <v>28340</v>
          </cell>
          <cell r="I7">
            <v>22882</v>
          </cell>
          <cell r="J7">
            <v>5281</v>
          </cell>
          <cell r="K7">
            <v>23815</v>
          </cell>
          <cell r="L7">
            <v>23910</v>
          </cell>
          <cell r="M7">
            <v>12339</v>
          </cell>
          <cell r="N7">
            <v>21517.5</v>
          </cell>
          <cell r="O7">
            <v>13864</v>
          </cell>
          <cell r="P7">
            <v>17315</v>
          </cell>
          <cell r="Q7">
            <v>14754.5</v>
          </cell>
          <cell r="R7">
            <v>5383</v>
          </cell>
          <cell r="S7">
            <v>22999</v>
          </cell>
          <cell r="T7">
            <v>3533</v>
          </cell>
          <cell r="U7">
            <v>7363</v>
          </cell>
          <cell r="V7">
            <v>6567</v>
          </cell>
          <cell r="W7">
            <v>3261.5</v>
          </cell>
          <cell r="X7"/>
          <cell r="Y7"/>
          <cell r="Z7">
            <v>278885.5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278885.5</v>
          </cell>
          <cell r="AJ7">
            <v>27205</v>
          </cell>
          <cell r="AK7">
            <v>27872</v>
          </cell>
          <cell r="AL7">
            <v>29440</v>
          </cell>
          <cell r="AM7"/>
          <cell r="AN7">
            <v>84517</v>
          </cell>
          <cell r="AO7">
            <v>6425.0929999999998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/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37167598.560999997</v>
          </cell>
          <cell r="G8">
            <v>4371198.9000000004</v>
          </cell>
          <cell r="H8">
            <v>2766811.3280000002</v>
          </cell>
          <cell r="I8">
            <v>2301326.9279999998</v>
          </cell>
          <cell r="J8">
            <v>486843.60000000003</v>
          </cell>
          <cell r="K8">
            <v>2518160.8659999999</v>
          </cell>
          <cell r="L8">
            <v>2338486.2999999998</v>
          </cell>
          <cell r="M8">
            <v>1225710.2</v>
          </cell>
          <cell r="N8">
            <v>2218105.65</v>
          </cell>
          <cell r="O8">
            <v>1311915.8999999999</v>
          </cell>
          <cell r="P8">
            <v>1843671.1</v>
          </cell>
          <cell r="Q8">
            <v>1474535.9</v>
          </cell>
          <cell r="R8">
            <v>560607.6</v>
          </cell>
          <cell r="S8">
            <v>2225276.8960000002</v>
          </cell>
          <cell r="T8">
            <v>412275.1</v>
          </cell>
          <cell r="U8">
            <v>752761.58</v>
          </cell>
          <cell r="V8">
            <v>648208.73600000003</v>
          </cell>
          <cell r="W8">
            <v>419749.299</v>
          </cell>
          <cell r="X8"/>
          <cell r="Y8"/>
          <cell r="Z8">
            <v>27875645.882999998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E8"/>
          <cell r="AF8"/>
          <cell r="AG8"/>
          <cell r="AH8">
            <v>90840</v>
          </cell>
          <cell r="AI8">
            <v>27966485.882999998</v>
          </cell>
          <cell r="AJ8">
            <v>780046</v>
          </cell>
          <cell r="AK8">
            <v>373312</v>
          </cell>
          <cell r="AL8">
            <v>566162</v>
          </cell>
          <cell r="AM8"/>
          <cell r="AN8">
            <v>1719520</v>
          </cell>
          <cell r="AO8">
            <v>7407957.1670000004</v>
          </cell>
          <cell r="AP8">
            <v>0</v>
          </cell>
          <cell r="AQ8"/>
          <cell r="AR8"/>
          <cell r="AS8">
            <v>7407957.1670000004</v>
          </cell>
          <cell r="AT8">
            <v>5250</v>
          </cell>
          <cell r="AU8">
            <v>5450</v>
          </cell>
          <cell r="AV8">
            <v>61233.110999999997</v>
          </cell>
          <cell r="AW8"/>
          <cell r="AX8"/>
          <cell r="AY8"/>
          <cell r="AZ8"/>
          <cell r="BA8">
            <v>71933.111000000004</v>
          </cell>
          <cell r="BB8">
            <v>0</v>
          </cell>
          <cell r="BC8">
            <v>1702.4</v>
          </cell>
          <cell r="BD8">
            <v>0</v>
          </cell>
          <cell r="BE8">
            <v>0</v>
          </cell>
          <cell r="BF8">
            <v>0</v>
          </cell>
          <cell r="BG8"/>
          <cell r="BH8"/>
          <cell r="BI8"/>
          <cell r="BJ8">
            <v>1702.4</v>
          </cell>
          <cell r="BK8"/>
          <cell r="BL8"/>
          <cell r="BM8"/>
          <cell r="BN8"/>
          <cell r="BO8"/>
        </row>
        <row r="9">
          <cell r="F9"/>
          <cell r="G9">
            <v>95522.364021765272</v>
          </cell>
          <cell r="H9">
            <v>97629.192942836991</v>
          </cell>
          <cell r="I9">
            <v>100573.67922384407</v>
          </cell>
          <cell r="J9">
            <v>92187.767468282531</v>
          </cell>
          <cell r="K9">
            <v>105738.43653159773</v>
          </cell>
          <cell r="L9">
            <v>97803.693015474695</v>
          </cell>
          <cell r="M9">
            <v>99336.267120512188</v>
          </cell>
          <cell r="N9">
            <v>103083.79923318229</v>
          </cell>
          <cell r="O9">
            <v>94627.517311021351</v>
          </cell>
          <cell r="P9">
            <v>106478.26162287036</v>
          </cell>
          <cell r="Q9">
            <v>99938.046019858346</v>
          </cell>
          <cell r="R9">
            <v>104144.08322496749</v>
          </cell>
          <cell r="S9">
            <v>96755.376146789</v>
          </cell>
          <cell r="T9">
            <v>116692.64081517122</v>
          </cell>
          <cell r="U9">
            <v>102235.71641993751</v>
          </cell>
          <cell r="V9">
            <v>98706.979747220961</v>
          </cell>
          <cell r="W9">
            <v>128698.23670090448</v>
          </cell>
          <cell r="X9"/>
          <cell r="Y9"/>
          <cell r="Z9">
            <v>99953.729695520189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100279.45476907189</v>
          </cell>
          <cell r="AJ9">
            <v>28672.891012681492</v>
          </cell>
          <cell r="AK9">
            <v>13393.800229621125</v>
          </cell>
          <cell r="AL9">
            <v>19231.046195652172</v>
          </cell>
          <cell r="AM9"/>
          <cell r="AN9"/>
          <cell r="AO9">
            <v>1152972.7533904957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/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33095521.091929998</v>
          </cell>
          <cell r="G10">
            <v>3929493.1175700002</v>
          </cell>
          <cell r="H10">
            <v>2566191.2771799997</v>
          </cell>
          <cell r="I10">
            <v>2111991.5149599998</v>
          </cell>
          <cell r="J10">
            <v>506819.64681000001</v>
          </cell>
          <cell r="K10">
            <v>2081560.86472</v>
          </cell>
          <cell r="L10">
            <v>2041689.16655</v>
          </cell>
          <cell r="M10">
            <v>1091048.5890599999</v>
          </cell>
          <cell r="N10">
            <v>1888554.8102799999</v>
          </cell>
          <cell r="O10">
            <v>1122340.36072</v>
          </cell>
          <cell r="P10">
            <v>1466731.18408</v>
          </cell>
          <cell r="Q10">
            <v>1220036.0720599999</v>
          </cell>
          <cell r="R10">
            <v>523986.50939999998</v>
          </cell>
          <cell r="S10">
            <v>2068342.7444800001</v>
          </cell>
          <cell r="T10">
            <v>344212.77402999997</v>
          </cell>
          <cell r="U10">
            <v>575900.15553999995</v>
          </cell>
          <cell r="V10">
            <v>574289.30720000004</v>
          </cell>
          <cell r="W10">
            <v>358926.31423000002</v>
          </cell>
          <cell r="X10"/>
          <cell r="Y10"/>
          <cell r="Z10">
            <v>24472114.408869997</v>
          </cell>
          <cell r="AA10">
            <v>514.80200000000002</v>
          </cell>
          <cell r="AB10">
            <v>0</v>
          </cell>
          <cell r="AC10">
            <v>3471.1860000000001</v>
          </cell>
          <cell r="AD10">
            <v>8744.4220000000005</v>
          </cell>
          <cell r="AE10"/>
          <cell r="AF10"/>
          <cell r="AG10"/>
          <cell r="AH10">
            <v>12730.41</v>
          </cell>
          <cell r="AI10">
            <v>24484844.818869997</v>
          </cell>
          <cell r="AJ10">
            <v>669691.45448000007</v>
          </cell>
          <cell r="AK10">
            <v>298652.29549000005</v>
          </cell>
          <cell r="AL10">
            <v>431501.24608999997</v>
          </cell>
          <cell r="AM10"/>
          <cell r="AN10">
            <v>1399844.99606</v>
          </cell>
          <cell r="AO10">
            <v>7210524.96</v>
          </cell>
          <cell r="AP10">
            <v>0</v>
          </cell>
          <cell r="AQ10"/>
          <cell r="AR10"/>
          <cell r="AS10">
            <v>7210524.96</v>
          </cell>
          <cell r="AT10">
            <v>126.027</v>
          </cell>
          <cell r="AU10">
            <v>180.29</v>
          </cell>
          <cell r="AV10">
            <v>0</v>
          </cell>
          <cell r="AW10"/>
          <cell r="AX10"/>
          <cell r="AY10"/>
          <cell r="AZ10"/>
          <cell r="BA10">
            <v>306.31700000000001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/>
          <cell r="BH10"/>
          <cell r="BI10"/>
          <cell r="BJ10">
            <v>0</v>
          </cell>
          <cell r="BK10"/>
          <cell r="BL10"/>
          <cell r="BM10"/>
          <cell r="BN10"/>
          <cell r="BO10"/>
        </row>
        <row r="11">
          <cell r="F11"/>
          <cell r="G11">
            <v>85869.913628854265</v>
          </cell>
          <cell r="H11">
            <v>90550.150923782625</v>
          </cell>
          <cell r="I11">
            <v>92299.25334149113</v>
          </cell>
          <cell r="J11">
            <v>95970.393260746074</v>
          </cell>
          <cell r="K11">
            <v>87405.453064035275</v>
          </cell>
          <cell r="L11">
            <v>85390.59667712255</v>
          </cell>
          <cell r="M11">
            <v>88422.77243374665</v>
          </cell>
          <cell r="N11">
            <v>87768.319288021376</v>
          </cell>
          <cell r="O11">
            <v>80953.574777841888</v>
          </cell>
          <cell r="P11">
            <v>84708.702516892867</v>
          </cell>
          <cell r="Q11">
            <v>82689.082792368426</v>
          </cell>
          <cell r="R11">
            <v>97340.982611926433</v>
          </cell>
          <cell r="S11">
            <v>89931.855492847521</v>
          </cell>
          <cell r="T11">
            <v>97427.900942541746</v>
          </cell>
          <cell r="U11">
            <v>78215.422455520835</v>
          </cell>
          <cell r="V11">
            <v>87450.785320542112</v>
          </cell>
          <cell r="W11">
            <v>110049.46013490726</v>
          </cell>
          <cell r="X11"/>
          <cell r="Y11"/>
          <cell r="Z11">
            <v>87749.683683339565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87795.33112646587</v>
          </cell>
          <cell r="AJ11">
            <v>24616.484266862713</v>
          </cell>
          <cell r="AK11">
            <v>10715.136893297935</v>
          </cell>
          <cell r="AL11">
            <v>14656.971674252716</v>
          </cell>
          <cell r="AM11"/>
          <cell r="AN11"/>
          <cell r="AO11">
            <v>1122244.4500025136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/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4072077.4690699987</v>
          </cell>
          <cell r="G12">
            <v>441705.78243000014</v>
          </cell>
          <cell r="H12">
            <v>200620.05082000047</v>
          </cell>
          <cell r="I12">
            <v>189335.41304000001</v>
          </cell>
          <cell r="J12">
            <v>-19976.046809999971</v>
          </cell>
          <cell r="K12">
            <v>436600.00127999997</v>
          </cell>
          <cell r="L12">
            <v>296797.13344999985</v>
          </cell>
          <cell r="M12">
            <v>134661.61094000004</v>
          </cell>
          <cell r="N12">
            <v>329550.83972000005</v>
          </cell>
          <cell r="O12">
            <v>189575.53927999991</v>
          </cell>
          <cell r="P12">
            <v>376939.91592000006</v>
          </cell>
          <cell r="Q12">
            <v>254499.82793999999</v>
          </cell>
          <cell r="R12">
            <v>36621.090599999996</v>
          </cell>
          <cell r="S12">
            <v>156934.15152000007</v>
          </cell>
          <cell r="T12">
            <v>68062.325970000005</v>
          </cell>
          <cell r="U12">
            <v>176861.42446000001</v>
          </cell>
          <cell r="V12">
            <v>73919.428799999994</v>
          </cell>
          <cell r="W12">
            <v>60822.984769999981</v>
          </cell>
          <cell r="X12"/>
          <cell r="Y12"/>
          <cell r="Z12">
            <v>3403531.47413</v>
          </cell>
          <cell r="AA12">
            <v>49485.197999999997</v>
          </cell>
          <cell r="AB12">
            <v>0</v>
          </cell>
          <cell r="AC12">
            <v>9028.8140000000003</v>
          </cell>
          <cell r="AD12">
            <v>19595.578000000001</v>
          </cell>
          <cell r="AE12"/>
          <cell r="AF12"/>
          <cell r="AG12"/>
          <cell r="AH12">
            <v>78109.59</v>
          </cell>
          <cell r="AI12">
            <v>3481641.0641300008</v>
          </cell>
          <cell r="AJ12">
            <v>110354.54551999993</v>
          </cell>
          <cell r="AK12">
            <v>74659.704509999952</v>
          </cell>
          <cell r="AL12">
            <v>134660.75391000003</v>
          </cell>
          <cell r="AM12"/>
          <cell r="AN12">
            <v>319675.00393999997</v>
          </cell>
          <cell r="AO12">
            <v>197432.2070000004</v>
          </cell>
          <cell r="AP12">
            <v>0</v>
          </cell>
          <cell r="AQ12"/>
          <cell r="AR12"/>
          <cell r="AS12">
            <v>197432.2070000004</v>
          </cell>
          <cell r="AT12">
            <v>5123.973</v>
          </cell>
          <cell r="AU12">
            <v>5269.71</v>
          </cell>
          <cell r="AV12">
            <v>61233.110999999997</v>
          </cell>
          <cell r="AW12"/>
          <cell r="AX12"/>
          <cell r="AY12"/>
          <cell r="AZ12"/>
          <cell r="BA12">
            <v>71626.793999999994</v>
          </cell>
          <cell r="BB12">
            <v>0</v>
          </cell>
          <cell r="BC12">
            <v>1702.4</v>
          </cell>
          <cell r="BD12">
            <v>0</v>
          </cell>
          <cell r="BE12">
            <v>0</v>
          </cell>
          <cell r="BF12">
            <v>0</v>
          </cell>
          <cell r="BG12"/>
          <cell r="BH12"/>
          <cell r="BI12"/>
          <cell r="BJ12">
            <v>1702.4</v>
          </cell>
          <cell r="BK12"/>
          <cell r="BL12"/>
          <cell r="BM12"/>
          <cell r="BN12"/>
          <cell r="BO12"/>
        </row>
        <row r="13">
          <cell r="F13">
            <v>779774.28500000003</v>
          </cell>
          <cell r="G13">
            <v>74949.414999999994</v>
          </cell>
          <cell r="H13">
            <v>64227.001999999993</v>
          </cell>
          <cell r="I13">
            <v>53955.483999999997</v>
          </cell>
          <cell r="J13">
            <v>32002.914000000001</v>
          </cell>
          <cell r="K13">
            <v>50868.063000000002</v>
          </cell>
          <cell r="L13">
            <v>55730.876999999993</v>
          </cell>
          <cell r="M13">
            <v>35324.804000000004</v>
          </cell>
          <cell r="N13">
            <v>42990.394999999997</v>
          </cell>
          <cell r="O13">
            <v>25878.082000000002</v>
          </cell>
          <cell r="P13">
            <v>44004.65</v>
          </cell>
          <cell r="Q13">
            <v>34406.395000000004</v>
          </cell>
          <cell r="R13">
            <v>27913.018</v>
          </cell>
          <cell r="S13">
            <v>45086.323000000004</v>
          </cell>
          <cell r="T13">
            <v>9006.1829999999991</v>
          </cell>
          <cell r="U13">
            <v>9298.2060000000001</v>
          </cell>
          <cell r="V13">
            <v>28603.253000000004</v>
          </cell>
          <cell r="W13">
            <v>15215.937999999998</v>
          </cell>
          <cell r="X13"/>
          <cell r="Y13"/>
          <cell r="Z13">
            <v>649461.00200000009</v>
          </cell>
          <cell r="AA13">
            <v>0</v>
          </cell>
          <cell r="AB13">
            <v>286.74700000000001</v>
          </cell>
          <cell r="AC13">
            <v>0</v>
          </cell>
          <cell r="AD13">
            <v>0</v>
          </cell>
          <cell r="AE13"/>
          <cell r="AF13"/>
          <cell r="AG13"/>
          <cell r="AH13">
            <v>286.74700000000001</v>
          </cell>
          <cell r="AI13">
            <v>649747.74900000007</v>
          </cell>
          <cell r="AJ13">
            <v>460</v>
          </cell>
          <cell r="AK13">
            <v>0</v>
          </cell>
          <cell r="AL13">
            <v>0</v>
          </cell>
          <cell r="AM13"/>
          <cell r="AN13">
            <v>460</v>
          </cell>
          <cell r="AO13">
            <v>117475.18999999999</v>
          </cell>
          <cell r="AP13">
            <v>0</v>
          </cell>
          <cell r="AQ13"/>
          <cell r="AR13"/>
          <cell r="AS13">
            <v>117475.18999999999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12091.346000000001</v>
          </cell>
          <cell r="BG13"/>
          <cell r="BH13"/>
          <cell r="BI13"/>
          <cell r="BJ13">
            <v>12091.346000000001</v>
          </cell>
          <cell r="BK13"/>
          <cell r="BL13"/>
          <cell r="BM13"/>
          <cell r="BN13"/>
          <cell r="BO13"/>
        </row>
        <row r="14">
          <cell r="F14">
            <v>518720.10200000001</v>
          </cell>
          <cell r="G14">
            <v>45156.135999999999</v>
          </cell>
          <cell r="H14">
            <v>40823.350999999995</v>
          </cell>
          <cell r="I14">
            <v>34490.095999999998</v>
          </cell>
          <cell r="J14">
            <v>23210.024000000001</v>
          </cell>
          <cell r="K14">
            <v>30020.842000000001</v>
          </cell>
          <cell r="L14">
            <v>33662.964999999997</v>
          </cell>
          <cell r="M14">
            <v>25158.98</v>
          </cell>
          <cell r="N14">
            <v>31375.461999999996</v>
          </cell>
          <cell r="O14">
            <v>17444.563000000002</v>
          </cell>
          <cell r="P14">
            <v>31156.613000000001</v>
          </cell>
          <cell r="Q14">
            <v>26117.877</v>
          </cell>
          <cell r="R14">
            <v>18107.707999999999</v>
          </cell>
          <cell r="S14">
            <v>29291.161</v>
          </cell>
          <cell r="T14">
            <v>7177.6719999999996</v>
          </cell>
          <cell r="U14">
            <v>6835.2350000000006</v>
          </cell>
          <cell r="V14">
            <v>19939.023000000001</v>
          </cell>
          <cell r="W14">
            <v>10360.079</v>
          </cell>
          <cell r="X14"/>
          <cell r="Y14"/>
          <cell r="Z14">
            <v>430327.78700000001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430327.78700000001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88392.314999999988</v>
          </cell>
          <cell r="AP14">
            <v>0</v>
          </cell>
          <cell r="AQ14"/>
          <cell r="AR14"/>
          <cell r="AS14">
            <v>88392.314999999988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/>
          <cell r="BH14"/>
          <cell r="BI14"/>
          <cell r="BJ14">
            <v>0</v>
          </cell>
          <cell r="BK14"/>
          <cell r="BL14"/>
          <cell r="BM14"/>
          <cell r="BN14"/>
          <cell r="BO14"/>
        </row>
        <row r="15">
          <cell r="F15">
            <v>261054.18300000002</v>
          </cell>
          <cell r="G15">
            <v>29793.278999999999</v>
          </cell>
          <cell r="H15">
            <v>23403.651000000002</v>
          </cell>
          <cell r="I15">
            <v>19465.387999999999</v>
          </cell>
          <cell r="J15">
            <v>8792.89</v>
          </cell>
          <cell r="K15">
            <v>20847.221000000001</v>
          </cell>
          <cell r="L15">
            <v>22067.912</v>
          </cell>
          <cell r="M15">
            <v>10165.824000000001</v>
          </cell>
          <cell r="N15">
            <v>11614.932999999999</v>
          </cell>
          <cell r="O15">
            <v>8433.5190000000002</v>
          </cell>
          <cell r="P15">
            <v>12848.037</v>
          </cell>
          <cell r="Q15">
            <v>8288.518</v>
          </cell>
          <cell r="R15">
            <v>9805.3100000000013</v>
          </cell>
          <cell r="S15">
            <v>15795.162</v>
          </cell>
          <cell r="T15">
            <v>1828.511</v>
          </cell>
          <cell r="U15">
            <v>2462.971</v>
          </cell>
          <cell r="V15">
            <v>8664.2300000000014</v>
          </cell>
          <cell r="W15">
            <v>4855.8589999999995</v>
          </cell>
          <cell r="X15"/>
          <cell r="Y15"/>
          <cell r="Z15">
            <v>219133.21500000003</v>
          </cell>
          <cell r="AA15">
            <v>0</v>
          </cell>
          <cell r="AB15">
            <v>286.74700000000001</v>
          </cell>
          <cell r="AC15">
            <v>0</v>
          </cell>
          <cell r="AD15">
            <v>0</v>
          </cell>
          <cell r="AE15"/>
          <cell r="AF15"/>
          <cell r="AG15"/>
          <cell r="AH15">
            <v>286.74700000000001</v>
          </cell>
          <cell r="AI15">
            <v>219419.96200000003</v>
          </cell>
          <cell r="AJ15">
            <v>460</v>
          </cell>
          <cell r="AK15">
            <v>0</v>
          </cell>
          <cell r="AL15">
            <v>0</v>
          </cell>
          <cell r="AM15"/>
          <cell r="AN15">
            <v>460</v>
          </cell>
          <cell r="AO15">
            <v>29082.875</v>
          </cell>
          <cell r="AP15">
            <v>0</v>
          </cell>
          <cell r="AQ15"/>
          <cell r="AR15"/>
          <cell r="AS15">
            <v>29082.875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12091.346000000001</v>
          </cell>
          <cell r="BG15"/>
          <cell r="BH15"/>
          <cell r="BI15"/>
          <cell r="BJ15">
            <v>12091.346000000001</v>
          </cell>
          <cell r="BK15"/>
          <cell r="BL15"/>
          <cell r="BM15"/>
          <cell r="BN15"/>
          <cell r="BO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/>
          <cell r="BH16"/>
          <cell r="BI16"/>
          <cell r="BJ16">
            <v>0</v>
          </cell>
          <cell r="BK16"/>
          <cell r="BL16"/>
          <cell r="BM16"/>
          <cell r="BN16"/>
          <cell r="BO16"/>
        </row>
        <row r="17">
          <cell r="F17">
            <v>3292303.1840699986</v>
          </cell>
          <cell r="G17">
            <v>366756.36743000016</v>
          </cell>
          <cell r="H17">
            <v>136393.04882000049</v>
          </cell>
          <cell r="I17">
            <v>135379.92904000002</v>
          </cell>
          <cell r="J17">
            <v>-51978.960809999975</v>
          </cell>
          <cell r="K17">
            <v>385731.93827999994</v>
          </cell>
          <cell r="L17">
            <v>241066.25644999987</v>
          </cell>
          <cell r="M17">
            <v>99336.806940000039</v>
          </cell>
          <cell r="N17">
            <v>286560.44472000003</v>
          </cell>
          <cell r="O17">
            <v>163697.45727999992</v>
          </cell>
          <cell r="P17">
            <v>332935.26592000003</v>
          </cell>
          <cell r="Q17">
            <v>220093.43293999997</v>
          </cell>
          <cell r="R17">
            <v>8708.0725999999959</v>
          </cell>
          <cell r="S17">
            <v>111847.82852000007</v>
          </cell>
          <cell r="T17">
            <v>59056.142970000008</v>
          </cell>
          <cell r="U17">
            <v>167563.21846</v>
          </cell>
          <cell r="V17">
            <v>45316.17579999999</v>
          </cell>
          <cell r="W17">
            <v>45607.046769999986</v>
          </cell>
          <cell r="X17"/>
          <cell r="Y17"/>
          <cell r="Z17">
            <v>2754070.4721299997</v>
          </cell>
          <cell r="AA17">
            <v>49485.197999999997</v>
          </cell>
          <cell r="AB17">
            <v>-286.74700000000001</v>
          </cell>
          <cell r="AC17">
            <v>9028.8140000000003</v>
          </cell>
          <cell r="AD17">
            <v>19595.578000000001</v>
          </cell>
          <cell r="AE17"/>
          <cell r="AF17"/>
          <cell r="AG17"/>
          <cell r="AH17">
            <v>77822.842999999993</v>
          </cell>
          <cell r="AI17">
            <v>2831893.3151300009</v>
          </cell>
          <cell r="AJ17">
            <v>109894.54551999993</v>
          </cell>
          <cell r="AK17">
            <v>74659.704509999952</v>
          </cell>
          <cell r="AL17">
            <v>134660.75391000003</v>
          </cell>
          <cell r="AM17"/>
          <cell r="AN17">
            <v>319215.00393999997</v>
          </cell>
          <cell r="AO17">
            <v>79957.017000000415</v>
          </cell>
          <cell r="AP17">
            <v>0</v>
          </cell>
          <cell r="AQ17"/>
          <cell r="AR17"/>
          <cell r="AS17">
            <v>79957.017000000415</v>
          </cell>
          <cell r="AT17">
            <v>5123.973</v>
          </cell>
          <cell r="AU17">
            <v>5269.71</v>
          </cell>
          <cell r="AV17">
            <v>61233.110999999997</v>
          </cell>
          <cell r="AW17"/>
          <cell r="AX17"/>
          <cell r="AY17"/>
          <cell r="AZ17"/>
          <cell r="BA17">
            <v>71626.793999999994</v>
          </cell>
          <cell r="BB17">
            <v>0</v>
          </cell>
          <cell r="BC17">
            <v>1702.4</v>
          </cell>
          <cell r="BD17">
            <v>0</v>
          </cell>
          <cell r="BE17">
            <v>0</v>
          </cell>
          <cell r="BF17">
            <v>-12091.346000000001</v>
          </cell>
          <cell r="BG17"/>
          <cell r="BH17"/>
          <cell r="BI17"/>
          <cell r="BJ17">
            <v>-10388.946000000002</v>
          </cell>
          <cell r="BK17"/>
          <cell r="BL17"/>
          <cell r="BM17"/>
          <cell r="BN17"/>
          <cell r="BO17"/>
        </row>
        <row r="18">
          <cell r="F18">
            <v>586223.92807000002</v>
          </cell>
          <cell r="G18">
            <v>29529.973429999998</v>
          </cell>
          <cell r="H18">
            <v>33468.426820000001</v>
          </cell>
          <cell r="I18">
            <v>19103.618039999998</v>
          </cell>
          <cell r="J18">
            <v>18372.601190000001</v>
          </cell>
          <cell r="K18">
            <v>86920.787280000004</v>
          </cell>
          <cell r="L18">
            <v>42977.854450000006</v>
          </cell>
          <cell r="M18">
            <v>16897.637940000001</v>
          </cell>
          <cell r="N18">
            <v>29594.603719999999</v>
          </cell>
          <cell r="O18">
            <v>11436.90828</v>
          </cell>
          <cell r="P18">
            <v>33035.038920000006</v>
          </cell>
          <cell r="Q18">
            <v>14635.751939999998</v>
          </cell>
          <cell r="R18">
            <v>11395.9076</v>
          </cell>
          <cell r="S18">
            <v>35263.870520000004</v>
          </cell>
          <cell r="T18">
            <v>5631.6089699999993</v>
          </cell>
          <cell r="U18">
            <v>10233.581460000001</v>
          </cell>
          <cell r="V18">
            <v>20751.461800000001</v>
          </cell>
          <cell r="W18">
            <v>10231.54977</v>
          </cell>
          <cell r="X18"/>
          <cell r="Y18"/>
          <cell r="Z18">
            <v>429481.18212999997</v>
          </cell>
          <cell r="AA18">
            <v>5672.5910000000003</v>
          </cell>
          <cell r="AB18">
            <v>353.67200000000003</v>
          </cell>
          <cell r="AC18">
            <v>0</v>
          </cell>
          <cell r="AD18">
            <v>0</v>
          </cell>
          <cell r="AE18"/>
          <cell r="AF18"/>
          <cell r="AG18"/>
          <cell r="AH18">
            <v>6026.2630000000008</v>
          </cell>
          <cell r="AI18">
            <v>435507.44513000007</v>
          </cell>
          <cell r="AJ18">
            <v>33537.969519999999</v>
          </cell>
          <cell r="AK18">
            <v>11127.91851</v>
          </cell>
          <cell r="AL18">
            <v>48763.811909999997</v>
          </cell>
          <cell r="AM18"/>
          <cell r="AN18">
            <v>93429.699939999991</v>
          </cell>
          <cell r="AO18">
            <v>4689.8059999999996</v>
          </cell>
          <cell r="AP18">
            <v>855.83600000000001</v>
          </cell>
          <cell r="AQ18"/>
          <cell r="AR18"/>
          <cell r="AS18">
            <v>5545.6419999999998</v>
          </cell>
          <cell r="AT18">
            <v>1312.8920000000001</v>
          </cell>
          <cell r="AU18">
            <v>8489.6080000000002</v>
          </cell>
          <cell r="AV18">
            <v>0</v>
          </cell>
          <cell r="AW18"/>
          <cell r="AX18"/>
          <cell r="AY18"/>
          <cell r="AZ18"/>
          <cell r="BA18">
            <v>9802.5</v>
          </cell>
          <cell r="BB18">
            <v>0</v>
          </cell>
          <cell r="BC18">
            <v>17960.7</v>
          </cell>
          <cell r="BD18">
            <v>0</v>
          </cell>
          <cell r="BE18">
            <v>0</v>
          </cell>
          <cell r="BF18">
            <v>23977.940999999999</v>
          </cell>
          <cell r="BG18"/>
          <cell r="BH18"/>
          <cell r="BI18"/>
          <cell r="BJ18">
            <v>41938.641000000003</v>
          </cell>
          <cell r="BK18"/>
          <cell r="BL18"/>
          <cell r="BM18"/>
          <cell r="BN18"/>
          <cell r="BO18"/>
        </row>
        <row r="19">
          <cell r="F19">
            <v>516322.56007000001</v>
          </cell>
          <cell r="G19">
            <v>27202.351429999999</v>
          </cell>
          <cell r="H19">
            <v>31523.291819999999</v>
          </cell>
          <cell r="I19">
            <v>17332.371039999998</v>
          </cell>
          <cell r="J19">
            <v>17180.61319</v>
          </cell>
          <cell r="K19">
            <v>85044.721279999998</v>
          </cell>
          <cell r="L19">
            <v>41413.452450000004</v>
          </cell>
          <cell r="M19">
            <v>15704.03894</v>
          </cell>
          <cell r="N19">
            <v>28031.298719999999</v>
          </cell>
          <cell r="O19">
            <v>10686.87228</v>
          </cell>
          <cell r="P19">
            <v>31816.272920000003</v>
          </cell>
          <cell r="Q19">
            <v>13430.363939999999</v>
          </cell>
          <cell r="R19">
            <v>10293.7526</v>
          </cell>
          <cell r="S19">
            <v>33675.669520000003</v>
          </cell>
          <cell r="T19">
            <v>5261.2089699999997</v>
          </cell>
          <cell r="U19">
            <v>9790.7124600000006</v>
          </cell>
          <cell r="V19">
            <v>19624.5978</v>
          </cell>
          <cell r="W19">
            <v>9406.1797699999988</v>
          </cell>
          <cell r="X19"/>
          <cell r="Y19"/>
          <cell r="Z19">
            <v>407417.76913000003</v>
          </cell>
          <cell r="AA19">
            <v>5672.5910000000003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>
            <v>5672.5910000000003</v>
          </cell>
          <cell r="AI19">
            <v>413090.36013000004</v>
          </cell>
          <cell r="AJ19">
            <v>33537.969519999999</v>
          </cell>
          <cell r="AK19">
            <v>11127.91851</v>
          </cell>
          <cell r="AL19">
            <v>48763.811909999997</v>
          </cell>
          <cell r="AM19"/>
          <cell r="AN19">
            <v>93429.699939999991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1312.8920000000001</v>
          </cell>
          <cell r="AU19">
            <v>8489.6080000000002</v>
          </cell>
          <cell r="AV19">
            <v>0</v>
          </cell>
          <cell r="AW19"/>
          <cell r="AX19"/>
          <cell r="AY19"/>
          <cell r="AZ19"/>
          <cell r="BA19">
            <v>9802.5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/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69901.368000000002</v>
          </cell>
          <cell r="G20">
            <v>2327.6219999999998</v>
          </cell>
          <cell r="H20">
            <v>1945.135</v>
          </cell>
          <cell r="I20">
            <v>1771.2470000000001</v>
          </cell>
          <cell r="J20">
            <v>1191.9880000000001</v>
          </cell>
          <cell r="K20">
            <v>1876.066</v>
          </cell>
          <cell r="L20">
            <v>1564.402</v>
          </cell>
          <cell r="M20">
            <v>1193.5989999999999</v>
          </cell>
          <cell r="N20">
            <v>1563.3050000000001</v>
          </cell>
          <cell r="O20">
            <v>750.03599999999994</v>
          </cell>
          <cell r="P20">
            <v>1218.7660000000001</v>
          </cell>
          <cell r="Q20">
            <v>1205.3879999999999</v>
          </cell>
          <cell r="R20">
            <v>1102.155</v>
          </cell>
          <cell r="S20">
            <v>1588.201</v>
          </cell>
          <cell r="T20">
            <v>370.4</v>
          </cell>
          <cell r="U20">
            <v>442.86900000000003</v>
          </cell>
          <cell r="V20">
            <v>1126.864</v>
          </cell>
          <cell r="W20">
            <v>825.37</v>
          </cell>
          <cell r="X20"/>
          <cell r="Y20"/>
          <cell r="Z20">
            <v>22063.413</v>
          </cell>
          <cell r="AA20">
            <v>0</v>
          </cell>
          <cell r="AB20">
            <v>353.67200000000003</v>
          </cell>
          <cell r="AC20">
            <v>0</v>
          </cell>
          <cell r="AD20">
            <v>0</v>
          </cell>
          <cell r="AE20"/>
          <cell r="AF20"/>
          <cell r="AG20"/>
          <cell r="AH20">
            <v>353.67200000000003</v>
          </cell>
          <cell r="AI20">
            <v>22417.084999999999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4689.8059999999996</v>
          </cell>
          <cell r="AP20">
            <v>855.83600000000001</v>
          </cell>
          <cell r="AQ20"/>
          <cell r="AR20"/>
          <cell r="AS20">
            <v>5545.6419999999998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17960.7</v>
          </cell>
          <cell r="BD20">
            <v>0</v>
          </cell>
          <cell r="BE20">
            <v>0</v>
          </cell>
          <cell r="BF20">
            <v>23977.940999999999</v>
          </cell>
          <cell r="BG20"/>
          <cell r="BH20"/>
          <cell r="BI20"/>
          <cell r="BJ20">
            <v>41938.641000000003</v>
          </cell>
          <cell r="BK20"/>
          <cell r="BL20"/>
          <cell r="BM20"/>
          <cell r="BN20"/>
          <cell r="BO20"/>
        </row>
        <row r="21">
          <cell r="F21">
            <v>2706079.2559999987</v>
          </cell>
          <cell r="G21">
            <v>337226.39400000015</v>
          </cell>
          <cell r="H21">
            <v>102924.6220000005</v>
          </cell>
          <cell r="I21">
            <v>116276.31100000002</v>
          </cell>
          <cell r="J21">
            <v>-70351.561999999976</v>
          </cell>
          <cell r="K21">
            <v>298811.15099999995</v>
          </cell>
          <cell r="L21">
            <v>198088.40199999986</v>
          </cell>
          <cell r="M21">
            <v>82439.169000000038</v>
          </cell>
          <cell r="N21">
            <v>256965.84100000001</v>
          </cell>
          <cell r="O21">
            <v>152260.54899999991</v>
          </cell>
          <cell r="P21">
            <v>299900.22700000001</v>
          </cell>
          <cell r="Q21">
            <v>205457.68099999998</v>
          </cell>
          <cell r="R21">
            <v>-2687.8350000000046</v>
          </cell>
          <cell r="S21">
            <v>76583.958000000071</v>
          </cell>
          <cell r="T21">
            <v>53424.534000000007</v>
          </cell>
          <cell r="U21">
            <v>157329.63699999999</v>
          </cell>
          <cell r="V21">
            <v>24564.713999999989</v>
          </cell>
          <cell r="W21">
            <v>35375.496999999988</v>
          </cell>
          <cell r="X21"/>
          <cell r="Y21"/>
          <cell r="Z21">
            <v>2324589.2899999996</v>
          </cell>
          <cell r="AA21">
            <v>43812.606999999996</v>
          </cell>
          <cell r="AB21">
            <v>-640.4190000000001</v>
          </cell>
          <cell r="AC21">
            <v>9028.8140000000003</v>
          </cell>
          <cell r="AD21">
            <v>19595.578000000001</v>
          </cell>
          <cell r="AE21"/>
          <cell r="AF21"/>
          <cell r="AG21"/>
          <cell r="AH21">
            <v>71796.579999999987</v>
          </cell>
          <cell r="AI21">
            <v>2396385.870000001</v>
          </cell>
          <cell r="AJ21">
            <v>76356.575999999928</v>
          </cell>
          <cell r="AK21">
            <v>63531.785999999949</v>
          </cell>
          <cell r="AL21">
            <v>85896.942000000039</v>
          </cell>
          <cell r="AM21"/>
          <cell r="AN21">
            <v>225785.30399999997</v>
          </cell>
          <cell r="AO21">
            <v>75267.211000000418</v>
          </cell>
          <cell r="AP21">
            <v>-855.83600000000001</v>
          </cell>
          <cell r="AQ21"/>
          <cell r="AR21"/>
          <cell r="AS21">
            <v>74411.375000000407</v>
          </cell>
          <cell r="AT21">
            <v>3811.0810000000001</v>
          </cell>
          <cell r="AU21">
            <v>-3219.8980000000001</v>
          </cell>
          <cell r="AV21">
            <v>61233.110999999997</v>
          </cell>
          <cell r="AW21"/>
          <cell r="AX21"/>
          <cell r="AY21"/>
          <cell r="AZ21"/>
          <cell r="BA21">
            <v>61824.293999999994</v>
          </cell>
          <cell r="BB21">
            <v>0</v>
          </cell>
          <cell r="BC21">
            <v>-16258.300000000001</v>
          </cell>
          <cell r="BD21">
            <v>0</v>
          </cell>
          <cell r="BE21">
            <v>0</v>
          </cell>
          <cell r="BF21">
            <v>-36069.286999999997</v>
          </cell>
          <cell r="BG21"/>
          <cell r="BH21"/>
          <cell r="BI21"/>
          <cell r="BJ21">
            <v>-52327.587000000007</v>
          </cell>
          <cell r="BK21"/>
          <cell r="BL21"/>
          <cell r="BM21"/>
          <cell r="BN21"/>
          <cell r="BO21"/>
        </row>
        <row r="22">
          <cell r="F22">
            <v>1591010.7190021616</v>
          </cell>
          <cell r="G22">
            <v>243766.41711840965</v>
          </cell>
          <cell r="H22">
            <v>154295.35459234967</v>
          </cell>
          <cell r="I22">
            <v>128336.92373428174</v>
          </cell>
          <cell r="J22">
            <v>27149.558458442185</v>
          </cell>
          <cell r="K22">
            <v>141117.25234098447</v>
          </cell>
          <cell r="L22">
            <v>131048.32409584238</v>
          </cell>
          <cell r="M22">
            <v>68688.564708367019</v>
          </cell>
          <cell r="N22">
            <v>124302.21554003507</v>
          </cell>
          <cell r="O22">
            <v>73519.515615588054</v>
          </cell>
          <cell r="P22">
            <v>103318.97511605616</v>
          </cell>
          <cell r="Q22">
            <v>82632.70925049021</v>
          </cell>
          <cell r="R22">
            <v>31416.342467087525</v>
          </cell>
          <cell r="S22">
            <v>119646.01589100763</v>
          </cell>
          <cell r="T22">
            <v>22166.712490806691</v>
          </cell>
          <cell r="U22">
            <v>40473.58066976488</v>
          </cell>
          <cell r="V22">
            <v>34852.108907235044</v>
          </cell>
          <cell r="W22">
            <v>22568.576247148212</v>
          </cell>
          <cell r="X22"/>
          <cell r="Y22"/>
          <cell r="Z22">
            <v>1549299.1472438965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1549299.1472438965</v>
          </cell>
          <cell r="AJ22">
            <v>18922.108903683256</v>
          </cell>
          <cell r="AK22">
            <v>9055.6843045817841</v>
          </cell>
          <cell r="AL22">
            <v>13733.778550000001</v>
          </cell>
          <cell r="AM22"/>
          <cell r="AN22">
            <v>41711.57175826504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/>
          <cell r="BH22"/>
          <cell r="BI22"/>
          <cell r="BJ22">
            <v>0</v>
          </cell>
          <cell r="BK22"/>
          <cell r="BL22"/>
          <cell r="BM22"/>
          <cell r="BN22"/>
          <cell r="BO22"/>
        </row>
        <row r="23">
          <cell r="F23">
            <v>254146.0870021616</v>
          </cell>
          <cell r="G23">
            <v>34131.769247843375</v>
          </cell>
          <cell r="H23">
            <v>21604.17953061232</v>
          </cell>
          <cell r="I23">
            <v>17969.52311420655</v>
          </cell>
          <cell r="J23">
            <v>3801.4361265943221</v>
          </cell>
          <cell r="K23">
            <v>20350.895443944137</v>
          </cell>
          <cell r="L23">
            <v>18898.82843902308</v>
          </cell>
          <cell r="M23">
            <v>9905.7611694200059</v>
          </cell>
          <cell r="N23">
            <v>17925.954126384135</v>
          </cell>
          <cell r="O23">
            <v>10602.445488146137</v>
          </cell>
          <cell r="P23">
            <v>14899.905044081277</v>
          </cell>
          <cell r="Q23">
            <v>11916.683455139544</v>
          </cell>
          <cell r="R23">
            <v>4530.6345622005456</v>
          </cell>
          <cell r="S23">
            <v>12925.834728016676</v>
          </cell>
          <cell r="T23">
            <v>2394.7580701779534</v>
          </cell>
          <cell r="U23">
            <v>4372.5218152270345</v>
          </cell>
          <cell r="V23">
            <v>3765.2118735665836</v>
          </cell>
          <cell r="W23">
            <v>2438.1730093129295</v>
          </cell>
          <cell r="X23"/>
          <cell r="Y23"/>
          <cell r="Z23">
            <v>212434.51524389655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212434.51524389655</v>
          </cell>
          <cell r="AJ23">
            <v>18922.108903683256</v>
          </cell>
          <cell r="AK23">
            <v>9055.6843045817841</v>
          </cell>
          <cell r="AL23">
            <v>13733.778550000001</v>
          </cell>
          <cell r="AM23"/>
          <cell r="AN23">
            <v>41711.57175826504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/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574476.52099999995</v>
          </cell>
          <cell r="G24">
            <v>90084.052122446272</v>
          </cell>
          <cell r="H24">
            <v>57019.957587500023</v>
          </cell>
          <cell r="I24">
            <v>47427.001075778346</v>
          </cell>
          <cell r="J24">
            <v>10033.138560196696</v>
          </cell>
          <cell r="K24">
            <v>51895.63318783055</v>
          </cell>
          <cell r="L24">
            <v>48192.801690361535</v>
          </cell>
          <cell r="M24">
            <v>25260.104623428142</v>
          </cell>
          <cell r="N24">
            <v>45711.931568177446</v>
          </cell>
          <cell r="O24">
            <v>27036.678728086699</v>
          </cell>
          <cell r="P24">
            <v>37995.380047576378</v>
          </cell>
          <cell r="Q24">
            <v>30388.040423422095</v>
          </cell>
          <cell r="R24">
            <v>11553.307322309105</v>
          </cell>
          <cell r="S24">
            <v>45859.720518812232</v>
          </cell>
          <cell r="T24">
            <v>8496.3902231002885</v>
          </cell>
          <cell r="U24">
            <v>15513.321393015312</v>
          </cell>
          <cell r="V24">
            <v>13358.639333490179</v>
          </cell>
          <cell r="W24">
            <v>8650.4225944685968</v>
          </cell>
          <cell r="X24"/>
          <cell r="Y24"/>
          <cell r="Z24">
            <v>574476.52099999995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574476.52099999995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/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762388.11100000015</v>
          </cell>
          <cell r="G25">
            <v>119550.59574812</v>
          </cell>
          <cell r="H25">
            <v>75671.217474237346</v>
          </cell>
          <cell r="I25">
            <v>62940.399544296837</v>
          </cell>
          <cell r="J25">
            <v>13314.983771651167</v>
          </cell>
          <cell r="K25">
            <v>68870.723709209778</v>
          </cell>
          <cell r="L25">
            <v>63956.693966457766</v>
          </cell>
          <cell r="M25">
            <v>33522.698915518871</v>
          </cell>
          <cell r="N25">
            <v>60664.32984547349</v>
          </cell>
          <cell r="O25">
            <v>35880.39139935522</v>
          </cell>
          <cell r="P25">
            <v>50423.690024398507</v>
          </cell>
          <cell r="Q25">
            <v>40327.985371928575</v>
          </cell>
          <cell r="R25">
            <v>15332.400582577871</v>
          </cell>
          <cell r="S25">
            <v>60860.460644178718</v>
          </cell>
          <cell r="T25">
            <v>11275.564197528449</v>
          </cell>
          <cell r="U25">
            <v>20587.737461522534</v>
          </cell>
          <cell r="V25">
            <v>17728.257700178281</v>
          </cell>
          <cell r="W25">
            <v>11479.980643366685</v>
          </cell>
          <cell r="X25"/>
          <cell r="Y25"/>
          <cell r="Z25">
            <v>762388.11100000015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762388.11100000015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/>
          <cell r="BH25"/>
          <cell r="BI25"/>
          <cell r="BJ25">
            <v>0</v>
          </cell>
          <cell r="BK25"/>
          <cell r="BL25"/>
          <cell r="BM25"/>
          <cell r="BN25"/>
          <cell r="BO25"/>
        </row>
        <row r="26">
          <cell r="F26">
            <v>1115068.536997837</v>
          </cell>
          <cell r="G26">
            <v>93459.976881590497</v>
          </cell>
          <cell r="H26">
            <v>-51370.732592349174</v>
          </cell>
          <cell r="I26">
            <v>-12060.61273428172</v>
          </cell>
          <cell r="J26">
            <v>-97501.120458442165</v>
          </cell>
          <cell r="K26">
            <v>157693.89865901548</v>
          </cell>
          <cell r="L26">
            <v>67040.077904157471</v>
          </cell>
          <cell r="M26">
            <v>13750.604291633019</v>
          </cell>
          <cell r="N26">
            <v>132663.62545996494</v>
          </cell>
          <cell r="O26">
            <v>78741.033384411858</v>
          </cell>
          <cell r="P26">
            <v>196581.25188394386</v>
          </cell>
          <cell r="Q26">
            <v>122824.97174950977</v>
          </cell>
          <cell r="R26">
            <v>-34104.177467087531</v>
          </cell>
          <cell r="S26">
            <v>-43062.057891007556</v>
          </cell>
          <cell r="T26">
            <v>31257.821509193316</v>
          </cell>
          <cell r="U26">
            <v>116856.05633023511</v>
          </cell>
          <cell r="V26">
            <v>-10287.394907235055</v>
          </cell>
          <cell r="W26">
            <v>12806.920752851776</v>
          </cell>
          <cell r="X26"/>
          <cell r="Y26"/>
          <cell r="Z26">
            <v>775290.14275610307</v>
          </cell>
          <cell r="AA26">
            <v>43812.606999999996</v>
          </cell>
          <cell r="AB26">
            <v>-640.4190000000001</v>
          </cell>
          <cell r="AC26">
            <v>9028.8140000000003</v>
          </cell>
          <cell r="AD26">
            <v>19595.578000000001</v>
          </cell>
          <cell r="AE26"/>
          <cell r="AF26"/>
          <cell r="AG26"/>
          <cell r="AH26">
            <v>71796.579999999987</v>
          </cell>
          <cell r="AI26">
            <v>847086.72275610454</v>
          </cell>
          <cell r="AJ26">
            <v>57434.467096316672</v>
          </cell>
          <cell r="AK26">
            <v>54476.101695418169</v>
          </cell>
          <cell r="AL26">
            <v>72163.163450000036</v>
          </cell>
          <cell r="AM26"/>
          <cell r="AN26">
            <v>184073.73224173492</v>
          </cell>
          <cell r="AO26">
            <v>75267.211000000418</v>
          </cell>
          <cell r="AP26">
            <v>-855.83600000000001</v>
          </cell>
          <cell r="AQ26"/>
          <cell r="AR26"/>
          <cell r="AS26">
            <v>74411.375000000407</v>
          </cell>
          <cell r="AT26">
            <v>3811.0810000000001</v>
          </cell>
          <cell r="AU26">
            <v>-3219.8980000000001</v>
          </cell>
          <cell r="AV26">
            <v>61233.110999999997</v>
          </cell>
          <cell r="AW26"/>
          <cell r="AX26"/>
          <cell r="AY26"/>
          <cell r="AZ26"/>
          <cell r="BA26">
            <v>61824.293999999994</v>
          </cell>
          <cell r="BB26">
            <v>0</v>
          </cell>
          <cell r="BC26">
            <v>-16258.300000000001</v>
          </cell>
          <cell r="BD26">
            <v>0</v>
          </cell>
          <cell r="BE26">
            <v>0</v>
          </cell>
          <cell r="BF26">
            <v>-36069.286999999997</v>
          </cell>
          <cell r="BG26"/>
          <cell r="BH26"/>
          <cell r="BI26"/>
          <cell r="BJ26">
            <v>-52327.587000000007</v>
          </cell>
          <cell r="BK26"/>
          <cell r="BL26"/>
          <cell r="BM26"/>
          <cell r="BN26"/>
          <cell r="BO26"/>
        </row>
        <row r="27">
          <cell r="F27">
            <v>1115068.5369978393</v>
          </cell>
          <cell r="G27">
            <v>93459.976881590526</v>
          </cell>
          <cell r="H27">
            <v>-51370.732592349232</v>
          </cell>
          <cell r="I27">
            <v>-12060.612734281709</v>
          </cell>
          <cell r="J27">
            <v>-97501.120458442165</v>
          </cell>
          <cell r="K27">
            <v>157693.89865901548</v>
          </cell>
          <cell r="L27">
            <v>67040.077904157457</v>
          </cell>
          <cell r="M27">
            <v>13750.604291633026</v>
          </cell>
          <cell r="N27">
            <v>132663.625459965</v>
          </cell>
          <cell r="O27">
            <v>78741.033384411872</v>
          </cell>
          <cell r="P27">
            <v>196581.25188394386</v>
          </cell>
          <cell r="Q27">
            <v>122824.97174950976</v>
          </cell>
          <cell r="R27">
            <v>-34104.177467087524</v>
          </cell>
          <cell r="S27">
            <v>-43062.057891007549</v>
          </cell>
          <cell r="T27">
            <v>31257.821509193323</v>
          </cell>
          <cell r="U27">
            <v>116856.05633023517</v>
          </cell>
          <cell r="V27">
            <v>-10287.394907235057</v>
          </cell>
          <cell r="W27">
            <v>12806.920752851775</v>
          </cell>
          <cell r="X27"/>
          <cell r="Y27"/>
          <cell r="Z27">
            <v>775290.14275610412</v>
          </cell>
          <cell r="AA27">
            <v>43812.606999999996</v>
          </cell>
          <cell r="AB27">
            <v>-640.4190000000001</v>
          </cell>
          <cell r="AC27">
            <v>9028.8140000000003</v>
          </cell>
          <cell r="AD27">
            <v>19595.578000000001</v>
          </cell>
          <cell r="AE27"/>
          <cell r="AF27"/>
          <cell r="AG27"/>
          <cell r="AH27">
            <v>71796.579999999987</v>
          </cell>
          <cell r="AI27">
            <v>847086.72275610408</v>
          </cell>
          <cell r="AJ27">
            <v>57434.467096316672</v>
          </cell>
          <cell r="AK27">
            <v>54476.101695418169</v>
          </cell>
          <cell r="AL27">
            <v>72163.163450000022</v>
          </cell>
          <cell r="AM27"/>
          <cell r="AN27">
            <v>184073.73224173486</v>
          </cell>
          <cell r="AO27">
            <v>75267.211000000418</v>
          </cell>
          <cell r="AP27">
            <v>-855.83600000000001</v>
          </cell>
          <cell r="AQ27"/>
          <cell r="AR27"/>
          <cell r="AS27">
            <v>74411.375000000422</v>
          </cell>
          <cell r="AT27">
            <v>3811.0810000000001</v>
          </cell>
          <cell r="AU27">
            <v>-3219.8980000000001</v>
          </cell>
          <cell r="AV27">
            <v>61233.110999999997</v>
          </cell>
          <cell r="AW27"/>
          <cell r="AX27"/>
          <cell r="AY27"/>
          <cell r="AZ27"/>
          <cell r="BA27">
            <v>61824.293999999994</v>
          </cell>
          <cell r="BB27">
            <v>0</v>
          </cell>
          <cell r="BC27">
            <v>-16258.300000000001</v>
          </cell>
          <cell r="BD27">
            <v>0</v>
          </cell>
          <cell r="BE27">
            <v>0</v>
          </cell>
          <cell r="BF27">
            <v>-36069.286999999997</v>
          </cell>
          <cell r="BG27"/>
          <cell r="BH27"/>
          <cell r="BI27"/>
          <cell r="BJ27">
            <v>-52327.587</v>
          </cell>
          <cell r="BK27"/>
          <cell r="BL27"/>
          <cell r="BM27"/>
          <cell r="BN27"/>
          <cell r="BO27"/>
        </row>
        <row r="28">
          <cell r="F28">
            <v>-2.3283064365386963E-9</v>
          </cell>
          <cell r="G28">
            <v>0</v>
          </cell>
          <cell r="H28">
            <v>5.8207660913467407E-11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/>
          <cell r="Y28"/>
          <cell r="Z28">
            <v>-1.0477378964424133E-9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/>
          <cell r="AN28">
            <v>0</v>
          </cell>
          <cell r="AO28">
            <v>0</v>
          </cell>
          <cell r="AP28">
            <v>0</v>
          </cell>
          <cell r="AQ28"/>
          <cell r="AR28"/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/>
          <cell r="BH28"/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45761</v>
          </cell>
          <cell r="H31">
            <v>28340</v>
          </cell>
          <cell r="I31">
            <v>22882</v>
          </cell>
          <cell r="J31">
            <v>5281</v>
          </cell>
          <cell r="K31">
            <v>23815</v>
          </cell>
          <cell r="L31">
            <v>23910</v>
          </cell>
          <cell r="M31">
            <v>12339</v>
          </cell>
          <cell r="N31">
            <v>21517.5</v>
          </cell>
          <cell r="O31">
            <v>13864</v>
          </cell>
          <cell r="P31">
            <v>17315</v>
          </cell>
          <cell r="Q31">
            <v>14754.5</v>
          </cell>
          <cell r="R31">
            <v>5383</v>
          </cell>
          <cell r="S31">
            <v>22999</v>
          </cell>
          <cell r="T31">
            <v>3533</v>
          </cell>
          <cell r="U31">
            <v>7363</v>
          </cell>
          <cell r="V31">
            <v>6567</v>
          </cell>
          <cell r="W31">
            <v>3261.5</v>
          </cell>
          <cell r="X31">
            <v>0</v>
          </cell>
          <cell r="Y31">
            <v>0</v>
          </cell>
          <cell r="Z31">
            <v>278885.5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278885.5</v>
          </cell>
          <cell r="AJ31">
            <v>27205</v>
          </cell>
          <cell r="AK31">
            <v>27872</v>
          </cell>
          <cell r="AL31">
            <v>29440</v>
          </cell>
          <cell r="AM31"/>
          <cell r="AN31">
            <v>84517</v>
          </cell>
          <cell r="AO31">
            <v>6425.0929999999998</v>
          </cell>
          <cell r="AP31">
            <v>0</v>
          </cell>
          <cell r="AQ31"/>
          <cell r="AR31"/>
          <cell r="AS31">
            <v>6425.0929999999998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/>
          <cell r="BH31"/>
          <cell r="BI31"/>
          <cell r="BJ31">
            <v>0</v>
          </cell>
        </row>
        <row r="32">
          <cell r="F32">
            <v>37167598.560999997</v>
          </cell>
          <cell r="G32">
            <v>4371198.9000000004</v>
          </cell>
          <cell r="H32">
            <v>2766811.3280000002</v>
          </cell>
          <cell r="I32">
            <v>2301326.9279999998</v>
          </cell>
          <cell r="J32">
            <v>486843.60000000003</v>
          </cell>
          <cell r="K32">
            <v>2518160.8659999999</v>
          </cell>
          <cell r="L32">
            <v>2338486.2999999998</v>
          </cell>
          <cell r="M32">
            <v>1225710.2</v>
          </cell>
          <cell r="N32">
            <v>2218105.65</v>
          </cell>
          <cell r="O32">
            <v>1311915.8999999999</v>
          </cell>
          <cell r="P32">
            <v>1843671.1</v>
          </cell>
          <cell r="Q32">
            <v>1474535.9</v>
          </cell>
          <cell r="R32">
            <v>560607.6</v>
          </cell>
          <cell r="S32">
            <v>2225276.8960000002</v>
          </cell>
          <cell r="T32">
            <v>412275.1</v>
          </cell>
          <cell r="U32">
            <v>752761.58</v>
          </cell>
          <cell r="V32">
            <v>648208.73600000003</v>
          </cell>
          <cell r="W32">
            <v>419749.299</v>
          </cell>
          <cell r="X32">
            <v>0</v>
          </cell>
          <cell r="Y32">
            <v>0</v>
          </cell>
          <cell r="Z32">
            <v>27875645.882999998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E32"/>
          <cell r="AF32"/>
          <cell r="AG32"/>
          <cell r="AH32">
            <v>90840</v>
          </cell>
          <cell r="AI32">
            <v>27966485.882999998</v>
          </cell>
          <cell r="AJ32">
            <v>780046</v>
          </cell>
          <cell r="AK32">
            <v>373312</v>
          </cell>
          <cell r="AL32">
            <v>566162</v>
          </cell>
          <cell r="AM32"/>
          <cell r="AN32">
            <v>1719520</v>
          </cell>
          <cell r="AO32">
            <v>7407957.1670000004</v>
          </cell>
          <cell r="AP32">
            <v>0</v>
          </cell>
          <cell r="AQ32"/>
          <cell r="AR32"/>
          <cell r="AS32">
            <v>7407957.1670000004</v>
          </cell>
          <cell r="AT32">
            <v>5250</v>
          </cell>
          <cell r="AU32">
            <v>5450</v>
          </cell>
          <cell r="AV32">
            <v>61233.110999999997</v>
          </cell>
          <cell r="AW32"/>
          <cell r="AX32"/>
          <cell r="AY32"/>
          <cell r="AZ32"/>
          <cell r="BA32">
            <v>71933.111000000004</v>
          </cell>
          <cell r="BB32">
            <v>0</v>
          </cell>
          <cell r="BC32">
            <v>1702.4</v>
          </cell>
          <cell r="BD32">
            <v>0</v>
          </cell>
          <cell r="BE32">
            <v>0</v>
          </cell>
          <cell r="BF32">
            <v>0</v>
          </cell>
          <cell r="BG32"/>
          <cell r="BH32"/>
          <cell r="BI32"/>
          <cell r="BJ32">
            <v>1702.4</v>
          </cell>
        </row>
        <row r="33">
          <cell r="F33">
            <v>33611843.651999995</v>
          </cell>
          <cell r="G33">
            <v>3956695.469</v>
          </cell>
          <cell r="H33">
            <v>2597714.5689999997</v>
          </cell>
          <cell r="I33">
            <v>2129323.8859999999</v>
          </cell>
          <cell r="J33">
            <v>524000.26</v>
          </cell>
          <cell r="K33">
            <v>2166605.5860000001</v>
          </cell>
          <cell r="L33">
            <v>2083102.6189999999</v>
          </cell>
          <cell r="M33">
            <v>1106752.628</v>
          </cell>
          <cell r="N33">
            <v>1916586.1089999999</v>
          </cell>
          <cell r="O33">
            <v>1133027.233</v>
          </cell>
          <cell r="P33">
            <v>1498547.4569999999</v>
          </cell>
          <cell r="Q33">
            <v>1233466.436</v>
          </cell>
          <cell r="R33">
            <v>534280.26199999999</v>
          </cell>
          <cell r="S33">
            <v>2102018.4140000003</v>
          </cell>
          <cell r="T33">
            <v>349473.98299999995</v>
          </cell>
          <cell r="U33">
            <v>585690.8679999999</v>
          </cell>
          <cell r="V33">
            <v>593913.90500000003</v>
          </cell>
          <cell r="W33">
            <v>368332.49400000001</v>
          </cell>
          <cell r="X33">
            <v>0</v>
          </cell>
          <cell r="Y33">
            <v>0</v>
          </cell>
          <cell r="Z33">
            <v>24879532.177999996</v>
          </cell>
          <cell r="AA33">
            <v>6187.393</v>
          </cell>
          <cell r="AB33">
            <v>0</v>
          </cell>
          <cell r="AC33">
            <v>3471.1860000000001</v>
          </cell>
          <cell r="AD33">
            <v>8744.4220000000005</v>
          </cell>
          <cell r="AE33"/>
          <cell r="AF33"/>
          <cell r="AG33"/>
          <cell r="AH33">
            <v>18403.001</v>
          </cell>
          <cell r="AI33">
            <v>24897935.178999994</v>
          </cell>
          <cell r="AJ33">
            <v>703229.42400000012</v>
          </cell>
          <cell r="AK33">
            <v>309780.21400000004</v>
          </cell>
          <cell r="AL33">
            <v>480265.05799999996</v>
          </cell>
          <cell r="AM33"/>
          <cell r="AN33">
            <v>1493274.696</v>
          </cell>
          <cell r="AO33">
            <v>7210524.96</v>
          </cell>
          <cell r="AP33">
            <v>0</v>
          </cell>
          <cell r="AQ33"/>
          <cell r="AR33"/>
          <cell r="AS33">
            <v>7210524.96</v>
          </cell>
          <cell r="AT33">
            <v>1438.9190000000001</v>
          </cell>
          <cell r="AU33">
            <v>8669.898000000001</v>
          </cell>
          <cell r="AV33">
            <v>0</v>
          </cell>
          <cell r="AW33"/>
          <cell r="AX33"/>
          <cell r="AY33"/>
          <cell r="AZ33"/>
          <cell r="BA33">
            <v>10108.817000000001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/>
          <cell r="BH33"/>
          <cell r="BI33"/>
          <cell r="BJ33">
            <v>0</v>
          </cell>
        </row>
        <row r="34">
          <cell r="F34">
            <v>3555754.9090000018</v>
          </cell>
          <cell r="G34">
            <v>414503.43100000033</v>
          </cell>
          <cell r="H34">
            <v>169096.75900000054</v>
          </cell>
          <cell r="I34">
            <v>172003.0419999999</v>
          </cell>
          <cell r="J34">
            <v>-37156.659999999974</v>
          </cell>
          <cell r="K34">
            <v>351555.2799999998</v>
          </cell>
          <cell r="L34">
            <v>255383.68099999987</v>
          </cell>
          <cell r="M34">
            <v>118957.57199999993</v>
          </cell>
          <cell r="N34">
            <v>301519.54099999997</v>
          </cell>
          <cell r="O34">
            <v>178888.6669999999</v>
          </cell>
          <cell r="P34">
            <v>345123.64300000016</v>
          </cell>
          <cell r="Q34">
            <v>241069.46399999992</v>
          </cell>
          <cell r="R34">
            <v>26327.337999999989</v>
          </cell>
          <cell r="S34">
            <v>123258.48199999984</v>
          </cell>
          <cell r="T34">
            <v>62801.117000000027</v>
          </cell>
          <cell r="U34">
            <v>167070.71200000006</v>
          </cell>
          <cell r="V34">
            <v>54294.831000000006</v>
          </cell>
          <cell r="W34">
            <v>51416.804999999993</v>
          </cell>
          <cell r="X34">
            <v>0</v>
          </cell>
          <cell r="Y34">
            <v>0</v>
          </cell>
          <cell r="Z34">
            <v>2996113.7050000019</v>
          </cell>
          <cell r="AA34">
            <v>43812.607000000004</v>
          </cell>
          <cell r="AB34">
            <v>0</v>
          </cell>
          <cell r="AC34">
            <v>9028.8140000000003</v>
          </cell>
          <cell r="AD34">
            <v>19595.578000000001</v>
          </cell>
          <cell r="AE34"/>
          <cell r="AF34"/>
          <cell r="AG34"/>
          <cell r="AH34">
            <v>72436.998999999996</v>
          </cell>
          <cell r="AI34">
            <v>3068550.7040000036</v>
          </cell>
          <cell r="AJ34">
            <v>76816.575999999885</v>
          </cell>
          <cell r="AK34">
            <v>63531.785999999964</v>
          </cell>
          <cell r="AL34">
            <v>85896.942000000039</v>
          </cell>
          <cell r="AM34"/>
          <cell r="AN34">
            <v>226245.304</v>
          </cell>
          <cell r="AO34">
            <v>197432.2070000004</v>
          </cell>
          <cell r="AP34">
            <v>0</v>
          </cell>
          <cell r="AQ34"/>
          <cell r="AR34"/>
          <cell r="AS34">
            <v>197432.2070000004</v>
          </cell>
          <cell r="AT34">
            <v>3811.0810000000001</v>
          </cell>
          <cell r="AU34">
            <v>-3219.898000000001</v>
          </cell>
          <cell r="AV34">
            <v>61233.110999999997</v>
          </cell>
          <cell r="AW34"/>
          <cell r="AX34"/>
          <cell r="AY34"/>
          <cell r="AZ34"/>
          <cell r="BA34">
            <v>61824.294000000002</v>
          </cell>
          <cell r="BB34">
            <v>0</v>
          </cell>
          <cell r="BC34">
            <v>1702.4</v>
          </cell>
          <cell r="BD34">
            <v>0</v>
          </cell>
          <cell r="BE34">
            <v>0</v>
          </cell>
          <cell r="BF34">
            <v>0</v>
          </cell>
          <cell r="BG34"/>
          <cell r="BH34"/>
          <cell r="BI34"/>
          <cell r="BJ34">
            <v>1702.4</v>
          </cell>
        </row>
        <row r="35">
          <cell r="F35">
            <v>2440686.372002162</v>
          </cell>
          <cell r="G35">
            <v>321043.4541184096</v>
          </cell>
          <cell r="H35">
            <v>220467.49159234966</v>
          </cell>
          <cell r="I35">
            <v>184063.65473428174</v>
          </cell>
          <cell r="J35">
            <v>60344.460458442183</v>
          </cell>
          <cell r="K35">
            <v>193861.38134098446</v>
          </cell>
          <cell r="L35">
            <v>188343.60309584238</v>
          </cell>
          <cell r="M35">
            <v>105206.96770836702</v>
          </cell>
          <cell r="N35">
            <v>168855.91554003506</v>
          </cell>
          <cell r="O35">
            <v>100147.63361558804</v>
          </cell>
          <cell r="P35">
            <v>148542.39111605615</v>
          </cell>
          <cell r="Q35">
            <v>118244.49225049022</v>
          </cell>
          <cell r="R35">
            <v>60431.51546708752</v>
          </cell>
          <cell r="S35">
            <v>166320.53989100765</v>
          </cell>
          <cell r="T35">
            <v>31543.295490806689</v>
          </cell>
          <cell r="U35">
            <v>50214.655669764878</v>
          </cell>
          <cell r="V35">
            <v>64582.22590723505</v>
          </cell>
          <cell r="W35">
            <v>38609.884247148213</v>
          </cell>
          <cell r="X35">
            <v>0</v>
          </cell>
          <cell r="Y35">
            <v>0</v>
          </cell>
          <cell r="Z35">
            <v>2220823.5622438965</v>
          </cell>
          <cell r="AA35">
            <v>0</v>
          </cell>
          <cell r="AB35">
            <v>640.4190000000001</v>
          </cell>
          <cell r="AC35">
            <v>0</v>
          </cell>
          <cell r="AD35">
            <v>0</v>
          </cell>
          <cell r="AE35"/>
          <cell r="AF35"/>
          <cell r="AG35"/>
          <cell r="AH35">
            <v>640.4190000000001</v>
          </cell>
          <cell r="AI35">
            <v>2221463.9812438968</v>
          </cell>
          <cell r="AJ35">
            <v>19382.108903683256</v>
          </cell>
          <cell r="AK35">
            <v>9055.6843045817841</v>
          </cell>
          <cell r="AL35">
            <v>13733.778550000001</v>
          </cell>
          <cell r="AM35"/>
          <cell r="AN35">
            <v>42171.57175826504</v>
          </cell>
          <cell r="AO35">
            <v>122164.99599999998</v>
          </cell>
          <cell r="AP35">
            <v>855.83600000000001</v>
          </cell>
          <cell r="AQ35"/>
          <cell r="AR35"/>
          <cell r="AS35">
            <v>123020.83199999998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17960.7</v>
          </cell>
          <cell r="BD35">
            <v>0</v>
          </cell>
          <cell r="BE35">
            <v>0</v>
          </cell>
          <cell r="BF35">
            <v>36069.286999999997</v>
          </cell>
          <cell r="BG35"/>
          <cell r="BH35"/>
          <cell r="BI35"/>
          <cell r="BJ35">
            <v>54029.986999999994</v>
          </cell>
        </row>
        <row r="36">
          <cell r="F36">
            <v>1115068.5369978398</v>
          </cell>
          <cell r="G36">
            <v>93459.97688159073</v>
          </cell>
          <cell r="H36">
            <v>-51370.732592349115</v>
          </cell>
          <cell r="I36">
            <v>-12060.612734281836</v>
          </cell>
          <cell r="J36">
            <v>-97501.120458442165</v>
          </cell>
          <cell r="K36">
            <v>157693.89865901534</v>
          </cell>
          <cell r="L36">
            <v>67040.077904157486</v>
          </cell>
          <cell r="M36">
            <v>13750.604291632902</v>
          </cell>
          <cell r="N36">
            <v>132663.62545996491</v>
          </cell>
          <cell r="O36">
            <v>78741.033384411858</v>
          </cell>
          <cell r="P36">
            <v>196581.251883944</v>
          </cell>
          <cell r="Q36">
            <v>122824.9717495097</v>
          </cell>
          <cell r="R36">
            <v>-34104.177467087531</v>
          </cell>
          <cell r="S36">
            <v>-43062.057891007804</v>
          </cell>
          <cell r="T36">
            <v>31257.821509193338</v>
          </cell>
          <cell r="U36">
            <v>116856.05633023518</v>
          </cell>
          <cell r="V36">
            <v>-10287.394907235044</v>
          </cell>
          <cell r="W36">
            <v>12806.92075285178</v>
          </cell>
          <cell r="X36">
            <v>0</v>
          </cell>
          <cell r="Y36">
            <v>0</v>
          </cell>
          <cell r="Z36">
            <v>775290.1427561054</v>
          </cell>
          <cell r="AA36">
            <v>43812.607000000004</v>
          </cell>
          <cell r="AB36">
            <v>-640.4190000000001</v>
          </cell>
          <cell r="AC36">
            <v>9028.8140000000003</v>
          </cell>
          <cell r="AD36">
            <v>19595.578000000001</v>
          </cell>
          <cell r="AE36"/>
          <cell r="AF36"/>
          <cell r="AG36"/>
          <cell r="AH36">
            <v>71796.58</v>
          </cell>
          <cell r="AI36">
            <v>847086.72275610687</v>
          </cell>
          <cell r="AJ36">
            <v>57434.467096316628</v>
          </cell>
          <cell r="AK36">
            <v>54476.101695418183</v>
          </cell>
          <cell r="AL36">
            <v>72163.163450000036</v>
          </cell>
          <cell r="AM36"/>
          <cell r="AN36">
            <v>184073.73224173498</v>
          </cell>
          <cell r="AO36">
            <v>75267.211000000418</v>
          </cell>
          <cell r="AP36">
            <v>-855.83600000000001</v>
          </cell>
          <cell r="AQ36"/>
          <cell r="AR36"/>
          <cell r="AS36">
            <v>74411.375000000422</v>
          </cell>
          <cell r="AT36">
            <v>3811.0810000000001</v>
          </cell>
          <cell r="AU36">
            <v>-3219.898000000001</v>
          </cell>
          <cell r="AV36">
            <v>61233.110999999997</v>
          </cell>
          <cell r="AW36"/>
          <cell r="AX36"/>
          <cell r="AY36"/>
          <cell r="AZ36"/>
          <cell r="BA36">
            <v>61824.294000000002</v>
          </cell>
          <cell r="BB36">
            <v>0</v>
          </cell>
          <cell r="BC36">
            <v>-16258.300000000001</v>
          </cell>
          <cell r="BD36">
            <v>0</v>
          </cell>
          <cell r="BE36">
            <v>0</v>
          </cell>
          <cell r="BF36">
            <v>-36069.286999999997</v>
          </cell>
          <cell r="BG36"/>
          <cell r="BH36"/>
          <cell r="BI36"/>
          <cell r="BJ36">
            <v>-52327.586999999992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-17960</v>
          </cell>
          <cell r="AK38">
            <v>-12976</v>
          </cell>
          <cell r="AL38">
            <v>-24800</v>
          </cell>
          <cell r="AM38"/>
          <cell r="AN38">
            <v>-55736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-1215354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-518456</v>
          </cell>
          <cell r="AK39">
            <v>-203632</v>
          </cell>
          <cell r="AL39">
            <v>-493266</v>
          </cell>
          <cell r="AM39"/>
          <cell r="AN39">
            <v>-1215354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-1215354</v>
          </cell>
          <cell r="G40"/>
          <cell r="H40"/>
          <cell r="I40"/>
          <cell r="J40"/>
          <cell r="K40">
            <v>-104771.19</v>
          </cell>
          <cell r="L40">
            <v>-79020.570000000007</v>
          </cell>
          <cell r="M40">
            <v>-5517.8819999999996</v>
          </cell>
          <cell r="N40">
            <v>-7048.5249999999996</v>
          </cell>
          <cell r="O40">
            <v>-2779.9569999999999</v>
          </cell>
          <cell r="P40">
            <v>-1099.306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-200237.43000000002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-200237.43000000002</v>
          </cell>
          <cell r="AJ40">
            <v>-465129.28399999999</v>
          </cell>
          <cell r="AK40">
            <v>-145554.12700000001</v>
          </cell>
          <cell r="AL40">
            <v>-404433.15899999999</v>
          </cell>
          <cell r="AM40"/>
          <cell r="AN40">
            <v>-1015116.57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104771.19</v>
          </cell>
          <cell r="L41">
            <v>79020.570000000007</v>
          </cell>
          <cell r="M41">
            <v>5517.8819999999996</v>
          </cell>
          <cell r="N41">
            <v>7048.5249999999996</v>
          </cell>
          <cell r="O41">
            <v>2779.9569999999999</v>
          </cell>
          <cell r="P41">
            <v>1099.306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200237.43000000002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200237.43000000002</v>
          </cell>
          <cell r="AJ41">
            <v>-53326.716000000015</v>
          </cell>
          <cell r="AK41">
            <v>-58077.872999999992</v>
          </cell>
          <cell r="AL41">
            <v>-88832.841000000015</v>
          </cell>
          <cell r="AM41"/>
          <cell r="AN41">
            <v>-200237.43000000005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/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104771.19</v>
          </cell>
          <cell r="L43">
            <v>79020.570000000007</v>
          </cell>
          <cell r="M43">
            <v>5517.8819999999996</v>
          </cell>
          <cell r="N43">
            <v>7048.5249999999996</v>
          </cell>
          <cell r="O43">
            <v>2779.9569999999999</v>
          </cell>
          <cell r="P43">
            <v>1099.306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200237.43000000002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200237.43000000002</v>
          </cell>
          <cell r="AJ43">
            <v>-53326.716000000015</v>
          </cell>
          <cell r="AK43">
            <v>-58077.872999999992</v>
          </cell>
          <cell r="AL43">
            <v>-88832.841000000015</v>
          </cell>
          <cell r="AM43"/>
          <cell r="AN43">
            <v>-200237.43000000005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/>
          <cell r="BH43"/>
          <cell r="BI43"/>
          <cell r="BJ43">
            <v>0</v>
          </cell>
        </row>
        <row r="45">
          <cell r="F45"/>
          <cell r="G45">
            <v>45761</v>
          </cell>
          <cell r="H45">
            <v>28340</v>
          </cell>
          <cell r="I45">
            <v>22882</v>
          </cell>
          <cell r="J45">
            <v>5281</v>
          </cell>
          <cell r="K45">
            <v>23815</v>
          </cell>
          <cell r="L45">
            <v>23910</v>
          </cell>
          <cell r="M45">
            <v>12339</v>
          </cell>
          <cell r="N45">
            <v>21517.5</v>
          </cell>
          <cell r="O45">
            <v>13864</v>
          </cell>
          <cell r="P45">
            <v>17315</v>
          </cell>
          <cell r="Q45">
            <v>14754.5</v>
          </cell>
          <cell r="R45">
            <v>5383</v>
          </cell>
          <cell r="S45">
            <v>22999</v>
          </cell>
          <cell r="T45">
            <v>3533</v>
          </cell>
          <cell r="U45">
            <v>7363</v>
          </cell>
          <cell r="V45">
            <v>6567</v>
          </cell>
          <cell r="W45">
            <v>3261.5</v>
          </cell>
          <cell r="X45">
            <v>0</v>
          </cell>
          <cell r="Y45">
            <v>0</v>
          </cell>
          <cell r="Z45">
            <v>278885.5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278885.5</v>
          </cell>
          <cell r="AJ45">
            <v>9245</v>
          </cell>
          <cell r="AK45">
            <v>14896</v>
          </cell>
          <cell r="AL45">
            <v>4640</v>
          </cell>
          <cell r="AM45"/>
          <cell r="AN45">
            <v>28781</v>
          </cell>
          <cell r="AO45">
            <v>6425.0929999999998</v>
          </cell>
          <cell r="AP45">
            <v>0</v>
          </cell>
          <cell r="AQ45"/>
          <cell r="AR45"/>
          <cell r="AS45">
            <v>6425.0929999999998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/>
          <cell r="BH45"/>
          <cell r="BI45"/>
          <cell r="BJ45">
            <v>0</v>
          </cell>
        </row>
        <row r="46">
          <cell r="F46">
            <v>35952244.560999997</v>
          </cell>
          <cell r="G46">
            <v>4371198.9000000004</v>
          </cell>
          <cell r="H46">
            <v>2766811.3280000002</v>
          </cell>
          <cell r="I46">
            <v>2301326.9279999998</v>
          </cell>
          <cell r="J46">
            <v>486843.60000000003</v>
          </cell>
          <cell r="K46">
            <v>2518160.8659999999</v>
          </cell>
          <cell r="L46">
            <v>2338486.2999999998</v>
          </cell>
          <cell r="M46">
            <v>1225710.2</v>
          </cell>
          <cell r="N46">
            <v>2218105.65</v>
          </cell>
          <cell r="O46">
            <v>1311915.8999999999</v>
          </cell>
          <cell r="P46">
            <v>1843671.1</v>
          </cell>
          <cell r="Q46">
            <v>1474535.9</v>
          </cell>
          <cell r="R46">
            <v>560607.6</v>
          </cell>
          <cell r="S46">
            <v>2225276.8960000002</v>
          </cell>
          <cell r="T46">
            <v>412275.1</v>
          </cell>
          <cell r="U46">
            <v>752761.58</v>
          </cell>
          <cell r="V46">
            <v>648208.73600000003</v>
          </cell>
          <cell r="W46">
            <v>419749.299</v>
          </cell>
          <cell r="X46">
            <v>0</v>
          </cell>
          <cell r="Y46">
            <v>0</v>
          </cell>
          <cell r="Z46">
            <v>27875645.882999998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E46"/>
          <cell r="AF46"/>
          <cell r="AG46"/>
          <cell r="AH46">
            <v>90840</v>
          </cell>
          <cell r="AI46">
            <v>27966485.882999998</v>
          </cell>
          <cell r="AJ46">
            <v>261590</v>
          </cell>
          <cell r="AK46">
            <v>169680</v>
          </cell>
          <cell r="AL46">
            <v>72896</v>
          </cell>
          <cell r="AM46"/>
          <cell r="AN46">
            <v>504166</v>
          </cell>
          <cell r="AO46">
            <v>7407957.1670000004</v>
          </cell>
          <cell r="AP46">
            <v>0</v>
          </cell>
          <cell r="AQ46"/>
          <cell r="AR46"/>
          <cell r="AS46">
            <v>7407957.1670000004</v>
          </cell>
          <cell r="AT46">
            <v>5250</v>
          </cell>
          <cell r="AU46">
            <v>5450</v>
          </cell>
          <cell r="AV46">
            <v>61233.110999999997</v>
          </cell>
          <cell r="AW46"/>
          <cell r="AX46"/>
          <cell r="AY46"/>
          <cell r="AZ46"/>
          <cell r="BA46">
            <v>71933.111000000004</v>
          </cell>
          <cell r="BB46">
            <v>0</v>
          </cell>
          <cell r="BC46">
            <v>1702.4</v>
          </cell>
          <cell r="BD46">
            <v>0</v>
          </cell>
          <cell r="BE46">
            <v>0</v>
          </cell>
          <cell r="BF46">
            <v>0</v>
          </cell>
          <cell r="BG46"/>
          <cell r="BH46"/>
          <cell r="BI46"/>
          <cell r="BJ46">
            <v>1702.4</v>
          </cell>
        </row>
        <row r="47">
          <cell r="F47">
            <v>32396489.652000003</v>
          </cell>
          <cell r="G47">
            <v>3956695.469</v>
          </cell>
          <cell r="H47">
            <v>2597714.5689999997</v>
          </cell>
          <cell r="I47">
            <v>2129323.8859999999</v>
          </cell>
          <cell r="J47">
            <v>524000.26</v>
          </cell>
          <cell r="K47">
            <v>2061834.3960000002</v>
          </cell>
          <cell r="L47">
            <v>2004082.0489999999</v>
          </cell>
          <cell r="M47">
            <v>1101234.746</v>
          </cell>
          <cell r="N47">
            <v>1909537.584</v>
          </cell>
          <cell r="O47">
            <v>1130247.2760000001</v>
          </cell>
          <cell r="P47">
            <v>1497448.1509999998</v>
          </cell>
          <cell r="Q47">
            <v>1233466.436</v>
          </cell>
          <cell r="R47">
            <v>534280.26199999999</v>
          </cell>
          <cell r="S47">
            <v>2102018.4140000003</v>
          </cell>
          <cell r="T47">
            <v>349473.98299999995</v>
          </cell>
          <cell r="U47">
            <v>585690.8679999999</v>
          </cell>
          <cell r="V47">
            <v>593913.90500000003</v>
          </cell>
          <cell r="W47">
            <v>368332.49400000001</v>
          </cell>
          <cell r="X47">
            <v>0</v>
          </cell>
          <cell r="Y47">
            <v>0</v>
          </cell>
          <cell r="Z47">
            <v>24679294.748</v>
          </cell>
          <cell r="AA47">
            <v>6187.393</v>
          </cell>
          <cell r="AB47">
            <v>0</v>
          </cell>
          <cell r="AC47">
            <v>3471.1860000000001</v>
          </cell>
          <cell r="AD47">
            <v>8744.4220000000005</v>
          </cell>
          <cell r="AE47"/>
          <cell r="AF47"/>
          <cell r="AG47"/>
          <cell r="AH47">
            <v>18403.001</v>
          </cell>
          <cell r="AI47">
            <v>24697697.748999998</v>
          </cell>
          <cell r="AJ47">
            <v>238100.14000000013</v>
          </cell>
          <cell r="AK47">
            <v>164226.08700000003</v>
          </cell>
          <cell r="AL47">
            <v>75831.898999999976</v>
          </cell>
          <cell r="AM47"/>
          <cell r="AN47">
            <v>478158.12600000016</v>
          </cell>
          <cell r="AO47">
            <v>7210524.96</v>
          </cell>
          <cell r="AP47">
            <v>0</v>
          </cell>
          <cell r="AQ47"/>
          <cell r="AR47"/>
          <cell r="AS47">
            <v>7210524.96</v>
          </cell>
          <cell r="AT47">
            <v>1438.9190000000001</v>
          </cell>
          <cell r="AU47">
            <v>8669.898000000001</v>
          </cell>
          <cell r="AV47">
            <v>0</v>
          </cell>
          <cell r="AW47"/>
          <cell r="AX47"/>
          <cell r="AY47"/>
          <cell r="AZ47"/>
          <cell r="BA47">
            <v>10108.817000000001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/>
          <cell r="BH47"/>
          <cell r="BI47"/>
          <cell r="BJ47">
            <v>0</v>
          </cell>
        </row>
        <row r="48">
          <cell r="F48">
            <v>3555754.9089999944</v>
          </cell>
          <cell r="G48">
            <v>414503.43100000033</v>
          </cell>
          <cell r="H48">
            <v>169096.75900000054</v>
          </cell>
          <cell r="I48">
            <v>172003.0419999999</v>
          </cell>
          <cell r="J48">
            <v>-37156.659999999974</v>
          </cell>
          <cell r="K48">
            <v>456326.46999999974</v>
          </cell>
          <cell r="L48">
            <v>334404.25099999993</v>
          </cell>
          <cell r="M48">
            <v>124475.45399999991</v>
          </cell>
          <cell r="N48">
            <v>308568.06599999988</v>
          </cell>
          <cell r="O48">
            <v>181668.62399999984</v>
          </cell>
          <cell r="P48">
            <v>346222.94900000026</v>
          </cell>
          <cell r="Q48">
            <v>241069.46399999992</v>
          </cell>
          <cell r="R48">
            <v>26327.337999999989</v>
          </cell>
          <cell r="S48">
            <v>123258.48199999984</v>
          </cell>
          <cell r="T48">
            <v>62801.117000000027</v>
          </cell>
          <cell r="U48">
            <v>167070.71200000006</v>
          </cell>
          <cell r="V48">
            <v>54294.831000000006</v>
          </cell>
          <cell r="W48">
            <v>51416.804999999993</v>
          </cell>
          <cell r="X48">
            <v>0</v>
          </cell>
          <cell r="Y48">
            <v>0</v>
          </cell>
          <cell r="Z48">
            <v>3196351.1349999979</v>
          </cell>
          <cell r="AA48">
            <v>43812.607000000004</v>
          </cell>
          <cell r="AB48">
            <v>0</v>
          </cell>
          <cell r="AC48">
            <v>9028.8140000000003</v>
          </cell>
          <cell r="AD48">
            <v>19595.578000000001</v>
          </cell>
          <cell r="AE48"/>
          <cell r="AF48"/>
          <cell r="AG48"/>
          <cell r="AH48">
            <v>72436.998999999996</v>
          </cell>
          <cell r="AI48">
            <v>3268788.1339999996</v>
          </cell>
          <cell r="AJ48">
            <v>23489.85999999987</v>
          </cell>
          <cell r="AK48">
            <v>5453.9129999999714</v>
          </cell>
          <cell r="AL48">
            <v>-2935.8989999999758</v>
          </cell>
          <cell r="AM48"/>
          <cell r="AN48">
            <v>26007.873999999836</v>
          </cell>
          <cell r="AO48">
            <v>197432.2070000004</v>
          </cell>
          <cell r="AP48">
            <v>0</v>
          </cell>
          <cell r="AQ48"/>
          <cell r="AR48"/>
          <cell r="AS48">
            <v>197432.2070000004</v>
          </cell>
          <cell r="AT48">
            <v>3811.0810000000001</v>
          </cell>
          <cell r="AU48">
            <v>-3219.898000000001</v>
          </cell>
          <cell r="AV48">
            <v>61233.110999999997</v>
          </cell>
          <cell r="AW48"/>
          <cell r="AX48"/>
          <cell r="AY48"/>
          <cell r="AZ48"/>
          <cell r="BA48">
            <v>61824.294000000002</v>
          </cell>
          <cell r="BB48">
            <v>0</v>
          </cell>
          <cell r="BC48">
            <v>1702.4</v>
          </cell>
          <cell r="BD48">
            <v>0</v>
          </cell>
          <cell r="BE48">
            <v>0</v>
          </cell>
          <cell r="BF48">
            <v>0</v>
          </cell>
          <cell r="BG48"/>
          <cell r="BH48"/>
          <cell r="BI48"/>
          <cell r="BJ48">
            <v>1702.4</v>
          </cell>
        </row>
        <row r="49">
          <cell r="F49">
            <v>2440686.372002162</v>
          </cell>
          <cell r="G49">
            <v>321043.4541184096</v>
          </cell>
          <cell r="H49">
            <v>220467.49159234966</v>
          </cell>
          <cell r="I49">
            <v>184063.65473428174</v>
          </cell>
          <cell r="J49">
            <v>60344.460458442183</v>
          </cell>
          <cell r="K49">
            <v>193861.38134098446</v>
          </cell>
          <cell r="L49">
            <v>188343.60309584238</v>
          </cell>
          <cell r="M49">
            <v>105206.96770836702</v>
          </cell>
          <cell r="N49">
            <v>168855.91554003506</v>
          </cell>
          <cell r="O49">
            <v>100147.63361558804</v>
          </cell>
          <cell r="P49">
            <v>148542.39111605615</v>
          </cell>
          <cell r="Q49">
            <v>118244.49225049022</v>
          </cell>
          <cell r="R49">
            <v>60431.51546708752</v>
          </cell>
          <cell r="S49">
            <v>166320.53989100765</v>
          </cell>
          <cell r="T49">
            <v>31543.295490806689</v>
          </cell>
          <cell r="U49">
            <v>50214.655669764878</v>
          </cell>
          <cell r="V49">
            <v>64582.22590723505</v>
          </cell>
          <cell r="W49">
            <v>38609.884247148213</v>
          </cell>
          <cell r="X49">
            <v>0</v>
          </cell>
          <cell r="Y49">
            <v>0</v>
          </cell>
          <cell r="Z49">
            <v>2220823.5622438965</v>
          </cell>
          <cell r="AA49">
            <v>0</v>
          </cell>
          <cell r="AB49">
            <v>640.4190000000001</v>
          </cell>
          <cell r="AC49">
            <v>0</v>
          </cell>
          <cell r="AD49">
            <v>0</v>
          </cell>
          <cell r="AE49"/>
          <cell r="AF49"/>
          <cell r="AG49"/>
          <cell r="AH49">
            <v>640.4190000000001</v>
          </cell>
          <cell r="AI49">
            <v>2221463.9812438968</v>
          </cell>
          <cell r="AJ49">
            <v>19382.108903683256</v>
          </cell>
          <cell r="AK49">
            <v>9055.6843045817841</v>
          </cell>
          <cell r="AL49">
            <v>13733.778550000001</v>
          </cell>
          <cell r="AM49"/>
          <cell r="AN49">
            <v>42171.57175826504</v>
          </cell>
          <cell r="AO49">
            <v>122164.99599999998</v>
          </cell>
          <cell r="AP49">
            <v>855.83600000000001</v>
          </cell>
          <cell r="AQ49"/>
          <cell r="AR49"/>
          <cell r="AS49">
            <v>123020.83199999998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17960.7</v>
          </cell>
          <cell r="BD49">
            <v>0</v>
          </cell>
          <cell r="BE49">
            <v>0</v>
          </cell>
          <cell r="BF49">
            <v>36069.286999999997</v>
          </cell>
          <cell r="BG49"/>
          <cell r="BH49"/>
          <cell r="BI49"/>
          <cell r="BJ49">
            <v>54029.986999999994</v>
          </cell>
        </row>
        <row r="50">
          <cell r="F50">
            <v>1115068.5369978324</v>
          </cell>
          <cell r="G50">
            <v>93459.97688159073</v>
          </cell>
          <cell r="H50">
            <v>-51370.732592349115</v>
          </cell>
          <cell r="I50">
            <v>-12060.612734281836</v>
          </cell>
          <cell r="J50">
            <v>-97501.120458442165</v>
          </cell>
          <cell r="K50">
            <v>262465.08865901525</v>
          </cell>
          <cell r="L50">
            <v>146060.64790415755</v>
          </cell>
          <cell r="M50">
            <v>19268.486291632886</v>
          </cell>
          <cell r="N50">
            <v>139712.15045996482</v>
          </cell>
          <cell r="O50">
            <v>81520.990384411794</v>
          </cell>
          <cell r="P50">
            <v>197680.5578839441</v>
          </cell>
          <cell r="Q50">
            <v>122824.9717495097</v>
          </cell>
          <cell r="R50">
            <v>-34104.177467087531</v>
          </cell>
          <cell r="S50">
            <v>-43062.057891007804</v>
          </cell>
          <cell r="T50">
            <v>31257.821509193338</v>
          </cell>
          <cell r="U50">
            <v>116856.05633023518</v>
          </cell>
          <cell r="V50">
            <v>-10287.394907235044</v>
          </cell>
          <cell r="W50">
            <v>12806.92075285178</v>
          </cell>
          <cell r="X50">
            <v>0</v>
          </cell>
          <cell r="Y50">
            <v>0</v>
          </cell>
          <cell r="Z50">
            <v>975527.57275610138</v>
          </cell>
          <cell r="AA50">
            <v>43812.607000000004</v>
          </cell>
          <cell r="AB50">
            <v>-640.4190000000001</v>
          </cell>
          <cell r="AC50">
            <v>9028.8140000000003</v>
          </cell>
          <cell r="AD50">
            <v>19595.578000000001</v>
          </cell>
          <cell r="AE50"/>
          <cell r="AF50"/>
          <cell r="AG50"/>
          <cell r="AH50">
            <v>71796.58</v>
          </cell>
          <cell r="AI50">
            <v>1047324.1527561028</v>
          </cell>
          <cell r="AJ50">
            <v>4107.7510963166133</v>
          </cell>
          <cell r="AK50">
            <v>-3601.7713045818127</v>
          </cell>
          <cell r="AL50">
            <v>-16669.677549999979</v>
          </cell>
          <cell r="AM50"/>
          <cell r="AN50">
            <v>-16163.697758265203</v>
          </cell>
          <cell r="AO50">
            <v>75267.211000000418</v>
          </cell>
          <cell r="AP50">
            <v>-855.83600000000001</v>
          </cell>
          <cell r="AQ50"/>
          <cell r="AR50"/>
          <cell r="AS50">
            <v>74411.375000000422</v>
          </cell>
          <cell r="AT50">
            <v>3811.0810000000001</v>
          </cell>
          <cell r="AU50">
            <v>-3219.898000000001</v>
          </cell>
          <cell r="AV50">
            <v>61233.110999999997</v>
          </cell>
          <cell r="AW50"/>
          <cell r="AX50"/>
          <cell r="AY50"/>
          <cell r="AZ50"/>
          <cell r="BA50">
            <v>61824.294000000002</v>
          </cell>
          <cell r="BB50">
            <v>0</v>
          </cell>
          <cell r="BC50">
            <v>-16258.300000000001</v>
          </cell>
          <cell r="BD50">
            <v>0</v>
          </cell>
          <cell r="BE50">
            <v>0</v>
          </cell>
          <cell r="BF50">
            <v>-36069.286999999997</v>
          </cell>
          <cell r="BG50"/>
          <cell r="BH50"/>
          <cell r="BI50"/>
          <cell r="BJ50">
            <v>-52327.586999999992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5">
        <row r="6">
          <cell r="F6" t="str">
            <v>합계</v>
          </cell>
        </row>
      </sheetData>
      <sheetData sheetId="6">
        <row r="6">
          <cell r="F6" t="str">
            <v>합계</v>
          </cell>
        </row>
      </sheetData>
      <sheetData sheetId="7">
        <row r="6">
          <cell r="F6" t="str">
            <v>합계</v>
          </cell>
        </row>
      </sheetData>
      <sheetData sheetId="8">
        <row r="6">
          <cell r="F6" t="str">
            <v>합계</v>
          </cell>
        </row>
      </sheetData>
      <sheetData sheetId="9">
        <row r="6">
          <cell r="F6" t="str">
            <v>합계</v>
          </cell>
        </row>
      </sheetData>
      <sheetData sheetId="10"/>
      <sheetData sheetId="11">
        <row r="6">
          <cell r="F6" t="str">
            <v>합계</v>
          </cell>
        </row>
      </sheetData>
      <sheetData sheetId="12"/>
      <sheetData sheetId="13">
        <row r="6">
          <cell r="F6" t="str">
            <v>합계</v>
          </cell>
        </row>
      </sheetData>
      <sheetData sheetId="14">
        <row r="6">
          <cell r="F6" t="str">
            <v>합계</v>
          </cell>
        </row>
      </sheetData>
      <sheetData sheetId="15"/>
      <sheetData sheetId="16"/>
      <sheetData sheetId="17"/>
      <sheetData sheetId="18"/>
      <sheetData sheetId="19"/>
      <sheetData sheetId="20"/>
      <sheetData sheetId="21">
        <row r="6">
          <cell r="F6" t="str">
            <v>합계</v>
          </cell>
        </row>
      </sheetData>
      <sheetData sheetId="22"/>
      <sheetData sheetId="23">
        <row r="6">
          <cell r="F6" t="str">
            <v>합계</v>
          </cell>
        </row>
      </sheetData>
      <sheetData sheetId="24"/>
      <sheetData sheetId="25">
        <row r="6">
          <cell r="F6" t="str">
            <v>합계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5">
          <cell r="T5">
            <v>207000</v>
          </cell>
          <cell r="U5">
            <v>177879.5</v>
          </cell>
        </row>
        <row r="9">
          <cell r="E9">
            <v>281.23503643885573</v>
          </cell>
          <cell r="F9">
            <v>294.47040858538753</v>
          </cell>
          <cell r="G9">
            <v>100717.48744840163</v>
          </cell>
          <cell r="H9">
            <v>100475.79705265554</v>
          </cell>
        </row>
        <row r="10">
          <cell r="E10">
            <v>30.309045905764382</v>
          </cell>
          <cell r="F10">
            <v>30.320447420068756</v>
          </cell>
          <cell r="G10">
            <v>92882.768371721177</v>
          </cell>
          <cell r="H10">
            <v>95993.504702437698</v>
          </cell>
        </row>
        <row r="11">
          <cell r="E11">
            <v>0</v>
          </cell>
          <cell r="F11">
            <v>1.1572566847152821</v>
          </cell>
        </row>
        <row r="12">
          <cell r="E12">
            <v>28.693057081136715</v>
          </cell>
          <cell r="F12">
            <v>28.671367565385633</v>
          </cell>
          <cell r="G12">
            <v>63711.834954982376</v>
          </cell>
          <cell r="H12">
            <v>63255.13281133023</v>
          </cell>
        </row>
        <row r="13">
          <cell r="E13">
            <v>23.181669730225114</v>
          </cell>
          <cell r="F13">
            <v>21.863700068204277</v>
          </cell>
          <cell r="G13">
            <v>39952.631529767663</v>
          </cell>
          <cell r="H13">
            <v>36128.08618097099</v>
          </cell>
        </row>
        <row r="14">
          <cell r="E14">
            <v>0</v>
          </cell>
          <cell r="F14">
            <v>0</v>
          </cell>
        </row>
        <row r="15">
          <cell r="E15">
            <v>363.41880915598193</v>
          </cell>
          <cell r="F15">
            <v>376.48318032376147</v>
          </cell>
        </row>
        <row r="16">
          <cell r="E16">
            <v>821.53014268303639</v>
          </cell>
          <cell r="F16">
            <v>812.62652378102257</v>
          </cell>
          <cell r="G16">
            <v>13246.90942118643</v>
          </cell>
          <cell r="H16">
            <v>12833.660475065786</v>
          </cell>
        </row>
        <row r="17">
          <cell r="E17">
            <v>900.887584624336</v>
          </cell>
          <cell r="F17">
            <v>909.13681008309788</v>
          </cell>
          <cell r="G17">
            <v>16014.368937442558</v>
          </cell>
          <cell r="H17">
            <v>15932.276908775986</v>
          </cell>
        </row>
        <row r="19">
          <cell r="E19">
            <v>3.1028121525118371</v>
          </cell>
          <cell r="F19">
            <v>3.174973762231533</v>
          </cell>
        </row>
        <row r="20">
          <cell r="Q20">
            <v>61818.793058725038</v>
          </cell>
          <cell r="R20">
            <v>62905.646039280087</v>
          </cell>
        </row>
        <row r="21">
          <cell r="Q21">
            <v>18143.173716356701</v>
          </cell>
          <cell r="R21">
            <v>19451.975101262473</v>
          </cell>
        </row>
        <row r="22">
          <cell r="Q22">
            <v>373.64734299516908</v>
          </cell>
          <cell r="R22">
            <v>343.7209080912545</v>
          </cell>
        </row>
        <row r="50">
          <cell r="Q50">
            <v>91988.450656476009</v>
          </cell>
          <cell r="R50">
            <v>94581.98327464053</v>
          </cell>
        </row>
        <row r="56">
          <cell r="L56">
            <v>-453291.21150202304</v>
          </cell>
        </row>
        <row r="61">
          <cell r="T61">
            <v>100559.86996429774</v>
          </cell>
          <cell r="U61">
            <v>100932.18102189782</v>
          </cell>
        </row>
        <row r="80">
          <cell r="H80">
            <v>650415.15000000014</v>
          </cell>
          <cell r="I80">
            <v>689119.11800000002</v>
          </cell>
          <cell r="L80">
            <v>-38703.967999999899</v>
          </cell>
        </row>
        <row r="85">
          <cell r="H85">
            <v>377543.55957345659</v>
          </cell>
          <cell r="I85">
            <v>415257.60489000008</v>
          </cell>
          <cell r="L85">
            <v>-37714.045316543503</v>
          </cell>
          <cell r="Q85">
            <v>100559.86996429774</v>
          </cell>
          <cell r="R85">
            <v>100932.18102189782</v>
          </cell>
        </row>
        <row r="86">
          <cell r="H86">
            <v>742725.08714564727</v>
          </cell>
          <cell r="I86">
            <v>23138.241000001086</v>
          </cell>
          <cell r="K86">
            <v>65926.049746889505</v>
          </cell>
          <cell r="M86">
            <v>-255803.67107396573</v>
          </cell>
        </row>
        <row r="89">
          <cell r="Q89">
            <v>80335.614118076905</v>
          </cell>
          <cell r="R89">
            <v>82701.342048633815</v>
          </cell>
        </row>
        <row r="90">
          <cell r="Q90">
            <v>20224.25584622084</v>
          </cell>
          <cell r="R90">
            <v>18230.838973264006</v>
          </cell>
        </row>
      </sheetData>
      <sheetData sheetId="1">
        <row r="5">
          <cell r="T5">
            <v>76000</v>
          </cell>
          <cell r="U5">
            <v>56928.5</v>
          </cell>
        </row>
        <row r="9">
          <cell r="E9">
            <v>308.5858552631579</v>
          </cell>
          <cell r="F9">
            <v>312.80067775194129</v>
          </cell>
          <cell r="G9">
            <v>100000</v>
          </cell>
          <cell r="H9">
            <v>99821.116777813979</v>
          </cell>
        </row>
        <row r="10">
          <cell r="E10">
            <v>6.3322368421052628</v>
          </cell>
          <cell r="F10">
            <v>26.657605756153202</v>
          </cell>
          <cell r="G10">
            <v>98000</v>
          </cell>
          <cell r="H10">
            <v>102002.90580022598</v>
          </cell>
        </row>
        <row r="11">
          <cell r="E11">
            <v>0</v>
          </cell>
          <cell r="F11">
            <v>2.754564647040759</v>
          </cell>
        </row>
        <row r="12">
          <cell r="E12">
            <v>35.521052631578947</v>
          </cell>
          <cell r="F12">
            <v>20.943603913482217</v>
          </cell>
          <cell r="G12">
            <v>64214.52437398133</v>
          </cell>
          <cell r="H12">
            <v>64236.040972402538</v>
          </cell>
        </row>
        <row r="13">
          <cell r="E13">
            <v>19.624078947368425</v>
          </cell>
          <cell r="F13">
            <v>21.097940420304479</v>
          </cell>
          <cell r="G13">
            <v>47288.291103169438</v>
          </cell>
          <cell r="H13">
            <v>41094.850889990506</v>
          </cell>
        </row>
        <row r="14">
          <cell r="E14">
            <v>0</v>
          </cell>
          <cell r="F14">
            <v>0</v>
          </cell>
        </row>
        <row r="15">
          <cell r="E15">
            <v>370.06322368421053</v>
          </cell>
          <cell r="F15">
            <v>384.25439248892195</v>
          </cell>
        </row>
        <row r="16">
          <cell r="E16">
            <v>866.21046609659174</v>
          </cell>
          <cell r="F16">
            <v>847.92067950686612</v>
          </cell>
          <cell r="G16">
            <v>15863.425072532249</v>
          </cell>
          <cell r="H16">
            <v>15734.506085519592</v>
          </cell>
        </row>
        <row r="17">
          <cell r="E17">
            <v>866.76357295555806</v>
          </cell>
          <cell r="F17">
            <v>872.23871569341418</v>
          </cell>
          <cell r="G17">
            <v>14263.953132327637</v>
          </cell>
          <cell r="H17">
            <v>14233.837697582188</v>
          </cell>
        </row>
        <row r="19">
          <cell r="E19">
            <v>3.2201315789473686</v>
          </cell>
          <cell r="F19">
            <v>3.1342882463914346</v>
          </cell>
        </row>
        <row r="20">
          <cell r="Q20">
            <v>63548.575412676604</v>
          </cell>
          <cell r="R20">
            <v>64936.68547361032</v>
          </cell>
        </row>
        <row r="21">
          <cell r="Q21">
            <v>17826.560270101789</v>
          </cell>
          <cell r="R21">
            <v>19904.34077128943</v>
          </cell>
        </row>
        <row r="22">
          <cell r="Q22">
            <v>460.59210526315792</v>
          </cell>
          <cell r="R22">
            <v>488.96596323432635</v>
          </cell>
        </row>
        <row r="50">
          <cell r="Q50">
            <v>91609.675081734327</v>
          </cell>
          <cell r="R50">
            <v>97530.530039924546</v>
          </cell>
        </row>
        <row r="56">
          <cell r="L56">
            <v>-333802.23476159107</v>
          </cell>
        </row>
        <row r="61">
          <cell r="T61">
            <v>97486.591313220357</v>
          </cell>
          <cell r="U61">
            <v>99000.138823260757</v>
          </cell>
        </row>
        <row r="80">
          <cell r="H80">
            <v>214701.87</v>
          </cell>
          <cell r="I80">
            <v>232934.80800000002</v>
          </cell>
          <cell r="L80">
            <v>-18232.938000000013</v>
          </cell>
        </row>
        <row r="85">
          <cell r="H85">
            <v>103542.78457280001</v>
          </cell>
          <cell r="I85">
            <v>104268.45918999999</v>
          </cell>
          <cell r="L85">
            <v>-725.67461719998391</v>
          </cell>
          <cell r="Q85">
            <v>97486.591313220357</v>
          </cell>
          <cell r="R85">
            <v>99000.138823260757</v>
          </cell>
        </row>
        <row r="86">
          <cell r="H86">
            <v>124800.97902013714</v>
          </cell>
          <cell r="I86">
            <v>-252974.0999999996</v>
          </cell>
          <cell r="K86">
            <v>86163.989425334919</v>
          </cell>
          <cell r="M86">
            <v>-111178.22106668027</v>
          </cell>
        </row>
        <row r="89">
          <cell r="Q89">
            <v>81835.72778804155</v>
          </cell>
          <cell r="R89">
            <v>85329.992208134077</v>
          </cell>
        </row>
        <row r="90">
          <cell r="Q90">
            <v>15650.863525178807</v>
          </cell>
          <cell r="R90">
            <v>13670.14661512668</v>
          </cell>
        </row>
      </sheetData>
      <sheetData sheetId="2">
        <row r="5">
          <cell r="T5">
            <v>97000</v>
          </cell>
          <cell r="U5">
            <v>81123</v>
          </cell>
        </row>
        <row r="9">
          <cell r="E9">
            <v>248.67059322518699</v>
          </cell>
          <cell r="F9">
            <v>259.96896878817637</v>
          </cell>
          <cell r="G9">
            <v>100000</v>
          </cell>
          <cell r="H9">
            <v>100006.44093670257</v>
          </cell>
        </row>
        <row r="10">
          <cell r="E10">
            <v>58.662087654569362</v>
          </cell>
          <cell r="F10">
            <v>43.762782116080196</v>
          </cell>
          <cell r="G10">
            <v>92426.251256288597</v>
          </cell>
          <cell r="H10">
            <v>93074.093682693783</v>
          </cell>
        </row>
        <row r="11">
          <cell r="E11">
            <v>0</v>
          </cell>
          <cell r="F11">
            <v>0.60950487460176783</v>
          </cell>
        </row>
        <row r="12">
          <cell r="E12">
            <v>25.036008410260834</v>
          </cell>
          <cell r="F12">
            <v>37.45582425084438</v>
          </cell>
          <cell r="G12">
            <v>62843.757926138001</v>
          </cell>
          <cell r="H12">
            <v>62461.590678987304</v>
          </cell>
        </row>
        <row r="13">
          <cell r="E13">
            <v>27.466759115016497</v>
          </cell>
          <cell r="F13">
            <v>26.338969866098168</v>
          </cell>
          <cell r="G13">
            <v>35546.148282854112</v>
          </cell>
          <cell r="H13">
            <v>33186.343089234244</v>
          </cell>
        </row>
        <row r="14">
          <cell r="E14">
            <v>0</v>
          </cell>
          <cell r="F14">
            <v>0</v>
          </cell>
        </row>
        <row r="15">
          <cell r="E15">
            <v>359.83544840503367</v>
          </cell>
          <cell r="F15">
            <v>368.13604989580091</v>
          </cell>
        </row>
        <row r="16">
          <cell r="E16">
            <v>794.20973311389264</v>
          </cell>
          <cell r="F16">
            <v>816.54949158023351</v>
          </cell>
          <cell r="G16">
            <v>10933.987501371219</v>
          </cell>
          <cell r="H16">
            <v>10660.498534158884</v>
          </cell>
        </row>
        <row r="17">
          <cell r="E17">
            <v>916.44493270737246</v>
          </cell>
          <cell r="F17">
            <v>901.49821544063082</v>
          </cell>
          <cell r="G17">
            <v>17690.819627688452</v>
          </cell>
          <cell r="H17">
            <v>17615.842775070734</v>
          </cell>
        </row>
        <row r="19">
          <cell r="E19">
            <v>3.1551145935046416</v>
          </cell>
          <cell r="F19">
            <v>3.1791000550937802</v>
          </cell>
        </row>
        <row r="20">
          <cell r="Q20">
            <v>60409.168708281475</v>
          </cell>
          <cell r="R20">
            <v>60652.965003473299</v>
          </cell>
        </row>
        <row r="21">
          <cell r="Q21">
            <v>18776.773543515013</v>
          </cell>
          <cell r="R21">
            <v>19890.95257144226</v>
          </cell>
        </row>
        <row r="22">
          <cell r="Q22">
            <v>297.31958762886597</v>
          </cell>
          <cell r="R22">
            <v>258.99142453349936</v>
          </cell>
        </row>
        <row r="50">
          <cell r="Q50">
            <v>91317.253580688674</v>
          </cell>
          <cell r="R50">
            <v>92540.674551464763</v>
          </cell>
        </row>
        <row r="56">
          <cell r="L56">
            <v>-92046.899211731157</v>
          </cell>
        </row>
        <row r="61">
          <cell r="T61">
            <v>100500.1554928339</v>
          </cell>
          <cell r="U61">
            <v>100960.81481298667</v>
          </cell>
        </row>
        <row r="80">
          <cell r="H80">
            <v>320373.18</v>
          </cell>
          <cell r="I80">
            <v>336795.29099999997</v>
          </cell>
          <cell r="L80">
            <v>-16422.110999999964</v>
          </cell>
        </row>
        <row r="85">
          <cell r="H85">
            <v>187162.95149175363</v>
          </cell>
          <cell r="I85">
            <v>224073.98537000004</v>
          </cell>
          <cell r="L85">
            <v>-36911.03387824641</v>
          </cell>
          <cell r="Q85">
            <v>100500.1554928339</v>
          </cell>
          <cell r="R85">
            <v>100960.81481298667</v>
          </cell>
        </row>
        <row r="86">
          <cell r="H86">
            <v>383205.35398633283</v>
          </cell>
          <cell r="I86">
            <v>128766.09600000092</v>
          </cell>
          <cell r="K86">
            <v>37330.449327220194</v>
          </cell>
          <cell r="M86">
            <v>-146389.66322357394</v>
          </cell>
        </row>
        <row r="89">
          <cell r="Q89">
            <v>79483.261839425351</v>
          </cell>
          <cell r="R89">
            <v>80802.90899944905</v>
          </cell>
        </row>
        <row r="90">
          <cell r="Q90">
            <v>21016.893653408551</v>
          </cell>
          <cell r="R90">
            <v>20157.905813537625</v>
          </cell>
        </row>
      </sheetData>
      <sheetData sheetId="3"/>
      <sheetData sheetId="4">
        <row r="5">
          <cell r="T5">
            <v>34000</v>
          </cell>
          <cell r="U5">
            <v>39828</v>
          </cell>
        </row>
        <row r="9">
          <cell r="E9">
            <v>313.00235294117647</v>
          </cell>
          <cell r="F9">
            <v>341.39378523421328</v>
          </cell>
          <cell r="G9">
            <v>103924.89062288575</v>
          </cell>
          <cell r="H9">
            <v>102111.90535250182</v>
          </cell>
        </row>
        <row r="10">
          <cell r="E10">
            <v>3.0147058823529411</v>
          </cell>
          <cell r="F10">
            <v>6.9722984334670706</v>
          </cell>
          <cell r="G10">
            <v>94200</v>
          </cell>
          <cell r="H10">
            <v>101634.09845458218</v>
          </cell>
        </row>
        <row r="11">
          <cell r="E11">
            <v>0</v>
          </cell>
          <cell r="F11">
            <v>0</v>
          </cell>
        </row>
        <row r="12">
          <cell r="E12">
            <v>23.863823529411761</v>
          </cell>
          <cell r="F12">
            <v>21.181087884286111</v>
          </cell>
          <cell r="G12">
            <v>64637.502002785412</v>
          </cell>
          <cell r="H12">
            <v>64836.913982439146</v>
          </cell>
        </row>
        <row r="13">
          <cell r="E13">
            <v>18.908823529411762</v>
          </cell>
          <cell r="F13">
            <v>13.429893690424475</v>
          </cell>
          <cell r="G13">
            <v>41196.158033908861</v>
          </cell>
          <cell r="H13">
            <v>37076.111882519341</v>
          </cell>
        </row>
        <row r="14">
          <cell r="E14">
            <v>0</v>
          </cell>
          <cell r="F14">
            <v>0</v>
          </cell>
        </row>
        <row r="15">
          <cell r="E15">
            <v>358.78970588235291</v>
          </cell>
          <cell r="F15">
            <v>382.97706524239095</v>
          </cell>
        </row>
        <row r="16">
          <cell r="E16">
            <v>799.60000000000014</v>
          </cell>
          <cell r="F16">
            <v>752.8607753443564</v>
          </cell>
          <cell r="G16">
            <v>13465.151938714454</v>
          </cell>
          <cell r="H16">
            <v>13105.230701969214</v>
          </cell>
        </row>
        <row r="17">
          <cell r="E17">
            <v>932.7805882352942</v>
          </cell>
          <cell r="F17">
            <v>979.1662620428815</v>
          </cell>
          <cell r="G17">
            <v>14951.089955039293</v>
          </cell>
          <cell r="H17">
            <v>14828.159904457058</v>
          </cell>
        </row>
        <row r="19">
          <cell r="E19">
            <v>2.6913529411764707</v>
          </cell>
          <cell r="F19">
            <v>3.2254156551072044</v>
          </cell>
        </row>
        <row r="20">
          <cell r="Q20">
            <v>61973.796090863492</v>
          </cell>
          <cell r="R20">
            <v>64754.605836804578</v>
          </cell>
        </row>
        <row r="21">
          <cell r="Q21">
            <v>17043.274854033672</v>
          </cell>
          <cell r="R21">
            <v>17856.592624773199</v>
          </cell>
        </row>
        <row r="22">
          <cell r="Q22">
            <v>397.05882352941177</v>
          </cell>
          <cell r="R22">
            <v>313.00298995681169</v>
          </cell>
        </row>
        <row r="50">
          <cell r="Q50">
            <v>94750.01124564487</v>
          </cell>
          <cell r="R50">
            <v>94643.8642508497</v>
          </cell>
        </row>
        <row r="56">
          <cell r="L56">
            <v>4216.441113433717</v>
          </cell>
        </row>
        <row r="61">
          <cell r="T61">
            <v>107599.91352941176</v>
          </cell>
          <cell r="U61">
            <v>103685.34203595265</v>
          </cell>
        </row>
        <row r="80">
          <cell r="H80">
            <v>115340.1</v>
          </cell>
          <cell r="I80">
            <v>119389.019</v>
          </cell>
          <cell r="L80">
            <v>-4048.9190000000031</v>
          </cell>
        </row>
        <row r="85">
          <cell r="H85">
            <v>86837.823508902977</v>
          </cell>
          <cell r="I85">
            <v>86915.160330000013</v>
          </cell>
          <cell r="L85">
            <v>-77.336821097032953</v>
          </cell>
          <cell r="Q85">
            <v>107599.91352941176</v>
          </cell>
          <cell r="R85">
            <v>103685.34203595265</v>
          </cell>
        </row>
        <row r="86">
          <cell r="H86">
            <v>234718.75413917151</v>
          </cell>
          <cell r="I86">
            <v>147346.24499999982</v>
          </cell>
          <cell r="K86">
            <v>-153087.14739470536</v>
          </cell>
          <cell r="M86">
            <v>65624.452963197487</v>
          </cell>
        </row>
        <row r="89">
          <cell r="Q89">
            <v>79414.129768426574</v>
          </cell>
          <cell r="R89">
            <v>82924.201451534595</v>
          </cell>
        </row>
        <row r="90">
          <cell r="Q90">
            <v>28185.783760985185</v>
          </cell>
          <cell r="R90">
            <v>20761.140584418055</v>
          </cell>
        </row>
      </sheetData>
      <sheetData sheetId="5">
        <row r="5">
          <cell r="T5">
            <v>30000</v>
          </cell>
          <cell r="U5">
            <v>27197</v>
          </cell>
        </row>
        <row r="9">
          <cell r="E9">
            <v>320</v>
          </cell>
          <cell r="F9">
            <v>321.48164172519017</v>
          </cell>
          <cell r="G9">
            <v>100000</v>
          </cell>
          <cell r="H9">
            <v>99706.824381628132</v>
          </cell>
        </row>
        <row r="10">
          <cell r="E10">
            <v>0</v>
          </cell>
          <cell r="F10">
            <v>13.169283744530643</v>
          </cell>
          <cell r="G10">
            <v>0</v>
          </cell>
          <cell r="H10">
            <v>102199.99156254825</v>
          </cell>
        </row>
        <row r="11">
          <cell r="E11">
            <v>0</v>
          </cell>
          <cell r="F11">
            <v>5.771297569584882</v>
          </cell>
        </row>
        <row r="12">
          <cell r="E12">
            <v>37</v>
          </cell>
          <cell r="F12">
            <v>21.121008199433774</v>
          </cell>
          <cell r="G12">
            <v>64099.999999999993</v>
          </cell>
          <cell r="H12">
            <v>64189.977070409783</v>
          </cell>
        </row>
        <row r="13">
          <cell r="E13">
            <v>15</v>
          </cell>
          <cell r="F13">
            <v>22.353020186049925</v>
          </cell>
          <cell r="G13">
            <v>46100</v>
          </cell>
          <cell r="H13">
            <v>40029.383729108333</v>
          </cell>
        </row>
        <row r="14">
          <cell r="E14">
            <v>0</v>
          </cell>
          <cell r="F14">
            <v>0</v>
          </cell>
        </row>
        <row r="15">
          <cell r="E15">
            <v>372</v>
          </cell>
          <cell r="F15">
            <v>383.8962514247894</v>
          </cell>
        </row>
        <row r="16">
          <cell r="E16">
            <v>848</v>
          </cell>
          <cell r="F16">
            <v>857.28977460749297</v>
          </cell>
          <cell r="G16">
            <v>15800</v>
          </cell>
          <cell r="H16">
            <v>15709.243038277635</v>
          </cell>
        </row>
        <row r="17">
          <cell r="E17">
            <v>872</v>
          </cell>
          <cell r="F17">
            <v>854.83012832297572</v>
          </cell>
          <cell r="G17">
            <v>15032.258064516131</v>
          </cell>
          <cell r="H17">
            <v>15108.981081401371</v>
          </cell>
        </row>
        <row r="19">
          <cell r="E19">
            <v>3.39</v>
          </cell>
          <cell r="F19">
            <v>3.2102272309445867</v>
          </cell>
        </row>
        <row r="20">
          <cell r="Q20">
            <v>64731.109032258057</v>
          </cell>
          <cell r="R20">
            <v>65414.954369967279</v>
          </cell>
        </row>
        <row r="21">
          <cell r="Q21">
            <v>17452.181649122806</v>
          </cell>
          <cell r="R21">
            <v>19056.941059675697</v>
          </cell>
        </row>
        <row r="22">
          <cell r="Q22">
            <v>383.33333333333337</v>
          </cell>
          <cell r="R22">
            <v>297.20903040776557</v>
          </cell>
        </row>
        <row r="50">
          <cell r="Q50">
            <v>89859.171781953104</v>
          </cell>
          <cell r="R50">
            <v>92526.295436996734</v>
          </cell>
        </row>
        <row r="56">
          <cell r="L56">
            <v>-72537.750126221203</v>
          </cell>
        </row>
        <row r="80">
          <cell r="H80">
            <v>67348.929999999993</v>
          </cell>
          <cell r="I80">
            <v>71642.523000000001</v>
          </cell>
          <cell r="L80">
            <v>-4293.5930000000008</v>
          </cell>
        </row>
        <row r="85">
          <cell r="H85">
            <v>29313.37911111111</v>
          </cell>
          <cell r="I85">
            <v>30132.181920000003</v>
          </cell>
          <cell r="L85">
            <v>-818.8028088888907</v>
          </cell>
          <cell r="Q85">
            <v>98219.130999999979</v>
          </cell>
          <cell r="R85">
            <v>99506.196823179038</v>
          </cell>
        </row>
        <row r="86">
          <cell r="H86">
            <v>154136.46743029472</v>
          </cell>
          <cell r="I86">
            <v>88057.685000000449</v>
          </cell>
          <cell r="K86">
            <v>35004.329193000856</v>
          </cell>
          <cell r="M86">
            <v>-23432.965688185388</v>
          </cell>
        </row>
        <row r="89">
          <cell r="Q89">
            <v>82566.624014714194</v>
          </cell>
          <cell r="R89">
            <v>84769.104460050745</v>
          </cell>
        </row>
      </sheetData>
      <sheetData sheetId="6">
        <row r="5">
          <cell r="T5">
            <v>25000</v>
          </cell>
          <cell r="U5">
            <v>15904</v>
          </cell>
        </row>
        <row r="9">
          <cell r="E9">
            <v>308</v>
          </cell>
          <cell r="F9">
            <v>320.72273337515657</v>
          </cell>
          <cell r="G9">
            <v>100000</v>
          </cell>
          <cell r="H9">
            <v>99877.725777189582</v>
          </cell>
        </row>
        <row r="10">
          <cell r="E10">
            <v>19.25</v>
          </cell>
          <cell r="F10">
            <v>39.865118569636145</v>
          </cell>
          <cell r="G10">
            <v>98000</v>
          </cell>
          <cell r="H10">
            <v>102121.56270550888</v>
          </cell>
        </row>
        <row r="11">
          <cell r="E11">
            <v>0</v>
          </cell>
          <cell r="F11">
            <v>0</v>
          </cell>
        </row>
        <row r="12">
          <cell r="E12">
            <v>38.5</v>
          </cell>
          <cell r="F12">
            <v>22.076336260978675</v>
          </cell>
          <cell r="G12">
            <v>64400.000000000007</v>
          </cell>
          <cell r="H12">
            <v>64524.155945720435</v>
          </cell>
        </row>
        <row r="13">
          <cell r="E13">
            <v>19.25</v>
          </cell>
          <cell r="F13">
            <v>21.338399623588472</v>
          </cell>
          <cell r="G13">
            <v>47600</v>
          </cell>
          <cell r="H13">
            <v>41325.037428621137</v>
          </cell>
        </row>
        <row r="14">
          <cell r="E14">
            <v>0</v>
          </cell>
          <cell r="F14">
            <v>0</v>
          </cell>
        </row>
        <row r="15">
          <cell r="E15">
            <v>385</v>
          </cell>
          <cell r="F15">
            <v>404.00258782935987</v>
          </cell>
        </row>
        <row r="16">
          <cell r="E16">
            <v>904.67981693363856</v>
          </cell>
          <cell r="F16">
            <v>877.93789962358801</v>
          </cell>
          <cell r="G16">
            <v>16000</v>
          </cell>
          <cell r="H16">
            <v>15916.354915886472</v>
          </cell>
        </row>
        <row r="17">
          <cell r="E17">
            <v>835.0890617848969</v>
          </cell>
          <cell r="F17">
            <v>838.08485677540784</v>
          </cell>
          <cell r="G17">
            <v>14318.131256952171</v>
          </cell>
          <cell r="H17">
            <v>13990.937421969997</v>
          </cell>
        </row>
        <row r="19">
          <cell r="E19">
            <v>3.33</v>
          </cell>
          <cell r="F19">
            <v>3.0904222082810548</v>
          </cell>
        </row>
        <row r="20">
          <cell r="Q20">
            <v>65311.191868819413</v>
          </cell>
          <cell r="R20">
            <v>66879.048117942279</v>
          </cell>
        </row>
        <row r="21">
          <cell r="Q21">
            <v>17753.832852233678</v>
          </cell>
          <cell r="R21">
            <v>20880.235257214554</v>
          </cell>
        </row>
        <row r="22">
          <cell r="Q22">
            <v>600</v>
          </cell>
          <cell r="R22">
            <v>941.55319949811803</v>
          </cell>
        </row>
        <row r="50">
          <cell r="Q50">
            <v>92716.088419929176</v>
          </cell>
          <cell r="R50">
            <v>102157.96116687579</v>
          </cell>
        </row>
        <row r="56">
          <cell r="L56">
            <v>-148595.87945944609</v>
          </cell>
        </row>
        <row r="80">
          <cell r="H80">
            <v>60493.929999999993</v>
          </cell>
          <cell r="I80">
            <v>69543.555999999997</v>
          </cell>
          <cell r="L80">
            <v>-9049.6260000000002</v>
          </cell>
        </row>
        <row r="85">
          <cell r="H85">
            <v>34961.551795022235</v>
          </cell>
          <cell r="I85">
            <v>35463.118310000005</v>
          </cell>
          <cell r="L85">
            <v>-501.56651497776897</v>
          </cell>
          <cell r="Q85">
            <v>97359.534736189962</v>
          </cell>
          <cell r="R85">
            <v>100747.09519617706</v>
          </cell>
        </row>
        <row r="86">
          <cell r="H86">
            <v>18630.676111497021</v>
          </cell>
          <cell r="I86">
            <v>-127149.74199999994</v>
          </cell>
          <cell r="K86">
            <v>53875.761555634839</v>
          </cell>
          <cell r="M86">
            <v>-41509.107692707912</v>
          </cell>
        </row>
        <row r="89">
          <cell r="Q89">
            <v>83665.024721053094</v>
          </cell>
          <cell r="R89">
            <v>88700.836574654953</v>
          </cell>
        </row>
      </sheetData>
      <sheetData sheetId="7">
        <row r="5">
          <cell r="T5">
            <v>14000</v>
          </cell>
          <cell r="U5">
            <v>8443</v>
          </cell>
        </row>
        <row r="9">
          <cell r="E9">
            <v>300.96607142857141</v>
          </cell>
          <cell r="F9">
            <v>266.59960113622924</v>
          </cell>
          <cell r="G9">
            <v>100000</v>
          </cell>
          <cell r="H9">
            <v>99999.998668146494</v>
          </cell>
        </row>
        <row r="10">
          <cell r="E10">
            <v>0</v>
          </cell>
          <cell r="F10">
            <v>62.185113031127941</v>
          </cell>
          <cell r="G10">
            <v>0</v>
          </cell>
          <cell r="H10">
            <v>101725.04285385122</v>
          </cell>
        </row>
        <row r="11">
          <cell r="E11">
            <v>0</v>
          </cell>
          <cell r="F11">
            <v>0</v>
          </cell>
        </row>
        <row r="12">
          <cell r="E12">
            <v>29.792857142857144</v>
          </cell>
          <cell r="F12">
            <v>12.924844360279323</v>
          </cell>
          <cell r="G12">
            <v>64300</v>
          </cell>
          <cell r="H12">
            <v>64120.019402573264</v>
          </cell>
        </row>
        <row r="13">
          <cell r="E13">
            <v>25.012857142857143</v>
          </cell>
          <cell r="F13">
            <v>11.845561604923663</v>
          </cell>
          <cell r="G13">
            <v>48199.999999999993</v>
          </cell>
          <cell r="H13">
            <v>43973.346162665737</v>
          </cell>
        </row>
        <row r="14">
          <cell r="E14">
            <v>0</v>
          </cell>
          <cell r="F14">
            <v>0</v>
          </cell>
        </row>
        <row r="15">
          <cell r="E15">
            <v>355.77178571428567</v>
          </cell>
          <cell r="F15">
            <v>353.55512013256015</v>
          </cell>
        </row>
        <row r="16">
          <cell r="E16">
            <v>864.64285714285711</v>
          </cell>
          <cell r="F16">
            <v>765.35447982009794</v>
          </cell>
          <cell r="G16">
            <v>16333.333333333332</v>
          </cell>
          <cell r="H16">
            <v>16178.530514282866</v>
          </cell>
        </row>
        <row r="17">
          <cell r="E17">
            <v>867.98607142857145</v>
          </cell>
          <cell r="F17">
            <v>967.27600899514732</v>
          </cell>
          <cell r="G17">
            <v>12580.645161290324</v>
          </cell>
          <cell r="H17">
            <v>11990.659178967553</v>
          </cell>
        </row>
        <row r="19">
          <cell r="E19">
            <v>2.87</v>
          </cell>
          <cell r="F19">
            <v>2.9590129009350208</v>
          </cell>
        </row>
        <row r="20">
          <cell r="Q20">
            <v>60326.632341013821</v>
          </cell>
          <cell r="R20">
            <v>60548.95159190437</v>
          </cell>
        </row>
        <row r="21">
          <cell r="Q21">
            <v>18669.473139909736</v>
          </cell>
          <cell r="R21">
            <v>18983.220144395786</v>
          </cell>
        </row>
        <row r="22">
          <cell r="Q22">
            <v>360.71428571428572</v>
          </cell>
          <cell r="R22">
            <v>280.43957864836079</v>
          </cell>
        </row>
        <row r="50">
          <cell r="Q50">
            <v>92133.177540322271</v>
          </cell>
          <cell r="R50">
            <v>98645.5349745532</v>
          </cell>
        </row>
        <row r="56">
          <cell r="L56">
            <v>-55011.837567058887</v>
          </cell>
        </row>
        <row r="80">
          <cell r="H80">
            <v>50358.34</v>
          </cell>
          <cell r="I80">
            <v>54212.025000000001</v>
          </cell>
          <cell r="L80">
            <v>-3853.6850000000022</v>
          </cell>
        </row>
        <row r="85">
          <cell r="H85">
            <v>21048.774222222222</v>
          </cell>
          <cell r="I85">
            <v>20612.66646</v>
          </cell>
          <cell r="L85">
            <v>436.10776222222194</v>
          </cell>
          <cell r="Q85">
            <v>96266.345814285713</v>
          </cell>
          <cell r="R85">
            <v>94891.839393580478</v>
          </cell>
        </row>
        <row r="86">
          <cell r="H86">
            <v>-13542.758386734153</v>
          </cell>
          <cell r="I86">
            <v>-106545.14699999988</v>
          </cell>
          <cell r="K86">
            <v>-11604.957710014296</v>
          </cell>
          <cell r="M86">
            <v>-22968.016098414781</v>
          </cell>
        </row>
        <row r="89">
          <cell r="Q89">
            <v>79356.81976663784</v>
          </cell>
          <cell r="R89">
            <v>79812.611314948517</v>
          </cell>
        </row>
      </sheetData>
      <sheetData sheetId="8">
        <row r="5">
          <cell r="T5">
            <v>7000</v>
          </cell>
          <cell r="U5">
            <v>5384.5</v>
          </cell>
        </row>
        <row r="9">
          <cell r="E9">
            <v>277</v>
          </cell>
          <cell r="F9">
            <v>317.98536273510615</v>
          </cell>
          <cell r="G9">
            <v>100000</v>
          </cell>
          <cell r="H9">
            <v>99999.998251756406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30</v>
          </cell>
          <cell r="F12">
            <v>29.25823033447605</v>
          </cell>
          <cell r="G12">
            <v>63800</v>
          </cell>
          <cell r="H12">
            <v>63841.742750299505</v>
          </cell>
        </row>
        <row r="13">
          <cell r="E13">
            <v>30</v>
          </cell>
          <cell r="F13">
            <v>28.548329472806437</v>
          </cell>
          <cell r="G13">
            <v>47600</v>
          </cell>
          <cell r="H13">
            <v>42921.085964227444</v>
          </cell>
        </row>
        <row r="14">
          <cell r="E14">
            <v>0</v>
          </cell>
          <cell r="F14">
            <v>0</v>
          </cell>
        </row>
        <row r="15">
          <cell r="E15">
            <v>337</v>
          </cell>
          <cell r="F15">
            <v>375.79192254238859</v>
          </cell>
        </row>
        <row r="16">
          <cell r="E16">
            <v>810</v>
          </cell>
          <cell r="F16">
            <v>841.30825535069039</v>
          </cell>
          <cell r="G16">
            <v>14600</v>
          </cell>
          <cell r="H16">
            <v>14671.295912883359</v>
          </cell>
        </row>
        <row r="17">
          <cell r="E17">
            <v>955</v>
          </cell>
          <cell r="F17">
            <v>912.0615213564347</v>
          </cell>
          <cell r="G17">
            <v>14148.064457890969</v>
          </cell>
          <cell r="H17">
            <v>14484.000414470718</v>
          </cell>
        </row>
        <row r="19">
          <cell r="E19">
            <v>2.8</v>
          </cell>
          <cell r="F19">
            <v>3.1555637913462435</v>
          </cell>
        </row>
        <row r="20">
          <cell r="Q20">
            <v>58629.401557285877</v>
          </cell>
          <cell r="R20">
            <v>63658.676364310202</v>
          </cell>
        </row>
        <row r="21">
          <cell r="Q21">
            <v>18004.955112781954</v>
          </cell>
          <cell r="R21">
            <v>22734.604836468079</v>
          </cell>
        </row>
        <row r="22">
          <cell r="Q22">
            <v>493.57142857142856</v>
          </cell>
          <cell r="R22">
            <v>445.01380524413969</v>
          </cell>
        </row>
        <row r="50">
          <cell r="Q50">
            <v>94113.350955782109</v>
          </cell>
          <cell r="R50">
            <v>107336.55980728249</v>
          </cell>
        </row>
        <row r="56">
          <cell r="L56">
            <v>-69961.384421448354</v>
          </cell>
        </row>
        <row r="80">
          <cell r="H80">
            <v>36500.67</v>
          </cell>
          <cell r="I80">
            <v>37536.703999999998</v>
          </cell>
          <cell r="L80">
            <v>-1036.0339999999999</v>
          </cell>
        </row>
        <row r="85">
          <cell r="H85">
            <v>18219.079444444447</v>
          </cell>
          <cell r="I85">
            <v>18060.4925</v>
          </cell>
          <cell r="L85">
            <v>158.586944444447</v>
          </cell>
          <cell r="Q85">
            <v>97241.400000000009</v>
          </cell>
          <cell r="R85">
            <v>97726.022100473565</v>
          </cell>
        </row>
        <row r="86">
          <cell r="H86">
            <v>-34423.406134919278</v>
          </cell>
          <cell r="I86">
            <v>-107336.8960000001</v>
          </cell>
          <cell r="K86">
            <v>2609.4476999998633</v>
          </cell>
          <cell r="M86">
            <v>-4684.1060880768055</v>
          </cell>
        </row>
        <row r="89">
          <cell r="Q89">
            <v>77127.92809863927</v>
          </cell>
          <cell r="R89">
            <v>86838.29500602241</v>
          </cell>
        </row>
      </sheetData>
      <sheetData sheetId="9">
        <row r="5">
          <cell r="T5">
            <v>17000</v>
          </cell>
          <cell r="U5">
            <v>13731</v>
          </cell>
        </row>
        <row r="9">
          <cell r="E9">
            <v>219.92167058823534</v>
          </cell>
          <cell r="F9">
            <v>198.60184806269049</v>
          </cell>
          <cell r="G9">
            <v>100000.00000000001</v>
          </cell>
          <cell r="H9">
            <v>100000.00255742265</v>
          </cell>
        </row>
        <row r="10">
          <cell r="E10">
            <v>136.50310588235294</v>
          </cell>
          <cell r="F10">
            <v>154.76291975039905</v>
          </cell>
          <cell r="G10">
            <v>92900</v>
          </cell>
          <cell r="H10">
            <v>93277.355767142668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22.750517647058828</v>
          </cell>
          <cell r="F13">
            <v>20.703090262661448</v>
          </cell>
          <cell r="G13">
            <v>36500</v>
          </cell>
          <cell r="H13">
            <v>34633.411650839778</v>
          </cell>
        </row>
        <row r="14">
          <cell r="E14">
            <v>0</v>
          </cell>
          <cell r="F14">
            <v>0</v>
          </cell>
        </row>
        <row r="15">
          <cell r="E15">
            <v>379.17529411764713</v>
          </cell>
          <cell r="F15">
            <v>374.06785807575102</v>
          </cell>
        </row>
        <row r="16">
          <cell r="E16">
            <v>820</v>
          </cell>
          <cell r="F16">
            <v>900.08707009142427</v>
          </cell>
          <cell r="G16">
            <v>11711.806666666664</v>
          </cell>
          <cell r="H16">
            <v>11722.772833534857</v>
          </cell>
        </row>
        <row r="17">
          <cell r="E17">
            <v>900.04205882352937</v>
          </cell>
          <cell r="F17">
            <v>820.05514439123522</v>
          </cell>
          <cell r="G17">
            <v>18098.115365425943</v>
          </cell>
          <cell r="H17">
            <v>18394.531498849756</v>
          </cell>
        </row>
        <row r="19">
          <cell r="E19">
            <v>3.2259863741176473</v>
          </cell>
          <cell r="F19">
            <v>3.0687345813379761</v>
          </cell>
        </row>
        <row r="20">
          <cell r="Q20">
            <v>64338.120058472741</v>
          </cell>
          <cell r="R20">
            <v>63439.443622115803</v>
          </cell>
        </row>
        <row r="21">
          <cell r="Q21">
            <v>20074.067287581704</v>
          </cell>
          <cell r="R21">
            <v>21107.705557974168</v>
          </cell>
        </row>
        <row r="22">
          <cell r="Q22">
            <v>411.76470588235293</v>
          </cell>
          <cell r="R22">
            <v>148.21716731969238</v>
          </cell>
        </row>
        <row r="50">
          <cell r="Q50">
            <v>96830.322616953825</v>
          </cell>
          <cell r="R50">
            <v>96034.970033376871</v>
          </cell>
        </row>
        <row r="56">
          <cell r="L56">
            <v>40888.096743392991</v>
          </cell>
        </row>
        <row r="80">
          <cell r="H80">
            <v>46261.66</v>
          </cell>
          <cell r="I80">
            <v>53079.100999999995</v>
          </cell>
          <cell r="L80">
            <v>-6817.4409999999971</v>
          </cell>
        </row>
        <row r="85">
          <cell r="H85">
            <v>46858.586555555557</v>
          </cell>
          <cell r="I85">
            <v>77537.196890000007</v>
          </cell>
          <cell r="L85">
            <v>-30678.610334444442</v>
          </cell>
          <cell r="Q85">
            <v>107700.25336352941</v>
          </cell>
          <cell r="R85">
            <v>105326.38555094313</v>
          </cell>
        </row>
        <row r="86">
          <cell r="H86">
            <v>91668.576136229385</v>
          </cell>
          <cell r="I86">
            <v>26931.239000000103</v>
          </cell>
          <cell r="K86">
            <v>-32595.578934622194</v>
          </cell>
          <cell r="M86">
            <v>-35533.803610555595</v>
          </cell>
        </row>
        <row r="89">
          <cell r="Q89">
            <v>84823.952051936794</v>
          </cell>
          <cell r="R89">
            <v>84695.366347409654</v>
          </cell>
        </row>
      </sheetData>
      <sheetData sheetId="10">
        <row r="5">
          <cell r="T5">
            <v>15000</v>
          </cell>
          <cell r="U5">
            <v>12446</v>
          </cell>
        </row>
        <row r="9">
          <cell r="E9">
            <v>251</v>
          </cell>
          <cell r="F9">
            <v>284.6289150943395</v>
          </cell>
          <cell r="G9">
            <v>100000</v>
          </cell>
          <cell r="H9">
            <v>100025.38534888587</v>
          </cell>
        </row>
        <row r="10">
          <cell r="E10">
            <v>60</v>
          </cell>
          <cell r="F10">
            <v>13.086122641509439</v>
          </cell>
          <cell r="G10">
            <v>92100</v>
          </cell>
          <cell r="H10">
            <v>92099.957126245194</v>
          </cell>
        </row>
        <row r="11">
          <cell r="E11">
            <v>0</v>
          </cell>
          <cell r="F11">
            <v>0</v>
          </cell>
        </row>
        <row r="12">
          <cell r="E12">
            <v>29</v>
          </cell>
          <cell r="F12">
            <v>38.895623989218336</v>
          </cell>
          <cell r="G12">
            <v>65000</v>
          </cell>
          <cell r="H12">
            <v>64006.230234049908</v>
          </cell>
        </row>
        <row r="13">
          <cell r="E13">
            <v>24</v>
          </cell>
          <cell r="F13">
            <v>30.716548517520238</v>
          </cell>
          <cell r="G13">
            <v>35300</v>
          </cell>
          <cell r="H13">
            <v>33860.467234555181</v>
          </cell>
        </row>
        <row r="14">
          <cell r="E14">
            <v>0</v>
          </cell>
          <cell r="F14">
            <v>0</v>
          </cell>
        </row>
        <row r="15">
          <cell r="E15">
            <v>364</v>
          </cell>
          <cell r="F15">
            <v>367.32721024258751</v>
          </cell>
        </row>
        <row r="16">
          <cell r="E16">
            <v>820</v>
          </cell>
          <cell r="F16">
            <v>820.34332884097068</v>
          </cell>
          <cell r="G16">
            <v>11333.333333333334</v>
          </cell>
          <cell r="H16">
            <v>8659.2174484829993</v>
          </cell>
        </row>
        <row r="17">
          <cell r="E17">
            <v>910</v>
          </cell>
          <cell r="F17">
            <v>908.11994609164435</v>
          </cell>
          <cell r="G17">
            <v>17717.959459894941</v>
          </cell>
          <cell r="H17">
            <v>17776.815716246798</v>
          </cell>
        </row>
        <row r="19">
          <cell r="E19">
            <v>3.2</v>
          </cell>
          <cell r="F19">
            <v>3.6556367924528326</v>
          </cell>
        </row>
        <row r="20">
          <cell r="Q20">
            <v>61580.876441837725</v>
          </cell>
          <cell r="R20">
            <v>59596.909164420475</v>
          </cell>
        </row>
        <row r="21">
          <cell r="Q21">
            <v>17093.277773973401</v>
          </cell>
          <cell r="R21">
            <v>17402.027897574124</v>
          </cell>
        </row>
        <row r="22">
          <cell r="Q22">
            <v>200</v>
          </cell>
          <cell r="R22">
            <v>289.23773584905661</v>
          </cell>
        </row>
        <row r="50">
          <cell r="Q50">
            <v>90711.565104700014</v>
          </cell>
          <cell r="R50">
            <v>86878.523719676537</v>
          </cell>
        </row>
        <row r="56">
          <cell r="L56">
            <v>29454.536793096322</v>
          </cell>
        </row>
        <row r="80">
          <cell r="H80">
            <v>48109.139999999992</v>
          </cell>
          <cell r="I80">
            <v>53894.702999999994</v>
          </cell>
          <cell r="L80">
            <v>-5785.5630000000037</v>
          </cell>
        </row>
        <row r="85">
          <cell r="H85">
            <v>28540.450777777776</v>
          </cell>
          <cell r="I85">
            <v>31233.861499999999</v>
          </cell>
          <cell r="L85">
            <v>-2693.4107222222228</v>
          </cell>
          <cell r="Q85">
            <v>99300.16933333331</v>
          </cell>
          <cell r="R85">
            <v>98009.738068455714</v>
          </cell>
        </row>
        <row r="86">
          <cell r="H86">
            <v>52179.47265172175</v>
          </cell>
          <cell r="I86">
            <v>35159.032999999923</v>
          </cell>
          <cell r="K86">
            <v>-16060.707522666557</v>
          </cell>
          <cell r="M86">
            <v>-21935.295199929446</v>
          </cell>
        </row>
        <row r="89">
          <cell r="Q89">
            <v>78874.154215811126</v>
          </cell>
          <cell r="R89">
            <v>77288.174797843662</v>
          </cell>
        </row>
      </sheetData>
      <sheetData sheetId="11">
        <row r="5">
          <cell r="T5">
            <v>12000</v>
          </cell>
          <cell r="U5">
            <v>5217</v>
          </cell>
        </row>
        <row r="9">
          <cell r="E9">
            <v>217.6</v>
          </cell>
          <cell r="F9">
            <v>254.72813291755998</v>
          </cell>
          <cell r="G9">
            <v>100000</v>
          </cell>
          <cell r="H9">
            <v>100000.00076510503</v>
          </cell>
        </row>
        <row r="10">
          <cell r="E10">
            <v>102</v>
          </cell>
          <cell r="F10">
            <v>83.543180666536756</v>
          </cell>
          <cell r="G10">
            <v>92100</v>
          </cell>
          <cell r="H10">
            <v>92099.994107218663</v>
          </cell>
        </row>
        <row r="11">
          <cell r="E11">
            <v>0</v>
          </cell>
          <cell r="F11">
            <v>0</v>
          </cell>
        </row>
        <row r="12">
          <cell r="E12">
            <v>3.4</v>
          </cell>
          <cell r="F12">
            <v>0</v>
          </cell>
          <cell r="G12">
            <v>64000</v>
          </cell>
          <cell r="H12">
            <v>0</v>
          </cell>
        </row>
        <row r="13">
          <cell r="E13">
            <v>17</v>
          </cell>
          <cell r="F13">
            <v>20.489185343987536</v>
          </cell>
          <cell r="G13">
            <v>35000</v>
          </cell>
          <cell r="H13">
            <v>33328.16195870236</v>
          </cell>
        </row>
        <row r="14">
          <cell r="E14">
            <v>0</v>
          </cell>
          <cell r="F14">
            <v>0</v>
          </cell>
        </row>
        <row r="15">
          <cell r="E15">
            <v>340</v>
          </cell>
          <cell r="F15">
            <v>358.76049892808425</v>
          </cell>
        </row>
        <row r="16">
          <cell r="E16">
            <v>770</v>
          </cell>
          <cell r="F16">
            <v>771.19469888910555</v>
          </cell>
          <cell r="G16">
            <v>9066.6666666666661</v>
          </cell>
          <cell r="H16">
            <v>9209.2236542835471</v>
          </cell>
        </row>
        <row r="17">
          <cell r="E17">
            <v>950</v>
          </cell>
          <cell r="F17">
            <v>929.92399142467366</v>
          </cell>
          <cell r="G17">
            <v>15880.190628800196</v>
          </cell>
          <cell r="H17">
            <v>16142.578550710055</v>
          </cell>
        </row>
        <row r="19">
          <cell r="E19">
            <v>3.3</v>
          </cell>
          <cell r="F19">
            <v>3.3325667511206394</v>
          </cell>
        </row>
        <row r="20">
          <cell r="Q20">
            <v>57004.314430693514</v>
          </cell>
          <cell r="R20">
            <v>58976.957513155336</v>
          </cell>
        </row>
        <row r="21">
          <cell r="Q21">
            <v>19804.267967836262</v>
          </cell>
          <cell r="R21">
            <v>16701.485675306958</v>
          </cell>
        </row>
        <row r="22">
          <cell r="Q22">
            <v>350</v>
          </cell>
          <cell r="R22">
            <v>713.0116936269734</v>
          </cell>
        </row>
        <row r="50">
          <cell r="Q50">
            <v>87306.389620752001</v>
          </cell>
          <cell r="R50">
            <v>95642.538881309694</v>
          </cell>
        </row>
        <row r="56">
          <cell r="L56">
            <v>-41260.919395921534</v>
          </cell>
        </row>
        <row r="80">
          <cell r="H80">
            <v>37597.519999999997</v>
          </cell>
          <cell r="I80">
            <v>45115.08</v>
          </cell>
          <cell r="L80">
            <v>-7517.560000000004</v>
          </cell>
        </row>
        <row r="85">
          <cell r="H85">
            <v>13426.643333333332</v>
          </cell>
          <cell r="I85">
            <v>14872.136460000002</v>
          </cell>
          <cell r="L85">
            <v>-1445.4931266666699</v>
          </cell>
          <cell r="Q85">
            <v>96300.27499999998</v>
          </cell>
          <cell r="R85">
            <v>94432.371857337756</v>
          </cell>
        </row>
        <row r="86">
          <cell r="H86">
            <v>56902.461217642536</v>
          </cell>
          <cell r="I86">
            <v>-64487.721000000056</v>
          </cell>
          <cell r="K86">
            <v>-9584.2110249998714</v>
          </cell>
          <cell r="M86">
            <v>-61581.998670054483</v>
          </cell>
        </row>
        <row r="89">
          <cell r="Q89">
            <v>77158.582398529776</v>
          </cell>
          <cell r="R89">
            <v>76391.454882089267</v>
          </cell>
        </row>
      </sheetData>
      <sheetData sheetId="12">
        <row r="5">
          <cell r="T5">
            <v>18000</v>
          </cell>
          <cell r="U5">
            <v>16167</v>
          </cell>
        </row>
        <row r="9">
          <cell r="E9">
            <v>240.3923987267635</v>
          </cell>
          <cell r="F9">
            <v>270.5661728166142</v>
          </cell>
          <cell r="G9">
            <v>100000</v>
          </cell>
          <cell r="H9">
            <v>100024.85236911247</v>
          </cell>
        </row>
        <row r="10">
          <cell r="E10">
            <v>69.203872360734906</v>
          </cell>
          <cell r="F10">
            <v>49.098341059397988</v>
          </cell>
          <cell r="G10">
            <v>92100.000000000015</v>
          </cell>
          <cell r="H10">
            <v>92100.00286267449</v>
          </cell>
        </row>
        <row r="11">
          <cell r="E11">
            <v>0</v>
          </cell>
          <cell r="F11">
            <v>0</v>
          </cell>
        </row>
        <row r="12">
          <cell r="E12">
            <v>29.138472572941016</v>
          </cell>
          <cell r="F12">
            <v>47.63991346807591</v>
          </cell>
          <cell r="G12">
            <v>61999.999999999993</v>
          </cell>
          <cell r="H12">
            <v>62279.092533071234</v>
          </cell>
        </row>
        <row r="13">
          <cell r="E13">
            <v>25.496163501323387</v>
          </cell>
          <cell r="F13">
            <v>18.695258668644545</v>
          </cell>
          <cell r="G13">
            <v>35500</v>
          </cell>
          <cell r="H13">
            <v>32566.065348700504</v>
          </cell>
        </row>
        <row r="14">
          <cell r="E14">
            <v>0</v>
          </cell>
          <cell r="F14">
            <v>0</v>
          </cell>
        </row>
        <row r="15">
          <cell r="E15">
            <v>364.23090716176279</v>
          </cell>
          <cell r="F15">
            <v>385.99968601273264</v>
          </cell>
        </row>
        <row r="16">
          <cell r="E16">
            <v>791.29788888888891</v>
          </cell>
          <cell r="F16">
            <v>824.4342820940725</v>
          </cell>
          <cell r="G16">
            <v>11362.368837731805</v>
          </cell>
          <cell r="H16">
            <v>11262.610593913429</v>
          </cell>
        </row>
        <row r="17">
          <cell r="E17">
            <v>914.66307604100564</v>
          </cell>
          <cell r="F17">
            <v>886.4515730267633</v>
          </cell>
          <cell r="G17">
            <v>19374.266925635959</v>
          </cell>
          <cell r="H17">
            <v>19184.862744824601</v>
          </cell>
        </row>
        <row r="19">
          <cell r="E19">
            <v>3.095962710874983</v>
          </cell>
          <cell r="F19">
            <v>3.0787131466716127</v>
          </cell>
        </row>
        <row r="20">
          <cell r="Q20">
            <v>62694.134259372746</v>
          </cell>
          <cell r="R20">
            <v>64329.901168180972</v>
          </cell>
        </row>
        <row r="21">
          <cell r="Q21">
            <v>19006.745000000003</v>
          </cell>
          <cell r="R21">
            <v>20659.66178379381</v>
          </cell>
        </row>
        <row r="22">
          <cell r="Q22">
            <v>222.2222222222222</v>
          </cell>
          <cell r="R22">
            <v>304.37140737993695</v>
          </cell>
        </row>
        <row r="50">
          <cell r="Q50">
            <v>90623.278148261641</v>
          </cell>
          <cell r="R50">
            <v>93424.511341862919</v>
          </cell>
        </row>
        <row r="56">
          <cell r="L56">
            <v>-38122.168837054211</v>
          </cell>
        </row>
        <row r="80">
          <cell r="H80">
            <v>49540.69</v>
          </cell>
          <cell r="I80">
            <v>42900.11</v>
          </cell>
          <cell r="L80">
            <v>6640.5800000000045</v>
          </cell>
        </row>
        <row r="85">
          <cell r="H85">
            <v>25004.934999999998</v>
          </cell>
          <cell r="I85">
            <v>24751.993340000001</v>
          </cell>
          <cell r="L85">
            <v>252.94165999999677</v>
          </cell>
          <cell r="Q85">
            <v>101999.68326666666</v>
          </cell>
          <cell r="R85">
            <v>103005.46174305685</v>
          </cell>
        </row>
        <row r="86">
          <cell r="H86">
            <v>130229.66713129031</v>
          </cell>
          <cell r="I86">
            <v>94408.489999999903</v>
          </cell>
          <cell r="K86">
            <v>16260.420627800157</v>
          </cell>
          <cell r="M86">
            <v>-20852.950582036399</v>
          </cell>
        </row>
        <row r="89">
          <cell r="Q89">
            <v>81923.10148159496</v>
          </cell>
          <cell r="R89">
            <v>85293.934359354709</v>
          </cell>
        </row>
      </sheetData>
      <sheetData sheetId="13">
        <row r="5">
          <cell r="T5">
            <v>10000</v>
          </cell>
          <cell r="U5">
            <v>5826</v>
          </cell>
        </row>
        <row r="9">
          <cell r="E9">
            <v>264.55159657613979</v>
          </cell>
          <cell r="F9">
            <v>224.24889804325417</v>
          </cell>
          <cell r="G9">
            <v>100000</v>
          </cell>
          <cell r="H9">
            <v>99941.658237873446</v>
          </cell>
        </row>
        <row r="10">
          <cell r="E10">
            <v>0</v>
          </cell>
          <cell r="F10">
            <v>17.811017851012704</v>
          </cell>
          <cell r="G10">
            <v>0</v>
          </cell>
          <cell r="H10">
            <v>102199.99635722305</v>
          </cell>
        </row>
        <row r="11">
          <cell r="E11">
            <v>0</v>
          </cell>
          <cell r="F11">
            <v>8.7349811191211817</v>
          </cell>
        </row>
        <row r="12">
          <cell r="E12">
            <v>54.780030948236274</v>
          </cell>
          <cell r="F12">
            <v>80.916948163405365</v>
          </cell>
          <cell r="G12">
            <v>62199.999999999993</v>
          </cell>
          <cell r="H12">
            <v>62132.457334311919</v>
          </cell>
        </row>
        <row r="13">
          <cell r="E13">
            <v>36.828589113277872</v>
          </cell>
          <cell r="F13">
            <v>21.879601785101279</v>
          </cell>
          <cell r="G13">
            <v>36000</v>
          </cell>
          <cell r="H13">
            <v>34266.563197023679</v>
          </cell>
        </row>
        <row r="14">
          <cell r="E14">
            <v>0</v>
          </cell>
          <cell r="F14">
            <v>0</v>
          </cell>
        </row>
        <row r="15">
          <cell r="E15">
            <v>356.16021663765395</v>
          </cell>
          <cell r="F15">
            <v>353.59144696189469</v>
          </cell>
        </row>
        <row r="16">
          <cell r="E16">
            <v>771.9</v>
          </cell>
          <cell r="F16">
            <v>730.44970820460105</v>
          </cell>
          <cell r="G16">
            <v>9600</v>
          </cell>
          <cell r="H16">
            <v>9466.836403797337</v>
          </cell>
        </row>
        <row r="17">
          <cell r="E17">
            <v>882.03085600000031</v>
          </cell>
          <cell r="F17">
            <v>914.80432543769302</v>
          </cell>
          <cell r="G17">
            <v>18131.294151388658</v>
          </cell>
          <cell r="H17">
            <v>17294.486504742337</v>
          </cell>
        </row>
        <row r="19">
          <cell r="E19">
            <v>2.9537018414200591</v>
          </cell>
          <cell r="F19">
            <v>2.7850978372811532</v>
          </cell>
        </row>
        <row r="20">
          <cell r="Q20">
            <v>56606.591127717067</v>
          </cell>
          <cell r="R20">
            <v>55459.969790593881</v>
          </cell>
        </row>
        <row r="21">
          <cell r="Q21">
            <v>17732.054210526319</v>
          </cell>
          <cell r="R21">
            <v>19874.79745966358</v>
          </cell>
        </row>
        <row r="22">
          <cell r="Q22">
            <v>140</v>
          </cell>
          <cell r="R22">
            <v>45.479231033299001</v>
          </cell>
        </row>
        <row r="50">
          <cell r="Q50">
            <v>86479.724338243381</v>
          </cell>
          <cell r="R50">
            <v>92617.400446275307</v>
          </cell>
        </row>
        <row r="56">
          <cell r="L56">
            <v>-35689.091645393994</v>
          </cell>
        </row>
        <row r="80">
          <cell r="H80">
            <v>28625.78</v>
          </cell>
          <cell r="I80">
            <v>37458.630999999994</v>
          </cell>
          <cell r="L80">
            <v>-8832.8510000000006</v>
          </cell>
        </row>
        <row r="85">
          <cell r="H85">
            <v>11350.066999999999</v>
          </cell>
          <cell r="I85">
            <v>12644.55536</v>
          </cell>
          <cell r="L85">
            <v>-1294.4883600000012</v>
          </cell>
          <cell r="Q85">
            <v>94478.75</v>
          </cell>
          <cell r="R85">
            <v>92587.349811191219</v>
          </cell>
        </row>
        <row r="86">
          <cell r="H86">
            <v>40014.409617566111</v>
          </cell>
          <cell r="I86">
            <v>-50209.25199999992</v>
          </cell>
          <cell r="K86">
            <v>-11019.297499999955</v>
          </cell>
          <cell r="M86">
            <v>-33387.933112172119</v>
          </cell>
        </row>
        <row r="89">
          <cell r="Q89">
            <v>74478.645338243383</v>
          </cell>
          <cell r="R89">
            <v>75380.246481290756</v>
          </cell>
        </row>
      </sheetData>
      <sheetData sheetId="14">
        <row r="5">
          <cell r="T5">
            <v>7000</v>
          </cell>
          <cell r="U5">
            <v>9070</v>
          </cell>
        </row>
        <row r="9">
          <cell r="E9">
            <v>255</v>
          </cell>
          <cell r="F9">
            <v>262.29449062844566</v>
          </cell>
          <cell r="G9">
            <v>100000</v>
          </cell>
          <cell r="H9">
            <v>100000.00084068537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64.199999999999989</v>
          </cell>
          <cell r="F12">
            <v>60.079728776185277</v>
          </cell>
          <cell r="G12">
            <v>64500</v>
          </cell>
          <cell r="H12">
            <v>63991.230029247745</v>
          </cell>
        </row>
        <row r="13">
          <cell r="E13">
            <v>36.5</v>
          </cell>
          <cell r="F13">
            <v>28.832040793825797</v>
          </cell>
          <cell r="G13">
            <v>33000</v>
          </cell>
          <cell r="H13">
            <v>31185.104651848</v>
          </cell>
        </row>
        <row r="14">
          <cell r="E14">
            <v>0</v>
          </cell>
          <cell r="F14">
            <v>0</v>
          </cell>
        </row>
        <row r="15">
          <cell r="E15">
            <v>355.7</v>
          </cell>
          <cell r="F15">
            <v>351.20626019845673</v>
          </cell>
        </row>
        <row r="16">
          <cell r="E16">
            <v>831.19999999999993</v>
          </cell>
          <cell r="F16">
            <v>871.6648291069464</v>
          </cell>
          <cell r="G16">
            <v>11000</v>
          </cell>
          <cell r="H16">
            <v>11254.007968631415</v>
          </cell>
        </row>
        <row r="17">
          <cell r="E17">
            <v>895.2</v>
          </cell>
          <cell r="F17">
            <v>860.38092613009871</v>
          </cell>
          <cell r="G17">
            <v>17410.058688981204</v>
          </cell>
          <cell r="H17">
            <v>17019.329532123094</v>
          </cell>
        </row>
        <row r="19">
          <cell r="E19">
            <v>3.08</v>
          </cell>
          <cell r="F19">
            <v>2.9208434399117995</v>
          </cell>
        </row>
        <row r="20">
          <cell r="Q20">
            <v>57730.684538375972</v>
          </cell>
          <cell r="R20">
            <v>57980.180595369355</v>
          </cell>
        </row>
        <row r="21">
          <cell r="Q21">
            <v>17628.08387537994</v>
          </cell>
          <cell r="R21">
            <v>19654.773980154354</v>
          </cell>
        </row>
        <row r="22">
          <cell r="Q22">
            <v>428.57142857142856</v>
          </cell>
          <cell r="R22">
            <v>114.29636163175303</v>
          </cell>
        </row>
        <row r="50">
          <cell r="Q50">
            <v>92892.625107269065</v>
          </cell>
          <cell r="R50">
            <v>91807.380264608597</v>
          </cell>
        </row>
        <row r="56">
          <cell r="L56">
            <v>9843.1654729302954</v>
          </cell>
        </row>
        <row r="80">
          <cell r="H80">
            <v>36191.94</v>
          </cell>
          <cell r="I80">
            <v>43561.896999999997</v>
          </cell>
          <cell r="L80">
            <v>-7369.9570000000031</v>
          </cell>
        </row>
        <row r="85">
          <cell r="H85">
            <v>31382.526333333331</v>
          </cell>
          <cell r="I85">
            <v>31930.691749999998</v>
          </cell>
          <cell r="L85">
            <v>-548.16541666666672</v>
          </cell>
          <cell r="Q85">
            <v>100000.31456228578</v>
          </cell>
          <cell r="R85">
            <v>100925.54024255788</v>
          </cell>
        </row>
        <row r="86">
          <cell r="H86">
            <v>-17820.640148216207</v>
          </cell>
          <cell r="I86">
            <v>7209.1169999999693</v>
          </cell>
          <cell r="K86">
            <v>8391.7969200678999</v>
          </cell>
          <cell r="M86">
            <v>14712.917171884648</v>
          </cell>
        </row>
        <row r="89">
          <cell r="Q89">
            <v>75787.339842327347</v>
          </cell>
          <cell r="R89">
            <v>77749.250937155462</v>
          </cell>
        </row>
      </sheetData>
      <sheetData sheetId="15">
        <row r="5">
          <cell r="T5">
            <v>10000</v>
          </cell>
          <cell r="U5">
            <v>9533</v>
          </cell>
        </row>
        <row r="9">
          <cell r="E9">
            <v>290.7</v>
          </cell>
          <cell r="F9">
            <v>283.633068289101</v>
          </cell>
          <cell r="G9">
            <v>100000</v>
          </cell>
          <cell r="H9">
            <v>99999.999999999985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17.100000000000001</v>
          </cell>
          <cell r="F12">
            <v>36.336204762404293</v>
          </cell>
          <cell r="G12">
            <v>61400</v>
          </cell>
          <cell r="H12">
            <v>61055.276976696739</v>
          </cell>
        </row>
        <row r="13">
          <cell r="E13">
            <v>34.200000000000003</v>
          </cell>
          <cell r="F13">
            <v>34.609781810552825</v>
          </cell>
          <cell r="G13">
            <v>35300.000000000007</v>
          </cell>
          <cell r="H13">
            <v>30839.609189748091</v>
          </cell>
        </row>
        <row r="14">
          <cell r="E14">
            <v>0</v>
          </cell>
          <cell r="F14">
            <v>0</v>
          </cell>
        </row>
        <row r="15">
          <cell r="E15">
            <v>342</v>
          </cell>
          <cell r="F15">
            <v>354.57905486205811</v>
          </cell>
        </row>
        <row r="16">
          <cell r="E16">
            <v>736.71821120475965</v>
          </cell>
          <cell r="F16">
            <v>719.63495227105818</v>
          </cell>
          <cell r="G16">
            <v>11133.333333333334</v>
          </cell>
          <cell r="H16">
            <v>11132.888453532512</v>
          </cell>
        </row>
        <row r="17">
          <cell r="E17">
            <v>976.57995438770433</v>
          </cell>
          <cell r="F17">
            <v>1063.2571068918496</v>
          </cell>
          <cell r="G17">
            <v>14763.292547274748</v>
          </cell>
          <cell r="H17">
            <v>14165.161014716805</v>
          </cell>
        </row>
        <row r="19">
          <cell r="E19">
            <v>3.0779999999999998</v>
          </cell>
          <cell r="F19">
            <v>3.2043270743732304</v>
          </cell>
        </row>
        <row r="20">
          <cell r="Q20">
            <v>56101.464980509561</v>
          </cell>
          <cell r="R20">
            <v>57238.845379209073</v>
          </cell>
        </row>
        <row r="21">
          <cell r="Q21">
            <v>18268.936315789473</v>
          </cell>
          <cell r="R21">
            <v>19940.298017413199</v>
          </cell>
        </row>
        <row r="22">
          <cell r="Q22">
            <v>400</v>
          </cell>
          <cell r="R22">
            <v>277.15797755166267</v>
          </cell>
        </row>
        <row r="50">
          <cell r="Q50">
            <v>88752.819629632373</v>
          </cell>
          <cell r="R50">
            <v>90351.894471834676</v>
          </cell>
        </row>
        <row r="56">
          <cell r="L56">
            <v>-15243.990670714487</v>
          </cell>
        </row>
        <row r="80">
          <cell r="H80">
            <v>37599.03</v>
          </cell>
          <cell r="I80">
            <v>32876.558000000005</v>
          </cell>
          <cell r="L80">
            <v>4722.471999999997</v>
          </cell>
        </row>
        <row r="85">
          <cell r="H85">
            <v>15161.930436470893</v>
          </cell>
          <cell r="I85">
            <v>15841.6198</v>
          </cell>
          <cell r="L85">
            <v>-679.68936352910782</v>
          </cell>
          <cell r="Q85">
            <v>97465.893488888876</v>
          </cell>
          <cell r="R85">
            <v>97773.366201615441</v>
          </cell>
        </row>
        <row r="86">
          <cell r="H86">
            <v>34369.778156094049</v>
          </cell>
          <cell r="I86">
            <v>22030.70199999999</v>
          </cell>
          <cell r="K86">
            <v>2931.1373704223447</v>
          </cell>
          <cell r="M86">
            <v>-4069.0054922727795</v>
          </cell>
        </row>
        <row r="89">
          <cell r="Q89">
            <v>74770.401296299038</v>
          </cell>
          <cell r="R89">
            <v>77456.301374173927</v>
          </cell>
        </row>
      </sheetData>
      <sheetData sheetId="16">
        <row r="5">
          <cell r="T5">
            <v>8000</v>
          </cell>
          <cell r="U5">
            <v>9133</v>
          </cell>
        </row>
        <row r="9">
          <cell r="E9">
            <v>292.7</v>
          </cell>
          <cell r="F9">
            <v>292.45220628490085</v>
          </cell>
          <cell r="G9">
            <v>100000</v>
          </cell>
          <cell r="H9">
            <v>100000.00074879277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32.5</v>
          </cell>
          <cell r="F12">
            <v>45.61710828862369</v>
          </cell>
          <cell r="G12">
            <v>60200</v>
          </cell>
          <cell r="H12">
            <v>60200.16511407667</v>
          </cell>
        </row>
        <row r="13">
          <cell r="E13">
            <v>36.1</v>
          </cell>
          <cell r="F13">
            <v>36.293612175626826</v>
          </cell>
          <cell r="G13">
            <v>37000</v>
          </cell>
          <cell r="H13">
            <v>35033.983211007391</v>
          </cell>
        </row>
        <row r="14">
          <cell r="E14">
            <v>0</v>
          </cell>
          <cell r="F14">
            <v>0</v>
          </cell>
        </row>
        <row r="15">
          <cell r="E15">
            <v>361.3</v>
          </cell>
          <cell r="F15">
            <v>374.36292674915137</v>
          </cell>
        </row>
        <row r="16">
          <cell r="E16">
            <v>801.3</v>
          </cell>
          <cell r="F16">
            <v>797.18449578451782</v>
          </cell>
          <cell r="G16">
            <v>11533.333333333334</v>
          </cell>
          <cell r="H16">
            <v>11490.642639992988</v>
          </cell>
        </row>
        <row r="17">
          <cell r="E17">
            <v>903.5</v>
          </cell>
          <cell r="F17">
            <v>887.82623453410713</v>
          </cell>
          <cell r="G17">
            <v>19459.84427141268</v>
          </cell>
          <cell r="H17">
            <v>19453.501423256555</v>
          </cell>
        </row>
        <row r="19">
          <cell r="E19">
            <v>3.25</v>
          </cell>
          <cell r="F19">
            <v>3.1444268038979524</v>
          </cell>
        </row>
        <row r="20">
          <cell r="Q20">
            <v>62310.829299221354</v>
          </cell>
          <cell r="R20">
            <v>62122.625752764703</v>
          </cell>
        </row>
        <row r="21">
          <cell r="Q21">
            <v>20063.700652201744</v>
          </cell>
          <cell r="R21">
            <v>22722.487682032192</v>
          </cell>
        </row>
        <row r="22">
          <cell r="Q22">
            <v>280</v>
          </cell>
          <cell r="R22">
            <v>302.47979853279315</v>
          </cell>
        </row>
        <row r="50">
          <cell r="Q50">
            <v>96189.39234008902</v>
          </cell>
          <cell r="R50">
            <v>96123.537939340851</v>
          </cell>
        </row>
        <row r="56">
          <cell r="L56">
            <v>601.44951203312644</v>
          </cell>
        </row>
        <row r="80">
          <cell r="H80">
            <v>36447.420000000006</v>
          </cell>
          <cell r="I80">
            <v>27909.211000000003</v>
          </cell>
          <cell r="L80">
            <v>8538.2090000000007</v>
          </cell>
        </row>
        <row r="85">
          <cell r="H85">
            <v>15437.812055282729</v>
          </cell>
          <cell r="I85">
            <v>15261.930270000001</v>
          </cell>
          <cell r="L85">
            <v>175.88178528272874</v>
          </cell>
          <cell r="Q85">
            <v>102132.75</v>
          </cell>
          <cell r="R85">
            <v>107170.90769736121</v>
          </cell>
        </row>
        <row r="86">
          <cell r="H86">
            <v>-4338.3707759950103</v>
          </cell>
          <cell r="I86">
            <v>57724.488000000027</v>
          </cell>
          <cell r="K86">
            <v>46013.494249999931</v>
          </cell>
          <cell r="M86">
            <v>6733.824228679121</v>
          </cell>
        </row>
        <row r="89">
          <cell r="Q89">
            <v>82654.529951423101</v>
          </cell>
          <cell r="R89">
            <v>85147.593233329681</v>
          </cell>
        </row>
      </sheetData>
      <sheetData sheetId="17">
        <row r="5">
          <cell r="T5">
            <v>13000</v>
          </cell>
          <cell r="U5">
            <v>16996</v>
          </cell>
        </row>
        <row r="9">
          <cell r="E9">
            <v>324.55384615384611</v>
          </cell>
          <cell r="F9">
            <v>404.00747119002824</v>
          </cell>
          <cell r="G9">
            <v>100000</v>
          </cell>
          <cell r="H9">
            <v>99959.949116732736</v>
          </cell>
        </row>
        <row r="10">
          <cell r="E10">
            <v>0</v>
          </cell>
          <cell r="F10">
            <v>7.0555032925682035E-2</v>
          </cell>
          <cell r="G10">
            <v>0</v>
          </cell>
          <cell r="H10">
            <v>86600.833333333343</v>
          </cell>
        </row>
        <row r="11">
          <cell r="E11">
            <v>0</v>
          </cell>
          <cell r="F11">
            <v>0</v>
          </cell>
        </row>
        <row r="12">
          <cell r="E12">
            <v>26.700000000000003</v>
          </cell>
          <cell r="F12">
            <v>10.16663217309501</v>
          </cell>
          <cell r="G12">
            <v>64300</v>
          </cell>
          <cell r="H12">
            <v>64503.659852338242</v>
          </cell>
        </row>
        <row r="13">
          <cell r="E13">
            <v>30.684615384615384</v>
          </cell>
          <cell r="F13">
            <v>11.12341897930386</v>
          </cell>
          <cell r="G13">
            <v>42900.000000000007</v>
          </cell>
          <cell r="H13">
            <v>38938.947796179127</v>
          </cell>
        </row>
        <row r="14">
          <cell r="E14">
            <v>0</v>
          </cell>
          <cell r="F14">
            <v>0</v>
          </cell>
        </row>
        <row r="15">
          <cell r="E15">
            <v>381.93846153846147</v>
          </cell>
          <cell r="F15">
            <v>425.36807737535275</v>
          </cell>
        </row>
        <row r="16">
          <cell r="E16">
            <v>871</v>
          </cell>
          <cell r="F16">
            <v>798.05415098777075</v>
          </cell>
          <cell r="G16">
            <v>11400</v>
          </cell>
          <cell r="H16">
            <v>11368.85482202013</v>
          </cell>
        </row>
        <row r="17">
          <cell r="E17">
            <v>877</v>
          </cell>
          <cell r="F17">
            <v>926.74535512699902</v>
          </cell>
          <cell r="G17">
            <v>13225.806451612903</v>
          </cell>
          <cell r="H17">
            <v>13145.25172272577</v>
          </cell>
        </row>
        <row r="19">
          <cell r="E19">
            <v>2.8</v>
          </cell>
          <cell r="F19">
            <v>3.7067527046095963</v>
          </cell>
        </row>
        <row r="20">
          <cell r="Q20">
            <v>59396.996873449134</v>
          </cell>
          <cell r="R20">
            <v>66766.754174506117</v>
          </cell>
        </row>
        <row r="21">
          <cell r="Q21">
            <v>19472.155848336057</v>
          </cell>
          <cell r="R21">
            <v>21044.604127469425</v>
          </cell>
        </row>
        <row r="22">
          <cell r="Q22">
            <v>346.15384615384613</v>
          </cell>
          <cell r="R22">
            <v>249.88581843838193</v>
          </cell>
        </row>
        <row r="50">
          <cell r="Q50">
            <v>94430.984092365354</v>
          </cell>
          <cell r="R50">
            <v>98099.972130762006</v>
          </cell>
        </row>
        <row r="56">
          <cell r="L56">
            <v>-62352.461836158698</v>
          </cell>
        </row>
        <row r="80">
          <cell r="H80">
            <v>44797.600000000006</v>
          </cell>
          <cell r="I80">
            <v>47001.212999999996</v>
          </cell>
          <cell r="L80">
            <v>-2203.6129999999948</v>
          </cell>
        </row>
        <row r="85">
          <cell r="H85">
            <v>36746.377888888885</v>
          </cell>
          <cell r="I85">
            <v>35744.613530000002</v>
          </cell>
          <cell r="L85">
            <v>1001.7643588888823</v>
          </cell>
          <cell r="Q85">
            <v>103000</v>
          </cell>
          <cell r="R85">
            <v>101157.08031301483</v>
          </cell>
        </row>
        <row r="86">
          <cell r="H86">
            <v>29853.228910361671</v>
          </cell>
          <cell r="I86">
            <v>-30781.557000000066</v>
          </cell>
          <cell r="K86">
            <v>-31322.262999999999</v>
          </cell>
          <cell r="M86">
            <v>34241.787566908111</v>
          </cell>
        </row>
        <row r="89">
          <cell r="Q89">
            <v>79215.306567939027</v>
          </cell>
          <cell r="R89">
            <v>88061.244120413932</v>
          </cell>
        </row>
      </sheetData>
      <sheetData sheetId="18">
        <row r="5">
          <cell r="T5">
            <v>2000</v>
          </cell>
          <cell r="U5">
            <v>2178</v>
          </cell>
        </row>
        <row r="9">
          <cell r="E9">
            <v>320.3</v>
          </cell>
          <cell r="F9">
            <v>316.63269054178136</v>
          </cell>
          <cell r="G9">
            <v>100000</v>
          </cell>
          <cell r="H9">
            <v>100000.00145006136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17.600000000000001</v>
          </cell>
          <cell r="F12">
            <v>19.616634527089072</v>
          </cell>
          <cell r="G12">
            <v>64000</v>
          </cell>
          <cell r="H12">
            <v>63999.931655987137</v>
          </cell>
        </row>
        <row r="13">
          <cell r="E13">
            <v>11.2</v>
          </cell>
          <cell r="F13">
            <v>18.155197428833795</v>
          </cell>
          <cell r="G13">
            <v>49000</v>
          </cell>
          <cell r="H13">
            <v>46527.061591694095</v>
          </cell>
        </row>
        <row r="14">
          <cell r="E14">
            <v>0</v>
          </cell>
          <cell r="F14">
            <v>0</v>
          </cell>
        </row>
        <row r="15">
          <cell r="E15">
            <v>349.1</v>
          </cell>
          <cell r="F15">
            <v>354.40452249770419</v>
          </cell>
        </row>
        <row r="16">
          <cell r="E16">
            <v>837.86</v>
          </cell>
          <cell r="F16">
            <v>846.90771349862268</v>
          </cell>
          <cell r="G16">
            <v>13666.666666666664</v>
          </cell>
          <cell r="H16">
            <v>13602.20431375419</v>
          </cell>
        </row>
        <row r="17">
          <cell r="E17">
            <v>921.01</v>
          </cell>
          <cell r="F17">
            <v>936.96740128558304</v>
          </cell>
          <cell r="G17">
            <v>13806.451612903224</v>
          </cell>
          <cell r="H17">
            <v>13680.4595448164</v>
          </cell>
        </row>
        <row r="19">
          <cell r="E19">
            <v>2.9380000000000002</v>
          </cell>
          <cell r="F19">
            <v>3.0826905417814503</v>
          </cell>
        </row>
        <row r="20">
          <cell r="Q20">
            <v>59673.633333333339</v>
          </cell>
          <cell r="R20">
            <v>59918.898071625343</v>
          </cell>
        </row>
        <row r="21">
          <cell r="Q21">
            <v>14804.798846409913</v>
          </cell>
          <cell r="R21">
            <v>14580.633149678604</v>
          </cell>
        </row>
        <row r="22">
          <cell r="Q22">
            <v>1525</v>
          </cell>
          <cell r="R22">
            <v>1279.1556473829203</v>
          </cell>
        </row>
        <row r="50">
          <cell r="Q50">
            <v>114205.03838368319</v>
          </cell>
          <cell r="R50">
            <v>108020.44398530762</v>
          </cell>
        </row>
        <row r="56">
          <cell r="L56">
            <v>13470.051479661965</v>
          </cell>
        </row>
        <row r="80">
          <cell r="H80">
            <v>12200.2</v>
          </cell>
          <cell r="I80">
            <v>11220.124</v>
          </cell>
          <cell r="L80">
            <v>980.07600000000002</v>
          </cell>
        </row>
        <row r="85">
          <cell r="H85">
            <v>5952.9711111111101</v>
          </cell>
          <cell r="I85">
            <v>5913.8578799999996</v>
          </cell>
          <cell r="L85">
            <v>39.113231111110508</v>
          </cell>
          <cell r="Q85">
            <v>112000</v>
          </cell>
          <cell r="R85">
            <v>114037.09825528007</v>
          </cell>
        </row>
        <row r="86">
          <cell r="H86">
            <v>-22563.24787847749</v>
          </cell>
          <cell r="I86">
            <v>-4029.7040000000197</v>
          </cell>
          <cell r="K86">
            <v>4436.7999999999938</v>
          </cell>
          <cell r="M86">
            <v>-392.49683229560833</v>
          </cell>
        </row>
        <row r="89">
          <cell r="Q89">
            <v>76003.432179743249</v>
          </cell>
          <cell r="R89">
            <v>75778.686868686869</v>
          </cell>
        </row>
      </sheetData>
      <sheetData sheetId="19">
        <row r="5">
          <cell r="T5">
            <v>5000</v>
          </cell>
          <cell r="U5">
            <v>2625.5</v>
          </cell>
        </row>
        <row r="9">
          <cell r="E9">
            <v>280.7</v>
          </cell>
          <cell r="F9">
            <v>340.30472290992174</v>
          </cell>
          <cell r="G9">
            <v>100000</v>
          </cell>
          <cell r="H9">
            <v>99999.998880768355</v>
          </cell>
        </row>
        <row r="10">
          <cell r="E10">
            <v>20.5</v>
          </cell>
          <cell r="F10">
            <v>0</v>
          </cell>
          <cell r="G10">
            <v>94200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31.9</v>
          </cell>
          <cell r="F12">
            <v>23.789769567701391</v>
          </cell>
          <cell r="G12">
            <v>64899.999999999993</v>
          </cell>
          <cell r="H12">
            <v>64894.066670466433</v>
          </cell>
        </row>
        <row r="13">
          <cell r="E13">
            <v>18</v>
          </cell>
          <cell r="F13">
            <v>7.6214244905732276</v>
          </cell>
          <cell r="G13">
            <v>39300</v>
          </cell>
          <cell r="H13">
            <v>37571.820160369389</v>
          </cell>
        </row>
        <row r="14">
          <cell r="E14">
            <v>0</v>
          </cell>
          <cell r="F14">
            <v>0</v>
          </cell>
        </row>
        <row r="15">
          <cell r="E15">
            <v>351.09999999999997</v>
          </cell>
          <cell r="F15">
            <v>371.71591696819638</v>
          </cell>
        </row>
        <row r="16">
          <cell r="E16">
            <v>810</v>
          </cell>
          <cell r="F16">
            <v>840.60940773186053</v>
          </cell>
          <cell r="G16">
            <v>14200</v>
          </cell>
          <cell r="H16">
            <v>14150.431350871309</v>
          </cell>
        </row>
        <row r="17">
          <cell r="E17">
            <v>905</v>
          </cell>
          <cell r="F17">
            <v>851.55779851456896</v>
          </cell>
          <cell r="G17">
            <v>15212.903225806451</v>
          </cell>
          <cell r="H17">
            <v>15099.699208101025</v>
          </cell>
        </row>
        <row r="19">
          <cell r="E19">
            <v>2.93</v>
          </cell>
          <cell r="F19">
            <v>1.8481051228337453</v>
          </cell>
        </row>
        <row r="20">
          <cell r="Q20">
            <v>60158.087419354837</v>
          </cell>
          <cell r="R20">
            <v>62113.996191201681</v>
          </cell>
        </row>
        <row r="21">
          <cell r="Q21">
            <v>13619.218764032072</v>
          </cell>
          <cell r="R21">
            <v>14314.437630927441</v>
          </cell>
        </row>
        <row r="22">
          <cell r="Q22">
            <v>90</v>
          </cell>
          <cell r="R22">
            <v>104.35079032565227</v>
          </cell>
        </row>
        <row r="50">
          <cell r="Q50">
            <v>87164.062183386908</v>
          </cell>
          <cell r="R50">
            <v>99256.775090458963</v>
          </cell>
        </row>
        <row r="56">
          <cell r="L56">
            <v>-31749.423087517644</v>
          </cell>
        </row>
        <row r="80">
          <cell r="H80">
            <v>11880.24</v>
          </cell>
          <cell r="I80">
            <v>11779.870999999999</v>
          </cell>
          <cell r="L80">
            <v>100.36900000000031</v>
          </cell>
        </row>
        <row r="85">
          <cell r="H85">
            <v>10763.843000000001</v>
          </cell>
          <cell r="I85">
            <v>11124.03765</v>
          </cell>
          <cell r="L85">
            <v>-360.19464999999946</v>
          </cell>
          <cell r="Q85">
            <v>111520.24799999999</v>
          </cell>
          <cell r="R85">
            <v>111810.99866692058</v>
          </cell>
        </row>
        <row r="86">
          <cell r="H86">
            <v>99136.846083065408</v>
          </cell>
          <cell r="I86">
            <v>10057.20000000001</v>
          </cell>
          <cell r="K86">
            <v>763.36587600001019</v>
          </cell>
          <cell r="M86">
            <v>-57833.763221547793</v>
          </cell>
        </row>
        <row r="89">
          <cell r="Q89">
            <v>73867.306183386914</v>
          </cell>
          <cell r="R89">
            <v>76532.78461245478</v>
          </cell>
        </row>
      </sheetData>
      <sheetData sheetId="20">
        <row r="5">
          <cell r="T5">
            <v>7000</v>
          </cell>
          <cell r="U5">
            <v>12050</v>
          </cell>
        </row>
        <row r="9">
          <cell r="E9">
            <v>274.54000000000002</v>
          </cell>
          <cell r="F9">
            <v>266.27740507378547</v>
          </cell>
          <cell r="G9">
            <v>100000</v>
          </cell>
          <cell r="H9">
            <v>99910.000755143905</v>
          </cell>
        </row>
        <row r="10">
          <cell r="E10">
            <v>0</v>
          </cell>
          <cell r="F10">
            <v>17.648483667716796</v>
          </cell>
          <cell r="G10">
            <v>0</v>
          </cell>
          <cell r="H10">
            <v>97477.616195455761</v>
          </cell>
        </row>
        <row r="11">
          <cell r="E11">
            <v>0</v>
          </cell>
          <cell r="F11">
            <v>0</v>
          </cell>
        </row>
        <row r="12">
          <cell r="E12">
            <v>38.51</v>
          </cell>
          <cell r="F12">
            <v>45.658928867517822</v>
          </cell>
          <cell r="G12">
            <v>65000</v>
          </cell>
          <cell r="H12">
            <v>64999.994552763754</v>
          </cell>
        </row>
        <row r="13">
          <cell r="E13">
            <v>18.8</v>
          </cell>
          <cell r="F13">
            <v>22.946939976786606</v>
          </cell>
          <cell r="G13">
            <v>36000.000000000007</v>
          </cell>
          <cell r="H13">
            <v>34416.825071240055</v>
          </cell>
        </row>
        <row r="14">
          <cell r="E14">
            <v>0</v>
          </cell>
          <cell r="F14">
            <v>0</v>
          </cell>
        </row>
        <row r="15">
          <cell r="E15">
            <v>331.85</v>
          </cell>
          <cell r="F15">
            <v>352.5317575858067</v>
          </cell>
        </row>
        <row r="16">
          <cell r="E16">
            <v>742.54</v>
          </cell>
          <cell r="F16">
            <v>647.04650969988393</v>
          </cell>
          <cell r="G16">
            <v>13333.333333333334</v>
          </cell>
          <cell r="H16">
            <v>13312.314221924678</v>
          </cell>
        </row>
        <row r="17">
          <cell r="E17">
            <v>992.06000000000006</v>
          </cell>
          <cell r="F17">
            <v>1067.0465096998839</v>
          </cell>
          <cell r="G17">
            <v>15310.502654704607</v>
          </cell>
          <cell r="H17">
            <v>15470.504707780412</v>
          </cell>
        </row>
        <row r="19">
          <cell r="E19">
            <v>2.2599999999999998</v>
          </cell>
          <cell r="F19">
            <v>2.6367061847123199</v>
          </cell>
        </row>
        <row r="20">
          <cell r="Q20">
            <v>57235.360596959588</v>
          </cell>
          <cell r="R20">
            <v>59026.225087050247</v>
          </cell>
        </row>
        <row r="21">
          <cell r="Q21">
            <v>15940.213353596759</v>
          </cell>
          <cell r="R21">
            <v>15672.885508207593</v>
          </cell>
        </row>
        <row r="22">
          <cell r="Q22">
            <v>428.57142857142856</v>
          </cell>
          <cell r="R22">
            <v>248.98532581661414</v>
          </cell>
        </row>
        <row r="50">
          <cell r="Q50">
            <v>88749.306807699206</v>
          </cell>
          <cell r="R50">
            <v>83438.858895705518</v>
          </cell>
        </row>
        <row r="56">
          <cell r="L56">
            <v>64143.580702775471</v>
          </cell>
        </row>
        <row r="80">
          <cell r="H80">
            <v>30027.61</v>
          </cell>
          <cell r="I80">
            <v>32395.294000000002</v>
          </cell>
          <cell r="L80">
            <v>-2367.6839999999993</v>
          </cell>
        </row>
        <row r="85">
          <cell r="H85">
            <v>21151.136666666665</v>
          </cell>
          <cell r="I85">
            <v>20972.915670000002</v>
          </cell>
          <cell r="L85">
            <v>178.22099666666259</v>
          </cell>
          <cell r="Q85">
            <v>96862.617142857125</v>
          </cell>
          <cell r="R85">
            <v>96461.239585062227</v>
          </cell>
        </row>
        <row r="86">
          <cell r="H86">
            <v>5614.4256794387838</v>
          </cell>
          <cell r="I86">
            <v>103704.16099999986</v>
          </cell>
          <cell r="K86">
            <v>-4836.5995714285227</v>
          </cell>
          <cell r="M86">
            <v>40972.217192547512</v>
          </cell>
        </row>
        <row r="89">
          <cell r="Q89">
            <v>73604.145379127775</v>
          </cell>
          <cell r="R89">
            <v>74948.095921074448</v>
          </cell>
        </row>
      </sheetData>
      <sheetData sheetId="21">
        <row r="5">
          <cell r="T5">
            <v>7000</v>
          </cell>
          <cell r="U5">
            <v>5978.5</v>
          </cell>
        </row>
        <row r="9">
          <cell r="E9">
            <v>351</v>
          </cell>
          <cell r="F9">
            <v>321.97565953399896</v>
          </cell>
          <cell r="G9">
            <v>117000</v>
          </cell>
          <cell r="H9">
            <v>117000.00028946348</v>
          </cell>
        </row>
        <row r="10">
          <cell r="E10">
            <v>0</v>
          </cell>
          <cell r="F10">
            <v>11.17584403233476</v>
          </cell>
          <cell r="G10">
            <v>0</v>
          </cell>
          <cell r="H10">
            <v>117000.01701924876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E14">
            <v>0</v>
          </cell>
          <cell r="F14">
            <v>0</v>
          </cell>
        </row>
        <row r="15">
          <cell r="E15">
            <v>351</v>
          </cell>
          <cell r="F15">
            <v>333.1515035663337</v>
          </cell>
        </row>
        <row r="16">
          <cell r="E16">
            <v>705.7</v>
          </cell>
          <cell r="F16">
            <v>766.64384213029018</v>
          </cell>
          <cell r="G16">
            <v>17666.666666666668</v>
          </cell>
          <cell r="H16">
            <v>17751.814728714864</v>
          </cell>
        </row>
        <row r="17">
          <cell r="E17">
            <v>1000.3</v>
          </cell>
          <cell r="F17">
            <v>1028.335710889206</v>
          </cell>
          <cell r="G17">
            <v>17535.712589893774</v>
          </cell>
          <cell r="H17">
            <v>18526.269334455446</v>
          </cell>
        </row>
        <row r="19">
          <cell r="E19">
            <v>2.68</v>
          </cell>
          <cell r="F19">
            <v>3.7658659058487878</v>
          </cell>
        </row>
        <row r="20">
          <cell r="Q20">
            <v>73451.839970337402</v>
          </cell>
          <cell r="R20">
            <v>74709.565763195438</v>
          </cell>
        </row>
        <row r="21">
          <cell r="Q21">
            <v>16720.876288659794</v>
          </cell>
          <cell r="R21">
            <v>15679.349310508798</v>
          </cell>
        </row>
        <row r="22">
          <cell r="Q22">
            <v>357.14285714285717</v>
          </cell>
          <cell r="R22">
            <v>368.01274369947697</v>
          </cell>
        </row>
        <row r="50">
          <cell r="Q50">
            <v>101203.15054471149</v>
          </cell>
          <cell r="R50">
            <v>101325.34854969093</v>
          </cell>
        </row>
        <row r="56">
          <cell r="L56">
            <v>-642.46041117937159</v>
          </cell>
        </row>
        <row r="80">
          <cell r="H80">
            <v>16434.45</v>
          </cell>
          <cell r="I80">
            <v>16992.517</v>
          </cell>
          <cell r="L80">
            <v>-558.06700000000001</v>
          </cell>
        </row>
        <row r="85">
          <cell r="H85">
            <v>12223.494842236318</v>
          </cell>
          <cell r="I85">
            <v>13159.7356</v>
          </cell>
          <cell r="L85">
            <v>-936.24075776368227</v>
          </cell>
          <cell r="Q85">
            <v>122822.5</v>
          </cell>
          <cell r="R85">
            <v>120069.69472182597</v>
          </cell>
        </row>
        <row r="86">
          <cell r="H86">
            <v>122677.50134478325</v>
          </cell>
          <cell r="I86">
            <v>68396.145000000033</v>
          </cell>
          <cell r="K86">
            <v>-14472.873749999942</v>
          </cell>
          <cell r="M86">
            <v>-37671.714425840226</v>
          </cell>
        </row>
        <row r="89">
          <cell r="Q89">
            <v>90529.859116140055</v>
          </cell>
          <cell r="R89">
            <v>90756.927817403717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99953.912734626982</v>
          </cell>
        </row>
        <row r="89">
          <cell r="Q89">
            <v>80453.280019643586</v>
          </cell>
        </row>
        <row r="90">
          <cell r="Q90">
            <v>19500.632714983396</v>
          </cell>
        </row>
      </sheetData>
      <sheetData sheetId="1">
        <row r="5">
          <cell r="T5">
            <v>102264</v>
          </cell>
        </row>
        <row r="85">
          <cell r="Q85">
            <v>97064.272432136422</v>
          </cell>
        </row>
        <row r="89">
          <cell r="Q89">
            <v>82325.824173460802</v>
          </cell>
        </row>
        <row r="90">
          <cell r="Q90">
            <v>14738.44825867562</v>
          </cell>
        </row>
      </sheetData>
      <sheetData sheetId="2">
        <row r="5">
          <cell r="T5">
            <v>132898</v>
          </cell>
        </row>
        <row r="85">
          <cell r="Q85">
            <v>101515.92429601311</v>
          </cell>
        </row>
        <row r="89">
          <cell r="Q89">
            <v>79377.390849466741</v>
          </cell>
        </row>
        <row r="90">
          <cell r="Q90">
            <v>22138.533446546367</v>
          </cell>
        </row>
      </sheetData>
      <sheetData sheetId="3">
        <row r="5">
          <cell r="T5">
            <v>43723.5</v>
          </cell>
        </row>
        <row r="85">
          <cell r="Q85">
            <v>101965.1128340595</v>
          </cell>
        </row>
        <row r="89">
          <cell r="Q89">
            <v>79343.893466899943</v>
          </cell>
        </row>
        <row r="90">
          <cell r="Q90">
            <v>22621.21936715956</v>
          </cell>
        </row>
      </sheetData>
      <sheetData sheetId="4">
        <row r="85">
          <cell r="Q85">
            <v>95522.364021765272</v>
          </cell>
        </row>
        <row r="89">
          <cell r="Q89">
            <v>81107.602320145059</v>
          </cell>
        </row>
      </sheetData>
      <sheetData sheetId="5">
        <row r="85">
          <cell r="Q85">
            <v>97629.192942836991</v>
          </cell>
        </row>
        <row r="89">
          <cell r="Q89">
            <v>84063.445177450078</v>
          </cell>
        </row>
      </sheetData>
      <sheetData sheetId="6">
        <row r="85">
          <cell r="Q85">
            <v>100573.67922384407</v>
          </cell>
        </row>
        <row r="89">
          <cell r="Q89">
            <v>84086.773402674589</v>
          </cell>
        </row>
      </sheetData>
      <sheetData sheetId="7">
        <row r="85">
          <cell r="Q85">
            <v>92187.767468282531</v>
          </cell>
        </row>
        <row r="89">
          <cell r="Q89">
            <v>75942.492159455884</v>
          </cell>
        </row>
      </sheetData>
      <sheetData sheetId="8">
        <row r="85">
          <cell r="Q85">
            <v>105738.43653159773</v>
          </cell>
        </row>
        <row r="89">
          <cell r="Q89">
            <v>82993.734485072127</v>
          </cell>
        </row>
      </sheetData>
      <sheetData sheetId="9">
        <row r="85">
          <cell r="Q85">
            <v>97803.693015474695</v>
          </cell>
        </row>
        <row r="89">
          <cell r="Q89">
            <v>79885.068381430363</v>
          </cell>
        </row>
      </sheetData>
      <sheetData sheetId="10">
        <row r="85">
          <cell r="Q85">
            <v>99339.806927881902</v>
          </cell>
        </row>
        <row r="89">
          <cell r="Q89">
            <v>80683.798815608025</v>
          </cell>
        </row>
      </sheetData>
      <sheetData sheetId="11">
        <row r="85">
          <cell r="Q85">
            <v>103083.79923318229</v>
          </cell>
        </row>
        <row r="89">
          <cell r="Q89">
            <v>81962.525225789985</v>
          </cell>
        </row>
      </sheetData>
      <sheetData sheetId="12">
        <row r="85">
          <cell r="Q85">
            <v>94627.517311021351</v>
          </cell>
        </row>
        <row r="89">
          <cell r="Q89">
            <v>73539.583958453557</v>
          </cell>
        </row>
      </sheetData>
      <sheetData sheetId="13">
        <row r="85">
          <cell r="Q85">
            <v>106478.26162287036</v>
          </cell>
        </row>
        <row r="89">
          <cell r="Q89">
            <v>77287.77022971258</v>
          </cell>
        </row>
      </sheetData>
      <sheetData sheetId="14">
        <row r="85">
          <cell r="Q85">
            <v>99938.046019858346</v>
          </cell>
        </row>
        <row r="89">
          <cell r="Q89">
            <v>74479.859907146965</v>
          </cell>
        </row>
      </sheetData>
      <sheetData sheetId="15">
        <row r="85">
          <cell r="Q85">
            <v>104144.08322496749</v>
          </cell>
        </row>
        <row r="89">
          <cell r="Q89">
            <v>82948.249396919651</v>
          </cell>
        </row>
      </sheetData>
      <sheetData sheetId="16">
        <row r="85">
          <cell r="Q85">
            <v>96755.376146789</v>
          </cell>
        </row>
        <row r="89">
          <cell r="Q89">
            <v>82780.118874733686</v>
          </cell>
        </row>
      </sheetData>
      <sheetData sheetId="17">
        <row r="85">
          <cell r="Q85">
            <v>116692.64081517122</v>
          </cell>
        </row>
        <row r="89">
          <cell r="Q89">
            <v>76321.153410699117</v>
          </cell>
        </row>
      </sheetData>
      <sheetData sheetId="18">
        <row r="85">
          <cell r="Q85">
            <v>102235.71641993751</v>
          </cell>
        </row>
        <row r="89">
          <cell r="Q89">
            <v>69601.844221105523</v>
          </cell>
        </row>
      </sheetData>
      <sheetData sheetId="19">
        <row r="85">
          <cell r="Q85">
            <v>98706.979747220961</v>
          </cell>
        </row>
        <row r="89">
          <cell r="Q89">
            <v>74181.954012486662</v>
          </cell>
        </row>
      </sheetData>
      <sheetData sheetId="20">
        <row r="85">
          <cell r="Q85">
            <v>128698.23670090448</v>
          </cell>
        </row>
        <row r="89">
          <cell r="Q89">
            <v>90773.835965046761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8735.5020000000004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8735.5020000000004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E5">
            <v>8735.5020000000004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8735.5020000000004</v>
          </cell>
        </row>
        <row r="6">
          <cell r="E6">
            <v>6607708.5209999997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6607708.5209999997</v>
          </cell>
        </row>
        <row r="7">
          <cell r="E7">
            <v>872411.16300000064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872411.16300000064</v>
          </cell>
        </row>
        <row r="8">
          <cell r="E8">
            <v>7480119.6840000004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7480119.6840000004</v>
          </cell>
        </row>
        <row r="9">
          <cell r="E9">
            <v>6490572.2549999999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6490572.2549999999</v>
          </cell>
        </row>
        <row r="10">
          <cell r="E10">
            <v>843636.93700000085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843636.93700000085</v>
          </cell>
        </row>
        <row r="11">
          <cell r="E11">
            <v>7334209.1920000007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7334209.1920000007</v>
          </cell>
          <cell r="S11"/>
        </row>
        <row r="12">
          <cell r="E12">
            <v>117136.26599999983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117136.26599999983</v>
          </cell>
        </row>
        <row r="13">
          <cell r="E13">
            <v>28774.225999999791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28774.225999999791</v>
          </cell>
        </row>
        <row r="14">
          <cell r="E14">
            <v>145910.49199999962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145910.49199999962</v>
          </cell>
        </row>
        <row r="15">
          <cell r="E15">
            <v>70886.78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70886.78</v>
          </cell>
          <cell r="S15"/>
        </row>
        <row r="16">
          <cell r="E16">
            <v>15847.56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15847.56</v>
          </cell>
          <cell r="S16"/>
        </row>
        <row r="17">
          <cell r="E17">
            <v>8648.6849999999995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8648.6849999999995</v>
          </cell>
          <cell r="S17"/>
        </row>
        <row r="18">
          <cell r="E18">
            <v>95383.024999999994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95383.024999999994</v>
          </cell>
          <cell r="S18"/>
        </row>
        <row r="19">
          <cell r="E19">
            <v>11423.789000000001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11423.789000000001</v>
          </cell>
          <cell r="S19"/>
        </row>
        <row r="20">
          <cell r="E20">
            <v>1332.098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1332.098</v>
          </cell>
          <cell r="S20"/>
        </row>
        <row r="21">
          <cell r="E21">
            <v>2590.9499999999998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2590.9499999999998</v>
          </cell>
          <cell r="S21"/>
        </row>
        <row r="22"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/>
        </row>
        <row r="23">
          <cell r="E23">
            <v>1579.2090000000001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1579.2090000000001</v>
          </cell>
          <cell r="S23"/>
        </row>
        <row r="24">
          <cell r="E24">
            <v>452.53500000000003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452.53500000000003</v>
          </cell>
          <cell r="S24"/>
        </row>
        <row r="25">
          <cell r="E25">
            <v>170.892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170.892</v>
          </cell>
          <cell r="S25"/>
        </row>
        <row r="26">
          <cell r="E26">
            <v>3462.85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3462.85</v>
          </cell>
          <cell r="S26"/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/>
        </row>
        <row r="28">
          <cell r="E28">
            <v>1016.34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1016.34</v>
          </cell>
          <cell r="S28"/>
        </row>
        <row r="29">
          <cell r="E29">
            <v>122.22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122.22</v>
          </cell>
          <cell r="S29"/>
        </row>
        <row r="30">
          <cell r="E30">
            <v>6089.4709999999995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6089.4709999999995</v>
          </cell>
          <cell r="S30"/>
        </row>
        <row r="31">
          <cell r="E31">
            <v>14376.107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14376.107</v>
          </cell>
          <cell r="S31"/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/>
        </row>
        <row r="33">
          <cell r="E33">
            <v>419.411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419.411</v>
          </cell>
          <cell r="S33"/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/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S35"/>
        </row>
        <row r="36">
          <cell r="E36">
            <v>43035.871999999996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43035.871999999996</v>
          </cell>
          <cell r="S36"/>
        </row>
        <row r="37">
          <cell r="E37">
            <v>138418.897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138418.897</v>
          </cell>
          <cell r="S37"/>
        </row>
        <row r="38">
          <cell r="E38">
            <v>7491.5949999996228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7491.5949999996228</v>
          </cell>
          <cell r="S38"/>
        </row>
        <row r="39">
          <cell r="E39">
            <v>5794.3459999999995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5794.3459999999995</v>
          </cell>
          <cell r="S39"/>
        </row>
        <row r="40">
          <cell r="E40">
            <v>1697.2489999996233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1697.2489999996233</v>
          </cell>
          <cell r="S40"/>
        </row>
        <row r="41">
          <cell r="E41">
            <v>2.2690131598162048E-4</v>
          </cell>
          <cell r="F41" t="e">
            <v>#DIV/0!</v>
          </cell>
          <cell r="G41" t="e">
            <v>#DIV/0!</v>
          </cell>
          <cell r="H41" t="e">
            <v>#DIV/0!</v>
          </cell>
          <cell r="I41" t="e">
            <v>#DIV/0!</v>
          </cell>
          <cell r="J41" t="e">
            <v>#DIV/0!</v>
          </cell>
          <cell r="K41" t="e">
            <v>#DIV/0!</v>
          </cell>
          <cell r="L41" t="e">
            <v>#DIV/0!</v>
          </cell>
          <cell r="M41" t="e">
            <v>#DIV/0!</v>
          </cell>
          <cell r="N41" t="e">
            <v>#DIV/0!</v>
          </cell>
          <cell r="O41" t="e">
            <v>#DIV/0!</v>
          </cell>
          <cell r="P41" t="e">
            <v>#DIV/0!</v>
          </cell>
          <cell r="Q41">
            <v>2.2690131598162048E-4</v>
          </cell>
        </row>
        <row r="42">
          <cell r="E42" t="str">
            <v>1월</v>
          </cell>
          <cell r="F42" t="str">
            <v>2월</v>
          </cell>
          <cell r="G42" t="str">
            <v>3월</v>
          </cell>
          <cell r="H42" t="str">
            <v>4월</v>
          </cell>
          <cell r="I42" t="str">
            <v>5월</v>
          </cell>
          <cell r="J42" t="str">
            <v>6월</v>
          </cell>
          <cell r="K42" t="str">
            <v>7월</v>
          </cell>
          <cell r="L42" t="str">
            <v>8월</v>
          </cell>
          <cell r="M42" t="str">
            <v>9월</v>
          </cell>
          <cell r="N42" t="str">
            <v>10월</v>
          </cell>
          <cell r="O42" t="str">
            <v>11월</v>
          </cell>
          <cell r="P42" t="str">
            <v>12월</v>
          </cell>
          <cell r="Q42" t="str">
            <v>합계</v>
          </cell>
        </row>
        <row r="43">
          <cell r="E43">
            <v>756420.01123690419</v>
          </cell>
          <cell r="F43" t="e">
            <v>#DIV/0!</v>
          </cell>
          <cell r="G43" t="e">
            <v>#DIV/0!</v>
          </cell>
          <cell r="H43" t="e">
            <v>#DIV/0!</v>
          </cell>
          <cell r="I43" t="e">
            <v>#DIV/0!</v>
          </cell>
          <cell r="J43" t="e">
            <v>#DIV/0!</v>
          </cell>
          <cell r="K43" t="e">
            <v>#DIV/0!</v>
          </cell>
          <cell r="L43" t="e">
            <v>#DIV/0!</v>
          </cell>
          <cell r="M43" t="e">
            <v>#DIV/0!</v>
          </cell>
          <cell r="N43" t="e">
            <v>#DIV/0!</v>
          </cell>
          <cell r="O43" t="e">
            <v>#DIV/0!</v>
          </cell>
          <cell r="P43" t="e">
            <v>#DIV/0!</v>
          </cell>
          <cell r="Q43">
            <v>756420.01123690419</v>
          </cell>
        </row>
        <row r="44"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</row>
        <row r="46">
          <cell r="E46">
            <v>856289.61953188269</v>
          </cell>
          <cell r="F46" t="e">
            <v>#DIV/0!</v>
          </cell>
          <cell r="G46" t="e">
            <v>#DIV/0!</v>
          </cell>
          <cell r="H46" t="e">
            <v>#DIV/0!</v>
          </cell>
          <cell r="I46" t="e">
            <v>#DIV/0!</v>
          </cell>
          <cell r="J46" t="e">
            <v>#DIV/0!</v>
          </cell>
          <cell r="K46" t="e">
            <v>#DIV/0!</v>
          </cell>
          <cell r="L46" t="e">
            <v>#DIV/0!</v>
          </cell>
          <cell r="M46" t="e">
            <v>#DIV/0!</v>
          </cell>
          <cell r="N46" t="e">
            <v>#DIV/0!</v>
          </cell>
          <cell r="O46" t="e">
            <v>#DIV/0!</v>
          </cell>
          <cell r="P46" t="e">
            <v>#DIV/0!</v>
          </cell>
          <cell r="Q46">
            <v>856289.61953188269</v>
          </cell>
          <cell r="R46"/>
          <cell r="S46"/>
        </row>
        <row r="47">
          <cell r="E47">
            <v>839586.45902662503</v>
          </cell>
          <cell r="F47" t="e">
            <v>#DIV/0!</v>
          </cell>
          <cell r="G47" t="e">
            <v>#DIV/0!</v>
          </cell>
          <cell r="H47" t="e">
            <v>#DIV/0!</v>
          </cell>
          <cell r="I47" t="e">
            <v>#DIV/0!</v>
          </cell>
          <cell r="J47" t="e">
            <v>#DIV/0!</v>
          </cell>
          <cell r="K47" t="e">
            <v>#DIV/0!</v>
          </cell>
          <cell r="L47" t="e">
            <v>#DIV/0!</v>
          </cell>
          <cell r="M47" t="e">
            <v>#DIV/0!</v>
          </cell>
          <cell r="N47" t="e">
            <v>#DIV/0!</v>
          </cell>
          <cell r="O47" t="e">
            <v>#DIV/0!</v>
          </cell>
          <cell r="P47" t="e">
            <v>#DIV/0!</v>
          </cell>
          <cell r="Q47">
            <v>839586.45902662503</v>
          </cell>
          <cell r="R47"/>
          <cell r="S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E49">
            <v>0.88336935773018566</v>
          </cell>
          <cell r="F49" t="e">
            <v>#DIV/0!</v>
          </cell>
          <cell r="G49" t="e">
            <v>#DIV/0!</v>
          </cell>
          <cell r="H49" t="e">
            <v>#DIV/0!</v>
          </cell>
          <cell r="I49" t="e">
            <v>#DIV/0!</v>
          </cell>
          <cell r="J49" t="e">
            <v>#DIV/0!</v>
          </cell>
          <cell r="K49" t="e">
            <v>#DIV/0!</v>
          </cell>
          <cell r="L49" t="e">
            <v>#DIV/0!</v>
          </cell>
          <cell r="M49" t="e">
            <v>#DIV/0!</v>
          </cell>
          <cell r="N49" t="e">
            <v>#DIV/0!</v>
          </cell>
          <cell r="O49" t="e">
            <v>#DIV/0!</v>
          </cell>
          <cell r="P49" t="e">
            <v>#DIV/0!</v>
          </cell>
          <cell r="Q49">
            <v>0.88336935773018566</v>
          </cell>
          <cell r="R49"/>
          <cell r="S49"/>
        </row>
        <row r="50">
          <cell r="E50">
            <v>0.11663064226981433</v>
          </cell>
          <cell r="F50" t="e">
            <v>#DIV/0!</v>
          </cell>
          <cell r="G50" t="e">
            <v>#DIV/0!</v>
          </cell>
          <cell r="H50" t="e">
            <v>#DIV/0!</v>
          </cell>
          <cell r="I50" t="e">
            <v>#DIV/0!</v>
          </cell>
          <cell r="J50" t="e">
            <v>#DIV/0!</v>
          </cell>
          <cell r="K50" t="e">
            <v>#DIV/0!</v>
          </cell>
          <cell r="L50" t="e">
            <v>#DIV/0!</v>
          </cell>
          <cell r="M50" t="e">
            <v>#DIV/0!</v>
          </cell>
          <cell r="N50" t="e">
            <v>#DIV/0!</v>
          </cell>
          <cell r="O50" t="e">
            <v>#DIV/0!</v>
          </cell>
          <cell r="P50" t="e">
            <v>#DIV/0!</v>
          </cell>
          <cell r="Q50">
            <v>0.11663064226981433</v>
          </cell>
          <cell r="R50"/>
          <cell r="S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E52">
            <v>1.7727214453804725E-2</v>
          </cell>
          <cell r="F52" t="e">
            <v>#DIV/0!</v>
          </cell>
          <cell r="G52" t="e">
            <v>#DIV/0!</v>
          </cell>
          <cell r="H52" t="e">
            <v>#DIV/0!</v>
          </cell>
          <cell r="I52" t="e">
            <v>#DIV/0!</v>
          </cell>
          <cell r="J52" t="e">
            <v>#DIV/0!</v>
          </cell>
          <cell r="K52" t="e">
            <v>#DIV/0!</v>
          </cell>
          <cell r="L52" t="e">
            <v>#DIV/0!</v>
          </cell>
          <cell r="M52" t="e">
            <v>#DIV/0!</v>
          </cell>
          <cell r="N52" t="e">
            <v>#DIV/0!</v>
          </cell>
          <cell r="O52" t="e">
            <v>#DIV/0!</v>
          </cell>
          <cell r="P52" t="e">
            <v>#DIV/0!</v>
          </cell>
          <cell r="Q52">
            <v>1.7727214453804725E-2</v>
          </cell>
          <cell r="R52"/>
          <cell r="S52"/>
        </row>
        <row r="53">
          <cell r="E53">
            <v>3.2982413820855441E-2</v>
          </cell>
          <cell r="F53" t="e">
            <v>#DIV/0!</v>
          </cell>
          <cell r="G53" t="e">
            <v>#DIV/0!</v>
          </cell>
          <cell r="H53" t="e">
            <v>#DIV/0!</v>
          </cell>
          <cell r="I53" t="e">
            <v>#DIV/0!</v>
          </cell>
          <cell r="J53" t="e">
            <v>#DIV/0!</v>
          </cell>
          <cell r="K53" t="e">
            <v>#DIV/0!</v>
          </cell>
          <cell r="L53" t="e">
            <v>#DIV/0!</v>
          </cell>
          <cell r="M53" t="e">
            <v>#DIV/0!</v>
          </cell>
          <cell r="N53" t="e">
            <v>#DIV/0!</v>
          </cell>
          <cell r="O53" t="e">
            <v>#DIV/0!</v>
          </cell>
          <cell r="P53" t="e">
            <v>#DIV/0!</v>
          </cell>
          <cell r="Q53">
            <v>3.2982413820855441E-2</v>
          </cell>
          <cell r="R53"/>
          <cell r="S53"/>
        </row>
        <row r="54">
          <cell r="E54">
            <v>1.9506438153937915E-2</v>
          </cell>
          <cell r="F54" t="e">
            <v>#DIV/0!</v>
          </cell>
          <cell r="G54" t="e">
            <v>#DIV/0!</v>
          </cell>
          <cell r="H54" t="e">
            <v>#DIV/0!</v>
          </cell>
          <cell r="I54" t="e">
            <v>#DIV/0!</v>
          </cell>
          <cell r="J54" t="e">
            <v>#DIV/0!</v>
          </cell>
          <cell r="K54" t="e">
            <v>#DIV/0!</v>
          </cell>
          <cell r="L54" t="e">
            <v>#DIV/0!</v>
          </cell>
          <cell r="M54" t="e">
            <v>#DIV/0!</v>
          </cell>
          <cell r="N54" t="e">
            <v>#DIV/0!</v>
          </cell>
          <cell r="O54" t="e">
            <v>#DIV/0!</v>
          </cell>
          <cell r="P54" t="e">
            <v>#DIV/0!</v>
          </cell>
          <cell r="Q54">
            <v>1.9506438153937915E-2</v>
          </cell>
          <cell r="R54"/>
          <cell r="S54"/>
        </row>
        <row r="55">
          <cell r="R55"/>
          <cell r="S55"/>
        </row>
        <row r="56">
          <cell r="R56"/>
          <cell r="S56"/>
        </row>
      </sheetData>
      <sheetData sheetId="1">
        <row r="8">
          <cell r="G8">
            <v>8735.5020000000004</v>
          </cell>
        </row>
        <row r="9">
          <cell r="G9">
            <v>6607708.5209999997</v>
          </cell>
          <cell r="J9">
            <v>872411.16300000064</v>
          </cell>
        </row>
        <row r="10">
          <cell r="F10">
            <v>872959.18367346935</v>
          </cell>
          <cell r="G10">
            <v>756420.01123690419</v>
          </cell>
        </row>
        <row r="11">
          <cell r="G11">
            <v>6490572.2549999999</v>
          </cell>
          <cell r="J11">
            <v>843636.93700000085</v>
          </cell>
        </row>
        <row r="15">
          <cell r="F15">
            <v>2.4004383401519579E-2</v>
          </cell>
          <cell r="G15">
            <v>1.7727214453804725E-2</v>
          </cell>
        </row>
        <row r="19">
          <cell r="M19">
            <v>95383.024999999994</v>
          </cell>
        </row>
        <row r="37">
          <cell r="M37">
            <v>43035.871999999996</v>
          </cell>
        </row>
        <row r="40">
          <cell r="M40">
            <v>5794.3459999999995</v>
          </cell>
        </row>
        <row r="41">
          <cell r="M41">
            <v>1697.2489999996233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모래장(당월)"/>
      <sheetName val="서부산크라샤(당월)"/>
      <sheetName val="부산크라샤(당월)"/>
    </sheetNames>
    <sheetDataSet>
      <sheetData sheetId="0">
        <row r="47">
          <cell r="Q47">
            <v>5000</v>
          </cell>
          <cell r="R47">
            <v>10608</v>
          </cell>
        </row>
        <row r="48">
          <cell r="Q48">
            <v>14654.135222893778</v>
          </cell>
          <cell r="R48">
            <v>9972</v>
          </cell>
        </row>
        <row r="85">
          <cell r="S85">
            <v>30260</v>
          </cell>
        </row>
        <row r="86">
          <cell r="S86">
            <v>17992</v>
          </cell>
        </row>
      </sheetData>
      <sheetData sheetId="1">
        <row r="59">
          <cell r="F59">
            <v>1000</v>
          </cell>
          <cell r="I59">
            <v>0</v>
          </cell>
          <cell r="L59"/>
          <cell r="N59">
            <v>20000</v>
          </cell>
          <cell r="O59">
            <v>1000</v>
          </cell>
        </row>
        <row r="60">
          <cell r="F60">
            <v>0</v>
          </cell>
          <cell r="I60">
            <v>0</v>
          </cell>
          <cell r="L60">
            <v>0</v>
          </cell>
        </row>
        <row r="61">
          <cell r="F61">
            <v>0</v>
          </cell>
          <cell r="I61">
            <v>0</v>
          </cell>
          <cell r="L61">
            <v>0</v>
          </cell>
        </row>
        <row r="62">
          <cell r="F62">
            <v>0</v>
          </cell>
          <cell r="I62">
            <v>0</v>
          </cell>
          <cell r="L62">
            <v>0</v>
          </cell>
        </row>
        <row r="63">
          <cell r="F63">
            <v>0</v>
          </cell>
          <cell r="I63">
            <v>0</v>
          </cell>
          <cell r="L63">
            <v>0</v>
          </cell>
        </row>
        <row r="64">
          <cell r="F64">
            <v>0</v>
          </cell>
          <cell r="I64">
            <v>0</v>
          </cell>
          <cell r="L64">
            <v>0</v>
          </cell>
        </row>
        <row r="65">
          <cell r="F65">
            <v>0</v>
          </cell>
          <cell r="I65">
            <v>0</v>
          </cell>
          <cell r="L65">
            <v>0</v>
          </cell>
        </row>
        <row r="66">
          <cell r="F66">
            <v>0</v>
          </cell>
          <cell r="I66">
            <v>0</v>
          </cell>
          <cell r="L66">
            <v>0</v>
          </cell>
          <cell r="N66">
            <v>16437.860215053763</v>
          </cell>
          <cell r="O66">
            <v>0</v>
          </cell>
        </row>
        <row r="71">
          <cell r="F71">
            <v>11500</v>
          </cell>
          <cell r="I71">
            <v>0</v>
          </cell>
          <cell r="L71">
            <v>0</v>
          </cell>
        </row>
        <row r="72">
          <cell r="F72">
            <v>0</v>
          </cell>
          <cell r="I72">
            <v>0</v>
          </cell>
          <cell r="L72">
            <v>0</v>
          </cell>
        </row>
        <row r="86">
          <cell r="F86">
            <v>-119399.60527004489</v>
          </cell>
          <cell r="I86">
            <v>0</v>
          </cell>
          <cell r="L86">
            <v>0</v>
          </cell>
        </row>
        <row r="87">
          <cell r="F87">
            <v>0</v>
          </cell>
          <cell r="I87">
            <v>0</v>
          </cell>
          <cell r="L87">
            <v>0</v>
          </cell>
        </row>
      </sheetData>
      <sheetData sheetId="2">
        <row r="59">
          <cell r="F59">
            <v>848</v>
          </cell>
          <cell r="I59">
            <v>5536</v>
          </cell>
          <cell r="L59">
            <v>0</v>
          </cell>
          <cell r="N59">
            <v>19000</v>
          </cell>
          <cell r="O59">
            <v>6384</v>
          </cell>
        </row>
        <row r="60">
          <cell r="F60">
            <v>6878</v>
          </cell>
          <cell r="I60">
            <v>4770</v>
          </cell>
          <cell r="L60">
            <v>0</v>
          </cell>
        </row>
        <row r="61">
          <cell r="F61">
            <v>5088</v>
          </cell>
          <cell r="I61">
            <v>2480</v>
          </cell>
          <cell r="L61">
            <v>0</v>
          </cell>
        </row>
        <row r="62">
          <cell r="F62">
            <v>0</v>
          </cell>
          <cell r="I62">
            <v>0</v>
          </cell>
          <cell r="L62">
            <v>0</v>
          </cell>
        </row>
        <row r="63">
          <cell r="F63">
            <v>0</v>
          </cell>
          <cell r="I63">
            <v>1072</v>
          </cell>
          <cell r="L63">
            <v>0</v>
          </cell>
        </row>
        <row r="64">
          <cell r="F64">
            <v>0</v>
          </cell>
          <cell r="I64">
            <v>0</v>
          </cell>
          <cell r="L64">
            <v>0</v>
          </cell>
        </row>
        <row r="65">
          <cell r="F65">
            <v>0</v>
          </cell>
          <cell r="I65">
            <v>0</v>
          </cell>
          <cell r="L65">
            <v>0</v>
          </cell>
        </row>
        <row r="66">
          <cell r="F66">
            <v>11966</v>
          </cell>
          <cell r="I66">
            <v>8322</v>
          </cell>
          <cell r="L66">
            <v>0</v>
          </cell>
          <cell r="N66">
            <v>15726.295366666665</v>
          </cell>
          <cell r="O66">
            <v>20288</v>
          </cell>
        </row>
        <row r="71">
          <cell r="F71">
            <v>11024</v>
          </cell>
          <cell r="I71">
            <v>99904</v>
          </cell>
          <cell r="L71">
            <v>0</v>
          </cell>
        </row>
        <row r="72">
          <cell r="F72">
            <v>181421</v>
          </cell>
          <cell r="I72">
            <v>176031</v>
          </cell>
          <cell r="L72">
            <v>0</v>
          </cell>
        </row>
        <row r="86">
          <cell r="F86">
            <v>-8778.6542346856113</v>
          </cell>
          <cell r="I86">
            <v>-29774.12680569385</v>
          </cell>
          <cell r="L86">
            <v>0</v>
          </cell>
        </row>
        <row r="87">
          <cell r="F87">
            <v>-99230.286210428312</v>
          </cell>
          <cell r="I87">
            <v>-20126.23815919226</v>
          </cell>
          <cell r="L87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"/>
      <sheetName val="판매계획"/>
      <sheetName val="매입계획"/>
      <sheetName val="비율"/>
      <sheetName val="판매4"/>
      <sheetName val="판매6"/>
      <sheetName val="인별예산"/>
      <sheetName val="계정통제"/>
      <sheetName val="본사산출"/>
    </sheetNames>
    <sheetDataSet>
      <sheetData sheetId="0">
        <row r="5">
          <cell r="E5"/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금액</v>
          </cell>
          <cell r="T5" t="str">
            <v>단위당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9800</v>
          </cell>
          <cell r="H6">
            <v>10200</v>
          </cell>
          <cell r="I6">
            <v>10200</v>
          </cell>
          <cell r="J6">
            <v>11100</v>
          </cell>
          <cell r="K6">
            <v>10700</v>
          </cell>
          <cell r="L6">
            <v>10200</v>
          </cell>
          <cell r="M6">
            <v>13500</v>
          </cell>
          <cell r="N6">
            <v>12600</v>
          </cell>
          <cell r="O6">
            <v>12600</v>
          </cell>
          <cell r="P6">
            <v>11000</v>
          </cell>
          <cell r="Q6">
            <v>12600</v>
          </cell>
          <cell r="R6">
            <v>13100</v>
          </cell>
          <cell r="S6">
            <v>137600</v>
          </cell>
          <cell r="T6"/>
          <cell r="U6"/>
          <cell r="V6">
            <v>20000</v>
          </cell>
          <cell r="W6">
            <v>30200</v>
          </cell>
          <cell r="X6">
            <v>41300</v>
          </cell>
          <cell r="Y6">
            <v>52000</v>
          </cell>
          <cell r="Z6">
            <v>62200</v>
          </cell>
          <cell r="AA6">
            <v>75700</v>
          </cell>
          <cell r="AB6">
            <v>88300</v>
          </cell>
          <cell r="AC6">
            <v>100900</v>
          </cell>
          <cell r="AD6">
            <v>111900</v>
          </cell>
          <cell r="AE6">
            <v>124500</v>
          </cell>
          <cell r="AF6">
            <v>137600</v>
          </cell>
        </row>
        <row r="7">
          <cell r="G7">
            <v>10731322.812054796</v>
          </cell>
          <cell r="H7">
            <v>11165945.543013699</v>
          </cell>
          <cell r="I7">
            <v>11165945.543013699</v>
          </cell>
          <cell r="J7">
            <v>12145191.004931508</v>
          </cell>
          <cell r="K7">
            <v>11710568.273972601</v>
          </cell>
          <cell r="L7">
            <v>11165945.543013699</v>
          </cell>
          <cell r="M7">
            <v>14694152.390399996</v>
          </cell>
          <cell r="N7">
            <v>13712918.880000001</v>
          </cell>
          <cell r="O7">
            <v>13712918.880000001</v>
          </cell>
          <cell r="P7">
            <v>11978568.614399999</v>
          </cell>
          <cell r="Q7">
            <v>13712918.880000001</v>
          </cell>
          <cell r="R7">
            <v>14246035.635199999</v>
          </cell>
          <cell r="S7">
            <v>150142431.99999997</v>
          </cell>
          <cell r="T7">
            <v>1091151.3953488369</v>
          </cell>
          <cell r="U7"/>
          <cell r="V7">
            <v>21897268.355068497</v>
          </cell>
          <cell r="W7">
            <v>33063213.898082197</v>
          </cell>
          <cell r="X7">
            <v>45208404.903013706</v>
          </cell>
          <cell r="Y7">
            <v>56918973.176986307</v>
          </cell>
          <cell r="Z7">
            <v>68084918.719999999</v>
          </cell>
          <cell r="AA7">
            <v>82779071.110399991</v>
          </cell>
          <cell r="AB7">
            <v>96491989.990399987</v>
          </cell>
          <cell r="AC7">
            <v>110204908.87039998</v>
          </cell>
          <cell r="AD7">
            <v>122183477.48479998</v>
          </cell>
          <cell r="AE7">
            <v>135896396.36479998</v>
          </cell>
          <cell r="AF7">
            <v>150142431.99999997</v>
          </cell>
        </row>
        <row r="8">
          <cell r="G8">
            <v>1095032.9400055914</v>
          </cell>
          <cell r="H8">
            <v>1094700.5434327156</v>
          </cell>
          <cell r="I8">
            <v>1094700.5434327156</v>
          </cell>
          <cell r="J8">
            <v>1094161.3517956315</v>
          </cell>
          <cell r="K8">
            <v>1094445.6330815514</v>
          </cell>
          <cell r="L8">
            <v>1094700.5434327156</v>
          </cell>
          <cell r="M8">
            <v>1088455.7326222218</v>
          </cell>
          <cell r="N8">
            <v>1088326.8952380954</v>
          </cell>
          <cell r="O8">
            <v>1088326.8952380954</v>
          </cell>
          <cell r="P8">
            <v>1088960.7831272727</v>
          </cell>
          <cell r="Q8">
            <v>1088326.8952380954</v>
          </cell>
          <cell r="R8">
            <v>1087483.6362748093</v>
          </cell>
          <cell r="S8">
            <v>13097622.392919512</v>
          </cell>
          <cell r="T8">
            <v>95186.209250868545</v>
          </cell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</row>
        <row r="9">
          <cell r="G9">
            <v>10441182.304265575</v>
          </cell>
          <cell r="H9">
            <v>10864468.817494512</v>
          </cell>
          <cell r="I9">
            <v>10864468.817494512</v>
          </cell>
          <cell r="J9">
            <v>11817136.843952389</v>
          </cell>
          <cell r="K9">
            <v>11393850.330723453</v>
          </cell>
          <cell r="L9">
            <v>10864468.817494512</v>
          </cell>
          <cell r="M9">
            <v>14298333.470727189</v>
          </cell>
          <cell r="N9">
            <v>13342736.269191843</v>
          </cell>
          <cell r="O9">
            <v>13342736.269191843</v>
          </cell>
          <cell r="P9">
            <v>11655606.716888821</v>
          </cell>
          <cell r="Q9">
            <v>13342736.269191843</v>
          </cell>
          <cell r="R9">
            <v>13862078.619959515</v>
          </cell>
          <cell r="S9">
            <v>146089803.54657599</v>
          </cell>
          <cell r="T9">
            <v>1061699.1536815118</v>
          </cell>
          <cell r="U9"/>
          <cell r="V9">
            <v>21305651.121760085</v>
          </cell>
          <cell r="W9">
            <v>32170119.939254597</v>
          </cell>
          <cell r="X9">
            <v>43987256.783206984</v>
          </cell>
          <cell r="Y9">
            <v>55381107.113930434</v>
          </cell>
          <cell r="Z9">
            <v>66245575.931424946</v>
          </cell>
          <cell r="AA9">
            <v>80543909.402152136</v>
          </cell>
          <cell r="AB9">
            <v>93886645.671343982</v>
          </cell>
          <cell r="AC9">
            <v>107229381.94053583</v>
          </cell>
          <cell r="AD9">
            <v>118884988.65742464</v>
          </cell>
          <cell r="AE9">
            <v>132227724.92661649</v>
          </cell>
          <cell r="AF9">
            <v>146089803.54657599</v>
          </cell>
        </row>
        <row r="10">
          <cell r="G10">
            <v>1065426.7657413853</v>
          </cell>
          <cell r="H10">
            <v>1065144.0017151483</v>
          </cell>
          <cell r="I10">
            <v>1065144.0017151483</v>
          </cell>
          <cell r="J10">
            <v>1064606.9228785937</v>
          </cell>
          <cell r="K10">
            <v>1064845.8253012572</v>
          </cell>
          <cell r="L10">
            <v>1065144.0017151483</v>
          </cell>
          <cell r="M10">
            <v>1059135.8126464584</v>
          </cell>
          <cell r="N10">
            <v>1058947.3229517334</v>
          </cell>
          <cell r="O10">
            <v>1058947.3229517334</v>
          </cell>
          <cell r="P10">
            <v>1059600.6106262563</v>
          </cell>
          <cell r="Q10">
            <v>1058947.3229517334</v>
          </cell>
          <cell r="R10">
            <v>1058173.9404549249</v>
          </cell>
          <cell r="S10">
            <v>12744063.851649521</v>
          </cell>
          <cell r="T10">
            <v>92616.743107918024</v>
          </cell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</row>
        <row r="11">
          <cell r="G11">
            <v>290140.50778922066</v>
          </cell>
          <cell r="H11">
            <v>301476.72551918775</v>
          </cell>
          <cell r="I11">
            <v>301476.72551918775</v>
          </cell>
          <cell r="J11">
            <v>328054.1609791182</v>
          </cell>
          <cell r="K11">
            <v>316717.94324914739</v>
          </cell>
          <cell r="L11">
            <v>301476.72551918775</v>
          </cell>
          <cell r="M11">
            <v>395818.91967280768</v>
          </cell>
          <cell r="N11">
            <v>370182.61080815829</v>
          </cell>
          <cell r="O11">
            <v>370182.61080815829</v>
          </cell>
          <cell r="P11">
            <v>322961.89751117863</v>
          </cell>
          <cell r="Q11">
            <v>370182.61080815829</v>
          </cell>
          <cell r="R11">
            <v>383957.01524048485</v>
          </cell>
          <cell r="S11">
            <v>4052628.4534239955</v>
          </cell>
          <cell r="T11">
            <v>29452.24166732555</v>
          </cell>
          <cell r="U11"/>
          <cell r="V11">
            <v>591617.23330841213</v>
          </cell>
          <cell r="W11">
            <v>893093.95882759988</v>
          </cell>
          <cell r="X11">
            <v>1221148.1198067218</v>
          </cell>
          <cell r="Y11">
            <v>1537866.0630558729</v>
          </cell>
          <cell r="Z11">
            <v>1839342.7885750532</v>
          </cell>
          <cell r="AA11">
            <v>2235161.7082478553</v>
          </cell>
          <cell r="AB11">
            <v>2605344.3190560043</v>
          </cell>
          <cell r="AC11">
            <v>2975526.9298641533</v>
          </cell>
          <cell r="AD11">
            <v>3298488.8273753375</v>
          </cell>
          <cell r="AE11">
            <v>3668671.4381834865</v>
          </cell>
          <cell r="AF11">
            <v>4052628.4534239769</v>
          </cell>
        </row>
        <row r="12">
          <cell r="G12">
            <v>29606.174264206187</v>
          </cell>
          <cell r="H12">
            <v>29556.541717567427</v>
          </cell>
          <cell r="I12">
            <v>29556.541717567427</v>
          </cell>
          <cell r="J12">
            <v>29554.428917037676</v>
          </cell>
          <cell r="K12">
            <v>29599.807780294148</v>
          </cell>
          <cell r="L12">
            <v>29556.541717567427</v>
          </cell>
          <cell r="M12">
            <v>29319.919975763532</v>
          </cell>
          <cell r="N12">
            <v>29379.572286361767</v>
          </cell>
          <cell r="O12">
            <v>29379.572286361767</v>
          </cell>
          <cell r="P12">
            <v>29360.172501016241</v>
          </cell>
          <cell r="Q12">
            <v>29379.572286361767</v>
          </cell>
          <cell r="R12">
            <v>29309.695819884339</v>
          </cell>
          <cell r="S12">
            <v>353558.54126998968</v>
          </cell>
          <cell r="T12">
            <v>2569.4661429505063</v>
          </cell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</row>
        <row r="13">
          <cell r="G13">
            <v>2.7036788741766085E-2</v>
          </cell>
          <cell r="H13">
            <v>2.6999659308549601E-2</v>
          </cell>
          <cell r="I13">
            <v>2.6999659308549601E-2</v>
          </cell>
          <cell r="J13">
            <v>2.7011033490203083E-2</v>
          </cell>
          <cell r="K13">
            <v>2.7045480273837002E-2</v>
          </cell>
          <cell r="L13">
            <v>2.6999659308549601E-2</v>
          </cell>
          <cell r="M13">
            <v>2.6937172635517558E-2</v>
          </cell>
          <cell r="N13">
            <v>2.6995172511963279E-2</v>
          </cell>
          <cell r="O13">
            <v>2.6995172511963279E-2</v>
          </cell>
          <cell r="P13">
            <v>2.6961643574252351E-2</v>
          </cell>
          <cell r="Q13">
            <v>2.6995172511963279E-2</v>
          </cell>
          <cell r="R13">
            <v>2.6951849979357047E-2</v>
          </cell>
          <cell r="S13">
            <v>2.6991892960838655E-2</v>
          </cell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</row>
        <row r="14">
          <cell r="G14">
            <v>117303.42</v>
          </cell>
          <cell r="H14">
            <v>124380.2</v>
          </cell>
          <cell r="I14">
            <v>131106</v>
          </cell>
          <cell r="J14">
            <v>117386.58000000002</v>
          </cell>
          <cell r="K14">
            <v>118764.58000000002</v>
          </cell>
          <cell r="L14">
            <v>128141.56000000001</v>
          </cell>
          <cell r="M14">
            <v>116814.58000000002</v>
          </cell>
          <cell r="N14">
            <v>116814.58000000002</v>
          </cell>
          <cell r="O14">
            <v>140361.42000000001</v>
          </cell>
          <cell r="P14">
            <v>117425.58000000002</v>
          </cell>
          <cell r="Q14">
            <v>116814.58000000002</v>
          </cell>
          <cell r="R14">
            <v>118641.56000000001</v>
          </cell>
          <cell r="S14">
            <v>1463954.6400000004</v>
          </cell>
          <cell r="T14">
            <v>10639.205232558143</v>
          </cell>
          <cell r="U14"/>
          <cell r="V14">
            <v>241683.62</v>
          </cell>
          <cell r="W14">
            <v>372789.62</v>
          </cell>
          <cell r="X14">
            <v>490176.2</v>
          </cell>
          <cell r="Y14">
            <v>608940.78</v>
          </cell>
          <cell r="Z14">
            <v>737082.34000000008</v>
          </cell>
          <cell r="AA14">
            <v>853896.92000000016</v>
          </cell>
          <cell r="AB14">
            <v>970711.50000000023</v>
          </cell>
          <cell r="AC14">
            <v>1111072.9200000002</v>
          </cell>
          <cell r="AD14">
            <v>1228498.5000000002</v>
          </cell>
          <cell r="AE14">
            <v>1345313.0800000003</v>
          </cell>
          <cell r="AF14">
            <v>1463954.6400000001</v>
          </cell>
        </row>
        <row r="15">
          <cell r="G15">
            <v>87502.28</v>
          </cell>
          <cell r="H15">
            <v>87502.28</v>
          </cell>
          <cell r="I15">
            <v>89090.290000000008</v>
          </cell>
          <cell r="J15">
            <v>89090.290000000008</v>
          </cell>
          <cell r="K15">
            <v>89090.290000000008</v>
          </cell>
          <cell r="L15">
            <v>89090.290000000008</v>
          </cell>
          <cell r="M15">
            <v>89090.290000000008</v>
          </cell>
          <cell r="N15">
            <v>89090.290000000008</v>
          </cell>
          <cell r="O15">
            <v>89090.290000000008</v>
          </cell>
          <cell r="P15">
            <v>89090.290000000008</v>
          </cell>
          <cell r="Q15">
            <v>89090.290000000008</v>
          </cell>
          <cell r="R15">
            <v>89090.290000000008</v>
          </cell>
          <cell r="S15">
            <v>1065907.4600000002</v>
          </cell>
          <cell r="T15">
            <v>7746.420494186048</v>
          </cell>
          <cell r="U15"/>
          <cell r="V15">
            <v>175004.56</v>
          </cell>
          <cell r="W15">
            <v>264094.84999999998</v>
          </cell>
          <cell r="X15">
            <v>353185.14</v>
          </cell>
          <cell r="Y15">
            <v>442275.43000000005</v>
          </cell>
          <cell r="Z15">
            <v>531365.72000000009</v>
          </cell>
          <cell r="AA15">
            <v>620456.01000000013</v>
          </cell>
          <cell r="AB15">
            <v>709546.30000000016</v>
          </cell>
          <cell r="AC15">
            <v>798636.5900000002</v>
          </cell>
          <cell r="AD15">
            <v>887726.88000000024</v>
          </cell>
          <cell r="AE15">
            <v>976817.17000000027</v>
          </cell>
          <cell r="AF15">
            <v>1065907.4600000002</v>
          </cell>
        </row>
        <row r="16">
          <cell r="G16">
            <v>29801.14</v>
          </cell>
          <cell r="H16">
            <v>36877.919999999998</v>
          </cell>
          <cell r="I16">
            <v>42015.71</v>
          </cell>
          <cell r="J16">
            <v>28296.29</v>
          </cell>
          <cell r="K16">
            <v>29674.29</v>
          </cell>
          <cell r="L16">
            <v>39051.270000000004</v>
          </cell>
          <cell r="M16">
            <v>27724.29</v>
          </cell>
          <cell r="N16">
            <v>27724.29</v>
          </cell>
          <cell r="O16">
            <v>51271.130000000005</v>
          </cell>
          <cell r="P16">
            <v>28335.29</v>
          </cell>
          <cell r="Q16">
            <v>27724.29</v>
          </cell>
          <cell r="R16">
            <v>29551.27</v>
          </cell>
          <cell r="S16">
            <v>398047.18</v>
          </cell>
          <cell r="T16">
            <v>2892.7847383720932</v>
          </cell>
          <cell r="U16"/>
          <cell r="V16">
            <v>66679.06</v>
          </cell>
          <cell r="W16">
            <v>108694.76999999999</v>
          </cell>
          <cell r="X16">
            <v>136991.06</v>
          </cell>
          <cell r="Y16">
            <v>166665.35</v>
          </cell>
          <cell r="Z16">
            <v>205716.62</v>
          </cell>
          <cell r="AA16">
            <v>233440.91</v>
          </cell>
          <cell r="AB16">
            <v>261165.2</v>
          </cell>
          <cell r="AC16">
            <v>312436.33</v>
          </cell>
          <cell r="AD16">
            <v>340771.62</v>
          </cell>
          <cell r="AE16">
            <v>368495.91</v>
          </cell>
          <cell r="AF16">
            <v>398047.18</v>
          </cell>
        </row>
        <row r="17">
          <cell r="G17">
            <v>172837.08778922068</v>
          </cell>
          <cell r="H17">
            <v>177096.52551918774</v>
          </cell>
          <cell r="I17">
            <v>170370.72551918775</v>
          </cell>
          <cell r="J17">
            <v>210667.58097911818</v>
          </cell>
          <cell r="K17">
            <v>197953.36324914737</v>
          </cell>
          <cell r="L17">
            <v>173335.16551918775</v>
          </cell>
          <cell r="M17">
            <v>279004.33967280766</v>
          </cell>
          <cell r="N17">
            <v>253368.03080815828</v>
          </cell>
          <cell r="O17">
            <v>229821.19080815828</v>
          </cell>
          <cell r="P17">
            <v>205536.31751117861</v>
          </cell>
          <cell r="Q17">
            <v>253368.03080815828</v>
          </cell>
          <cell r="R17">
            <v>265315.45524048485</v>
          </cell>
          <cell r="S17">
            <v>2588673.8134239954</v>
          </cell>
          <cell r="T17">
            <v>18813.036434767408</v>
          </cell>
          <cell r="U17"/>
          <cell r="V17">
            <v>349933.61330841214</v>
          </cell>
          <cell r="W17">
            <v>520304.33882759989</v>
          </cell>
          <cell r="X17">
            <v>730971.91980672185</v>
          </cell>
          <cell r="Y17">
            <v>928925.28305587289</v>
          </cell>
          <cell r="Z17">
            <v>1102260.4485750531</v>
          </cell>
          <cell r="AA17">
            <v>1381264.7882478551</v>
          </cell>
          <cell r="AB17">
            <v>1634632.8190560041</v>
          </cell>
          <cell r="AC17">
            <v>1864454.0098641531</v>
          </cell>
          <cell r="AD17">
            <v>2069990.3273753372</v>
          </cell>
          <cell r="AE17">
            <v>2323358.3581834864</v>
          </cell>
          <cell r="AF17">
            <v>2588673.8134239768</v>
          </cell>
        </row>
        <row r="18">
          <cell r="G18">
            <v>1.6105851144005093E-2</v>
          </cell>
          <cell r="H18">
            <v>1.5860414582622908E-2</v>
          </cell>
          <cell r="I18">
            <v>1.5258065236202515E-2</v>
          </cell>
          <cell r="J18">
            <v>1.7345761041845899E-2</v>
          </cell>
          <cell r="K18">
            <v>1.6903822138940081E-2</v>
          </cell>
          <cell r="L18">
            <v>1.5523554619844978E-2</v>
          </cell>
          <cell r="M18">
            <v>1.8987440191180212E-2</v>
          </cell>
          <cell r="N18">
            <v>1.8476593716140927E-2</v>
          </cell>
          <cell r="O18">
            <v>1.6759465495223454E-2</v>
          </cell>
          <cell r="P18">
            <v>1.715867096708815E-2</v>
          </cell>
          <cell r="Q18">
            <v>1.8476593716140927E-2</v>
          </cell>
          <cell r="R18">
            <v>1.8623809601102412E-2</v>
          </cell>
          <cell r="S18">
            <v>1.7241453857787491E-2</v>
          </cell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</row>
        <row r="19">
          <cell r="G19">
            <v>5475.768</v>
          </cell>
          <cell r="H19">
            <v>5475.768</v>
          </cell>
          <cell r="I19">
            <v>5475.768</v>
          </cell>
          <cell r="J19">
            <v>5475.768</v>
          </cell>
          <cell r="K19">
            <v>5475.768</v>
          </cell>
          <cell r="L19">
            <v>5475.768</v>
          </cell>
          <cell r="M19">
            <v>5475.768</v>
          </cell>
          <cell r="N19">
            <v>5475.768</v>
          </cell>
          <cell r="O19">
            <v>5475.768</v>
          </cell>
          <cell r="P19">
            <v>5475.768</v>
          </cell>
          <cell r="Q19">
            <v>5475.768</v>
          </cell>
          <cell r="R19">
            <v>5475.768</v>
          </cell>
          <cell r="S19">
            <v>65709.215999999986</v>
          </cell>
          <cell r="T19">
            <v>477.53790697674407</v>
          </cell>
          <cell r="U19"/>
          <cell r="V19">
            <v>10951.536</v>
          </cell>
          <cell r="W19">
            <v>16427.304</v>
          </cell>
          <cell r="X19">
            <v>21903.072</v>
          </cell>
          <cell r="Y19">
            <v>27378.84</v>
          </cell>
          <cell r="Z19">
            <v>32854.608</v>
          </cell>
          <cell r="AA19">
            <v>38330.376000000004</v>
          </cell>
          <cell r="AB19">
            <v>43806.144</v>
          </cell>
          <cell r="AC19">
            <v>49281.911999999997</v>
          </cell>
          <cell r="AD19">
            <v>54757.679999999993</v>
          </cell>
          <cell r="AE19">
            <v>60233.447999999989</v>
          </cell>
          <cell r="AF19">
            <v>65709.215999999986</v>
          </cell>
        </row>
        <row r="20">
          <cell r="G20">
            <v>5475.768</v>
          </cell>
          <cell r="H20">
            <v>5475.768</v>
          </cell>
          <cell r="I20">
            <v>5475.768</v>
          </cell>
          <cell r="J20">
            <v>5475.768</v>
          </cell>
          <cell r="K20">
            <v>5475.768</v>
          </cell>
          <cell r="L20">
            <v>5475.768</v>
          </cell>
          <cell r="M20">
            <v>5475.768</v>
          </cell>
          <cell r="N20">
            <v>5475.768</v>
          </cell>
          <cell r="O20">
            <v>5475.768</v>
          </cell>
          <cell r="P20">
            <v>5475.768</v>
          </cell>
          <cell r="Q20">
            <v>5475.768</v>
          </cell>
          <cell r="R20">
            <v>5475.768</v>
          </cell>
          <cell r="S20">
            <v>65709.215999999986</v>
          </cell>
          <cell r="T20">
            <v>477.53790697674407</v>
          </cell>
          <cell r="U20"/>
          <cell r="V20">
            <v>10951.536</v>
          </cell>
          <cell r="W20">
            <v>16427.304</v>
          </cell>
          <cell r="X20">
            <v>21903.072</v>
          </cell>
          <cell r="Y20">
            <v>27378.84</v>
          </cell>
          <cell r="Z20">
            <v>32854.608</v>
          </cell>
          <cell r="AA20">
            <v>38330.376000000004</v>
          </cell>
          <cell r="AB20">
            <v>43806.144</v>
          </cell>
          <cell r="AC20">
            <v>49281.911999999997</v>
          </cell>
          <cell r="AD20">
            <v>54757.679999999993</v>
          </cell>
          <cell r="AE20">
            <v>60233.447999999989</v>
          </cell>
          <cell r="AF20">
            <v>65709.215999999986</v>
          </cell>
        </row>
        <row r="21">
          <cell r="G21">
            <v>167361.31978922067</v>
          </cell>
          <cell r="H21">
            <v>171620.75751918773</v>
          </cell>
          <cell r="I21">
            <v>164894.95751918774</v>
          </cell>
          <cell r="J21">
            <v>205191.81297911817</v>
          </cell>
          <cell r="K21">
            <v>192477.59524914736</v>
          </cell>
          <cell r="L21">
            <v>167859.39751918774</v>
          </cell>
          <cell r="M21">
            <v>273528.57167280768</v>
          </cell>
          <cell r="N21">
            <v>247892.26280815827</v>
          </cell>
          <cell r="O21">
            <v>224345.42280815827</v>
          </cell>
          <cell r="P21">
            <v>200060.5495111786</v>
          </cell>
          <cell r="Q21">
            <v>247892.26280815827</v>
          </cell>
          <cell r="R21">
            <v>259839.68724048484</v>
          </cell>
          <cell r="S21">
            <v>2522964.5974239949</v>
          </cell>
          <cell r="T21">
            <v>18335.498527790664</v>
          </cell>
          <cell r="U21"/>
          <cell r="V21">
            <v>338982.07730841212</v>
          </cell>
          <cell r="W21">
            <v>503877.03482759988</v>
          </cell>
          <cell r="X21">
            <v>709068.84780672181</v>
          </cell>
          <cell r="Y21">
            <v>901546.44305587292</v>
          </cell>
          <cell r="Z21">
            <v>1069405.8405750531</v>
          </cell>
          <cell r="AA21">
            <v>1342934.4122478552</v>
          </cell>
          <cell r="AB21">
            <v>1590826.675056004</v>
          </cell>
          <cell r="AC21">
            <v>1815172.0978641531</v>
          </cell>
          <cell r="AD21">
            <v>2015232.6473753373</v>
          </cell>
          <cell r="AE21">
            <v>2263124.9101834865</v>
          </cell>
          <cell r="AF21">
            <v>2522964.5974239768</v>
          </cell>
        </row>
        <row r="22">
          <cell r="G22">
            <v>1.5595590843769885E-2</v>
          </cell>
          <cell r="H22">
            <v>1.5370015629940743E-2</v>
          </cell>
          <cell r="I22">
            <v>1.476766628352035E-2</v>
          </cell>
          <cell r="J22">
            <v>1.6894902097118178E-2</v>
          </cell>
          <cell r="K22">
            <v>1.6436230142386828E-2</v>
          </cell>
          <cell r="L22">
            <v>1.5033155667162812E-2</v>
          </cell>
          <cell r="M22">
            <v>1.8614790728011622E-2</v>
          </cell>
          <cell r="N22">
            <v>1.8077279168456532E-2</v>
          </cell>
          <cell r="O22">
            <v>1.6360150947539058E-2</v>
          </cell>
          <cell r="P22">
            <v>1.6701540555578272E-2</v>
          </cell>
          <cell r="Q22">
            <v>1.8077279168456532E-2</v>
          </cell>
          <cell r="R22">
            <v>1.8239438247540013E-2</v>
          </cell>
          <cell r="S22">
            <v>1.6803807982969102E-2</v>
          </cell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S23"/>
        </row>
        <row r="24">
          <cell r="G24">
            <v>9800</v>
          </cell>
          <cell r="H24">
            <v>10200</v>
          </cell>
          <cell r="I24">
            <v>10200</v>
          </cell>
          <cell r="J24">
            <v>11100</v>
          </cell>
          <cell r="K24">
            <v>10700</v>
          </cell>
          <cell r="L24">
            <v>10200</v>
          </cell>
          <cell r="M24">
            <v>13500</v>
          </cell>
          <cell r="N24">
            <v>12600</v>
          </cell>
          <cell r="O24">
            <v>12600</v>
          </cell>
          <cell r="P24">
            <v>11000</v>
          </cell>
          <cell r="Q24">
            <v>12600</v>
          </cell>
          <cell r="R24">
            <v>13100</v>
          </cell>
          <cell r="S24">
            <v>137600</v>
          </cell>
          <cell r="T24"/>
          <cell r="U24"/>
          <cell r="V24">
            <v>20000</v>
          </cell>
          <cell r="W24">
            <v>30200</v>
          </cell>
          <cell r="X24">
            <v>41300</v>
          </cell>
          <cell r="Y24">
            <v>52000</v>
          </cell>
          <cell r="Z24">
            <v>62200</v>
          </cell>
          <cell r="AA24">
            <v>75700</v>
          </cell>
          <cell r="AB24">
            <v>88300</v>
          </cell>
          <cell r="AC24">
            <v>100900</v>
          </cell>
          <cell r="AD24">
            <v>111900</v>
          </cell>
          <cell r="AE24">
            <v>124500</v>
          </cell>
          <cell r="AF24">
            <v>137600</v>
          </cell>
        </row>
        <row r="25">
          <cell r="G25">
            <v>872959.18367346935</v>
          </cell>
          <cell r="H25">
            <v>872058.82352941169</v>
          </cell>
          <cell r="I25">
            <v>872058.82352941169</v>
          </cell>
          <cell r="J25">
            <v>872522.52252252249</v>
          </cell>
          <cell r="K25">
            <v>873364.48598130851</v>
          </cell>
          <cell r="L25">
            <v>872058.82352941169</v>
          </cell>
          <cell r="M25">
            <v>872222.22222222213</v>
          </cell>
          <cell r="N25">
            <v>873809.5238095239</v>
          </cell>
          <cell r="O25">
            <v>873809.5238095239</v>
          </cell>
          <cell r="P25">
            <v>872727.27272727271</v>
          </cell>
          <cell r="Q25">
            <v>873809.5238095239</v>
          </cell>
          <cell r="R25">
            <v>872900.76335877855</v>
          </cell>
          <cell r="S25">
            <v>872892.44186046522</v>
          </cell>
          <cell r="T25"/>
          <cell r="U25"/>
          <cell r="V25">
            <v>872500</v>
          </cell>
          <cell r="W25">
            <v>872350.99337748345</v>
          </cell>
          <cell r="X25">
            <v>872397.09443099273</v>
          </cell>
          <cell r="Y25">
            <v>872596.15384615376</v>
          </cell>
          <cell r="Z25">
            <v>872508.03858520894</v>
          </cell>
          <cell r="AA25">
            <v>872457.06737120217</v>
          </cell>
          <cell r="AB25">
            <v>872650.05662514153</v>
          </cell>
          <cell r="AC25">
            <v>872794.84638255707</v>
          </cell>
          <cell r="AD25">
            <v>872788.20375335123</v>
          </cell>
          <cell r="AE25">
            <v>872891.56626506022</v>
          </cell>
          <cell r="AF25">
            <v>872892.44186046522</v>
          </cell>
        </row>
        <row r="26">
          <cell r="G26">
            <v>8555000</v>
          </cell>
          <cell r="H26">
            <v>8895000</v>
          </cell>
          <cell r="I26">
            <v>8895000</v>
          </cell>
          <cell r="J26">
            <v>9685000</v>
          </cell>
          <cell r="K26">
            <v>9345000</v>
          </cell>
          <cell r="L26">
            <v>8895000</v>
          </cell>
          <cell r="M26">
            <v>11775000</v>
          </cell>
          <cell r="N26">
            <v>11010000</v>
          </cell>
          <cell r="O26">
            <v>11010000</v>
          </cell>
          <cell r="P26">
            <v>9600000</v>
          </cell>
          <cell r="Q26">
            <v>11010000</v>
          </cell>
          <cell r="R26">
            <v>11435000</v>
          </cell>
          <cell r="S26">
            <v>120110000</v>
          </cell>
          <cell r="T26"/>
          <cell r="U26"/>
          <cell r="V26">
            <v>17450000</v>
          </cell>
          <cell r="W26">
            <v>26345000</v>
          </cell>
          <cell r="X26">
            <v>36030000</v>
          </cell>
          <cell r="Y26">
            <v>45375000</v>
          </cell>
          <cell r="Z26">
            <v>54270000</v>
          </cell>
          <cell r="AA26">
            <v>66045000</v>
          </cell>
          <cell r="AB26">
            <v>77055000</v>
          </cell>
          <cell r="AC26">
            <v>88065000</v>
          </cell>
          <cell r="AD26">
            <v>97665000</v>
          </cell>
          <cell r="AE26">
            <v>108675000</v>
          </cell>
          <cell r="AF26">
            <v>120110000</v>
          </cell>
        </row>
        <row r="27">
          <cell r="G27">
            <v>2176322.8120547961</v>
          </cell>
          <cell r="H27">
            <v>2270945.5430136994</v>
          </cell>
          <cell r="I27">
            <v>2270945.5430136994</v>
          </cell>
          <cell r="J27">
            <v>2460191.0049315076</v>
          </cell>
          <cell r="K27">
            <v>2365568.2739726007</v>
          </cell>
          <cell r="L27">
            <v>2270945.5430136994</v>
          </cell>
          <cell r="M27">
            <v>2919152.3903999962</v>
          </cell>
          <cell r="N27">
            <v>2702918.8800000008</v>
          </cell>
          <cell r="O27">
            <v>2702918.8800000008</v>
          </cell>
          <cell r="P27">
            <v>2378568.6143999994</v>
          </cell>
          <cell r="Q27">
            <v>2702918.8800000008</v>
          </cell>
          <cell r="R27">
            <v>2811035.6351999994</v>
          </cell>
          <cell r="S27">
            <v>30032432.000000007</v>
          </cell>
          <cell r="T27"/>
          <cell r="U27"/>
          <cell r="V27">
            <v>4447268.3550684955</v>
          </cell>
          <cell r="W27">
            <v>6718213.8980821948</v>
          </cell>
          <cell r="X27">
            <v>9178404.9030137025</v>
          </cell>
          <cell r="Y27">
            <v>11543973.176986303</v>
          </cell>
          <cell r="Z27">
            <v>13814918.720000003</v>
          </cell>
          <cell r="AA27">
            <v>16734071.110399999</v>
          </cell>
          <cell r="AB27">
            <v>19436989.990400001</v>
          </cell>
          <cell r="AC27">
            <v>22139908.870400004</v>
          </cell>
          <cell r="AD27">
            <v>24518477.484800003</v>
          </cell>
          <cell r="AE27">
            <v>27221396.364800006</v>
          </cell>
          <cell r="AF27">
            <v>30032432.000000007</v>
          </cell>
        </row>
        <row r="28">
          <cell r="G28">
            <v>10731322.812054796</v>
          </cell>
          <cell r="H28">
            <v>11165945.543013699</v>
          </cell>
          <cell r="I28">
            <v>11165945.543013699</v>
          </cell>
          <cell r="J28">
            <v>12145191.004931508</v>
          </cell>
          <cell r="K28">
            <v>11710568.273972601</v>
          </cell>
          <cell r="L28">
            <v>11165945.543013699</v>
          </cell>
          <cell r="M28">
            <v>14694152.390399996</v>
          </cell>
          <cell r="N28">
            <v>13712918.880000001</v>
          </cell>
          <cell r="O28">
            <v>13712918.880000001</v>
          </cell>
          <cell r="P28">
            <v>11978568.614399999</v>
          </cell>
          <cell r="Q28">
            <v>13712918.880000001</v>
          </cell>
          <cell r="R28">
            <v>14246035.635199999</v>
          </cell>
          <cell r="S28">
            <v>150142431.99999997</v>
          </cell>
          <cell r="T28"/>
          <cell r="U28"/>
          <cell r="V28">
            <v>21897268.355068497</v>
          </cell>
          <cell r="W28">
            <v>33063213.898082197</v>
          </cell>
          <cell r="X28">
            <v>45208404.903013706</v>
          </cell>
          <cell r="Y28">
            <v>56918973.176986307</v>
          </cell>
          <cell r="Z28">
            <v>68084918.719999999</v>
          </cell>
          <cell r="AA28">
            <v>82779071.110399991</v>
          </cell>
          <cell r="AB28">
            <v>96491989.990400001</v>
          </cell>
          <cell r="AC28">
            <v>110204908.87040001</v>
          </cell>
          <cell r="AD28">
            <v>122183477.48480001</v>
          </cell>
          <cell r="AE28">
            <v>135896396.36480001</v>
          </cell>
          <cell r="AF28">
            <v>150142432</v>
          </cell>
        </row>
        <row r="29">
          <cell r="G29">
            <v>8349642.5</v>
          </cell>
          <cell r="H29">
            <v>8681992.5</v>
          </cell>
          <cell r="I29">
            <v>8681992.5</v>
          </cell>
          <cell r="J29">
            <v>9452787.5</v>
          </cell>
          <cell r="K29">
            <v>9120437.5</v>
          </cell>
          <cell r="L29">
            <v>8681992.5</v>
          </cell>
          <cell r="M29">
            <v>11492902.5</v>
          </cell>
          <cell r="N29">
            <v>10745115</v>
          </cell>
          <cell r="O29">
            <v>10745115</v>
          </cell>
          <cell r="P29">
            <v>9369700</v>
          </cell>
          <cell r="Q29">
            <v>10745115</v>
          </cell>
          <cell r="R29">
            <v>11160552.5</v>
          </cell>
          <cell r="S29">
            <v>117227345</v>
          </cell>
          <cell r="T29"/>
          <cell r="U29"/>
          <cell r="V29">
            <v>17031635</v>
          </cell>
          <cell r="W29">
            <v>25713627.5</v>
          </cell>
          <cell r="X29">
            <v>35166415</v>
          </cell>
          <cell r="Y29">
            <v>44286852.5</v>
          </cell>
          <cell r="Z29">
            <v>52968845</v>
          </cell>
          <cell r="AA29">
            <v>64461747.5</v>
          </cell>
          <cell r="AB29">
            <v>75206862.5</v>
          </cell>
          <cell r="AC29">
            <v>85951977.5</v>
          </cell>
          <cell r="AD29">
            <v>95321677.5</v>
          </cell>
          <cell r="AE29">
            <v>106066792.5</v>
          </cell>
          <cell r="AF29">
            <v>117227345</v>
          </cell>
        </row>
        <row r="30">
          <cell r="G30">
            <v>2091539.8042655755</v>
          </cell>
          <cell r="H30">
            <v>2182476.3174945116</v>
          </cell>
          <cell r="I30">
            <v>2182476.3174945116</v>
          </cell>
          <cell r="J30">
            <v>2364349.3439523894</v>
          </cell>
          <cell r="K30">
            <v>2273412.8307234533</v>
          </cell>
          <cell r="L30">
            <v>2182476.3174945116</v>
          </cell>
          <cell r="M30">
            <v>2805430.9707271885</v>
          </cell>
          <cell r="N30">
            <v>2597621.2691918425</v>
          </cell>
          <cell r="O30">
            <v>2597621.2691918425</v>
          </cell>
          <cell r="P30">
            <v>2285906.7168888208</v>
          </cell>
          <cell r="Q30">
            <v>2597621.2691918425</v>
          </cell>
          <cell r="R30">
            <v>2701526.1199595146</v>
          </cell>
          <cell r="S30">
            <v>28862458.546576001</v>
          </cell>
          <cell r="T30"/>
          <cell r="U30"/>
          <cell r="V30">
            <v>4274016.1217600871</v>
          </cell>
          <cell r="W30">
            <v>6456492.4392545987</v>
          </cell>
          <cell r="X30">
            <v>8820841.7832069881</v>
          </cell>
          <cell r="Y30">
            <v>11094254.613930441</v>
          </cell>
          <cell r="Z30">
            <v>13276730.931424953</v>
          </cell>
          <cell r="AA30">
            <v>16082161.902152142</v>
          </cell>
          <cell r="AB30">
            <v>18679783.171343982</v>
          </cell>
          <cell r="AC30">
            <v>21277404.440535825</v>
          </cell>
          <cell r="AD30">
            <v>23563311.157424644</v>
          </cell>
          <cell r="AE30">
            <v>26160932.426616486</v>
          </cell>
          <cell r="AF30">
            <v>28862458.546576001</v>
          </cell>
        </row>
        <row r="31">
          <cell r="G31">
            <v>10441182.304265575</v>
          </cell>
          <cell r="H31">
            <v>10864468.817494512</v>
          </cell>
          <cell r="I31">
            <v>10864468.817494512</v>
          </cell>
          <cell r="J31">
            <v>11817136.843952389</v>
          </cell>
          <cell r="K31">
            <v>11393850.330723453</v>
          </cell>
          <cell r="L31">
            <v>10864468.817494512</v>
          </cell>
          <cell r="M31">
            <v>14298333.470727189</v>
          </cell>
          <cell r="N31">
            <v>13342736.269191843</v>
          </cell>
          <cell r="O31">
            <v>13342736.269191843</v>
          </cell>
          <cell r="P31">
            <v>11655606.716888821</v>
          </cell>
          <cell r="Q31">
            <v>13342736.269191843</v>
          </cell>
          <cell r="R31">
            <v>13862078.619959515</v>
          </cell>
          <cell r="S31">
            <v>146089803.54657599</v>
          </cell>
          <cell r="T31"/>
          <cell r="U31"/>
          <cell r="V31">
            <v>21305651.121760085</v>
          </cell>
          <cell r="W31">
            <v>32170119.939254597</v>
          </cell>
          <cell r="X31">
            <v>43987256.783206984</v>
          </cell>
          <cell r="Y31">
            <v>55381107.113930441</v>
          </cell>
          <cell r="Z31">
            <v>66245575.931424953</v>
          </cell>
          <cell r="AA31">
            <v>80543909.402152136</v>
          </cell>
          <cell r="AB31">
            <v>93886645.671343982</v>
          </cell>
          <cell r="AC31">
            <v>107229381.94053583</v>
          </cell>
          <cell r="AD31">
            <v>118884988.65742464</v>
          </cell>
          <cell r="AE31">
            <v>132227724.92661649</v>
          </cell>
          <cell r="AF31">
            <v>146089803.54657599</v>
          </cell>
        </row>
        <row r="32">
          <cell r="G32">
            <v>205357.5</v>
          </cell>
          <cell r="H32">
            <v>213007.5</v>
          </cell>
          <cell r="I32">
            <v>213007.5</v>
          </cell>
          <cell r="J32">
            <v>232212.5</v>
          </cell>
          <cell r="K32">
            <v>224562.5</v>
          </cell>
          <cell r="L32">
            <v>213007.5</v>
          </cell>
          <cell r="M32">
            <v>282097.5</v>
          </cell>
          <cell r="N32">
            <v>264885</v>
          </cell>
          <cell r="O32">
            <v>264885</v>
          </cell>
          <cell r="P32">
            <v>230300</v>
          </cell>
          <cell r="Q32">
            <v>264885</v>
          </cell>
          <cell r="R32">
            <v>274447.5</v>
          </cell>
          <cell r="S32">
            <v>2882655</v>
          </cell>
          <cell r="T32"/>
          <cell r="U32"/>
          <cell r="V32">
            <v>418365</v>
          </cell>
          <cell r="W32">
            <v>631372.5</v>
          </cell>
          <cell r="X32">
            <v>863585</v>
          </cell>
          <cell r="Y32">
            <v>1088147.5</v>
          </cell>
          <cell r="Z32">
            <v>1301155</v>
          </cell>
          <cell r="AA32">
            <v>1583252.5</v>
          </cell>
          <cell r="AB32">
            <v>1848137.5</v>
          </cell>
          <cell r="AC32">
            <v>2113022.5</v>
          </cell>
          <cell r="AD32">
            <v>2343322.5</v>
          </cell>
          <cell r="AE32">
            <v>2608207.5</v>
          </cell>
          <cell r="AF32">
            <v>2882655</v>
          </cell>
        </row>
        <row r="33">
          <cell r="G33">
            <v>2.4004383401519579E-2</v>
          </cell>
          <cell r="H33">
            <v>2.3946880269814501E-2</v>
          </cell>
          <cell r="I33">
            <v>2.3946880269814501E-2</v>
          </cell>
          <cell r="J33">
            <v>2.3976510067114095E-2</v>
          </cell>
          <cell r="K33">
            <v>2.4030230069555913E-2</v>
          </cell>
          <cell r="L33">
            <v>2.3946880269814501E-2</v>
          </cell>
          <cell r="M33">
            <v>2.3957324840764332E-2</v>
          </cell>
          <cell r="N33">
            <v>2.4058583106267031E-2</v>
          </cell>
          <cell r="O33">
            <v>2.4058583106267031E-2</v>
          </cell>
          <cell r="P33">
            <v>2.3989583333333335E-2</v>
          </cell>
          <cell r="Q33">
            <v>2.4058583106267031E-2</v>
          </cell>
          <cell r="R33">
            <v>2.4000655881066899E-2</v>
          </cell>
          <cell r="S33">
            <v>2.4000124885521605E-2</v>
          </cell>
          <cell r="T33"/>
          <cell r="U33"/>
          <cell r="V33">
            <v>2.3975071633237824E-2</v>
          </cell>
          <cell r="W33">
            <v>2.3965553235908141E-2</v>
          </cell>
          <cell r="X33">
            <v>2.3968498473494311E-2</v>
          </cell>
          <cell r="Y33">
            <v>2.3981212121212122E-2</v>
          </cell>
          <cell r="Z33">
            <v>2.3975585037774094E-2</v>
          </cell>
          <cell r="AA33">
            <v>2.3972329472329471E-2</v>
          </cell>
          <cell r="AB33">
            <v>2.3984653818700928E-2</v>
          </cell>
          <cell r="AC33">
            <v>2.3993896553681938E-2</v>
          </cell>
          <cell r="AD33">
            <v>2.3993472584856398E-2</v>
          </cell>
          <cell r="AE33">
            <v>2.4000069013112493E-2</v>
          </cell>
          <cell r="AF33">
            <v>2.4000124885521605E-2</v>
          </cell>
        </row>
        <row r="34">
          <cell r="G34">
            <v>84783.007789220661</v>
          </cell>
          <cell r="H34">
            <v>88469.225519187748</v>
          </cell>
          <cell r="I34">
            <v>88469.225519187748</v>
          </cell>
          <cell r="J34">
            <v>95841.660979118198</v>
          </cell>
          <cell r="K34">
            <v>92155.443249147385</v>
          </cell>
          <cell r="L34">
            <v>88469.225519187748</v>
          </cell>
          <cell r="M34">
            <v>113721.41967280768</v>
          </cell>
          <cell r="N34">
            <v>105297.61080815829</v>
          </cell>
          <cell r="O34">
            <v>105297.61080815829</v>
          </cell>
          <cell r="P34">
            <v>92661.897511178628</v>
          </cell>
          <cell r="Q34">
            <v>105297.61080815829</v>
          </cell>
          <cell r="R34">
            <v>109509.51524048485</v>
          </cell>
          <cell r="S34">
            <v>1169973.4534240067</v>
          </cell>
          <cell r="T34"/>
          <cell r="U34"/>
          <cell r="V34">
            <v>173252.23330840841</v>
          </cell>
          <cell r="W34">
            <v>261721.45882759616</v>
          </cell>
          <cell r="X34">
            <v>357563.11980671436</v>
          </cell>
          <cell r="Y34">
            <v>449718.56305586174</v>
          </cell>
          <cell r="Z34">
            <v>538187.78857504949</v>
          </cell>
          <cell r="AA34">
            <v>651909.20824785717</v>
          </cell>
          <cell r="AB34">
            <v>757206.81905601919</v>
          </cell>
          <cell r="AC34">
            <v>862504.42986417934</v>
          </cell>
          <cell r="AD34">
            <v>955166.32737535983</v>
          </cell>
          <cell r="AE34">
            <v>1060463.93818352</v>
          </cell>
          <cell r="AF34">
            <v>1169973.4534240067</v>
          </cell>
        </row>
        <row r="35">
          <cell r="G35">
            <v>3.8957000000000901E-2</v>
          </cell>
          <cell r="H35">
            <v>3.8957000000001352E-2</v>
          </cell>
          <cell r="I35">
            <v>3.8957000000001352E-2</v>
          </cell>
          <cell r="J35">
            <v>3.8957000000000588E-2</v>
          </cell>
          <cell r="K35">
            <v>3.8956999999998639E-2</v>
          </cell>
          <cell r="L35">
            <v>3.8957000000001352E-2</v>
          </cell>
          <cell r="M35">
            <v>3.8956999999998299E-2</v>
          </cell>
          <cell r="N35">
            <v>3.895699999999936E-2</v>
          </cell>
          <cell r="O35">
            <v>3.895699999999936E-2</v>
          </cell>
          <cell r="P35">
            <v>3.8956999999999097E-2</v>
          </cell>
          <cell r="Q35">
            <v>3.895699999999936E-2</v>
          </cell>
          <cell r="R35">
            <v>3.8956999999999457E-2</v>
          </cell>
          <cell r="S35">
            <v>3.8957000000000214E-2</v>
          </cell>
          <cell r="T35"/>
          <cell r="U35"/>
          <cell r="V35">
            <v>3.895700000000113E-2</v>
          </cell>
          <cell r="W35">
            <v>3.8957000000001206E-2</v>
          </cell>
          <cell r="X35">
            <v>3.8957000000001039E-2</v>
          </cell>
          <cell r="Y35">
            <v>3.8957000000000547E-2</v>
          </cell>
          <cell r="Z35">
            <v>3.8957000000000679E-2</v>
          </cell>
          <cell r="AA35">
            <v>3.8957000000000262E-2</v>
          </cell>
          <cell r="AB35">
            <v>3.8957000000000325E-2</v>
          </cell>
          <cell r="AC35">
            <v>3.895700000000029E-2</v>
          </cell>
          <cell r="AD35">
            <v>3.8957000000000248E-2</v>
          </cell>
          <cell r="AE35">
            <v>3.8957000000000228E-2</v>
          </cell>
          <cell r="AF35">
            <v>3.8957000000000214E-2</v>
          </cell>
        </row>
        <row r="36">
          <cell r="G36">
            <v>290140.50778922066</v>
          </cell>
          <cell r="H36">
            <v>301476.72551918775</v>
          </cell>
          <cell r="I36">
            <v>301476.72551918775</v>
          </cell>
          <cell r="J36">
            <v>328054.1609791182</v>
          </cell>
          <cell r="K36">
            <v>316717.94324914739</v>
          </cell>
          <cell r="L36">
            <v>301476.72551918775</v>
          </cell>
          <cell r="M36">
            <v>395818.91967280768</v>
          </cell>
          <cell r="N36">
            <v>370182.61080815829</v>
          </cell>
          <cell r="O36">
            <v>370182.61080815829</v>
          </cell>
          <cell r="P36">
            <v>322961.89751117863</v>
          </cell>
          <cell r="Q36">
            <v>370182.61080815829</v>
          </cell>
          <cell r="R36">
            <v>383957.01524048485</v>
          </cell>
          <cell r="S36">
            <v>4052628.4534240067</v>
          </cell>
          <cell r="T36"/>
          <cell r="U36"/>
          <cell r="V36">
            <v>591617.23330840841</v>
          </cell>
          <cell r="W36">
            <v>893093.95882759616</v>
          </cell>
          <cell r="X36">
            <v>1221148.1198067144</v>
          </cell>
          <cell r="Y36">
            <v>1537866.0630558617</v>
          </cell>
          <cell r="Z36">
            <v>1839342.7885750495</v>
          </cell>
          <cell r="AA36">
            <v>2235161.7082478572</v>
          </cell>
          <cell r="AB36">
            <v>2605344.3190560192</v>
          </cell>
          <cell r="AC36">
            <v>2975526.9298641793</v>
          </cell>
          <cell r="AD36">
            <v>3298488.8273753598</v>
          </cell>
          <cell r="AE36">
            <v>3668671.43818352</v>
          </cell>
          <cell r="AF36">
            <v>4052628.4534240067</v>
          </cell>
        </row>
        <row r="37">
          <cell r="G37">
            <v>2.7036788741766085E-2</v>
          </cell>
          <cell r="H37">
            <v>2.6999659308549601E-2</v>
          </cell>
          <cell r="I37">
            <v>2.6999659308549601E-2</v>
          </cell>
          <cell r="J37">
            <v>2.7011033490203083E-2</v>
          </cell>
          <cell r="K37">
            <v>2.7045480273837002E-2</v>
          </cell>
          <cell r="L37">
            <v>2.6999659308549601E-2</v>
          </cell>
          <cell r="M37">
            <v>2.6937172635517558E-2</v>
          </cell>
          <cell r="N37">
            <v>2.6995172511963279E-2</v>
          </cell>
          <cell r="O37">
            <v>2.6995172511963279E-2</v>
          </cell>
          <cell r="P37">
            <v>2.6961643574252351E-2</v>
          </cell>
          <cell r="Q37">
            <v>2.6995172511963279E-2</v>
          </cell>
          <cell r="R37">
            <v>2.6951849979357047E-2</v>
          </cell>
          <cell r="S37">
            <v>2.6991892960838728E-2</v>
          </cell>
          <cell r="T37"/>
          <cell r="U37"/>
          <cell r="V37">
            <v>2.7017855547788839E-2</v>
          </cell>
          <cell r="W37">
            <v>2.7011710403609591E-2</v>
          </cell>
          <cell r="X37">
            <v>2.7011528551526259E-2</v>
          </cell>
          <cell r="Y37">
            <v>2.701851381390797E-2</v>
          </cell>
          <cell r="Z37">
            <v>2.7015421669802787E-2</v>
          </cell>
          <cell r="AA37">
            <v>2.7001531646409612E-2</v>
          </cell>
          <cell r="AB37">
            <v>2.7000627920672225E-2</v>
          </cell>
          <cell r="AC37">
            <v>2.6999949098123862E-2</v>
          </cell>
          <cell r="AD37">
            <v>2.6996193718464935E-2</v>
          </cell>
          <cell r="AE37">
            <v>2.6996090671421086E-2</v>
          </cell>
          <cell r="AF37">
            <v>2.6991892960838725E-2</v>
          </cell>
        </row>
      </sheetData>
      <sheetData sheetId="1">
        <row r="5">
          <cell r="E5"/>
        </row>
      </sheetData>
      <sheetData sheetId="2">
        <row r="5">
          <cell r="E5"/>
        </row>
      </sheetData>
      <sheetData sheetId="3"/>
      <sheetData sheetId="4">
        <row r="4">
          <cell r="E4" t="str">
            <v>계정</v>
          </cell>
          <cell r="G4" t="str">
            <v>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  <cell r="O4" t="str">
            <v>9월</v>
          </cell>
          <cell r="P4" t="str">
            <v>10월</v>
          </cell>
          <cell r="Q4" t="str">
            <v>11월</v>
          </cell>
          <cell r="R4" t="str">
            <v>12월</v>
          </cell>
          <cell r="S4" t="str">
            <v>합계</v>
          </cell>
        </row>
        <row r="5"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G6">
            <v>65764.44</v>
          </cell>
          <cell r="H6">
            <v>65764.44</v>
          </cell>
          <cell r="I6">
            <v>67046.720000000001</v>
          </cell>
          <cell r="J6">
            <v>67046.720000000001</v>
          </cell>
          <cell r="K6">
            <v>67046.720000000001</v>
          </cell>
          <cell r="L6">
            <v>67046.720000000001</v>
          </cell>
          <cell r="M6">
            <v>67046.720000000001</v>
          </cell>
          <cell r="N6">
            <v>67046.720000000001</v>
          </cell>
          <cell r="O6">
            <v>67046.720000000001</v>
          </cell>
          <cell r="P6">
            <v>67046.720000000001</v>
          </cell>
          <cell r="Q6">
            <v>67046.720000000001</v>
          </cell>
          <cell r="R6">
            <v>67046.720000000001</v>
          </cell>
          <cell r="S6">
            <v>801996.07999999984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G8">
            <v>14899.81</v>
          </cell>
          <cell r="H8">
            <v>14899.81</v>
          </cell>
          <cell r="I8">
            <v>15205.54</v>
          </cell>
          <cell r="J8">
            <v>15205.54</v>
          </cell>
          <cell r="K8">
            <v>15205.54</v>
          </cell>
          <cell r="L8">
            <v>15205.54</v>
          </cell>
          <cell r="M8">
            <v>15205.54</v>
          </cell>
          <cell r="N8">
            <v>15205.54</v>
          </cell>
          <cell r="O8">
            <v>15205.54</v>
          </cell>
          <cell r="P8">
            <v>15205.54</v>
          </cell>
          <cell r="Q8">
            <v>15205.54</v>
          </cell>
          <cell r="R8">
            <v>15205.54</v>
          </cell>
          <cell r="S8">
            <v>181855.02000000005</v>
          </cell>
        </row>
        <row r="9">
          <cell r="G9">
            <v>6838.03</v>
          </cell>
          <cell r="H9">
            <v>6838.03</v>
          </cell>
          <cell r="I9">
            <v>6838.03</v>
          </cell>
          <cell r="J9">
            <v>6838.03</v>
          </cell>
          <cell r="K9">
            <v>6838.03</v>
          </cell>
          <cell r="L9">
            <v>6838.03</v>
          </cell>
          <cell r="M9">
            <v>6838.03</v>
          </cell>
          <cell r="N9">
            <v>6838.03</v>
          </cell>
          <cell r="O9">
            <v>6838.03</v>
          </cell>
          <cell r="P9">
            <v>6838.03</v>
          </cell>
          <cell r="Q9">
            <v>6838.03</v>
          </cell>
          <cell r="R9">
            <v>6838.03</v>
          </cell>
          <cell r="S9">
            <v>82056.36</v>
          </cell>
        </row>
        <row r="10">
          <cell r="G10">
            <v>87502.28</v>
          </cell>
          <cell r="H10">
            <v>87502.28</v>
          </cell>
          <cell r="I10">
            <v>89090.290000000008</v>
          </cell>
          <cell r="J10">
            <v>89090.290000000008</v>
          </cell>
          <cell r="K10">
            <v>89090.290000000008</v>
          </cell>
          <cell r="L10">
            <v>89090.290000000008</v>
          </cell>
          <cell r="M10">
            <v>89090.290000000008</v>
          </cell>
          <cell r="N10">
            <v>89090.290000000008</v>
          </cell>
          <cell r="O10">
            <v>89090.290000000008</v>
          </cell>
          <cell r="P10">
            <v>89090.290000000008</v>
          </cell>
          <cell r="Q10">
            <v>89090.290000000008</v>
          </cell>
          <cell r="R10">
            <v>89090.290000000008</v>
          </cell>
          <cell r="S10">
            <v>1065907.46</v>
          </cell>
        </row>
        <row r="11">
          <cell r="G11">
            <v>11646.22</v>
          </cell>
          <cell r="H11">
            <v>10723</v>
          </cell>
          <cell r="I11">
            <v>23814.19</v>
          </cell>
          <cell r="J11">
            <v>10094.77</v>
          </cell>
          <cell r="K11">
            <v>11472.77</v>
          </cell>
          <cell r="L11">
            <v>20849.75</v>
          </cell>
          <cell r="M11">
            <v>9522.77</v>
          </cell>
          <cell r="N11">
            <v>9522.77</v>
          </cell>
          <cell r="O11">
            <v>25069.61</v>
          </cell>
          <cell r="P11">
            <v>10133.77</v>
          </cell>
          <cell r="Q11">
            <v>9522.77</v>
          </cell>
          <cell r="R11">
            <v>11349.75</v>
          </cell>
          <cell r="S11">
            <v>163722.14000000001</v>
          </cell>
        </row>
        <row r="12">
          <cell r="G12">
            <v>1500</v>
          </cell>
          <cell r="H12">
            <v>1500</v>
          </cell>
          <cell r="I12">
            <v>1500</v>
          </cell>
          <cell r="J12">
            <v>1500</v>
          </cell>
          <cell r="K12">
            <v>1500</v>
          </cell>
          <cell r="L12">
            <v>1500</v>
          </cell>
          <cell r="M12">
            <v>1500</v>
          </cell>
          <cell r="N12">
            <v>1500</v>
          </cell>
          <cell r="O12">
            <v>1500</v>
          </cell>
          <cell r="P12">
            <v>1500</v>
          </cell>
          <cell r="Q12">
            <v>1500</v>
          </cell>
          <cell r="R12">
            <v>1500</v>
          </cell>
          <cell r="S12">
            <v>18000</v>
          </cell>
        </row>
        <row r="13">
          <cell r="G13">
            <v>850</v>
          </cell>
          <cell r="H13">
            <v>850</v>
          </cell>
          <cell r="I13">
            <v>850</v>
          </cell>
          <cell r="J13">
            <v>850</v>
          </cell>
          <cell r="K13">
            <v>850</v>
          </cell>
          <cell r="L13">
            <v>850</v>
          </cell>
          <cell r="M13">
            <v>850</v>
          </cell>
          <cell r="N13">
            <v>850</v>
          </cell>
          <cell r="O13">
            <v>850</v>
          </cell>
          <cell r="P13">
            <v>850</v>
          </cell>
          <cell r="Q13">
            <v>850</v>
          </cell>
          <cell r="R13">
            <v>850</v>
          </cell>
          <cell r="S13">
            <v>10200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</row>
        <row r="18">
          <cell r="G18">
            <v>3226.92</v>
          </cell>
          <cell r="H18">
            <v>3226.92</v>
          </cell>
          <cell r="I18">
            <v>3273.52</v>
          </cell>
          <cell r="J18">
            <v>3273.52</v>
          </cell>
          <cell r="K18">
            <v>3273.52</v>
          </cell>
          <cell r="L18">
            <v>3273.52</v>
          </cell>
          <cell r="M18">
            <v>3273.52</v>
          </cell>
          <cell r="N18">
            <v>3273.52</v>
          </cell>
          <cell r="O18">
            <v>3273.52</v>
          </cell>
          <cell r="P18">
            <v>3273.52</v>
          </cell>
          <cell r="Q18">
            <v>3273.52</v>
          </cell>
          <cell r="R18">
            <v>3273.52</v>
          </cell>
          <cell r="S18">
            <v>39189.040000000001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G22">
            <v>6578</v>
          </cell>
          <cell r="H22">
            <v>6578</v>
          </cell>
          <cell r="I22">
            <v>6578</v>
          </cell>
          <cell r="J22">
            <v>6578</v>
          </cell>
          <cell r="K22">
            <v>6578</v>
          </cell>
          <cell r="L22">
            <v>6578</v>
          </cell>
          <cell r="M22">
            <v>6578</v>
          </cell>
          <cell r="N22">
            <v>6578</v>
          </cell>
          <cell r="O22">
            <v>6578</v>
          </cell>
          <cell r="P22">
            <v>6578</v>
          </cell>
          <cell r="Q22">
            <v>6578</v>
          </cell>
          <cell r="R22">
            <v>6578</v>
          </cell>
          <cell r="S22">
            <v>78936</v>
          </cell>
        </row>
        <row r="23">
          <cell r="G23">
            <v>6000</v>
          </cell>
          <cell r="H23">
            <v>14000</v>
          </cell>
          <cell r="I23">
            <v>6000</v>
          </cell>
          <cell r="J23">
            <v>6000</v>
          </cell>
          <cell r="K23">
            <v>6000</v>
          </cell>
          <cell r="L23">
            <v>6000</v>
          </cell>
          <cell r="M23">
            <v>6000</v>
          </cell>
          <cell r="N23">
            <v>6000</v>
          </cell>
          <cell r="O23">
            <v>14000</v>
          </cell>
          <cell r="P23">
            <v>6000</v>
          </cell>
          <cell r="Q23">
            <v>6000</v>
          </cell>
          <cell r="R23">
            <v>6000</v>
          </cell>
          <cell r="S23">
            <v>88000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G34">
            <v>29801.14</v>
          </cell>
          <cell r="H34">
            <v>36877.919999999998</v>
          </cell>
          <cell r="I34">
            <v>42015.71</v>
          </cell>
          <cell r="J34">
            <v>28296.29</v>
          </cell>
          <cell r="K34">
            <v>29674.29</v>
          </cell>
          <cell r="L34">
            <v>39051.270000000004</v>
          </cell>
          <cell r="M34">
            <v>27724.29</v>
          </cell>
          <cell r="N34">
            <v>27724.29</v>
          </cell>
          <cell r="O34">
            <v>51271.130000000005</v>
          </cell>
          <cell r="P34">
            <v>28335.29</v>
          </cell>
          <cell r="Q34">
            <v>27724.29</v>
          </cell>
          <cell r="R34">
            <v>29551.27</v>
          </cell>
          <cell r="S34">
            <v>398047.18000000005</v>
          </cell>
        </row>
        <row r="35">
          <cell r="G35">
            <v>117303.42</v>
          </cell>
          <cell r="H35">
            <v>124380.2</v>
          </cell>
          <cell r="I35">
            <v>131106</v>
          </cell>
          <cell r="J35">
            <v>117386.58000000002</v>
          </cell>
          <cell r="K35">
            <v>118764.58000000002</v>
          </cell>
          <cell r="L35">
            <v>128141.56000000001</v>
          </cell>
          <cell r="M35">
            <v>116814.58000000002</v>
          </cell>
          <cell r="N35">
            <v>116814.58000000002</v>
          </cell>
          <cell r="O35">
            <v>140361.42000000001</v>
          </cell>
          <cell r="P35">
            <v>117425.58000000002</v>
          </cell>
          <cell r="Q35">
            <v>116814.58000000002</v>
          </cell>
          <cell r="R35">
            <v>118641.56000000001</v>
          </cell>
          <cell r="S35">
            <v>1463954.6400000001</v>
          </cell>
        </row>
        <row r="36"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G37">
            <v>5475.768</v>
          </cell>
          <cell r="H37">
            <v>5475.768</v>
          </cell>
          <cell r="I37">
            <v>5475.768</v>
          </cell>
          <cell r="J37">
            <v>5475.768</v>
          </cell>
          <cell r="K37">
            <v>5475.768</v>
          </cell>
          <cell r="L37">
            <v>5475.768</v>
          </cell>
          <cell r="M37">
            <v>5475.768</v>
          </cell>
          <cell r="N37">
            <v>5475.768</v>
          </cell>
          <cell r="O37">
            <v>5475.768</v>
          </cell>
          <cell r="P37">
            <v>5475.768</v>
          </cell>
          <cell r="Q37">
            <v>5475.768</v>
          </cell>
          <cell r="R37">
            <v>5475.768</v>
          </cell>
          <cell r="S37">
            <v>65709.215999999986</v>
          </cell>
        </row>
        <row r="38">
          <cell r="G38">
            <v>122779.18799999999</v>
          </cell>
          <cell r="H38">
            <v>129855.96799999999</v>
          </cell>
          <cell r="I38">
            <v>136581.76800000001</v>
          </cell>
          <cell r="J38">
            <v>122862.34800000001</v>
          </cell>
          <cell r="K38">
            <v>124240.34800000001</v>
          </cell>
          <cell r="L38">
            <v>133617.32800000001</v>
          </cell>
          <cell r="M38">
            <v>122290.34800000001</v>
          </cell>
          <cell r="N38">
            <v>122290.34800000001</v>
          </cell>
          <cell r="O38">
            <v>145837.18800000002</v>
          </cell>
          <cell r="P38">
            <v>122901.34800000001</v>
          </cell>
          <cell r="Q38">
            <v>122290.34800000001</v>
          </cell>
          <cell r="R38">
            <v>124117.32800000001</v>
          </cell>
          <cell r="S38">
            <v>1529663.8560000001</v>
          </cell>
        </row>
        <row r="39"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</sheetData>
      <sheetData sheetId="5"/>
      <sheetData sheetId="6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6425.0929999999998</v>
          </cell>
          <cell r="F3">
            <v>6645.402</v>
          </cell>
          <cell r="G3">
            <v>8665.0679999999993</v>
          </cell>
          <cell r="H3">
            <v>8574.9830000000002</v>
          </cell>
          <cell r="I3">
            <v>9787.4410000000007</v>
          </cell>
          <cell r="J3">
            <v>7982.0609999999997</v>
          </cell>
          <cell r="K3">
            <v>12986.909999999998</v>
          </cell>
          <cell r="L3">
            <v>9545.7580000000016</v>
          </cell>
          <cell r="M3">
            <v>7354.6280000000006</v>
          </cell>
          <cell r="N3">
            <v>8972.0079999999998</v>
          </cell>
          <cell r="O3">
            <v>10221.802</v>
          </cell>
          <cell r="P3">
            <v>8003.0569999999998</v>
          </cell>
          <cell r="Q3">
            <v>105164.211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E5">
            <v>6425.0929999999998</v>
          </cell>
          <cell r="F5">
            <v>6645.402</v>
          </cell>
          <cell r="G5">
            <v>8665.0679999999993</v>
          </cell>
          <cell r="H5">
            <v>8574.9830000000002</v>
          </cell>
          <cell r="I5">
            <v>9787.4410000000007</v>
          </cell>
          <cell r="J5">
            <v>7982.0609999999997</v>
          </cell>
          <cell r="K5">
            <v>12986.909999999998</v>
          </cell>
          <cell r="L5">
            <v>9545.7580000000016</v>
          </cell>
          <cell r="M5">
            <v>7354.6280000000006</v>
          </cell>
          <cell r="N5">
            <v>8972.0079999999998</v>
          </cell>
          <cell r="O5">
            <v>10221.802</v>
          </cell>
          <cell r="P5">
            <v>8003.0569999999998</v>
          </cell>
          <cell r="Q5">
            <v>105164.211</v>
          </cell>
        </row>
        <row r="6">
          <cell r="E6">
            <v>5915781.3609999996</v>
          </cell>
          <cell r="F6">
            <v>5888695.9620000003</v>
          </cell>
          <cell r="G6">
            <v>7569201.3870000001</v>
          </cell>
          <cell r="H6">
            <v>7314828.4340000004</v>
          </cell>
          <cell r="I6">
            <v>7941424.9759999998</v>
          </cell>
          <cell r="J6">
            <v>6266498.0020000003</v>
          </cell>
          <cell r="K6">
            <v>9753808.4920000006</v>
          </cell>
          <cell r="L6">
            <v>8075849.9460000005</v>
          </cell>
          <cell r="M6">
            <v>6468928.017</v>
          </cell>
          <cell r="N6">
            <v>7347594.3459999999</v>
          </cell>
          <cell r="O6">
            <v>8165213.1710000001</v>
          </cell>
          <cell r="P6">
            <v>6020203.7470000004</v>
          </cell>
          <cell r="Q6">
            <v>86728027.841000006</v>
          </cell>
        </row>
        <row r="7">
          <cell r="E7">
            <v>1492175.8060000008</v>
          </cell>
          <cell r="F7">
            <v>876962.01299999934</v>
          </cell>
          <cell r="G7">
            <v>1190716.3990000002</v>
          </cell>
          <cell r="H7">
            <v>1507211.0580000002</v>
          </cell>
          <cell r="I7">
            <v>1833395.909</v>
          </cell>
          <cell r="J7">
            <v>1606846.7759999996</v>
          </cell>
          <cell r="K7">
            <v>1560840.1609999985</v>
          </cell>
          <cell r="L7">
            <v>1417328.5140000004</v>
          </cell>
          <cell r="M7">
            <v>1251897.8439999996</v>
          </cell>
          <cell r="N7">
            <v>1331090.9230000013</v>
          </cell>
          <cell r="O7">
            <v>1777655.8499999996</v>
          </cell>
          <cell r="P7">
            <v>1425697.8589999992</v>
          </cell>
          <cell r="Q7">
            <v>17271819.111999996</v>
          </cell>
        </row>
        <row r="8">
          <cell r="E8">
            <v>7407957.1670000004</v>
          </cell>
          <cell r="F8">
            <v>6765657.9749999996</v>
          </cell>
          <cell r="G8">
            <v>8759917.7860000003</v>
          </cell>
          <cell r="H8">
            <v>8822039.4920000006</v>
          </cell>
          <cell r="I8">
            <v>9774820.8849999998</v>
          </cell>
          <cell r="J8">
            <v>7873344.7779999999</v>
          </cell>
          <cell r="K8">
            <v>11314648.652999999</v>
          </cell>
          <cell r="L8">
            <v>9493178.4600000009</v>
          </cell>
          <cell r="M8">
            <v>7720825.8609999996</v>
          </cell>
          <cell r="N8">
            <v>8678685.2690000013</v>
          </cell>
          <cell r="O8">
            <v>9942869.0209999997</v>
          </cell>
          <cell r="P8">
            <v>7445901.6059999997</v>
          </cell>
          <cell r="Q8">
            <v>103999846.95300001</v>
          </cell>
        </row>
        <row r="9">
          <cell r="E9">
            <v>5751185.5190000003</v>
          </cell>
          <cell r="F9">
            <v>5728934.7309999997</v>
          </cell>
          <cell r="G9">
            <v>7426923.1069999998</v>
          </cell>
          <cell r="H9">
            <v>7182086.8200000003</v>
          </cell>
          <cell r="I9">
            <v>7737494.4589999998</v>
          </cell>
          <cell r="J9">
            <v>6034261.7359999996</v>
          </cell>
          <cell r="K9">
            <v>9672982.2740000002</v>
          </cell>
          <cell r="L9">
            <v>7922980.0959999999</v>
          </cell>
          <cell r="M9">
            <v>6357038.1430000002</v>
          </cell>
          <cell r="N9">
            <v>7174616.267</v>
          </cell>
          <cell r="O9">
            <v>7971479.4730000002</v>
          </cell>
          <cell r="P9">
            <v>5934990.8200000003</v>
          </cell>
          <cell r="Q9">
            <v>84894973.444999993</v>
          </cell>
        </row>
        <row r="10">
          <cell r="E10">
            <v>1459339.4409999996</v>
          </cell>
          <cell r="F10">
            <v>863642.56600000057</v>
          </cell>
          <cell r="G10">
            <v>1169699.1210000003</v>
          </cell>
          <cell r="H10">
            <v>1476998.9679999985</v>
          </cell>
          <cell r="I10">
            <v>1782403.8720000004</v>
          </cell>
          <cell r="J10">
            <v>1558085.8430000003</v>
          </cell>
          <cell r="K10">
            <v>1520030.682</v>
          </cell>
          <cell r="L10">
            <v>1369739.6770000001</v>
          </cell>
          <cell r="M10">
            <v>1218157.1009999998</v>
          </cell>
          <cell r="N10">
            <v>1293553.2259999989</v>
          </cell>
          <cell r="O10">
            <v>1721296.0080000004</v>
          </cell>
          <cell r="P10">
            <v>1375066.2340000002</v>
          </cell>
          <cell r="Q10">
            <v>16808012.739000004</v>
          </cell>
        </row>
        <row r="11">
          <cell r="E11">
            <v>7210524.96</v>
          </cell>
          <cell r="F11">
            <v>6592577.2970000003</v>
          </cell>
          <cell r="G11">
            <v>8596622.2280000001</v>
          </cell>
          <cell r="H11">
            <v>8659085.7879999988</v>
          </cell>
          <cell r="I11">
            <v>9519898.3310000002</v>
          </cell>
          <cell r="J11">
            <v>7592347.5789999999</v>
          </cell>
          <cell r="K11">
            <v>11193012.956</v>
          </cell>
          <cell r="L11">
            <v>9292719.773</v>
          </cell>
          <cell r="M11">
            <v>7575195.2439999999</v>
          </cell>
          <cell r="N11">
            <v>8468169.4929999989</v>
          </cell>
          <cell r="O11">
            <v>9692775.4810000006</v>
          </cell>
          <cell r="P11">
            <v>7310057.0540000005</v>
          </cell>
          <cell r="Q11">
            <v>101702986.184</v>
          </cell>
          <cell r="S11"/>
        </row>
        <row r="12">
          <cell r="E12">
            <v>164595.84199999925</v>
          </cell>
          <cell r="F12">
            <v>159761.23100000061</v>
          </cell>
          <cell r="G12">
            <v>142278.28000000026</v>
          </cell>
          <cell r="H12">
            <v>132741.61400000006</v>
          </cell>
          <cell r="I12">
            <v>203930.51699999999</v>
          </cell>
          <cell r="J12">
            <v>232236.26600000076</v>
          </cell>
          <cell r="K12">
            <v>80826.218000000343</v>
          </cell>
          <cell r="L12">
            <v>152869.85000000056</v>
          </cell>
          <cell r="M12">
            <v>111889.87399999984</v>
          </cell>
          <cell r="N12">
            <v>172978.07899999991</v>
          </cell>
          <cell r="O12">
            <v>193733.69799999986</v>
          </cell>
          <cell r="P12">
            <v>85212.927000000142</v>
          </cell>
          <cell r="Q12">
            <v>1833054.3960000128</v>
          </cell>
        </row>
        <row r="13">
          <cell r="E13">
            <v>32836.365000001155</v>
          </cell>
          <cell r="F13">
            <v>13319.446999998763</v>
          </cell>
          <cell r="G13">
            <v>21017.277999999933</v>
          </cell>
          <cell r="H13">
            <v>30212.090000001714</v>
          </cell>
          <cell r="I13">
            <v>50992.036999999546</v>
          </cell>
          <cell r="J13">
            <v>48760.932999999262</v>
          </cell>
          <cell r="K13">
            <v>40809.47899999842</v>
          </cell>
          <cell r="L13">
            <v>47588.837000000291</v>
          </cell>
          <cell r="M13">
            <v>33740.742999999784</v>
          </cell>
          <cell r="N13">
            <v>37537.697000002488</v>
          </cell>
          <cell r="O13">
            <v>56359.841999999247</v>
          </cell>
          <cell r="P13">
            <v>50631.624999999069</v>
          </cell>
          <cell r="Q13">
            <v>463806.37299999222</v>
          </cell>
        </row>
        <row r="14">
          <cell r="E14">
            <v>197432.2070000004</v>
          </cell>
          <cell r="F14">
            <v>173080.67799999937</v>
          </cell>
          <cell r="G14">
            <v>163295.55800000019</v>
          </cell>
          <cell r="H14">
            <v>162953.70400000177</v>
          </cell>
          <cell r="I14">
            <v>254922.55399999954</v>
          </cell>
          <cell r="J14">
            <v>280997.19900000002</v>
          </cell>
          <cell r="K14">
            <v>121635.69699999876</v>
          </cell>
          <cell r="L14">
            <v>200458.68700000085</v>
          </cell>
          <cell r="M14">
            <v>145630.61699999962</v>
          </cell>
          <cell r="N14">
            <v>210515.7760000024</v>
          </cell>
          <cell r="O14">
            <v>250093.53999999911</v>
          </cell>
          <cell r="P14">
            <v>135844.55199999921</v>
          </cell>
          <cell r="Q14">
            <v>2296860.7690000087</v>
          </cell>
        </row>
        <row r="15">
          <cell r="E15">
            <v>66207.56</v>
          </cell>
          <cell r="F15">
            <v>66285.86</v>
          </cell>
          <cell r="G15">
            <v>65749.929999999993</v>
          </cell>
          <cell r="H15">
            <v>67760.67</v>
          </cell>
          <cell r="I15">
            <v>67398.19</v>
          </cell>
          <cell r="J15">
            <v>68315.210000000006</v>
          </cell>
          <cell r="K15">
            <v>66812.929999999993</v>
          </cell>
          <cell r="L15">
            <v>62651.65</v>
          </cell>
          <cell r="M15">
            <v>77308.009999999995</v>
          </cell>
          <cell r="N15">
            <v>73134.44</v>
          </cell>
          <cell r="O15">
            <v>67295.789999999994</v>
          </cell>
          <cell r="P15">
            <v>71052.55</v>
          </cell>
          <cell r="Q15">
            <v>819972.79</v>
          </cell>
          <cell r="S15"/>
        </row>
        <row r="16">
          <cell r="E16">
            <v>14873.76</v>
          </cell>
          <cell r="F16">
            <v>14873.76</v>
          </cell>
          <cell r="G16">
            <v>14860.963</v>
          </cell>
          <cell r="H16">
            <v>15208.86</v>
          </cell>
          <cell r="I16">
            <v>15041.31</v>
          </cell>
          <cell r="J16">
            <v>15956.352999999999</v>
          </cell>
          <cell r="K16">
            <v>14780.06</v>
          </cell>
          <cell r="L16">
            <v>14150</v>
          </cell>
          <cell r="M16">
            <v>22703.37</v>
          </cell>
          <cell r="N16">
            <v>14497.14</v>
          </cell>
          <cell r="O16">
            <v>9728.56</v>
          </cell>
          <cell r="P16">
            <v>71669.45</v>
          </cell>
          <cell r="Q16">
            <v>238343.58600000001</v>
          </cell>
          <cell r="S16"/>
        </row>
        <row r="17">
          <cell r="E17">
            <v>7310.9949999999999</v>
          </cell>
          <cell r="F17">
            <v>7310.9949999999999</v>
          </cell>
          <cell r="G17">
            <v>7310.9949999999999</v>
          </cell>
          <cell r="H17">
            <v>7310.9949999999999</v>
          </cell>
          <cell r="I17">
            <v>7310.9949999999999</v>
          </cell>
          <cell r="J17">
            <v>7310.9949999999999</v>
          </cell>
          <cell r="K17">
            <v>7415.38</v>
          </cell>
          <cell r="L17">
            <v>6838.2650000000003</v>
          </cell>
          <cell r="M17">
            <v>6838.2650000000003</v>
          </cell>
          <cell r="N17">
            <v>6838.2650000000003</v>
          </cell>
          <cell r="O17">
            <v>6838.2650000000003</v>
          </cell>
          <cell r="P17">
            <v>6838.2790000000005</v>
          </cell>
          <cell r="Q17">
            <v>85472.688999999998</v>
          </cell>
          <cell r="S17"/>
        </row>
        <row r="18">
          <cell r="E18">
            <v>88392.314999999988</v>
          </cell>
          <cell r="F18">
            <v>88470.614999999991</v>
          </cell>
          <cell r="G18">
            <v>87921.887999999992</v>
          </cell>
          <cell r="H18">
            <v>90280.524999999994</v>
          </cell>
          <cell r="I18">
            <v>89750.494999999995</v>
          </cell>
          <cell r="J18">
            <v>91582.558000000005</v>
          </cell>
          <cell r="K18">
            <v>89008.37</v>
          </cell>
          <cell r="L18">
            <v>83639.914999999994</v>
          </cell>
          <cell r="M18">
            <v>106849.64499999999</v>
          </cell>
          <cell r="N18">
            <v>94469.845000000001</v>
          </cell>
          <cell r="O18">
            <v>83862.614999999991</v>
          </cell>
          <cell r="P18">
            <v>149560.27900000001</v>
          </cell>
          <cell r="Q18">
            <v>1143789.0650000002</v>
          </cell>
          <cell r="S18"/>
        </row>
        <row r="19">
          <cell r="E19">
            <v>10121.891</v>
          </cell>
          <cell r="F19">
            <v>9805.2829999999994</v>
          </cell>
          <cell r="G19">
            <v>17707.691999999999</v>
          </cell>
          <cell r="H19">
            <v>11119.776</v>
          </cell>
          <cell r="I19">
            <v>11156.752</v>
          </cell>
          <cell r="J19">
            <v>13198.425999999999</v>
          </cell>
          <cell r="K19">
            <v>11393.108</v>
          </cell>
          <cell r="L19">
            <v>9677.1869999999999</v>
          </cell>
          <cell r="M19">
            <v>21372.597000000002</v>
          </cell>
          <cell r="N19">
            <v>9967.1309999999994</v>
          </cell>
          <cell r="O19">
            <v>9827.2720000000008</v>
          </cell>
          <cell r="P19">
            <v>21182.594000000001</v>
          </cell>
          <cell r="Q19">
            <v>156529.709</v>
          </cell>
          <cell r="S19"/>
        </row>
        <row r="20">
          <cell r="E20">
            <v>1311.06</v>
          </cell>
          <cell r="F20">
            <v>1355.9369999999999</v>
          </cell>
          <cell r="G20">
            <v>1375.4739999999999</v>
          </cell>
          <cell r="H20">
            <v>1243.2840000000001</v>
          </cell>
          <cell r="I20">
            <v>2969.5909999999999</v>
          </cell>
          <cell r="J20">
            <v>2547.7719999999999</v>
          </cell>
          <cell r="K20">
            <v>2306.7460000000001</v>
          </cell>
          <cell r="L20">
            <v>1941.2639999999999</v>
          </cell>
          <cell r="M20">
            <v>1798.2249999999999</v>
          </cell>
          <cell r="N20">
            <v>3033.0569999999998</v>
          </cell>
          <cell r="O20">
            <v>2527.3249999999998</v>
          </cell>
          <cell r="P20">
            <v>2481.9169999999999</v>
          </cell>
          <cell r="Q20">
            <v>24891.651999999998</v>
          </cell>
          <cell r="S20"/>
        </row>
        <row r="21">
          <cell r="E21">
            <v>2954.1509999999998</v>
          </cell>
          <cell r="F21">
            <v>2198.643</v>
          </cell>
          <cell r="G21">
            <v>2313.0590000000002</v>
          </cell>
          <cell r="H21">
            <v>9080.5509999999995</v>
          </cell>
          <cell r="I21">
            <v>3170.076</v>
          </cell>
          <cell r="J21">
            <v>2624.902</v>
          </cell>
          <cell r="K21">
            <v>2077.42</v>
          </cell>
          <cell r="L21">
            <v>1457.1</v>
          </cell>
          <cell r="M21">
            <v>2705.88</v>
          </cell>
          <cell r="N21">
            <v>2355.4499999999998</v>
          </cell>
          <cell r="O21">
            <v>2520.4</v>
          </cell>
          <cell r="P21">
            <v>3080.36</v>
          </cell>
          <cell r="Q21">
            <v>36537.991999999998</v>
          </cell>
          <cell r="S21"/>
        </row>
        <row r="22">
          <cell r="E22">
            <v>800</v>
          </cell>
          <cell r="F22">
            <v>450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50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1300</v>
          </cell>
          <cell r="S22"/>
        </row>
        <row r="23">
          <cell r="E23">
            <v>1555.0309999999999</v>
          </cell>
          <cell r="F23">
            <v>1525.067</v>
          </cell>
          <cell r="G23">
            <v>1632.8409999999999</v>
          </cell>
          <cell r="H23">
            <v>1763.1579999999999</v>
          </cell>
          <cell r="I23">
            <v>1704.309</v>
          </cell>
          <cell r="J23">
            <v>1633.1469999999999</v>
          </cell>
          <cell r="K23">
            <v>1480.127</v>
          </cell>
          <cell r="L23">
            <v>1614.203</v>
          </cell>
          <cell r="M23">
            <v>1493.895</v>
          </cell>
          <cell r="N23">
            <v>1516.5070000000001</v>
          </cell>
          <cell r="O23">
            <v>1503.94</v>
          </cell>
          <cell r="P23">
            <v>1640.039</v>
          </cell>
          <cell r="Q23">
            <v>19062.263999999999</v>
          </cell>
          <cell r="S23"/>
        </row>
        <row r="24">
          <cell r="E24">
            <v>289.08999999999997</v>
          </cell>
          <cell r="F24">
            <v>255.51</v>
          </cell>
          <cell r="G24">
            <v>165.68</v>
          </cell>
          <cell r="H24">
            <v>362.03</v>
          </cell>
          <cell r="I24">
            <v>547.33000000000004</v>
          </cell>
          <cell r="J24">
            <v>423.26499999999999</v>
          </cell>
          <cell r="K24">
            <v>760.52200000000005</v>
          </cell>
          <cell r="L24">
            <v>554.88</v>
          </cell>
          <cell r="M24">
            <v>326.77999999999997</v>
          </cell>
          <cell r="N24">
            <v>516.30999999999995</v>
          </cell>
          <cell r="O24">
            <v>534.13</v>
          </cell>
          <cell r="P24">
            <v>699.96900000000005</v>
          </cell>
          <cell r="Q24">
            <v>5435.4959999999992</v>
          </cell>
          <cell r="S24"/>
        </row>
        <row r="25">
          <cell r="E25">
            <v>175.22900000000001</v>
          </cell>
          <cell r="F25">
            <v>286.774</v>
          </cell>
          <cell r="G25">
            <v>182.274</v>
          </cell>
          <cell r="H25">
            <v>391.274</v>
          </cell>
          <cell r="I25">
            <v>338.63900000000001</v>
          </cell>
          <cell r="J25">
            <v>194.54499999999999</v>
          </cell>
          <cell r="K25">
            <v>205.7</v>
          </cell>
          <cell r="L25">
            <v>200.34700000000001</v>
          </cell>
          <cell r="M25">
            <v>282.43700000000001</v>
          </cell>
          <cell r="N25">
            <v>282.43700000000001</v>
          </cell>
          <cell r="O25">
            <v>282.43700000000001</v>
          </cell>
          <cell r="P25">
            <v>282.43700000000001</v>
          </cell>
          <cell r="Q25">
            <v>3104.5299999999997</v>
          </cell>
          <cell r="S25"/>
        </row>
        <row r="26">
          <cell r="E26">
            <v>3221.82</v>
          </cell>
          <cell r="F26">
            <v>3221.82</v>
          </cell>
          <cell r="G26">
            <v>3221.82</v>
          </cell>
          <cell r="H26">
            <v>3221.82</v>
          </cell>
          <cell r="I26">
            <v>3221.82</v>
          </cell>
          <cell r="J26">
            <v>3221.82</v>
          </cell>
          <cell r="K26">
            <v>3457.45</v>
          </cell>
          <cell r="L26">
            <v>3226.92</v>
          </cell>
          <cell r="M26">
            <v>3226.92</v>
          </cell>
          <cell r="N26">
            <v>3226.92</v>
          </cell>
          <cell r="O26">
            <v>3226.92</v>
          </cell>
          <cell r="P26">
            <v>3226.92</v>
          </cell>
          <cell r="Q26">
            <v>38922.969999999994</v>
          </cell>
          <cell r="S26"/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/>
        </row>
        <row r="28">
          <cell r="E28">
            <v>1050.8399999999999</v>
          </cell>
          <cell r="F28">
            <v>138.52000000000001</v>
          </cell>
          <cell r="G28">
            <v>94.89</v>
          </cell>
          <cell r="H28">
            <v>32284.75</v>
          </cell>
          <cell r="I28">
            <v>257.06</v>
          </cell>
          <cell r="J28">
            <v>49.77</v>
          </cell>
          <cell r="K28">
            <v>31660.799999999999</v>
          </cell>
          <cell r="L28">
            <v>242.3</v>
          </cell>
          <cell r="M28">
            <v>0</v>
          </cell>
          <cell r="N28">
            <v>30591.91</v>
          </cell>
          <cell r="O28">
            <v>12216.17</v>
          </cell>
          <cell r="P28">
            <v>38318.07</v>
          </cell>
          <cell r="Q28">
            <v>146905.07999999999</v>
          </cell>
          <cell r="S28"/>
        </row>
        <row r="29">
          <cell r="E29">
            <v>62.219000000000001</v>
          </cell>
          <cell r="F29">
            <v>64.25</v>
          </cell>
          <cell r="G29">
            <v>106</v>
          </cell>
          <cell r="H29">
            <v>189.15</v>
          </cell>
          <cell r="I29">
            <v>261.8</v>
          </cell>
          <cell r="J29">
            <v>73.650000000000006</v>
          </cell>
          <cell r="K29">
            <v>147.93</v>
          </cell>
          <cell r="L29">
            <v>168.34</v>
          </cell>
          <cell r="M29">
            <v>25</v>
          </cell>
          <cell r="N29">
            <v>123.74</v>
          </cell>
          <cell r="O29">
            <v>282.8</v>
          </cell>
          <cell r="P29">
            <v>582.35</v>
          </cell>
          <cell r="Q29">
            <v>2087.2289999999998</v>
          </cell>
          <cell r="S29"/>
        </row>
        <row r="30">
          <cell r="E30">
            <v>6297.65</v>
          </cell>
          <cell r="F30">
            <v>5545.7610000000004</v>
          </cell>
          <cell r="G30">
            <v>5779.4780000000001</v>
          </cell>
          <cell r="H30">
            <v>6166.1530000000002</v>
          </cell>
          <cell r="I30">
            <v>5995.0280000000002</v>
          </cell>
          <cell r="J30">
            <v>6034.0290000000005</v>
          </cell>
          <cell r="K30">
            <v>6286.6790000000001</v>
          </cell>
          <cell r="L30">
            <v>6745.6779999999999</v>
          </cell>
          <cell r="M30">
            <v>5998.9290000000001</v>
          </cell>
          <cell r="N30">
            <v>5750.1629999999996</v>
          </cell>
          <cell r="O30">
            <v>5490.6790000000001</v>
          </cell>
          <cell r="P30">
            <v>5741.4690000000001</v>
          </cell>
          <cell r="Q30">
            <v>71831.696000000011</v>
          </cell>
          <cell r="S30"/>
        </row>
        <row r="31">
          <cell r="E31">
            <v>7875.04</v>
          </cell>
          <cell r="F31">
            <v>12385.5</v>
          </cell>
          <cell r="G31">
            <v>5449.3</v>
          </cell>
          <cell r="H31">
            <v>6952</v>
          </cell>
          <cell r="I31">
            <v>7672.69</v>
          </cell>
          <cell r="J31">
            <v>3665</v>
          </cell>
          <cell r="K31">
            <v>7483.3159999999998</v>
          </cell>
          <cell r="L31">
            <v>5718.53</v>
          </cell>
          <cell r="M31">
            <v>11262.32</v>
          </cell>
          <cell r="N31">
            <v>9509.7000000000007</v>
          </cell>
          <cell r="O31">
            <v>5406.44</v>
          </cell>
          <cell r="P31">
            <v>4611.5429999999997</v>
          </cell>
          <cell r="Q31">
            <v>87991.379000000001</v>
          </cell>
          <cell r="S31"/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/>
        </row>
        <row r="33">
          <cell r="E33">
            <v>-6631.1459999999997</v>
          </cell>
          <cell r="F33">
            <v>-18.065999999999999</v>
          </cell>
          <cell r="G33">
            <v>139.43100000000001</v>
          </cell>
          <cell r="H33">
            <v>531.52599999999995</v>
          </cell>
          <cell r="I33">
            <v>-41.448</v>
          </cell>
          <cell r="J33">
            <v>28.1</v>
          </cell>
          <cell r="K33">
            <v>-663.24</v>
          </cell>
          <cell r="L33">
            <v>196.892</v>
          </cell>
          <cell r="M33">
            <v>391.423</v>
          </cell>
          <cell r="N33">
            <v>-268.49200000000002</v>
          </cell>
          <cell r="O33">
            <v>-1380.02</v>
          </cell>
          <cell r="P33">
            <v>114.742</v>
          </cell>
          <cell r="Q33">
            <v>-7600.2980000000007</v>
          </cell>
          <cell r="S33"/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/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S35"/>
        </row>
        <row r="36">
          <cell r="E36">
            <v>29082.875</v>
          </cell>
          <cell r="F36">
            <v>37214.999000000003</v>
          </cell>
          <cell r="G36">
            <v>38167.938999999998</v>
          </cell>
          <cell r="H36">
            <v>73305.471999999994</v>
          </cell>
          <cell r="I36">
            <v>37253.647000000012</v>
          </cell>
          <cell r="J36">
            <v>33694.425999999999</v>
          </cell>
          <cell r="K36">
            <v>66646.558000000005</v>
          </cell>
          <cell r="L36">
            <v>31743.640999999996</v>
          </cell>
          <cell r="M36">
            <v>48884.406000000003</v>
          </cell>
          <cell r="N36">
            <v>66604.833000000013</v>
          </cell>
          <cell r="O36">
            <v>42438.493000000009</v>
          </cell>
          <cell r="P36">
            <v>81962.410000000018</v>
          </cell>
          <cell r="Q36">
            <v>586999.69900000002</v>
          </cell>
          <cell r="S36"/>
        </row>
        <row r="37">
          <cell r="E37">
            <v>117475.18999999999</v>
          </cell>
          <cell r="F37">
            <v>125685.614</v>
          </cell>
          <cell r="G37">
            <v>126089.82699999999</v>
          </cell>
          <cell r="H37">
            <v>163585.99699999997</v>
          </cell>
          <cell r="I37">
            <v>127004.14200000001</v>
          </cell>
          <cell r="J37">
            <v>125276.984</v>
          </cell>
          <cell r="K37">
            <v>155654.92800000001</v>
          </cell>
          <cell r="L37">
            <v>115383.55599999998</v>
          </cell>
          <cell r="M37">
            <v>155734.05099999998</v>
          </cell>
          <cell r="N37">
            <v>161074.67800000001</v>
          </cell>
          <cell r="O37">
            <v>126301.10800000001</v>
          </cell>
          <cell r="P37">
            <v>231522.68900000001</v>
          </cell>
          <cell r="Q37">
            <v>1730788.7640000002</v>
          </cell>
          <cell r="S37"/>
        </row>
        <row r="38">
          <cell r="E38">
            <v>79957.017000000415</v>
          </cell>
          <cell r="F38">
            <v>47395.063999999373</v>
          </cell>
          <cell r="G38">
            <v>37205.731000000203</v>
          </cell>
          <cell r="H38">
            <v>-632.29299999820068</v>
          </cell>
          <cell r="I38">
            <v>127918.41199999953</v>
          </cell>
          <cell r="J38">
            <v>155720.21500000003</v>
          </cell>
          <cell r="K38">
            <v>-34019.231000001251</v>
          </cell>
          <cell r="L38">
            <v>85075.131000000867</v>
          </cell>
          <cell r="M38">
            <v>-10103.434000000358</v>
          </cell>
          <cell r="N38">
            <v>49441.098000002385</v>
          </cell>
          <cell r="O38">
            <v>123792.4319999991</v>
          </cell>
          <cell r="P38">
            <v>-95678.137000000803</v>
          </cell>
          <cell r="Q38">
            <v>566072.0050000085</v>
          </cell>
          <cell r="S38"/>
        </row>
        <row r="39">
          <cell r="E39">
            <v>4689.8059999999996</v>
          </cell>
          <cell r="F39">
            <v>5550.3850000000002</v>
          </cell>
          <cell r="G39">
            <v>5550.3850000000002</v>
          </cell>
          <cell r="H39">
            <v>5550.375</v>
          </cell>
          <cell r="I39">
            <v>5550.3850000000002</v>
          </cell>
          <cell r="J39">
            <v>5550.375</v>
          </cell>
          <cell r="K39">
            <v>5550.3850000000002</v>
          </cell>
          <cell r="L39">
            <v>5550.3779999999997</v>
          </cell>
          <cell r="M39">
            <v>5475.768</v>
          </cell>
          <cell r="N39">
            <v>5435.7690000000002</v>
          </cell>
          <cell r="O39">
            <v>5435.7830000000004</v>
          </cell>
          <cell r="P39">
            <v>5423.9359999999997</v>
          </cell>
          <cell r="Q39">
            <v>65313.73</v>
          </cell>
          <cell r="S39"/>
        </row>
        <row r="40">
          <cell r="E40">
            <v>75267.211000000418</v>
          </cell>
          <cell r="F40">
            <v>41844.678999999371</v>
          </cell>
          <cell r="G40">
            <v>31655.346000000201</v>
          </cell>
          <cell r="H40">
            <v>-6182.6679999982007</v>
          </cell>
          <cell r="I40">
            <v>122368.02699999954</v>
          </cell>
          <cell r="J40">
            <v>150169.84000000003</v>
          </cell>
          <cell r="K40">
            <v>-39569.616000001253</v>
          </cell>
          <cell r="L40">
            <v>79524.75300000087</v>
          </cell>
          <cell r="M40">
            <v>-15579.202000000358</v>
          </cell>
          <cell r="N40">
            <v>44005.329000002384</v>
          </cell>
          <cell r="O40">
            <v>118356.6489999991</v>
          </cell>
          <cell r="P40">
            <v>-101102.0730000008</v>
          </cell>
          <cell r="Q40">
            <v>500758.27500000852</v>
          </cell>
          <cell r="S40"/>
        </row>
        <row r="41">
          <cell r="E41">
            <v>1.0160319411036954E-2</v>
          </cell>
          <cell r="F41">
            <v>6.1848646731213711E-3</v>
          </cell>
          <cell r="G41">
            <v>3.6136578873595606E-3</v>
          </cell>
          <cell r="H41">
            <v>-7.0082071221793621E-4</v>
          </cell>
          <cell r="I41">
            <v>1.2518697625219916E-2</v>
          </cell>
          <cell r="J41">
            <v>1.9073194967863E-2</v>
          </cell>
          <cell r="K41">
            <v>-3.4972023624887062E-3</v>
          </cell>
          <cell r="L41">
            <v>8.3770418237772027E-3</v>
          </cell>
          <cell r="M41">
            <v>-2.0178154876792603E-3</v>
          </cell>
          <cell r="N41">
            <v>5.0705063769495217E-3</v>
          </cell>
          <cell r="O41">
            <v>1.19036717420316E-2</v>
          </cell>
          <cell r="P41">
            <v>-1.3578217702814055E-2</v>
          </cell>
          <cell r="Q41">
            <v>4.8149904992294172E-3</v>
          </cell>
        </row>
        <row r="42">
          <cell r="E42" t="str">
            <v>1월</v>
          </cell>
          <cell r="F42" t="str">
            <v>2월</v>
          </cell>
          <cell r="G42" t="str">
            <v>3월</v>
          </cell>
          <cell r="H42" t="str">
            <v>4월</v>
          </cell>
          <cell r="I42" t="str">
            <v>5월</v>
          </cell>
          <cell r="J42" t="str">
            <v>6월</v>
          </cell>
          <cell r="K42" t="str">
            <v>7월</v>
          </cell>
          <cell r="L42" t="str">
            <v>8월</v>
          </cell>
          <cell r="M42" t="str">
            <v>9월</v>
          </cell>
          <cell r="N42" t="str">
            <v>10월</v>
          </cell>
          <cell r="O42" t="str">
            <v>11월</v>
          </cell>
          <cell r="P42" t="str">
            <v>12월</v>
          </cell>
          <cell r="Q42" t="str">
            <v>합계</v>
          </cell>
        </row>
        <row r="43">
          <cell r="E43">
            <v>920730.85338998202</v>
          </cell>
          <cell r="F43">
            <v>886130.8859870329</v>
          </cell>
          <cell r="G43">
            <v>873530.5235919673</v>
          </cell>
          <cell r="H43">
            <v>853042.90795678552</v>
          </cell>
          <cell r="I43">
            <v>811389.30758305453</v>
          </cell>
          <cell r="J43">
            <v>785072.67759542307</v>
          </cell>
          <cell r="K43">
            <v>751049.2097042331</v>
          </cell>
          <cell r="L43">
            <v>846014.52770958561</v>
          </cell>
          <cell r="M43">
            <v>879572.42936012533</v>
          </cell>
          <cell r="N43">
            <v>818946.47731031897</v>
          </cell>
          <cell r="O43">
            <v>798803.69146262086</v>
          </cell>
          <cell r="P43">
            <v>752238.01942182856</v>
          </cell>
          <cell r="Q43">
            <v>824691.47076090367</v>
          </cell>
        </row>
        <row r="44"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</row>
        <row r="46">
          <cell r="E46">
            <v>1152972.7533904957</v>
          </cell>
          <cell r="F46">
            <v>1018096.1174357849</v>
          </cell>
          <cell r="G46">
            <v>1010946.2252344702</v>
          </cell>
          <cell r="H46">
            <v>1028811.309830002</v>
          </cell>
          <cell r="I46">
            <v>998710.58073300251</v>
          </cell>
          <cell r="J46">
            <v>986379.93094765872</v>
          </cell>
          <cell r="K46">
            <v>871234.85517340153</v>
          </cell>
          <cell r="L46">
            <v>994491.84234504995</v>
          </cell>
          <cell r="M46">
            <v>1049791.4865306576</v>
          </cell>
          <cell r="N46">
            <v>967306.90264654264</v>
          </cell>
          <cell r="O46">
            <v>972711.95636542363</v>
          </cell>
          <cell r="P46">
            <v>930382.17846005596</v>
          </cell>
          <cell r="Q46">
            <v>988928.13404932991</v>
          </cell>
          <cell r="R46"/>
          <cell r="S46"/>
          <cell r="T46"/>
        </row>
        <row r="47">
          <cell r="E47">
            <v>1122244.4500025136</v>
          </cell>
          <cell r="F47">
            <v>992050.9394315047</v>
          </cell>
          <cell r="G47">
            <v>992100.95385287225</v>
          </cell>
          <cell r="H47">
            <v>1009807.9247504045</v>
          </cell>
          <cell r="I47">
            <v>972664.69662499102</v>
          </cell>
          <cell r="J47">
            <v>951176.34142359975</v>
          </cell>
          <cell r="K47">
            <v>861868.83223183977</v>
          </cell>
          <cell r="L47">
            <v>973492.07606142946</v>
          </cell>
          <cell r="M47">
            <v>1029990.2651772461</v>
          </cell>
          <cell r="N47">
            <v>943843.28380001429</v>
          </cell>
          <cell r="O47">
            <v>948245.27818089223</v>
          </cell>
          <cell r="P47">
            <v>913408.09568143776</v>
          </cell>
          <cell r="Q47">
            <v>967087.42657708912</v>
          </cell>
          <cell r="R47"/>
          <cell r="S47"/>
          <cell r="T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</row>
        <row r="49">
          <cell r="E49">
            <v>0.79857121573986001</v>
          </cell>
          <cell r="F49">
            <v>0.87038038040934229</v>
          </cell>
          <cell r="G49">
            <v>0.86407219472961383</v>
          </cell>
          <cell r="H49">
            <v>0.82915389810182005</v>
          </cell>
          <cell r="I49">
            <v>0.81243687934850584</v>
          </cell>
          <cell r="J49">
            <v>0.79591306854871746</v>
          </cell>
          <cell r="K49">
            <v>0.86205138057149011</v>
          </cell>
          <cell r="L49">
            <v>0.85070031918477174</v>
          </cell>
          <cell r="M49">
            <v>0.83785441265763061</v>
          </cell>
          <cell r="N49">
            <v>0.8466252800116375</v>
          </cell>
          <cell r="O49">
            <v>0.82121298729315728</v>
          </cell>
          <cell r="P49">
            <v>0.80852582609322232</v>
          </cell>
          <cell r="Q49">
            <v>0.833924571833211</v>
          </cell>
          <cell r="R49"/>
          <cell r="S49"/>
          <cell r="T49"/>
        </row>
        <row r="50">
          <cell r="E50">
            <v>0.20142878426013996</v>
          </cell>
          <cell r="F50">
            <v>0.12961961959065768</v>
          </cell>
          <cell r="G50">
            <v>0.13592780527038614</v>
          </cell>
          <cell r="H50">
            <v>0.17084610189818</v>
          </cell>
          <cell r="I50">
            <v>0.18756312065149416</v>
          </cell>
          <cell r="J50">
            <v>0.20408693145128257</v>
          </cell>
          <cell r="K50">
            <v>0.13794861942850986</v>
          </cell>
          <cell r="L50">
            <v>0.14929968081522826</v>
          </cell>
          <cell r="M50">
            <v>0.16214558734236936</v>
          </cell>
          <cell r="N50">
            <v>0.15337471998836247</v>
          </cell>
          <cell r="O50">
            <v>0.17878701270684269</v>
          </cell>
          <cell r="P50">
            <v>0.19147417390677768</v>
          </cell>
          <cell r="Q50">
            <v>0.16607542816678894</v>
          </cell>
          <cell r="R50"/>
          <cell r="S50"/>
          <cell r="T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</row>
        <row r="52">
          <cell r="E52">
            <v>2.7823178707229314E-2</v>
          </cell>
          <cell r="F52">
            <v>2.7130154457106714E-2</v>
          </cell>
          <cell r="G52">
            <v>1.8797000201944851E-2</v>
          </cell>
          <cell r="H52">
            <v>1.8146921038230335E-2</v>
          </cell>
          <cell r="I52">
            <v>2.5679335587291203E-2</v>
          </cell>
          <cell r="J52">
            <v>3.7059976070507129E-2</v>
          </cell>
          <cell r="K52">
            <v>8.2866316338170258E-3</v>
          </cell>
          <cell r="L52">
            <v>1.8929258347069412E-2</v>
          </cell>
          <cell r="M52">
            <v>1.7296509360740942E-2</v>
          </cell>
          <cell r="N52">
            <v>2.3542137855523892E-2</v>
          </cell>
          <cell r="O52">
            <v>2.3726716491380119E-2</v>
          </cell>
          <cell r="P52">
            <v>1.4154492203434744E-2</v>
          </cell>
          <cell r="Q52">
            <v>2.1135663310142175E-2</v>
          </cell>
          <cell r="R52"/>
          <cell r="S52"/>
          <cell r="T52"/>
        </row>
        <row r="53">
          <cell r="E53">
            <v>2.2005694548837322E-2</v>
          </cell>
          <cell r="F53">
            <v>1.5188168703492945E-2</v>
          </cell>
          <cell r="G53">
            <v>1.7650951996336726E-2</v>
          </cell>
          <cell r="H53">
            <v>2.0045029420160815E-2</v>
          </cell>
          <cell r="I53">
            <v>2.7812889049050205E-2</v>
          </cell>
          <cell r="J53">
            <v>3.0345726629506131E-2</v>
          </cell>
          <cell r="K53">
            <v>2.6145841207630523E-2</v>
          </cell>
          <cell r="L53">
            <v>3.3576433783650161E-2</v>
          </cell>
          <cell r="M53">
            <v>2.6951674341249041E-2</v>
          </cell>
          <cell r="N53">
            <v>2.8200700907343241E-2</v>
          </cell>
          <cell r="O53">
            <v>3.1704585564185137E-2</v>
          </cell>
          <cell r="P53">
            <v>3.5513573005933156E-2</v>
          </cell>
          <cell r="Q53">
            <v>2.6853359799128049E-2</v>
          </cell>
          <cell r="R53"/>
          <cell r="S53"/>
          <cell r="T53"/>
        </row>
        <row r="54">
          <cell r="E54">
            <v>2.6651369945751794E-2</v>
          </cell>
          <cell r="F54">
            <v>2.5582238806566245E-2</v>
          </cell>
          <cell r="G54">
            <v>1.8641220384622476E-2</v>
          </cell>
          <cell r="H54">
            <v>1.847120545626342E-2</v>
          </cell>
          <cell r="I54">
            <v>2.607951153265552E-2</v>
          </cell>
          <cell r="J54">
            <v>3.568968550509475E-2</v>
          </cell>
          <cell r="K54">
            <v>1.0750284938609023E-2</v>
          </cell>
          <cell r="L54">
            <v>2.1116076964595568E-2</v>
          </cell>
          <cell r="M54">
            <v>1.8862051757392903E-2</v>
          </cell>
          <cell r="N54">
            <v>2.4256643659144816E-2</v>
          </cell>
          <cell r="O54">
            <v>2.5153055870673239E-2</v>
          </cell>
          <cell r="P54">
            <v>1.8244204555501242E-2</v>
          </cell>
          <cell r="Q54">
            <v>2.2085232202678284E-2</v>
          </cell>
          <cell r="R54"/>
          <cell r="S54"/>
        </row>
        <row r="55">
          <cell r="R55"/>
          <cell r="S55"/>
        </row>
        <row r="56">
          <cell r="R56"/>
          <cell r="S56"/>
        </row>
      </sheetData>
      <sheetData sheetId="1"/>
      <sheetData sheetId="2"/>
      <sheetData sheetId="3"/>
      <sheetData sheetId="4"/>
      <sheetData sheetId="5"/>
      <sheetData sheetId="6">
        <row r="10">
          <cell r="G10">
            <v>785072.67759542307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물량"/>
      <sheetName val="매출"/>
      <sheetName val="공헌이익"/>
      <sheetName val="원가"/>
      <sheetName val="제조4"/>
      <sheetName val="제조6"/>
      <sheetName val="본사산출"/>
      <sheetName val="인별예산"/>
      <sheetName val="계정통제"/>
    </sheetNames>
    <sheetDataSet>
      <sheetData sheetId="0"/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</row>
        <row r="6">
          <cell r="G6">
            <v>9819.6666666666661</v>
          </cell>
          <cell r="H6">
            <v>17637.466666666667</v>
          </cell>
          <cell r="I6">
            <v>24056.49306666667</v>
          </cell>
          <cell r="J6">
            <v>25419.693066666667</v>
          </cell>
          <cell r="K6">
            <v>13723.800000000001</v>
          </cell>
          <cell r="L6">
            <v>13278.266666666666</v>
          </cell>
          <cell r="M6">
            <v>13015.8</v>
          </cell>
          <cell r="N6">
            <v>11373.533333333333</v>
          </cell>
          <cell r="O6">
            <v>13690.800000000001</v>
          </cell>
          <cell r="P6">
            <v>13088.599999999999</v>
          </cell>
          <cell r="Q6">
            <v>15254.8</v>
          </cell>
          <cell r="R6">
            <v>15319.666666666666</v>
          </cell>
        </row>
        <row r="7">
          <cell r="G7">
            <v>8000</v>
          </cell>
          <cell r="H7">
            <v>8000</v>
          </cell>
          <cell r="I7">
            <v>11000</v>
          </cell>
          <cell r="J7">
            <v>11000</v>
          </cell>
          <cell r="K7">
            <v>13500</v>
          </cell>
          <cell r="L7">
            <v>13500</v>
          </cell>
          <cell r="M7">
            <v>9000</v>
          </cell>
          <cell r="N7">
            <v>9000</v>
          </cell>
          <cell r="O7">
            <v>9000</v>
          </cell>
          <cell r="P7">
            <v>12000</v>
          </cell>
          <cell r="Q7">
            <v>12000</v>
          </cell>
          <cell r="R7">
            <v>10964</v>
          </cell>
        </row>
        <row r="8">
          <cell r="G8">
            <v>17819.666666666664</v>
          </cell>
          <cell r="H8">
            <v>25637.466666666667</v>
          </cell>
          <cell r="I8">
            <v>35056.49306666667</v>
          </cell>
          <cell r="J8">
            <v>36419.693066666667</v>
          </cell>
          <cell r="K8">
            <v>27223.800000000003</v>
          </cell>
          <cell r="L8">
            <v>26778.266666666666</v>
          </cell>
          <cell r="M8">
            <v>22015.8</v>
          </cell>
          <cell r="N8">
            <v>20373.533333333333</v>
          </cell>
          <cell r="O8">
            <v>22690.800000000003</v>
          </cell>
          <cell r="P8">
            <v>25088.6</v>
          </cell>
          <cell r="Q8">
            <v>27254.799999999999</v>
          </cell>
          <cell r="R8">
            <v>26283.666666666664</v>
          </cell>
        </row>
        <row r="9">
          <cell r="G9">
            <v>6618.1935483870966</v>
          </cell>
          <cell r="H9">
            <v>8060.1935483870966</v>
          </cell>
          <cell r="I9">
            <v>16743.60404731183</v>
          </cell>
          <cell r="J9">
            <v>17628.551612903226</v>
          </cell>
          <cell r="K9">
            <v>9154.4516129032254</v>
          </cell>
          <cell r="L9">
            <v>8840.8709677419356</v>
          </cell>
          <cell r="M9">
            <v>8632.9569892473119</v>
          </cell>
          <cell r="N9">
            <v>7575.9569892473119</v>
          </cell>
          <cell r="O9">
            <v>9077.6236559139797</v>
          </cell>
          <cell r="P9">
            <v>8653.2150537634407</v>
          </cell>
          <cell r="Q9">
            <v>10144.634408602149</v>
          </cell>
          <cell r="R9">
            <v>10227.634408602149</v>
          </cell>
        </row>
        <row r="10">
          <cell r="G10">
            <v>7000</v>
          </cell>
          <cell r="H10">
            <v>7000</v>
          </cell>
          <cell r="I10">
            <v>7000</v>
          </cell>
          <cell r="J10">
            <v>7000</v>
          </cell>
          <cell r="K10">
            <v>7000</v>
          </cell>
          <cell r="L10">
            <v>7000</v>
          </cell>
          <cell r="M10">
            <v>7000</v>
          </cell>
          <cell r="N10">
            <v>7000</v>
          </cell>
          <cell r="O10">
            <v>7000</v>
          </cell>
          <cell r="P10">
            <v>7000</v>
          </cell>
          <cell r="Q10">
            <v>7000</v>
          </cell>
          <cell r="R10">
            <v>7000</v>
          </cell>
        </row>
        <row r="11">
          <cell r="G11">
            <v>13618.193548387097</v>
          </cell>
          <cell r="H11">
            <v>15060.193548387097</v>
          </cell>
          <cell r="I11">
            <v>23743.60404731183</v>
          </cell>
          <cell r="J11">
            <v>24628.551612903226</v>
          </cell>
          <cell r="K11">
            <v>16154.451612903225</v>
          </cell>
          <cell r="L11">
            <v>15840.870967741936</v>
          </cell>
          <cell r="M11">
            <v>15632.956989247312</v>
          </cell>
          <cell r="N11">
            <v>14575.956989247312</v>
          </cell>
          <cell r="O11">
            <v>16077.62365591398</v>
          </cell>
          <cell r="P11">
            <v>15653.215053763441</v>
          </cell>
          <cell r="Q11">
            <v>17144.634408602149</v>
          </cell>
          <cell r="R11">
            <v>17227.634408602149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G16">
            <v>5000</v>
          </cell>
          <cell r="H16">
            <v>5000</v>
          </cell>
          <cell r="I16">
            <v>5000</v>
          </cell>
          <cell r="J16">
            <v>6000</v>
          </cell>
          <cell r="K16">
            <v>6000</v>
          </cell>
          <cell r="L16">
            <v>5000</v>
          </cell>
          <cell r="M16">
            <v>5000</v>
          </cell>
          <cell r="N16">
            <v>5000</v>
          </cell>
          <cell r="O16">
            <v>5000</v>
          </cell>
          <cell r="P16">
            <v>5000</v>
          </cell>
          <cell r="Q16">
            <v>5000</v>
          </cell>
          <cell r="R16">
            <v>5000</v>
          </cell>
        </row>
        <row r="17">
          <cell r="G17">
            <v>5000</v>
          </cell>
          <cell r="H17">
            <v>5000</v>
          </cell>
          <cell r="I17">
            <v>5000</v>
          </cell>
          <cell r="J17">
            <v>6000</v>
          </cell>
          <cell r="K17">
            <v>6000</v>
          </cell>
          <cell r="L17">
            <v>5000</v>
          </cell>
          <cell r="M17">
            <v>5000</v>
          </cell>
          <cell r="N17">
            <v>5000</v>
          </cell>
          <cell r="O17">
            <v>5000</v>
          </cell>
          <cell r="P17">
            <v>5000</v>
          </cell>
          <cell r="Q17">
            <v>5000</v>
          </cell>
          <cell r="R17">
            <v>5000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16437.860215053763</v>
          </cell>
          <cell r="H24">
            <v>25697.660215053766</v>
          </cell>
          <cell r="I24">
            <v>40800.097113978496</v>
          </cell>
          <cell r="J24">
            <v>43048.244679569892</v>
          </cell>
          <cell r="K24">
            <v>22878.251612903226</v>
          </cell>
          <cell r="L24">
            <v>22119.137634408602</v>
          </cell>
          <cell r="M24">
            <v>21648.756989247311</v>
          </cell>
          <cell r="N24">
            <v>18949.490322580645</v>
          </cell>
          <cell r="O24">
            <v>22768.423655913983</v>
          </cell>
          <cell r="P24">
            <v>21741.815053763439</v>
          </cell>
          <cell r="Q24">
            <v>25399.434408602148</v>
          </cell>
          <cell r="R24">
            <v>25547.301075268813</v>
          </cell>
        </row>
        <row r="25">
          <cell r="G25">
            <v>20000</v>
          </cell>
          <cell r="H25">
            <v>20000</v>
          </cell>
          <cell r="I25">
            <v>23000</v>
          </cell>
          <cell r="J25">
            <v>24000</v>
          </cell>
          <cell r="K25">
            <v>26500</v>
          </cell>
          <cell r="L25">
            <v>25500</v>
          </cell>
          <cell r="M25">
            <v>21000</v>
          </cell>
          <cell r="N25">
            <v>21000</v>
          </cell>
          <cell r="O25">
            <v>21000</v>
          </cell>
          <cell r="P25">
            <v>24000</v>
          </cell>
          <cell r="Q25">
            <v>24000</v>
          </cell>
          <cell r="R25">
            <v>22964</v>
          </cell>
        </row>
        <row r="26">
          <cell r="G26">
            <v>36437.860215053763</v>
          </cell>
          <cell r="H26">
            <v>45697.660215053766</v>
          </cell>
          <cell r="I26">
            <v>63800.097113978496</v>
          </cell>
          <cell r="J26">
            <v>67048.244679569892</v>
          </cell>
          <cell r="K26">
            <v>49378.25161290323</v>
          </cell>
          <cell r="L26">
            <v>47619.137634408602</v>
          </cell>
          <cell r="M26">
            <v>42648.756989247311</v>
          </cell>
          <cell r="N26">
            <v>39949.490322580648</v>
          </cell>
          <cell r="O26">
            <v>43768.423655913983</v>
          </cell>
          <cell r="P26">
            <v>45741.815053763436</v>
          </cell>
          <cell r="Q26">
            <v>49399.434408602145</v>
          </cell>
          <cell r="R26">
            <v>48511.301075268813</v>
          </cell>
        </row>
        <row r="27">
          <cell r="G27">
            <v>15010.271903323264</v>
          </cell>
          <cell r="H27">
            <v>14337.962367989356</v>
          </cell>
          <cell r="I27">
            <v>13889.526446797468</v>
          </cell>
          <cell r="J27">
            <v>13927.363156517105</v>
          </cell>
          <cell r="K27">
            <v>15007.301184803042</v>
          </cell>
          <cell r="L27">
            <v>14948.175966742649</v>
          </cell>
          <cell r="M27">
            <v>15047.957098295918</v>
          </cell>
          <cell r="N27">
            <v>14910.488092237534</v>
          </cell>
          <cell r="O27">
            <v>15049.902124054108</v>
          </cell>
          <cell r="P27">
            <v>14781.046101187294</v>
          </cell>
          <cell r="Q27">
            <v>14931.929622151716</v>
          </cell>
          <cell r="R27">
            <v>14936.452055092583</v>
          </cell>
        </row>
        <row r="28">
          <cell r="G28">
            <v>11500</v>
          </cell>
          <cell r="H28">
            <v>11500</v>
          </cell>
          <cell r="I28">
            <v>11500</v>
          </cell>
          <cell r="J28">
            <v>11500</v>
          </cell>
          <cell r="K28">
            <v>11500</v>
          </cell>
          <cell r="L28">
            <v>11500</v>
          </cell>
          <cell r="M28">
            <v>11500</v>
          </cell>
          <cell r="N28">
            <v>11500</v>
          </cell>
          <cell r="O28">
            <v>11500</v>
          </cell>
          <cell r="P28">
            <v>11500</v>
          </cell>
          <cell r="Q28">
            <v>11500</v>
          </cell>
          <cell r="R28">
            <v>11500</v>
          </cell>
        </row>
        <row r="29">
          <cell r="G29">
            <v>13434.362782693281</v>
          </cell>
          <cell r="H29">
            <v>13452.395192452714</v>
          </cell>
          <cell r="I29">
            <v>13139.742637424792</v>
          </cell>
          <cell r="J29">
            <v>13194.21599152558</v>
          </cell>
          <cell r="K29">
            <v>13268.0669120402</v>
          </cell>
          <cell r="L29">
            <v>13209.811937043474</v>
          </cell>
          <cell r="M29">
            <v>13597.561751106023</v>
          </cell>
          <cell r="N29">
            <v>13403.906375264642</v>
          </cell>
          <cell r="O29">
            <v>13641.88129109595</v>
          </cell>
          <cell r="P29">
            <v>13211.705714946229</v>
          </cell>
          <cell r="Q29">
            <v>13420.887329938212</v>
          </cell>
          <cell r="R29">
            <v>13502.966354263104</v>
          </cell>
        </row>
        <row r="30">
          <cell r="G30">
            <v>20833.947476165409</v>
          </cell>
          <cell r="H30">
            <v>21042.558811522977</v>
          </cell>
          <cell r="I30">
            <v>19767.858868481104</v>
          </cell>
          <cell r="J30">
            <v>19798.51115794374</v>
          </cell>
          <cell r="K30">
            <v>20860.586071292655</v>
          </cell>
          <cell r="L30">
            <v>20798.848456764223</v>
          </cell>
          <cell r="M30">
            <v>20914.422723621032</v>
          </cell>
          <cell r="N30">
            <v>20762.962626532153</v>
          </cell>
          <cell r="O30">
            <v>20908.993993264779</v>
          </cell>
          <cell r="P30">
            <v>20624.177227930697</v>
          </cell>
          <cell r="Q30">
            <v>20807.861775545312</v>
          </cell>
          <cell r="R30">
            <v>20817.536297402145</v>
          </cell>
        </row>
        <row r="31">
          <cell r="G31">
            <v>15000</v>
          </cell>
          <cell r="H31">
            <v>15000</v>
          </cell>
          <cell r="I31">
            <v>15000</v>
          </cell>
          <cell r="J31">
            <v>15000</v>
          </cell>
          <cell r="K31">
            <v>15000</v>
          </cell>
          <cell r="L31">
            <v>15000</v>
          </cell>
          <cell r="M31">
            <v>15000</v>
          </cell>
          <cell r="N31">
            <v>15000</v>
          </cell>
          <cell r="O31">
            <v>15000</v>
          </cell>
          <cell r="P31">
            <v>15000</v>
          </cell>
          <cell r="Q31">
            <v>15000</v>
          </cell>
          <cell r="R31">
            <v>15000</v>
          </cell>
        </row>
        <row r="32">
          <cell r="G32">
            <v>17835.192010687791</v>
          </cell>
          <cell r="H32">
            <v>18233.968633398021</v>
          </cell>
          <cell r="I32">
            <v>18362.21665793614</v>
          </cell>
          <cell r="J32">
            <v>18434.664081853072</v>
          </cell>
          <cell r="K32">
            <v>18321.093955925462</v>
          </cell>
          <cell r="L32">
            <v>18236.366931599965</v>
          </cell>
          <cell r="M32">
            <v>18266.109989579501</v>
          </cell>
          <cell r="N32">
            <v>17995.340684762949</v>
          </cell>
          <cell r="O32">
            <v>18336.290536703989</v>
          </cell>
          <cell r="P32">
            <v>18109.087486922541</v>
          </cell>
          <cell r="Q32">
            <v>18436.56405872617</v>
          </cell>
          <cell r="R32">
            <v>18453.732125804378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G37">
            <v>9000</v>
          </cell>
          <cell r="H37">
            <v>9000</v>
          </cell>
          <cell r="I37">
            <v>9000</v>
          </cell>
          <cell r="J37">
            <v>9000</v>
          </cell>
          <cell r="K37">
            <v>9000</v>
          </cell>
          <cell r="L37">
            <v>9000</v>
          </cell>
          <cell r="M37">
            <v>9000</v>
          </cell>
          <cell r="N37">
            <v>9000</v>
          </cell>
          <cell r="O37">
            <v>9000</v>
          </cell>
          <cell r="P37">
            <v>9000</v>
          </cell>
          <cell r="Q37">
            <v>9000</v>
          </cell>
          <cell r="R37">
            <v>9000</v>
          </cell>
        </row>
        <row r="38">
          <cell r="G38">
            <v>9000</v>
          </cell>
          <cell r="H38">
            <v>9000</v>
          </cell>
          <cell r="I38">
            <v>9000</v>
          </cell>
          <cell r="J38">
            <v>9000</v>
          </cell>
          <cell r="K38">
            <v>9000</v>
          </cell>
          <cell r="L38">
            <v>9000</v>
          </cell>
          <cell r="M38">
            <v>9000</v>
          </cell>
          <cell r="N38">
            <v>9000</v>
          </cell>
          <cell r="O38">
            <v>9000</v>
          </cell>
          <cell r="P38">
            <v>9000</v>
          </cell>
          <cell r="Q38">
            <v>9000</v>
          </cell>
          <cell r="R38">
            <v>9000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17354.993880505335</v>
          </cell>
          <cell r="H45">
            <v>16440.890982752957</v>
          </cell>
          <cell r="I45">
            <v>16301.885178498263</v>
          </cell>
          <cell r="J45">
            <v>16331.63855358719</v>
          </cell>
          <cell r="K45">
            <v>17349.421298548361</v>
          </cell>
          <cell r="L45">
            <v>17286.650522745884</v>
          </cell>
          <cell r="M45">
            <v>17387.349861006696</v>
          </cell>
          <cell r="N45">
            <v>17250.292202939494</v>
          </cell>
          <cell r="O45">
            <v>17385.884261328909</v>
          </cell>
          <cell r="P45">
            <v>17106.604942618873</v>
          </cell>
          <cell r="Q45">
            <v>17278.800129068997</v>
          </cell>
          <cell r="R45">
            <v>17290.891742452019</v>
          </cell>
        </row>
        <row r="46">
          <cell r="G46">
            <v>12100</v>
          </cell>
          <cell r="H46">
            <v>12100</v>
          </cell>
          <cell r="I46">
            <v>12021.739130434784</v>
          </cell>
          <cell r="J46">
            <v>11895.833333333334</v>
          </cell>
          <cell r="K46">
            <v>11858.490566037735</v>
          </cell>
          <cell r="L46">
            <v>11970.588235294117</v>
          </cell>
          <cell r="M46">
            <v>12071.428571428571</v>
          </cell>
          <cell r="N46">
            <v>12071.428571428571</v>
          </cell>
          <cell r="O46">
            <v>12071.428571428571</v>
          </cell>
          <cell r="P46">
            <v>12000</v>
          </cell>
          <cell r="Q46">
            <v>12000</v>
          </cell>
          <cell r="R46">
            <v>12022.557045810836</v>
          </cell>
        </row>
        <row r="47">
          <cell r="G47">
            <v>14470.634673081671</v>
          </cell>
          <cell r="H47">
            <v>14541.060242043404</v>
          </cell>
          <cell r="I47">
            <v>14758.888168170968</v>
          </cell>
          <cell r="J47">
            <v>14743.836728276592</v>
          </cell>
          <cell r="K47">
            <v>14402.584185880971</v>
          </cell>
          <cell r="L47">
            <v>14439.90454908366</v>
          </cell>
          <cell r="M47">
            <v>14769.82112249537</v>
          </cell>
          <cell r="N47">
            <v>14527.951182226716</v>
          </cell>
          <cell r="O47">
            <v>14836.019309251127</v>
          </cell>
          <cell r="P47">
            <v>14427.250866292832</v>
          </cell>
          <cell r="Q47">
            <v>14714.17151308641</v>
          </cell>
          <cell r="R47">
            <v>14796.997839545647</v>
          </cell>
        </row>
        <row r="48">
          <cell r="G48">
            <v>147395.86666666667</v>
          </cell>
          <cell r="H48">
            <v>252885.33333333334</v>
          </cell>
          <cell r="I48">
            <v>334133.29666666663</v>
          </cell>
          <cell r="J48">
            <v>354029.29666666663</v>
          </cell>
          <cell r="K48">
            <v>205957.2</v>
          </cell>
          <cell r="L48">
            <v>198485.86666666667</v>
          </cell>
          <cell r="M48">
            <v>195861.19999999998</v>
          </cell>
          <cell r="N48">
            <v>169584.93333333332</v>
          </cell>
          <cell r="O48">
            <v>206045.2</v>
          </cell>
          <cell r="P48">
            <v>193463.19999999998</v>
          </cell>
          <cell r="Q48">
            <v>227783.59999999998</v>
          </cell>
          <cell r="R48">
            <v>228821.46666666665</v>
          </cell>
        </row>
        <row r="49">
          <cell r="G49">
            <v>92000</v>
          </cell>
          <cell r="H49">
            <v>92000</v>
          </cell>
          <cell r="I49">
            <v>126500</v>
          </cell>
          <cell r="J49">
            <v>126500</v>
          </cell>
          <cell r="K49">
            <v>155250</v>
          </cell>
          <cell r="L49">
            <v>155250</v>
          </cell>
          <cell r="M49">
            <v>103500</v>
          </cell>
          <cell r="N49">
            <v>103500</v>
          </cell>
          <cell r="O49">
            <v>103500</v>
          </cell>
          <cell r="P49">
            <v>138000</v>
          </cell>
          <cell r="Q49">
            <v>138000</v>
          </cell>
          <cell r="R49">
            <v>126086</v>
          </cell>
        </row>
        <row r="50">
          <cell r="G50">
            <v>239395.86666666667</v>
          </cell>
          <cell r="H50">
            <v>344885.33333333337</v>
          </cell>
          <cell r="I50">
            <v>460633.29666666663</v>
          </cell>
          <cell r="J50">
            <v>480529.29666666663</v>
          </cell>
          <cell r="K50">
            <v>361207.2</v>
          </cell>
          <cell r="L50">
            <v>353735.8666666667</v>
          </cell>
          <cell r="M50">
            <v>299361.19999999995</v>
          </cell>
          <cell r="N50">
            <v>273084.93333333335</v>
          </cell>
          <cell r="O50">
            <v>309545.2</v>
          </cell>
          <cell r="P50">
            <v>331463.19999999995</v>
          </cell>
          <cell r="Q50">
            <v>365783.6</v>
          </cell>
          <cell r="R50">
            <v>354907.46666666667</v>
          </cell>
        </row>
        <row r="51">
          <cell r="G51">
            <v>137883.09677419355</v>
          </cell>
          <cell r="H51">
            <v>169607.09677419355</v>
          </cell>
          <cell r="I51">
            <v>330985.20175698923</v>
          </cell>
          <cell r="J51">
            <v>349019.07580645161</v>
          </cell>
          <cell r="K51">
            <v>190967.22580645161</v>
          </cell>
          <cell r="L51">
            <v>183879.93548387097</v>
          </cell>
          <cell r="M51">
            <v>180553.31182795699</v>
          </cell>
          <cell r="N51">
            <v>157299.31182795699</v>
          </cell>
          <cell r="O51">
            <v>189803.97849462368</v>
          </cell>
          <cell r="P51">
            <v>178465.44086021505</v>
          </cell>
          <cell r="Q51">
            <v>211088.15053763438</v>
          </cell>
          <cell r="R51">
            <v>212914.15053763438</v>
          </cell>
        </row>
        <row r="52">
          <cell r="G52">
            <v>105000</v>
          </cell>
          <cell r="H52">
            <v>105000</v>
          </cell>
          <cell r="I52">
            <v>105000</v>
          </cell>
          <cell r="J52">
            <v>105000</v>
          </cell>
          <cell r="K52">
            <v>105000</v>
          </cell>
          <cell r="L52">
            <v>105000</v>
          </cell>
          <cell r="M52">
            <v>105000</v>
          </cell>
          <cell r="N52">
            <v>105000</v>
          </cell>
          <cell r="O52">
            <v>105000</v>
          </cell>
          <cell r="P52">
            <v>105000</v>
          </cell>
          <cell r="Q52">
            <v>105000</v>
          </cell>
          <cell r="R52">
            <v>105000</v>
          </cell>
        </row>
        <row r="53">
          <cell r="G53">
            <v>242883.09677419355</v>
          </cell>
          <cell r="H53">
            <v>274607.09677419357</v>
          </cell>
          <cell r="I53">
            <v>435985.20175698923</v>
          </cell>
          <cell r="J53">
            <v>454019.07580645161</v>
          </cell>
          <cell r="K53">
            <v>295967.22580645164</v>
          </cell>
          <cell r="L53">
            <v>288879.93548387097</v>
          </cell>
          <cell r="M53">
            <v>285553.31182795699</v>
          </cell>
          <cell r="N53">
            <v>262299.31182795699</v>
          </cell>
          <cell r="O53">
            <v>294803.97849462368</v>
          </cell>
          <cell r="P53">
            <v>283465.44086021505</v>
          </cell>
          <cell r="Q53">
            <v>316088.15053763438</v>
          </cell>
          <cell r="R53">
            <v>317914.15053763438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G58">
            <v>45000</v>
          </cell>
          <cell r="H58">
            <v>45000</v>
          </cell>
          <cell r="I58">
            <v>45000</v>
          </cell>
          <cell r="J58">
            <v>54000</v>
          </cell>
          <cell r="K58">
            <v>54000</v>
          </cell>
          <cell r="L58">
            <v>45000</v>
          </cell>
          <cell r="M58">
            <v>45000</v>
          </cell>
          <cell r="N58">
            <v>45000</v>
          </cell>
          <cell r="O58">
            <v>45000</v>
          </cell>
          <cell r="P58">
            <v>45000</v>
          </cell>
          <cell r="Q58">
            <v>45000</v>
          </cell>
          <cell r="R58">
            <v>45000</v>
          </cell>
        </row>
        <row r="59">
          <cell r="G59">
            <v>45000</v>
          </cell>
          <cell r="H59">
            <v>45000</v>
          </cell>
          <cell r="I59">
            <v>45000</v>
          </cell>
          <cell r="J59">
            <v>54000</v>
          </cell>
          <cell r="K59">
            <v>54000</v>
          </cell>
          <cell r="L59">
            <v>45000</v>
          </cell>
          <cell r="M59">
            <v>45000</v>
          </cell>
          <cell r="N59">
            <v>45000</v>
          </cell>
          <cell r="O59">
            <v>45000</v>
          </cell>
          <cell r="P59">
            <v>45000</v>
          </cell>
          <cell r="Q59">
            <v>45000</v>
          </cell>
          <cell r="R59">
            <v>45000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G66">
            <v>285278.96344086021</v>
          </cell>
          <cell r="H66">
            <v>422492.43010752689</v>
          </cell>
          <cell r="I66">
            <v>665118.49842365587</v>
          </cell>
          <cell r="J66">
            <v>703048.37247311824</v>
          </cell>
          <cell r="K66">
            <v>396924.42580645159</v>
          </cell>
          <cell r="L66">
            <v>382365.80215053761</v>
          </cell>
          <cell r="M66">
            <v>376414.511827957</v>
          </cell>
          <cell r="N66">
            <v>326884.24516129028</v>
          </cell>
          <cell r="O66">
            <v>395849.17849462369</v>
          </cell>
          <cell r="P66">
            <v>371928.64086021506</v>
          </cell>
          <cell r="Q66">
            <v>438871.75053763436</v>
          </cell>
          <cell r="R66">
            <v>441735.61720430106</v>
          </cell>
        </row>
        <row r="67">
          <cell r="G67">
            <v>242000</v>
          </cell>
          <cell r="H67">
            <v>242000</v>
          </cell>
          <cell r="I67">
            <v>276500</v>
          </cell>
          <cell r="J67">
            <v>285500</v>
          </cell>
          <cell r="K67">
            <v>314250</v>
          </cell>
          <cell r="L67">
            <v>305250</v>
          </cell>
          <cell r="M67">
            <v>253500</v>
          </cell>
          <cell r="N67">
            <v>253500</v>
          </cell>
          <cell r="O67">
            <v>253500</v>
          </cell>
          <cell r="P67">
            <v>288000</v>
          </cell>
          <cell r="Q67">
            <v>288000</v>
          </cell>
          <cell r="R67">
            <v>276086</v>
          </cell>
        </row>
        <row r="68">
          <cell r="G68">
            <v>527278.96344086016</v>
          </cell>
          <cell r="H68">
            <v>664492.43010752695</v>
          </cell>
          <cell r="I68">
            <v>941618.49842365587</v>
          </cell>
          <cell r="J68">
            <v>988548.37247311824</v>
          </cell>
          <cell r="K68">
            <v>711174.42580645159</v>
          </cell>
          <cell r="L68">
            <v>687615.80215053761</v>
          </cell>
          <cell r="M68">
            <v>629914.511827957</v>
          </cell>
          <cell r="N68">
            <v>580384.24516129028</v>
          </cell>
          <cell r="O68">
            <v>649349.17849462363</v>
          </cell>
          <cell r="P68">
            <v>659928.64086021506</v>
          </cell>
          <cell r="Q68">
            <v>726871.75053763436</v>
          </cell>
          <cell r="R68">
            <v>717821.61720430106</v>
          </cell>
        </row>
        <row r="69">
          <cell r="G69">
            <v>119416.86983535677</v>
          </cell>
          <cell r="H69">
            <v>210575.1600490764</v>
          </cell>
          <cell r="I69">
            <v>246981.58952835973</v>
          </cell>
          <cell r="J69">
            <v>274095.79793103476</v>
          </cell>
          <cell r="K69">
            <v>155197.68434783511</v>
          </cell>
          <cell r="L69">
            <v>180350.58711671986</v>
          </cell>
          <cell r="M69">
            <v>159878.74128331867</v>
          </cell>
          <cell r="N69">
            <v>150202.55561146149</v>
          </cell>
          <cell r="O69">
            <v>160866.73346438046</v>
          </cell>
          <cell r="P69">
            <v>160932.55624297276</v>
          </cell>
          <cell r="Q69">
            <v>174629.0790942882</v>
          </cell>
          <cell r="R69">
            <v>203216.04049154301</v>
          </cell>
        </row>
        <row r="70">
          <cell r="G70">
            <v>97287.921383908571</v>
          </cell>
          <cell r="H70">
            <v>95512.655656856121</v>
          </cell>
          <cell r="I70">
            <v>112934.06222108183</v>
          </cell>
          <cell r="J70">
            <v>118610.94346552438</v>
          </cell>
          <cell r="K70">
            <v>152666.80793189741</v>
          </cell>
          <cell r="L70">
            <v>183362.25557118788</v>
          </cell>
          <cell r="M70">
            <v>110550.92053887337</v>
          </cell>
          <cell r="N70">
            <v>118856.9076015504</v>
          </cell>
          <cell r="O70">
            <v>105749.8905235212</v>
          </cell>
          <cell r="P70">
            <v>147547.53563526069</v>
          </cell>
          <cell r="Q70">
            <v>137369.80813458443</v>
          </cell>
          <cell r="R70">
            <v>145437.93389429347</v>
          </cell>
        </row>
        <row r="71">
          <cell r="G71">
            <v>216704.79121926535</v>
          </cell>
          <cell r="H71">
            <v>306087.8157059325</v>
          </cell>
          <cell r="I71">
            <v>359915.65174944157</v>
          </cell>
          <cell r="J71">
            <v>392706.74139655917</v>
          </cell>
          <cell r="K71">
            <v>307864.49227973248</v>
          </cell>
          <cell r="L71">
            <v>363712.84268790775</v>
          </cell>
          <cell r="M71">
            <v>270429.66182219202</v>
          </cell>
          <cell r="N71">
            <v>269059.46321301186</v>
          </cell>
          <cell r="O71">
            <v>266616.62398790166</v>
          </cell>
          <cell r="P71">
            <v>308480.09187823348</v>
          </cell>
          <cell r="Q71">
            <v>311998.88722887263</v>
          </cell>
          <cell r="R71">
            <v>348653.97438583651</v>
          </cell>
        </row>
        <row r="72">
          <cell r="G72">
            <v>80483.786704871847</v>
          </cell>
          <cell r="H72">
            <v>96231.311364338762</v>
          </cell>
          <cell r="I72">
            <v>171902.11102584287</v>
          </cell>
          <cell r="J72">
            <v>190085.37624883119</v>
          </cell>
          <cell r="K72">
            <v>103524.51156362557</v>
          </cell>
          <cell r="L72">
            <v>120080.1512488142</v>
          </cell>
          <cell r="M72">
            <v>106042.37134819901</v>
          </cell>
          <cell r="N72">
            <v>100050.53554047641</v>
          </cell>
          <cell r="O72">
            <v>106661.96753629218</v>
          </cell>
          <cell r="P72">
            <v>106396.7130420613</v>
          </cell>
          <cell r="Q72">
            <v>116130.54019209839</v>
          </cell>
          <cell r="R72">
            <v>135670.01249665092</v>
          </cell>
        </row>
        <row r="73">
          <cell r="G73">
            <v>85126.931210920011</v>
          </cell>
          <cell r="H73">
            <v>83573.573699749119</v>
          </cell>
          <cell r="I73">
            <v>71867.130504324799</v>
          </cell>
          <cell r="J73">
            <v>75479.691296242789</v>
          </cell>
          <cell r="K73">
            <v>79160.567075798666</v>
          </cell>
          <cell r="L73">
            <v>95076.725110986314</v>
          </cell>
          <cell r="M73">
            <v>85984.049308012618</v>
          </cell>
          <cell r="N73">
            <v>92444.261467872537</v>
          </cell>
          <cell r="O73">
            <v>82249.914851627604</v>
          </cell>
          <cell r="P73">
            <v>86069.395787235408</v>
          </cell>
          <cell r="Q73">
            <v>80132.388078507589</v>
          </cell>
          <cell r="R73">
            <v>92855.302559289892</v>
          </cell>
        </row>
        <row r="74">
          <cell r="G74">
            <v>165610.71791579184</v>
          </cell>
          <cell r="H74">
            <v>179804.88506408787</v>
          </cell>
          <cell r="I74">
            <v>243769.24153016767</v>
          </cell>
          <cell r="J74">
            <v>265565.06754507398</v>
          </cell>
          <cell r="K74">
            <v>182685.07863942423</v>
          </cell>
          <cell r="L74">
            <v>215156.87635980052</v>
          </cell>
          <cell r="M74">
            <v>192026.42065621162</v>
          </cell>
          <cell r="N74">
            <v>192494.79700834895</v>
          </cell>
          <cell r="O74">
            <v>188911.88238791979</v>
          </cell>
          <cell r="P74">
            <v>192466.10882929672</v>
          </cell>
          <cell r="Q74">
            <v>196262.92827060597</v>
          </cell>
          <cell r="R74">
            <v>228525.31505594082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60804.950864942854</v>
          </cell>
          <cell r="H79">
            <v>59695.409785535077</v>
          </cell>
          <cell r="I79">
            <v>51333.664645946279</v>
          </cell>
          <cell r="J79">
            <v>64696.87825392239</v>
          </cell>
          <cell r="K79">
            <v>67851.914636398855</v>
          </cell>
          <cell r="L79">
            <v>67911.946507847359</v>
          </cell>
          <cell r="M79">
            <v>61417.178077151875</v>
          </cell>
          <cell r="N79">
            <v>66031.615334194663</v>
          </cell>
          <cell r="O79">
            <v>58749.939179733999</v>
          </cell>
          <cell r="P79">
            <v>61478.13984802529</v>
          </cell>
          <cell r="Q79">
            <v>57237.420056076844</v>
          </cell>
          <cell r="R79">
            <v>66325.216113778486</v>
          </cell>
        </row>
        <row r="80">
          <cell r="G80">
            <v>60804.950864942854</v>
          </cell>
          <cell r="H80">
            <v>59695.409785535077</v>
          </cell>
          <cell r="I80">
            <v>51333.664645946279</v>
          </cell>
          <cell r="J80">
            <v>64696.87825392239</v>
          </cell>
          <cell r="K80">
            <v>67851.914636398855</v>
          </cell>
          <cell r="L80">
            <v>67911.946507847359</v>
          </cell>
          <cell r="M80">
            <v>61417.178077151875</v>
          </cell>
          <cell r="N80">
            <v>66031.615334194663</v>
          </cell>
          <cell r="O80">
            <v>58749.939179733999</v>
          </cell>
          <cell r="P80">
            <v>61478.13984802529</v>
          </cell>
          <cell r="Q80">
            <v>57237.420056076844</v>
          </cell>
          <cell r="R80">
            <v>66325.216113778486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G87">
            <v>199900.65654022864</v>
          </cell>
          <cell r="H87">
            <v>306806.47141341516</v>
          </cell>
          <cell r="I87">
            <v>418883.7005542026</v>
          </cell>
          <cell r="J87">
            <v>464181.17417986598</v>
          </cell>
          <cell r="K87">
            <v>258722.19591146067</v>
          </cell>
          <cell r="L87">
            <v>300430.73836553405</v>
          </cell>
          <cell r="M87">
            <v>265921.1126315177</v>
          </cell>
          <cell r="N87">
            <v>250253.0911519379</v>
          </cell>
          <cell r="O87">
            <v>267528.70100067265</v>
          </cell>
          <cell r="P87">
            <v>267329.26928503404</v>
          </cell>
          <cell r="Q87">
            <v>290759.61928638659</v>
          </cell>
          <cell r="R87">
            <v>338886.05298819393</v>
          </cell>
        </row>
        <row r="88">
          <cell r="G88">
            <v>243219.80345977144</v>
          </cell>
          <cell r="H88">
            <v>238781.63914214031</v>
          </cell>
          <cell r="I88">
            <v>236134.8573713529</v>
          </cell>
          <cell r="J88">
            <v>258787.51301568956</v>
          </cell>
          <cell r="K88">
            <v>299679.28964409494</v>
          </cell>
          <cell r="L88">
            <v>346350.92719002155</v>
          </cell>
          <cell r="M88">
            <v>257952.14792403788</v>
          </cell>
          <cell r="N88">
            <v>277332.78440361761</v>
          </cell>
          <cell r="O88">
            <v>246749.74455488281</v>
          </cell>
          <cell r="P88">
            <v>295095.07127052138</v>
          </cell>
          <cell r="Q88">
            <v>274739.61626916885</v>
          </cell>
          <cell r="R88">
            <v>304618.45256736182</v>
          </cell>
        </row>
        <row r="89">
          <cell r="G89">
            <v>443120.46000000008</v>
          </cell>
          <cell r="H89">
            <v>545588.11055555544</v>
          </cell>
          <cell r="I89">
            <v>655018.55792555551</v>
          </cell>
          <cell r="J89">
            <v>722968.68719555554</v>
          </cell>
          <cell r="K89">
            <v>558401.48555555567</v>
          </cell>
          <cell r="L89">
            <v>646781.66555555561</v>
          </cell>
          <cell r="M89">
            <v>523873.26055555558</v>
          </cell>
          <cell r="N89">
            <v>527585.87555555557</v>
          </cell>
          <cell r="O89">
            <v>514278.44555555546</v>
          </cell>
          <cell r="P89">
            <v>562424.34055555542</v>
          </cell>
          <cell r="Q89">
            <v>565499.23555555544</v>
          </cell>
          <cell r="R89">
            <v>643504.50555555569</v>
          </cell>
        </row>
        <row r="90">
          <cell r="G90">
            <v>12160.990172988571</v>
          </cell>
          <cell r="H90">
            <v>11939.081957107015</v>
          </cell>
          <cell r="I90">
            <v>10266.732929189257</v>
          </cell>
          <cell r="J90">
            <v>10782.813042320398</v>
          </cell>
          <cell r="K90">
            <v>11308.652439399808</v>
          </cell>
          <cell r="L90">
            <v>13582.389301569472</v>
          </cell>
          <cell r="M90">
            <v>12283.435615430375</v>
          </cell>
          <cell r="N90">
            <v>13206.323066838933</v>
          </cell>
          <cell r="O90">
            <v>11749.9878359468</v>
          </cell>
          <cell r="P90">
            <v>12295.627969605059</v>
          </cell>
          <cell r="Q90">
            <v>11447.484011215369</v>
          </cell>
          <cell r="R90">
            <v>13265.043222755698</v>
          </cell>
        </row>
        <row r="91">
          <cell r="G91">
            <v>27978.996831309894</v>
          </cell>
          <cell r="H91">
            <v>42310.173284256947</v>
          </cell>
          <cell r="I91">
            <v>87151.707138306898</v>
          </cell>
          <cell r="J91">
            <v>79933.498735631874</v>
          </cell>
          <cell r="K91">
            <v>50759.515652164904</v>
          </cell>
          <cell r="L91">
            <v>18135.279549946805</v>
          </cell>
          <cell r="M91">
            <v>35982.458716681314</v>
          </cell>
          <cell r="N91">
            <v>19382.377721871831</v>
          </cell>
          <cell r="O91">
            <v>45178.466535619547</v>
          </cell>
          <cell r="P91">
            <v>32530.643757027225</v>
          </cell>
          <cell r="Q91">
            <v>53154.520905711775</v>
          </cell>
          <cell r="R91">
            <v>25605.426175123634</v>
          </cell>
        </row>
        <row r="92">
          <cell r="G92">
            <v>-5287.9213839085714</v>
          </cell>
          <cell r="H92">
            <v>-3512.6556568561209</v>
          </cell>
          <cell r="I92">
            <v>13565.937778918174</v>
          </cell>
          <cell r="J92">
            <v>7889.0565344756178</v>
          </cell>
          <cell r="K92">
            <v>2583.1920681025949</v>
          </cell>
          <cell r="L92">
            <v>-28112.255571187881</v>
          </cell>
          <cell r="M92">
            <v>-7050.9205388733681</v>
          </cell>
          <cell r="N92">
            <v>-15356.907601550396</v>
          </cell>
          <cell r="O92">
            <v>-2249.8905235212005</v>
          </cell>
          <cell r="P92">
            <v>-9547.5356352606905</v>
          </cell>
          <cell r="Q92">
            <v>630.19186541557428</v>
          </cell>
          <cell r="R92">
            <v>-19351.93389429347</v>
          </cell>
        </row>
        <row r="93">
          <cell r="G93">
            <v>22691.075447401323</v>
          </cell>
          <cell r="H93">
            <v>38797.517627400826</v>
          </cell>
          <cell r="I93">
            <v>100717.64491722507</v>
          </cell>
          <cell r="J93">
            <v>87822.555270107492</v>
          </cell>
          <cell r="K93">
            <v>53342.707720267499</v>
          </cell>
          <cell r="L93">
            <v>-9976.9760212410765</v>
          </cell>
          <cell r="M93">
            <v>28931.538177807946</v>
          </cell>
          <cell r="N93">
            <v>4025.4701203214354</v>
          </cell>
          <cell r="O93">
            <v>42928.576012098347</v>
          </cell>
          <cell r="P93">
            <v>22983.108121766534</v>
          </cell>
          <cell r="Q93">
            <v>53784.71277112735</v>
          </cell>
          <cell r="R93">
            <v>6253.4922808301635</v>
          </cell>
        </row>
        <row r="94">
          <cell r="G94">
            <v>57399.310069321698</v>
          </cell>
          <cell r="H94">
            <v>73375.785409854783</v>
          </cell>
          <cell r="I94">
            <v>159083.09073114637</v>
          </cell>
          <cell r="J94">
            <v>158933.69955762042</v>
          </cell>
          <cell r="K94">
            <v>87442.714242826041</v>
          </cell>
          <cell r="L94">
            <v>63799.784235056766</v>
          </cell>
          <cell r="M94">
            <v>74510.940479757977</v>
          </cell>
          <cell r="N94">
            <v>57248.776287480578</v>
          </cell>
          <cell r="O94">
            <v>83142.010958331492</v>
          </cell>
          <cell r="P94">
            <v>72068.727818153755</v>
          </cell>
          <cell r="Q94">
            <v>94957.610345535999</v>
          </cell>
          <cell r="R94">
            <v>77244.138040983467</v>
          </cell>
        </row>
        <row r="95">
          <cell r="G95">
            <v>19873.068789079989</v>
          </cell>
          <cell r="H95">
            <v>21426.426300250881</v>
          </cell>
          <cell r="I95">
            <v>33132.869495675201</v>
          </cell>
          <cell r="J95">
            <v>29520.308703757211</v>
          </cell>
          <cell r="K95">
            <v>25839.432924201334</v>
          </cell>
          <cell r="L95">
            <v>9923.2748890136863</v>
          </cell>
          <cell r="M95">
            <v>19015.950691987382</v>
          </cell>
          <cell r="N95">
            <v>12555.738532127463</v>
          </cell>
          <cell r="O95">
            <v>22750.085148372396</v>
          </cell>
          <cell r="P95">
            <v>18930.604212764592</v>
          </cell>
          <cell r="Q95">
            <v>24867.611921492411</v>
          </cell>
          <cell r="R95">
            <v>12144.697440710108</v>
          </cell>
        </row>
        <row r="96">
          <cell r="G96">
            <v>77272.378858401687</v>
          </cell>
          <cell r="H96">
            <v>94802.211710105665</v>
          </cell>
          <cell r="I96">
            <v>192215.96022682157</v>
          </cell>
          <cell r="J96">
            <v>188454.00826137763</v>
          </cell>
          <cell r="K96">
            <v>113282.14716702737</v>
          </cell>
          <cell r="L96">
            <v>73723.059124070453</v>
          </cell>
          <cell r="M96">
            <v>93526.891171745359</v>
          </cell>
          <cell r="N96">
            <v>69804.514819608041</v>
          </cell>
          <cell r="O96">
            <v>105892.09610670389</v>
          </cell>
          <cell r="P96">
            <v>90999.332030918347</v>
          </cell>
          <cell r="Q96">
            <v>119825.22226702841</v>
          </cell>
          <cell r="R96">
            <v>89388.835481693575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G101">
            <v>-15804.950864942854</v>
          </cell>
          <cell r="H101">
            <v>-14695.409785535077</v>
          </cell>
          <cell r="I101">
            <v>-6333.6646459462791</v>
          </cell>
          <cell r="J101">
            <v>-10696.87825392239</v>
          </cell>
          <cell r="K101">
            <v>-13851.914636398855</v>
          </cell>
          <cell r="L101">
            <v>-22911.946507847359</v>
          </cell>
          <cell r="M101">
            <v>-16417.178077151875</v>
          </cell>
          <cell r="N101">
            <v>-21031.615334194663</v>
          </cell>
          <cell r="O101">
            <v>-13749.939179733999</v>
          </cell>
          <cell r="P101">
            <v>-16478.13984802529</v>
          </cell>
          <cell r="Q101">
            <v>-12237.420056076844</v>
          </cell>
          <cell r="R101">
            <v>-21325.216113778486</v>
          </cell>
        </row>
        <row r="102">
          <cell r="G102">
            <v>-15804.950864942854</v>
          </cell>
          <cell r="H102">
            <v>-14695.409785535077</v>
          </cell>
          <cell r="I102">
            <v>-6333.6646459462791</v>
          </cell>
          <cell r="J102">
            <v>-10696.87825392239</v>
          </cell>
          <cell r="K102">
            <v>-13851.914636398855</v>
          </cell>
          <cell r="L102">
            <v>-22911.946507847359</v>
          </cell>
          <cell r="M102">
            <v>-16417.178077151875</v>
          </cell>
          <cell r="N102">
            <v>-21031.615334194663</v>
          </cell>
          <cell r="O102">
            <v>-13749.939179733999</v>
          </cell>
          <cell r="P102">
            <v>-16478.13984802529</v>
          </cell>
          <cell r="Q102">
            <v>-12237.420056076844</v>
          </cell>
          <cell r="R102">
            <v>-21325.216113778486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G109">
            <v>85378.306900631593</v>
          </cell>
          <cell r="H109">
            <v>115685.95869411173</v>
          </cell>
          <cell r="I109">
            <v>246234.79786945326</v>
          </cell>
          <cell r="J109">
            <v>238867.1982932523</v>
          </cell>
          <cell r="K109">
            <v>138202.22989499095</v>
          </cell>
          <cell r="L109">
            <v>81935.063785003571</v>
          </cell>
          <cell r="M109">
            <v>110493.39919643929</v>
          </cell>
          <cell r="N109">
            <v>76631.154009352409</v>
          </cell>
          <cell r="O109">
            <v>128320.47749395104</v>
          </cell>
          <cell r="P109">
            <v>104599.37157518098</v>
          </cell>
          <cell r="Q109">
            <v>148112.13125124777</v>
          </cell>
          <cell r="R109">
            <v>102849.5642161071</v>
          </cell>
        </row>
        <row r="110">
          <cell r="G110">
            <v>-1219.8034597714359</v>
          </cell>
          <cell r="H110">
            <v>3218.3608578596832</v>
          </cell>
          <cell r="I110">
            <v>40365.142628647096</v>
          </cell>
          <cell r="J110">
            <v>26712.486984310439</v>
          </cell>
          <cell r="K110">
            <v>14570.710355905074</v>
          </cell>
          <cell r="L110">
            <v>-41100.927190021554</v>
          </cell>
          <cell r="M110">
            <v>-4452.1479240378612</v>
          </cell>
          <cell r="N110">
            <v>-23832.784403617596</v>
          </cell>
          <cell r="O110">
            <v>6750.2554451171964</v>
          </cell>
          <cell r="P110">
            <v>-7095.0712705213882</v>
          </cell>
          <cell r="Q110">
            <v>13260.383730831141</v>
          </cell>
          <cell r="R110">
            <v>-28532.452567361848</v>
          </cell>
        </row>
        <row r="111">
          <cell r="G111">
            <v>84158.503440860164</v>
          </cell>
          <cell r="H111">
            <v>118904.31955197142</v>
          </cell>
          <cell r="I111">
            <v>286599.94049810036</v>
          </cell>
          <cell r="J111">
            <v>265579.6852775627</v>
          </cell>
          <cell r="K111">
            <v>152772.94025089603</v>
          </cell>
          <cell r="L111">
            <v>40834.136594982017</v>
          </cell>
          <cell r="M111">
            <v>106041.25127240142</v>
          </cell>
          <cell r="N111">
            <v>52798.369605734813</v>
          </cell>
          <cell r="O111">
            <v>135070.73293906823</v>
          </cell>
          <cell r="P111">
            <v>97504.300304659584</v>
          </cell>
          <cell r="Q111">
            <v>161372.51498207892</v>
          </cell>
          <cell r="R111">
            <v>74317.111648745253</v>
          </cell>
        </row>
        <row r="112">
          <cell r="G112">
            <v>15306.615161365504</v>
          </cell>
          <cell r="H112">
            <v>20523.554581222968</v>
          </cell>
          <cell r="I112">
            <v>34835.288137607844</v>
          </cell>
          <cell r="J112">
            <v>26756.018990732387</v>
          </cell>
          <cell r="K112">
            <v>15988.587058639101</v>
          </cell>
          <cell r="L112">
            <v>18151.026098844119</v>
          </cell>
          <cell r="M112">
            <v>15040.416403331348</v>
          </cell>
          <cell r="N112">
            <v>15855.365099737362</v>
          </cell>
          <cell r="O112">
            <v>17134.695253099886</v>
          </cell>
          <cell r="P112">
            <v>15875.48421860517</v>
          </cell>
          <cell r="Q112">
            <v>16346.837320651051</v>
          </cell>
          <cell r="R112">
            <v>15924.438162624447</v>
          </cell>
        </row>
        <row r="113">
          <cell r="G113">
            <v>68851.888279494655</v>
          </cell>
          <cell r="H113">
            <v>98380.764970748452</v>
          </cell>
          <cell r="I113">
            <v>251764.6523604925</v>
          </cell>
          <cell r="J113">
            <v>238823.66628683032</v>
          </cell>
          <cell r="K113">
            <v>136784.35319225694</v>
          </cell>
          <cell r="L113">
            <v>22683.110496137899</v>
          </cell>
          <cell r="M113">
            <v>91000.83486907008</v>
          </cell>
          <cell r="N113">
            <v>36943.004505997451</v>
          </cell>
          <cell r="O113">
            <v>117936.03768596835</v>
          </cell>
          <cell r="P113">
            <v>81628.816086054416</v>
          </cell>
          <cell r="Q113">
            <v>145025.67766142788</v>
          </cell>
          <cell r="R113">
            <v>58392.67348612081</v>
          </cell>
        </row>
        <row r="115">
          <cell r="G115">
            <v>11834.705</v>
          </cell>
          <cell r="H115">
            <v>23534.010555555556</v>
          </cell>
          <cell r="I115">
            <v>23534.010555555556</v>
          </cell>
          <cell r="J115">
            <v>23534.010555555556</v>
          </cell>
          <cell r="K115">
            <v>23534.010555555556</v>
          </cell>
          <cell r="L115">
            <v>23534.010555555556</v>
          </cell>
          <cell r="M115">
            <v>23534.010555555556</v>
          </cell>
          <cell r="N115">
            <v>23534.010555555556</v>
          </cell>
          <cell r="O115">
            <v>23534.010555555556</v>
          </cell>
          <cell r="P115">
            <v>23534.010555555556</v>
          </cell>
          <cell r="Q115">
            <v>23534.010555555556</v>
          </cell>
          <cell r="R115">
            <v>23534.010555555556</v>
          </cell>
        </row>
        <row r="116">
          <cell r="G116">
            <v>80686.593279494657</v>
          </cell>
          <cell r="H116">
            <v>121914.775526304</v>
          </cell>
          <cell r="I116">
            <v>275298.66291604808</v>
          </cell>
          <cell r="J116">
            <v>262357.6768423859</v>
          </cell>
          <cell r="K116">
            <v>160318.36374781249</v>
          </cell>
          <cell r="L116">
            <v>46217.121051693452</v>
          </cell>
          <cell r="M116">
            <v>114534.84542462564</v>
          </cell>
          <cell r="N116">
            <v>60477.015061553007</v>
          </cell>
          <cell r="O116">
            <v>141470.04824152391</v>
          </cell>
          <cell r="P116">
            <v>105162.82664160998</v>
          </cell>
          <cell r="Q116">
            <v>168559.68821698343</v>
          </cell>
          <cell r="R116">
            <v>81926.684041676373</v>
          </cell>
        </row>
        <row r="119">
          <cell r="G119">
            <v>19246.896705999316</v>
          </cell>
          <cell r="H119">
            <v>37440.686177854819</v>
          </cell>
          <cell r="I119">
            <v>89338.679537601623</v>
          </cell>
          <cell r="J119">
            <v>85530.032679488766</v>
          </cell>
          <cell r="K119">
            <v>39612.95761632931</v>
          </cell>
          <cell r="L119">
            <v>6547.6634356579607</v>
          </cell>
          <cell r="M119">
            <v>28295.161301706747</v>
          </cell>
          <cell r="N119">
            <v>10794.533119246813</v>
          </cell>
          <cell r="O119">
            <v>37422.322653194948</v>
          </cell>
          <cell r="P119">
            <v>23930.120613699248</v>
          </cell>
          <cell r="Q119">
            <v>45447.454692970954</v>
          </cell>
          <cell r="R119">
            <v>18613.952087039324</v>
          </cell>
        </row>
        <row r="120">
          <cell r="G120">
            <v>12013.325319063246</v>
          </cell>
          <cell r="H120">
            <v>13620.968377087813</v>
          </cell>
          <cell r="I120">
            <v>33822.857746442707</v>
          </cell>
          <cell r="J120">
            <v>30561.168908409261</v>
          </cell>
          <cell r="K120">
            <v>29860.144097584962</v>
          </cell>
          <cell r="L120">
            <v>5121.3961248587566</v>
          </cell>
          <cell r="M120">
            <v>14952.166098883539</v>
          </cell>
          <cell r="N120">
            <v>6588.0509304799398</v>
          </cell>
          <cell r="O120">
            <v>18797.86762616007</v>
          </cell>
          <cell r="P120">
            <v>17069.688936658222</v>
          </cell>
          <cell r="Q120">
            <v>27533.802906047636</v>
          </cell>
          <cell r="R120">
            <v>10256.724585483706</v>
          </cell>
        </row>
        <row r="121">
          <cell r="G121">
            <v>18004.722799437681</v>
          </cell>
          <cell r="H121">
            <v>25111.009800988722</v>
          </cell>
          <cell r="I121">
            <v>88496.95964588369</v>
          </cell>
          <cell r="J121">
            <v>84319.61207887638</v>
          </cell>
          <cell r="K121">
            <v>36729.847861492366</v>
          </cell>
          <cell r="L121">
            <v>6065.8421193325285</v>
          </cell>
          <cell r="M121">
            <v>26083.701528068861</v>
          </cell>
          <cell r="N121">
            <v>10012.520557024409</v>
          </cell>
          <cell r="O121">
            <v>34472.560991888589</v>
          </cell>
          <cell r="P121">
            <v>22074.996821938003</v>
          </cell>
          <cell r="Q121">
            <v>42116.373425400998</v>
          </cell>
          <cell r="R121">
            <v>17319.938791116645</v>
          </cell>
        </row>
        <row r="122">
          <cell r="G122">
            <v>13710.860418496093</v>
          </cell>
          <cell r="H122">
            <v>15545.67043037196</v>
          </cell>
          <cell r="I122">
            <v>28074.308801395135</v>
          </cell>
          <cell r="J122">
            <v>25366.978145319936</v>
          </cell>
          <cell r="K122">
            <v>20195.266539429442</v>
          </cell>
          <cell r="L122">
            <v>3463.7461714020574</v>
          </cell>
          <cell r="M122">
            <v>15168.86415828765</v>
          </cell>
          <cell r="N122">
            <v>6683.5299294724036</v>
          </cell>
          <cell r="O122">
            <v>19070.30049030732</v>
          </cell>
          <cell r="P122">
            <v>12987.806799631255</v>
          </cell>
          <cell r="Q122">
            <v>20949.632645905807</v>
          </cell>
          <cell r="R122">
            <v>8541.4406157367921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G124">
            <v>5876.0830364983258</v>
          </cell>
          <cell r="H124">
            <v>6662.4301844451256</v>
          </cell>
          <cell r="I124">
            <v>12031.846629169344</v>
          </cell>
          <cell r="J124">
            <v>13045.874474735969</v>
          </cell>
          <cell r="K124">
            <v>10386.137077420855</v>
          </cell>
          <cell r="L124">
            <v>1484.4626448865961</v>
          </cell>
          <cell r="M124">
            <v>6500.9417821232782</v>
          </cell>
          <cell r="N124">
            <v>2864.3699697738871</v>
          </cell>
          <cell r="O124">
            <v>8172.9859244174222</v>
          </cell>
          <cell r="P124">
            <v>5566.2029141276807</v>
          </cell>
          <cell r="Q124">
            <v>8978.4139911024886</v>
          </cell>
          <cell r="R124">
            <v>3660.6174067443394</v>
          </cell>
        </row>
        <row r="126">
          <cell r="G126">
            <v>0.27954057887082512</v>
          </cell>
          <cell r="H126">
            <v>0.38056917110765565</v>
          </cell>
          <cell r="I126">
            <v>0.35484997079606262</v>
          </cell>
          <cell r="J126">
            <v>0.35813047345469562</v>
          </cell>
          <cell r="K126">
            <v>0.28960152745432372</v>
          </cell>
          <cell r="L126">
            <v>0.28865809372893492</v>
          </cell>
          <cell r="M126">
            <v>0.31093298586125256</v>
          </cell>
          <cell r="N126">
            <v>0.29219423984571674</v>
          </cell>
          <cell r="O126">
            <v>0.31731032674542142</v>
          </cell>
          <cell r="P126">
            <v>0.29315775679597911</v>
          </cell>
          <cell r="Q126">
            <v>0.31337522724128253</v>
          </cell>
          <cell r="R126">
            <v>0.3187720475148928</v>
          </cell>
        </row>
        <row r="127">
          <cell r="G127">
            <v>0.1744806949999225</v>
          </cell>
          <cell r="H127">
            <v>0.13845153959859668</v>
          </cell>
          <cell r="I127">
            <v>0.13434315512255871</v>
          </cell>
          <cell r="J127">
            <v>0.12796541223726504</v>
          </cell>
          <cell r="K127">
            <v>0.21830087579984461</v>
          </cell>
          <cell r="L127">
            <v>0.22578015152422515</v>
          </cell>
          <cell r="M127">
            <v>0.16430801014514179</v>
          </cell>
          <cell r="N127">
            <v>0.17833013363627243</v>
          </cell>
          <cell r="O127">
            <v>0.15939036103802037</v>
          </cell>
          <cell r="P127">
            <v>0.20911351842544279</v>
          </cell>
          <cell r="Q127">
            <v>0.18985467504814654</v>
          </cell>
          <cell r="R127">
            <v>0.17565088174840288</v>
          </cell>
        </row>
        <row r="128">
          <cell r="G128">
            <v>0.26149933210763976</v>
          </cell>
          <cell r="H128">
            <v>0.2552430834264704</v>
          </cell>
          <cell r="I128">
            <v>0.35150669014158575</v>
          </cell>
          <cell r="J128">
            <v>0.35306221276080502</v>
          </cell>
          <cell r="K128">
            <v>0.26852375293149805</v>
          </cell>
          <cell r="L128">
            <v>0.26741668081039055</v>
          </cell>
          <cell r="M128">
            <v>0.28663145305861748</v>
          </cell>
          <cell r="N128">
            <v>0.27102615747993486</v>
          </cell>
          <cell r="O128">
            <v>0.29229878897305045</v>
          </cell>
          <cell r="P128">
            <v>0.27043142214222715</v>
          </cell>
          <cell r="Q128">
            <v>0.29040632048432474</v>
          </cell>
          <cell r="R128">
            <v>0.29661150546966092</v>
          </cell>
        </row>
        <row r="129">
          <cell r="G129">
            <v>0.19913557581512892</v>
          </cell>
          <cell r="H129">
            <v>0.15801534410709403</v>
          </cell>
          <cell r="I129">
            <v>0.11151012875785506</v>
          </cell>
          <cell r="J129">
            <v>0.10621635007836228</v>
          </cell>
          <cell r="K129">
            <v>0.147643104405692</v>
          </cell>
          <cell r="L129">
            <v>0.15270155175551459</v>
          </cell>
          <cell r="M129">
            <v>0.16668928565449168</v>
          </cell>
          <cell r="N129">
            <v>0.1809146283266532</v>
          </cell>
          <cell r="O129">
            <v>0.16170036627045545</v>
          </cell>
          <cell r="P129">
            <v>0.1591081118454456</v>
          </cell>
          <cell r="Q129">
            <v>0.14445464405837236</v>
          </cell>
          <cell r="R129">
            <v>0.14627589568693036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G131">
            <v>8.5343818206483818E-2</v>
          </cell>
          <cell r="H131">
            <v>6.772086176018316E-2</v>
          </cell>
          <cell r="I131">
            <v>4.7790055181937879E-2</v>
          </cell>
          <cell r="J131">
            <v>5.4625551468872033E-2</v>
          </cell>
          <cell r="K131">
            <v>7.5930739408641604E-2</v>
          </cell>
          <cell r="L131">
            <v>6.5443522180934827E-2</v>
          </cell>
          <cell r="M131">
            <v>7.1438265280496432E-2</v>
          </cell>
          <cell r="N131">
            <v>7.7534840711422803E-2</v>
          </cell>
          <cell r="O131">
            <v>6.9300156973052335E-2</v>
          </cell>
          <cell r="P131">
            <v>6.8189190790905255E-2</v>
          </cell>
          <cell r="Q131">
            <v>6.1909133167873866E-2</v>
          </cell>
          <cell r="R131">
            <v>6.2689669580113017E-2</v>
          </cell>
        </row>
        <row r="132">
          <cell r="G132">
            <v>1.0000000000000002</v>
          </cell>
          <cell r="H132">
            <v>1</v>
          </cell>
          <cell r="I132">
            <v>1</v>
          </cell>
          <cell r="J132">
            <v>1</v>
          </cell>
          <cell r="K132">
            <v>1.0000000000000002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0.99999999999999989</v>
          </cell>
          <cell r="Q132">
            <v>1.0000000000000002</v>
          </cell>
          <cell r="R132">
            <v>0.99999999999999989</v>
          </cell>
        </row>
      </sheetData>
      <sheetData sheetId="2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</row>
        <row r="6">
          <cell r="G6">
            <v>0</v>
          </cell>
          <cell r="H6">
            <v>5598.666666666667</v>
          </cell>
          <cell r="I6">
            <v>11160.626399999999</v>
          </cell>
          <cell r="J6">
            <v>11160.626399999999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G7">
            <v>8199.8666666666668</v>
          </cell>
          <cell r="H7">
            <v>10419</v>
          </cell>
          <cell r="I7">
            <v>10944.466666666667</v>
          </cell>
          <cell r="J7">
            <v>11988.466666666667</v>
          </cell>
          <cell r="K7">
            <v>11453.2</v>
          </cell>
          <cell r="L7">
            <v>10950.533333333333</v>
          </cell>
          <cell r="M7">
            <v>10950.533333333333</v>
          </cell>
          <cell r="N7">
            <v>9308.2666666666664</v>
          </cell>
          <cell r="O7">
            <v>11522.866666666667</v>
          </cell>
          <cell r="P7">
            <v>10429.533333333333</v>
          </cell>
          <cell r="Q7">
            <v>12539.266666666666</v>
          </cell>
          <cell r="R7">
            <v>12604.133333333333</v>
          </cell>
        </row>
        <row r="8">
          <cell r="G8">
            <v>1232</v>
          </cell>
          <cell r="H8">
            <v>1232</v>
          </cell>
          <cell r="I8">
            <v>1334.6666666666667</v>
          </cell>
          <cell r="J8">
            <v>1540</v>
          </cell>
          <cell r="K8">
            <v>1540</v>
          </cell>
          <cell r="L8">
            <v>1540</v>
          </cell>
          <cell r="M8">
            <v>1334.6666666666667</v>
          </cell>
          <cell r="N8">
            <v>1334.6666666666667</v>
          </cell>
          <cell r="O8">
            <v>1437.3333333333333</v>
          </cell>
          <cell r="P8">
            <v>1642.6666666666667</v>
          </cell>
          <cell r="Q8">
            <v>1642.6666666666667</v>
          </cell>
          <cell r="R8">
            <v>1642.6666666666667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387.8</v>
          </cell>
          <cell r="H11">
            <v>387.8</v>
          </cell>
          <cell r="I11">
            <v>616.73333333333323</v>
          </cell>
          <cell r="J11">
            <v>730.6</v>
          </cell>
          <cell r="K11">
            <v>730.6</v>
          </cell>
          <cell r="L11">
            <v>787.73333333333335</v>
          </cell>
          <cell r="M11">
            <v>730.6</v>
          </cell>
          <cell r="N11">
            <v>730.6</v>
          </cell>
          <cell r="O11">
            <v>730.6</v>
          </cell>
          <cell r="P11">
            <v>1016.4</v>
          </cell>
          <cell r="Q11">
            <v>1072.8666666666666</v>
          </cell>
          <cell r="R11">
            <v>1072.8666666666666</v>
          </cell>
        </row>
        <row r="12">
          <cell r="G12">
            <v>8000</v>
          </cell>
          <cell r="H12">
            <v>8000</v>
          </cell>
          <cell r="I12">
            <v>11000</v>
          </cell>
          <cell r="J12">
            <v>11000</v>
          </cell>
          <cell r="K12">
            <v>13500</v>
          </cell>
          <cell r="L12">
            <v>13500</v>
          </cell>
          <cell r="M12">
            <v>9000</v>
          </cell>
          <cell r="N12">
            <v>9000</v>
          </cell>
          <cell r="O12">
            <v>9000</v>
          </cell>
          <cell r="P12">
            <v>12000</v>
          </cell>
          <cell r="Q12">
            <v>12000</v>
          </cell>
          <cell r="R12">
            <v>10964</v>
          </cell>
        </row>
        <row r="13">
          <cell r="G13">
            <v>17819.666666666664</v>
          </cell>
          <cell r="H13">
            <v>25637.466666666667</v>
          </cell>
          <cell r="I13">
            <v>35056.49306666667</v>
          </cell>
          <cell r="J13">
            <v>36419.693066666667</v>
          </cell>
          <cell r="K13">
            <v>27223.800000000003</v>
          </cell>
          <cell r="L13">
            <v>26778.266666666666</v>
          </cell>
          <cell r="M13">
            <v>22015.8</v>
          </cell>
          <cell r="N13">
            <v>20373.533333333333</v>
          </cell>
          <cell r="O13">
            <v>22690.800000000003</v>
          </cell>
          <cell r="P13">
            <v>25088.6</v>
          </cell>
          <cell r="Q13">
            <v>27254.799999999999</v>
          </cell>
          <cell r="R13">
            <v>26283.666666666664</v>
          </cell>
        </row>
        <row r="14">
          <cell r="G14">
            <v>0</v>
          </cell>
          <cell r="H14">
            <v>0</v>
          </cell>
          <cell r="I14">
            <v>8108.6147999999994</v>
          </cell>
          <cell r="J14">
            <v>8108.1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G15">
            <v>5332</v>
          </cell>
          <cell r="H15">
            <v>6774</v>
          </cell>
          <cell r="I15">
            <v>7136</v>
          </cell>
          <cell r="J15">
            <v>7782</v>
          </cell>
          <cell r="K15">
            <v>7416</v>
          </cell>
          <cell r="L15">
            <v>7071</v>
          </cell>
          <cell r="M15">
            <v>7071</v>
          </cell>
          <cell r="N15">
            <v>6014</v>
          </cell>
          <cell r="O15">
            <v>7427</v>
          </cell>
          <cell r="P15">
            <v>6669</v>
          </cell>
          <cell r="Q15">
            <v>8129</v>
          </cell>
          <cell r="R15">
            <v>8212</v>
          </cell>
        </row>
        <row r="16">
          <cell r="G16">
            <v>1064</v>
          </cell>
          <cell r="H16">
            <v>1064</v>
          </cell>
          <cell r="I16">
            <v>1152.6666666666667</v>
          </cell>
          <cell r="J16">
            <v>1330</v>
          </cell>
          <cell r="K16">
            <v>1330</v>
          </cell>
          <cell r="L16">
            <v>1330</v>
          </cell>
          <cell r="M16">
            <v>1152.6666666666667</v>
          </cell>
          <cell r="N16">
            <v>1152.6666666666667</v>
          </cell>
          <cell r="O16">
            <v>1241.3333333333333</v>
          </cell>
          <cell r="P16">
            <v>1418.6666666666667</v>
          </cell>
          <cell r="Q16">
            <v>1418.6666666666667</v>
          </cell>
          <cell r="R16">
            <v>1418.6666666666667</v>
          </cell>
        </row>
        <row r="17"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222.19354838709677</v>
          </cell>
          <cell r="H19">
            <v>222.19354838709677</v>
          </cell>
          <cell r="I19">
            <v>346.32258064516128</v>
          </cell>
          <cell r="J19">
            <v>408.45161290322579</v>
          </cell>
          <cell r="K19">
            <v>408.45161290322579</v>
          </cell>
          <cell r="L19">
            <v>439.87096774193549</v>
          </cell>
          <cell r="M19">
            <v>409.29032258064518</v>
          </cell>
          <cell r="N19">
            <v>409.29032258064518</v>
          </cell>
          <cell r="O19">
            <v>409.29032258064518</v>
          </cell>
          <cell r="P19">
            <v>565.54838709677415</v>
          </cell>
          <cell r="Q19">
            <v>596.9677419354839</v>
          </cell>
          <cell r="R19">
            <v>596.9677419354839</v>
          </cell>
        </row>
        <row r="20">
          <cell r="G20">
            <v>7000</v>
          </cell>
          <cell r="H20">
            <v>7000</v>
          </cell>
          <cell r="I20">
            <v>7000</v>
          </cell>
          <cell r="J20">
            <v>7000</v>
          </cell>
          <cell r="K20">
            <v>7000</v>
          </cell>
          <cell r="L20">
            <v>7000</v>
          </cell>
          <cell r="M20">
            <v>7000</v>
          </cell>
          <cell r="N20">
            <v>7000</v>
          </cell>
          <cell r="O20">
            <v>7000</v>
          </cell>
          <cell r="P20">
            <v>7000</v>
          </cell>
          <cell r="Q20">
            <v>7000</v>
          </cell>
          <cell r="R20">
            <v>7000</v>
          </cell>
        </row>
        <row r="21">
          <cell r="G21">
            <v>13618.193548387097</v>
          </cell>
          <cell r="H21">
            <v>15060.193548387097</v>
          </cell>
          <cell r="I21">
            <v>23743.60404731183</v>
          </cell>
          <cell r="J21">
            <v>24628.551612903226</v>
          </cell>
          <cell r="K21">
            <v>16154.451612903225</v>
          </cell>
          <cell r="L21">
            <v>15840.870967741936</v>
          </cell>
          <cell r="M21">
            <v>15632.956989247312</v>
          </cell>
          <cell r="N21">
            <v>14575.956989247312</v>
          </cell>
          <cell r="O21">
            <v>16077.62365591398</v>
          </cell>
          <cell r="P21">
            <v>15653.215053763441</v>
          </cell>
          <cell r="Q21">
            <v>17144.634408602149</v>
          </cell>
          <cell r="R21">
            <v>17227.634408602149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5000</v>
          </cell>
          <cell r="H36">
            <v>5000</v>
          </cell>
          <cell r="I36">
            <v>5000</v>
          </cell>
          <cell r="J36">
            <v>6000</v>
          </cell>
          <cell r="K36">
            <v>6000</v>
          </cell>
          <cell r="L36">
            <v>5000</v>
          </cell>
          <cell r="M36">
            <v>5000</v>
          </cell>
          <cell r="N36">
            <v>5000</v>
          </cell>
          <cell r="O36">
            <v>5000</v>
          </cell>
          <cell r="P36">
            <v>5000</v>
          </cell>
          <cell r="Q36">
            <v>5000</v>
          </cell>
          <cell r="R36">
            <v>5000</v>
          </cell>
        </row>
        <row r="37">
          <cell r="G37">
            <v>5000</v>
          </cell>
          <cell r="H37">
            <v>5000</v>
          </cell>
          <cell r="I37">
            <v>5000</v>
          </cell>
          <cell r="J37">
            <v>6000</v>
          </cell>
          <cell r="K37">
            <v>6000</v>
          </cell>
          <cell r="L37">
            <v>5000</v>
          </cell>
          <cell r="M37">
            <v>5000</v>
          </cell>
          <cell r="N37">
            <v>5000</v>
          </cell>
          <cell r="O37">
            <v>5000</v>
          </cell>
          <cell r="P37">
            <v>5000</v>
          </cell>
          <cell r="Q37">
            <v>5000</v>
          </cell>
          <cell r="R37">
            <v>5000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G54">
            <v>0</v>
          </cell>
          <cell r="H54">
            <v>5598.666666666667</v>
          </cell>
          <cell r="I54">
            <v>19269.241199999997</v>
          </cell>
          <cell r="J54">
            <v>19268.7264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G55">
            <v>13531.866666666667</v>
          </cell>
          <cell r="H55">
            <v>17193</v>
          </cell>
          <cell r="I55">
            <v>18080.466666666667</v>
          </cell>
          <cell r="J55">
            <v>19770.466666666667</v>
          </cell>
          <cell r="K55">
            <v>18869.2</v>
          </cell>
          <cell r="L55">
            <v>18021.533333333333</v>
          </cell>
          <cell r="M55">
            <v>18021.533333333333</v>
          </cell>
          <cell r="N55">
            <v>15322.266666666666</v>
          </cell>
          <cell r="O55">
            <v>18949.866666666669</v>
          </cell>
          <cell r="P55">
            <v>17098.533333333333</v>
          </cell>
          <cell r="Q55">
            <v>20668.266666666666</v>
          </cell>
          <cell r="R55">
            <v>20816.133333333331</v>
          </cell>
        </row>
        <row r="56">
          <cell r="G56">
            <v>2296</v>
          </cell>
          <cell r="H56">
            <v>2296</v>
          </cell>
          <cell r="I56">
            <v>2487.3333333333335</v>
          </cell>
          <cell r="J56">
            <v>2870</v>
          </cell>
          <cell r="K56">
            <v>2870</v>
          </cell>
          <cell r="L56">
            <v>2870</v>
          </cell>
          <cell r="M56">
            <v>2487.3333333333335</v>
          </cell>
          <cell r="N56">
            <v>2487.3333333333335</v>
          </cell>
          <cell r="O56">
            <v>2678.6666666666665</v>
          </cell>
          <cell r="P56">
            <v>3061.3333333333335</v>
          </cell>
          <cell r="Q56">
            <v>3061.3333333333335</v>
          </cell>
          <cell r="R56">
            <v>3061.3333333333335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609.99354838709678</v>
          </cell>
          <cell r="H59">
            <v>609.99354838709678</v>
          </cell>
          <cell r="I59">
            <v>963.05591397849457</v>
          </cell>
          <cell r="J59">
            <v>1139.0516129032258</v>
          </cell>
          <cell r="K59">
            <v>1139.0516129032258</v>
          </cell>
          <cell r="L59">
            <v>1227.6043010752687</v>
          </cell>
          <cell r="M59">
            <v>1139.8903225806453</v>
          </cell>
          <cell r="N59">
            <v>1139.8903225806453</v>
          </cell>
          <cell r="O59">
            <v>1139.8903225806453</v>
          </cell>
          <cell r="P59">
            <v>1581.9483870967742</v>
          </cell>
          <cell r="Q59">
            <v>1669.8344086021505</v>
          </cell>
          <cell r="R59">
            <v>1669.8344086021505</v>
          </cell>
        </row>
        <row r="60">
          <cell r="G60">
            <v>20000</v>
          </cell>
          <cell r="H60">
            <v>20000</v>
          </cell>
          <cell r="I60">
            <v>23000</v>
          </cell>
          <cell r="J60">
            <v>24000</v>
          </cell>
          <cell r="K60">
            <v>26500</v>
          </cell>
          <cell r="L60">
            <v>25500</v>
          </cell>
          <cell r="M60">
            <v>21000</v>
          </cell>
          <cell r="N60">
            <v>21000</v>
          </cell>
          <cell r="O60">
            <v>21000</v>
          </cell>
          <cell r="P60">
            <v>24000</v>
          </cell>
          <cell r="Q60">
            <v>24000</v>
          </cell>
          <cell r="R60">
            <v>22964</v>
          </cell>
        </row>
        <row r="61">
          <cell r="G61">
            <v>36437.860215053763</v>
          </cell>
          <cell r="H61">
            <v>45697.660215053766</v>
          </cell>
          <cell r="I61">
            <v>63800.097113978496</v>
          </cell>
          <cell r="J61">
            <v>67048.244679569892</v>
          </cell>
          <cell r="K61">
            <v>49378.25161290323</v>
          </cell>
          <cell r="L61">
            <v>47619.137634408602</v>
          </cell>
          <cell r="M61">
            <v>42648.756989247311</v>
          </cell>
          <cell r="N61">
            <v>39949.490322580648</v>
          </cell>
          <cell r="O61">
            <v>43768.423655913983</v>
          </cell>
          <cell r="P61">
            <v>45741.815053763436</v>
          </cell>
          <cell r="Q61">
            <v>49399.434408602145</v>
          </cell>
          <cell r="R61">
            <v>48511.301075268813</v>
          </cell>
        </row>
        <row r="63">
          <cell r="G63">
            <v>9819.6666666666661</v>
          </cell>
          <cell r="H63">
            <v>17637.466666666667</v>
          </cell>
          <cell r="I63">
            <v>24056.49306666667</v>
          </cell>
          <cell r="J63">
            <v>25419.693066666667</v>
          </cell>
          <cell r="K63">
            <v>13723.800000000001</v>
          </cell>
          <cell r="L63">
            <v>13278.266666666666</v>
          </cell>
          <cell r="M63">
            <v>13015.8</v>
          </cell>
          <cell r="N63">
            <v>11373.533333333333</v>
          </cell>
          <cell r="O63">
            <v>13690.800000000001</v>
          </cell>
          <cell r="P63">
            <v>13088.599999999999</v>
          </cell>
          <cell r="Q63">
            <v>15254.8</v>
          </cell>
          <cell r="R63">
            <v>15319.666666666666</v>
          </cell>
        </row>
        <row r="64">
          <cell r="G64">
            <v>8000</v>
          </cell>
          <cell r="H64">
            <v>8000</v>
          </cell>
          <cell r="I64">
            <v>11000</v>
          </cell>
          <cell r="J64">
            <v>11000</v>
          </cell>
          <cell r="K64">
            <v>13500</v>
          </cell>
          <cell r="L64">
            <v>13500</v>
          </cell>
          <cell r="M64">
            <v>9000</v>
          </cell>
          <cell r="N64">
            <v>9000</v>
          </cell>
          <cell r="O64">
            <v>9000</v>
          </cell>
          <cell r="P64">
            <v>12000</v>
          </cell>
          <cell r="Q64">
            <v>12000</v>
          </cell>
          <cell r="R64">
            <v>10964</v>
          </cell>
        </row>
        <row r="65">
          <cell r="G65">
            <v>17819.666666666664</v>
          </cell>
          <cell r="H65">
            <v>25637.466666666667</v>
          </cell>
          <cell r="I65">
            <v>35056.49306666667</v>
          </cell>
          <cell r="J65">
            <v>36419.693066666667</v>
          </cell>
          <cell r="K65">
            <v>27223.800000000003</v>
          </cell>
          <cell r="L65">
            <v>26778.266666666666</v>
          </cell>
          <cell r="M65">
            <v>22015.8</v>
          </cell>
          <cell r="N65">
            <v>20373.533333333333</v>
          </cell>
          <cell r="O65">
            <v>22690.800000000003</v>
          </cell>
          <cell r="P65">
            <v>25088.6</v>
          </cell>
          <cell r="Q65">
            <v>27254.799999999999</v>
          </cell>
          <cell r="R65">
            <v>26283.666666666664</v>
          </cell>
        </row>
        <row r="66">
          <cell r="G66">
            <v>6618.1935483870966</v>
          </cell>
          <cell r="H66">
            <v>8060.1935483870966</v>
          </cell>
          <cell r="I66">
            <v>16743.60404731183</v>
          </cell>
          <cell r="J66">
            <v>17628.551612903226</v>
          </cell>
          <cell r="K66">
            <v>9154.4516129032254</v>
          </cell>
          <cell r="L66">
            <v>8840.8709677419356</v>
          </cell>
          <cell r="M66">
            <v>8632.9569892473119</v>
          </cell>
          <cell r="N66">
            <v>7575.9569892473119</v>
          </cell>
          <cell r="O66">
            <v>9077.6236559139797</v>
          </cell>
          <cell r="P66">
            <v>8653.2150537634407</v>
          </cell>
          <cell r="Q66">
            <v>10144.634408602149</v>
          </cell>
          <cell r="R66">
            <v>10227.634408602149</v>
          </cell>
        </row>
        <row r="67">
          <cell r="G67">
            <v>7000</v>
          </cell>
          <cell r="H67">
            <v>7000</v>
          </cell>
          <cell r="I67">
            <v>7000</v>
          </cell>
          <cell r="J67">
            <v>7000</v>
          </cell>
          <cell r="K67">
            <v>7000</v>
          </cell>
          <cell r="L67">
            <v>7000</v>
          </cell>
          <cell r="M67">
            <v>7000</v>
          </cell>
          <cell r="N67">
            <v>7000</v>
          </cell>
          <cell r="O67">
            <v>7000</v>
          </cell>
          <cell r="P67">
            <v>7000</v>
          </cell>
          <cell r="Q67">
            <v>7000</v>
          </cell>
          <cell r="R67">
            <v>7000</v>
          </cell>
        </row>
        <row r="68">
          <cell r="G68">
            <v>13618.193548387097</v>
          </cell>
          <cell r="H68">
            <v>15060.193548387097</v>
          </cell>
          <cell r="I68">
            <v>23743.60404731183</v>
          </cell>
          <cell r="J68">
            <v>24628.551612903226</v>
          </cell>
          <cell r="K68">
            <v>16154.451612903225</v>
          </cell>
          <cell r="L68">
            <v>15840.870967741936</v>
          </cell>
          <cell r="M68">
            <v>15632.956989247312</v>
          </cell>
          <cell r="N68">
            <v>14575.956989247312</v>
          </cell>
          <cell r="O68">
            <v>16077.62365591398</v>
          </cell>
          <cell r="P68">
            <v>15653.215053763441</v>
          </cell>
          <cell r="Q68">
            <v>17144.634408602149</v>
          </cell>
          <cell r="R68">
            <v>17227.634408602149</v>
          </cell>
        </row>
        <row r="69"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G73">
            <v>5000</v>
          </cell>
          <cell r="H73">
            <v>5000</v>
          </cell>
          <cell r="I73">
            <v>5000</v>
          </cell>
          <cell r="J73">
            <v>6000</v>
          </cell>
          <cell r="K73">
            <v>6000</v>
          </cell>
          <cell r="L73">
            <v>5000</v>
          </cell>
          <cell r="M73">
            <v>5000</v>
          </cell>
          <cell r="N73">
            <v>5000</v>
          </cell>
          <cell r="O73">
            <v>5000</v>
          </cell>
          <cell r="P73">
            <v>5000</v>
          </cell>
          <cell r="Q73">
            <v>5000</v>
          </cell>
          <cell r="R73">
            <v>5000</v>
          </cell>
        </row>
        <row r="74">
          <cell r="G74">
            <v>5000</v>
          </cell>
          <cell r="H74">
            <v>5000</v>
          </cell>
          <cell r="I74">
            <v>5000</v>
          </cell>
          <cell r="J74">
            <v>6000</v>
          </cell>
          <cell r="K74">
            <v>6000</v>
          </cell>
          <cell r="L74">
            <v>5000</v>
          </cell>
          <cell r="M74">
            <v>5000</v>
          </cell>
          <cell r="N74">
            <v>5000</v>
          </cell>
          <cell r="O74">
            <v>5000</v>
          </cell>
          <cell r="P74">
            <v>5000</v>
          </cell>
          <cell r="Q74">
            <v>5000</v>
          </cell>
          <cell r="R74">
            <v>5000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G81">
            <v>16437.860215053763</v>
          </cell>
          <cell r="H81">
            <v>25697.660215053766</v>
          </cell>
          <cell r="I81">
            <v>40800.097113978496</v>
          </cell>
          <cell r="J81">
            <v>43048.244679569892</v>
          </cell>
          <cell r="K81">
            <v>22878.251612903226</v>
          </cell>
          <cell r="L81">
            <v>22119.137634408602</v>
          </cell>
          <cell r="M81">
            <v>21648.756989247311</v>
          </cell>
          <cell r="N81">
            <v>18949.490322580645</v>
          </cell>
          <cell r="O81">
            <v>22768.423655913983</v>
          </cell>
          <cell r="P81">
            <v>21741.815053763439</v>
          </cell>
          <cell r="Q81">
            <v>25399.434408602148</v>
          </cell>
          <cell r="R81">
            <v>25547.301075268813</v>
          </cell>
        </row>
        <row r="82">
          <cell r="G82">
            <v>20000</v>
          </cell>
          <cell r="H82">
            <v>20000</v>
          </cell>
          <cell r="I82">
            <v>23000</v>
          </cell>
          <cell r="J82">
            <v>24000</v>
          </cell>
          <cell r="K82">
            <v>26500</v>
          </cell>
          <cell r="L82">
            <v>25500</v>
          </cell>
          <cell r="M82">
            <v>21000</v>
          </cell>
          <cell r="N82">
            <v>21000</v>
          </cell>
          <cell r="O82">
            <v>21000</v>
          </cell>
          <cell r="P82">
            <v>24000</v>
          </cell>
          <cell r="Q82">
            <v>24000</v>
          </cell>
          <cell r="R82">
            <v>22964</v>
          </cell>
        </row>
        <row r="83">
          <cell r="G83">
            <v>36437.860215053763</v>
          </cell>
          <cell r="H83">
            <v>45697.660215053766</v>
          </cell>
          <cell r="I83">
            <v>63800.097113978496</v>
          </cell>
          <cell r="J83">
            <v>67048.244679569892</v>
          </cell>
          <cell r="K83">
            <v>49378.25161290323</v>
          </cell>
          <cell r="L83">
            <v>47619.137634408602</v>
          </cell>
          <cell r="M83">
            <v>42648.756989247311</v>
          </cell>
          <cell r="N83">
            <v>39949.490322580648</v>
          </cell>
          <cell r="O83">
            <v>43768.423655913983</v>
          </cell>
          <cell r="P83">
            <v>45741.815053763436</v>
          </cell>
          <cell r="Q83">
            <v>49399.434408602145</v>
          </cell>
          <cell r="R83">
            <v>48511.301075268813</v>
          </cell>
        </row>
      </sheetData>
      <sheetData sheetId="3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</row>
        <row r="6">
          <cell r="G6">
            <v>0</v>
          </cell>
          <cell r="H6">
            <v>12500</v>
          </cell>
          <cell r="I6">
            <v>12500</v>
          </cell>
          <cell r="J6">
            <v>12500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G7">
            <v>16000</v>
          </cell>
          <cell r="H7">
            <v>16000</v>
          </cell>
          <cell r="I7">
            <v>16000</v>
          </cell>
          <cell r="J7">
            <v>16000</v>
          </cell>
          <cell r="K7">
            <v>16000</v>
          </cell>
          <cell r="L7">
            <v>16000</v>
          </cell>
          <cell r="M7">
            <v>16000</v>
          </cell>
          <cell r="N7">
            <v>16000</v>
          </cell>
          <cell r="O7">
            <v>16000</v>
          </cell>
          <cell r="P7">
            <v>16000</v>
          </cell>
          <cell r="Q7">
            <v>16000</v>
          </cell>
          <cell r="R7">
            <v>16000</v>
          </cell>
        </row>
        <row r="8">
          <cell r="G8">
            <v>10000</v>
          </cell>
          <cell r="H8">
            <v>10000</v>
          </cell>
          <cell r="I8">
            <v>10000</v>
          </cell>
          <cell r="J8">
            <v>10000</v>
          </cell>
          <cell r="K8">
            <v>10000</v>
          </cell>
          <cell r="L8">
            <v>10000</v>
          </cell>
          <cell r="M8">
            <v>10000</v>
          </cell>
          <cell r="N8">
            <v>10000</v>
          </cell>
          <cell r="O8">
            <v>10000</v>
          </cell>
          <cell r="P8">
            <v>10000</v>
          </cell>
          <cell r="Q8">
            <v>10000</v>
          </cell>
          <cell r="R8">
            <v>10000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10000</v>
          </cell>
          <cell r="H11">
            <v>10000</v>
          </cell>
          <cell r="I11">
            <v>10000</v>
          </cell>
          <cell r="J11">
            <v>10000</v>
          </cell>
          <cell r="K11">
            <v>10000</v>
          </cell>
          <cell r="L11">
            <v>10000</v>
          </cell>
          <cell r="M11">
            <v>10000</v>
          </cell>
          <cell r="N11">
            <v>10000</v>
          </cell>
          <cell r="O11">
            <v>10000</v>
          </cell>
          <cell r="P11">
            <v>10000</v>
          </cell>
          <cell r="Q11">
            <v>10000</v>
          </cell>
          <cell r="R11">
            <v>10000</v>
          </cell>
        </row>
        <row r="12">
          <cell r="G12">
            <v>11500</v>
          </cell>
          <cell r="H12">
            <v>11500</v>
          </cell>
          <cell r="I12">
            <v>11500</v>
          </cell>
          <cell r="J12">
            <v>11500</v>
          </cell>
          <cell r="K12">
            <v>11500</v>
          </cell>
          <cell r="L12">
            <v>11500</v>
          </cell>
          <cell r="M12">
            <v>11500</v>
          </cell>
          <cell r="N12">
            <v>11500</v>
          </cell>
          <cell r="O12">
            <v>11500</v>
          </cell>
          <cell r="P12">
            <v>11500</v>
          </cell>
          <cell r="Q12">
            <v>11500</v>
          </cell>
          <cell r="R12">
            <v>11500</v>
          </cell>
        </row>
        <row r="13">
          <cell r="G13">
            <v>13434.362782693281</v>
          </cell>
          <cell r="H13">
            <v>13452.395192452714</v>
          </cell>
          <cell r="I13">
            <v>13139.742637424792</v>
          </cell>
          <cell r="J13">
            <v>13194.21599152558</v>
          </cell>
          <cell r="K13">
            <v>13268.0669120402</v>
          </cell>
          <cell r="L13">
            <v>13209.811937043474</v>
          </cell>
          <cell r="M13">
            <v>13597.561751106023</v>
          </cell>
          <cell r="N13">
            <v>13403.906375264642</v>
          </cell>
          <cell r="O13">
            <v>13641.88129109595</v>
          </cell>
          <cell r="P13">
            <v>13211.705714946229</v>
          </cell>
          <cell r="Q13">
            <v>13420.887329938212</v>
          </cell>
          <cell r="R13">
            <v>13502.966354263104</v>
          </cell>
        </row>
        <row r="14">
          <cell r="G14">
            <v>0</v>
          </cell>
          <cell r="H14">
            <v>18500</v>
          </cell>
          <cell r="I14">
            <v>18500</v>
          </cell>
          <cell r="J14">
            <v>18500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G15">
            <v>22000</v>
          </cell>
          <cell r="H15">
            <v>22000</v>
          </cell>
          <cell r="I15">
            <v>22000</v>
          </cell>
          <cell r="J15">
            <v>22000</v>
          </cell>
          <cell r="K15">
            <v>22000</v>
          </cell>
          <cell r="L15">
            <v>22000</v>
          </cell>
          <cell r="M15">
            <v>22000</v>
          </cell>
          <cell r="N15">
            <v>22000</v>
          </cell>
          <cell r="O15">
            <v>22000</v>
          </cell>
          <cell r="P15">
            <v>22000</v>
          </cell>
          <cell r="Q15">
            <v>22000</v>
          </cell>
          <cell r="R15">
            <v>22000</v>
          </cell>
        </row>
        <row r="16">
          <cell r="G16">
            <v>16000</v>
          </cell>
          <cell r="H16">
            <v>16000</v>
          </cell>
          <cell r="I16">
            <v>16000</v>
          </cell>
          <cell r="J16">
            <v>16000</v>
          </cell>
          <cell r="K16">
            <v>16000</v>
          </cell>
          <cell r="L16">
            <v>16000</v>
          </cell>
          <cell r="M16">
            <v>16000</v>
          </cell>
          <cell r="N16">
            <v>16000</v>
          </cell>
          <cell r="O16">
            <v>16000</v>
          </cell>
          <cell r="P16">
            <v>16000</v>
          </cell>
          <cell r="Q16">
            <v>16000</v>
          </cell>
          <cell r="R16">
            <v>16000</v>
          </cell>
        </row>
        <row r="17"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16000</v>
          </cell>
          <cell r="H19">
            <v>16000</v>
          </cell>
          <cell r="I19">
            <v>16000</v>
          </cell>
          <cell r="J19">
            <v>16000</v>
          </cell>
          <cell r="K19">
            <v>16000</v>
          </cell>
          <cell r="L19">
            <v>16000</v>
          </cell>
          <cell r="M19">
            <v>16000</v>
          </cell>
          <cell r="N19">
            <v>16000</v>
          </cell>
          <cell r="O19">
            <v>16000</v>
          </cell>
          <cell r="P19">
            <v>16000</v>
          </cell>
          <cell r="Q19">
            <v>16000</v>
          </cell>
          <cell r="R19">
            <v>16000</v>
          </cell>
        </row>
        <row r="20">
          <cell r="G20">
            <v>15000</v>
          </cell>
          <cell r="H20">
            <v>15000</v>
          </cell>
          <cell r="I20">
            <v>15000</v>
          </cell>
          <cell r="J20">
            <v>15000</v>
          </cell>
          <cell r="K20">
            <v>15000</v>
          </cell>
          <cell r="L20">
            <v>15000</v>
          </cell>
          <cell r="M20">
            <v>15000</v>
          </cell>
          <cell r="N20">
            <v>15000</v>
          </cell>
          <cell r="O20">
            <v>15000</v>
          </cell>
          <cell r="P20">
            <v>15000</v>
          </cell>
          <cell r="Q20">
            <v>15000</v>
          </cell>
          <cell r="R20">
            <v>15000</v>
          </cell>
        </row>
        <row r="21">
          <cell r="G21">
            <v>17835.192010687791</v>
          </cell>
          <cell r="H21">
            <v>18233.968633398021</v>
          </cell>
          <cell r="I21">
            <v>18362.21665793614</v>
          </cell>
          <cell r="J21">
            <v>18434.664081853072</v>
          </cell>
          <cell r="K21">
            <v>18321.093955925462</v>
          </cell>
          <cell r="L21">
            <v>18236.366931599965</v>
          </cell>
          <cell r="M21">
            <v>18266.109989579501</v>
          </cell>
          <cell r="N21">
            <v>17995.340684762949</v>
          </cell>
          <cell r="O21">
            <v>18336.290536703989</v>
          </cell>
          <cell r="P21">
            <v>18109.087486922541</v>
          </cell>
          <cell r="Q21">
            <v>18436.56405872617</v>
          </cell>
          <cell r="R21">
            <v>18453.732125804378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10500</v>
          </cell>
          <cell r="H23">
            <v>10500</v>
          </cell>
          <cell r="I23">
            <v>10500</v>
          </cell>
          <cell r="J23">
            <v>10500</v>
          </cell>
          <cell r="K23">
            <v>10500</v>
          </cell>
          <cell r="L23">
            <v>10500</v>
          </cell>
          <cell r="M23">
            <v>10500</v>
          </cell>
          <cell r="N23">
            <v>10500</v>
          </cell>
          <cell r="O23">
            <v>10500</v>
          </cell>
          <cell r="P23">
            <v>10500</v>
          </cell>
          <cell r="Q23">
            <v>10500</v>
          </cell>
          <cell r="R23">
            <v>10500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9000</v>
          </cell>
          <cell r="H36">
            <v>9000</v>
          </cell>
          <cell r="I36">
            <v>9000</v>
          </cell>
          <cell r="J36">
            <v>9000</v>
          </cell>
          <cell r="K36">
            <v>9000</v>
          </cell>
          <cell r="L36">
            <v>9000</v>
          </cell>
          <cell r="M36">
            <v>9000</v>
          </cell>
          <cell r="N36">
            <v>9000</v>
          </cell>
          <cell r="O36">
            <v>9000</v>
          </cell>
          <cell r="P36">
            <v>9000</v>
          </cell>
          <cell r="Q36">
            <v>9000</v>
          </cell>
          <cell r="R36">
            <v>9000</v>
          </cell>
        </row>
        <row r="37">
          <cell r="G37">
            <v>9000</v>
          </cell>
          <cell r="H37">
            <v>9000</v>
          </cell>
          <cell r="I37">
            <v>9000</v>
          </cell>
          <cell r="J37">
            <v>9000</v>
          </cell>
          <cell r="K37">
            <v>9000</v>
          </cell>
          <cell r="L37">
            <v>9000</v>
          </cell>
          <cell r="M37">
            <v>9000</v>
          </cell>
          <cell r="N37">
            <v>9000</v>
          </cell>
          <cell r="O37">
            <v>9000</v>
          </cell>
          <cell r="P37">
            <v>9000</v>
          </cell>
          <cell r="Q37">
            <v>9000</v>
          </cell>
          <cell r="R37">
            <v>9000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G54">
            <v>0</v>
          </cell>
          <cell r="H54">
            <v>12500.000000000002</v>
          </cell>
          <cell r="I54">
            <v>15024.836774579375</v>
          </cell>
          <cell r="J54">
            <v>15024.743929105765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G55">
            <v>18364.197105104984</v>
          </cell>
          <cell r="H55">
            <v>18363.9853428721</v>
          </cell>
          <cell r="I55">
            <v>18368.080469899374</v>
          </cell>
          <cell r="J55">
            <v>18361.704495257236</v>
          </cell>
          <cell r="K55">
            <v>18358.12859050728</v>
          </cell>
          <cell r="L55">
            <v>18354.183698760375</v>
          </cell>
          <cell r="M55">
            <v>18354.183698760375</v>
          </cell>
          <cell r="N55">
            <v>18355.004046398706</v>
          </cell>
          <cell r="O55">
            <v>18351.573274042385</v>
          </cell>
          <cell r="P55">
            <v>18340.200718970049</v>
          </cell>
          <cell r="Q55">
            <v>18359.849560034061</v>
          </cell>
          <cell r="R55">
            <v>18367.010203624111</v>
          </cell>
        </row>
        <row r="56">
          <cell r="G56">
            <v>12780.48780487805</v>
          </cell>
          <cell r="H56">
            <v>12780.48780487805</v>
          </cell>
          <cell r="I56">
            <v>12780.48780487805</v>
          </cell>
          <cell r="J56">
            <v>12780.48780487805</v>
          </cell>
          <cell r="K56">
            <v>12780.48780487805</v>
          </cell>
          <cell r="L56">
            <v>12780.48780487805</v>
          </cell>
          <cell r="M56">
            <v>12780.48780487805</v>
          </cell>
          <cell r="N56">
            <v>12780.48780487805</v>
          </cell>
          <cell r="O56">
            <v>12780.48780487805</v>
          </cell>
          <cell r="P56">
            <v>12780.48780487805</v>
          </cell>
          <cell r="Q56">
            <v>12780.48780487805</v>
          </cell>
          <cell r="R56">
            <v>12780.48780487805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12185.533427111866</v>
          </cell>
          <cell r="H59">
            <v>12185.533427111866</v>
          </cell>
          <cell r="I59">
            <v>12157.647810174152</v>
          </cell>
          <cell r="J59">
            <v>12151.535233046168</v>
          </cell>
          <cell r="K59">
            <v>12151.535233046168</v>
          </cell>
          <cell r="L59">
            <v>12149.899445725217</v>
          </cell>
          <cell r="M59">
            <v>12154.366860422339</v>
          </cell>
          <cell r="N59">
            <v>12154.366860422339</v>
          </cell>
          <cell r="O59">
            <v>12154.366860422339</v>
          </cell>
          <cell r="P59">
            <v>12145.006973841975</v>
          </cell>
          <cell r="Q59">
            <v>12145.006973841975</v>
          </cell>
          <cell r="R59">
            <v>12145.006973841975</v>
          </cell>
        </row>
        <row r="60">
          <cell r="G60">
            <v>12100</v>
          </cell>
          <cell r="H60">
            <v>12100</v>
          </cell>
          <cell r="I60">
            <v>12021.739130434784</v>
          </cell>
          <cell r="J60">
            <v>11895.833333333334</v>
          </cell>
          <cell r="K60">
            <v>11858.490566037735</v>
          </cell>
          <cell r="L60">
            <v>11970.588235294117</v>
          </cell>
          <cell r="M60">
            <v>12071.428571428571</v>
          </cell>
          <cell r="N60">
            <v>12071.428571428571</v>
          </cell>
          <cell r="O60">
            <v>12071.428571428571</v>
          </cell>
          <cell r="P60">
            <v>12000</v>
          </cell>
          <cell r="Q60">
            <v>12000</v>
          </cell>
          <cell r="R60">
            <v>12022.557045810836</v>
          </cell>
        </row>
        <row r="61">
          <cell r="G61">
            <v>14470.634673081675</v>
          </cell>
          <cell r="H61">
            <v>14541.060242043404</v>
          </cell>
          <cell r="I61">
            <v>14758.888168170968</v>
          </cell>
          <cell r="J61">
            <v>14743.836728276594</v>
          </cell>
          <cell r="K61">
            <v>14402.584185880971</v>
          </cell>
          <cell r="L61">
            <v>14439.90454908366</v>
          </cell>
          <cell r="M61">
            <v>14769.821122495367</v>
          </cell>
          <cell r="N61">
            <v>14527.951182226716</v>
          </cell>
          <cell r="O61">
            <v>14836.019309251127</v>
          </cell>
          <cell r="P61">
            <v>14427.250866292832</v>
          </cell>
          <cell r="Q61">
            <v>14714.17151308641</v>
          </cell>
          <cell r="R61">
            <v>14796.997839545647</v>
          </cell>
        </row>
        <row r="62">
          <cell r="G62">
            <v>0</v>
          </cell>
          <cell r="H62">
            <v>69983.333333333343</v>
          </cell>
          <cell r="I62">
            <v>139507.82999999999</v>
          </cell>
          <cell r="J62">
            <v>139507.82999999999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G63">
            <v>131197.86666666667</v>
          </cell>
          <cell r="H63">
            <v>166704</v>
          </cell>
          <cell r="I63">
            <v>175111.46666666667</v>
          </cell>
          <cell r="J63">
            <v>191815.46666666667</v>
          </cell>
          <cell r="K63">
            <v>183251.20000000001</v>
          </cell>
          <cell r="L63">
            <v>175208.53333333333</v>
          </cell>
          <cell r="M63">
            <v>175208.53333333333</v>
          </cell>
          <cell r="N63">
            <v>148932.26666666666</v>
          </cell>
          <cell r="O63">
            <v>184365.86666666667</v>
          </cell>
          <cell r="P63">
            <v>166872.53333333333</v>
          </cell>
          <cell r="Q63">
            <v>200628.26666666666</v>
          </cell>
          <cell r="R63">
            <v>201666.13333333333</v>
          </cell>
        </row>
        <row r="64">
          <cell r="G64">
            <v>12320</v>
          </cell>
          <cell r="H64">
            <v>12320</v>
          </cell>
          <cell r="I64">
            <v>13346.666666666668</v>
          </cell>
          <cell r="J64">
            <v>15400</v>
          </cell>
          <cell r="K64">
            <v>15400</v>
          </cell>
          <cell r="L64">
            <v>15400</v>
          </cell>
          <cell r="M64">
            <v>13346.666666666668</v>
          </cell>
          <cell r="N64">
            <v>13346.666666666668</v>
          </cell>
          <cell r="O64">
            <v>14373.333333333332</v>
          </cell>
          <cell r="P64">
            <v>16426.666666666668</v>
          </cell>
          <cell r="Q64">
            <v>16426.666666666668</v>
          </cell>
          <cell r="R64">
            <v>16426.666666666668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G67">
            <v>3878</v>
          </cell>
          <cell r="H67">
            <v>3878</v>
          </cell>
          <cell r="I67">
            <v>6167.3333333333321</v>
          </cell>
          <cell r="J67">
            <v>7306</v>
          </cell>
          <cell r="K67">
            <v>7306</v>
          </cell>
          <cell r="L67">
            <v>7877.333333333333</v>
          </cell>
          <cell r="M67">
            <v>7306</v>
          </cell>
          <cell r="N67">
            <v>7306</v>
          </cell>
          <cell r="O67">
            <v>7306</v>
          </cell>
          <cell r="P67">
            <v>10164</v>
          </cell>
          <cell r="Q67">
            <v>10728.666666666666</v>
          </cell>
          <cell r="R67">
            <v>10728.666666666666</v>
          </cell>
        </row>
        <row r="68">
          <cell r="G68">
            <v>92000</v>
          </cell>
          <cell r="H68">
            <v>92000</v>
          </cell>
          <cell r="I68">
            <v>126500</v>
          </cell>
          <cell r="J68">
            <v>126500</v>
          </cell>
          <cell r="K68">
            <v>155250</v>
          </cell>
          <cell r="L68">
            <v>155250</v>
          </cell>
          <cell r="M68">
            <v>103500</v>
          </cell>
          <cell r="N68">
            <v>103500</v>
          </cell>
          <cell r="O68">
            <v>103500</v>
          </cell>
          <cell r="P68">
            <v>138000</v>
          </cell>
          <cell r="Q68">
            <v>138000</v>
          </cell>
          <cell r="R68">
            <v>126086</v>
          </cell>
        </row>
        <row r="69">
          <cell r="G69">
            <v>239395.86666666667</v>
          </cell>
          <cell r="H69">
            <v>344885.33333333337</v>
          </cell>
          <cell r="I69">
            <v>460633.29666666663</v>
          </cell>
          <cell r="J69">
            <v>480529.29666666663</v>
          </cell>
          <cell r="K69">
            <v>361207.2</v>
          </cell>
          <cell r="L69">
            <v>353735.8666666667</v>
          </cell>
          <cell r="M69">
            <v>299361.19999999995</v>
          </cell>
          <cell r="N69">
            <v>273084.93333333335</v>
          </cell>
          <cell r="O69">
            <v>309545.2</v>
          </cell>
          <cell r="P69">
            <v>331463.19999999995</v>
          </cell>
          <cell r="Q69">
            <v>365783.6</v>
          </cell>
          <cell r="R69">
            <v>354907.46666666667</v>
          </cell>
        </row>
        <row r="70">
          <cell r="G70">
            <v>0</v>
          </cell>
          <cell r="H70">
            <v>0</v>
          </cell>
          <cell r="I70">
            <v>150009.37379999997</v>
          </cell>
          <cell r="J70">
            <v>149999.85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G71">
            <v>117304</v>
          </cell>
          <cell r="H71">
            <v>149028</v>
          </cell>
          <cell r="I71">
            <v>156992</v>
          </cell>
          <cell r="J71">
            <v>171204</v>
          </cell>
          <cell r="K71">
            <v>163152</v>
          </cell>
          <cell r="L71">
            <v>155562</v>
          </cell>
          <cell r="M71">
            <v>155562</v>
          </cell>
          <cell r="N71">
            <v>132308</v>
          </cell>
          <cell r="O71">
            <v>163394</v>
          </cell>
          <cell r="P71">
            <v>146718</v>
          </cell>
          <cell r="Q71">
            <v>178838</v>
          </cell>
          <cell r="R71">
            <v>180664</v>
          </cell>
        </row>
        <row r="72">
          <cell r="G72">
            <v>17024</v>
          </cell>
          <cell r="H72">
            <v>17024</v>
          </cell>
          <cell r="I72">
            <v>18442.666666666668</v>
          </cell>
          <cell r="J72">
            <v>21280</v>
          </cell>
          <cell r="K72">
            <v>21280</v>
          </cell>
          <cell r="L72">
            <v>21280</v>
          </cell>
          <cell r="M72">
            <v>18442.666666666668</v>
          </cell>
          <cell r="N72">
            <v>18442.666666666668</v>
          </cell>
          <cell r="O72">
            <v>19861.333333333332</v>
          </cell>
          <cell r="P72">
            <v>22698.666666666668</v>
          </cell>
          <cell r="Q72">
            <v>22698.666666666668</v>
          </cell>
          <cell r="R72">
            <v>22698.666666666668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G75">
            <v>3555.0967741935483</v>
          </cell>
          <cell r="H75">
            <v>3555.0967741935483</v>
          </cell>
          <cell r="I75">
            <v>5541.1612903225805</v>
          </cell>
          <cell r="J75">
            <v>6535.2258064516127</v>
          </cell>
          <cell r="K75">
            <v>6535.2258064516127</v>
          </cell>
          <cell r="L75">
            <v>7037.9354838709678</v>
          </cell>
          <cell r="M75">
            <v>6548.6451612903238</v>
          </cell>
          <cell r="N75">
            <v>6548.6451612903238</v>
          </cell>
          <cell r="O75">
            <v>6548.6451612903238</v>
          </cell>
          <cell r="P75">
            <v>9048.7741935483864</v>
          </cell>
          <cell r="Q75">
            <v>9551.4838709677424</v>
          </cell>
          <cell r="R75">
            <v>9551.4838709677424</v>
          </cell>
        </row>
        <row r="76">
          <cell r="G76">
            <v>105000</v>
          </cell>
          <cell r="H76">
            <v>105000</v>
          </cell>
          <cell r="I76">
            <v>105000</v>
          </cell>
          <cell r="J76">
            <v>105000</v>
          </cell>
          <cell r="K76">
            <v>105000</v>
          </cell>
          <cell r="L76">
            <v>105000</v>
          </cell>
          <cell r="M76">
            <v>105000</v>
          </cell>
          <cell r="N76">
            <v>105000</v>
          </cell>
          <cell r="O76">
            <v>105000</v>
          </cell>
          <cell r="P76">
            <v>105000</v>
          </cell>
          <cell r="Q76">
            <v>105000</v>
          </cell>
          <cell r="R76">
            <v>105000</v>
          </cell>
        </row>
        <row r="77">
          <cell r="G77">
            <v>242883.09677419355</v>
          </cell>
          <cell r="H77">
            <v>274607.09677419357</v>
          </cell>
          <cell r="I77">
            <v>435985.20175698923</v>
          </cell>
          <cell r="J77">
            <v>454019.07580645161</v>
          </cell>
          <cell r="K77">
            <v>295967.22580645164</v>
          </cell>
          <cell r="L77">
            <v>288879.93548387097</v>
          </cell>
          <cell r="M77">
            <v>285553.31182795699</v>
          </cell>
          <cell r="N77">
            <v>262299.31182795699</v>
          </cell>
          <cell r="O77">
            <v>294803.97849462368</v>
          </cell>
          <cell r="P77">
            <v>283465.44086021505</v>
          </cell>
          <cell r="Q77">
            <v>316088.15053763438</v>
          </cell>
          <cell r="R77">
            <v>317914.15053763438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</row>
        <row r="92">
          <cell r="G92">
            <v>45000</v>
          </cell>
          <cell r="H92">
            <v>45000</v>
          </cell>
          <cell r="I92">
            <v>45000</v>
          </cell>
          <cell r="J92">
            <v>54000</v>
          </cell>
          <cell r="K92">
            <v>54000</v>
          </cell>
          <cell r="L92">
            <v>45000</v>
          </cell>
          <cell r="M92">
            <v>45000</v>
          </cell>
          <cell r="N92">
            <v>45000</v>
          </cell>
          <cell r="O92">
            <v>45000</v>
          </cell>
          <cell r="P92">
            <v>45000</v>
          </cell>
          <cell r="Q92">
            <v>45000</v>
          </cell>
          <cell r="R92">
            <v>45000</v>
          </cell>
        </row>
        <row r="93">
          <cell r="G93">
            <v>45000</v>
          </cell>
          <cell r="H93">
            <v>45000</v>
          </cell>
          <cell r="I93">
            <v>45000</v>
          </cell>
          <cell r="J93">
            <v>54000</v>
          </cell>
          <cell r="K93">
            <v>54000</v>
          </cell>
          <cell r="L93">
            <v>45000</v>
          </cell>
          <cell r="M93">
            <v>45000</v>
          </cell>
          <cell r="N93">
            <v>45000</v>
          </cell>
          <cell r="O93">
            <v>45000</v>
          </cell>
          <cell r="P93">
            <v>45000</v>
          </cell>
          <cell r="Q93">
            <v>45000</v>
          </cell>
          <cell r="R93">
            <v>45000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</row>
        <row r="102"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G110">
            <v>0</v>
          </cell>
          <cell r="H110">
            <v>69983.333333333343</v>
          </cell>
          <cell r="I110">
            <v>289517.20379999996</v>
          </cell>
          <cell r="J110">
            <v>289507.68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G111">
            <v>248501.86666666667</v>
          </cell>
          <cell r="H111">
            <v>315732</v>
          </cell>
          <cell r="I111">
            <v>332103.46666666667</v>
          </cell>
          <cell r="J111">
            <v>363019.46666666667</v>
          </cell>
          <cell r="K111">
            <v>346403.2</v>
          </cell>
          <cell r="L111">
            <v>330770.53333333333</v>
          </cell>
          <cell r="M111">
            <v>330770.53333333333</v>
          </cell>
          <cell r="N111">
            <v>281240.26666666666</v>
          </cell>
          <cell r="O111">
            <v>347759.8666666667</v>
          </cell>
          <cell r="P111">
            <v>313590.53333333333</v>
          </cell>
          <cell r="Q111">
            <v>379466.26666666666</v>
          </cell>
          <cell r="R111">
            <v>382330.1333333333</v>
          </cell>
        </row>
        <row r="112">
          <cell r="G112">
            <v>29344</v>
          </cell>
          <cell r="H112">
            <v>29344</v>
          </cell>
          <cell r="I112">
            <v>31789.333333333336</v>
          </cell>
          <cell r="J112">
            <v>36680</v>
          </cell>
          <cell r="K112">
            <v>36680</v>
          </cell>
          <cell r="L112">
            <v>36680</v>
          </cell>
          <cell r="M112">
            <v>31789.333333333336</v>
          </cell>
          <cell r="N112">
            <v>31789.333333333336</v>
          </cell>
          <cell r="O112">
            <v>34234.666666666664</v>
          </cell>
          <cell r="P112">
            <v>39125.333333333336</v>
          </cell>
          <cell r="Q112">
            <v>39125.333333333336</v>
          </cell>
          <cell r="R112">
            <v>39125.333333333336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G115">
            <v>7433.0967741935483</v>
          </cell>
          <cell r="H115">
            <v>7433.0967741935483</v>
          </cell>
          <cell r="I115">
            <v>11708.494623655912</v>
          </cell>
          <cell r="J115">
            <v>13841.225806451614</v>
          </cell>
          <cell r="K115">
            <v>13841.225806451614</v>
          </cell>
          <cell r="L115">
            <v>14915.268817204302</v>
          </cell>
          <cell r="M115">
            <v>13854.645161290324</v>
          </cell>
          <cell r="N115">
            <v>13854.645161290324</v>
          </cell>
          <cell r="O115">
            <v>13854.645161290324</v>
          </cell>
          <cell r="P115">
            <v>19212.774193548386</v>
          </cell>
          <cell r="Q115">
            <v>20280.150537634407</v>
          </cell>
          <cell r="R115">
            <v>20280.150537634407</v>
          </cell>
        </row>
        <row r="116">
          <cell r="G116">
            <v>242000</v>
          </cell>
          <cell r="H116">
            <v>242000</v>
          </cell>
          <cell r="I116">
            <v>276500</v>
          </cell>
          <cell r="J116">
            <v>285500</v>
          </cell>
          <cell r="K116">
            <v>314250</v>
          </cell>
          <cell r="L116">
            <v>305250</v>
          </cell>
          <cell r="M116">
            <v>253500</v>
          </cell>
          <cell r="N116">
            <v>253500</v>
          </cell>
          <cell r="O116">
            <v>253500</v>
          </cell>
          <cell r="P116">
            <v>288000</v>
          </cell>
          <cell r="Q116">
            <v>288000</v>
          </cell>
          <cell r="R116">
            <v>276086</v>
          </cell>
        </row>
        <row r="117">
          <cell r="G117">
            <v>527278.96344086027</v>
          </cell>
          <cell r="H117">
            <v>664492.43010752695</v>
          </cell>
          <cell r="I117">
            <v>941618.49842365587</v>
          </cell>
          <cell r="J117">
            <v>988548.37247311836</v>
          </cell>
          <cell r="K117">
            <v>711174.42580645159</v>
          </cell>
          <cell r="L117">
            <v>687615.80215053761</v>
          </cell>
          <cell r="M117">
            <v>629914.51182795689</v>
          </cell>
          <cell r="N117">
            <v>580384.24516129028</v>
          </cell>
          <cell r="O117">
            <v>649349.17849462363</v>
          </cell>
          <cell r="P117">
            <v>659928.64086021506</v>
          </cell>
          <cell r="Q117">
            <v>726871.75053763436</v>
          </cell>
          <cell r="R117">
            <v>717821.61720430106</v>
          </cell>
        </row>
        <row r="119">
          <cell r="G119">
            <v>147395.86666666667</v>
          </cell>
          <cell r="H119">
            <v>252885.33333333334</v>
          </cell>
          <cell r="I119">
            <v>334133.29666666663</v>
          </cell>
          <cell r="J119">
            <v>354029.29666666663</v>
          </cell>
          <cell r="K119">
            <v>205957.2</v>
          </cell>
          <cell r="L119">
            <v>198485.86666666667</v>
          </cell>
          <cell r="M119">
            <v>195861.19999999998</v>
          </cell>
          <cell r="N119">
            <v>169584.93333333332</v>
          </cell>
          <cell r="O119">
            <v>206045.2</v>
          </cell>
          <cell r="P119">
            <v>193463.19999999998</v>
          </cell>
          <cell r="Q119">
            <v>227783.59999999998</v>
          </cell>
          <cell r="R119">
            <v>228821.46666666665</v>
          </cell>
        </row>
        <row r="120">
          <cell r="G120">
            <v>92000</v>
          </cell>
          <cell r="H120">
            <v>92000</v>
          </cell>
          <cell r="I120">
            <v>126500</v>
          </cell>
          <cell r="J120">
            <v>126500</v>
          </cell>
          <cell r="K120">
            <v>155250</v>
          </cell>
          <cell r="L120">
            <v>155250</v>
          </cell>
          <cell r="M120">
            <v>103500</v>
          </cell>
          <cell r="N120">
            <v>103500</v>
          </cell>
          <cell r="O120">
            <v>103500</v>
          </cell>
          <cell r="P120">
            <v>138000</v>
          </cell>
          <cell r="Q120">
            <v>138000</v>
          </cell>
          <cell r="R120">
            <v>126086</v>
          </cell>
        </row>
        <row r="121">
          <cell r="G121">
            <v>239395.86666666667</v>
          </cell>
          <cell r="H121">
            <v>344885.33333333337</v>
          </cell>
          <cell r="I121">
            <v>460633.29666666663</v>
          </cell>
          <cell r="J121">
            <v>480529.29666666663</v>
          </cell>
          <cell r="K121">
            <v>361207.2</v>
          </cell>
          <cell r="L121">
            <v>353735.8666666667</v>
          </cell>
          <cell r="M121">
            <v>299361.19999999995</v>
          </cell>
          <cell r="N121">
            <v>273084.93333333335</v>
          </cell>
          <cell r="O121">
            <v>309545.2</v>
          </cell>
          <cell r="P121">
            <v>331463.19999999995</v>
          </cell>
          <cell r="Q121">
            <v>365783.6</v>
          </cell>
          <cell r="R121">
            <v>354907.46666666667</v>
          </cell>
        </row>
        <row r="122">
          <cell r="G122">
            <v>137883.09677419355</v>
          </cell>
          <cell r="H122">
            <v>169607.09677419355</v>
          </cell>
          <cell r="I122">
            <v>330985.20175698923</v>
          </cell>
          <cell r="J122">
            <v>349019.07580645161</v>
          </cell>
          <cell r="K122">
            <v>190967.22580645161</v>
          </cell>
          <cell r="L122">
            <v>183879.93548387097</v>
          </cell>
          <cell r="M122">
            <v>180553.31182795699</v>
          </cell>
          <cell r="N122">
            <v>157299.31182795699</v>
          </cell>
          <cell r="O122">
            <v>189803.97849462368</v>
          </cell>
          <cell r="P122">
            <v>178465.44086021505</v>
          </cell>
          <cell r="Q122">
            <v>211088.15053763438</v>
          </cell>
          <cell r="R122">
            <v>212914.15053763438</v>
          </cell>
        </row>
        <row r="123">
          <cell r="G123">
            <v>105000</v>
          </cell>
          <cell r="H123">
            <v>105000</v>
          </cell>
          <cell r="I123">
            <v>105000</v>
          </cell>
          <cell r="J123">
            <v>105000</v>
          </cell>
          <cell r="K123">
            <v>105000</v>
          </cell>
          <cell r="L123">
            <v>105000</v>
          </cell>
          <cell r="M123">
            <v>105000</v>
          </cell>
          <cell r="N123">
            <v>105000</v>
          </cell>
          <cell r="O123">
            <v>105000</v>
          </cell>
          <cell r="P123">
            <v>105000</v>
          </cell>
          <cell r="Q123">
            <v>105000</v>
          </cell>
          <cell r="R123">
            <v>105000</v>
          </cell>
        </row>
        <row r="124">
          <cell r="G124">
            <v>242883.09677419355</v>
          </cell>
          <cell r="H124">
            <v>274607.09677419357</v>
          </cell>
          <cell r="I124">
            <v>435985.20175698923</v>
          </cell>
          <cell r="J124">
            <v>454019.07580645161</v>
          </cell>
          <cell r="K124">
            <v>295967.22580645164</v>
          </cell>
          <cell r="L124">
            <v>288879.93548387097</v>
          </cell>
          <cell r="M124">
            <v>285553.31182795699</v>
          </cell>
          <cell r="N124">
            <v>262299.31182795699</v>
          </cell>
          <cell r="O124">
            <v>294803.97849462368</v>
          </cell>
          <cell r="P124">
            <v>283465.44086021505</v>
          </cell>
          <cell r="Q124">
            <v>316088.15053763438</v>
          </cell>
          <cell r="R124">
            <v>317914.15053763438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</row>
        <row r="128"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G129">
            <v>45000</v>
          </cell>
          <cell r="H129">
            <v>45000</v>
          </cell>
          <cell r="I129">
            <v>45000</v>
          </cell>
          <cell r="J129">
            <v>54000</v>
          </cell>
          <cell r="K129">
            <v>54000</v>
          </cell>
          <cell r="L129">
            <v>45000</v>
          </cell>
          <cell r="M129">
            <v>45000</v>
          </cell>
          <cell r="N129">
            <v>45000</v>
          </cell>
          <cell r="O129">
            <v>45000</v>
          </cell>
          <cell r="P129">
            <v>45000</v>
          </cell>
          <cell r="Q129">
            <v>45000</v>
          </cell>
          <cell r="R129">
            <v>45000</v>
          </cell>
        </row>
        <row r="130">
          <cell r="G130">
            <v>45000</v>
          </cell>
          <cell r="H130">
            <v>45000</v>
          </cell>
          <cell r="I130">
            <v>45000</v>
          </cell>
          <cell r="J130">
            <v>54000</v>
          </cell>
          <cell r="K130">
            <v>54000</v>
          </cell>
          <cell r="L130">
            <v>45000</v>
          </cell>
          <cell r="M130">
            <v>45000</v>
          </cell>
          <cell r="N130">
            <v>45000</v>
          </cell>
          <cell r="O130">
            <v>45000</v>
          </cell>
          <cell r="P130">
            <v>45000</v>
          </cell>
          <cell r="Q130">
            <v>45000</v>
          </cell>
          <cell r="R130">
            <v>45000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</row>
        <row r="133"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G137">
            <v>285278.96344086021</v>
          </cell>
          <cell r="H137">
            <v>422492.43010752689</v>
          </cell>
          <cell r="I137">
            <v>665118.49842365587</v>
          </cell>
          <cell r="J137">
            <v>703048.37247311824</v>
          </cell>
          <cell r="K137">
            <v>396924.42580645159</v>
          </cell>
          <cell r="L137">
            <v>382365.80215053761</v>
          </cell>
          <cell r="M137">
            <v>376414.511827957</v>
          </cell>
          <cell r="N137">
            <v>326884.24516129028</v>
          </cell>
          <cell r="O137">
            <v>395849.17849462369</v>
          </cell>
          <cell r="P137">
            <v>371928.64086021506</v>
          </cell>
          <cell r="Q137">
            <v>438871.75053763436</v>
          </cell>
          <cell r="R137">
            <v>441735.61720430106</v>
          </cell>
        </row>
        <row r="138">
          <cell r="G138">
            <v>242000</v>
          </cell>
          <cell r="H138">
            <v>242000</v>
          </cell>
          <cell r="I138">
            <v>276500</v>
          </cell>
          <cell r="J138">
            <v>285500</v>
          </cell>
          <cell r="K138">
            <v>314250</v>
          </cell>
          <cell r="L138">
            <v>305250</v>
          </cell>
          <cell r="M138">
            <v>253500</v>
          </cell>
          <cell r="N138">
            <v>253500</v>
          </cell>
          <cell r="O138">
            <v>253500</v>
          </cell>
          <cell r="P138">
            <v>288000</v>
          </cell>
          <cell r="Q138">
            <v>288000</v>
          </cell>
          <cell r="R138">
            <v>276086</v>
          </cell>
        </row>
        <row r="139">
          <cell r="G139">
            <v>527278.96344086016</v>
          </cell>
          <cell r="H139">
            <v>664492.43010752695</v>
          </cell>
          <cell r="I139">
            <v>941618.49842365587</v>
          </cell>
          <cell r="J139">
            <v>988548.37247311824</v>
          </cell>
          <cell r="K139">
            <v>711174.42580645159</v>
          </cell>
          <cell r="L139">
            <v>687615.80215053761</v>
          </cell>
          <cell r="M139">
            <v>629914.511827957</v>
          </cell>
          <cell r="N139">
            <v>580384.24516129028</v>
          </cell>
          <cell r="O139">
            <v>649349.17849462363</v>
          </cell>
          <cell r="P139">
            <v>659928.64086021506</v>
          </cell>
          <cell r="Q139">
            <v>726871.75053763436</v>
          </cell>
          <cell r="R139">
            <v>717821.61720430106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물량"/>
      <sheetName val="매출"/>
      <sheetName val="공헌이익"/>
      <sheetName val="원가"/>
      <sheetName val="제조4"/>
      <sheetName val="제조6"/>
      <sheetName val="본사산출"/>
      <sheetName val="인별예산"/>
      <sheetName val="계정통제"/>
      <sheetName val="2025년_예산요구안_부산크라샤"/>
    </sheetNames>
    <sheetDataSet>
      <sheetData sheetId="0">
        <row r="5">
          <cell r="G5" t="str">
            <v>1월</v>
          </cell>
        </row>
      </sheetData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</row>
        <row r="6">
          <cell r="G6">
            <v>9034.7927999999993</v>
          </cell>
          <cell r="H6">
            <v>4496.666666666667</v>
          </cell>
          <cell r="I6">
            <v>0.1</v>
          </cell>
          <cell r="J6">
            <v>0.1</v>
          </cell>
          <cell r="K6">
            <v>11160.626399999999</v>
          </cell>
          <cell r="L6">
            <v>10629.168</v>
          </cell>
          <cell r="M6">
            <v>11160.626399999999</v>
          </cell>
          <cell r="N6">
            <v>9034.7927999999993</v>
          </cell>
          <cell r="O6">
            <v>11160.626399999999</v>
          </cell>
          <cell r="P6">
            <v>10097.7096</v>
          </cell>
          <cell r="Q6">
            <v>11160.626399999999</v>
          </cell>
          <cell r="R6">
            <v>11692.084799999999</v>
          </cell>
        </row>
        <row r="7">
          <cell r="G7">
            <v>8000</v>
          </cell>
          <cell r="H7">
            <v>0</v>
          </cell>
          <cell r="I7">
            <v>0</v>
          </cell>
          <cell r="J7">
            <v>0</v>
          </cell>
          <cell r="K7">
            <v>10000</v>
          </cell>
          <cell r="L7">
            <v>10000</v>
          </cell>
          <cell r="M7">
            <v>8000</v>
          </cell>
          <cell r="N7">
            <v>8000</v>
          </cell>
          <cell r="O7">
            <v>8000</v>
          </cell>
          <cell r="P7">
            <v>9000</v>
          </cell>
          <cell r="Q7">
            <v>8000</v>
          </cell>
          <cell r="R7">
            <v>8000</v>
          </cell>
        </row>
        <row r="8">
          <cell r="G8">
            <v>17034.792799999999</v>
          </cell>
          <cell r="H8">
            <v>4496.666666666667</v>
          </cell>
          <cell r="I8">
            <v>0.1</v>
          </cell>
          <cell r="J8">
            <v>0.1</v>
          </cell>
          <cell r="K8">
            <v>21160.626400000001</v>
          </cell>
          <cell r="L8">
            <v>20629.167999999998</v>
          </cell>
          <cell r="M8">
            <v>19160.626400000001</v>
          </cell>
          <cell r="N8">
            <v>17034.792799999999</v>
          </cell>
          <cell r="O8">
            <v>19160.626400000001</v>
          </cell>
          <cell r="P8">
            <v>19097.709600000002</v>
          </cell>
          <cell r="Q8">
            <v>19160.626400000001</v>
          </cell>
          <cell r="R8">
            <v>19692.084799999997</v>
          </cell>
        </row>
        <row r="9">
          <cell r="G9">
            <v>6691.5025666666661</v>
          </cell>
          <cell r="H9">
            <v>7463.6801333333333</v>
          </cell>
          <cell r="I9">
            <v>0</v>
          </cell>
          <cell r="J9">
            <v>0</v>
          </cell>
          <cell r="K9">
            <v>8243.1753333333345</v>
          </cell>
          <cell r="L9">
            <v>7856.5013333333336</v>
          </cell>
          <cell r="M9">
            <v>8242.5813333333335</v>
          </cell>
          <cell r="N9">
            <v>6692.0433333333331</v>
          </cell>
          <cell r="O9">
            <v>8243.3019999999997</v>
          </cell>
          <cell r="P9">
            <v>7463.8453333333327</v>
          </cell>
          <cell r="Q9">
            <v>8257.4467999999997</v>
          </cell>
          <cell r="R9">
            <v>8643.5467999999983</v>
          </cell>
        </row>
        <row r="10">
          <cell r="G10">
            <v>7000</v>
          </cell>
          <cell r="H10">
            <v>0</v>
          </cell>
          <cell r="I10">
            <v>0</v>
          </cell>
          <cell r="J10">
            <v>0</v>
          </cell>
          <cell r="K10">
            <v>8000</v>
          </cell>
          <cell r="L10">
            <v>8000</v>
          </cell>
          <cell r="M10">
            <v>8000</v>
          </cell>
          <cell r="N10">
            <v>7000</v>
          </cell>
          <cell r="O10">
            <v>7000</v>
          </cell>
          <cell r="P10">
            <v>9000</v>
          </cell>
          <cell r="Q10">
            <v>8000</v>
          </cell>
          <cell r="R10">
            <v>7574</v>
          </cell>
        </row>
        <row r="11">
          <cell r="G11">
            <v>13691.502566666666</v>
          </cell>
          <cell r="H11">
            <v>7463.6801333333333</v>
          </cell>
          <cell r="I11">
            <v>0</v>
          </cell>
          <cell r="J11">
            <v>0</v>
          </cell>
          <cell r="K11">
            <v>16243.175333333334</v>
          </cell>
          <cell r="L11">
            <v>15856.501333333334</v>
          </cell>
          <cell r="M11">
            <v>16242.581333333334</v>
          </cell>
          <cell r="N11">
            <v>13692.043333333333</v>
          </cell>
          <cell r="O11">
            <v>15243.302</v>
          </cell>
          <cell r="P11">
            <v>16463.845333333331</v>
          </cell>
          <cell r="Q11">
            <v>16257.4468</v>
          </cell>
          <cell r="R11">
            <v>16217.546799999998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G13">
            <v>4000</v>
          </cell>
          <cell r="H13">
            <v>0</v>
          </cell>
          <cell r="I13">
            <v>0</v>
          </cell>
          <cell r="J13">
            <v>0</v>
          </cell>
          <cell r="K13">
            <v>4000</v>
          </cell>
          <cell r="L13">
            <v>4000</v>
          </cell>
          <cell r="M13">
            <v>4000</v>
          </cell>
          <cell r="N13">
            <v>4000</v>
          </cell>
          <cell r="O13">
            <v>4000</v>
          </cell>
          <cell r="P13">
            <v>4000</v>
          </cell>
          <cell r="Q13">
            <v>4000</v>
          </cell>
          <cell r="R13">
            <v>4000</v>
          </cell>
        </row>
        <row r="14">
          <cell r="G14">
            <v>4000</v>
          </cell>
          <cell r="H14">
            <v>0</v>
          </cell>
          <cell r="I14">
            <v>0</v>
          </cell>
          <cell r="J14">
            <v>0</v>
          </cell>
          <cell r="K14">
            <v>4000</v>
          </cell>
          <cell r="L14">
            <v>4000</v>
          </cell>
          <cell r="M14">
            <v>4000</v>
          </cell>
          <cell r="N14">
            <v>4000</v>
          </cell>
          <cell r="O14">
            <v>4000</v>
          </cell>
          <cell r="P14">
            <v>4000</v>
          </cell>
          <cell r="Q14">
            <v>4000</v>
          </cell>
          <cell r="R14">
            <v>4000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15726.295366666665</v>
          </cell>
          <cell r="H24">
            <v>11960.346799999999</v>
          </cell>
          <cell r="I24">
            <v>0.1</v>
          </cell>
          <cell r="J24">
            <v>0.1</v>
          </cell>
          <cell r="K24">
            <v>19403.801733333334</v>
          </cell>
          <cell r="L24">
            <v>18485.669333333331</v>
          </cell>
          <cell r="M24">
            <v>19403.207733333333</v>
          </cell>
          <cell r="N24">
            <v>15726.836133333332</v>
          </cell>
          <cell r="O24">
            <v>19403.928399999997</v>
          </cell>
          <cell r="P24">
            <v>17561.554933333333</v>
          </cell>
          <cell r="Q24">
            <v>19418.073199999999</v>
          </cell>
          <cell r="R24">
            <v>20335.631599999997</v>
          </cell>
        </row>
        <row r="25">
          <cell r="G25">
            <v>19000</v>
          </cell>
          <cell r="H25">
            <v>0</v>
          </cell>
          <cell r="I25">
            <v>0</v>
          </cell>
          <cell r="J25">
            <v>0</v>
          </cell>
          <cell r="K25">
            <v>22000</v>
          </cell>
          <cell r="L25">
            <v>22000</v>
          </cell>
          <cell r="M25">
            <v>20000</v>
          </cell>
          <cell r="N25">
            <v>19000</v>
          </cell>
          <cell r="O25">
            <v>19000</v>
          </cell>
          <cell r="P25">
            <v>22000</v>
          </cell>
          <cell r="Q25">
            <v>20000</v>
          </cell>
          <cell r="R25">
            <v>19574</v>
          </cell>
        </row>
        <row r="26">
          <cell r="G26">
            <v>34726.295366666665</v>
          </cell>
          <cell r="H26">
            <v>11960.346799999999</v>
          </cell>
          <cell r="I26">
            <v>0.1</v>
          </cell>
          <cell r="J26">
            <v>0.1</v>
          </cell>
          <cell r="K26">
            <v>41403.801733333334</v>
          </cell>
          <cell r="L26">
            <v>40485.669333333331</v>
          </cell>
          <cell r="M26">
            <v>39403.207733333329</v>
          </cell>
          <cell r="N26">
            <v>34726.836133333331</v>
          </cell>
          <cell r="O26">
            <v>38403.928399999997</v>
          </cell>
          <cell r="P26">
            <v>39561.554933333333</v>
          </cell>
          <cell r="Q26">
            <v>39418.073199999999</v>
          </cell>
          <cell r="R26">
            <v>39909.631599999993</v>
          </cell>
        </row>
        <row r="27">
          <cell r="G27">
            <v>17500.000000000004</v>
          </cell>
          <cell r="H27">
            <v>17500</v>
          </cell>
          <cell r="I27">
            <v>0</v>
          </cell>
          <cell r="J27">
            <v>0</v>
          </cell>
          <cell r="K27">
            <v>17500</v>
          </cell>
          <cell r="L27">
            <v>17500</v>
          </cell>
          <cell r="M27">
            <v>17500</v>
          </cell>
          <cell r="N27">
            <v>17500.000000000004</v>
          </cell>
          <cell r="O27">
            <v>17500</v>
          </cell>
          <cell r="P27">
            <v>17500</v>
          </cell>
          <cell r="Q27">
            <v>17500</v>
          </cell>
          <cell r="R27">
            <v>17500</v>
          </cell>
        </row>
        <row r="28">
          <cell r="G28">
            <v>13000</v>
          </cell>
          <cell r="H28">
            <v>0</v>
          </cell>
          <cell r="I28">
            <v>0</v>
          </cell>
          <cell r="J28">
            <v>0</v>
          </cell>
          <cell r="K28">
            <v>13000</v>
          </cell>
          <cell r="L28">
            <v>13000</v>
          </cell>
          <cell r="M28">
            <v>13000</v>
          </cell>
          <cell r="N28">
            <v>13000</v>
          </cell>
          <cell r="O28">
            <v>13000</v>
          </cell>
          <cell r="P28">
            <v>13000</v>
          </cell>
          <cell r="Q28">
            <v>13000</v>
          </cell>
          <cell r="R28">
            <v>13000</v>
          </cell>
        </row>
        <row r="29">
          <cell r="G29">
            <v>15386.6781402824</v>
          </cell>
          <cell r="H29">
            <v>17500</v>
          </cell>
          <cell r="I29">
            <v>0</v>
          </cell>
          <cell r="J29">
            <v>0</v>
          </cell>
          <cell r="K29">
            <v>15373.4088892567</v>
          </cell>
          <cell r="L29">
            <v>15318.622641494801</v>
          </cell>
          <cell r="M29">
            <v>15621.147020537908</v>
          </cell>
          <cell r="N29">
            <v>15386.6781402824</v>
          </cell>
          <cell r="O29">
            <v>15621.147020537908</v>
          </cell>
          <cell r="P29">
            <v>15379.326848702316</v>
          </cell>
          <cell r="Q29">
            <v>15621.147020537908</v>
          </cell>
          <cell r="R29">
            <v>15671.854307675945</v>
          </cell>
        </row>
        <row r="30">
          <cell r="G30">
            <v>23395.342091004299</v>
          </cell>
          <cell r="H30">
            <v>23406.21793527736</v>
          </cell>
          <cell r="I30">
            <v>0</v>
          </cell>
          <cell r="J30">
            <v>0</v>
          </cell>
          <cell r="K30">
            <v>23409.875223649655</v>
          </cell>
          <cell r="L30">
            <v>23405.841378757905</v>
          </cell>
          <cell r="M30">
            <v>23410.265085241903</v>
          </cell>
          <cell r="N30">
            <v>23394.518266219638</v>
          </cell>
          <cell r="O30">
            <v>23409.792095449131</v>
          </cell>
          <cell r="P30">
            <v>23405.718928795239</v>
          </cell>
          <cell r="Q30">
            <v>23400.868147282523</v>
          </cell>
          <cell r="R30">
            <v>23405.296284159642</v>
          </cell>
        </row>
        <row r="31">
          <cell r="G31">
            <v>18000</v>
          </cell>
          <cell r="H31">
            <v>0</v>
          </cell>
          <cell r="I31">
            <v>0</v>
          </cell>
          <cell r="J31">
            <v>0</v>
          </cell>
          <cell r="K31">
            <v>18000</v>
          </cell>
          <cell r="L31">
            <v>18000</v>
          </cell>
          <cell r="M31">
            <v>18000</v>
          </cell>
          <cell r="N31">
            <v>18000</v>
          </cell>
          <cell r="O31">
            <v>18000</v>
          </cell>
          <cell r="P31">
            <v>18000</v>
          </cell>
          <cell r="Q31">
            <v>18000</v>
          </cell>
          <cell r="R31">
            <v>18000</v>
          </cell>
        </row>
        <row r="32">
          <cell r="G32">
            <v>20636.887023480991</v>
          </cell>
          <cell r="H32">
            <v>23406.21793527736</v>
          </cell>
          <cell r="I32">
            <v>0</v>
          </cell>
          <cell r="J32">
            <v>0</v>
          </cell>
          <cell r="K32">
            <v>20745.433025554157</v>
          </cell>
          <cell r="L32">
            <v>20678.459712340071</v>
          </cell>
          <cell r="M32">
            <v>20745.533427527444</v>
          </cell>
          <cell r="N32">
            <v>20636.593320743705</v>
          </cell>
          <cell r="O32">
            <v>20925.517712632081</v>
          </cell>
          <cell r="P32">
            <v>20450.669888055316</v>
          </cell>
          <cell r="Q32">
            <v>20743.197129822376</v>
          </cell>
          <cell r="R32">
            <v>20880.887718480331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9000</v>
          </cell>
          <cell r="H34">
            <v>0</v>
          </cell>
          <cell r="I34">
            <v>0</v>
          </cell>
          <cell r="J34">
            <v>0</v>
          </cell>
          <cell r="K34">
            <v>9000</v>
          </cell>
          <cell r="L34">
            <v>9000</v>
          </cell>
          <cell r="M34">
            <v>9000</v>
          </cell>
          <cell r="N34">
            <v>9000</v>
          </cell>
          <cell r="O34">
            <v>9000</v>
          </cell>
          <cell r="P34">
            <v>9000</v>
          </cell>
          <cell r="Q34">
            <v>9000</v>
          </cell>
          <cell r="R34">
            <v>9000</v>
          </cell>
        </row>
        <row r="35">
          <cell r="G35">
            <v>9000</v>
          </cell>
          <cell r="H35">
            <v>0</v>
          </cell>
          <cell r="I35">
            <v>0</v>
          </cell>
          <cell r="J35">
            <v>0</v>
          </cell>
          <cell r="K35">
            <v>9000</v>
          </cell>
          <cell r="L35">
            <v>9000</v>
          </cell>
          <cell r="M35">
            <v>9000</v>
          </cell>
          <cell r="N35">
            <v>9000</v>
          </cell>
          <cell r="O35">
            <v>9000</v>
          </cell>
          <cell r="P35">
            <v>9000</v>
          </cell>
          <cell r="Q35">
            <v>9000</v>
          </cell>
          <cell r="R35">
            <v>9000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20008.454522413998</v>
          </cell>
          <cell r="H45">
            <v>21185.689236591923</v>
          </cell>
          <cell r="I45">
            <v>0</v>
          </cell>
          <cell r="J45">
            <v>0</v>
          </cell>
          <cell r="K45">
            <v>20010.649115888376</v>
          </cell>
          <cell r="L45">
            <v>20010.011935732273</v>
          </cell>
          <cell r="M45">
            <v>20010.710668884731</v>
          </cell>
          <cell r="N45">
            <v>20008.220428586992</v>
          </cell>
          <cell r="O45">
            <v>20010.635990596627</v>
          </cell>
          <cell r="P45">
            <v>20009.992585166834</v>
          </cell>
          <cell r="Q45">
            <v>20009.317186012053</v>
          </cell>
          <cell r="R45">
            <v>20010.013251813627</v>
          </cell>
        </row>
        <row r="46">
          <cell r="G46">
            <v>14000</v>
          </cell>
          <cell r="H46">
            <v>0</v>
          </cell>
          <cell r="I46">
            <v>0</v>
          </cell>
          <cell r="J46">
            <v>0</v>
          </cell>
          <cell r="K46">
            <v>14090.909090909092</v>
          </cell>
          <cell r="L46">
            <v>14090.909090909092</v>
          </cell>
          <cell r="M46">
            <v>14200</v>
          </cell>
          <cell r="N46">
            <v>14000</v>
          </cell>
          <cell r="O46">
            <v>14000</v>
          </cell>
          <cell r="P46">
            <v>14318.181818181818</v>
          </cell>
          <cell r="Q46">
            <v>14200</v>
          </cell>
          <cell r="R46">
            <v>14117.298457137018</v>
          </cell>
        </row>
        <row r="47">
          <cell r="G47">
            <v>16721.013846106001</v>
          </cell>
          <cell r="H47">
            <v>21185.689236591923</v>
          </cell>
          <cell r="I47">
            <v>0</v>
          </cell>
          <cell r="J47">
            <v>0</v>
          </cell>
          <cell r="K47">
            <v>16865.182393089937</v>
          </cell>
          <cell r="L47">
            <v>16793.558688684316</v>
          </cell>
          <cell r="M47">
            <v>17061.351465334847</v>
          </cell>
          <cell r="N47">
            <v>16720.959023463551</v>
          </cell>
          <cell r="O47">
            <v>17036.927607645473</v>
          </cell>
          <cell r="P47">
            <v>16844.802615139542</v>
          </cell>
          <cell r="Q47">
            <v>17061.777281391827</v>
          </cell>
          <cell r="R47">
            <v>17119.883857810404</v>
          </cell>
        </row>
        <row r="48">
          <cell r="G48">
            <v>158108.87400000001</v>
          </cell>
          <cell r="H48">
            <v>78691.666666666672</v>
          </cell>
          <cell r="I48">
            <v>0</v>
          </cell>
          <cell r="J48">
            <v>0</v>
          </cell>
          <cell r="K48">
            <v>195310.962</v>
          </cell>
          <cell r="L48">
            <v>186010.44</v>
          </cell>
          <cell r="M48">
            <v>195310.962</v>
          </cell>
          <cell r="N48">
            <v>158108.87400000001</v>
          </cell>
          <cell r="O48">
            <v>195310.962</v>
          </cell>
          <cell r="P48">
            <v>176709.91800000001</v>
          </cell>
          <cell r="Q48">
            <v>195310.962</v>
          </cell>
          <cell r="R48">
            <v>204611.48399999997</v>
          </cell>
        </row>
        <row r="49">
          <cell r="G49">
            <v>104000</v>
          </cell>
          <cell r="H49">
            <v>0</v>
          </cell>
          <cell r="I49">
            <v>0</v>
          </cell>
          <cell r="J49">
            <v>0</v>
          </cell>
          <cell r="K49">
            <v>130000</v>
          </cell>
          <cell r="L49">
            <v>130000</v>
          </cell>
          <cell r="M49">
            <v>104000</v>
          </cell>
          <cell r="N49">
            <v>104000</v>
          </cell>
          <cell r="O49">
            <v>104000</v>
          </cell>
          <cell r="P49">
            <v>117000</v>
          </cell>
          <cell r="Q49">
            <v>104000</v>
          </cell>
          <cell r="R49">
            <v>104000</v>
          </cell>
        </row>
        <row r="50">
          <cell r="G50">
            <v>262108.87400000001</v>
          </cell>
          <cell r="H50">
            <v>78691.666666666672</v>
          </cell>
          <cell r="I50">
            <v>0</v>
          </cell>
          <cell r="J50">
            <v>0</v>
          </cell>
          <cell r="K50">
            <v>325310.962</v>
          </cell>
          <cell r="L50">
            <v>316010.44</v>
          </cell>
          <cell r="M50">
            <v>299310.962</v>
          </cell>
          <cell r="N50">
            <v>262108.87400000001</v>
          </cell>
          <cell r="O50">
            <v>299310.962</v>
          </cell>
          <cell r="P50">
            <v>293709.91800000001</v>
          </cell>
          <cell r="Q50">
            <v>299310.962</v>
          </cell>
          <cell r="R50">
            <v>308611.48399999994</v>
          </cell>
        </row>
        <row r="51">
          <cell r="G51">
            <v>156549.99164999995</v>
          </cell>
          <cell r="H51">
            <v>174696.5238</v>
          </cell>
          <cell r="I51">
            <v>0</v>
          </cell>
          <cell r="J51">
            <v>0</v>
          </cell>
          <cell r="K51">
            <v>192971.70600000001</v>
          </cell>
          <cell r="L51">
            <v>183888.024</v>
          </cell>
          <cell r="M51">
            <v>192961.014</v>
          </cell>
          <cell r="N51">
            <v>156557.13</v>
          </cell>
          <cell r="O51">
            <v>192973.986</v>
          </cell>
          <cell r="P51">
            <v>174696.666</v>
          </cell>
          <cell r="Q51">
            <v>193231.42379999999</v>
          </cell>
          <cell r="R51">
            <v>202304.77379999994</v>
          </cell>
        </row>
        <row r="52">
          <cell r="G52">
            <v>126000</v>
          </cell>
          <cell r="H52">
            <v>0</v>
          </cell>
          <cell r="I52">
            <v>0</v>
          </cell>
          <cell r="J52">
            <v>0</v>
          </cell>
          <cell r="K52">
            <v>144000</v>
          </cell>
          <cell r="L52">
            <v>144000</v>
          </cell>
          <cell r="M52">
            <v>144000</v>
          </cell>
          <cell r="N52">
            <v>126000</v>
          </cell>
          <cell r="O52">
            <v>126000</v>
          </cell>
          <cell r="P52">
            <v>162000</v>
          </cell>
          <cell r="Q52">
            <v>144000</v>
          </cell>
          <cell r="R52">
            <v>136332</v>
          </cell>
        </row>
        <row r="53">
          <cell r="G53">
            <v>282549.99164999998</v>
          </cell>
          <cell r="H53">
            <v>174696.5238</v>
          </cell>
          <cell r="I53">
            <v>0</v>
          </cell>
          <cell r="J53">
            <v>0</v>
          </cell>
          <cell r="K53">
            <v>336971.70600000001</v>
          </cell>
          <cell r="L53">
            <v>327888.02399999998</v>
          </cell>
          <cell r="M53">
            <v>336961.01399999997</v>
          </cell>
          <cell r="N53">
            <v>282557.13</v>
          </cell>
          <cell r="O53">
            <v>318973.98600000003</v>
          </cell>
          <cell r="P53">
            <v>336696.66599999997</v>
          </cell>
          <cell r="Q53">
            <v>337231.42379999999</v>
          </cell>
          <cell r="R53">
            <v>338636.77379999997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G55">
            <v>36000</v>
          </cell>
          <cell r="H55">
            <v>0</v>
          </cell>
          <cell r="I55">
            <v>0</v>
          </cell>
          <cell r="J55">
            <v>0</v>
          </cell>
          <cell r="K55">
            <v>36000</v>
          </cell>
          <cell r="L55">
            <v>36000</v>
          </cell>
          <cell r="M55">
            <v>36000</v>
          </cell>
          <cell r="N55">
            <v>36000</v>
          </cell>
          <cell r="O55">
            <v>36000</v>
          </cell>
          <cell r="P55">
            <v>36000</v>
          </cell>
          <cell r="Q55">
            <v>36000</v>
          </cell>
          <cell r="R55">
            <v>36000</v>
          </cell>
        </row>
        <row r="56">
          <cell r="G56">
            <v>36000</v>
          </cell>
          <cell r="H56">
            <v>0</v>
          </cell>
          <cell r="I56">
            <v>0</v>
          </cell>
          <cell r="J56">
            <v>0</v>
          </cell>
          <cell r="K56">
            <v>36000</v>
          </cell>
          <cell r="L56">
            <v>36000</v>
          </cell>
          <cell r="M56">
            <v>36000</v>
          </cell>
          <cell r="N56">
            <v>36000</v>
          </cell>
          <cell r="O56">
            <v>36000</v>
          </cell>
          <cell r="P56">
            <v>36000</v>
          </cell>
          <cell r="Q56">
            <v>36000</v>
          </cell>
          <cell r="R56">
            <v>36000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G66">
            <v>314658.86564999993</v>
          </cell>
          <cell r="H66">
            <v>253388.19046666665</v>
          </cell>
          <cell r="I66">
            <v>0</v>
          </cell>
          <cell r="J66">
            <v>0</v>
          </cell>
          <cell r="K66">
            <v>388282.66800000001</v>
          </cell>
          <cell r="L66">
            <v>369898.46400000004</v>
          </cell>
          <cell r="M66">
            <v>388271.97600000002</v>
          </cell>
          <cell r="N66">
            <v>314666.00400000002</v>
          </cell>
          <cell r="O66">
            <v>388284.94799999997</v>
          </cell>
          <cell r="P66">
            <v>351406.58400000003</v>
          </cell>
          <cell r="Q66">
            <v>388542.38579999999</v>
          </cell>
          <cell r="R66">
            <v>406916.2577999999</v>
          </cell>
        </row>
        <row r="67">
          <cell r="G67">
            <v>266000</v>
          </cell>
          <cell r="H67">
            <v>0</v>
          </cell>
          <cell r="I67">
            <v>0</v>
          </cell>
          <cell r="J67">
            <v>0</v>
          </cell>
          <cell r="K67">
            <v>310000</v>
          </cell>
          <cell r="L67">
            <v>310000</v>
          </cell>
          <cell r="M67">
            <v>284000</v>
          </cell>
          <cell r="N67">
            <v>266000</v>
          </cell>
          <cell r="O67">
            <v>266000</v>
          </cell>
          <cell r="P67">
            <v>315000</v>
          </cell>
          <cell r="Q67">
            <v>284000</v>
          </cell>
          <cell r="R67">
            <v>276332</v>
          </cell>
        </row>
        <row r="68">
          <cell r="G68">
            <v>580658.86564999993</v>
          </cell>
          <cell r="H68">
            <v>253388.19046666665</v>
          </cell>
          <cell r="I68">
            <v>0</v>
          </cell>
          <cell r="J68">
            <v>0</v>
          </cell>
          <cell r="K68">
            <v>698282.66800000006</v>
          </cell>
          <cell r="L68">
            <v>679898.46400000004</v>
          </cell>
          <cell r="M68">
            <v>672271.97600000002</v>
          </cell>
          <cell r="N68">
            <v>580666.00399999996</v>
          </cell>
          <cell r="O68">
            <v>654284.94799999997</v>
          </cell>
          <cell r="P68">
            <v>666406.58400000003</v>
          </cell>
          <cell r="Q68">
            <v>672542.38580000005</v>
          </cell>
          <cell r="R68">
            <v>683248.2577999999</v>
          </cell>
        </row>
        <row r="69">
          <cell r="G69">
            <v>146083.08682380492</v>
          </cell>
          <cell r="H69">
            <v>103896.65511259204</v>
          </cell>
          <cell r="I69">
            <v>223482.83166666667</v>
          </cell>
          <cell r="J69">
            <v>196960.16500000001</v>
          </cell>
          <cell r="K69">
            <v>159323.50326119742</v>
          </cell>
          <cell r="L69">
            <v>161301.74856907059</v>
          </cell>
          <cell r="M69">
            <v>165430.73641040028</v>
          </cell>
          <cell r="N69">
            <v>145842.32633079932</v>
          </cell>
          <cell r="O69">
            <v>173045.30766848318</v>
          </cell>
          <cell r="P69">
            <v>146191.84802834791</v>
          </cell>
          <cell r="Q69">
            <v>161818.4793860018</v>
          </cell>
          <cell r="R69">
            <v>178676.36713612609</v>
          </cell>
        </row>
        <row r="70">
          <cell r="G70">
            <v>129351.5767833037</v>
          </cell>
          <cell r="H70">
            <v>0</v>
          </cell>
          <cell r="I70">
            <v>0</v>
          </cell>
          <cell r="J70">
            <v>0</v>
          </cell>
          <cell r="K70">
            <v>142754.98305471227</v>
          </cell>
          <cell r="L70">
            <v>151753.88004881531</v>
          </cell>
          <cell r="M70">
            <v>118581.68563757338</v>
          </cell>
          <cell r="N70">
            <v>129138.3916016751</v>
          </cell>
          <cell r="O70">
            <v>124039.85329603592</v>
          </cell>
          <cell r="P70">
            <v>130299.51190665369</v>
          </cell>
          <cell r="Q70">
            <v>115992.39941299481</v>
          </cell>
          <cell r="R70">
            <v>122254.58175679747</v>
          </cell>
        </row>
        <row r="71">
          <cell r="G71">
            <v>275434.66360710864</v>
          </cell>
          <cell r="H71">
            <v>103896.65511259204</v>
          </cell>
          <cell r="I71">
            <v>223482.83166666667</v>
          </cell>
          <cell r="J71">
            <v>196960.16500000001</v>
          </cell>
          <cell r="K71">
            <v>302078.48631590966</v>
          </cell>
          <cell r="L71">
            <v>313055.62861788587</v>
          </cell>
          <cell r="M71">
            <v>284012.42204797367</v>
          </cell>
          <cell r="N71">
            <v>274980.71793247445</v>
          </cell>
          <cell r="O71">
            <v>297085.16096451908</v>
          </cell>
          <cell r="P71">
            <v>276491.35993500159</v>
          </cell>
          <cell r="Q71">
            <v>277810.87879899662</v>
          </cell>
          <cell r="R71">
            <v>300930.94889292354</v>
          </cell>
        </row>
        <row r="72">
          <cell r="G72">
            <v>108194.55100598212</v>
          </cell>
          <cell r="H72">
            <v>172450.27442927464</v>
          </cell>
          <cell r="I72">
            <v>0</v>
          </cell>
          <cell r="J72">
            <v>0</v>
          </cell>
          <cell r="K72">
            <v>117675.43550270224</v>
          </cell>
          <cell r="L72">
            <v>119225.45609420241</v>
          </cell>
          <cell r="M72">
            <v>122177.39856393298</v>
          </cell>
          <cell r="N72">
            <v>108024.96407442239</v>
          </cell>
          <cell r="O72">
            <v>127812.24634436493</v>
          </cell>
          <cell r="P72">
            <v>108059.48932000979</v>
          </cell>
          <cell r="Q72">
            <v>119725.13341964448</v>
          </cell>
          <cell r="R72">
            <v>132089.14986616312</v>
          </cell>
        </row>
        <row r="73">
          <cell r="G73">
            <v>113182.62968539074</v>
          </cell>
          <cell r="H73">
            <v>0</v>
          </cell>
          <cell r="I73">
            <v>0</v>
          </cell>
          <cell r="J73">
            <v>0</v>
          </cell>
          <cell r="K73">
            <v>114203.98644376981</v>
          </cell>
          <cell r="L73">
            <v>121403.10403905224</v>
          </cell>
          <cell r="M73">
            <v>118581.68563757338</v>
          </cell>
          <cell r="N73">
            <v>112996.09265146572</v>
          </cell>
          <cell r="O73">
            <v>108534.87163403143</v>
          </cell>
          <cell r="P73">
            <v>130299.51190665369</v>
          </cell>
          <cell r="Q73">
            <v>115992.39941299481</v>
          </cell>
          <cell r="R73">
            <v>115744.52527824801</v>
          </cell>
        </row>
        <row r="74">
          <cell r="G74">
            <v>221377.18069137287</v>
          </cell>
          <cell r="H74">
            <v>172450.27442927464</v>
          </cell>
          <cell r="I74">
            <v>0</v>
          </cell>
          <cell r="J74">
            <v>0</v>
          </cell>
          <cell r="K74">
            <v>231879.42194647205</v>
          </cell>
          <cell r="L74">
            <v>240628.56013325465</v>
          </cell>
          <cell r="M74">
            <v>240759.08420150634</v>
          </cell>
          <cell r="N74">
            <v>221021.05672588811</v>
          </cell>
          <cell r="O74">
            <v>236347.11797839636</v>
          </cell>
          <cell r="P74">
            <v>238359.00122666347</v>
          </cell>
          <cell r="Q74">
            <v>235717.53283263929</v>
          </cell>
          <cell r="R74">
            <v>247833.67514441113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64675.788391651848</v>
          </cell>
          <cell r="H76">
            <v>0</v>
          </cell>
          <cell r="I76">
            <v>0</v>
          </cell>
          <cell r="J76">
            <v>0</v>
          </cell>
          <cell r="K76">
            <v>57101.993221884906</v>
          </cell>
          <cell r="L76">
            <v>60701.55201952612</v>
          </cell>
          <cell r="M76">
            <v>59290.842818786688</v>
          </cell>
          <cell r="N76">
            <v>64569.195800837551</v>
          </cell>
          <cell r="O76">
            <v>62019.926648017958</v>
          </cell>
          <cell r="P76">
            <v>57910.894180734969</v>
          </cell>
          <cell r="Q76">
            <v>57996.199706497406</v>
          </cell>
          <cell r="R76">
            <v>61127.290878398737</v>
          </cell>
        </row>
        <row r="77">
          <cell r="G77">
            <v>64675.788391651848</v>
          </cell>
          <cell r="H77">
            <v>0</v>
          </cell>
          <cell r="I77">
            <v>0</v>
          </cell>
          <cell r="J77">
            <v>0</v>
          </cell>
          <cell r="K77">
            <v>57101.993221884906</v>
          </cell>
          <cell r="L77">
            <v>60701.55201952612</v>
          </cell>
          <cell r="M77">
            <v>59290.842818786688</v>
          </cell>
          <cell r="N77">
            <v>64569.195800837551</v>
          </cell>
          <cell r="O77">
            <v>62019.926648017958</v>
          </cell>
          <cell r="P77">
            <v>57910.894180734969</v>
          </cell>
          <cell r="Q77">
            <v>57996.199706497406</v>
          </cell>
          <cell r="R77">
            <v>61127.290878398737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G87">
            <v>254277.63782978704</v>
          </cell>
          <cell r="H87">
            <v>276346.92954186664</v>
          </cell>
          <cell r="I87">
            <v>223482.83166666667</v>
          </cell>
          <cell r="J87">
            <v>196960.16500000001</v>
          </cell>
          <cell r="K87">
            <v>276998.93876389967</v>
          </cell>
          <cell r="L87">
            <v>280527.20466327301</v>
          </cell>
          <cell r="M87">
            <v>287608.13497433322</v>
          </cell>
          <cell r="N87">
            <v>253867.29040522169</v>
          </cell>
          <cell r="O87">
            <v>300857.55401284812</v>
          </cell>
          <cell r="P87">
            <v>254251.33734835772</v>
          </cell>
          <cell r="Q87">
            <v>281543.61280564626</v>
          </cell>
          <cell r="R87">
            <v>310765.51700228918</v>
          </cell>
        </row>
        <row r="88">
          <cell r="G88">
            <v>307209.99486034631</v>
          </cell>
          <cell r="H88">
            <v>0</v>
          </cell>
          <cell r="I88">
            <v>0</v>
          </cell>
          <cell r="J88">
            <v>0</v>
          </cell>
          <cell r="K88">
            <v>314060.96272036695</v>
          </cell>
          <cell r="L88">
            <v>333858.53610739368</v>
          </cell>
          <cell r="M88">
            <v>296454.21409393346</v>
          </cell>
          <cell r="N88">
            <v>306703.68005397834</v>
          </cell>
          <cell r="O88">
            <v>294594.65157808532</v>
          </cell>
          <cell r="P88">
            <v>318509.91799404233</v>
          </cell>
          <cell r="Q88">
            <v>289980.99853248702</v>
          </cell>
          <cell r="R88">
            <v>299126.39791344421</v>
          </cell>
        </row>
        <row r="89">
          <cell r="G89">
            <v>561487.63269013329</v>
          </cell>
          <cell r="H89">
            <v>276346.92954186664</v>
          </cell>
          <cell r="I89">
            <v>223482.83166666667</v>
          </cell>
          <cell r="J89">
            <v>196960.16500000001</v>
          </cell>
          <cell r="K89">
            <v>591059.90148426662</v>
          </cell>
          <cell r="L89">
            <v>614385.74077066663</v>
          </cell>
          <cell r="M89">
            <v>584062.34906826669</v>
          </cell>
          <cell r="N89">
            <v>560570.97045919998</v>
          </cell>
          <cell r="O89">
            <v>595452.20559093344</v>
          </cell>
          <cell r="P89">
            <v>572761.25534240005</v>
          </cell>
          <cell r="Q89">
            <v>571524.61133813323</v>
          </cell>
          <cell r="R89">
            <v>609891.91491573339</v>
          </cell>
        </row>
        <row r="90">
          <cell r="G90">
            <v>16168.947097912962</v>
          </cell>
          <cell r="H90">
            <v>23105.260588419282</v>
          </cell>
          <cell r="I90">
            <v>2234828316.6666665</v>
          </cell>
          <cell r="J90">
            <v>1969601650</v>
          </cell>
          <cell r="K90">
            <v>14275.498305471227</v>
          </cell>
          <cell r="L90">
            <v>15175.38800488153</v>
          </cell>
          <cell r="M90">
            <v>14822.710704696672</v>
          </cell>
          <cell r="N90">
            <v>16142.298950209388</v>
          </cell>
          <cell r="O90">
            <v>15504.981662004489</v>
          </cell>
          <cell r="P90">
            <v>14477.723545183742</v>
          </cell>
          <cell r="Q90">
            <v>14499.049926624351</v>
          </cell>
          <cell r="R90">
            <v>15281.822719599684</v>
          </cell>
        </row>
        <row r="91">
          <cell r="G91">
            <v>12025.787176195096</v>
          </cell>
          <cell r="H91">
            <v>-25204.988445925366</v>
          </cell>
          <cell r="I91">
            <v>-223482.83166666667</v>
          </cell>
          <cell r="J91">
            <v>-196960.16500000001</v>
          </cell>
          <cell r="K91">
            <v>35987.458738802583</v>
          </cell>
          <cell r="L91">
            <v>24708.691430929408</v>
          </cell>
          <cell r="M91">
            <v>29880.225589599722</v>
          </cell>
          <cell r="N91">
            <v>12266.547669200692</v>
          </cell>
          <cell r="O91">
            <v>22265.654331516824</v>
          </cell>
          <cell r="P91">
            <v>30518.06997165209</v>
          </cell>
          <cell r="Q91">
            <v>33492.482613998203</v>
          </cell>
          <cell r="R91">
            <v>25935.116863873875</v>
          </cell>
        </row>
        <row r="92">
          <cell r="G92">
            <v>-25351.576783303695</v>
          </cell>
          <cell r="H92">
            <v>0</v>
          </cell>
          <cell r="I92">
            <v>0</v>
          </cell>
          <cell r="J92">
            <v>0</v>
          </cell>
          <cell r="K92">
            <v>-12754.983054712269</v>
          </cell>
          <cell r="L92">
            <v>-21753.880048815307</v>
          </cell>
          <cell r="M92">
            <v>-14581.685637573377</v>
          </cell>
          <cell r="N92">
            <v>-25138.391601675103</v>
          </cell>
          <cell r="O92">
            <v>-20039.853296035915</v>
          </cell>
          <cell r="P92">
            <v>-13299.511906653686</v>
          </cell>
          <cell r="Q92">
            <v>-11992.399412994811</v>
          </cell>
          <cell r="R92">
            <v>-18254.581756797474</v>
          </cell>
        </row>
        <row r="93">
          <cell r="G93">
            <v>-13325.7896071086</v>
          </cell>
          <cell r="H93">
            <v>-25204.988445925366</v>
          </cell>
          <cell r="I93">
            <v>-223482.83166666667</v>
          </cell>
          <cell r="J93">
            <v>-196960.16500000001</v>
          </cell>
          <cell r="K93">
            <v>23232.475684090314</v>
          </cell>
          <cell r="L93">
            <v>2954.8113821141014</v>
          </cell>
          <cell r="M93">
            <v>15298.539952026345</v>
          </cell>
          <cell r="N93">
            <v>-12871.84393247441</v>
          </cell>
          <cell r="O93">
            <v>2225.8010354809085</v>
          </cell>
          <cell r="P93">
            <v>17218.558064998404</v>
          </cell>
          <cell r="Q93">
            <v>21500.083201003392</v>
          </cell>
          <cell r="R93">
            <v>7680.5351070764009</v>
          </cell>
        </row>
        <row r="94">
          <cell r="G94">
            <v>48355.440644017828</v>
          </cell>
          <cell r="H94">
            <v>2246.2493707253598</v>
          </cell>
          <cell r="I94">
            <v>0</v>
          </cell>
          <cell r="J94">
            <v>0</v>
          </cell>
          <cell r="K94">
            <v>75296.270497297766</v>
          </cell>
          <cell r="L94">
            <v>64662.567905797594</v>
          </cell>
          <cell r="M94">
            <v>70783.615436067019</v>
          </cell>
          <cell r="N94">
            <v>48532.165925577618</v>
          </cell>
          <cell r="O94">
            <v>65161.739655635072</v>
          </cell>
          <cell r="P94">
            <v>66637.176679990211</v>
          </cell>
          <cell r="Q94">
            <v>73506.290380355509</v>
          </cell>
          <cell r="R94">
            <v>70215.623933836818</v>
          </cell>
        </row>
        <row r="95">
          <cell r="G95">
            <v>12817.370314609259</v>
          </cell>
          <cell r="H95">
            <v>0</v>
          </cell>
          <cell r="I95">
            <v>0</v>
          </cell>
          <cell r="J95">
            <v>0</v>
          </cell>
          <cell r="K95">
            <v>29796.013556230188</v>
          </cell>
          <cell r="L95">
            <v>22596.895960947761</v>
          </cell>
          <cell r="M95">
            <v>25418.314362426623</v>
          </cell>
          <cell r="N95">
            <v>13003.907348534281</v>
          </cell>
          <cell r="O95">
            <v>17465.128365968572</v>
          </cell>
          <cell r="P95">
            <v>31700.488093346314</v>
          </cell>
          <cell r="Q95">
            <v>28007.600587005189</v>
          </cell>
          <cell r="R95">
            <v>20587.474721751991</v>
          </cell>
        </row>
        <row r="96">
          <cell r="G96">
            <v>61172.810958627088</v>
          </cell>
          <cell r="H96">
            <v>2246.2493707253598</v>
          </cell>
          <cell r="I96">
            <v>0</v>
          </cell>
          <cell r="J96">
            <v>0</v>
          </cell>
          <cell r="K96">
            <v>105092.28405352795</v>
          </cell>
          <cell r="L96">
            <v>87259.463866745355</v>
          </cell>
          <cell r="M96">
            <v>96201.929798493642</v>
          </cell>
          <cell r="N96">
            <v>61536.073274111899</v>
          </cell>
          <cell r="O96">
            <v>82626.868021603645</v>
          </cell>
          <cell r="P96">
            <v>98337.664773336524</v>
          </cell>
          <cell r="Q96">
            <v>101513.8909673607</v>
          </cell>
          <cell r="R96">
            <v>90803.098655588808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G98">
            <v>-28675.788391651848</v>
          </cell>
          <cell r="H98">
            <v>0</v>
          </cell>
          <cell r="I98">
            <v>0</v>
          </cell>
          <cell r="J98">
            <v>0</v>
          </cell>
          <cell r="K98">
            <v>-21101.993221884906</v>
          </cell>
          <cell r="L98">
            <v>-24701.55201952612</v>
          </cell>
          <cell r="M98">
            <v>-23290.842818786688</v>
          </cell>
          <cell r="N98">
            <v>-28569.195800837551</v>
          </cell>
          <cell r="O98">
            <v>-26019.926648017958</v>
          </cell>
          <cell r="P98">
            <v>-21910.894180734969</v>
          </cell>
          <cell r="Q98">
            <v>-21996.199706497406</v>
          </cell>
          <cell r="R98">
            <v>-25127.290878398737</v>
          </cell>
        </row>
        <row r="99">
          <cell r="G99">
            <v>-28675.788391651848</v>
          </cell>
          <cell r="H99">
            <v>0</v>
          </cell>
          <cell r="I99">
            <v>0</v>
          </cell>
          <cell r="J99">
            <v>0</v>
          </cell>
          <cell r="K99">
            <v>-21101.993221884906</v>
          </cell>
          <cell r="L99">
            <v>-24701.55201952612</v>
          </cell>
          <cell r="M99">
            <v>-23290.842818786688</v>
          </cell>
          <cell r="N99">
            <v>-28569.195800837551</v>
          </cell>
          <cell r="O99">
            <v>-26019.926648017958</v>
          </cell>
          <cell r="P99">
            <v>-21910.894180734969</v>
          </cell>
          <cell r="Q99">
            <v>-21996.199706497406</v>
          </cell>
          <cell r="R99">
            <v>-25127.290878398737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</row>
        <row r="102"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G109">
            <v>60381.227820212924</v>
          </cell>
          <cell r="H109">
            <v>-22958.739075200006</v>
          </cell>
          <cell r="I109">
            <v>-223482.83166666667</v>
          </cell>
          <cell r="J109">
            <v>-196960.16500000001</v>
          </cell>
          <cell r="K109">
            <v>111283.72923610035</v>
          </cell>
          <cell r="L109">
            <v>89371.259336727002</v>
          </cell>
          <cell r="M109">
            <v>100663.84102566674</v>
          </cell>
          <cell r="N109">
            <v>60798.71359477831</v>
          </cell>
          <cell r="O109">
            <v>87427.393987151896</v>
          </cell>
          <cell r="P109">
            <v>97155.246651642301</v>
          </cell>
          <cell r="Q109">
            <v>106998.77299435371</v>
          </cell>
          <cell r="R109">
            <v>96150.740797710692</v>
          </cell>
        </row>
        <row r="110">
          <cell r="G110">
            <v>-41209.994860346284</v>
          </cell>
          <cell r="H110">
            <v>0</v>
          </cell>
          <cell r="I110">
            <v>0</v>
          </cell>
          <cell r="J110">
            <v>0</v>
          </cell>
          <cell r="K110">
            <v>-4060.9627203669879</v>
          </cell>
          <cell r="L110">
            <v>-23858.536107393666</v>
          </cell>
          <cell r="M110">
            <v>-12454.214093933442</v>
          </cell>
          <cell r="N110">
            <v>-40703.680053978373</v>
          </cell>
          <cell r="O110">
            <v>-28594.651578085301</v>
          </cell>
          <cell r="P110">
            <v>-3509.9179940423419</v>
          </cell>
          <cell r="Q110">
            <v>-5980.9985324870286</v>
          </cell>
          <cell r="R110">
            <v>-22794.39791344422</v>
          </cell>
        </row>
        <row r="111">
          <cell r="G111">
            <v>19171.23295986664</v>
          </cell>
          <cell r="H111">
            <v>-22958.739075200006</v>
          </cell>
          <cell r="I111">
            <v>-223482.83166666667</v>
          </cell>
          <cell r="J111">
            <v>-196960.16500000001</v>
          </cell>
          <cell r="K111">
            <v>107222.76651573335</v>
          </cell>
          <cell r="L111">
            <v>65512.723229333336</v>
          </cell>
          <cell r="M111">
            <v>88209.626931733306</v>
          </cell>
          <cell r="N111">
            <v>20095.033540799937</v>
          </cell>
          <cell r="O111">
            <v>58832.742409066595</v>
          </cell>
          <cell r="P111">
            <v>93645.328657599952</v>
          </cell>
          <cell r="Q111">
            <v>101017.77446186668</v>
          </cell>
          <cell r="R111">
            <v>73356.342884266473</v>
          </cell>
        </row>
        <row r="112">
          <cell r="G112">
            <v>16856.204045273767</v>
          </cell>
          <cell r="H112">
            <v>7826.16343189708</v>
          </cell>
          <cell r="I112">
            <v>0</v>
          </cell>
          <cell r="J112">
            <v>0</v>
          </cell>
          <cell r="K112">
            <v>15698.755219152457</v>
          </cell>
          <cell r="L112">
            <v>17821.994817749423</v>
          </cell>
          <cell r="M112">
            <v>16051.78205212071</v>
          </cell>
          <cell r="N112">
            <v>15863.062395615161</v>
          </cell>
          <cell r="O112">
            <v>17264.937823838532</v>
          </cell>
          <cell r="P112">
            <v>16031.319982833596</v>
          </cell>
          <cell r="Q112">
            <v>15125.007903778645</v>
          </cell>
          <cell r="R112">
            <v>15157.449107527089</v>
          </cell>
        </row>
        <row r="113">
          <cell r="G113">
            <v>2315.0289145928728</v>
          </cell>
          <cell r="H113">
            <v>-30784.902507097086</v>
          </cell>
          <cell r="I113">
            <v>-223482.83166666667</v>
          </cell>
          <cell r="J113">
            <v>-196960.16500000001</v>
          </cell>
          <cell r="K113">
            <v>91524.011296580895</v>
          </cell>
          <cell r="L113">
            <v>47690.728411583914</v>
          </cell>
          <cell r="M113">
            <v>72157.844879612589</v>
          </cell>
          <cell r="N113">
            <v>4231.9711451847761</v>
          </cell>
          <cell r="O113">
            <v>41567.804585228063</v>
          </cell>
          <cell r="P113">
            <v>77614.008674766359</v>
          </cell>
          <cell r="Q113">
            <v>85892.766558088028</v>
          </cell>
          <cell r="R113">
            <v>58198.89377673938</v>
          </cell>
        </row>
        <row r="115">
          <cell r="G115">
            <v>57289.855000000003</v>
          </cell>
          <cell r="H115">
            <v>57706.521666666667</v>
          </cell>
          <cell r="I115">
            <v>57706.521666666667</v>
          </cell>
          <cell r="J115">
            <v>57914.855000000003</v>
          </cell>
          <cell r="K115">
            <v>57914.855000000003</v>
          </cell>
          <cell r="L115">
            <v>57914.855000000003</v>
          </cell>
          <cell r="M115">
            <v>57914.855000000003</v>
          </cell>
          <cell r="N115">
            <v>58123.188333333339</v>
          </cell>
          <cell r="O115">
            <v>58123.188333333339</v>
          </cell>
          <cell r="P115">
            <v>58123.188333333339</v>
          </cell>
          <cell r="Q115">
            <v>58123.188333333339</v>
          </cell>
          <cell r="R115">
            <v>58123.188333333339</v>
          </cell>
        </row>
        <row r="116">
          <cell r="G116">
            <v>59604.88391459288</v>
          </cell>
          <cell r="H116">
            <v>26921.619159569582</v>
          </cell>
          <cell r="I116">
            <v>-165776.31</v>
          </cell>
          <cell r="J116">
            <v>-139045.31</v>
          </cell>
          <cell r="K116">
            <v>149438.86629658091</v>
          </cell>
          <cell r="L116">
            <v>105605.58341158391</v>
          </cell>
          <cell r="M116">
            <v>130072.6998796126</v>
          </cell>
          <cell r="N116">
            <v>62355.159478518115</v>
          </cell>
          <cell r="O116">
            <v>99690.992918561402</v>
          </cell>
          <cell r="P116">
            <v>135737.1970080997</v>
          </cell>
          <cell r="Q116">
            <v>144015.95489142137</v>
          </cell>
          <cell r="R116">
            <v>116322.08211007272</v>
          </cell>
        </row>
        <row r="119">
          <cell r="G119">
            <v>630.36429238703613</v>
          </cell>
          <cell r="H119">
            <v>-9560.4901001611524</v>
          </cell>
          <cell r="I119">
            <v>-60852.629596198458</v>
          </cell>
          <cell r="J119">
            <v>-53630.714612691307</v>
          </cell>
          <cell r="K119">
            <v>25599.436319439166</v>
          </cell>
          <cell r="L119">
            <v>13047.497303596239</v>
          </cell>
          <cell r="M119">
            <v>20963.566238679432</v>
          </cell>
          <cell r="N119">
            <v>1152.3185238267463</v>
          </cell>
          <cell r="O119">
            <v>12408.428356155466</v>
          </cell>
          <cell r="P119">
            <v>20580.77671779013</v>
          </cell>
          <cell r="Q119">
            <v>24943.853680458393</v>
          </cell>
          <cell r="R119">
            <v>17428.748462762647</v>
          </cell>
        </row>
        <row r="120">
          <cell r="G120">
            <v>414.63761488967248</v>
          </cell>
          <cell r="H120">
            <v>0</v>
          </cell>
          <cell r="I120">
            <v>-40027.313571309343</v>
          </cell>
          <cell r="J120">
            <v>-35276.921393544908</v>
          </cell>
          <cell r="K120">
            <v>17039.118989783539</v>
          </cell>
          <cell r="L120">
            <v>9118.7067213405389</v>
          </cell>
          <cell r="M120">
            <v>11162.76765265567</v>
          </cell>
          <cell r="N120">
            <v>757.96584623062722</v>
          </cell>
          <cell r="O120">
            <v>6607.2919606026435</v>
          </cell>
          <cell r="P120">
            <v>13626.574576201461</v>
          </cell>
          <cell r="Q120">
            <v>13282.207799312735</v>
          </cell>
          <cell r="R120">
            <v>8858.6906496769061</v>
          </cell>
        </row>
        <row r="121">
          <cell r="G121">
            <v>624.14918412263592</v>
          </cell>
          <cell r="H121">
            <v>-21224.412406935935</v>
          </cell>
          <cell r="I121">
            <v>-60252.65005154239</v>
          </cell>
          <cell r="J121">
            <v>-53101.939899972698</v>
          </cell>
          <cell r="K121">
            <v>25292.829693811742</v>
          </cell>
          <cell r="L121">
            <v>12898.62277248331</v>
          </cell>
          <cell r="M121">
            <v>20711.336204834977</v>
          </cell>
          <cell r="N121">
            <v>1141.0092069604646</v>
          </cell>
          <cell r="O121">
            <v>12259.95640676199</v>
          </cell>
          <cell r="P121">
            <v>20346.300405664599</v>
          </cell>
          <cell r="Q121">
            <v>24678.268502583309</v>
          </cell>
          <cell r="R121">
            <v>17232.263538914049</v>
          </cell>
        </row>
        <row r="122">
          <cell r="G122">
            <v>502.34941803941092</v>
          </cell>
          <cell r="H122">
            <v>0</v>
          </cell>
          <cell r="I122">
            <v>-48494.629903701709</v>
          </cell>
          <cell r="J122">
            <v>-42739.347072948636</v>
          </cell>
          <cell r="K122">
            <v>18874.101034837153</v>
          </cell>
          <cell r="L122">
            <v>10100.721291331058</v>
          </cell>
          <cell r="M122">
            <v>15456.139826754004</v>
          </cell>
          <cell r="N122">
            <v>918.30477524095215</v>
          </cell>
          <cell r="O122">
            <v>8004.9883368839719</v>
          </cell>
          <cell r="P122">
            <v>18867.564797817406</v>
          </cell>
          <cell r="Q122">
            <v>18390.749260586865</v>
          </cell>
          <cell r="R122">
            <v>11612.721285113001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G124">
            <v>143.52840515411742</v>
          </cell>
          <cell r="H124">
            <v>0</v>
          </cell>
          <cell r="I124">
            <v>-13855.608543914774</v>
          </cell>
          <cell r="J124">
            <v>-12211.242020842468</v>
          </cell>
          <cell r="K124">
            <v>4718.5252587092882</v>
          </cell>
          <cell r="L124">
            <v>2525.1803228327644</v>
          </cell>
          <cell r="M124">
            <v>3864.0349566885011</v>
          </cell>
          <cell r="N124">
            <v>262.37279292598635</v>
          </cell>
          <cell r="O124">
            <v>2287.1395248239919</v>
          </cell>
          <cell r="P124">
            <v>4192.7921772927575</v>
          </cell>
          <cell r="Q124">
            <v>4597.6873151467162</v>
          </cell>
          <cell r="R124">
            <v>3066.4698402727754</v>
          </cell>
        </row>
        <row r="126">
          <cell r="G126">
            <v>0.27229218970593017</v>
          </cell>
          <cell r="H126">
            <v>0.31055775141587982</v>
          </cell>
          <cell r="I126">
            <v>0</v>
          </cell>
          <cell r="J126">
            <v>0</v>
          </cell>
          <cell r="K126">
            <v>0.27970186136712188</v>
          </cell>
          <cell r="L126">
            <v>0.27358561586631264</v>
          </cell>
          <cell r="M126">
            <v>0.29052372993753944</v>
          </cell>
          <cell r="N126">
            <v>0.27228884231355832</v>
          </cell>
          <cell r="O126">
            <v>0.29851055353943434</v>
          </cell>
          <cell r="P126">
            <v>0.26516832552782821</v>
          </cell>
          <cell r="Q126">
            <v>0.29040691876642755</v>
          </cell>
          <cell r="R126">
            <v>0.29946872408988084</v>
          </cell>
        </row>
        <row r="127">
          <cell r="G127">
            <v>0.17910688383889659</v>
          </cell>
          <cell r="H127">
            <v>0</v>
          </cell>
          <cell r="I127">
            <v>0</v>
          </cell>
          <cell r="J127">
            <v>0</v>
          </cell>
          <cell r="K127">
            <v>0.18617102494086246</v>
          </cell>
          <cell r="L127">
            <v>0.19120502087205773</v>
          </cell>
          <cell r="M127">
            <v>0.15469929390601281</v>
          </cell>
          <cell r="N127">
            <v>0.17910468200924676</v>
          </cell>
          <cell r="O127">
            <v>0.15895215122692996</v>
          </cell>
          <cell r="P127">
            <v>0.17556849348295153</v>
          </cell>
          <cell r="Q127">
            <v>0.15463709380382074</v>
          </cell>
          <cell r="R127">
            <v>0.15221407272207466</v>
          </cell>
        </row>
        <row r="128">
          <cell r="G128">
            <v>0.26960751124458437</v>
          </cell>
          <cell r="H128">
            <v>0.68944224858412029</v>
          </cell>
          <cell r="I128">
            <v>0</v>
          </cell>
          <cell r="J128">
            <v>0</v>
          </cell>
          <cell r="K128">
            <v>0.27635184838928295</v>
          </cell>
          <cell r="L128">
            <v>0.2704639497464727</v>
          </cell>
          <cell r="M128">
            <v>0.28702819824219472</v>
          </cell>
          <cell r="N128">
            <v>0.26961649023971451</v>
          </cell>
          <cell r="O128">
            <v>0.29493875197630254</v>
          </cell>
          <cell r="P128">
            <v>0.26214726894114837</v>
          </cell>
          <cell r="Q128">
            <v>0.28731486353852342</v>
          </cell>
          <cell r="R128">
            <v>0.29609263030015437</v>
          </cell>
        </row>
        <row r="129">
          <cell r="G129">
            <v>0.2169948784971247</v>
          </cell>
          <cell r="H129">
            <v>0</v>
          </cell>
          <cell r="I129">
            <v>0</v>
          </cell>
          <cell r="J129">
            <v>0</v>
          </cell>
          <cell r="K129">
            <v>0.20622021224218612</v>
          </cell>
          <cell r="L129">
            <v>0.21179633081212548</v>
          </cell>
          <cell r="M129">
            <v>0.21419902233140237</v>
          </cell>
          <cell r="N129">
            <v>0.21699221089581819</v>
          </cell>
          <cell r="O129">
            <v>0.1925766447557036</v>
          </cell>
          <cell r="P129">
            <v>0.24309483713024058</v>
          </cell>
          <cell r="Q129">
            <v>0.21411289911298256</v>
          </cell>
          <cell r="R129">
            <v>0.19953508617640273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G131">
            <v>6.1998536713464204E-2</v>
          </cell>
          <cell r="H131">
            <v>0</v>
          </cell>
          <cell r="I131">
            <v>0</v>
          </cell>
          <cell r="J131">
            <v>0</v>
          </cell>
          <cell r="K131">
            <v>5.155505306054653E-2</v>
          </cell>
          <cell r="L131">
            <v>5.2949082703031371E-2</v>
          </cell>
          <cell r="M131">
            <v>5.3549755582850592E-2</v>
          </cell>
          <cell r="N131">
            <v>6.1997774541662339E-2</v>
          </cell>
          <cell r="O131">
            <v>5.5021898501629599E-2</v>
          </cell>
          <cell r="P131">
            <v>5.4021074917831244E-2</v>
          </cell>
          <cell r="Q131">
            <v>5.3528224778245641E-2</v>
          </cell>
          <cell r="R131">
            <v>5.2689486711487384E-2</v>
          </cell>
        </row>
        <row r="132">
          <cell r="G132">
            <v>1</v>
          </cell>
          <cell r="H132">
            <v>1</v>
          </cell>
          <cell r="I132">
            <v>0</v>
          </cell>
          <cell r="J132">
            <v>0</v>
          </cell>
          <cell r="K132">
            <v>0.99999999999999989</v>
          </cell>
          <cell r="L132">
            <v>0.99999999999999989</v>
          </cell>
          <cell r="M132">
            <v>1</v>
          </cell>
          <cell r="N132">
            <v>1.0000000000000002</v>
          </cell>
          <cell r="O132">
            <v>1</v>
          </cell>
          <cell r="P132">
            <v>1</v>
          </cell>
          <cell r="Q132">
            <v>0.99999999999999989</v>
          </cell>
          <cell r="R132">
            <v>1</v>
          </cell>
        </row>
      </sheetData>
      <sheetData sheetId="2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</row>
        <row r="6">
          <cell r="G6">
            <v>9034.7927999999993</v>
          </cell>
          <cell r="H6">
            <v>4496.666666666667</v>
          </cell>
          <cell r="I6">
            <v>0.1</v>
          </cell>
          <cell r="J6">
            <v>0.1</v>
          </cell>
          <cell r="K6">
            <v>11160.626399999999</v>
          </cell>
          <cell r="L6">
            <v>10629.168</v>
          </cell>
          <cell r="M6">
            <v>11160.626399999999</v>
          </cell>
          <cell r="N6">
            <v>9034.7927999999993</v>
          </cell>
          <cell r="O6">
            <v>11160.626399999999</v>
          </cell>
          <cell r="P6">
            <v>10097.7096</v>
          </cell>
          <cell r="Q6">
            <v>11160.626399999999</v>
          </cell>
          <cell r="R6">
            <v>11692.084799999999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G12">
            <v>8000</v>
          </cell>
          <cell r="H12">
            <v>0</v>
          </cell>
          <cell r="I12">
            <v>0</v>
          </cell>
          <cell r="J12">
            <v>0</v>
          </cell>
          <cell r="K12">
            <v>10000</v>
          </cell>
          <cell r="L12">
            <v>10000</v>
          </cell>
          <cell r="M12">
            <v>8000</v>
          </cell>
          <cell r="N12">
            <v>8000</v>
          </cell>
          <cell r="O12">
            <v>8000</v>
          </cell>
          <cell r="P12">
            <v>9000</v>
          </cell>
          <cell r="Q12">
            <v>8000</v>
          </cell>
          <cell r="R12">
            <v>8000</v>
          </cell>
        </row>
        <row r="13">
          <cell r="G13">
            <v>17034.792799999999</v>
          </cell>
          <cell r="H13">
            <v>4496.666666666667</v>
          </cell>
          <cell r="I13">
            <v>0.1</v>
          </cell>
          <cell r="J13">
            <v>0.1</v>
          </cell>
          <cell r="K13">
            <v>21160.626400000001</v>
          </cell>
          <cell r="L13">
            <v>20629.167999999998</v>
          </cell>
          <cell r="M13">
            <v>19160.626400000001</v>
          </cell>
          <cell r="N13">
            <v>17034.792799999999</v>
          </cell>
          <cell r="O13">
            <v>19160.626400000001</v>
          </cell>
          <cell r="P13">
            <v>19097.709600000002</v>
          </cell>
          <cell r="Q13">
            <v>19160.626400000001</v>
          </cell>
          <cell r="R13">
            <v>19692.084799999997</v>
          </cell>
        </row>
        <row r="14">
          <cell r="G14">
            <v>6564.1718999999994</v>
          </cell>
          <cell r="H14">
            <v>7336.4147999999996</v>
          </cell>
          <cell r="I14">
            <v>0</v>
          </cell>
          <cell r="J14">
            <v>0</v>
          </cell>
          <cell r="K14">
            <v>8108.1</v>
          </cell>
          <cell r="L14">
            <v>7722</v>
          </cell>
          <cell r="M14">
            <v>8108.1</v>
          </cell>
          <cell r="N14">
            <v>6563.7</v>
          </cell>
          <cell r="O14">
            <v>8108.1</v>
          </cell>
          <cell r="P14">
            <v>7335.9</v>
          </cell>
          <cell r="Q14">
            <v>8108.6147999999994</v>
          </cell>
          <cell r="R14">
            <v>8494.7147999999979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G17">
            <v>127.33066666666667</v>
          </cell>
          <cell r="H17">
            <v>127.26533333333333</v>
          </cell>
          <cell r="I17">
            <v>0</v>
          </cell>
          <cell r="J17">
            <v>0</v>
          </cell>
          <cell r="K17">
            <v>135.0753333333333</v>
          </cell>
          <cell r="L17">
            <v>134.50133333333332</v>
          </cell>
          <cell r="M17">
            <v>134.48133333333334</v>
          </cell>
          <cell r="N17">
            <v>128.34333333333333</v>
          </cell>
          <cell r="O17">
            <v>135.20200000000003</v>
          </cell>
          <cell r="P17">
            <v>127.94533333333334</v>
          </cell>
          <cell r="Q17">
            <v>148.83200000000002</v>
          </cell>
          <cell r="R17">
            <v>148.83200000000002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7000</v>
          </cell>
          <cell r="H20">
            <v>0</v>
          </cell>
          <cell r="I20">
            <v>0</v>
          </cell>
          <cell r="J20">
            <v>0</v>
          </cell>
          <cell r="K20">
            <v>8000</v>
          </cell>
          <cell r="L20">
            <v>8000</v>
          </cell>
          <cell r="M20">
            <v>8000</v>
          </cell>
          <cell r="N20">
            <v>7000</v>
          </cell>
          <cell r="O20">
            <v>7000</v>
          </cell>
          <cell r="P20">
            <v>9000</v>
          </cell>
          <cell r="Q20">
            <v>8000</v>
          </cell>
          <cell r="R20">
            <v>7574</v>
          </cell>
        </row>
        <row r="21">
          <cell r="G21">
            <v>13691.502566666666</v>
          </cell>
          <cell r="H21">
            <v>7463.6801333333333</v>
          </cell>
          <cell r="I21">
            <v>0</v>
          </cell>
          <cell r="J21">
            <v>0</v>
          </cell>
          <cell r="K21">
            <v>16243.175333333334</v>
          </cell>
          <cell r="L21">
            <v>15856.501333333334</v>
          </cell>
          <cell r="M21">
            <v>16242.581333333334</v>
          </cell>
          <cell r="N21">
            <v>13692.043333333333</v>
          </cell>
          <cell r="O21">
            <v>15243.302</v>
          </cell>
          <cell r="P21">
            <v>16463.845333333331</v>
          </cell>
          <cell r="Q21">
            <v>16257.4468</v>
          </cell>
          <cell r="R21">
            <v>16217.546799999998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4000</v>
          </cell>
          <cell r="H28">
            <v>0</v>
          </cell>
          <cell r="I28">
            <v>0</v>
          </cell>
          <cell r="J28">
            <v>0</v>
          </cell>
          <cell r="K28">
            <v>4000</v>
          </cell>
          <cell r="L28">
            <v>4000</v>
          </cell>
          <cell r="M28">
            <v>4000</v>
          </cell>
          <cell r="N28">
            <v>4000</v>
          </cell>
          <cell r="O28">
            <v>4000</v>
          </cell>
          <cell r="P28">
            <v>4000</v>
          </cell>
          <cell r="Q28">
            <v>4000</v>
          </cell>
          <cell r="R28">
            <v>4000</v>
          </cell>
        </row>
        <row r="29">
          <cell r="G29">
            <v>4000</v>
          </cell>
          <cell r="H29">
            <v>0</v>
          </cell>
          <cell r="I29">
            <v>0</v>
          </cell>
          <cell r="J29">
            <v>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  <cell r="P29">
            <v>4000</v>
          </cell>
          <cell r="Q29">
            <v>4000</v>
          </cell>
          <cell r="R29">
            <v>4000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G54">
            <v>15598.964699999999</v>
          </cell>
          <cell r="H54">
            <v>11833.081466666667</v>
          </cell>
          <cell r="I54">
            <v>0.1</v>
          </cell>
          <cell r="J54">
            <v>0.1</v>
          </cell>
          <cell r="K54">
            <v>19268.7264</v>
          </cell>
          <cell r="L54">
            <v>18351.167999999998</v>
          </cell>
          <cell r="M54">
            <v>19268.7264</v>
          </cell>
          <cell r="N54">
            <v>15598.4928</v>
          </cell>
          <cell r="O54">
            <v>19268.7264</v>
          </cell>
          <cell r="P54">
            <v>17433.6096</v>
          </cell>
          <cell r="Q54">
            <v>19269.241199999997</v>
          </cell>
          <cell r="R54">
            <v>20186.799599999998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G57">
            <v>127.33066666666667</v>
          </cell>
          <cell r="H57">
            <v>127.26533333333333</v>
          </cell>
          <cell r="I57">
            <v>0</v>
          </cell>
          <cell r="J57">
            <v>0</v>
          </cell>
          <cell r="K57">
            <v>135.0753333333333</v>
          </cell>
          <cell r="L57">
            <v>134.50133333333332</v>
          </cell>
          <cell r="M57">
            <v>134.48133333333334</v>
          </cell>
          <cell r="N57">
            <v>128.34333333333333</v>
          </cell>
          <cell r="O57">
            <v>135.20200000000003</v>
          </cell>
          <cell r="P57">
            <v>127.94533333333334</v>
          </cell>
          <cell r="Q57">
            <v>148.83200000000002</v>
          </cell>
          <cell r="R57">
            <v>148.83200000000002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G60">
            <v>19000</v>
          </cell>
          <cell r="H60">
            <v>0</v>
          </cell>
          <cell r="I60">
            <v>0</v>
          </cell>
          <cell r="J60">
            <v>0</v>
          </cell>
          <cell r="K60">
            <v>22000</v>
          </cell>
          <cell r="L60">
            <v>22000</v>
          </cell>
          <cell r="M60">
            <v>20000</v>
          </cell>
          <cell r="N60">
            <v>19000</v>
          </cell>
          <cell r="O60">
            <v>19000</v>
          </cell>
          <cell r="P60">
            <v>22000</v>
          </cell>
          <cell r="Q60">
            <v>20000</v>
          </cell>
          <cell r="R60">
            <v>19574</v>
          </cell>
        </row>
        <row r="61">
          <cell r="G61">
            <v>34726.295366666665</v>
          </cell>
          <cell r="H61">
            <v>11960.346799999999</v>
          </cell>
          <cell r="I61">
            <v>0.1</v>
          </cell>
          <cell r="J61">
            <v>0.1</v>
          </cell>
          <cell r="K61">
            <v>41403.801733333334</v>
          </cell>
          <cell r="L61">
            <v>40485.669333333331</v>
          </cell>
          <cell r="M61">
            <v>39403.207733333329</v>
          </cell>
          <cell r="N61">
            <v>34726.836133333331</v>
          </cell>
          <cell r="O61">
            <v>38403.928400000004</v>
          </cell>
          <cell r="P61">
            <v>39561.554933333333</v>
          </cell>
          <cell r="Q61">
            <v>39418.073199999999</v>
          </cell>
          <cell r="R61">
            <v>39909.631599999993</v>
          </cell>
        </row>
        <row r="63">
          <cell r="G63">
            <v>9034.7927999999993</v>
          </cell>
          <cell r="H63">
            <v>4496.666666666667</v>
          </cell>
          <cell r="I63">
            <v>0.1</v>
          </cell>
          <cell r="J63">
            <v>0.1</v>
          </cell>
          <cell r="K63">
            <v>11160.626399999999</v>
          </cell>
          <cell r="L63">
            <v>10629.168</v>
          </cell>
          <cell r="M63">
            <v>11160.626399999999</v>
          </cell>
          <cell r="N63">
            <v>9034.7927999999993</v>
          </cell>
          <cell r="O63">
            <v>11160.626399999999</v>
          </cell>
          <cell r="P63">
            <v>10097.7096</v>
          </cell>
          <cell r="Q63">
            <v>11160.626399999999</v>
          </cell>
          <cell r="R63">
            <v>11692.084799999999</v>
          </cell>
        </row>
        <row r="64">
          <cell r="G64">
            <v>8000</v>
          </cell>
          <cell r="H64">
            <v>0</v>
          </cell>
          <cell r="I64">
            <v>0</v>
          </cell>
          <cell r="J64">
            <v>0</v>
          </cell>
          <cell r="K64">
            <v>10000</v>
          </cell>
          <cell r="L64">
            <v>10000</v>
          </cell>
          <cell r="M64">
            <v>8000</v>
          </cell>
          <cell r="N64">
            <v>8000</v>
          </cell>
          <cell r="O64">
            <v>8000</v>
          </cell>
          <cell r="P64">
            <v>9000</v>
          </cell>
          <cell r="Q64">
            <v>8000</v>
          </cell>
          <cell r="R64">
            <v>8000</v>
          </cell>
        </row>
        <row r="65">
          <cell r="G65">
            <v>17034.792799999999</v>
          </cell>
          <cell r="H65">
            <v>4496.666666666667</v>
          </cell>
          <cell r="I65">
            <v>0.1</v>
          </cell>
          <cell r="J65">
            <v>0.1</v>
          </cell>
          <cell r="K65">
            <v>21160.626400000001</v>
          </cell>
          <cell r="L65">
            <v>20629.167999999998</v>
          </cell>
          <cell r="M65">
            <v>19160.626400000001</v>
          </cell>
          <cell r="N65">
            <v>17034.792799999999</v>
          </cell>
          <cell r="O65">
            <v>19160.626400000001</v>
          </cell>
          <cell r="P65">
            <v>19097.709600000002</v>
          </cell>
          <cell r="Q65">
            <v>19160.626400000001</v>
          </cell>
          <cell r="R65">
            <v>19692.084799999997</v>
          </cell>
        </row>
        <row r="66">
          <cell r="G66">
            <v>6691.5025666666661</v>
          </cell>
          <cell r="H66">
            <v>7463.6801333333333</v>
          </cell>
          <cell r="I66">
            <v>0</v>
          </cell>
          <cell r="J66">
            <v>0</v>
          </cell>
          <cell r="K66">
            <v>8243.1753333333345</v>
          </cell>
          <cell r="L66">
            <v>7856.5013333333336</v>
          </cell>
          <cell r="M66">
            <v>8242.5813333333335</v>
          </cell>
          <cell r="N66">
            <v>6692.0433333333331</v>
          </cell>
          <cell r="O66">
            <v>8243.3019999999997</v>
          </cell>
          <cell r="P66">
            <v>7463.8453333333327</v>
          </cell>
          <cell r="Q66">
            <v>8257.4467999999997</v>
          </cell>
          <cell r="R66">
            <v>8643.5467999999983</v>
          </cell>
        </row>
        <row r="67">
          <cell r="G67">
            <v>7000</v>
          </cell>
          <cell r="H67">
            <v>0</v>
          </cell>
          <cell r="I67">
            <v>0</v>
          </cell>
          <cell r="J67">
            <v>0</v>
          </cell>
          <cell r="K67">
            <v>8000</v>
          </cell>
          <cell r="L67">
            <v>8000</v>
          </cell>
          <cell r="M67">
            <v>8000</v>
          </cell>
          <cell r="N67">
            <v>7000</v>
          </cell>
          <cell r="O67">
            <v>7000</v>
          </cell>
          <cell r="P67">
            <v>9000</v>
          </cell>
          <cell r="Q67">
            <v>8000</v>
          </cell>
          <cell r="R67">
            <v>7574</v>
          </cell>
        </row>
        <row r="68">
          <cell r="G68">
            <v>13691.502566666666</v>
          </cell>
          <cell r="H68">
            <v>7463.6801333333333</v>
          </cell>
          <cell r="I68">
            <v>0</v>
          </cell>
          <cell r="J68">
            <v>0</v>
          </cell>
          <cell r="K68">
            <v>16243.175333333334</v>
          </cell>
          <cell r="L68">
            <v>15856.501333333334</v>
          </cell>
          <cell r="M68">
            <v>16242.581333333334</v>
          </cell>
          <cell r="N68">
            <v>13692.043333333333</v>
          </cell>
          <cell r="O68">
            <v>15243.302</v>
          </cell>
          <cell r="P68">
            <v>16463.845333333331</v>
          </cell>
          <cell r="Q68">
            <v>16257.4468</v>
          </cell>
          <cell r="R68">
            <v>16217.546799999998</v>
          </cell>
        </row>
        <row r="69"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G70">
            <v>4000</v>
          </cell>
          <cell r="H70">
            <v>0</v>
          </cell>
          <cell r="I70">
            <v>0</v>
          </cell>
          <cell r="J70">
            <v>0</v>
          </cell>
          <cell r="K70">
            <v>4000</v>
          </cell>
          <cell r="L70">
            <v>4000</v>
          </cell>
          <cell r="M70">
            <v>4000</v>
          </cell>
          <cell r="N70">
            <v>4000</v>
          </cell>
          <cell r="O70">
            <v>4000</v>
          </cell>
          <cell r="P70">
            <v>4000</v>
          </cell>
          <cell r="Q70">
            <v>4000</v>
          </cell>
          <cell r="R70">
            <v>4000</v>
          </cell>
        </row>
        <row r="71">
          <cell r="G71">
            <v>4000</v>
          </cell>
          <cell r="H71">
            <v>0</v>
          </cell>
          <cell r="I71">
            <v>0</v>
          </cell>
          <cell r="J71">
            <v>0</v>
          </cell>
          <cell r="K71">
            <v>4000</v>
          </cell>
          <cell r="L71">
            <v>4000</v>
          </cell>
          <cell r="M71">
            <v>4000</v>
          </cell>
          <cell r="N71">
            <v>4000</v>
          </cell>
          <cell r="O71">
            <v>4000</v>
          </cell>
          <cell r="P71">
            <v>4000</v>
          </cell>
          <cell r="Q71">
            <v>4000</v>
          </cell>
          <cell r="R71">
            <v>4000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G81">
            <v>15726.295366666665</v>
          </cell>
          <cell r="H81">
            <v>11960.346799999999</v>
          </cell>
          <cell r="I81">
            <v>0.1</v>
          </cell>
          <cell r="J81">
            <v>0.1</v>
          </cell>
          <cell r="K81">
            <v>19403.801733333334</v>
          </cell>
          <cell r="L81">
            <v>18485.669333333331</v>
          </cell>
          <cell r="M81">
            <v>19403.207733333333</v>
          </cell>
          <cell r="N81">
            <v>15726.836133333332</v>
          </cell>
          <cell r="O81">
            <v>19403.928399999997</v>
          </cell>
          <cell r="P81">
            <v>17561.554933333333</v>
          </cell>
          <cell r="Q81">
            <v>19418.073199999999</v>
          </cell>
          <cell r="R81">
            <v>20335.631599999997</v>
          </cell>
        </row>
        <row r="82">
          <cell r="G82">
            <v>19000</v>
          </cell>
          <cell r="H82">
            <v>0</v>
          </cell>
          <cell r="I82">
            <v>0</v>
          </cell>
          <cell r="J82">
            <v>0</v>
          </cell>
          <cell r="K82">
            <v>22000</v>
          </cell>
          <cell r="L82">
            <v>22000</v>
          </cell>
          <cell r="M82">
            <v>20000</v>
          </cell>
          <cell r="N82">
            <v>19000</v>
          </cell>
          <cell r="O82">
            <v>19000</v>
          </cell>
          <cell r="P82">
            <v>22000</v>
          </cell>
          <cell r="Q82">
            <v>20000</v>
          </cell>
          <cell r="R82">
            <v>19574</v>
          </cell>
        </row>
        <row r="83">
          <cell r="G83">
            <v>34726.295366666665</v>
          </cell>
          <cell r="H83">
            <v>11960.346799999999</v>
          </cell>
          <cell r="I83">
            <v>0.1</v>
          </cell>
          <cell r="J83">
            <v>0.1</v>
          </cell>
          <cell r="K83">
            <v>41403.801733333334</v>
          </cell>
          <cell r="L83">
            <v>40485.669333333331</v>
          </cell>
          <cell r="M83">
            <v>39403.207733333329</v>
          </cell>
          <cell r="N83">
            <v>34726.836133333331</v>
          </cell>
          <cell r="O83">
            <v>38403.928399999997</v>
          </cell>
          <cell r="P83">
            <v>39561.554933333333</v>
          </cell>
          <cell r="Q83">
            <v>39418.073199999999</v>
          </cell>
          <cell r="R83">
            <v>39909.631599999993</v>
          </cell>
        </row>
      </sheetData>
      <sheetData sheetId="3">
        <row r="5">
          <cell r="F5" t="str">
            <v>연간</v>
          </cell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</row>
        <row r="6">
          <cell r="G6">
            <v>17500</v>
          </cell>
          <cell r="H6">
            <v>17500</v>
          </cell>
          <cell r="I6">
            <v>0</v>
          </cell>
          <cell r="J6">
            <v>0</v>
          </cell>
          <cell r="K6">
            <v>17500</v>
          </cell>
          <cell r="L6">
            <v>17500</v>
          </cell>
          <cell r="M6">
            <v>17500</v>
          </cell>
          <cell r="N6">
            <v>17500</v>
          </cell>
          <cell r="O6">
            <v>17500</v>
          </cell>
          <cell r="P6">
            <v>17500</v>
          </cell>
          <cell r="Q6">
            <v>17500</v>
          </cell>
          <cell r="R6">
            <v>17500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G12">
            <v>13000</v>
          </cell>
          <cell r="H12">
            <v>0</v>
          </cell>
          <cell r="I12">
            <v>0</v>
          </cell>
          <cell r="J12">
            <v>0</v>
          </cell>
          <cell r="K12">
            <v>13000</v>
          </cell>
          <cell r="L12">
            <v>13000</v>
          </cell>
          <cell r="M12">
            <v>13000</v>
          </cell>
          <cell r="N12">
            <v>13000</v>
          </cell>
          <cell r="O12">
            <v>13000</v>
          </cell>
          <cell r="P12">
            <v>13000</v>
          </cell>
          <cell r="Q12">
            <v>13000</v>
          </cell>
          <cell r="R12">
            <v>13000</v>
          </cell>
        </row>
        <row r="13">
          <cell r="G13">
            <v>15386.6781402824</v>
          </cell>
          <cell r="H13">
            <v>17500</v>
          </cell>
          <cell r="I13">
            <v>0</v>
          </cell>
          <cell r="J13">
            <v>0</v>
          </cell>
          <cell r="K13">
            <v>15373.4088892567</v>
          </cell>
          <cell r="L13">
            <v>15318.622641494801</v>
          </cell>
          <cell r="M13">
            <v>15621.147020537908</v>
          </cell>
          <cell r="N13">
            <v>15386.6781402824</v>
          </cell>
          <cell r="O13">
            <v>15621.147020537908</v>
          </cell>
          <cell r="P13">
            <v>15379.326848702316</v>
          </cell>
          <cell r="Q13">
            <v>15621.147020537908</v>
          </cell>
          <cell r="R13">
            <v>15671.854307675945</v>
          </cell>
        </row>
        <row r="14">
          <cell r="G14">
            <v>23500</v>
          </cell>
          <cell r="H14">
            <v>23500</v>
          </cell>
          <cell r="I14">
            <v>0</v>
          </cell>
          <cell r="J14">
            <v>0</v>
          </cell>
          <cell r="K14">
            <v>23500</v>
          </cell>
          <cell r="L14">
            <v>23500</v>
          </cell>
          <cell r="M14">
            <v>23500</v>
          </cell>
          <cell r="N14">
            <v>23500</v>
          </cell>
          <cell r="O14">
            <v>23500</v>
          </cell>
          <cell r="P14">
            <v>23500</v>
          </cell>
          <cell r="Q14">
            <v>23500</v>
          </cell>
          <cell r="R14">
            <v>23500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G17">
            <v>18000</v>
          </cell>
          <cell r="H17">
            <v>18000</v>
          </cell>
          <cell r="I17">
            <v>0</v>
          </cell>
          <cell r="J17">
            <v>0</v>
          </cell>
          <cell r="K17">
            <v>18000</v>
          </cell>
          <cell r="L17">
            <v>18000</v>
          </cell>
          <cell r="M17">
            <v>18000</v>
          </cell>
          <cell r="N17">
            <v>18000</v>
          </cell>
          <cell r="O17">
            <v>18000</v>
          </cell>
          <cell r="P17">
            <v>18000</v>
          </cell>
          <cell r="Q17">
            <v>18000</v>
          </cell>
          <cell r="R17">
            <v>18000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18000</v>
          </cell>
          <cell r="H20">
            <v>0</v>
          </cell>
          <cell r="I20">
            <v>0</v>
          </cell>
          <cell r="J20">
            <v>0</v>
          </cell>
          <cell r="K20">
            <v>18000</v>
          </cell>
          <cell r="L20">
            <v>18000</v>
          </cell>
          <cell r="M20">
            <v>18000</v>
          </cell>
          <cell r="N20">
            <v>18000</v>
          </cell>
          <cell r="O20">
            <v>18000</v>
          </cell>
          <cell r="P20">
            <v>18000</v>
          </cell>
          <cell r="Q20">
            <v>18000</v>
          </cell>
          <cell r="R20">
            <v>18000</v>
          </cell>
        </row>
        <row r="21">
          <cell r="G21">
            <v>20636.887023480991</v>
          </cell>
          <cell r="H21">
            <v>23406.21793527736</v>
          </cell>
          <cell r="I21">
            <v>0</v>
          </cell>
          <cell r="J21">
            <v>0</v>
          </cell>
          <cell r="K21">
            <v>20745.433025554157</v>
          </cell>
          <cell r="L21">
            <v>20678.459712340071</v>
          </cell>
          <cell r="M21">
            <v>20745.533427527444</v>
          </cell>
          <cell r="N21">
            <v>20636.593320743705</v>
          </cell>
          <cell r="O21">
            <v>20925.517712632081</v>
          </cell>
          <cell r="P21">
            <v>20450.669888055316</v>
          </cell>
          <cell r="Q21">
            <v>20743.197129822376</v>
          </cell>
          <cell r="R21">
            <v>20880.887718480331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9000</v>
          </cell>
          <cell r="H28">
            <v>0</v>
          </cell>
          <cell r="I28">
            <v>0</v>
          </cell>
          <cell r="J28">
            <v>0</v>
          </cell>
          <cell r="K28">
            <v>9000</v>
          </cell>
          <cell r="L28">
            <v>9000</v>
          </cell>
          <cell r="M28">
            <v>9000</v>
          </cell>
          <cell r="N28">
            <v>9000</v>
          </cell>
          <cell r="O28">
            <v>9000</v>
          </cell>
          <cell r="P28">
            <v>9000</v>
          </cell>
          <cell r="Q28">
            <v>9000</v>
          </cell>
          <cell r="R28">
            <v>9000</v>
          </cell>
        </row>
        <row r="29">
          <cell r="G29">
            <v>9000</v>
          </cell>
          <cell r="H29">
            <v>0</v>
          </cell>
          <cell r="I29">
            <v>0</v>
          </cell>
          <cell r="J29">
            <v>0</v>
          </cell>
          <cell r="K29">
            <v>9000</v>
          </cell>
          <cell r="L29">
            <v>9000</v>
          </cell>
          <cell r="M29">
            <v>9000</v>
          </cell>
          <cell r="N29">
            <v>9000</v>
          </cell>
          <cell r="O29">
            <v>9000</v>
          </cell>
          <cell r="P29">
            <v>9000</v>
          </cell>
          <cell r="Q29">
            <v>9000</v>
          </cell>
          <cell r="R29">
            <v>9000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G54">
            <v>20024.849062579135</v>
          </cell>
          <cell r="H54">
            <v>21219.951470291013</v>
          </cell>
          <cell r="I54">
            <v>0</v>
          </cell>
          <cell r="J54">
            <v>0</v>
          </cell>
          <cell r="K54">
            <v>20024.743929105767</v>
          </cell>
          <cell r="L54">
            <v>20024.743929105767</v>
          </cell>
          <cell r="M54">
            <v>20024.743929105767</v>
          </cell>
          <cell r="N54">
            <v>20024.743929105767</v>
          </cell>
          <cell r="O54">
            <v>20024.743929105767</v>
          </cell>
          <cell r="P54">
            <v>20024.743929105764</v>
          </cell>
          <cell r="Q54">
            <v>20024.83677457938</v>
          </cell>
          <cell r="R54">
            <v>20024.832554438195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G57">
            <v>18000</v>
          </cell>
          <cell r="H57">
            <v>18000</v>
          </cell>
          <cell r="I57">
            <v>0</v>
          </cell>
          <cell r="J57">
            <v>0</v>
          </cell>
          <cell r="K57">
            <v>18000</v>
          </cell>
          <cell r="L57">
            <v>18000</v>
          </cell>
          <cell r="M57">
            <v>18000</v>
          </cell>
          <cell r="N57">
            <v>18000</v>
          </cell>
          <cell r="O57">
            <v>18000</v>
          </cell>
          <cell r="P57">
            <v>18000</v>
          </cell>
          <cell r="Q57">
            <v>18000</v>
          </cell>
          <cell r="R57">
            <v>18000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G60">
            <v>14000</v>
          </cell>
          <cell r="H60">
            <v>0</v>
          </cell>
          <cell r="I60">
            <v>0</v>
          </cell>
          <cell r="J60">
            <v>0</v>
          </cell>
          <cell r="K60">
            <v>14090.909090909092</v>
          </cell>
          <cell r="L60">
            <v>14090.909090909092</v>
          </cell>
          <cell r="M60">
            <v>14200</v>
          </cell>
          <cell r="N60">
            <v>14000</v>
          </cell>
          <cell r="O60">
            <v>14000</v>
          </cell>
          <cell r="P60">
            <v>14318.181818181818</v>
          </cell>
          <cell r="Q60">
            <v>14200</v>
          </cell>
          <cell r="R60">
            <v>14117.298457137018</v>
          </cell>
        </row>
        <row r="61">
          <cell r="G61">
            <v>16721.013846106005</v>
          </cell>
          <cell r="H61">
            <v>21185.689236591923</v>
          </cell>
          <cell r="I61">
            <v>0</v>
          </cell>
          <cell r="J61">
            <v>0</v>
          </cell>
          <cell r="K61">
            <v>16865.182393089937</v>
          </cell>
          <cell r="L61">
            <v>16793.558688684312</v>
          </cell>
          <cell r="M61">
            <v>17061.351465334847</v>
          </cell>
          <cell r="N61">
            <v>16720.959023463551</v>
          </cell>
          <cell r="O61">
            <v>17036.927607645473</v>
          </cell>
          <cell r="P61">
            <v>16844.802615139542</v>
          </cell>
          <cell r="Q61">
            <v>17061.777281391827</v>
          </cell>
          <cell r="R61">
            <v>17119.883857810404</v>
          </cell>
        </row>
        <row r="62">
          <cell r="G62">
            <v>158108.87400000001</v>
          </cell>
          <cell r="H62">
            <v>78691.666666666672</v>
          </cell>
          <cell r="I62">
            <v>0</v>
          </cell>
          <cell r="J62">
            <v>0</v>
          </cell>
          <cell r="K62">
            <v>195310.962</v>
          </cell>
          <cell r="L62">
            <v>186010.44</v>
          </cell>
          <cell r="M62">
            <v>195310.962</v>
          </cell>
          <cell r="N62">
            <v>158108.87400000001</v>
          </cell>
          <cell r="O62">
            <v>195310.962</v>
          </cell>
          <cell r="P62">
            <v>176709.91800000001</v>
          </cell>
          <cell r="Q62">
            <v>195310.962</v>
          </cell>
          <cell r="R62">
            <v>204611.48399999997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G68">
            <v>104000</v>
          </cell>
          <cell r="H68">
            <v>0</v>
          </cell>
          <cell r="I68">
            <v>0</v>
          </cell>
          <cell r="J68">
            <v>0</v>
          </cell>
          <cell r="K68">
            <v>130000</v>
          </cell>
          <cell r="L68">
            <v>130000</v>
          </cell>
          <cell r="M68">
            <v>104000</v>
          </cell>
          <cell r="N68">
            <v>104000</v>
          </cell>
          <cell r="O68">
            <v>104000</v>
          </cell>
          <cell r="P68">
            <v>117000</v>
          </cell>
          <cell r="Q68">
            <v>104000</v>
          </cell>
          <cell r="R68">
            <v>104000</v>
          </cell>
        </row>
        <row r="69">
          <cell r="G69">
            <v>262108.87400000001</v>
          </cell>
          <cell r="H69">
            <v>78691.666666666672</v>
          </cell>
          <cell r="I69">
            <v>0</v>
          </cell>
          <cell r="J69">
            <v>0</v>
          </cell>
          <cell r="K69">
            <v>325310.962</v>
          </cell>
          <cell r="L69">
            <v>316010.44</v>
          </cell>
          <cell r="M69">
            <v>299310.962</v>
          </cell>
          <cell r="N69">
            <v>262108.87400000001</v>
          </cell>
          <cell r="O69">
            <v>299310.962</v>
          </cell>
          <cell r="P69">
            <v>293709.91800000001</v>
          </cell>
          <cell r="Q69">
            <v>299310.962</v>
          </cell>
          <cell r="R69">
            <v>308611.48399999994</v>
          </cell>
        </row>
        <row r="70">
          <cell r="G70">
            <v>154258.03964999996</v>
          </cell>
          <cell r="H70">
            <v>172405.74779999998</v>
          </cell>
          <cell r="I70">
            <v>0</v>
          </cell>
          <cell r="J70">
            <v>0</v>
          </cell>
          <cell r="K70">
            <v>190540.35</v>
          </cell>
          <cell r="L70">
            <v>181467</v>
          </cell>
          <cell r="M70">
            <v>190540.35</v>
          </cell>
          <cell r="N70">
            <v>154246.95000000001</v>
          </cell>
          <cell r="O70">
            <v>190540.35</v>
          </cell>
          <cell r="P70">
            <v>172393.65</v>
          </cell>
          <cell r="Q70">
            <v>190552.44779999999</v>
          </cell>
          <cell r="R70">
            <v>199625.79779999994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G73">
            <v>2291.9520000000002</v>
          </cell>
          <cell r="H73">
            <v>2290.7759999999998</v>
          </cell>
          <cell r="I73">
            <v>0</v>
          </cell>
          <cell r="J73">
            <v>0</v>
          </cell>
          <cell r="K73">
            <v>2431.3559999999993</v>
          </cell>
          <cell r="L73">
            <v>2421.0239999999999</v>
          </cell>
          <cell r="M73">
            <v>2420.6640000000002</v>
          </cell>
          <cell r="N73">
            <v>2310.1799999999998</v>
          </cell>
          <cell r="O73">
            <v>2433.6360000000004</v>
          </cell>
          <cell r="P73">
            <v>2303.0160000000001</v>
          </cell>
          <cell r="Q73">
            <v>2678.9760000000006</v>
          </cell>
          <cell r="R73">
            <v>2678.9760000000006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126000</v>
          </cell>
          <cell r="H76">
            <v>0</v>
          </cell>
          <cell r="I76">
            <v>0</v>
          </cell>
          <cell r="J76">
            <v>0</v>
          </cell>
          <cell r="K76">
            <v>144000</v>
          </cell>
          <cell r="L76">
            <v>144000</v>
          </cell>
          <cell r="M76">
            <v>144000</v>
          </cell>
          <cell r="N76">
            <v>126000</v>
          </cell>
          <cell r="O76">
            <v>126000</v>
          </cell>
          <cell r="P76">
            <v>162000</v>
          </cell>
          <cell r="Q76">
            <v>144000</v>
          </cell>
          <cell r="R76">
            <v>136332</v>
          </cell>
        </row>
        <row r="77">
          <cell r="G77">
            <v>282549.99164999998</v>
          </cell>
          <cell r="H77">
            <v>174696.5238</v>
          </cell>
          <cell r="I77">
            <v>0</v>
          </cell>
          <cell r="J77">
            <v>0</v>
          </cell>
          <cell r="K77">
            <v>336971.70600000001</v>
          </cell>
          <cell r="L77">
            <v>327888.02399999998</v>
          </cell>
          <cell r="M77">
            <v>336961.01399999997</v>
          </cell>
          <cell r="N77">
            <v>282557.13</v>
          </cell>
          <cell r="O77">
            <v>318973.98600000003</v>
          </cell>
          <cell r="P77">
            <v>336696.66599999997</v>
          </cell>
          <cell r="Q77">
            <v>337231.42379999999</v>
          </cell>
          <cell r="R77">
            <v>338636.77379999997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G84">
            <v>36000</v>
          </cell>
          <cell r="H84">
            <v>0</v>
          </cell>
          <cell r="I84">
            <v>0</v>
          </cell>
          <cell r="J84">
            <v>0</v>
          </cell>
          <cell r="K84">
            <v>36000</v>
          </cell>
          <cell r="L84">
            <v>36000</v>
          </cell>
          <cell r="M84">
            <v>36000</v>
          </cell>
          <cell r="N84">
            <v>36000</v>
          </cell>
          <cell r="O84">
            <v>36000</v>
          </cell>
          <cell r="P84">
            <v>36000</v>
          </cell>
          <cell r="Q84">
            <v>36000</v>
          </cell>
          <cell r="R84">
            <v>36000</v>
          </cell>
        </row>
        <row r="85">
          <cell r="G85">
            <v>36000</v>
          </cell>
          <cell r="H85">
            <v>0</v>
          </cell>
          <cell r="I85">
            <v>0</v>
          </cell>
          <cell r="J85">
            <v>0</v>
          </cell>
          <cell r="K85">
            <v>36000</v>
          </cell>
          <cell r="L85">
            <v>36000</v>
          </cell>
          <cell r="M85">
            <v>36000</v>
          </cell>
          <cell r="N85">
            <v>36000</v>
          </cell>
          <cell r="O85">
            <v>36000</v>
          </cell>
          <cell r="P85">
            <v>36000</v>
          </cell>
          <cell r="Q85">
            <v>36000</v>
          </cell>
          <cell r="R85">
            <v>36000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</row>
        <row r="102"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G110">
            <v>312366.91365</v>
          </cell>
          <cell r="H110">
            <v>251097.41446666664</v>
          </cell>
          <cell r="I110">
            <v>0</v>
          </cell>
          <cell r="J110">
            <v>0</v>
          </cell>
          <cell r="K110">
            <v>385851.31200000003</v>
          </cell>
          <cell r="L110">
            <v>367477.44</v>
          </cell>
          <cell r="M110">
            <v>385851.31200000003</v>
          </cell>
          <cell r="N110">
            <v>312355.82400000002</v>
          </cell>
          <cell r="O110">
            <v>385851.31200000003</v>
          </cell>
          <cell r="P110">
            <v>349103.56799999997</v>
          </cell>
          <cell r="Q110">
            <v>385863.40980000002</v>
          </cell>
          <cell r="R110">
            <v>404237.28179999988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</row>
        <row r="113">
          <cell r="G113">
            <v>2291.9520000000002</v>
          </cell>
          <cell r="H113">
            <v>2290.7759999999998</v>
          </cell>
          <cell r="I113">
            <v>0</v>
          </cell>
          <cell r="J113">
            <v>0</v>
          </cell>
          <cell r="K113">
            <v>2431.3559999999993</v>
          </cell>
          <cell r="L113">
            <v>2421.0239999999999</v>
          </cell>
          <cell r="M113">
            <v>2420.6640000000002</v>
          </cell>
          <cell r="N113">
            <v>2310.1799999999998</v>
          </cell>
          <cell r="O113">
            <v>2433.6360000000004</v>
          </cell>
          <cell r="P113">
            <v>2303.0160000000001</v>
          </cell>
          <cell r="Q113">
            <v>2678.9760000000006</v>
          </cell>
          <cell r="R113">
            <v>2678.9760000000006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G116">
            <v>266000</v>
          </cell>
          <cell r="H116">
            <v>0</v>
          </cell>
          <cell r="I116">
            <v>0</v>
          </cell>
          <cell r="J116">
            <v>0</v>
          </cell>
          <cell r="K116">
            <v>310000</v>
          </cell>
          <cell r="L116">
            <v>310000</v>
          </cell>
          <cell r="M116">
            <v>284000</v>
          </cell>
          <cell r="N116">
            <v>266000</v>
          </cell>
          <cell r="O116">
            <v>266000</v>
          </cell>
          <cell r="P116">
            <v>315000</v>
          </cell>
          <cell r="Q116">
            <v>284000</v>
          </cell>
          <cell r="R116">
            <v>276332</v>
          </cell>
        </row>
        <row r="117">
          <cell r="G117">
            <v>580658.86565000005</v>
          </cell>
          <cell r="H117">
            <v>253388.19046666665</v>
          </cell>
          <cell r="I117">
            <v>0</v>
          </cell>
          <cell r="J117">
            <v>0</v>
          </cell>
          <cell r="K117">
            <v>698282.66800000006</v>
          </cell>
          <cell r="L117">
            <v>679898.46399999992</v>
          </cell>
          <cell r="M117">
            <v>672271.97600000002</v>
          </cell>
          <cell r="N117">
            <v>580666.00399999996</v>
          </cell>
          <cell r="O117">
            <v>654284.94800000009</v>
          </cell>
          <cell r="P117">
            <v>666406.58400000003</v>
          </cell>
          <cell r="Q117">
            <v>672542.38580000005</v>
          </cell>
          <cell r="R117">
            <v>683248.2577999999</v>
          </cell>
        </row>
        <row r="118">
          <cell r="G118"/>
          <cell r="H118"/>
          <cell r="I118"/>
          <cell r="J118"/>
          <cell r="K118"/>
          <cell r="L118"/>
          <cell r="M118"/>
          <cell r="N118"/>
          <cell r="O118"/>
          <cell r="P118"/>
          <cell r="Q118"/>
          <cell r="R118"/>
        </row>
        <row r="119">
          <cell r="G119">
            <v>158108.87400000001</v>
          </cell>
          <cell r="H119">
            <v>78691.666666666672</v>
          </cell>
          <cell r="I119">
            <v>0</v>
          </cell>
          <cell r="J119">
            <v>0</v>
          </cell>
          <cell r="K119">
            <v>195310.962</v>
          </cell>
          <cell r="L119">
            <v>186010.44</v>
          </cell>
          <cell r="M119">
            <v>195310.962</v>
          </cell>
          <cell r="N119">
            <v>158108.87400000001</v>
          </cell>
          <cell r="O119">
            <v>195310.962</v>
          </cell>
          <cell r="P119">
            <v>176709.91800000001</v>
          </cell>
          <cell r="Q119">
            <v>195310.962</v>
          </cell>
          <cell r="R119">
            <v>204611.48399999997</v>
          </cell>
        </row>
        <row r="120">
          <cell r="G120">
            <v>104000</v>
          </cell>
          <cell r="H120">
            <v>0</v>
          </cell>
          <cell r="I120">
            <v>0</v>
          </cell>
          <cell r="J120">
            <v>0</v>
          </cell>
          <cell r="K120">
            <v>130000</v>
          </cell>
          <cell r="L120">
            <v>130000</v>
          </cell>
          <cell r="M120">
            <v>104000</v>
          </cell>
          <cell r="N120">
            <v>104000</v>
          </cell>
          <cell r="O120">
            <v>104000</v>
          </cell>
          <cell r="P120">
            <v>117000</v>
          </cell>
          <cell r="Q120">
            <v>104000</v>
          </cell>
          <cell r="R120">
            <v>104000</v>
          </cell>
        </row>
        <row r="121">
          <cell r="G121">
            <v>262108.87400000001</v>
          </cell>
          <cell r="H121">
            <v>78691.666666666672</v>
          </cell>
          <cell r="I121">
            <v>0</v>
          </cell>
          <cell r="J121">
            <v>0</v>
          </cell>
          <cell r="K121">
            <v>325310.962</v>
          </cell>
          <cell r="L121">
            <v>316010.44</v>
          </cell>
          <cell r="M121">
            <v>299310.962</v>
          </cell>
          <cell r="N121">
            <v>262108.87400000001</v>
          </cell>
          <cell r="O121">
            <v>299310.962</v>
          </cell>
          <cell r="P121">
            <v>293709.91800000001</v>
          </cell>
          <cell r="Q121">
            <v>299310.962</v>
          </cell>
          <cell r="R121">
            <v>308611.48399999994</v>
          </cell>
        </row>
        <row r="122">
          <cell r="G122">
            <v>156549.99164999995</v>
          </cell>
          <cell r="H122">
            <v>174696.5238</v>
          </cell>
          <cell r="I122">
            <v>0</v>
          </cell>
          <cell r="J122">
            <v>0</v>
          </cell>
          <cell r="K122">
            <v>192971.70600000001</v>
          </cell>
          <cell r="L122">
            <v>183888.024</v>
          </cell>
          <cell r="M122">
            <v>192961.014</v>
          </cell>
          <cell r="N122">
            <v>156557.13</v>
          </cell>
          <cell r="O122">
            <v>192973.986</v>
          </cell>
          <cell r="P122">
            <v>174696.666</v>
          </cell>
          <cell r="Q122">
            <v>193231.42379999999</v>
          </cell>
          <cell r="R122">
            <v>202304.77379999994</v>
          </cell>
        </row>
        <row r="123">
          <cell r="G123">
            <v>126000</v>
          </cell>
          <cell r="H123">
            <v>0</v>
          </cell>
          <cell r="I123">
            <v>0</v>
          </cell>
          <cell r="J123">
            <v>0</v>
          </cell>
          <cell r="K123">
            <v>144000</v>
          </cell>
          <cell r="L123">
            <v>144000</v>
          </cell>
          <cell r="M123">
            <v>144000</v>
          </cell>
          <cell r="N123">
            <v>126000</v>
          </cell>
          <cell r="O123">
            <v>126000</v>
          </cell>
          <cell r="P123">
            <v>162000</v>
          </cell>
          <cell r="Q123">
            <v>144000</v>
          </cell>
          <cell r="R123">
            <v>136332</v>
          </cell>
        </row>
        <row r="124">
          <cell r="G124">
            <v>282549.99164999998</v>
          </cell>
          <cell r="H124">
            <v>174696.5238</v>
          </cell>
          <cell r="I124">
            <v>0</v>
          </cell>
          <cell r="J124">
            <v>0</v>
          </cell>
          <cell r="K124">
            <v>336971.70600000001</v>
          </cell>
          <cell r="L124">
            <v>327888.02399999998</v>
          </cell>
          <cell r="M124">
            <v>336961.01399999997</v>
          </cell>
          <cell r="N124">
            <v>282557.13</v>
          </cell>
          <cell r="O124">
            <v>318973.98600000003</v>
          </cell>
          <cell r="P124">
            <v>336696.66599999997</v>
          </cell>
          <cell r="Q124">
            <v>337231.42379999999</v>
          </cell>
          <cell r="R124">
            <v>338636.77379999997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G126">
            <v>36000</v>
          </cell>
          <cell r="H126">
            <v>0</v>
          </cell>
          <cell r="I126">
            <v>0</v>
          </cell>
          <cell r="J126">
            <v>0</v>
          </cell>
          <cell r="K126">
            <v>36000</v>
          </cell>
          <cell r="L126">
            <v>36000</v>
          </cell>
          <cell r="M126">
            <v>36000</v>
          </cell>
          <cell r="N126">
            <v>36000</v>
          </cell>
          <cell r="O126">
            <v>36000</v>
          </cell>
          <cell r="P126">
            <v>36000</v>
          </cell>
          <cell r="Q126">
            <v>36000</v>
          </cell>
          <cell r="R126">
            <v>36000</v>
          </cell>
        </row>
        <row r="127">
          <cell r="G127">
            <v>36000</v>
          </cell>
          <cell r="H127">
            <v>0</v>
          </cell>
          <cell r="I127">
            <v>0</v>
          </cell>
          <cell r="J127">
            <v>0</v>
          </cell>
          <cell r="K127">
            <v>36000</v>
          </cell>
          <cell r="L127">
            <v>36000</v>
          </cell>
          <cell r="M127">
            <v>36000</v>
          </cell>
          <cell r="N127">
            <v>36000</v>
          </cell>
          <cell r="O127">
            <v>36000</v>
          </cell>
          <cell r="P127">
            <v>36000</v>
          </cell>
          <cell r="Q127">
            <v>36000</v>
          </cell>
          <cell r="R127">
            <v>36000</v>
          </cell>
        </row>
        <row r="128"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</row>
        <row r="133"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G137">
            <v>314658.86564999993</v>
          </cell>
          <cell r="H137">
            <v>253388.19046666665</v>
          </cell>
          <cell r="I137">
            <v>0</v>
          </cell>
          <cell r="J137">
            <v>0</v>
          </cell>
          <cell r="K137">
            <v>388282.66800000001</v>
          </cell>
          <cell r="L137">
            <v>369898.46400000004</v>
          </cell>
          <cell r="M137">
            <v>388271.97600000002</v>
          </cell>
          <cell r="N137">
            <v>314666.00400000002</v>
          </cell>
          <cell r="O137">
            <v>388284.94799999997</v>
          </cell>
          <cell r="P137">
            <v>351406.58400000003</v>
          </cell>
          <cell r="Q137">
            <v>388542.38579999999</v>
          </cell>
          <cell r="R137">
            <v>406916.2577999999</v>
          </cell>
        </row>
        <row r="138">
          <cell r="G138">
            <v>266000</v>
          </cell>
          <cell r="H138">
            <v>0</v>
          </cell>
          <cell r="I138">
            <v>0</v>
          </cell>
          <cell r="J138">
            <v>0</v>
          </cell>
          <cell r="K138">
            <v>310000</v>
          </cell>
          <cell r="L138">
            <v>310000</v>
          </cell>
          <cell r="M138">
            <v>284000</v>
          </cell>
          <cell r="N138">
            <v>266000</v>
          </cell>
          <cell r="O138">
            <v>266000</v>
          </cell>
          <cell r="P138">
            <v>315000</v>
          </cell>
          <cell r="Q138">
            <v>284000</v>
          </cell>
          <cell r="R138">
            <v>276332</v>
          </cell>
        </row>
        <row r="139">
          <cell r="G139">
            <v>580658.86564999993</v>
          </cell>
          <cell r="H139">
            <v>253388.19046666665</v>
          </cell>
          <cell r="I139">
            <v>0</v>
          </cell>
          <cell r="J139">
            <v>0</v>
          </cell>
          <cell r="K139">
            <v>698282.66800000006</v>
          </cell>
          <cell r="L139">
            <v>679898.46400000004</v>
          </cell>
          <cell r="M139">
            <v>672271.97600000002</v>
          </cell>
          <cell r="N139">
            <v>580666.00399999996</v>
          </cell>
          <cell r="O139">
            <v>654284.94799999997</v>
          </cell>
          <cell r="P139">
            <v>666406.58400000003</v>
          </cell>
          <cell r="Q139">
            <v>672542.38580000005</v>
          </cell>
          <cell r="R139">
            <v>683248.2577999999</v>
          </cell>
        </row>
      </sheetData>
      <sheetData sheetId="4"/>
      <sheetData sheetId="5">
        <row r="4">
          <cell r="G4" t="str">
            <v>1월</v>
          </cell>
        </row>
      </sheetData>
      <sheetData sheetId="6">
        <row r="11">
          <cell r="I11">
            <v>6670.41</v>
          </cell>
        </row>
      </sheetData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계획"/>
      <sheetName val="판매계획"/>
      <sheetName val="이송계획"/>
      <sheetName val="원가계획"/>
      <sheetName val="제조4"/>
      <sheetName val="제조6"/>
      <sheetName val="본사산출"/>
      <sheetName val="인별예산"/>
      <sheetName val="계정통제"/>
    </sheetNames>
    <sheetDataSet>
      <sheetData sheetId="0"/>
      <sheetData sheetId="1"/>
      <sheetData sheetId="2">
        <row r="6">
          <cell r="G6" t="str">
            <v>1월</v>
          </cell>
          <cell r="H6" t="str">
            <v>2월</v>
          </cell>
          <cell r="I6" t="str">
            <v>3월</v>
          </cell>
          <cell r="J6" t="str">
            <v>4월</v>
          </cell>
          <cell r="K6" t="str">
            <v>5월</v>
          </cell>
          <cell r="L6" t="str">
            <v>6월</v>
          </cell>
          <cell r="M6" t="str">
            <v>7월</v>
          </cell>
          <cell r="N6" t="str">
            <v>8월</v>
          </cell>
          <cell r="O6" t="str">
            <v>9월</v>
          </cell>
          <cell r="P6" t="str">
            <v>10월</v>
          </cell>
          <cell r="Q6" t="str">
            <v>11월</v>
          </cell>
          <cell r="R6" t="str">
            <v>12월</v>
          </cell>
        </row>
        <row r="7">
          <cell r="G7">
            <v>0</v>
          </cell>
          <cell r="H7">
            <v>2000</v>
          </cell>
          <cell r="I7">
            <v>5000</v>
          </cell>
          <cell r="J7">
            <v>2000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G8">
            <v>5000</v>
          </cell>
          <cell r="H8">
            <v>5000</v>
          </cell>
          <cell r="I8">
            <v>0</v>
          </cell>
          <cell r="J8">
            <v>5000</v>
          </cell>
          <cell r="K8">
            <v>7000</v>
          </cell>
          <cell r="L8">
            <v>7000</v>
          </cell>
          <cell r="M8">
            <v>7000</v>
          </cell>
          <cell r="N8">
            <v>5000</v>
          </cell>
          <cell r="O8">
            <v>5000</v>
          </cell>
          <cell r="P8">
            <v>6000</v>
          </cell>
          <cell r="Q8">
            <v>6000</v>
          </cell>
          <cell r="R8">
            <v>6692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5000</v>
          </cell>
          <cell r="H11">
            <v>7000</v>
          </cell>
          <cell r="I11">
            <v>5000</v>
          </cell>
          <cell r="J11">
            <v>7000</v>
          </cell>
          <cell r="K11">
            <v>7000</v>
          </cell>
          <cell r="L11">
            <v>7000</v>
          </cell>
          <cell r="M11">
            <v>7000</v>
          </cell>
          <cell r="N11">
            <v>5000</v>
          </cell>
          <cell r="O11">
            <v>5000</v>
          </cell>
          <cell r="P11">
            <v>6000</v>
          </cell>
          <cell r="Q11">
            <v>6000</v>
          </cell>
          <cell r="R11">
            <v>6692</v>
          </cell>
        </row>
        <row r="12">
          <cell r="G12">
            <v>213.98601398601397</v>
          </cell>
          <cell r="H12">
            <v>4593.2091531880096</v>
          </cell>
          <cell r="I12">
            <v>5114.4942120189553</v>
          </cell>
          <cell r="J12">
            <v>5116.1584147817566</v>
          </cell>
          <cell r="K12">
            <v>264.33566433566432</v>
          </cell>
          <cell r="L12">
            <v>251.74825174825176</v>
          </cell>
          <cell r="M12">
            <v>264.33566433566432</v>
          </cell>
          <cell r="N12">
            <v>213.98601398601397</v>
          </cell>
          <cell r="O12">
            <v>264.33566433566432</v>
          </cell>
          <cell r="P12">
            <v>239.16083916083917</v>
          </cell>
          <cell r="Q12">
            <v>264.33566433566432</v>
          </cell>
          <cell r="R12">
            <v>276.92307692307691</v>
          </cell>
        </row>
        <row r="13">
          <cell r="G13">
            <v>14440.149208907764</v>
          </cell>
          <cell r="H13">
            <v>5120.9790209790208</v>
          </cell>
          <cell r="I13">
            <v>4361.5384615384619</v>
          </cell>
          <cell r="J13">
            <v>5830.0699300699307</v>
          </cell>
          <cell r="K13">
            <v>17690.392945850268</v>
          </cell>
          <cell r="L13">
            <v>17204.476652649148</v>
          </cell>
          <cell r="M13">
            <v>17044.140686853581</v>
          </cell>
          <cell r="N13">
            <v>15240.566022917999</v>
          </cell>
          <cell r="O13">
            <v>17558.976932252597</v>
          </cell>
          <cell r="P13">
            <v>16675.146537834062</v>
          </cell>
          <cell r="Q13">
            <v>18906.43020671804</v>
          </cell>
          <cell r="R13">
            <v>19157.89873818657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G16">
            <v>14654.135222893778</v>
          </cell>
          <cell r="H16">
            <v>9714.1881741670295</v>
          </cell>
          <cell r="I16">
            <v>9476.0326735574163</v>
          </cell>
          <cell r="J16">
            <v>10946.228344851686</v>
          </cell>
          <cell r="K16">
            <v>17954.728610185932</v>
          </cell>
          <cell r="L16">
            <v>17456.224904397401</v>
          </cell>
          <cell r="M16">
            <v>17308.476351189245</v>
          </cell>
          <cell r="N16">
            <v>15454.552036904013</v>
          </cell>
          <cell r="O16">
            <v>17823.312596588261</v>
          </cell>
          <cell r="P16">
            <v>16914.307376994901</v>
          </cell>
          <cell r="Q16">
            <v>19170.765871053703</v>
          </cell>
          <cell r="R16">
            <v>19434.821815109648</v>
          </cell>
        </row>
        <row r="17">
          <cell r="G17">
            <v>213.98601398601397</v>
          </cell>
          <cell r="H17">
            <v>6593.2091531880096</v>
          </cell>
          <cell r="I17">
            <v>10114.494212018955</v>
          </cell>
          <cell r="J17">
            <v>7116.1584147817566</v>
          </cell>
          <cell r="K17">
            <v>264.33566433566432</v>
          </cell>
          <cell r="L17">
            <v>251.74825174825176</v>
          </cell>
          <cell r="M17">
            <v>264.33566433566432</v>
          </cell>
          <cell r="N17">
            <v>213.98601398601397</v>
          </cell>
          <cell r="O17">
            <v>264.33566433566432</v>
          </cell>
          <cell r="P17">
            <v>239.16083916083917</v>
          </cell>
          <cell r="Q17">
            <v>264.33566433566432</v>
          </cell>
          <cell r="R17">
            <v>276.92307692307691</v>
          </cell>
        </row>
        <row r="18">
          <cell r="G18">
            <v>19440.149208907766</v>
          </cell>
          <cell r="H18">
            <v>10120.979020979021</v>
          </cell>
          <cell r="I18">
            <v>4361.5384615384619</v>
          </cell>
          <cell r="J18">
            <v>10830.069930069931</v>
          </cell>
          <cell r="K18">
            <v>24690.392945850268</v>
          </cell>
          <cell r="L18">
            <v>24204.476652649148</v>
          </cell>
          <cell r="M18">
            <v>24044.140686853581</v>
          </cell>
          <cell r="N18">
            <v>20240.566022917999</v>
          </cell>
          <cell r="O18">
            <v>22558.976932252597</v>
          </cell>
          <cell r="P18">
            <v>22675.146537834062</v>
          </cell>
          <cell r="Q18">
            <v>24906.43020671804</v>
          </cell>
          <cell r="R18">
            <v>25849.89873818657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G21">
            <v>19654.135222893779</v>
          </cell>
          <cell r="H21">
            <v>16714.18817416703</v>
          </cell>
          <cell r="I21">
            <v>14476.032673557416</v>
          </cell>
          <cell r="J21">
            <v>17946.228344851686</v>
          </cell>
          <cell r="K21">
            <v>24954.728610185932</v>
          </cell>
          <cell r="L21">
            <v>24456.224904397401</v>
          </cell>
          <cell r="M21">
            <v>24308.476351189245</v>
          </cell>
          <cell r="N21">
            <v>20454.552036904013</v>
          </cell>
          <cell r="O21">
            <v>22823.312596588261</v>
          </cell>
          <cell r="P21">
            <v>22914.307376994901</v>
          </cell>
          <cell r="Q21">
            <v>25170.765871053703</v>
          </cell>
          <cell r="R21">
            <v>26126.821815109648</v>
          </cell>
        </row>
        <row r="24">
          <cell r="G24" t="str">
            <v>1월</v>
          </cell>
          <cell r="H24" t="str">
            <v>2월</v>
          </cell>
          <cell r="I24" t="str">
            <v>3월</v>
          </cell>
          <cell r="J24" t="str">
            <v>4월</v>
          </cell>
          <cell r="K24" t="str">
            <v>5월</v>
          </cell>
          <cell r="L24" t="str">
            <v>6월</v>
          </cell>
          <cell r="M24" t="str">
            <v>7월</v>
          </cell>
          <cell r="N24" t="str">
            <v>8월</v>
          </cell>
          <cell r="O24" t="str">
            <v>9월</v>
          </cell>
          <cell r="P24" t="str">
            <v>10월</v>
          </cell>
          <cell r="Q24" t="str">
            <v>11월</v>
          </cell>
          <cell r="R24" t="str">
            <v>12월</v>
          </cell>
        </row>
        <row r="25">
          <cell r="G25">
            <v>0</v>
          </cell>
          <cell r="H25">
            <v>35000</v>
          </cell>
          <cell r="I25">
            <v>35000</v>
          </cell>
          <cell r="J25">
            <v>35000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27500</v>
          </cell>
          <cell r="H26">
            <v>27500</v>
          </cell>
          <cell r="I26">
            <v>0</v>
          </cell>
          <cell r="J26">
            <v>27500</v>
          </cell>
          <cell r="K26">
            <v>27500</v>
          </cell>
          <cell r="L26">
            <v>27500</v>
          </cell>
          <cell r="M26">
            <v>27500</v>
          </cell>
          <cell r="N26">
            <v>27500</v>
          </cell>
          <cell r="O26">
            <v>27500</v>
          </cell>
          <cell r="P26">
            <v>27500</v>
          </cell>
          <cell r="Q26">
            <v>27500</v>
          </cell>
          <cell r="R26">
            <v>27500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G29">
            <v>27500</v>
          </cell>
          <cell r="H29">
            <v>29642.857142857141</v>
          </cell>
          <cell r="I29">
            <v>35000</v>
          </cell>
          <cell r="J29">
            <v>29642.857142857141</v>
          </cell>
          <cell r="K29">
            <v>27500</v>
          </cell>
          <cell r="L29">
            <v>27500</v>
          </cell>
          <cell r="M29">
            <v>27500</v>
          </cell>
          <cell r="N29">
            <v>27500</v>
          </cell>
          <cell r="O29">
            <v>27500</v>
          </cell>
          <cell r="P29">
            <v>27500</v>
          </cell>
          <cell r="Q29">
            <v>27500</v>
          </cell>
          <cell r="R29">
            <v>27500</v>
          </cell>
        </row>
        <row r="30">
          <cell r="G30">
            <v>38000</v>
          </cell>
          <cell r="H30">
            <v>34682.239238220187</v>
          </cell>
          <cell r="I30">
            <v>1963.9782211797753</v>
          </cell>
          <cell r="J30">
            <v>34680.833889447546</v>
          </cell>
          <cell r="K30">
            <v>38000</v>
          </cell>
          <cell r="L30">
            <v>38000</v>
          </cell>
          <cell r="M30">
            <v>38000</v>
          </cell>
          <cell r="N30">
            <v>38000</v>
          </cell>
          <cell r="O30">
            <v>38000</v>
          </cell>
          <cell r="P30">
            <v>38000</v>
          </cell>
          <cell r="Q30">
            <v>38000</v>
          </cell>
          <cell r="R30">
            <v>38000</v>
          </cell>
        </row>
        <row r="31">
          <cell r="G31">
            <v>26774.317783971848</v>
          </cell>
          <cell r="H31">
            <v>60575.51189028137</v>
          </cell>
          <cell r="I31">
            <v>32803.030303030304</v>
          </cell>
          <cell r="J31">
            <v>59800.548805716426</v>
          </cell>
          <cell r="K31">
            <v>26891.213210264519</v>
          </cell>
          <cell r="L31">
            <v>26826.746685941991</v>
          </cell>
          <cell r="M31">
            <v>26990.989944186505</v>
          </cell>
          <cell r="N31">
            <v>26628.537582991587</v>
          </cell>
          <cell r="O31">
            <v>26898.560323922924</v>
          </cell>
          <cell r="P31">
            <v>26760.553763396958</v>
          </cell>
          <cell r="Q31">
            <v>26782.699113055613</v>
          </cell>
          <cell r="R31">
            <v>26847.320029743922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26938.240045855226</v>
          </cell>
          <cell r="H34">
            <v>48332.263682703953</v>
          </cell>
          <cell r="I34">
            <v>16158.284678956456</v>
          </cell>
          <cell r="J34">
            <v>48059.843532905943</v>
          </cell>
          <cell r="K34">
            <v>27054.760574292181</v>
          </cell>
          <cell r="L34">
            <v>26987.883873596224</v>
          </cell>
          <cell r="M34">
            <v>27159.119935974119</v>
          </cell>
          <cell r="N34">
            <v>26785.988534012155</v>
          </cell>
          <cell r="O34">
            <v>27063.20460180087</v>
          </cell>
          <cell r="P34">
            <v>26919.474571310449</v>
          </cell>
          <cell r="Q34">
            <v>26937.368608366731</v>
          </cell>
          <cell r="R34">
            <v>27006.232443898421</v>
          </cell>
        </row>
        <row r="35">
          <cell r="G35">
            <v>38000</v>
          </cell>
          <cell r="H35">
            <v>34778.629555711072</v>
          </cell>
          <cell r="I35">
            <v>18295.008268912581</v>
          </cell>
          <cell r="J35">
            <v>34770.535689758646</v>
          </cell>
          <cell r="K35">
            <v>38000</v>
          </cell>
          <cell r="L35">
            <v>38000</v>
          </cell>
          <cell r="M35">
            <v>38000</v>
          </cell>
          <cell r="N35">
            <v>38000</v>
          </cell>
          <cell r="O35">
            <v>38000</v>
          </cell>
          <cell r="P35">
            <v>38000</v>
          </cell>
          <cell r="Q35">
            <v>38000</v>
          </cell>
          <cell r="R35">
            <v>38000</v>
          </cell>
        </row>
        <row r="36">
          <cell r="G36">
            <v>26960.963011904467</v>
          </cell>
          <cell r="H36">
            <v>44235.436576558452</v>
          </cell>
          <cell r="I36">
            <v>32803.030303030304</v>
          </cell>
          <cell r="J36">
            <v>44888.111021712262</v>
          </cell>
          <cell r="K36">
            <v>27063.811011259197</v>
          </cell>
          <cell r="L36">
            <v>27021.453362150598</v>
          </cell>
          <cell r="M36">
            <v>27139.178662473394</v>
          </cell>
          <cell r="N36">
            <v>26843.813780312768</v>
          </cell>
          <cell r="O36">
            <v>27031.86416963438</v>
          </cell>
          <cell r="P36">
            <v>26956.216332201777</v>
          </cell>
          <cell r="Q36">
            <v>26955.498076453649</v>
          </cell>
          <cell r="R36">
            <v>27016.285270389199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27081.15143518219</v>
          </cell>
          <cell r="H39">
            <v>40505.030650762361</v>
          </cell>
          <cell r="I39">
            <v>22666.184925500071</v>
          </cell>
          <cell r="J39">
            <v>40876.222425837776</v>
          </cell>
          <cell r="K39">
            <v>27179.653777045052</v>
          </cell>
          <cell r="L39">
            <v>27134.464668417997</v>
          </cell>
          <cell r="M39">
            <v>27257.281598338624</v>
          </cell>
          <cell r="N39">
            <v>26960.524613976078</v>
          </cell>
          <cell r="O39">
            <v>27158.895224349762</v>
          </cell>
          <cell r="P39">
            <v>27071.482332873176</v>
          </cell>
          <cell r="Q39">
            <v>27071.48404875871</v>
          </cell>
          <cell r="R39">
            <v>27132.703719617111</v>
          </cell>
        </row>
        <row r="42">
          <cell r="G42" t="str">
            <v>1월</v>
          </cell>
          <cell r="H42" t="str">
            <v>2월</v>
          </cell>
          <cell r="I42" t="str">
            <v>3월</v>
          </cell>
          <cell r="J42" t="str">
            <v>4월</v>
          </cell>
          <cell r="K42" t="str">
            <v>5월</v>
          </cell>
          <cell r="L42" t="str">
            <v>6월</v>
          </cell>
          <cell r="M42" t="str">
            <v>7월</v>
          </cell>
          <cell r="N42" t="str">
            <v>8월</v>
          </cell>
          <cell r="O42" t="str">
            <v>9월</v>
          </cell>
          <cell r="P42" t="str">
            <v>10월</v>
          </cell>
          <cell r="Q42" t="str">
            <v>11월</v>
          </cell>
          <cell r="R42" t="str">
            <v>12월</v>
          </cell>
          <cell r="S42" t="str">
            <v>계</v>
          </cell>
        </row>
        <row r="43">
          <cell r="G43">
            <v>0</v>
          </cell>
          <cell r="H43">
            <v>70000</v>
          </cell>
          <cell r="I43">
            <v>175000</v>
          </cell>
          <cell r="J43">
            <v>70000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315000</v>
          </cell>
        </row>
        <row r="44">
          <cell r="G44">
            <v>137500</v>
          </cell>
          <cell r="H44">
            <v>137500</v>
          </cell>
          <cell r="I44">
            <v>0</v>
          </cell>
          <cell r="J44">
            <v>137500</v>
          </cell>
          <cell r="K44">
            <v>192500</v>
          </cell>
          <cell r="L44">
            <v>192500</v>
          </cell>
          <cell r="M44">
            <v>192500</v>
          </cell>
          <cell r="N44">
            <v>137500</v>
          </cell>
          <cell r="O44">
            <v>137500</v>
          </cell>
          <cell r="P44">
            <v>165000</v>
          </cell>
          <cell r="Q44">
            <v>165000</v>
          </cell>
          <cell r="R44">
            <v>184030</v>
          </cell>
          <cell r="S44">
            <v>1779030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</row>
        <row r="47">
          <cell r="G47">
            <v>137500</v>
          </cell>
          <cell r="H47">
            <v>207500</v>
          </cell>
          <cell r="I47">
            <v>175000</v>
          </cell>
          <cell r="J47">
            <v>207500</v>
          </cell>
          <cell r="K47">
            <v>192500</v>
          </cell>
          <cell r="L47">
            <v>192500</v>
          </cell>
          <cell r="M47">
            <v>192500</v>
          </cell>
          <cell r="N47">
            <v>137500</v>
          </cell>
          <cell r="O47">
            <v>137500</v>
          </cell>
          <cell r="P47">
            <v>165000</v>
          </cell>
          <cell r="Q47">
            <v>165000</v>
          </cell>
          <cell r="R47">
            <v>184030</v>
          </cell>
          <cell r="S47">
            <v>2094030</v>
          </cell>
        </row>
        <row r="48">
          <cell r="G48">
            <v>8131.4685314685312</v>
          </cell>
          <cell r="H48">
            <v>159302.77872204929</v>
          </cell>
          <cell r="I48">
            <v>10044.755244755244</v>
          </cell>
          <cell r="J48">
            <v>177432.6401351454</v>
          </cell>
          <cell r="K48">
            <v>10044.755244755244</v>
          </cell>
          <cell r="L48">
            <v>9566.4335664335667</v>
          </cell>
          <cell r="M48">
            <v>10044.755244755244</v>
          </cell>
          <cell r="N48">
            <v>8131.4685314685312</v>
          </cell>
          <cell r="O48">
            <v>10044.755244755244</v>
          </cell>
          <cell r="P48">
            <v>9088.1118881118891</v>
          </cell>
          <cell r="Q48">
            <v>10044.755244755244</v>
          </cell>
          <cell r="R48">
            <v>10523.076923076922</v>
          </cell>
          <cell r="S48">
            <v>432399.75452153035</v>
          </cell>
        </row>
        <row r="49">
          <cell r="G49">
            <v>386625.14376726619</v>
          </cell>
          <cell r="H49">
            <v>310205.9255751961</v>
          </cell>
          <cell r="I49">
            <v>143071.67832167834</v>
          </cell>
          <cell r="J49">
            <v>348641.38139388664</v>
          </cell>
          <cell r="K49">
            <v>475716.12848021893</v>
          </cell>
          <cell r="L49">
            <v>461540.13702482189</v>
          </cell>
          <cell r="M49">
            <v>460038.22988616512</v>
          </cell>
          <cell r="N49">
            <v>405833.98512733658</v>
          </cell>
          <cell r="O49">
            <v>472311.2002385676</v>
          </cell>
          <cell r="P49">
            <v>446236.15543823107</v>
          </cell>
          <cell r="Q49">
            <v>506365.23152851511</v>
          </cell>
          <cell r="R49">
            <v>514338.23852152214</v>
          </cell>
          <cell r="S49">
            <v>4930923.4353034049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</row>
        <row r="52">
          <cell r="G52">
            <v>394756.61229873472</v>
          </cell>
          <cell r="H52">
            <v>469508.70429724536</v>
          </cell>
          <cell r="I52">
            <v>153116.43356643358</v>
          </cell>
          <cell r="J52">
            <v>526074.02152903203</v>
          </cell>
          <cell r="K52">
            <v>485760.88372497418</v>
          </cell>
          <cell r="L52">
            <v>471106.57059125544</v>
          </cell>
          <cell r="M52">
            <v>470082.98513092037</v>
          </cell>
          <cell r="N52">
            <v>413965.45365880511</v>
          </cell>
          <cell r="O52">
            <v>482355.95548332285</v>
          </cell>
          <cell r="P52">
            <v>455324.26732634299</v>
          </cell>
          <cell r="Q52">
            <v>516409.98677327036</v>
          </cell>
          <cell r="R52">
            <v>524861.31544459902</v>
          </cell>
          <cell r="S52">
            <v>5363323.189824936</v>
          </cell>
        </row>
        <row r="53">
          <cell r="G53">
            <v>8131.4685314685312</v>
          </cell>
          <cell r="H53">
            <v>229302.77872204929</v>
          </cell>
          <cell r="I53">
            <v>185044.75524475524</v>
          </cell>
          <cell r="J53">
            <v>247432.6401351454</v>
          </cell>
          <cell r="K53">
            <v>10044.755244755244</v>
          </cell>
          <cell r="L53">
            <v>9566.4335664335667</v>
          </cell>
          <cell r="M53">
            <v>10044.755244755244</v>
          </cell>
          <cell r="N53">
            <v>8131.4685314685312</v>
          </cell>
          <cell r="O53">
            <v>10044.755244755244</v>
          </cell>
          <cell r="P53">
            <v>9088.1118881118891</v>
          </cell>
          <cell r="Q53">
            <v>10044.755244755244</v>
          </cell>
          <cell r="R53">
            <v>10523.076923076922</v>
          </cell>
          <cell r="S53">
            <v>747399.75452153047</v>
          </cell>
        </row>
        <row r="54">
          <cell r="G54">
            <v>524125.14376726619</v>
          </cell>
          <cell r="H54">
            <v>447705.9255751961</v>
          </cell>
          <cell r="I54">
            <v>143071.67832167834</v>
          </cell>
          <cell r="J54">
            <v>486141.38139388664</v>
          </cell>
          <cell r="K54">
            <v>668216.12848021893</v>
          </cell>
          <cell r="L54">
            <v>654040.13702482195</v>
          </cell>
          <cell r="M54">
            <v>652538.22988616512</v>
          </cell>
          <cell r="N54">
            <v>543333.98512733658</v>
          </cell>
          <cell r="O54">
            <v>609811.20023856754</v>
          </cell>
          <cell r="P54">
            <v>611236.15543823107</v>
          </cell>
          <cell r="Q54">
            <v>671365.23152851511</v>
          </cell>
          <cell r="R54">
            <v>698368.23852152214</v>
          </cell>
          <cell r="S54">
            <v>6709953.4353034059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G57">
            <v>532256.61229873472</v>
          </cell>
          <cell r="H57">
            <v>677008.70429724536</v>
          </cell>
          <cell r="I57">
            <v>328116.43356643361</v>
          </cell>
          <cell r="J57">
            <v>733574.02152903203</v>
          </cell>
          <cell r="K57">
            <v>678260.88372497424</v>
          </cell>
          <cell r="L57">
            <v>663606.57059125556</v>
          </cell>
          <cell r="M57">
            <v>662582.98513092031</v>
          </cell>
          <cell r="N57">
            <v>551465.45365880511</v>
          </cell>
          <cell r="O57">
            <v>619855.95548332273</v>
          </cell>
          <cell r="P57">
            <v>620324.26732634299</v>
          </cell>
          <cell r="Q57">
            <v>681409.98677327042</v>
          </cell>
          <cell r="R57">
            <v>708891.31544459902</v>
          </cell>
          <cell r="S57">
            <v>7457353.189824936</v>
          </cell>
        </row>
        <row r="61">
          <cell r="G61">
            <v>-9145.5385160520436</v>
          </cell>
          <cell r="H61">
            <v>2101.2061842027215</v>
          </cell>
          <cell r="I61">
            <v>6787.8002327660342</v>
          </cell>
          <cell r="J61">
            <v>3761.5560514223289</v>
          </cell>
          <cell r="K61">
            <v>9436.5257496468785</v>
          </cell>
          <cell r="L61">
            <v>-12610.488015752338</v>
          </cell>
          <cell r="M61">
            <v>3430.9760370592048</v>
          </cell>
          <cell r="N61">
            <v>-47.499825874483577</v>
          </cell>
          <cell r="O61">
            <v>611.318093939145</v>
          </cell>
          <cell r="P61">
            <v>3420.6293692365089</v>
          </cell>
          <cell r="Q61">
            <v>5980.2372716005593</v>
          </cell>
          <cell r="R61">
            <v>8791.3008656443544</v>
          </cell>
        </row>
        <row r="62">
          <cell r="G62">
            <v>14956.135789603501</v>
          </cell>
          <cell r="H62">
            <v>204397.56062117257</v>
          </cell>
          <cell r="I62">
            <v>-24913.532471101731</v>
          </cell>
          <cell r="J62">
            <v>228583.36187974125</v>
          </cell>
          <cell r="K62">
            <v>61137.690010596663</v>
          </cell>
          <cell r="L62">
            <v>8320.6989160860394</v>
          </cell>
          <cell r="M62">
            <v>47517.078493356668</v>
          </cell>
          <cell r="N62">
            <v>40091.76410076076</v>
          </cell>
          <cell r="O62">
            <v>58514.586100921959</v>
          </cell>
          <cell r="P62">
            <v>47153.270502419029</v>
          </cell>
          <cell r="Q62">
            <v>63100.454239231985</v>
          </cell>
          <cell r="R62">
            <v>67699.801849611162</v>
          </cell>
        </row>
        <row r="63">
          <cell r="G63">
            <v>5810.597273551457</v>
          </cell>
          <cell r="H63">
            <v>206498.76680537529</v>
          </cell>
          <cell r="I63">
            <v>-18125.732238335695</v>
          </cell>
          <cell r="J63">
            <v>232344.91793116357</v>
          </cell>
          <cell r="K63">
            <v>70574.215760243547</v>
          </cell>
          <cell r="L63">
            <v>-4289.7890996662991</v>
          </cell>
          <cell r="M63">
            <v>50948.054530415873</v>
          </cell>
          <cell r="N63">
            <v>40044.264274886278</v>
          </cell>
          <cell r="O63">
            <v>59125.904194861105</v>
          </cell>
          <cell r="P63">
            <v>50573.899871655536</v>
          </cell>
          <cell r="Q63">
            <v>69080.691510832548</v>
          </cell>
          <cell r="R63">
            <v>76491.102715255518</v>
          </cell>
        </row>
        <row r="64">
          <cell r="G64">
            <v>0</v>
          </cell>
          <cell r="H64">
            <v>708.84064045393006</v>
          </cell>
          <cell r="I64">
            <v>6787.8002327660342</v>
          </cell>
          <cell r="J64">
            <v>1268.9586679497013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G65">
            <v>-9145.5385160520436</v>
          </cell>
          <cell r="H65">
            <v>1392.3655437487912</v>
          </cell>
          <cell r="I65">
            <v>0</v>
          </cell>
          <cell r="J65">
            <v>2492.5973834726278</v>
          </cell>
          <cell r="K65">
            <v>9436.5257496468785</v>
          </cell>
          <cell r="L65">
            <v>-12610.488015752338</v>
          </cell>
          <cell r="M65">
            <v>3430.9760370592048</v>
          </cell>
          <cell r="N65">
            <v>-47.499825874483577</v>
          </cell>
          <cell r="O65">
            <v>611.318093939145</v>
          </cell>
          <cell r="P65">
            <v>3420.6293692365089</v>
          </cell>
          <cell r="Q65">
            <v>5980.2372716005593</v>
          </cell>
          <cell r="R65">
            <v>8791.3008656443544</v>
          </cell>
        </row>
        <row r="66">
          <cell r="G66">
            <v>308.07678386270544</v>
          </cell>
          <cell r="H66">
            <v>69351.428574041769</v>
          </cell>
          <cell r="I66">
            <v>-1634.379342083497</v>
          </cell>
          <cell r="J66">
            <v>77095.898541820672</v>
          </cell>
          <cell r="K66">
            <v>1264.2292802107484</v>
          </cell>
          <cell r="L66">
            <v>168.96264746877293</v>
          </cell>
          <cell r="M66">
            <v>1015.3471589248468</v>
          </cell>
          <cell r="N66">
            <v>787.51720771630551</v>
          </cell>
          <cell r="O66">
            <v>1218.5289493170565</v>
          </cell>
          <cell r="P66">
            <v>941.16265915879296</v>
          </cell>
          <cell r="Q66">
            <v>1227.3748279470165</v>
          </cell>
          <cell r="R66">
            <v>1357.3304062941957</v>
          </cell>
        </row>
        <row r="67">
          <cell r="G67">
            <v>14648.059005740795</v>
          </cell>
          <cell r="H67">
            <v>135046.13204713081</v>
          </cell>
          <cell r="I67">
            <v>-23279.153129018232</v>
          </cell>
          <cell r="J67">
            <v>151487.46333792058</v>
          </cell>
          <cell r="K67">
            <v>59873.460730385916</v>
          </cell>
          <cell r="L67">
            <v>8151.7362686172673</v>
          </cell>
          <cell r="M67">
            <v>46501.731334431817</v>
          </cell>
          <cell r="N67">
            <v>39304.246893044452</v>
          </cell>
          <cell r="O67">
            <v>57296.057151604902</v>
          </cell>
          <cell r="P67">
            <v>46212.10784326023</v>
          </cell>
          <cell r="Q67">
            <v>61873.079411284962</v>
          </cell>
          <cell r="R67">
            <v>66342.471443316972</v>
          </cell>
        </row>
      </sheetData>
      <sheetData sheetId="3">
        <row r="6">
          <cell r="G6" t="str">
            <v>1월</v>
          </cell>
          <cell r="H6" t="str">
            <v>2월</v>
          </cell>
          <cell r="I6" t="str">
            <v>3월</v>
          </cell>
          <cell r="J6" t="str">
            <v>4월</v>
          </cell>
          <cell r="K6" t="str">
            <v>5월</v>
          </cell>
          <cell r="L6" t="str">
            <v>6월</v>
          </cell>
          <cell r="M6" t="str">
            <v>7월</v>
          </cell>
          <cell r="N6" t="str">
            <v>8월</v>
          </cell>
          <cell r="O6" t="str">
            <v>9월</v>
          </cell>
          <cell r="P6" t="str">
            <v>10월</v>
          </cell>
          <cell r="Q6" t="str">
            <v>11월</v>
          </cell>
          <cell r="R6" t="str">
            <v>12월</v>
          </cell>
        </row>
        <row r="7">
          <cell r="G7">
            <v>213.98601398601397</v>
          </cell>
          <cell r="H7">
            <v>239.16083916083917</v>
          </cell>
          <cell r="I7">
            <v>264.33566433566432</v>
          </cell>
          <cell r="J7">
            <v>264.33566433566432</v>
          </cell>
          <cell r="K7">
            <v>264.33566433566432</v>
          </cell>
          <cell r="L7">
            <v>251.74825174825176</v>
          </cell>
          <cell r="M7">
            <v>264.33566433566432</v>
          </cell>
          <cell r="N7">
            <v>213.98601398601397</v>
          </cell>
          <cell r="O7">
            <v>264.33566433566432</v>
          </cell>
          <cell r="P7">
            <v>239.16083916083917</v>
          </cell>
          <cell r="Q7">
            <v>264.33566433566432</v>
          </cell>
          <cell r="R7">
            <v>276.92307692307691</v>
          </cell>
        </row>
        <row r="8"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4354.0483140271708</v>
          </cell>
          <cell r="I10">
            <v>4850.1585476832906</v>
          </cell>
          <cell r="J10">
            <v>4851.822750446092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G13">
            <v>213.98601398601397</v>
          </cell>
          <cell r="H13">
            <v>4593.2091531880096</v>
          </cell>
          <cell r="I13">
            <v>5114.4942120189553</v>
          </cell>
          <cell r="J13">
            <v>5116.1584147817566</v>
          </cell>
          <cell r="K13">
            <v>264.33566433566432</v>
          </cell>
          <cell r="L13">
            <v>251.74825174825176</v>
          </cell>
          <cell r="M13">
            <v>264.33566433566432</v>
          </cell>
          <cell r="N13">
            <v>213.98601398601397</v>
          </cell>
          <cell r="O13">
            <v>264.33566433566432</v>
          </cell>
          <cell r="P13">
            <v>239.16083916083917</v>
          </cell>
          <cell r="Q13">
            <v>264.33566433566432</v>
          </cell>
          <cell r="R13">
            <v>276.92307692307691</v>
          </cell>
        </row>
        <row r="14">
          <cell r="G14">
            <v>3530.7692307692309</v>
          </cell>
          <cell r="H14">
            <v>3946.1538461538462</v>
          </cell>
          <cell r="I14">
            <v>4361.5384615384619</v>
          </cell>
          <cell r="J14">
            <v>4361.5384615384619</v>
          </cell>
          <cell r="K14">
            <v>4361.5384615384619</v>
          </cell>
          <cell r="L14">
            <v>4153.8461538461543</v>
          </cell>
          <cell r="M14">
            <v>4361.5384615384619</v>
          </cell>
          <cell r="N14">
            <v>3530.7692307692309</v>
          </cell>
          <cell r="O14">
            <v>4361.5384615384619</v>
          </cell>
          <cell r="P14">
            <v>3946.1538461538462</v>
          </cell>
          <cell r="Q14">
            <v>4361.5384615384619</v>
          </cell>
          <cell r="R14">
            <v>4569.2307692307695</v>
          </cell>
        </row>
        <row r="15">
          <cell r="G15">
            <v>4067.8321678321677</v>
          </cell>
          <cell r="H15">
            <v>0</v>
          </cell>
          <cell r="I15">
            <v>0</v>
          </cell>
          <cell r="J15">
            <v>0</v>
          </cell>
          <cell r="K15">
            <v>5671.9580419580416</v>
          </cell>
          <cell r="L15">
            <v>5413.4965034965035</v>
          </cell>
          <cell r="M15">
            <v>5413.4965034965035</v>
          </cell>
          <cell r="N15">
            <v>4602.1678321678319</v>
          </cell>
          <cell r="O15">
            <v>5695.734265734266</v>
          </cell>
          <cell r="P15">
            <v>5156.5734265734263</v>
          </cell>
          <cell r="Q15">
            <v>6210.6993006993007</v>
          </cell>
          <cell r="R15">
            <v>6254.4755244755243</v>
          </cell>
        </row>
        <row r="16">
          <cell r="G16">
            <v>1913.2867132867134</v>
          </cell>
          <cell r="H16">
            <v>1174.8251748251748</v>
          </cell>
          <cell r="I16">
            <v>0</v>
          </cell>
          <cell r="J16">
            <v>1468.5314685314686</v>
          </cell>
          <cell r="K16">
            <v>2391.6083916083917</v>
          </cell>
          <cell r="L16">
            <v>2391.6083916083917</v>
          </cell>
          <cell r="M16">
            <v>2072.7272727272725</v>
          </cell>
          <cell r="N16">
            <v>2072.7272727272725</v>
          </cell>
          <cell r="O16">
            <v>2232.1678321678323</v>
          </cell>
          <cell r="P16">
            <v>2551.048951048951</v>
          </cell>
          <cell r="Q16">
            <v>2551.048951048951</v>
          </cell>
          <cell r="R16">
            <v>2551.048951048951</v>
          </cell>
        </row>
        <row r="17">
          <cell r="G17">
            <v>4356.2387193972736</v>
          </cell>
          <cell r="H17">
            <v>0</v>
          </cell>
          <cell r="I17">
            <v>0</v>
          </cell>
          <cell r="J17">
            <v>0</v>
          </cell>
          <cell r="K17">
            <v>4621.374764032088</v>
          </cell>
          <cell r="L17">
            <v>4601.6123169848106</v>
          </cell>
          <cell r="M17">
            <v>4600.691735804633</v>
          </cell>
          <cell r="N17">
            <v>4390.9884005403792</v>
          </cell>
          <cell r="O17">
            <v>4625.6230860987525</v>
          </cell>
          <cell r="P17">
            <v>4377.4570273445524</v>
          </cell>
          <cell r="Q17">
            <v>5091.6441927320257</v>
          </cell>
          <cell r="R17">
            <v>5091.6441927320257</v>
          </cell>
        </row>
        <row r="18">
          <cell r="G18">
            <v>572.02237762237758</v>
          </cell>
          <cell r="H18">
            <v>0</v>
          </cell>
          <cell r="I18">
            <v>0</v>
          </cell>
          <cell r="J18">
            <v>0</v>
          </cell>
          <cell r="K18">
            <v>643.91328671328677</v>
          </cell>
          <cell r="L18">
            <v>643.91328671328677</v>
          </cell>
          <cell r="M18">
            <v>595.68671328671326</v>
          </cell>
          <cell r="N18">
            <v>643.91328671328677</v>
          </cell>
          <cell r="O18">
            <v>643.91328671328677</v>
          </cell>
          <cell r="P18">
            <v>643.91328671328677</v>
          </cell>
          <cell r="Q18">
            <v>691.49930069930065</v>
          </cell>
          <cell r="R18">
            <v>691.49930069930065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14440.149208907764</v>
          </cell>
          <cell r="H20">
            <v>5120.9790209790208</v>
          </cell>
          <cell r="I20">
            <v>4361.5384615384619</v>
          </cell>
          <cell r="J20">
            <v>5830.0699300699307</v>
          </cell>
          <cell r="K20">
            <v>17690.392945850268</v>
          </cell>
          <cell r="L20">
            <v>17204.476652649148</v>
          </cell>
          <cell r="M20">
            <v>17044.140686853581</v>
          </cell>
          <cell r="N20">
            <v>15240.566022917999</v>
          </cell>
          <cell r="O20">
            <v>17558.976932252597</v>
          </cell>
          <cell r="P20">
            <v>16675.146537834062</v>
          </cell>
          <cell r="Q20">
            <v>18906.43020671804</v>
          </cell>
          <cell r="R20">
            <v>19157.89873818657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8">
          <cell r="G38" t="str">
            <v>1월</v>
          </cell>
          <cell r="H38" t="str">
            <v>2월</v>
          </cell>
          <cell r="I38" t="str">
            <v>3월</v>
          </cell>
          <cell r="J38" t="str">
            <v>4월</v>
          </cell>
          <cell r="K38" t="str">
            <v>5월</v>
          </cell>
          <cell r="L38" t="str">
            <v>6월</v>
          </cell>
          <cell r="M38" t="str">
            <v>7월</v>
          </cell>
          <cell r="N38" t="str">
            <v>8월</v>
          </cell>
          <cell r="O38" t="str">
            <v>9월</v>
          </cell>
          <cell r="P38" t="str">
            <v>10월</v>
          </cell>
          <cell r="Q38" t="str">
            <v>11월</v>
          </cell>
          <cell r="R38" t="str">
            <v>12월</v>
          </cell>
        </row>
        <row r="39">
          <cell r="G39">
            <v>38000</v>
          </cell>
          <cell r="H39">
            <v>38000</v>
          </cell>
          <cell r="I39">
            <v>38000</v>
          </cell>
          <cell r="J39">
            <v>38000</v>
          </cell>
          <cell r="K39">
            <v>38000</v>
          </cell>
          <cell r="L39">
            <v>38000</v>
          </cell>
          <cell r="M39">
            <v>38000</v>
          </cell>
          <cell r="N39">
            <v>38000</v>
          </cell>
          <cell r="O39">
            <v>38000</v>
          </cell>
          <cell r="P39">
            <v>38000</v>
          </cell>
          <cell r="Q39">
            <v>38000</v>
          </cell>
          <cell r="R39">
            <v>38000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34500</v>
          </cell>
          <cell r="I42">
            <v>0</v>
          </cell>
          <cell r="J42">
            <v>34500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38000</v>
          </cell>
          <cell r="H45">
            <v>34682.239238220187</v>
          </cell>
          <cell r="I45">
            <v>1963.9782211797753</v>
          </cell>
          <cell r="J45">
            <v>34680.833889447546</v>
          </cell>
          <cell r="K45">
            <v>38000</v>
          </cell>
          <cell r="L45">
            <v>38000</v>
          </cell>
          <cell r="M45">
            <v>38000</v>
          </cell>
          <cell r="N45">
            <v>38000</v>
          </cell>
          <cell r="O45">
            <v>38000</v>
          </cell>
          <cell r="P45">
            <v>38000</v>
          </cell>
          <cell r="Q45">
            <v>38000</v>
          </cell>
          <cell r="R45">
            <v>38000</v>
          </cell>
        </row>
        <row r="46">
          <cell r="G46">
            <v>30500</v>
          </cell>
          <cell r="H46">
            <v>30500</v>
          </cell>
          <cell r="I46">
            <v>30500</v>
          </cell>
          <cell r="J46">
            <v>30500</v>
          </cell>
          <cell r="K46">
            <v>30500</v>
          </cell>
          <cell r="L46">
            <v>30500</v>
          </cell>
          <cell r="M46">
            <v>30500</v>
          </cell>
          <cell r="N46">
            <v>30500</v>
          </cell>
          <cell r="O46">
            <v>30500</v>
          </cell>
          <cell r="P46">
            <v>30500</v>
          </cell>
          <cell r="Q46">
            <v>30500</v>
          </cell>
          <cell r="R46">
            <v>30500</v>
          </cell>
        </row>
        <row r="47">
          <cell r="G47">
            <v>26500</v>
          </cell>
          <cell r="H47">
            <v>26500</v>
          </cell>
          <cell r="I47">
            <v>0</v>
          </cell>
          <cell r="J47">
            <v>26500</v>
          </cell>
          <cell r="K47">
            <v>26500</v>
          </cell>
          <cell r="L47">
            <v>26500</v>
          </cell>
          <cell r="M47">
            <v>26500</v>
          </cell>
          <cell r="N47">
            <v>26500</v>
          </cell>
          <cell r="O47">
            <v>26500</v>
          </cell>
          <cell r="P47">
            <v>26500</v>
          </cell>
          <cell r="Q47">
            <v>26500</v>
          </cell>
          <cell r="R47">
            <v>26500</v>
          </cell>
        </row>
        <row r="48">
          <cell r="G48">
            <v>26000</v>
          </cell>
          <cell r="H48">
            <v>26000</v>
          </cell>
          <cell r="I48">
            <v>0</v>
          </cell>
          <cell r="J48">
            <v>26000</v>
          </cell>
          <cell r="K48">
            <v>26000</v>
          </cell>
          <cell r="L48">
            <v>26000</v>
          </cell>
          <cell r="M48">
            <v>26000</v>
          </cell>
          <cell r="N48">
            <v>26000</v>
          </cell>
          <cell r="O48">
            <v>26000</v>
          </cell>
          <cell r="P48">
            <v>26000</v>
          </cell>
          <cell r="Q48">
            <v>26000</v>
          </cell>
          <cell r="R48">
            <v>26000</v>
          </cell>
        </row>
        <row r="49">
          <cell r="G49">
            <v>26000</v>
          </cell>
          <cell r="H49">
            <v>26000</v>
          </cell>
          <cell r="I49">
            <v>0</v>
          </cell>
          <cell r="J49">
            <v>26000</v>
          </cell>
          <cell r="K49">
            <v>26000</v>
          </cell>
          <cell r="L49">
            <v>26000</v>
          </cell>
          <cell r="M49">
            <v>26000</v>
          </cell>
          <cell r="N49">
            <v>26000</v>
          </cell>
          <cell r="O49">
            <v>26000</v>
          </cell>
          <cell r="P49">
            <v>26000</v>
          </cell>
          <cell r="Q49">
            <v>26000</v>
          </cell>
          <cell r="R49">
            <v>26000</v>
          </cell>
        </row>
        <row r="50">
          <cell r="G50">
            <v>26000</v>
          </cell>
          <cell r="H50">
            <v>26000</v>
          </cell>
          <cell r="I50">
            <v>0</v>
          </cell>
          <cell r="J50">
            <v>26000</v>
          </cell>
          <cell r="K50">
            <v>26000</v>
          </cell>
          <cell r="L50">
            <v>26000</v>
          </cell>
          <cell r="M50">
            <v>26000</v>
          </cell>
          <cell r="N50">
            <v>26000</v>
          </cell>
          <cell r="O50">
            <v>26000</v>
          </cell>
          <cell r="P50">
            <v>26000</v>
          </cell>
          <cell r="Q50">
            <v>26000</v>
          </cell>
          <cell r="R50">
            <v>26000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26774.317783971848</v>
          </cell>
          <cell r="H52">
            <v>60575.51189028137</v>
          </cell>
          <cell r="I52">
            <v>32803.030303030304</v>
          </cell>
          <cell r="J52">
            <v>59800.548805716426</v>
          </cell>
          <cell r="K52">
            <v>26891.213210264519</v>
          </cell>
          <cell r="L52">
            <v>26826.746685941991</v>
          </cell>
          <cell r="M52">
            <v>26990.989944186505</v>
          </cell>
          <cell r="N52">
            <v>26628.537582991587</v>
          </cell>
          <cell r="O52">
            <v>26898.560323922924</v>
          </cell>
          <cell r="P52">
            <v>26760.553763396958</v>
          </cell>
          <cell r="Q52">
            <v>26782.699113055613</v>
          </cell>
          <cell r="R52">
            <v>26847.320029743922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70">
          <cell r="G70" t="str">
            <v>1월</v>
          </cell>
          <cell r="H70" t="str">
            <v>2월</v>
          </cell>
          <cell r="I70" t="str">
            <v>3월</v>
          </cell>
          <cell r="J70" t="str">
            <v>4월</v>
          </cell>
          <cell r="K70" t="str">
            <v>5월</v>
          </cell>
          <cell r="L70" t="str">
            <v>6월</v>
          </cell>
          <cell r="M70" t="str">
            <v>7월</v>
          </cell>
          <cell r="N70" t="str">
            <v>8월</v>
          </cell>
          <cell r="O70" t="str">
            <v>9월</v>
          </cell>
          <cell r="P70" t="str">
            <v>10월</v>
          </cell>
          <cell r="Q70" t="str">
            <v>11월</v>
          </cell>
          <cell r="R70" t="str">
            <v>12월</v>
          </cell>
        </row>
        <row r="71">
          <cell r="G71">
            <v>8131.4685314685312</v>
          </cell>
          <cell r="H71">
            <v>9088.1118881118891</v>
          </cell>
          <cell r="I71">
            <v>10044.755244755244</v>
          </cell>
          <cell r="J71">
            <v>10044.755244755244</v>
          </cell>
          <cell r="K71">
            <v>10044.755244755244</v>
          </cell>
          <cell r="L71">
            <v>9566.4335664335667</v>
          </cell>
          <cell r="M71">
            <v>10044.755244755244</v>
          </cell>
          <cell r="N71">
            <v>8131.4685314685312</v>
          </cell>
          <cell r="O71">
            <v>10044.755244755244</v>
          </cell>
          <cell r="P71">
            <v>9088.1118881118891</v>
          </cell>
          <cell r="Q71">
            <v>10044.755244755244</v>
          </cell>
          <cell r="R71">
            <v>10523.076923076922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G74">
            <v>0</v>
          </cell>
          <cell r="H74">
            <v>150214.6668339374</v>
          </cell>
          <cell r="I74">
            <v>0</v>
          </cell>
          <cell r="J74">
            <v>167387.88489039015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G77">
            <v>8131.4685314685312</v>
          </cell>
          <cell r="H77">
            <v>159302.77872204929</v>
          </cell>
          <cell r="I77">
            <v>10044.755244755244</v>
          </cell>
          <cell r="J77">
            <v>177432.6401351454</v>
          </cell>
          <cell r="K77">
            <v>10044.755244755244</v>
          </cell>
          <cell r="L77">
            <v>9566.4335664335667</v>
          </cell>
          <cell r="M77">
            <v>10044.755244755244</v>
          </cell>
          <cell r="N77">
            <v>8131.4685314685312</v>
          </cell>
          <cell r="O77">
            <v>10044.755244755244</v>
          </cell>
          <cell r="P77">
            <v>9088.1118881118891</v>
          </cell>
          <cell r="Q77">
            <v>10044.755244755244</v>
          </cell>
          <cell r="R77">
            <v>10523.076923076922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8131.4685314685312</v>
          </cell>
          <cell r="H79">
            <v>159302.77872204929</v>
          </cell>
          <cell r="I79">
            <v>10044.755244755244</v>
          </cell>
          <cell r="J79">
            <v>177432.64013514537</v>
          </cell>
          <cell r="K79">
            <v>10044.755244755244</v>
          </cell>
          <cell r="L79">
            <v>9566.4335664335667</v>
          </cell>
          <cell r="M79">
            <v>10044.755244755244</v>
          </cell>
          <cell r="N79">
            <v>8131.4685314685312</v>
          </cell>
          <cell r="O79">
            <v>10044.755244755244</v>
          </cell>
          <cell r="P79">
            <v>9088.1118881118891</v>
          </cell>
          <cell r="Q79">
            <v>10044.755244755244</v>
          </cell>
          <cell r="R79">
            <v>10523.076923076922</v>
          </cell>
        </row>
        <row r="80">
          <cell r="G80">
            <v>107688.46153846155</v>
          </cell>
          <cell r="H80">
            <v>120357.6923076923</v>
          </cell>
          <cell r="I80">
            <v>133026.92307692309</v>
          </cell>
          <cell r="J80">
            <v>133026.92307692309</v>
          </cell>
          <cell r="K80">
            <v>133026.92307692309</v>
          </cell>
          <cell r="L80">
            <v>126692.30769230772</v>
          </cell>
          <cell r="M80">
            <v>133026.92307692309</v>
          </cell>
          <cell r="N80">
            <v>107688.46153846155</v>
          </cell>
          <cell r="O80">
            <v>133026.92307692309</v>
          </cell>
          <cell r="P80">
            <v>120357.6923076923</v>
          </cell>
          <cell r="Q80">
            <v>133026.92307692309</v>
          </cell>
          <cell r="R80">
            <v>139361.53846153847</v>
          </cell>
        </row>
        <row r="81">
          <cell r="G81">
            <v>107797.55244755244</v>
          </cell>
          <cell r="H81">
            <v>0</v>
          </cell>
          <cell r="I81">
            <v>0</v>
          </cell>
          <cell r="J81">
            <v>0</v>
          </cell>
          <cell r="K81">
            <v>150306.88811188811</v>
          </cell>
          <cell r="L81">
            <v>143457.65734265733</v>
          </cell>
          <cell r="M81">
            <v>143457.65734265733</v>
          </cell>
          <cell r="N81">
            <v>121957.44755244754</v>
          </cell>
          <cell r="O81">
            <v>150936.95804195807</v>
          </cell>
          <cell r="P81">
            <v>136649.1958041958</v>
          </cell>
          <cell r="Q81">
            <v>164583.53146853147</v>
          </cell>
          <cell r="R81">
            <v>165743.60139860137</v>
          </cell>
        </row>
        <row r="82">
          <cell r="G82">
            <v>49745.454545454544</v>
          </cell>
          <cell r="H82">
            <v>30545.454545454548</v>
          </cell>
          <cell r="I82">
            <v>0</v>
          </cell>
          <cell r="J82">
            <v>38181.818181818177</v>
          </cell>
          <cell r="K82">
            <v>62181.818181818184</v>
          </cell>
          <cell r="L82">
            <v>62181.818181818184</v>
          </cell>
          <cell r="M82">
            <v>53890.909090909088</v>
          </cell>
          <cell r="N82">
            <v>53890.909090909088</v>
          </cell>
          <cell r="O82">
            <v>58036.36363636364</v>
          </cell>
          <cell r="P82">
            <v>66327.272727272721</v>
          </cell>
          <cell r="Q82">
            <v>66327.272727272721</v>
          </cell>
          <cell r="R82">
            <v>66327.272727272721</v>
          </cell>
        </row>
        <row r="83">
          <cell r="G83">
            <v>113262.20670432912</v>
          </cell>
          <cell r="H83">
            <v>0</v>
          </cell>
          <cell r="I83">
            <v>0</v>
          </cell>
          <cell r="J83">
            <v>0</v>
          </cell>
          <cell r="K83">
            <v>120155.74386483429</v>
          </cell>
          <cell r="L83">
            <v>119641.92024160507</v>
          </cell>
          <cell r="M83">
            <v>119617.98513092045</v>
          </cell>
          <cell r="N83">
            <v>114165.69841404987</v>
          </cell>
          <cell r="O83">
            <v>120266.20023856756</v>
          </cell>
          <cell r="P83">
            <v>113813.88271095837</v>
          </cell>
          <cell r="Q83">
            <v>132382.74901103266</v>
          </cell>
          <cell r="R83">
            <v>132382.74901103266</v>
          </cell>
        </row>
        <row r="84">
          <cell r="G84">
            <v>386625.14376726619</v>
          </cell>
          <cell r="H84">
            <v>310205.9255751961</v>
          </cell>
          <cell r="I84">
            <v>143071.67832167834</v>
          </cell>
          <cell r="J84">
            <v>348641.38139388664</v>
          </cell>
          <cell r="K84">
            <v>475716.12848021893</v>
          </cell>
          <cell r="L84">
            <v>461540.13702482189</v>
          </cell>
          <cell r="M84">
            <v>460038.22988616512</v>
          </cell>
          <cell r="N84">
            <v>405833.98512733658</v>
          </cell>
          <cell r="O84">
            <v>472311.2002385676</v>
          </cell>
          <cell r="P84">
            <v>446236.15543823107</v>
          </cell>
          <cell r="Q84">
            <v>506365.23152851511</v>
          </cell>
          <cell r="R84">
            <v>514338.23852152214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G99">
            <v>394756.61229873472</v>
          </cell>
          <cell r="H99">
            <v>469508.70429724536</v>
          </cell>
          <cell r="I99">
            <v>153116.43356643358</v>
          </cell>
          <cell r="J99">
            <v>526074.02152903203</v>
          </cell>
          <cell r="K99">
            <v>485760.88372497418</v>
          </cell>
          <cell r="L99">
            <v>471106.57059125544</v>
          </cell>
          <cell r="M99">
            <v>470082.98513092037</v>
          </cell>
          <cell r="N99">
            <v>413965.45365880511</v>
          </cell>
          <cell r="O99">
            <v>482355.95548332285</v>
          </cell>
          <cell r="P99">
            <v>455324.26732634299</v>
          </cell>
          <cell r="Q99">
            <v>516409.98677327036</v>
          </cell>
          <cell r="R99">
            <v>524861.31544459902</v>
          </cell>
        </row>
        <row r="101">
          <cell r="G101" t="str">
            <v>단중</v>
          </cell>
          <cell r="H101">
            <v>1430</v>
          </cell>
        </row>
        <row r="102">
          <cell r="G102" t="str">
            <v>1월</v>
          </cell>
          <cell r="H102" t="str">
            <v>2월</v>
          </cell>
          <cell r="I102" t="str">
            <v>3월</v>
          </cell>
          <cell r="J102" t="str">
            <v>4월</v>
          </cell>
          <cell r="K102" t="str">
            <v>5월</v>
          </cell>
          <cell r="L102" t="str">
            <v>6월</v>
          </cell>
          <cell r="M102" t="str">
            <v>7월</v>
          </cell>
          <cell r="N102" t="str">
            <v>8월</v>
          </cell>
          <cell r="O102" t="str">
            <v>9월</v>
          </cell>
          <cell r="P102" t="str">
            <v>10월</v>
          </cell>
          <cell r="Q102" t="str">
            <v>11월</v>
          </cell>
          <cell r="R102" t="str">
            <v>12월</v>
          </cell>
        </row>
        <row r="103">
          <cell r="G103">
            <v>306000</v>
          </cell>
          <cell r="H103">
            <v>342000</v>
          </cell>
          <cell r="I103">
            <v>378000</v>
          </cell>
          <cell r="J103">
            <v>378000</v>
          </cell>
          <cell r="K103">
            <v>378000</v>
          </cell>
          <cell r="L103">
            <v>360000</v>
          </cell>
          <cell r="M103">
            <v>378000</v>
          </cell>
          <cell r="N103">
            <v>306000</v>
          </cell>
          <cell r="O103">
            <v>378000</v>
          </cell>
          <cell r="P103">
            <v>342000</v>
          </cell>
          <cell r="Q103">
            <v>378000</v>
          </cell>
          <cell r="R103">
            <v>396000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G106">
            <v>0</v>
          </cell>
          <cell r="H106">
            <v>6226289.0890588546</v>
          </cell>
          <cell r="I106">
            <v>6935726.7231871057</v>
          </cell>
          <cell r="J106">
            <v>6938106.5331379119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G109">
            <v>306000</v>
          </cell>
          <cell r="H109">
            <v>6568289.0890588546</v>
          </cell>
          <cell r="I109">
            <v>7313726.7231871057</v>
          </cell>
          <cell r="J109">
            <v>7316106.5331379119</v>
          </cell>
          <cell r="K109">
            <v>378000</v>
          </cell>
          <cell r="L109">
            <v>360000</v>
          </cell>
          <cell r="M109">
            <v>378000</v>
          </cell>
          <cell r="N109">
            <v>306000</v>
          </cell>
          <cell r="O109">
            <v>378000</v>
          </cell>
          <cell r="P109">
            <v>342000</v>
          </cell>
          <cell r="Q109">
            <v>378000</v>
          </cell>
          <cell r="R109">
            <v>396000</v>
          </cell>
        </row>
        <row r="110">
          <cell r="G110">
            <v>5049000</v>
          </cell>
          <cell r="H110">
            <v>5643000</v>
          </cell>
          <cell r="I110">
            <v>6237000.0000000009</v>
          </cell>
          <cell r="J110">
            <v>6237000.0000000009</v>
          </cell>
          <cell r="K110">
            <v>6237000.0000000009</v>
          </cell>
          <cell r="L110">
            <v>5940000.0000000009</v>
          </cell>
          <cell r="M110">
            <v>6237000.0000000009</v>
          </cell>
          <cell r="N110">
            <v>5049000</v>
          </cell>
          <cell r="O110">
            <v>6237000.0000000009</v>
          </cell>
          <cell r="P110">
            <v>5643000</v>
          </cell>
          <cell r="Q110">
            <v>6237000.0000000009</v>
          </cell>
          <cell r="R110">
            <v>6534000</v>
          </cell>
        </row>
        <row r="111">
          <cell r="G111">
            <v>5817000</v>
          </cell>
          <cell r="H111">
            <v>0</v>
          </cell>
          <cell r="I111">
            <v>0</v>
          </cell>
          <cell r="J111">
            <v>0</v>
          </cell>
          <cell r="K111">
            <v>8110899.9999999991</v>
          </cell>
          <cell r="L111">
            <v>7741300</v>
          </cell>
          <cell r="M111">
            <v>7741300</v>
          </cell>
          <cell r="N111">
            <v>6581100</v>
          </cell>
          <cell r="O111">
            <v>8144900</v>
          </cell>
          <cell r="P111">
            <v>7373900</v>
          </cell>
          <cell r="Q111">
            <v>8881300</v>
          </cell>
          <cell r="R111">
            <v>8943900</v>
          </cell>
        </row>
        <row r="112">
          <cell r="G112">
            <v>2736000</v>
          </cell>
          <cell r="H112">
            <v>1680000</v>
          </cell>
          <cell r="I112">
            <v>0</v>
          </cell>
          <cell r="J112">
            <v>2100000</v>
          </cell>
          <cell r="K112">
            <v>3420000</v>
          </cell>
          <cell r="L112">
            <v>3420000</v>
          </cell>
          <cell r="M112">
            <v>2963999.9999999995</v>
          </cell>
          <cell r="N112">
            <v>2963999.9999999995</v>
          </cell>
          <cell r="O112">
            <v>3192000</v>
          </cell>
          <cell r="P112">
            <v>3648000</v>
          </cell>
          <cell r="Q112">
            <v>3648000</v>
          </cell>
          <cell r="R112">
            <v>3648000</v>
          </cell>
        </row>
        <row r="113">
          <cell r="G113">
            <v>6229421.3687381009</v>
          </cell>
          <cell r="H113">
            <v>0</v>
          </cell>
          <cell r="I113">
            <v>0</v>
          </cell>
          <cell r="J113">
            <v>0</v>
          </cell>
          <cell r="K113">
            <v>6608565.912565886</v>
          </cell>
          <cell r="L113">
            <v>6580305.6132882796</v>
          </cell>
          <cell r="M113">
            <v>6578989.1822006255</v>
          </cell>
          <cell r="N113">
            <v>6279113.4127727421</v>
          </cell>
          <cell r="O113">
            <v>6614641.0131212166</v>
          </cell>
          <cell r="P113">
            <v>6259763.5491027096</v>
          </cell>
          <cell r="Q113">
            <v>7281051.195606797</v>
          </cell>
          <cell r="R113">
            <v>7281051.195606797</v>
          </cell>
        </row>
        <row r="114">
          <cell r="G114">
            <v>817991.99999999988</v>
          </cell>
          <cell r="H114">
            <v>0</v>
          </cell>
          <cell r="I114">
            <v>0</v>
          </cell>
          <cell r="J114">
            <v>0</v>
          </cell>
          <cell r="K114">
            <v>920796.00000000012</v>
          </cell>
          <cell r="L114">
            <v>920796.00000000012</v>
          </cell>
          <cell r="M114">
            <v>851832</v>
          </cell>
          <cell r="N114">
            <v>920796.00000000012</v>
          </cell>
          <cell r="O114">
            <v>920796.00000000012</v>
          </cell>
          <cell r="P114">
            <v>920796.00000000012</v>
          </cell>
          <cell r="Q114">
            <v>988843.99999999988</v>
          </cell>
          <cell r="R114">
            <v>988843.99999999988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G116">
            <v>20649413.3687381</v>
          </cell>
          <cell r="H116">
            <v>7323000</v>
          </cell>
          <cell r="I116">
            <v>6237000.0000000009</v>
          </cell>
          <cell r="J116">
            <v>8337000.0000000009</v>
          </cell>
          <cell r="K116">
            <v>25297261.912565887</v>
          </cell>
          <cell r="L116">
            <v>24602401.61328828</v>
          </cell>
          <cell r="M116">
            <v>24373121.182200626</v>
          </cell>
          <cell r="N116">
            <v>21794009.412772741</v>
          </cell>
          <cell r="O116">
            <v>25109337.013121217</v>
          </cell>
          <cell r="P116">
            <v>23845459.549102709</v>
          </cell>
          <cell r="Q116">
            <v>27036195.195606798</v>
          </cell>
          <cell r="R116">
            <v>27395795.195606798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</row>
        <row r="128"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G131">
            <v>306000</v>
          </cell>
          <cell r="H131">
            <v>6568289.0890588546</v>
          </cell>
          <cell r="I131">
            <v>7313726.7231871057</v>
          </cell>
          <cell r="J131">
            <v>7316106.5331379119</v>
          </cell>
          <cell r="K131">
            <v>378000</v>
          </cell>
          <cell r="L131">
            <v>360000</v>
          </cell>
          <cell r="M131">
            <v>378000</v>
          </cell>
          <cell r="N131">
            <v>306000</v>
          </cell>
          <cell r="O131">
            <v>378000</v>
          </cell>
          <cell r="P131">
            <v>342000</v>
          </cell>
          <cell r="Q131">
            <v>378000</v>
          </cell>
          <cell r="R131">
            <v>396000</v>
          </cell>
        </row>
        <row r="134">
          <cell r="G134" t="str">
            <v>1월</v>
          </cell>
          <cell r="H134" t="str">
            <v>2월</v>
          </cell>
          <cell r="I134" t="str">
            <v>3월</v>
          </cell>
          <cell r="J134" t="str">
            <v>4월</v>
          </cell>
          <cell r="K134" t="str">
            <v>5월</v>
          </cell>
          <cell r="L134" t="str">
            <v>6월</v>
          </cell>
          <cell r="M134" t="str">
            <v>7월</v>
          </cell>
          <cell r="N134" t="str">
            <v>8월</v>
          </cell>
          <cell r="O134" t="str">
            <v>9월</v>
          </cell>
          <cell r="P134" t="str">
            <v>10월</v>
          </cell>
          <cell r="Q134" t="str">
            <v>11월</v>
          </cell>
          <cell r="R134" t="str">
            <v>12월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G136">
            <v>5000</v>
          </cell>
          <cell r="H136">
            <v>5000</v>
          </cell>
          <cell r="I136">
            <v>5000</v>
          </cell>
          <cell r="J136">
            <v>5000</v>
          </cell>
          <cell r="K136">
            <v>5000</v>
          </cell>
          <cell r="L136">
            <v>5000</v>
          </cell>
          <cell r="M136">
            <v>5000</v>
          </cell>
          <cell r="N136">
            <v>5000</v>
          </cell>
          <cell r="O136">
            <v>5000</v>
          </cell>
          <cell r="P136">
            <v>5000</v>
          </cell>
          <cell r="Q136">
            <v>5000</v>
          </cell>
          <cell r="R136">
            <v>5000</v>
          </cell>
        </row>
        <row r="137">
          <cell r="G137">
            <v>6500</v>
          </cell>
          <cell r="H137">
            <v>6500</v>
          </cell>
          <cell r="I137">
            <v>6500</v>
          </cell>
          <cell r="J137">
            <v>6500</v>
          </cell>
          <cell r="K137">
            <v>6500</v>
          </cell>
          <cell r="L137">
            <v>6500</v>
          </cell>
          <cell r="M137">
            <v>6500</v>
          </cell>
          <cell r="N137">
            <v>6500</v>
          </cell>
          <cell r="O137">
            <v>6500</v>
          </cell>
          <cell r="P137">
            <v>6500</v>
          </cell>
          <cell r="Q137">
            <v>6500</v>
          </cell>
          <cell r="R137">
            <v>6500</v>
          </cell>
        </row>
        <row r="138">
          <cell r="G138">
            <v>7500</v>
          </cell>
          <cell r="H138">
            <v>7500</v>
          </cell>
          <cell r="I138">
            <v>7500</v>
          </cell>
          <cell r="J138">
            <v>7500</v>
          </cell>
          <cell r="K138">
            <v>7500</v>
          </cell>
          <cell r="L138">
            <v>7500</v>
          </cell>
          <cell r="M138">
            <v>7500</v>
          </cell>
          <cell r="N138">
            <v>7500</v>
          </cell>
          <cell r="O138">
            <v>7500</v>
          </cell>
          <cell r="P138">
            <v>7500</v>
          </cell>
          <cell r="Q138">
            <v>7500</v>
          </cell>
          <cell r="R138">
            <v>7500</v>
          </cell>
        </row>
        <row r="139">
          <cell r="G139">
            <v>7000</v>
          </cell>
          <cell r="H139">
            <v>7000</v>
          </cell>
          <cell r="I139">
            <v>7000</v>
          </cell>
          <cell r="J139">
            <v>7000</v>
          </cell>
          <cell r="K139">
            <v>7000</v>
          </cell>
          <cell r="L139">
            <v>7000</v>
          </cell>
          <cell r="M139">
            <v>7000</v>
          </cell>
          <cell r="N139">
            <v>7000</v>
          </cell>
          <cell r="O139">
            <v>7000</v>
          </cell>
          <cell r="P139">
            <v>7000</v>
          </cell>
          <cell r="Q139">
            <v>7000</v>
          </cell>
          <cell r="R139">
            <v>7000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</row>
        <row r="142">
          <cell r="G142">
            <v>5000</v>
          </cell>
          <cell r="H142">
            <v>5000</v>
          </cell>
          <cell r="I142">
            <v>5000</v>
          </cell>
          <cell r="J142">
            <v>5000</v>
          </cell>
          <cell r="K142">
            <v>5000</v>
          </cell>
          <cell r="L142">
            <v>5000</v>
          </cell>
          <cell r="M142">
            <v>5000</v>
          </cell>
          <cell r="N142">
            <v>5000</v>
          </cell>
          <cell r="O142">
            <v>5000</v>
          </cell>
          <cell r="P142">
            <v>5000</v>
          </cell>
          <cell r="Q142">
            <v>5000</v>
          </cell>
          <cell r="R142">
            <v>5000</v>
          </cell>
        </row>
        <row r="143">
          <cell r="G143">
            <v>6500</v>
          </cell>
          <cell r="H143">
            <v>6500</v>
          </cell>
          <cell r="I143">
            <v>6500</v>
          </cell>
          <cell r="J143">
            <v>6500</v>
          </cell>
          <cell r="K143">
            <v>6500</v>
          </cell>
          <cell r="L143">
            <v>6500</v>
          </cell>
          <cell r="M143">
            <v>6500</v>
          </cell>
          <cell r="N143">
            <v>6500</v>
          </cell>
          <cell r="O143">
            <v>6500</v>
          </cell>
          <cell r="P143">
            <v>6500</v>
          </cell>
          <cell r="Q143">
            <v>6500</v>
          </cell>
          <cell r="R143">
            <v>6500</v>
          </cell>
        </row>
        <row r="144">
          <cell r="G144">
            <v>7500</v>
          </cell>
          <cell r="H144">
            <v>7500</v>
          </cell>
          <cell r="I144">
            <v>7500</v>
          </cell>
          <cell r="J144">
            <v>7500</v>
          </cell>
          <cell r="K144">
            <v>7500</v>
          </cell>
          <cell r="L144">
            <v>7500</v>
          </cell>
          <cell r="M144">
            <v>7500</v>
          </cell>
          <cell r="N144">
            <v>7500</v>
          </cell>
          <cell r="O144">
            <v>7500</v>
          </cell>
          <cell r="P144">
            <v>7500</v>
          </cell>
          <cell r="Q144">
            <v>7500</v>
          </cell>
          <cell r="R144">
            <v>7500</v>
          </cell>
        </row>
        <row r="145">
          <cell r="G145">
            <v>7000</v>
          </cell>
          <cell r="H145">
            <v>7000</v>
          </cell>
          <cell r="I145">
            <v>7000</v>
          </cell>
          <cell r="J145">
            <v>7000</v>
          </cell>
          <cell r="K145">
            <v>7000</v>
          </cell>
          <cell r="L145">
            <v>7000</v>
          </cell>
          <cell r="M145">
            <v>7000</v>
          </cell>
          <cell r="N145">
            <v>7000</v>
          </cell>
          <cell r="O145">
            <v>7000</v>
          </cell>
          <cell r="P145">
            <v>7000</v>
          </cell>
          <cell r="Q145">
            <v>7000</v>
          </cell>
          <cell r="R145">
            <v>7000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</row>
        <row r="155"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</row>
        <row r="156"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</row>
        <row r="158"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</row>
        <row r="161">
          <cell r="G161" t="str">
            <v>1월</v>
          </cell>
          <cell r="H161" t="str">
            <v>2월</v>
          </cell>
          <cell r="I161" t="str">
            <v>3월</v>
          </cell>
          <cell r="J161" t="str">
            <v>4월</v>
          </cell>
          <cell r="K161" t="str">
            <v>5월</v>
          </cell>
          <cell r="L161" t="str">
            <v>6월</v>
          </cell>
          <cell r="M161" t="str">
            <v>7월</v>
          </cell>
          <cell r="N161" t="str">
            <v>8월</v>
          </cell>
          <cell r="O161" t="str">
            <v>9월</v>
          </cell>
          <cell r="P161" t="str">
            <v>10월</v>
          </cell>
          <cell r="Q161" t="str">
            <v>11월</v>
          </cell>
          <cell r="R161" t="str">
            <v>12월</v>
          </cell>
        </row>
        <row r="162">
          <cell r="G162">
            <v>8131.4685314685312</v>
          </cell>
          <cell r="H162">
            <v>9088.1118881118891</v>
          </cell>
          <cell r="I162">
            <v>10044.755244755244</v>
          </cell>
          <cell r="J162">
            <v>10044.755244755244</v>
          </cell>
          <cell r="K162">
            <v>10044.755244755244</v>
          </cell>
          <cell r="L162">
            <v>9566.4335664335667</v>
          </cell>
          <cell r="M162">
            <v>10044.755244755244</v>
          </cell>
          <cell r="N162">
            <v>8131.4685314685312</v>
          </cell>
          <cell r="O162">
            <v>10044.755244755244</v>
          </cell>
          <cell r="P162">
            <v>9088.1118881118891</v>
          </cell>
          <cell r="Q162">
            <v>10044.755244755244</v>
          </cell>
          <cell r="R162">
            <v>10523.076923076922</v>
          </cell>
        </row>
        <row r="163"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</row>
        <row r="164"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G165">
            <v>0</v>
          </cell>
          <cell r="H165">
            <v>182870.02918914118</v>
          </cell>
          <cell r="I165">
            <v>36376.189107624683</v>
          </cell>
          <cell r="J165">
            <v>203776.55551873584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</row>
        <row r="168">
          <cell r="G168">
            <v>8131.4685314685312</v>
          </cell>
          <cell r="H168">
            <v>191958.14107725307</v>
          </cell>
          <cell r="I168">
            <v>46420.944352379927</v>
          </cell>
          <cell r="J168">
            <v>213821.31076349108</v>
          </cell>
          <cell r="K168">
            <v>10044.755244755244</v>
          </cell>
          <cell r="L168">
            <v>9566.4335664335667</v>
          </cell>
          <cell r="M168">
            <v>10044.755244755244</v>
          </cell>
          <cell r="N168">
            <v>8131.4685314685312</v>
          </cell>
          <cell r="O168">
            <v>10044.755244755244</v>
          </cell>
          <cell r="P168">
            <v>9088.1118881118891</v>
          </cell>
          <cell r="Q168">
            <v>10044.755244755244</v>
          </cell>
          <cell r="R168">
            <v>10523.076923076922</v>
          </cell>
        </row>
        <row r="169"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G170">
            <v>28470.629370629369</v>
          </cell>
          <cell r="H170">
            <v>159302.77872204929</v>
          </cell>
          <cell r="I170">
            <v>10044.755244755244</v>
          </cell>
          <cell r="J170">
            <v>177432.64013514537</v>
          </cell>
          <cell r="K170">
            <v>38404.545454545456</v>
          </cell>
          <cell r="L170">
            <v>36633.91608391609</v>
          </cell>
          <cell r="M170">
            <v>37112.237762237768</v>
          </cell>
          <cell r="N170">
            <v>31142.307692307688</v>
          </cell>
          <cell r="O170">
            <v>38523.426573426572</v>
          </cell>
          <cell r="P170">
            <v>34870.979020979023</v>
          </cell>
          <cell r="Q170">
            <v>41098.251748251751</v>
          </cell>
          <cell r="R170">
            <v>41795.454545454544</v>
          </cell>
        </row>
        <row r="171">
          <cell r="G171">
            <v>120124.82517482518</v>
          </cell>
          <cell r="H171">
            <v>127994.05594405593</v>
          </cell>
          <cell r="I171">
            <v>133026.92307692309</v>
          </cell>
          <cell r="J171">
            <v>142572.37762237765</v>
          </cell>
          <cell r="K171">
            <v>148572.37762237765</v>
          </cell>
          <cell r="L171">
            <v>142237.76223776228</v>
          </cell>
          <cell r="M171">
            <v>146499.65034965036</v>
          </cell>
          <cell r="N171">
            <v>121161.18881118883</v>
          </cell>
          <cell r="O171">
            <v>147536.013986014</v>
          </cell>
          <cell r="P171">
            <v>136939.51048951049</v>
          </cell>
          <cell r="Q171">
            <v>149608.74125874127</v>
          </cell>
          <cell r="R171">
            <v>155943.35664335664</v>
          </cell>
        </row>
        <row r="172">
          <cell r="G172">
            <v>140469.34284303201</v>
          </cell>
          <cell r="H172">
            <v>0</v>
          </cell>
          <cell r="I172">
            <v>0</v>
          </cell>
          <cell r="J172">
            <v>0</v>
          </cell>
          <cell r="K172">
            <v>184967.19884212877</v>
          </cell>
          <cell r="L172">
            <v>177969.74972004342</v>
          </cell>
          <cell r="M172">
            <v>177962.84536119207</v>
          </cell>
          <cell r="N172">
            <v>154889.86055650038</v>
          </cell>
          <cell r="O172">
            <v>185629.13118769872</v>
          </cell>
          <cell r="P172">
            <v>169480.12350927995</v>
          </cell>
          <cell r="Q172">
            <v>202770.86291402165</v>
          </cell>
          <cell r="R172">
            <v>203930.93284409156</v>
          </cell>
        </row>
        <row r="173">
          <cell r="G173">
            <v>53749.611188811185</v>
          </cell>
          <cell r="H173">
            <v>30545.454545454548</v>
          </cell>
          <cell r="I173">
            <v>0</v>
          </cell>
          <cell r="J173">
            <v>38181.818181818177</v>
          </cell>
          <cell r="K173">
            <v>66689.211188811198</v>
          </cell>
          <cell r="L173">
            <v>66689.211188811198</v>
          </cell>
          <cell r="M173">
            <v>58060.716083916079</v>
          </cell>
          <cell r="N173">
            <v>58398.302097902095</v>
          </cell>
          <cell r="O173">
            <v>62543.756643356646</v>
          </cell>
          <cell r="P173">
            <v>70834.665734265727</v>
          </cell>
          <cell r="Q173">
            <v>71167.767832167825</v>
          </cell>
          <cell r="R173">
            <v>71167.767832167825</v>
          </cell>
        </row>
        <row r="174">
          <cell r="G174">
            <v>113262.20670432912</v>
          </cell>
          <cell r="H174">
            <v>0</v>
          </cell>
          <cell r="I174">
            <v>0</v>
          </cell>
          <cell r="J174">
            <v>0</v>
          </cell>
          <cell r="K174">
            <v>120155.74386483429</v>
          </cell>
          <cell r="L174">
            <v>119641.92024160507</v>
          </cell>
          <cell r="M174">
            <v>119617.98513092045</v>
          </cell>
          <cell r="N174">
            <v>114165.69841404987</v>
          </cell>
          <cell r="O174">
            <v>120266.20023856756</v>
          </cell>
          <cell r="P174">
            <v>113813.88271095837</v>
          </cell>
          <cell r="Q174">
            <v>132382.74901103266</v>
          </cell>
          <cell r="R174">
            <v>132382.74901103266</v>
          </cell>
        </row>
        <row r="175">
          <cell r="G175">
            <v>456076.61528162687</v>
          </cell>
          <cell r="H175">
            <v>317842.28921155975</v>
          </cell>
          <cell r="I175">
            <v>143071.67832167834</v>
          </cell>
          <cell r="J175">
            <v>358186.83593934117</v>
          </cell>
          <cell r="K175">
            <v>558789.0769726974</v>
          </cell>
          <cell r="L175">
            <v>543172.55947213806</v>
          </cell>
          <cell r="M175">
            <v>539253.43468791677</v>
          </cell>
          <cell r="N175">
            <v>479757.3575719489</v>
          </cell>
          <cell r="O175">
            <v>554498.52862906351</v>
          </cell>
          <cell r="P175">
            <v>525939.16146499349</v>
          </cell>
          <cell r="Q175">
            <v>597028.37276421511</v>
          </cell>
          <cell r="R175">
            <v>605220.26087610319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</row>
        <row r="180"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</row>
        <row r="190">
          <cell r="G190">
            <v>8131.4685314685312</v>
          </cell>
          <cell r="H190">
            <v>191958.14107725307</v>
          </cell>
          <cell r="I190">
            <v>46420.944352379927</v>
          </cell>
          <cell r="J190">
            <v>213821.31076349108</v>
          </cell>
          <cell r="K190">
            <v>10044.755244755244</v>
          </cell>
          <cell r="L190">
            <v>9566.4335664335667</v>
          </cell>
          <cell r="M190">
            <v>10044.755244755244</v>
          </cell>
          <cell r="N190">
            <v>8131.4685314685312</v>
          </cell>
          <cell r="O190">
            <v>10044.755244755244</v>
          </cell>
          <cell r="P190">
            <v>9088.1118881118891</v>
          </cell>
          <cell r="Q190">
            <v>10044.755244755244</v>
          </cell>
          <cell r="R190">
            <v>10523.076923076922</v>
          </cell>
        </row>
        <row r="193">
          <cell r="G193" t="str">
            <v>1월</v>
          </cell>
          <cell r="H193" t="str">
            <v>2월</v>
          </cell>
          <cell r="I193" t="str">
            <v>3월</v>
          </cell>
          <cell r="J193" t="str">
            <v>4월</v>
          </cell>
          <cell r="K193" t="str">
            <v>5월</v>
          </cell>
          <cell r="L193" t="str">
            <v>6월</v>
          </cell>
          <cell r="M193" t="str">
            <v>7월</v>
          </cell>
          <cell r="N193" t="str">
            <v>8월</v>
          </cell>
          <cell r="O193" t="str">
            <v>9월</v>
          </cell>
          <cell r="P193" t="str">
            <v>10월</v>
          </cell>
          <cell r="Q193" t="str">
            <v>11월</v>
          </cell>
          <cell r="R193" t="str">
            <v>12월</v>
          </cell>
        </row>
        <row r="194">
          <cell r="G194">
            <v>3744.7552447552448</v>
          </cell>
          <cell r="H194">
            <v>4185.3146853146854</v>
          </cell>
          <cell r="I194">
            <v>4625.8741258741265</v>
          </cell>
          <cell r="J194">
            <v>4625.8741258741265</v>
          </cell>
          <cell r="K194">
            <v>4625.8741258741265</v>
          </cell>
          <cell r="L194">
            <v>4405.5944055944065</v>
          </cell>
          <cell r="M194">
            <v>4625.8741258741265</v>
          </cell>
          <cell r="N194">
            <v>3744.7552447552448</v>
          </cell>
          <cell r="O194">
            <v>4625.8741258741265</v>
          </cell>
          <cell r="P194">
            <v>4185.3146853146854</v>
          </cell>
          <cell r="Q194">
            <v>4625.8741258741265</v>
          </cell>
          <cell r="R194">
            <v>4846.1538461538466</v>
          </cell>
        </row>
        <row r="195">
          <cell r="G195">
            <v>4067.8321678321677</v>
          </cell>
          <cell r="H195">
            <v>0</v>
          </cell>
          <cell r="I195">
            <v>0</v>
          </cell>
          <cell r="J195">
            <v>0</v>
          </cell>
          <cell r="K195">
            <v>5671.9580419580416</v>
          </cell>
          <cell r="L195">
            <v>5413.4965034965035</v>
          </cell>
          <cell r="M195">
            <v>5413.4965034965035</v>
          </cell>
          <cell r="N195">
            <v>4602.1678321678319</v>
          </cell>
          <cell r="O195">
            <v>5695.734265734266</v>
          </cell>
          <cell r="P195">
            <v>5156.5734265734263</v>
          </cell>
          <cell r="Q195">
            <v>6210.6993006993007</v>
          </cell>
          <cell r="R195">
            <v>6254.4755244755243</v>
          </cell>
        </row>
        <row r="196">
          <cell r="G196">
            <v>1913.2867132867134</v>
          </cell>
          <cell r="H196">
            <v>1174.8251748251748</v>
          </cell>
          <cell r="I196">
            <v>0</v>
          </cell>
          <cell r="J196">
            <v>1468.5314685314686</v>
          </cell>
          <cell r="K196">
            <v>2391.6083916083917</v>
          </cell>
          <cell r="L196">
            <v>2391.6083916083917</v>
          </cell>
          <cell r="M196">
            <v>2072.7272727272725</v>
          </cell>
          <cell r="N196">
            <v>2072.7272727272725</v>
          </cell>
          <cell r="O196">
            <v>2232.1678321678323</v>
          </cell>
          <cell r="P196">
            <v>2551.048951048951</v>
          </cell>
          <cell r="Q196">
            <v>2551.048951048951</v>
          </cell>
          <cell r="R196">
            <v>2551.048951048951</v>
          </cell>
        </row>
        <row r="197">
          <cell r="G197">
            <v>4356.2387193972736</v>
          </cell>
          <cell r="H197">
            <v>4354.0483140271708</v>
          </cell>
          <cell r="I197">
            <v>4850.1585476832906</v>
          </cell>
          <cell r="J197">
            <v>4851.822750446092</v>
          </cell>
          <cell r="K197">
            <v>4621.374764032088</v>
          </cell>
          <cell r="L197">
            <v>4601.6123169848106</v>
          </cell>
          <cell r="M197">
            <v>4600.691735804633</v>
          </cell>
          <cell r="N197">
            <v>4390.9884005403792</v>
          </cell>
          <cell r="O197">
            <v>4625.6230860987525</v>
          </cell>
          <cell r="P197">
            <v>4377.4570273445524</v>
          </cell>
          <cell r="Q197">
            <v>5091.6441927320257</v>
          </cell>
          <cell r="R197">
            <v>5091.6441927320257</v>
          </cell>
        </row>
        <row r="198">
          <cell r="G198">
            <v>572.02237762237758</v>
          </cell>
          <cell r="H198">
            <v>0</v>
          </cell>
          <cell r="I198">
            <v>0</v>
          </cell>
          <cell r="J198">
            <v>0</v>
          </cell>
          <cell r="K198">
            <v>643.91328671328677</v>
          </cell>
          <cell r="L198">
            <v>643.91328671328677</v>
          </cell>
          <cell r="M198">
            <v>595.68671328671326</v>
          </cell>
          <cell r="N198">
            <v>643.91328671328677</v>
          </cell>
          <cell r="O198">
            <v>643.91328671328677</v>
          </cell>
          <cell r="P198">
            <v>643.91328671328677</v>
          </cell>
          <cell r="Q198">
            <v>691.49930069930065</v>
          </cell>
          <cell r="R198">
            <v>691.49930069930065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</row>
        <row r="200">
          <cell r="G200">
            <v>14654.135222893778</v>
          </cell>
          <cell r="H200">
            <v>9714.1881741670313</v>
          </cell>
          <cell r="I200">
            <v>9476.0326735574163</v>
          </cell>
          <cell r="J200">
            <v>10946.228344851686</v>
          </cell>
          <cell r="K200">
            <v>17954.728610185935</v>
          </cell>
          <cell r="L200">
            <v>17456.224904397401</v>
          </cell>
          <cell r="M200">
            <v>17308.476351189249</v>
          </cell>
          <cell r="N200">
            <v>15454.552036904013</v>
          </cell>
          <cell r="O200">
            <v>17823.312596588265</v>
          </cell>
          <cell r="P200">
            <v>16914.307376994901</v>
          </cell>
          <cell r="Q200">
            <v>19170.765871053703</v>
          </cell>
          <cell r="R200">
            <v>19434.821815109648</v>
          </cell>
        </row>
        <row r="201"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</row>
        <row r="202"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</row>
        <row r="205"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</row>
        <row r="208">
          <cell r="G208">
            <v>3744.7552447552448</v>
          </cell>
          <cell r="H208">
            <v>4185.3146853146854</v>
          </cell>
          <cell r="I208">
            <v>4625.8741258741265</v>
          </cell>
          <cell r="J208">
            <v>4625.8741258741265</v>
          </cell>
          <cell r="K208">
            <v>4625.8741258741265</v>
          </cell>
          <cell r="L208">
            <v>4405.5944055944065</v>
          </cell>
          <cell r="M208">
            <v>4625.8741258741265</v>
          </cell>
          <cell r="N208">
            <v>3744.7552447552448</v>
          </cell>
          <cell r="O208">
            <v>4625.8741258741265</v>
          </cell>
          <cell r="P208">
            <v>4185.3146853146854</v>
          </cell>
          <cell r="Q208">
            <v>4625.8741258741265</v>
          </cell>
          <cell r="R208">
            <v>4846.1538461538466</v>
          </cell>
        </row>
        <row r="209">
          <cell r="G209">
            <v>4067.8321678321677</v>
          </cell>
          <cell r="H209">
            <v>0</v>
          </cell>
          <cell r="I209">
            <v>0</v>
          </cell>
          <cell r="J209">
            <v>0</v>
          </cell>
          <cell r="K209">
            <v>5671.9580419580416</v>
          </cell>
          <cell r="L209">
            <v>5413.4965034965035</v>
          </cell>
          <cell r="M209">
            <v>5413.4965034965035</v>
          </cell>
          <cell r="N209">
            <v>4602.1678321678319</v>
          </cell>
          <cell r="O209">
            <v>5695.734265734266</v>
          </cell>
          <cell r="P209">
            <v>5156.5734265734263</v>
          </cell>
          <cell r="Q209">
            <v>6210.6993006993007</v>
          </cell>
          <cell r="R209">
            <v>6254.4755244755243</v>
          </cell>
        </row>
        <row r="210">
          <cell r="G210">
            <v>1913.2867132867134</v>
          </cell>
          <cell r="H210">
            <v>1174.8251748251748</v>
          </cell>
          <cell r="I210">
            <v>0</v>
          </cell>
          <cell r="J210">
            <v>1468.5314685314686</v>
          </cell>
          <cell r="K210">
            <v>2391.6083916083917</v>
          </cell>
          <cell r="L210">
            <v>2391.6083916083917</v>
          </cell>
          <cell r="M210">
            <v>2072.7272727272725</v>
          </cell>
          <cell r="N210">
            <v>2072.7272727272725</v>
          </cell>
          <cell r="O210">
            <v>2232.1678321678323</v>
          </cell>
          <cell r="P210">
            <v>2551.048951048951</v>
          </cell>
          <cell r="Q210">
            <v>2551.048951048951</v>
          </cell>
          <cell r="R210">
            <v>2551.048951048951</v>
          </cell>
        </row>
        <row r="211">
          <cell r="G211">
            <v>4356.2387193972736</v>
          </cell>
          <cell r="H211">
            <v>4354.0483140271708</v>
          </cell>
          <cell r="I211">
            <v>4850.1585476832906</v>
          </cell>
          <cell r="J211">
            <v>4851.822750446092</v>
          </cell>
          <cell r="K211">
            <v>4621.374764032088</v>
          </cell>
          <cell r="L211">
            <v>4601.6123169848106</v>
          </cell>
          <cell r="M211">
            <v>4600.691735804633</v>
          </cell>
          <cell r="N211">
            <v>4390.9884005403792</v>
          </cell>
          <cell r="O211">
            <v>4625.6230860987525</v>
          </cell>
          <cell r="P211">
            <v>4377.4570273445524</v>
          </cell>
          <cell r="Q211">
            <v>5091.6441927320257</v>
          </cell>
          <cell r="R211">
            <v>5091.6441927320257</v>
          </cell>
        </row>
        <row r="212">
          <cell r="G212">
            <v>572.02237762237758</v>
          </cell>
          <cell r="H212">
            <v>0</v>
          </cell>
          <cell r="I212">
            <v>0</v>
          </cell>
          <cell r="J212">
            <v>0</v>
          </cell>
          <cell r="K212">
            <v>643.91328671328677</v>
          </cell>
          <cell r="L212">
            <v>643.91328671328677</v>
          </cell>
          <cell r="M212">
            <v>595.68671328671326</v>
          </cell>
          <cell r="N212">
            <v>643.91328671328677</v>
          </cell>
          <cell r="O212">
            <v>643.91328671328677</v>
          </cell>
          <cell r="P212">
            <v>643.91328671328677</v>
          </cell>
          <cell r="Q212">
            <v>691.49930069930065</v>
          </cell>
          <cell r="R212">
            <v>691.49930069930065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</row>
        <row r="214">
          <cell r="G214">
            <v>14654.135222893778</v>
          </cell>
          <cell r="H214">
            <v>9714.1881741670313</v>
          </cell>
          <cell r="I214">
            <v>9476.0326735574163</v>
          </cell>
          <cell r="J214">
            <v>10946.228344851686</v>
          </cell>
          <cell r="K214">
            <v>17954.728610185935</v>
          </cell>
          <cell r="L214">
            <v>17456.224904397401</v>
          </cell>
          <cell r="M214">
            <v>17308.476351189249</v>
          </cell>
          <cell r="N214">
            <v>15454.552036904013</v>
          </cell>
          <cell r="O214">
            <v>17823.312596588265</v>
          </cell>
          <cell r="P214">
            <v>16914.307376994901</v>
          </cell>
          <cell r="Q214">
            <v>19170.765871053703</v>
          </cell>
          <cell r="R214">
            <v>19434.821815109648</v>
          </cell>
        </row>
        <row r="216">
          <cell r="G216">
            <v>1430</v>
          </cell>
          <cell r="H216" t="str">
            <v>KG/㎥</v>
          </cell>
        </row>
        <row r="217">
          <cell r="G217" t="str">
            <v>1월</v>
          </cell>
          <cell r="H217" t="str">
            <v>2월</v>
          </cell>
          <cell r="I217" t="str">
            <v>3월</v>
          </cell>
          <cell r="J217" t="str">
            <v>4월</v>
          </cell>
          <cell r="K217" t="str">
            <v>5월</v>
          </cell>
          <cell r="L217" t="str">
            <v>6월</v>
          </cell>
          <cell r="M217" t="str">
            <v>7월</v>
          </cell>
          <cell r="N217" t="str">
            <v>8월</v>
          </cell>
          <cell r="O217" t="str">
            <v>9월</v>
          </cell>
          <cell r="P217" t="str">
            <v>10월</v>
          </cell>
          <cell r="Q217" t="str">
            <v>11월</v>
          </cell>
          <cell r="R217" t="str">
            <v>12월</v>
          </cell>
        </row>
        <row r="218">
          <cell r="G218">
            <v>5355000</v>
          </cell>
          <cell r="H218">
            <v>5985000</v>
          </cell>
          <cell r="I218">
            <v>6615000.0000000009</v>
          </cell>
          <cell r="J218">
            <v>6615000.0000000009</v>
          </cell>
          <cell r="K218">
            <v>6615000.0000000009</v>
          </cell>
          <cell r="L218">
            <v>6300000.0000000009</v>
          </cell>
          <cell r="M218">
            <v>6615000.0000000009</v>
          </cell>
          <cell r="N218">
            <v>5355000</v>
          </cell>
          <cell r="O218">
            <v>6615000.0000000009</v>
          </cell>
          <cell r="P218">
            <v>5985000</v>
          </cell>
          <cell r="Q218">
            <v>6615000.0000000009</v>
          </cell>
          <cell r="R218">
            <v>6930000.0000000009</v>
          </cell>
        </row>
        <row r="219">
          <cell r="G219">
            <v>5817000</v>
          </cell>
          <cell r="H219">
            <v>0</v>
          </cell>
          <cell r="I219">
            <v>0</v>
          </cell>
          <cell r="J219">
            <v>0</v>
          </cell>
          <cell r="K219">
            <v>8110899.9999999991</v>
          </cell>
          <cell r="L219">
            <v>7741300</v>
          </cell>
          <cell r="M219">
            <v>7741300</v>
          </cell>
          <cell r="N219">
            <v>6581100</v>
          </cell>
          <cell r="O219">
            <v>8144900</v>
          </cell>
          <cell r="P219">
            <v>7373900</v>
          </cell>
          <cell r="Q219">
            <v>8881300</v>
          </cell>
          <cell r="R219">
            <v>8943900</v>
          </cell>
        </row>
        <row r="220">
          <cell r="G220">
            <v>2736000</v>
          </cell>
          <cell r="H220">
            <v>1680000</v>
          </cell>
          <cell r="I220">
            <v>0</v>
          </cell>
          <cell r="J220">
            <v>2100000</v>
          </cell>
          <cell r="K220">
            <v>3420000</v>
          </cell>
          <cell r="L220">
            <v>3420000</v>
          </cell>
          <cell r="M220">
            <v>2963999.9999999995</v>
          </cell>
          <cell r="N220">
            <v>2963999.9999999995</v>
          </cell>
          <cell r="O220">
            <v>3192000</v>
          </cell>
          <cell r="P220">
            <v>3648000</v>
          </cell>
          <cell r="Q220">
            <v>3648000</v>
          </cell>
          <cell r="R220">
            <v>3648000</v>
          </cell>
        </row>
        <row r="221">
          <cell r="G221">
            <v>6229421.3687381009</v>
          </cell>
          <cell r="H221">
            <v>6226289.0890588546</v>
          </cell>
          <cell r="I221">
            <v>6935726.7231871057</v>
          </cell>
          <cell r="J221">
            <v>6938106.5331379119</v>
          </cell>
          <cell r="K221">
            <v>6608565.912565886</v>
          </cell>
          <cell r="L221">
            <v>6580305.6132882796</v>
          </cell>
          <cell r="M221">
            <v>6578989.1822006255</v>
          </cell>
          <cell r="N221">
            <v>6279113.4127727421</v>
          </cell>
          <cell r="O221">
            <v>6614641.0131212166</v>
          </cell>
          <cell r="P221">
            <v>6259763.5491027096</v>
          </cell>
          <cell r="Q221">
            <v>7281051.195606797</v>
          </cell>
          <cell r="R221">
            <v>7281051.195606797</v>
          </cell>
        </row>
        <row r="222">
          <cell r="G222">
            <v>817991.99999999988</v>
          </cell>
          <cell r="H222">
            <v>0</v>
          </cell>
          <cell r="I222">
            <v>0</v>
          </cell>
          <cell r="J222">
            <v>0</v>
          </cell>
          <cell r="K222">
            <v>920796.00000000012</v>
          </cell>
          <cell r="L222">
            <v>920796.00000000012</v>
          </cell>
          <cell r="M222">
            <v>851832</v>
          </cell>
          <cell r="N222">
            <v>920796.00000000012</v>
          </cell>
          <cell r="O222">
            <v>920796.00000000012</v>
          </cell>
          <cell r="P222">
            <v>920796.00000000012</v>
          </cell>
          <cell r="Q222">
            <v>988843.99999999988</v>
          </cell>
          <cell r="R222">
            <v>988843.99999999988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</row>
        <row r="224">
          <cell r="G224">
            <v>20955413.3687381</v>
          </cell>
          <cell r="H224">
            <v>13891289.089058854</v>
          </cell>
          <cell r="I224">
            <v>13550726.723187108</v>
          </cell>
          <cell r="J224">
            <v>15653106.533137912</v>
          </cell>
          <cell r="K224">
            <v>25675261.912565887</v>
          </cell>
          <cell r="L224">
            <v>24962401.61328828</v>
          </cell>
          <cell r="M224">
            <v>24751121.182200626</v>
          </cell>
          <cell r="N224">
            <v>22100009.412772741</v>
          </cell>
          <cell r="O224">
            <v>25487337.013121217</v>
          </cell>
          <cell r="P224">
            <v>24187459.549102709</v>
          </cell>
          <cell r="Q224">
            <v>27414195.195606798</v>
          </cell>
          <cell r="R224">
            <v>27791795.195606798</v>
          </cell>
        </row>
        <row r="225"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</row>
        <row r="226"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</row>
        <row r="227"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</row>
        <row r="228"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</row>
        <row r="229"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</row>
        <row r="231"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</row>
        <row r="232">
          <cell r="G232">
            <v>5355000</v>
          </cell>
          <cell r="H232">
            <v>5985000</v>
          </cell>
          <cell r="I232">
            <v>6615000.0000000009</v>
          </cell>
          <cell r="J232">
            <v>6615000.0000000009</v>
          </cell>
          <cell r="K232">
            <v>6615000.0000000009</v>
          </cell>
          <cell r="L232">
            <v>6300000.0000000009</v>
          </cell>
          <cell r="M232">
            <v>6615000.0000000009</v>
          </cell>
          <cell r="N232">
            <v>5355000</v>
          </cell>
          <cell r="O232">
            <v>6615000.0000000009</v>
          </cell>
          <cell r="P232">
            <v>5985000</v>
          </cell>
          <cell r="Q232">
            <v>6615000.0000000009</v>
          </cell>
          <cell r="R232">
            <v>6930000.0000000009</v>
          </cell>
        </row>
        <row r="233">
          <cell r="G233">
            <v>5817000</v>
          </cell>
          <cell r="H233">
            <v>0</v>
          </cell>
          <cell r="I233">
            <v>0</v>
          </cell>
          <cell r="J233">
            <v>0</v>
          </cell>
          <cell r="K233">
            <v>8110899.9999999991</v>
          </cell>
          <cell r="L233">
            <v>7741300</v>
          </cell>
          <cell r="M233">
            <v>7741300</v>
          </cell>
          <cell r="N233">
            <v>6581100</v>
          </cell>
          <cell r="O233">
            <v>8144900</v>
          </cell>
          <cell r="P233">
            <v>7373900</v>
          </cell>
          <cell r="Q233">
            <v>8881300</v>
          </cell>
          <cell r="R233">
            <v>8943900</v>
          </cell>
        </row>
        <row r="234">
          <cell r="G234">
            <v>2736000</v>
          </cell>
          <cell r="H234">
            <v>1680000</v>
          </cell>
          <cell r="I234">
            <v>0</v>
          </cell>
          <cell r="J234">
            <v>2100000</v>
          </cell>
          <cell r="K234">
            <v>3420000</v>
          </cell>
          <cell r="L234">
            <v>3420000</v>
          </cell>
          <cell r="M234">
            <v>2963999.9999999995</v>
          </cell>
          <cell r="N234">
            <v>2963999.9999999995</v>
          </cell>
          <cell r="O234">
            <v>3192000</v>
          </cell>
          <cell r="P234">
            <v>3648000</v>
          </cell>
          <cell r="Q234">
            <v>3648000</v>
          </cell>
          <cell r="R234">
            <v>3648000</v>
          </cell>
        </row>
        <row r="235">
          <cell r="G235">
            <v>6229421.3687381009</v>
          </cell>
          <cell r="H235">
            <v>6226289.0890588546</v>
          </cell>
          <cell r="I235">
            <v>6935726.7231871057</v>
          </cell>
          <cell r="J235">
            <v>6938106.5331379119</v>
          </cell>
          <cell r="K235">
            <v>6608565.912565886</v>
          </cell>
          <cell r="L235">
            <v>6580305.6132882796</v>
          </cell>
          <cell r="M235">
            <v>6578989.1822006255</v>
          </cell>
          <cell r="N235">
            <v>6279113.4127727421</v>
          </cell>
          <cell r="O235">
            <v>6614641.0131212166</v>
          </cell>
          <cell r="P235">
            <v>6259763.5491027096</v>
          </cell>
          <cell r="Q235">
            <v>7281051.195606797</v>
          </cell>
          <cell r="R235">
            <v>7281051.195606797</v>
          </cell>
        </row>
        <row r="236">
          <cell r="G236">
            <v>817991.99999999988</v>
          </cell>
          <cell r="H236">
            <v>0</v>
          </cell>
          <cell r="I236">
            <v>0</v>
          </cell>
          <cell r="J236">
            <v>0</v>
          </cell>
          <cell r="K236">
            <v>920796.00000000012</v>
          </cell>
          <cell r="L236">
            <v>920796.00000000012</v>
          </cell>
          <cell r="M236">
            <v>851832</v>
          </cell>
          <cell r="N236">
            <v>920796.00000000012</v>
          </cell>
          <cell r="O236">
            <v>920796.00000000012</v>
          </cell>
          <cell r="P236">
            <v>920796.00000000012</v>
          </cell>
          <cell r="Q236">
            <v>988843.99999999988</v>
          </cell>
          <cell r="R236">
            <v>988843.99999999988</v>
          </cell>
        </row>
        <row r="237"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</row>
        <row r="238">
          <cell r="G238">
            <v>20955413.3687381</v>
          </cell>
          <cell r="H238">
            <v>13891289.089058854</v>
          </cell>
          <cell r="I238">
            <v>13550726.723187108</v>
          </cell>
          <cell r="J238">
            <v>15653106.533137912</v>
          </cell>
          <cell r="K238">
            <v>25675261.912565887</v>
          </cell>
          <cell r="L238">
            <v>24962401.61328828</v>
          </cell>
          <cell r="M238">
            <v>24751121.182200626</v>
          </cell>
          <cell r="N238">
            <v>22100009.412772741</v>
          </cell>
          <cell r="O238">
            <v>25487337.013121217</v>
          </cell>
          <cell r="P238">
            <v>24187459.549102709</v>
          </cell>
          <cell r="Q238">
            <v>27414195.195606798</v>
          </cell>
          <cell r="R238">
            <v>27791795.195606798</v>
          </cell>
        </row>
        <row r="241">
          <cell r="G241" t="str">
            <v>1월</v>
          </cell>
          <cell r="H241" t="str">
            <v>2월</v>
          </cell>
          <cell r="I241" t="str">
            <v>3월</v>
          </cell>
          <cell r="J241" t="str">
            <v>4월</v>
          </cell>
          <cell r="K241" t="str">
            <v>5월</v>
          </cell>
          <cell r="L241" t="str">
            <v>6월</v>
          </cell>
          <cell r="M241" t="str">
            <v>7월</v>
          </cell>
          <cell r="N241" t="str">
            <v>8월</v>
          </cell>
          <cell r="O241" t="str">
            <v>9월</v>
          </cell>
          <cell r="P241" t="str">
            <v>10월</v>
          </cell>
          <cell r="Q241" t="str">
            <v>11월</v>
          </cell>
          <cell r="R241" t="str">
            <v>12월</v>
          </cell>
        </row>
        <row r="242">
          <cell r="G242">
            <v>8131.4685314685312</v>
          </cell>
          <cell r="H242">
            <v>9088.1118881118891</v>
          </cell>
          <cell r="I242">
            <v>10044.755244755244</v>
          </cell>
          <cell r="J242">
            <v>10044.755244755244</v>
          </cell>
          <cell r="K242">
            <v>10044.755244755244</v>
          </cell>
          <cell r="L242">
            <v>9566.4335664335667</v>
          </cell>
          <cell r="M242">
            <v>10044.755244755244</v>
          </cell>
          <cell r="N242">
            <v>8131.4685314685312</v>
          </cell>
          <cell r="O242">
            <v>10044.755244755244</v>
          </cell>
          <cell r="P242">
            <v>9088.1118881118891</v>
          </cell>
          <cell r="Q242">
            <v>10044.755244755244</v>
          </cell>
          <cell r="R242">
            <v>10523.076923076922</v>
          </cell>
        </row>
        <row r="243">
          <cell r="G243">
            <v>28470.629370629369</v>
          </cell>
          <cell r="H243">
            <v>159302.77872204929</v>
          </cell>
          <cell r="I243">
            <v>10044.755244755244</v>
          </cell>
          <cell r="J243">
            <v>177432.64013514537</v>
          </cell>
          <cell r="K243">
            <v>38404.545454545456</v>
          </cell>
          <cell r="L243">
            <v>36633.91608391609</v>
          </cell>
          <cell r="M243">
            <v>37112.237762237768</v>
          </cell>
          <cell r="N243">
            <v>31142.307692307688</v>
          </cell>
          <cell r="O243">
            <v>38523.426573426572</v>
          </cell>
          <cell r="P243">
            <v>34870.979020979023</v>
          </cell>
          <cell r="Q243">
            <v>41098.251748251751</v>
          </cell>
          <cell r="R243">
            <v>41795.454545454544</v>
          </cell>
        </row>
        <row r="244">
          <cell r="G244">
            <v>120124.82517482518</v>
          </cell>
          <cell r="H244">
            <v>127994.05594405593</v>
          </cell>
          <cell r="I244">
            <v>133026.92307692309</v>
          </cell>
          <cell r="J244">
            <v>142572.37762237765</v>
          </cell>
          <cell r="K244">
            <v>148572.37762237765</v>
          </cell>
          <cell r="L244">
            <v>142237.76223776228</v>
          </cell>
          <cell r="M244">
            <v>146499.65034965036</v>
          </cell>
          <cell r="N244">
            <v>121161.18881118883</v>
          </cell>
          <cell r="O244">
            <v>147536.013986014</v>
          </cell>
          <cell r="P244">
            <v>136939.51048951049</v>
          </cell>
          <cell r="Q244">
            <v>149608.74125874127</v>
          </cell>
          <cell r="R244">
            <v>155943.35664335664</v>
          </cell>
        </row>
        <row r="245">
          <cell r="G245">
            <v>140469.34284303201</v>
          </cell>
          <cell r="H245">
            <v>182870.02918914118</v>
          </cell>
          <cell r="I245">
            <v>36376.189107624683</v>
          </cell>
          <cell r="J245">
            <v>203776.55551873584</v>
          </cell>
          <cell r="K245">
            <v>184967.19884212877</v>
          </cell>
          <cell r="L245">
            <v>177969.74972004342</v>
          </cell>
          <cell r="M245">
            <v>177962.84536119207</v>
          </cell>
          <cell r="N245">
            <v>154889.86055650038</v>
          </cell>
          <cell r="O245">
            <v>185629.13118769872</v>
          </cell>
          <cell r="P245">
            <v>169480.12350927995</v>
          </cell>
          <cell r="Q245">
            <v>202770.86291402165</v>
          </cell>
          <cell r="R245">
            <v>203930.93284409156</v>
          </cell>
        </row>
        <row r="246">
          <cell r="G246">
            <v>53749.611188811185</v>
          </cell>
          <cell r="H246">
            <v>30545.454545454548</v>
          </cell>
          <cell r="I246">
            <v>0</v>
          </cell>
          <cell r="J246">
            <v>38181.818181818177</v>
          </cell>
          <cell r="K246">
            <v>66689.211188811198</v>
          </cell>
          <cell r="L246">
            <v>66689.211188811198</v>
          </cell>
          <cell r="M246">
            <v>58060.716083916079</v>
          </cell>
          <cell r="N246">
            <v>58398.302097902095</v>
          </cell>
          <cell r="O246">
            <v>62543.756643356646</v>
          </cell>
          <cell r="P246">
            <v>70834.665734265727</v>
          </cell>
          <cell r="Q246">
            <v>71167.767832167825</v>
          </cell>
          <cell r="R246">
            <v>71167.767832167825</v>
          </cell>
        </row>
        <row r="247">
          <cell r="G247">
            <v>113262.20670432912</v>
          </cell>
          <cell r="H247">
            <v>0</v>
          </cell>
          <cell r="I247">
            <v>0</v>
          </cell>
          <cell r="J247">
            <v>0</v>
          </cell>
          <cell r="K247">
            <v>120155.74386483429</v>
          </cell>
          <cell r="L247">
            <v>119641.92024160507</v>
          </cell>
          <cell r="M247">
            <v>119617.98513092045</v>
          </cell>
          <cell r="N247">
            <v>114165.69841404987</v>
          </cell>
          <cell r="O247">
            <v>120266.20023856756</v>
          </cell>
          <cell r="P247">
            <v>113813.88271095837</v>
          </cell>
          <cell r="Q247">
            <v>132382.74901103266</v>
          </cell>
          <cell r="R247">
            <v>132382.74901103266</v>
          </cell>
        </row>
        <row r="248">
          <cell r="G248">
            <v>464208.08381309541</v>
          </cell>
          <cell r="H248">
            <v>509800.43028881284</v>
          </cell>
          <cell r="I248">
            <v>189492.62267405825</v>
          </cell>
          <cell r="J248">
            <v>572008.14670283231</v>
          </cell>
          <cell r="K248">
            <v>568833.8322174527</v>
          </cell>
          <cell r="L248">
            <v>552738.99303857156</v>
          </cell>
          <cell r="M248">
            <v>549298.18993267196</v>
          </cell>
          <cell r="N248">
            <v>487888.82610341744</v>
          </cell>
          <cell r="O248">
            <v>564543.2838738187</v>
          </cell>
          <cell r="P248">
            <v>535027.27335310541</v>
          </cell>
          <cell r="Q248">
            <v>607073.12800897041</v>
          </cell>
          <cell r="R248">
            <v>615743.33779918007</v>
          </cell>
        </row>
        <row r="249"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</row>
        <row r="250"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</row>
        <row r="251"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</row>
        <row r="252"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</row>
        <row r="253"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</row>
        <row r="254"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</row>
        <row r="255"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</row>
        <row r="256">
          <cell r="G256">
            <v>8131.4685314685312</v>
          </cell>
          <cell r="H256">
            <v>9088.1118881118891</v>
          </cell>
          <cell r="I256">
            <v>10044.755244755244</v>
          </cell>
          <cell r="J256">
            <v>10044.755244755244</v>
          </cell>
          <cell r="K256">
            <v>10044.755244755244</v>
          </cell>
          <cell r="L256">
            <v>9566.4335664335667</v>
          </cell>
          <cell r="M256">
            <v>10044.755244755244</v>
          </cell>
          <cell r="N256">
            <v>8131.4685314685312</v>
          </cell>
          <cell r="O256">
            <v>10044.755244755244</v>
          </cell>
          <cell r="P256">
            <v>9088.1118881118891</v>
          </cell>
          <cell r="Q256">
            <v>10044.755244755244</v>
          </cell>
          <cell r="R256">
            <v>10523.076923076922</v>
          </cell>
        </row>
        <row r="257">
          <cell r="G257">
            <v>28470.629370629369</v>
          </cell>
          <cell r="H257">
            <v>159302.77872204929</v>
          </cell>
          <cell r="I257">
            <v>10044.755244755244</v>
          </cell>
          <cell r="J257">
            <v>177432.64013514537</v>
          </cell>
          <cell r="K257">
            <v>38404.545454545456</v>
          </cell>
          <cell r="L257">
            <v>36633.91608391609</v>
          </cell>
          <cell r="M257">
            <v>37112.237762237768</v>
          </cell>
          <cell r="N257">
            <v>31142.307692307688</v>
          </cell>
          <cell r="O257">
            <v>38523.426573426572</v>
          </cell>
          <cell r="P257">
            <v>34870.979020979023</v>
          </cell>
          <cell r="Q257">
            <v>41098.251748251751</v>
          </cell>
          <cell r="R257">
            <v>41795.454545454544</v>
          </cell>
        </row>
        <row r="258">
          <cell r="G258">
            <v>120124.82517482518</v>
          </cell>
          <cell r="H258">
            <v>127994.05594405593</v>
          </cell>
          <cell r="I258">
            <v>133026.92307692309</v>
          </cell>
          <cell r="J258">
            <v>142572.37762237765</v>
          </cell>
          <cell r="K258">
            <v>148572.37762237765</v>
          </cell>
          <cell r="L258">
            <v>142237.76223776228</v>
          </cell>
          <cell r="M258">
            <v>146499.65034965036</v>
          </cell>
          <cell r="N258">
            <v>121161.18881118883</v>
          </cell>
          <cell r="O258">
            <v>147536.013986014</v>
          </cell>
          <cell r="P258">
            <v>136939.51048951049</v>
          </cell>
          <cell r="Q258">
            <v>149608.74125874127</v>
          </cell>
          <cell r="R258">
            <v>155943.35664335664</v>
          </cell>
        </row>
        <row r="259">
          <cell r="G259">
            <v>140469.34284303201</v>
          </cell>
          <cell r="H259">
            <v>182870.02918914118</v>
          </cell>
          <cell r="I259">
            <v>36376.189107624683</v>
          </cell>
          <cell r="J259">
            <v>203776.55551873584</v>
          </cell>
          <cell r="K259">
            <v>184967.19884212877</v>
          </cell>
          <cell r="L259">
            <v>177969.74972004342</v>
          </cell>
          <cell r="M259">
            <v>177962.84536119207</v>
          </cell>
          <cell r="N259">
            <v>154889.86055650038</v>
          </cell>
          <cell r="O259">
            <v>185629.13118769872</v>
          </cell>
          <cell r="P259">
            <v>169480.12350927995</v>
          </cell>
          <cell r="Q259">
            <v>202770.86291402165</v>
          </cell>
          <cell r="R259">
            <v>203930.93284409156</v>
          </cell>
        </row>
        <row r="260">
          <cell r="G260">
            <v>53749.611188811185</v>
          </cell>
          <cell r="H260">
            <v>30545.454545454548</v>
          </cell>
          <cell r="I260">
            <v>0</v>
          </cell>
          <cell r="J260">
            <v>38181.818181818177</v>
          </cell>
          <cell r="K260">
            <v>66689.211188811198</v>
          </cell>
          <cell r="L260">
            <v>66689.211188811198</v>
          </cell>
          <cell r="M260">
            <v>58060.716083916079</v>
          </cell>
          <cell r="N260">
            <v>58398.302097902095</v>
          </cell>
          <cell r="O260">
            <v>62543.756643356646</v>
          </cell>
          <cell r="P260">
            <v>70834.665734265727</v>
          </cell>
          <cell r="Q260">
            <v>71167.767832167825</v>
          </cell>
          <cell r="R260">
            <v>71167.767832167825</v>
          </cell>
        </row>
        <row r="261">
          <cell r="G261">
            <v>113262.20670432912</v>
          </cell>
          <cell r="H261">
            <v>0</v>
          </cell>
          <cell r="I261">
            <v>0</v>
          </cell>
          <cell r="J261">
            <v>0</v>
          </cell>
          <cell r="K261">
            <v>120155.74386483429</v>
          </cell>
          <cell r="L261">
            <v>119641.92024160507</v>
          </cell>
          <cell r="M261">
            <v>119617.98513092045</v>
          </cell>
          <cell r="N261">
            <v>114165.69841404987</v>
          </cell>
          <cell r="O261">
            <v>120266.20023856756</v>
          </cell>
          <cell r="P261">
            <v>113813.88271095837</v>
          </cell>
          <cell r="Q261">
            <v>132382.74901103266</v>
          </cell>
          <cell r="R261">
            <v>132382.74901103266</v>
          </cell>
        </row>
        <row r="262">
          <cell r="G262">
            <v>464208.08381309541</v>
          </cell>
          <cell r="H262">
            <v>509800.43028881284</v>
          </cell>
          <cell r="I262">
            <v>189492.62267405825</v>
          </cell>
          <cell r="J262">
            <v>572008.14670283231</v>
          </cell>
          <cell r="K262">
            <v>568833.8322174527</v>
          </cell>
          <cell r="L262">
            <v>552738.99303857156</v>
          </cell>
          <cell r="M262">
            <v>549298.18993267196</v>
          </cell>
          <cell r="N262">
            <v>487888.82610341744</v>
          </cell>
          <cell r="O262">
            <v>564543.2838738187</v>
          </cell>
          <cell r="P262">
            <v>535027.27335310541</v>
          </cell>
          <cell r="Q262">
            <v>607073.12800897041</v>
          </cell>
          <cell r="R262">
            <v>615743.33779918007</v>
          </cell>
        </row>
        <row r="265"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</row>
        <row r="266"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</row>
        <row r="267"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</row>
        <row r="268"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</row>
        <row r="269"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</row>
        <row r="270"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</row>
        <row r="272"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</row>
        <row r="273">
          <cell r="G273">
            <v>0</v>
          </cell>
          <cell r="H273">
            <v>5000</v>
          </cell>
          <cell r="I273">
            <v>5000</v>
          </cell>
          <cell r="J273">
            <v>5000</v>
          </cell>
          <cell r="K273">
            <v>5000</v>
          </cell>
          <cell r="L273">
            <v>5000</v>
          </cell>
          <cell r="M273">
            <v>5000</v>
          </cell>
          <cell r="N273">
            <v>5000</v>
          </cell>
          <cell r="O273">
            <v>5000</v>
          </cell>
          <cell r="P273">
            <v>5000</v>
          </cell>
          <cell r="Q273">
            <v>5000</v>
          </cell>
          <cell r="R273">
            <v>5000</v>
          </cell>
        </row>
        <row r="274">
          <cell r="G274">
            <v>0</v>
          </cell>
          <cell r="H274">
            <v>6500</v>
          </cell>
          <cell r="I274">
            <v>6500</v>
          </cell>
          <cell r="J274">
            <v>6500</v>
          </cell>
          <cell r="K274">
            <v>6500</v>
          </cell>
          <cell r="L274">
            <v>6500</v>
          </cell>
          <cell r="M274">
            <v>6500</v>
          </cell>
          <cell r="N274">
            <v>6500</v>
          </cell>
          <cell r="O274">
            <v>6500</v>
          </cell>
          <cell r="P274">
            <v>6500</v>
          </cell>
          <cell r="Q274">
            <v>6500</v>
          </cell>
          <cell r="R274">
            <v>6500</v>
          </cell>
        </row>
        <row r="275">
          <cell r="G275">
            <v>0</v>
          </cell>
          <cell r="H275">
            <v>7500</v>
          </cell>
          <cell r="I275">
            <v>7500</v>
          </cell>
          <cell r="J275">
            <v>7500</v>
          </cell>
          <cell r="K275">
            <v>7500</v>
          </cell>
          <cell r="L275">
            <v>7500</v>
          </cell>
          <cell r="M275">
            <v>7500</v>
          </cell>
          <cell r="N275">
            <v>7500</v>
          </cell>
          <cell r="O275">
            <v>7500</v>
          </cell>
          <cell r="P275">
            <v>7500</v>
          </cell>
          <cell r="Q275">
            <v>7500</v>
          </cell>
          <cell r="R275">
            <v>7500</v>
          </cell>
        </row>
        <row r="276">
          <cell r="G276">
            <v>0</v>
          </cell>
          <cell r="H276">
            <v>7000</v>
          </cell>
          <cell r="I276">
            <v>7000</v>
          </cell>
          <cell r="J276">
            <v>7000</v>
          </cell>
          <cell r="K276">
            <v>7000</v>
          </cell>
          <cell r="L276">
            <v>7000</v>
          </cell>
          <cell r="M276">
            <v>7000</v>
          </cell>
          <cell r="N276">
            <v>7000</v>
          </cell>
          <cell r="O276">
            <v>7000</v>
          </cell>
          <cell r="P276">
            <v>7000</v>
          </cell>
          <cell r="Q276">
            <v>7000</v>
          </cell>
          <cell r="R276">
            <v>7000</v>
          </cell>
        </row>
        <row r="277"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</row>
        <row r="280"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</row>
        <row r="281"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</row>
        <row r="282"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</row>
        <row r="283"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</row>
        <row r="284"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</row>
        <row r="285"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</row>
        <row r="287"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</row>
        <row r="288">
          <cell r="G288">
            <v>0</v>
          </cell>
          <cell r="H288">
            <v>3.4965034965034967</v>
          </cell>
          <cell r="I288">
            <v>3.4965034965034967</v>
          </cell>
          <cell r="J288">
            <v>3.4965034965034967</v>
          </cell>
          <cell r="K288">
            <v>3.4965034965034967</v>
          </cell>
          <cell r="L288">
            <v>3.4965034965034967</v>
          </cell>
          <cell r="M288">
            <v>3.4965034965034967</v>
          </cell>
          <cell r="N288">
            <v>3.4965034965034967</v>
          </cell>
          <cell r="O288">
            <v>3.4965034965034967</v>
          </cell>
          <cell r="P288">
            <v>3.4965034965034967</v>
          </cell>
          <cell r="Q288">
            <v>3.4965034965034967</v>
          </cell>
          <cell r="R288">
            <v>3.4965034965034967</v>
          </cell>
        </row>
        <row r="289">
          <cell r="G289">
            <v>0</v>
          </cell>
          <cell r="H289">
            <v>4.5454545454545459</v>
          </cell>
          <cell r="I289">
            <v>4.5454545454545459</v>
          </cell>
          <cell r="J289">
            <v>4.5454545454545459</v>
          </cell>
          <cell r="K289">
            <v>4.5454545454545459</v>
          </cell>
          <cell r="L289">
            <v>4.5454545454545459</v>
          </cell>
          <cell r="M289">
            <v>4.5454545454545459</v>
          </cell>
          <cell r="N289">
            <v>4.5454545454545459</v>
          </cell>
          <cell r="O289">
            <v>4.5454545454545459</v>
          </cell>
          <cell r="P289">
            <v>4.5454545454545459</v>
          </cell>
          <cell r="Q289">
            <v>4.5454545454545459</v>
          </cell>
          <cell r="R289">
            <v>4.5454545454545459</v>
          </cell>
        </row>
        <row r="290">
          <cell r="G290">
            <v>0</v>
          </cell>
          <cell r="H290">
            <v>5.244755244755245</v>
          </cell>
          <cell r="I290">
            <v>5.244755244755245</v>
          </cell>
          <cell r="J290">
            <v>5.244755244755245</v>
          </cell>
          <cell r="K290">
            <v>5.244755244755245</v>
          </cell>
          <cell r="L290">
            <v>5.244755244755245</v>
          </cell>
          <cell r="M290">
            <v>5.244755244755245</v>
          </cell>
          <cell r="N290">
            <v>5.244755244755245</v>
          </cell>
          <cell r="O290">
            <v>5.244755244755245</v>
          </cell>
          <cell r="P290">
            <v>5.244755244755245</v>
          </cell>
          <cell r="Q290">
            <v>5.244755244755245</v>
          </cell>
          <cell r="R290">
            <v>5.244755244755245</v>
          </cell>
        </row>
        <row r="291">
          <cell r="G291">
            <v>0</v>
          </cell>
          <cell r="H291">
            <v>4.895104895104895</v>
          </cell>
          <cell r="I291">
            <v>4.895104895104895</v>
          </cell>
          <cell r="J291">
            <v>4.895104895104895</v>
          </cell>
          <cell r="K291">
            <v>4.895104895104895</v>
          </cell>
          <cell r="L291">
            <v>4.895104895104895</v>
          </cell>
          <cell r="M291">
            <v>4.895104895104895</v>
          </cell>
          <cell r="N291">
            <v>4.895104895104895</v>
          </cell>
          <cell r="O291">
            <v>4.895104895104895</v>
          </cell>
          <cell r="P291">
            <v>4.895104895104895</v>
          </cell>
          <cell r="Q291">
            <v>4.895104895104895</v>
          </cell>
          <cell r="R291">
            <v>4.895104895104895</v>
          </cell>
        </row>
        <row r="292"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</row>
        <row r="299">
          <cell r="G299">
            <v>3744.7552447552448</v>
          </cell>
          <cell r="H299">
            <v>4185.3146853146854</v>
          </cell>
          <cell r="I299">
            <v>4625.8741258741265</v>
          </cell>
          <cell r="J299">
            <v>4625.8741258741265</v>
          </cell>
          <cell r="K299">
            <v>4625.8741258741265</v>
          </cell>
          <cell r="L299">
            <v>4405.5944055944065</v>
          </cell>
          <cell r="M299">
            <v>4625.8741258741265</v>
          </cell>
          <cell r="N299">
            <v>3744.7552447552448</v>
          </cell>
          <cell r="O299">
            <v>4625.8741258741265</v>
          </cell>
          <cell r="P299">
            <v>4185.3146853146854</v>
          </cell>
          <cell r="Q299">
            <v>4625.8741258741265</v>
          </cell>
          <cell r="R299">
            <v>4846.1538461538466</v>
          </cell>
        </row>
        <row r="300">
          <cell r="G300">
            <v>4067.8321678321677</v>
          </cell>
          <cell r="H300">
            <v>0</v>
          </cell>
          <cell r="I300">
            <v>0</v>
          </cell>
          <cell r="J300">
            <v>0</v>
          </cell>
          <cell r="K300">
            <v>5671.9580419580416</v>
          </cell>
          <cell r="L300">
            <v>5413.4965034965035</v>
          </cell>
          <cell r="M300">
            <v>5413.4965034965035</v>
          </cell>
          <cell r="N300">
            <v>4602.1678321678319</v>
          </cell>
          <cell r="O300">
            <v>5695.734265734266</v>
          </cell>
          <cell r="P300">
            <v>5156.5734265734263</v>
          </cell>
          <cell r="Q300">
            <v>6210.6993006993007</v>
          </cell>
          <cell r="R300">
            <v>6254.4755244755243</v>
          </cell>
        </row>
        <row r="301">
          <cell r="G301">
            <v>1913.2867132867134</v>
          </cell>
          <cell r="H301">
            <v>1174.8251748251748</v>
          </cell>
          <cell r="I301">
            <v>0</v>
          </cell>
          <cell r="J301">
            <v>1468.5314685314686</v>
          </cell>
          <cell r="K301">
            <v>2391.6083916083917</v>
          </cell>
          <cell r="L301">
            <v>2391.6083916083917</v>
          </cell>
          <cell r="M301">
            <v>2072.7272727272725</v>
          </cell>
          <cell r="N301">
            <v>2072.7272727272725</v>
          </cell>
          <cell r="O301">
            <v>2232.1678321678323</v>
          </cell>
          <cell r="P301">
            <v>2551.048951048951</v>
          </cell>
          <cell r="Q301">
            <v>2551.048951048951</v>
          </cell>
          <cell r="R301">
            <v>2551.048951048951</v>
          </cell>
        </row>
        <row r="302">
          <cell r="G302">
            <v>4356.2387193972736</v>
          </cell>
          <cell r="H302">
            <v>4354.0483140271708</v>
          </cell>
          <cell r="I302">
            <v>4850.1585476832906</v>
          </cell>
          <cell r="J302">
            <v>4851.822750446092</v>
          </cell>
          <cell r="K302">
            <v>4621.374764032088</v>
          </cell>
          <cell r="L302">
            <v>4601.6123169848106</v>
          </cell>
          <cell r="M302">
            <v>4600.691735804633</v>
          </cell>
          <cell r="N302">
            <v>4390.9884005403792</v>
          </cell>
          <cell r="O302">
            <v>4625.6230860987525</v>
          </cell>
          <cell r="P302">
            <v>4377.4570273445524</v>
          </cell>
          <cell r="Q302">
            <v>5091.6441927320257</v>
          </cell>
          <cell r="R302">
            <v>5091.6441927320257</v>
          </cell>
        </row>
        <row r="303">
          <cell r="G303">
            <v>572.02237762237758</v>
          </cell>
          <cell r="H303">
            <v>0</v>
          </cell>
          <cell r="I303">
            <v>0</v>
          </cell>
          <cell r="J303">
            <v>0</v>
          </cell>
          <cell r="K303">
            <v>643.91328671328677</v>
          </cell>
          <cell r="L303">
            <v>643.91328671328677</v>
          </cell>
          <cell r="M303">
            <v>595.68671328671326</v>
          </cell>
          <cell r="N303">
            <v>643.91328671328677</v>
          </cell>
          <cell r="O303">
            <v>643.91328671328677</v>
          </cell>
          <cell r="P303">
            <v>643.91328671328677</v>
          </cell>
          <cell r="Q303">
            <v>691.49930069930065</v>
          </cell>
          <cell r="R303">
            <v>691.49930069930065</v>
          </cell>
        </row>
        <row r="304"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</row>
        <row r="306">
          <cell r="G306">
            <v>8131.4685314685312</v>
          </cell>
          <cell r="H306">
            <v>9088.1118881118891</v>
          </cell>
          <cell r="I306">
            <v>10044.755244755244</v>
          </cell>
          <cell r="J306">
            <v>10044.755244755244</v>
          </cell>
          <cell r="K306">
            <v>10044.755244755244</v>
          </cell>
          <cell r="L306">
            <v>9566.4335664335667</v>
          </cell>
          <cell r="M306">
            <v>10044.755244755244</v>
          </cell>
          <cell r="N306">
            <v>8131.4685314685312</v>
          </cell>
          <cell r="O306">
            <v>10044.755244755244</v>
          </cell>
          <cell r="P306">
            <v>9088.1118881118891</v>
          </cell>
          <cell r="Q306">
            <v>10044.755244755244</v>
          </cell>
          <cell r="R306">
            <v>10523.076923076922</v>
          </cell>
        </row>
        <row r="307">
          <cell r="G307">
            <v>8131.4685314685312</v>
          </cell>
          <cell r="H307">
            <v>159302.77872204929</v>
          </cell>
          <cell r="I307">
            <v>10044.755244755244</v>
          </cell>
          <cell r="J307">
            <v>177432.64013514537</v>
          </cell>
          <cell r="K307">
            <v>10044.755244755244</v>
          </cell>
          <cell r="L307">
            <v>9566.4335664335667</v>
          </cell>
          <cell r="M307">
            <v>10044.755244755244</v>
          </cell>
          <cell r="N307">
            <v>8131.4685314685312</v>
          </cell>
          <cell r="O307">
            <v>10044.755244755244</v>
          </cell>
          <cell r="P307">
            <v>9088.1118881118891</v>
          </cell>
          <cell r="Q307">
            <v>10044.755244755244</v>
          </cell>
          <cell r="R307">
            <v>10523.076923076922</v>
          </cell>
        </row>
        <row r="308">
          <cell r="G308">
            <v>107688.46153846155</v>
          </cell>
          <cell r="H308">
            <v>120357.6923076923</v>
          </cell>
          <cell r="I308">
            <v>133026.92307692309</v>
          </cell>
          <cell r="J308">
            <v>133026.92307692309</v>
          </cell>
          <cell r="K308">
            <v>133026.92307692309</v>
          </cell>
          <cell r="L308">
            <v>126692.30769230772</v>
          </cell>
          <cell r="M308">
            <v>133026.92307692309</v>
          </cell>
          <cell r="N308">
            <v>107688.46153846155</v>
          </cell>
          <cell r="O308">
            <v>133026.92307692309</v>
          </cell>
          <cell r="P308">
            <v>120357.6923076923</v>
          </cell>
          <cell r="Q308">
            <v>133026.92307692309</v>
          </cell>
          <cell r="R308">
            <v>139361.53846153847</v>
          </cell>
        </row>
        <row r="309">
          <cell r="G309">
            <v>107797.55244755244</v>
          </cell>
          <cell r="H309">
            <v>150214.6668339374</v>
          </cell>
          <cell r="I309">
            <v>0</v>
          </cell>
          <cell r="J309">
            <v>167387.88489039015</v>
          </cell>
          <cell r="K309">
            <v>150306.88811188811</v>
          </cell>
          <cell r="L309">
            <v>143457.65734265733</v>
          </cell>
          <cell r="M309">
            <v>143457.65734265733</v>
          </cell>
          <cell r="N309">
            <v>121957.44755244754</v>
          </cell>
          <cell r="O309">
            <v>150936.95804195807</v>
          </cell>
          <cell r="P309">
            <v>136649.1958041958</v>
          </cell>
          <cell r="Q309">
            <v>164583.53146853147</v>
          </cell>
          <cell r="R309">
            <v>165743.60139860137</v>
          </cell>
        </row>
        <row r="310">
          <cell r="G310">
            <v>49745.454545454544</v>
          </cell>
          <cell r="H310">
            <v>30545.454545454548</v>
          </cell>
          <cell r="I310">
            <v>0</v>
          </cell>
          <cell r="J310">
            <v>38181.818181818177</v>
          </cell>
          <cell r="K310">
            <v>62181.818181818184</v>
          </cell>
          <cell r="L310">
            <v>62181.818181818184</v>
          </cell>
          <cell r="M310">
            <v>53890.909090909088</v>
          </cell>
          <cell r="N310">
            <v>53890.909090909088</v>
          </cell>
          <cell r="O310">
            <v>58036.36363636364</v>
          </cell>
          <cell r="P310">
            <v>66327.272727272721</v>
          </cell>
          <cell r="Q310">
            <v>66327.272727272721</v>
          </cell>
          <cell r="R310">
            <v>66327.272727272721</v>
          </cell>
        </row>
        <row r="311">
          <cell r="G311">
            <v>113262.20670432912</v>
          </cell>
          <cell r="H311">
            <v>0</v>
          </cell>
          <cell r="I311">
            <v>0</v>
          </cell>
          <cell r="J311">
            <v>0</v>
          </cell>
          <cell r="K311">
            <v>120155.74386483429</v>
          </cell>
          <cell r="L311">
            <v>119641.92024160507</v>
          </cell>
          <cell r="M311">
            <v>119617.98513092045</v>
          </cell>
          <cell r="N311">
            <v>114165.69841404987</v>
          </cell>
          <cell r="O311">
            <v>120266.20023856756</v>
          </cell>
          <cell r="P311">
            <v>113813.88271095837</v>
          </cell>
          <cell r="Q311">
            <v>132382.74901103266</v>
          </cell>
          <cell r="R311">
            <v>132382.74901103266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"/>
      <sheetName val="부산(물량)"/>
      <sheetName val="부산(금액)"/>
      <sheetName val="서부산(물량)"/>
      <sheetName val="서부산(금액)"/>
      <sheetName val="부산크라샤(물량)"/>
      <sheetName val="부산크라샤(금액)"/>
      <sheetName val="서부산(손익)"/>
      <sheetName val="PFT상세(서부산)"/>
      <sheetName val="부산크라샤(손익)"/>
      <sheetName val="PFT상세(부산크라샤)"/>
      <sheetName val="부산모래장(손익)"/>
      <sheetName val="PFT상세(부산모래장)"/>
      <sheetName val="PFT상세(부산골재)1월"/>
      <sheetName val="피벗1"/>
      <sheetName val="PFT상세(부산골재)2월"/>
      <sheetName val="피벗2"/>
      <sheetName val="PFT상세(부산골재)3월"/>
      <sheetName val="피벗3"/>
      <sheetName val="PFT상세(부산골재)4월"/>
      <sheetName val="피벗4"/>
      <sheetName val="PFT상세(부산골재)5월"/>
      <sheetName val="피벗5"/>
      <sheetName val="PFT상세(서부산) (2)"/>
      <sheetName val="월별"/>
      <sheetName val="PFT상세(부산골재)5월누계"/>
      <sheetName val="피벗0"/>
      <sheetName val="피벗0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6">
          <cell r="L16" t="str">
            <v>부산</v>
          </cell>
          <cell r="M16" t="str">
            <v>(주)동양건재부문_EJ1_부산레미콘</v>
          </cell>
          <cell r="N16">
            <v>120365000</v>
          </cell>
          <cell r="O16">
            <v>112095000</v>
          </cell>
          <cell r="P16">
            <v>232460000</v>
          </cell>
        </row>
        <row r="17">
          <cell r="L17" t="str">
            <v>서부산</v>
          </cell>
          <cell r="M17" t="str">
            <v>(주)동양건재부문_EK1_서부산레미콘</v>
          </cell>
          <cell r="N17">
            <v>61056000</v>
          </cell>
          <cell r="O17">
            <v>44640000</v>
          </cell>
          <cell r="P17">
            <v>105696000</v>
          </cell>
        </row>
        <row r="18">
          <cell r="L18" t="str">
            <v>김해</v>
          </cell>
          <cell r="M18" t="str">
            <v>(주)동양건재부문_EL1_김해레미콘</v>
          </cell>
          <cell r="N18">
            <v>0</v>
          </cell>
          <cell r="O18">
            <v>0</v>
          </cell>
          <cell r="P18">
            <v>0</v>
          </cell>
        </row>
        <row r="19">
          <cell r="L19" t="str">
            <v>정관</v>
          </cell>
          <cell r="M19" t="str">
            <v>(주)동양건재부문_EM1_정관레미콘</v>
          </cell>
          <cell r="N19">
            <v>0</v>
          </cell>
          <cell r="O19">
            <v>19296000</v>
          </cell>
          <cell r="P19">
            <v>19296000</v>
          </cell>
        </row>
        <row r="20">
          <cell r="L20" t="str">
            <v>양산</v>
          </cell>
          <cell r="M20" t="str">
            <v>(주)동양건재부문_EN1_양산레미콘</v>
          </cell>
          <cell r="N20">
            <v>0</v>
          </cell>
          <cell r="O20">
            <v>0</v>
          </cell>
          <cell r="P20">
            <v>0</v>
          </cell>
        </row>
        <row r="21">
          <cell r="L21" t="str">
            <v>창원</v>
          </cell>
          <cell r="M21" t="str">
            <v>(주)동양건재부문_EH1_창원레미콘</v>
          </cell>
          <cell r="N21">
            <v>0</v>
          </cell>
          <cell r="O21">
            <v>0</v>
          </cell>
          <cell r="P21">
            <v>0</v>
          </cell>
        </row>
        <row r="22">
          <cell r="M22" t="str">
            <v>계</v>
          </cell>
          <cell r="N22">
            <v>181421000</v>
          </cell>
          <cell r="O22">
            <v>176031000</v>
          </cell>
          <cell r="P22">
            <v>357452000</v>
          </cell>
        </row>
        <row r="23">
          <cell r="M23"/>
        </row>
        <row r="24">
          <cell r="M24"/>
        </row>
        <row r="25">
          <cell r="M25"/>
        </row>
        <row r="26">
          <cell r="M26"/>
        </row>
        <row r="27">
          <cell r="M27"/>
        </row>
        <row r="28">
          <cell r="M28"/>
        </row>
        <row r="29">
          <cell r="M29"/>
        </row>
      </sheetData>
      <sheetData sheetId="10"/>
      <sheetData sheetId="11">
        <row r="16">
          <cell r="L16" t="str">
            <v>부산</v>
          </cell>
          <cell r="M16" t="str">
            <v>(주)동양건재부문_EJ1_부산레미콘</v>
          </cell>
          <cell r="N16">
            <v>76800000</v>
          </cell>
          <cell r="O16">
            <v>19000000</v>
          </cell>
          <cell r="P16">
            <v>95800000</v>
          </cell>
        </row>
        <row r="17">
          <cell r="L17" t="str">
            <v>서부산</v>
          </cell>
          <cell r="M17" t="str">
            <v>(주)동양건재부문_EK1_서부산레미콘</v>
          </cell>
          <cell r="N17">
            <v>74360000</v>
          </cell>
          <cell r="O17">
            <v>0</v>
          </cell>
          <cell r="P17">
            <v>74360000</v>
          </cell>
        </row>
        <row r="18">
          <cell r="L18" t="str">
            <v>김해</v>
          </cell>
          <cell r="M18" t="str">
            <v>(주)동양건재부문_EL1_김해레미콘</v>
          </cell>
          <cell r="N18">
            <v>40920000</v>
          </cell>
          <cell r="O18">
            <v>0</v>
          </cell>
          <cell r="P18">
            <v>40920000</v>
          </cell>
        </row>
        <row r="19">
          <cell r="L19" t="str">
            <v>정관</v>
          </cell>
          <cell r="M19" t="str">
            <v>(주)동양건재부문_EM1_정관레미콘</v>
          </cell>
          <cell r="N19">
            <v>79200000</v>
          </cell>
          <cell r="O19">
            <v>0</v>
          </cell>
          <cell r="P19">
            <v>79200000</v>
          </cell>
        </row>
        <row r="20">
          <cell r="L20" t="str">
            <v>양산</v>
          </cell>
          <cell r="M20" t="str">
            <v>(주)동양건재부문_EN1_양산레미콘</v>
          </cell>
          <cell r="N20">
            <v>0</v>
          </cell>
          <cell r="O20">
            <v>0</v>
          </cell>
          <cell r="P20">
            <v>0</v>
          </cell>
        </row>
        <row r="21">
          <cell r="L21" t="str">
            <v>창원</v>
          </cell>
          <cell r="M21" t="str">
            <v>(주)동양건재부문_EH1_창원레미콘</v>
          </cell>
          <cell r="N21">
            <v>0</v>
          </cell>
          <cell r="O21">
            <v>0</v>
          </cell>
          <cell r="P21">
            <v>0</v>
          </cell>
        </row>
        <row r="22">
          <cell r="M22" t="str">
            <v>계</v>
          </cell>
          <cell r="N22">
            <v>271280000</v>
          </cell>
          <cell r="O22">
            <v>19000000</v>
          </cell>
          <cell r="P22">
            <v>290280000</v>
          </cell>
        </row>
        <row r="23">
          <cell r="M23"/>
        </row>
        <row r="24">
          <cell r="M24"/>
        </row>
        <row r="25">
          <cell r="L25" t="str">
            <v>합계 : 금액</v>
          </cell>
          <cell r="M25"/>
          <cell r="N25" t="str">
            <v>제품코드</v>
          </cell>
          <cell r="O25" t="str">
            <v>제품코드명</v>
          </cell>
        </row>
        <row r="26">
          <cell r="M26"/>
          <cell r="N26">
            <v>10005741</v>
          </cell>
          <cell r="O26">
            <v>10005735</v>
          </cell>
          <cell r="P26" t="str">
            <v>총합계</v>
          </cell>
        </row>
        <row r="37">
          <cell r="C37">
            <v>0</v>
          </cell>
          <cell r="D37">
            <v>10608</v>
          </cell>
          <cell r="E37">
            <v>0</v>
          </cell>
        </row>
        <row r="38">
          <cell r="C38">
            <v>9472</v>
          </cell>
          <cell r="D38">
            <v>0</v>
          </cell>
          <cell r="E38">
            <v>500</v>
          </cell>
          <cell r="N38">
            <v>2400</v>
          </cell>
          <cell r="O38">
            <v>500</v>
          </cell>
        </row>
        <row r="39">
          <cell r="N39">
            <v>2704</v>
          </cell>
          <cell r="O39">
            <v>0</v>
          </cell>
        </row>
        <row r="40">
          <cell r="C40">
            <v>0</v>
          </cell>
          <cell r="D40">
            <v>281588000</v>
          </cell>
          <cell r="E40">
            <v>0</v>
          </cell>
          <cell r="N40">
            <v>1488</v>
          </cell>
          <cell r="O40">
            <v>0</v>
          </cell>
        </row>
        <row r="41">
          <cell r="C41">
            <v>271280000</v>
          </cell>
          <cell r="D41">
            <v>0</v>
          </cell>
          <cell r="E41">
            <v>19000000</v>
          </cell>
          <cell r="N41">
            <v>2880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6">
          <cell r="N46">
            <v>32000</v>
          </cell>
          <cell r="O46">
            <v>38000</v>
          </cell>
        </row>
        <row r="47">
          <cell r="N47">
            <v>27500</v>
          </cell>
          <cell r="O47">
            <v>0</v>
          </cell>
        </row>
        <row r="48">
          <cell r="N48">
            <v>27500</v>
          </cell>
          <cell r="O48">
            <v>0</v>
          </cell>
        </row>
        <row r="49">
          <cell r="N49">
            <v>27500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4">
          <cell r="D54">
            <v>-13405095</v>
          </cell>
          <cell r="E54">
            <v>0</v>
          </cell>
        </row>
        <row r="55">
          <cell r="C55">
            <v>6739253</v>
          </cell>
          <cell r="E55">
            <v>3887296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"/>
      <sheetName val="부산(물량)"/>
      <sheetName val="부산(금액)"/>
      <sheetName val="서부산(물량)"/>
      <sheetName val="서부산(금액)"/>
      <sheetName val="부산크라샤(물량)"/>
      <sheetName val="부산크라샤(금액)"/>
      <sheetName val="서부산(손익)"/>
      <sheetName val="PFT상세(서부산)"/>
      <sheetName val="부산크라샤(손익)"/>
      <sheetName val="PFT상세(부산크라샤)"/>
      <sheetName val="PFT상세(부산골재)1월"/>
      <sheetName val="피벗1"/>
      <sheetName val="PFT상세(부산골재)2월"/>
      <sheetName val="피벗2"/>
      <sheetName val="PFT상세(부산골재)3월"/>
      <sheetName val="피벗3"/>
      <sheetName val="PFT상세(부산골재)4월"/>
      <sheetName val="피벗4"/>
      <sheetName val="PFT상세(부산골재)5월"/>
      <sheetName val="피벗5"/>
      <sheetName val="PFT상세(서부산) (2)"/>
      <sheetName val="월별"/>
      <sheetName val="PFT상세(부산골재)5월누계"/>
      <sheetName val="피벗0"/>
      <sheetName val="피벗0 (2)"/>
    </sheetNames>
    <sheetDataSet>
      <sheetData sheetId="0"/>
      <sheetData sheetId="1">
        <row r="45">
          <cell r="C45" t="str">
            <v>강사_강릉</v>
          </cell>
        </row>
      </sheetData>
      <sheetData sheetId="2">
        <row r="46">
          <cell r="M46">
            <v>191652799</v>
          </cell>
        </row>
      </sheetData>
      <sheetData sheetId="3">
        <row r="45">
          <cell r="B45" t="str">
            <v>구분</v>
          </cell>
        </row>
      </sheetData>
      <sheetData sheetId="4">
        <row r="42">
          <cell r="F42">
            <v>5</v>
          </cell>
        </row>
      </sheetData>
      <sheetData sheetId="5">
        <row r="36">
          <cell r="A36" t="str">
            <v>총합계</v>
          </cell>
        </row>
      </sheetData>
      <sheetData sheetId="6">
        <row r="42">
          <cell r="F42">
            <v>5</v>
          </cell>
        </row>
      </sheetData>
      <sheetData sheetId="7">
        <row r="16">
          <cell r="L16" t="str">
            <v>부산</v>
          </cell>
          <cell r="M16" t="str">
            <v>(주)동양건재부문_EJ1_부산레미콘</v>
          </cell>
          <cell r="N16">
            <v>0</v>
          </cell>
          <cell r="O16">
            <v>0</v>
          </cell>
          <cell r="P16">
            <v>0</v>
          </cell>
        </row>
        <row r="17">
          <cell r="L17" t="str">
            <v>서부산</v>
          </cell>
          <cell r="M17" t="str">
            <v>(주)동양건재부문_EK1_서부산레미콘</v>
          </cell>
          <cell r="N17">
            <v>0</v>
          </cell>
          <cell r="O17">
            <v>0</v>
          </cell>
          <cell r="P17">
            <v>0</v>
          </cell>
        </row>
        <row r="18">
          <cell r="L18" t="str">
            <v>김해</v>
          </cell>
          <cell r="M18" t="str">
            <v>(주)동양건재부문_EL1_김해레미콘</v>
          </cell>
          <cell r="N18">
            <v>0</v>
          </cell>
          <cell r="O18">
            <v>0</v>
          </cell>
          <cell r="P18">
            <v>0</v>
          </cell>
        </row>
        <row r="19">
          <cell r="L19" t="str">
            <v>정관</v>
          </cell>
          <cell r="M19" t="str">
            <v>(주)동양건재부문_EM1_정관레미콘</v>
          </cell>
          <cell r="N19">
            <v>0</v>
          </cell>
          <cell r="O19">
            <v>0</v>
          </cell>
          <cell r="P19">
            <v>0</v>
          </cell>
        </row>
        <row r="20">
          <cell r="L20" t="str">
            <v>양산</v>
          </cell>
          <cell r="M20" t="str">
            <v>(주)동양건재부문_EN1_양산레미콘</v>
          </cell>
          <cell r="N20">
            <v>0</v>
          </cell>
          <cell r="O20">
            <v>0</v>
          </cell>
          <cell r="P20">
            <v>0</v>
          </cell>
        </row>
        <row r="21">
          <cell r="L21" t="str">
            <v>창원</v>
          </cell>
          <cell r="M21" t="str">
            <v>(주)동양건재부문_EH1_창원레미콘</v>
          </cell>
          <cell r="N21">
            <v>0</v>
          </cell>
          <cell r="O21">
            <v>0</v>
          </cell>
          <cell r="P21">
            <v>0</v>
          </cell>
        </row>
        <row r="22">
          <cell r="M22" t="str">
            <v>계</v>
          </cell>
          <cell r="N22">
            <v>0</v>
          </cell>
          <cell r="O22">
            <v>0</v>
          </cell>
          <cell r="P22">
            <v>0</v>
          </cell>
        </row>
      </sheetData>
      <sheetData sheetId="8"/>
      <sheetData sheetId="9">
        <row r="16">
          <cell r="L16" t="str">
            <v>부산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 tint="0.249977111117893"/>
  </sheetPr>
  <dimension ref="A6:M25"/>
  <sheetViews>
    <sheetView showGridLines="0" view="pageBreakPreview" zoomScaleNormal="100" zoomScaleSheetLayoutView="100" workbookViewId="0">
      <selection activeCell="C33" sqref="C33"/>
    </sheetView>
  </sheetViews>
  <sheetFormatPr defaultRowHeight="16.5"/>
  <cols>
    <col min="13" max="13" width="15.75" customWidth="1"/>
  </cols>
  <sheetData>
    <row r="6" spans="1:13">
      <c r="A6" s="805" t="s">
        <v>134</v>
      </c>
      <c r="B6" s="806"/>
      <c r="C6" s="806"/>
      <c r="D6" s="806"/>
      <c r="E6" s="806"/>
      <c r="F6" s="806"/>
      <c r="G6" s="806"/>
      <c r="H6" s="806"/>
      <c r="I6" s="806"/>
      <c r="J6" s="806"/>
      <c r="K6" s="806"/>
      <c r="L6" s="806"/>
      <c r="M6" s="806"/>
    </row>
    <row r="7" spans="1:13">
      <c r="A7" s="806"/>
      <c r="B7" s="806"/>
      <c r="C7" s="806"/>
      <c r="D7" s="806"/>
      <c r="E7" s="806"/>
      <c r="F7" s="806"/>
      <c r="G7" s="806"/>
      <c r="H7" s="806"/>
      <c r="I7" s="806"/>
      <c r="J7" s="806"/>
      <c r="K7" s="806"/>
      <c r="L7" s="806"/>
      <c r="M7" s="806"/>
    </row>
    <row r="8" spans="1:13">
      <c r="A8" s="806"/>
      <c r="B8" s="806"/>
      <c r="C8" s="806"/>
      <c r="D8" s="806"/>
      <c r="E8" s="806"/>
      <c r="F8" s="806"/>
      <c r="G8" s="806"/>
      <c r="H8" s="806"/>
      <c r="I8" s="806"/>
      <c r="J8" s="806"/>
      <c r="K8" s="806"/>
      <c r="L8" s="806"/>
      <c r="M8" s="806"/>
    </row>
    <row r="9" spans="1:13">
      <c r="A9" s="806"/>
      <c r="B9" s="806"/>
      <c r="C9" s="806"/>
      <c r="D9" s="806"/>
      <c r="E9" s="806"/>
      <c r="F9" s="806"/>
      <c r="G9" s="806"/>
      <c r="H9" s="806"/>
      <c r="I9" s="806"/>
      <c r="J9" s="806"/>
      <c r="K9" s="806"/>
      <c r="L9" s="806"/>
      <c r="M9" s="806"/>
    </row>
    <row r="10" spans="1:13">
      <c r="A10" s="806"/>
      <c r="B10" s="806"/>
      <c r="C10" s="806"/>
      <c r="D10" s="806"/>
      <c r="E10" s="806"/>
      <c r="F10" s="806"/>
      <c r="G10" s="806"/>
      <c r="H10" s="806"/>
      <c r="I10" s="806"/>
      <c r="J10" s="806"/>
      <c r="K10" s="806"/>
      <c r="L10" s="806"/>
      <c r="M10" s="806"/>
    </row>
    <row r="11" spans="1:13">
      <c r="A11" s="806"/>
      <c r="B11" s="806"/>
      <c r="C11" s="806"/>
      <c r="D11" s="806"/>
      <c r="E11" s="806"/>
      <c r="F11" s="806"/>
      <c r="G11" s="806"/>
      <c r="H11" s="806"/>
      <c r="I11" s="806"/>
      <c r="J11" s="806"/>
      <c r="K11" s="806"/>
      <c r="L11" s="806"/>
      <c r="M11" s="806"/>
    </row>
    <row r="12" spans="1:13">
      <c r="A12" s="806"/>
      <c r="B12" s="806"/>
      <c r="C12" s="806"/>
      <c r="D12" s="806"/>
      <c r="E12" s="806"/>
      <c r="F12" s="806"/>
      <c r="G12" s="806"/>
      <c r="H12" s="806"/>
      <c r="I12" s="806"/>
      <c r="J12" s="806"/>
      <c r="K12" s="806"/>
      <c r="L12" s="806"/>
      <c r="M12" s="806"/>
    </row>
    <row r="13" spans="1:13">
      <c r="A13" s="806"/>
      <c r="B13" s="806"/>
      <c r="C13" s="806"/>
      <c r="D13" s="806"/>
      <c r="E13" s="806"/>
      <c r="F13" s="806"/>
      <c r="G13" s="806"/>
      <c r="H13" s="806"/>
      <c r="I13" s="806"/>
      <c r="J13" s="806"/>
      <c r="K13" s="806"/>
      <c r="L13" s="806"/>
      <c r="M13" s="806"/>
    </row>
    <row r="14" spans="1:13">
      <c r="A14" s="806"/>
      <c r="B14" s="806"/>
      <c r="C14" s="806"/>
      <c r="D14" s="806"/>
      <c r="E14" s="806"/>
      <c r="F14" s="806"/>
      <c r="G14" s="806"/>
      <c r="H14" s="806"/>
      <c r="I14" s="806"/>
      <c r="J14" s="806"/>
      <c r="K14" s="806"/>
      <c r="L14" s="806"/>
      <c r="M14" s="806"/>
    </row>
    <row r="24" spans="1:13">
      <c r="A24" s="807" t="s">
        <v>99</v>
      </c>
      <c r="B24" s="807"/>
      <c r="C24" s="807"/>
      <c r="D24" s="807"/>
      <c r="E24" s="807"/>
      <c r="F24" s="807"/>
      <c r="G24" s="807"/>
      <c r="H24" s="807"/>
      <c r="I24" s="807"/>
      <c r="J24" s="807"/>
      <c r="K24" s="807"/>
      <c r="L24" s="807"/>
      <c r="M24" s="807"/>
    </row>
    <row r="25" spans="1:13">
      <c r="A25" s="807"/>
      <c r="B25" s="807"/>
      <c r="C25" s="807"/>
      <c r="D25" s="807"/>
      <c r="E25" s="807"/>
      <c r="F25" s="807"/>
      <c r="G25" s="807"/>
      <c r="H25" s="807"/>
      <c r="I25" s="807"/>
      <c r="J25" s="807"/>
      <c r="K25" s="807"/>
      <c r="L25" s="807"/>
      <c r="M25" s="807"/>
    </row>
  </sheetData>
  <mergeCells count="2">
    <mergeCell ref="A6:M14"/>
    <mergeCell ref="A24:M25"/>
  </mergeCells>
  <phoneticPr fontId="1" type="noConversion"/>
  <pageMargins left="0.7" right="0.48" top="0.75" bottom="0.75" header="0.3" footer="0.3"/>
  <pageSetup paperSize="9" scale="99" orientation="landscape" horizontalDpi="300" verticalDpi="300" r:id="rId1"/>
  <headerFooter>
    <oddFooter>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 tint="0.249977111117893"/>
    <pageSetUpPr fitToPage="1"/>
  </sheetPr>
  <dimension ref="A1:AL42"/>
  <sheetViews>
    <sheetView showGridLines="0" view="pageBreakPreview" topLeftCell="A7" zoomScale="70" zoomScaleNormal="70" zoomScaleSheetLayoutView="70" workbookViewId="0">
      <selection activeCell="F18" sqref="F18"/>
    </sheetView>
  </sheetViews>
  <sheetFormatPr defaultRowHeight="16.5"/>
  <cols>
    <col min="3" max="3" width="9.875" customWidth="1"/>
    <col min="4" max="4" width="11" bestFit="1" customWidth="1"/>
    <col min="5" max="14" width="10.625" customWidth="1"/>
    <col min="15" max="16" width="1.625" customWidth="1"/>
    <col min="19" max="19" width="11.5" bestFit="1" customWidth="1"/>
    <col min="20" max="20" width="12.125" bestFit="1" customWidth="1"/>
    <col min="21" max="21" width="10.5" bestFit="1" customWidth="1"/>
    <col min="22" max="22" width="11.375" bestFit="1" customWidth="1"/>
    <col min="23" max="23" width="10.5" bestFit="1" customWidth="1"/>
    <col min="24" max="24" width="1.625" customWidth="1"/>
    <col min="26" max="37" width="9.125" customWidth="1"/>
  </cols>
  <sheetData>
    <row r="1" spans="1:38" ht="20.100000000000001" customHeight="1"/>
    <row r="2" spans="1:38" ht="20.100000000000001" customHeight="1"/>
    <row r="3" spans="1:38" ht="20.100000000000001" customHeight="1">
      <c r="C3" s="4" t="s">
        <v>142</v>
      </c>
      <c r="Z3" s="303" t="s">
        <v>135</v>
      </c>
    </row>
    <row r="4" spans="1:38" ht="20.100000000000001" customHeight="1">
      <c r="H4" s="235"/>
      <c r="X4" s="5" t="s">
        <v>101</v>
      </c>
      <c r="AK4" s="5" t="s">
        <v>129</v>
      </c>
    </row>
    <row r="5" spans="1:38" ht="27" customHeight="1" thickBot="1">
      <c r="C5" s="810" t="s">
        <v>61</v>
      </c>
      <c r="D5" s="811"/>
      <c r="E5" s="120" t="s">
        <v>136</v>
      </c>
      <c r="F5" s="121"/>
      <c r="G5" s="121"/>
      <c r="H5" s="121"/>
      <c r="I5" s="122"/>
      <c r="J5" s="121" t="s">
        <v>137</v>
      </c>
      <c r="K5" s="121"/>
      <c r="L5" s="121"/>
      <c r="M5" s="121"/>
      <c r="N5" s="122"/>
      <c r="O5" s="123"/>
      <c r="P5" s="810" t="s">
        <v>138</v>
      </c>
      <c r="Q5" s="811"/>
      <c r="R5" s="811"/>
      <c r="S5" s="811"/>
      <c r="T5" s="811"/>
      <c r="U5" s="811"/>
      <c r="V5" s="811"/>
      <c r="W5" s="811"/>
      <c r="X5" s="814"/>
      <c r="Z5" s="826" t="s">
        <v>124</v>
      </c>
      <c r="AA5" s="823"/>
      <c r="AB5" s="823" t="str">
        <f>+E5</f>
        <v>1월</v>
      </c>
      <c r="AC5" s="824"/>
      <c r="AD5" s="823"/>
      <c r="AE5" s="823"/>
      <c r="AF5" s="825"/>
      <c r="AG5" s="826" t="str">
        <f>+J5</f>
        <v>1월 누계</v>
      </c>
      <c r="AH5" s="824"/>
      <c r="AI5" s="823"/>
      <c r="AJ5" s="823"/>
      <c r="AK5" s="827"/>
    </row>
    <row r="6" spans="1:38" ht="27" customHeight="1" thickTop="1" thickBot="1">
      <c r="A6" t="s">
        <v>133</v>
      </c>
      <c r="C6" s="812"/>
      <c r="D6" s="813"/>
      <c r="E6" s="171" t="s">
        <v>62</v>
      </c>
      <c r="F6" s="204" t="s">
        <v>63</v>
      </c>
      <c r="G6" s="201" t="s">
        <v>64</v>
      </c>
      <c r="H6" s="124" t="s">
        <v>65</v>
      </c>
      <c r="I6" s="125" t="s">
        <v>66</v>
      </c>
      <c r="J6" s="171" t="s">
        <v>62</v>
      </c>
      <c r="K6" s="204" t="s">
        <v>63</v>
      </c>
      <c r="L6" s="201" t="s">
        <v>64</v>
      </c>
      <c r="M6" s="124" t="s">
        <v>65</v>
      </c>
      <c r="N6" s="125" t="s">
        <v>66</v>
      </c>
      <c r="O6" s="123"/>
      <c r="P6" s="812"/>
      <c r="Q6" s="813"/>
      <c r="R6" s="813"/>
      <c r="S6" s="813"/>
      <c r="T6" s="813"/>
      <c r="U6" s="813"/>
      <c r="V6" s="813"/>
      <c r="W6" s="813"/>
      <c r="X6" s="815"/>
      <c r="Z6" s="829"/>
      <c r="AA6" s="830"/>
      <c r="AB6" s="319" t="str">
        <f>+E6</f>
        <v>계획</v>
      </c>
      <c r="AC6" s="320" t="str">
        <f>+F6</f>
        <v>실적</v>
      </c>
      <c r="AD6" s="321" t="str">
        <f>+G6</f>
        <v>계획대비</v>
      </c>
      <c r="AE6" s="322" t="str">
        <f t="shared" ref="AE6:AK7" si="0">+H6</f>
        <v>전년</v>
      </c>
      <c r="AF6" s="323" t="str">
        <f t="shared" si="0"/>
        <v>전년대비</v>
      </c>
      <c r="AG6" s="324" t="str">
        <f t="shared" si="0"/>
        <v>계획</v>
      </c>
      <c r="AH6" s="320" t="str">
        <f t="shared" si="0"/>
        <v>실적</v>
      </c>
      <c r="AI6" s="321" t="str">
        <f t="shared" si="0"/>
        <v>계획대비</v>
      </c>
      <c r="AJ6" s="322" t="str">
        <f t="shared" si="0"/>
        <v>전년</v>
      </c>
      <c r="AK6" s="319" t="str">
        <f t="shared" si="0"/>
        <v>전년대비</v>
      </c>
    </row>
    <row r="7" spans="1:38" ht="21.75" customHeight="1">
      <c r="A7" s="235">
        <f>+F7/E7</f>
        <v>0.8593212560386474</v>
      </c>
      <c r="B7" s="235">
        <f>+K7/J7</f>
        <v>0.8593212560386474</v>
      </c>
      <c r="C7" s="88" t="s">
        <v>0</v>
      </c>
      <c r="D7" s="89" t="s">
        <v>40</v>
      </c>
      <c r="E7" s="400">
        <f>+'[1]1월'!$Z$7/1000</f>
        <v>207</v>
      </c>
      <c r="F7" s="401">
        <f>+'[2]1월'!$Z$7/1000</f>
        <v>177.87950000000001</v>
      </c>
      <c r="G7" s="376">
        <f>+F7-E7</f>
        <v>-29.120499999999993</v>
      </c>
      <c r="H7" s="377">
        <f>+'[3]1월'!$Z$7/1000</f>
        <v>278.88549999999998</v>
      </c>
      <c r="I7" s="378">
        <f>+F7-H7</f>
        <v>-101.00599999999997</v>
      </c>
      <c r="J7" s="400">
        <f>+E7</f>
        <v>207</v>
      </c>
      <c r="K7" s="401">
        <f t="shared" ref="K7:K13" si="1">+F7</f>
        <v>177.87950000000001</v>
      </c>
      <c r="L7" s="376">
        <f t="shared" ref="L7:L36" si="2">+K7-J7</f>
        <v>-29.120499999999993</v>
      </c>
      <c r="M7" s="377">
        <f t="shared" ref="M7:M13" si="3">+H7</f>
        <v>278.88549999999998</v>
      </c>
      <c r="N7" s="378">
        <f t="shared" ref="N7:N36" si="4">+K7-M7</f>
        <v>-101.00599999999997</v>
      </c>
      <c r="O7" s="87"/>
      <c r="P7" s="90"/>
      <c r="Q7" s="91" t="s">
        <v>84</v>
      </c>
      <c r="R7" s="91"/>
      <c r="S7" s="87"/>
      <c r="T7" s="87"/>
      <c r="U7" s="87"/>
      <c r="V7" s="87"/>
      <c r="W7" s="87"/>
      <c r="X7" s="92"/>
      <c r="Y7" s="235"/>
      <c r="Z7" s="822" t="s">
        <v>125</v>
      </c>
      <c r="AA7" s="362" t="str">
        <f t="shared" ref="AA7:AA13" si="5">+D7</f>
        <v>레미콘</v>
      </c>
      <c r="AB7" s="363">
        <f>+E7</f>
        <v>207</v>
      </c>
      <c r="AC7" s="364">
        <f>+F7</f>
        <v>177.87950000000001</v>
      </c>
      <c r="AD7" s="365">
        <f>+AC7-AB7</f>
        <v>-29.120499999999993</v>
      </c>
      <c r="AE7" s="366">
        <f t="shared" si="0"/>
        <v>278.88549999999998</v>
      </c>
      <c r="AF7" s="367">
        <f>+AC7-AE7</f>
        <v>-101.00599999999997</v>
      </c>
      <c r="AG7" s="368">
        <f>+J7</f>
        <v>207</v>
      </c>
      <c r="AH7" s="364">
        <f>+K7</f>
        <v>177.87950000000001</v>
      </c>
      <c r="AI7" s="365">
        <f>+AH7-AG7</f>
        <v>-29.120499999999993</v>
      </c>
      <c r="AJ7" s="366">
        <f>+M7</f>
        <v>278.88549999999998</v>
      </c>
      <c r="AK7" s="363">
        <f>+AH7-AJ7</f>
        <v>-101.00599999999997</v>
      </c>
    </row>
    <row r="8" spans="1:38" ht="21.75" customHeight="1">
      <c r="B8" s="235"/>
      <c r="C8" s="88"/>
      <c r="D8" s="93" t="s">
        <v>69</v>
      </c>
      <c r="E8" s="402">
        <f>+'[1]1월'!$AA$7</f>
        <v>9800</v>
      </c>
      <c r="F8" s="403">
        <f>+'[2]1월'!$AO$7</f>
        <v>8735.5020000000004</v>
      </c>
      <c r="G8" s="379">
        <f>+F8-E8</f>
        <v>-1064.4979999999996</v>
      </c>
      <c r="H8" s="380">
        <f>+'[3]1월'!$AO$7</f>
        <v>6425.0929999999998</v>
      </c>
      <c r="I8" s="381">
        <f>+F8-H8</f>
        <v>2310.4090000000006</v>
      </c>
      <c r="J8" s="402">
        <f t="shared" ref="J8:J13" si="6">+E8</f>
        <v>9800</v>
      </c>
      <c r="K8" s="403">
        <f t="shared" si="1"/>
        <v>8735.5020000000004</v>
      </c>
      <c r="L8" s="379">
        <f t="shared" si="2"/>
        <v>-1064.4979999999996</v>
      </c>
      <c r="M8" s="380">
        <f t="shared" si="3"/>
        <v>6425.0929999999998</v>
      </c>
      <c r="N8" s="381">
        <f t="shared" si="4"/>
        <v>2310.4090000000006</v>
      </c>
      <c r="O8" s="87"/>
      <c r="P8" s="90"/>
      <c r="Q8" s="215" t="s">
        <v>55</v>
      </c>
      <c r="R8" s="216"/>
      <c r="S8" s="217" t="s">
        <v>12</v>
      </c>
      <c r="T8" s="218" t="s">
        <v>67</v>
      </c>
      <c r="U8" s="219" t="s">
        <v>56</v>
      </c>
      <c r="V8" s="218" t="s">
        <v>39</v>
      </c>
      <c r="W8" s="220" t="s">
        <v>57</v>
      </c>
      <c r="X8" s="92"/>
      <c r="Y8" s="235"/>
      <c r="Z8" s="822"/>
      <c r="AA8" s="297" t="str">
        <f t="shared" si="5"/>
        <v>철강재</v>
      </c>
      <c r="AB8" s="356">
        <f>+E8/1000</f>
        <v>9.8000000000000007</v>
      </c>
      <c r="AC8" s="357">
        <f>+F8/1000</f>
        <v>8.7355020000000003</v>
      </c>
      <c r="AD8" s="358">
        <f t="shared" ref="AD8:AD18" si="7">+AC8-AB8</f>
        <v>-1.0644980000000004</v>
      </c>
      <c r="AE8" s="359">
        <f>+H8/1000</f>
        <v>6.4250929999999995</v>
      </c>
      <c r="AF8" s="360">
        <f t="shared" ref="AF8:AF21" si="8">+AC8-AE8</f>
        <v>2.3104090000000008</v>
      </c>
      <c r="AG8" s="361">
        <f>+J8/1000</f>
        <v>9.8000000000000007</v>
      </c>
      <c r="AH8" s="357">
        <f>+K8/1000</f>
        <v>8.7355020000000003</v>
      </c>
      <c r="AI8" s="358">
        <f t="shared" ref="AI8:AI22" si="9">+AH8-AG8</f>
        <v>-1.0644980000000004</v>
      </c>
      <c r="AJ8" s="359">
        <f>+M8/1000</f>
        <v>6.4250929999999995</v>
      </c>
      <c r="AK8" s="356">
        <f t="shared" ref="AK8:AK22" si="10">+AH8-AJ8</f>
        <v>2.3104090000000008</v>
      </c>
    </row>
    <row r="9" spans="1:38" ht="21.75" customHeight="1">
      <c r="B9" s="235"/>
      <c r="C9" s="88"/>
      <c r="D9" s="93" t="s">
        <v>1</v>
      </c>
      <c r="E9" s="402">
        <f>+'[1]1월'!$AE$7/1000</f>
        <v>90.818290804614207</v>
      </c>
      <c r="F9" s="403">
        <f>+'[2]1월'!$AN$7/1000</f>
        <v>48.252000000000002</v>
      </c>
      <c r="G9" s="379">
        <f t="shared" ref="G9:G36" si="11">+F9-E9</f>
        <v>-42.566290804614205</v>
      </c>
      <c r="H9" s="380">
        <f>+'[3]1월'!$AN$7/1000</f>
        <v>84.516999999999996</v>
      </c>
      <c r="I9" s="381">
        <f t="shared" ref="I9:I36" si="12">+F9-H9</f>
        <v>-36.264999999999993</v>
      </c>
      <c r="J9" s="402">
        <f t="shared" si="6"/>
        <v>90.818290804614207</v>
      </c>
      <c r="K9" s="403">
        <f t="shared" si="1"/>
        <v>48.252000000000002</v>
      </c>
      <c r="L9" s="379">
        <f t="shared" si="2"/>
        <v>-42.566290804614205</v>
      </c>
      <c r="M9" s="380">
        <f t="shared" si="3"/>
        <v>84.516999999999996</v>
      </c>
      <c r="N9" s="381">
        <f t="shared" si="4"/>
        <v>-36.264999999999993</v>
      </c>
      <c r="O9" s="87"/>
      <c r="P9" s="90"/>
      <c r="Q9" s="94" t="s">
        <v>51</v>
      </c>
      <c r="R9" s="178" t="s">
        <v>16</v>
      </c>
      <c r="S9" s="191">
        <f>+[4]수도권!$T$5/1000</f>
        <v>76</v>
      </c>
      <c r="T9" s="95">
        <f>+[4]수도권!$U$5/1000</f>
        <v>56.9285</v>
      </c>
      <c r="U9" s="376">
        <f>+T9-S9</f>
        <v>-19.0715</v>
      </c>
      <c r="V9" s="377">
        <f>+[5]수도권!$T$5/1000</f>
        <v>102.264</v>
      </c>
      <c r="W9" s="378">
        <f>+T9-V9</f>
        <v>-45.335499999999996</v>
      </c>
      <c r="X9" s="92"/>
      <c r="Y9" s="235"/>
      <c r="Z9" s="828"/>
      <c r="AA9" s="299" t="str">
        <f t="shared" si="5"/>
        <v>골재</v>
      </c>
      <c r="AB9" s="305">
        <f>+E9</f>
        <v>90.818290804614207</v>
      </c>
      <c r="AC9" s="311">
        <f>+F9</f>
        <v>48.252000000000002</v>
      </c>
      <c r="AD9" s="308">
        <f t="shared" si="7"/>
        <v>-42.566290804614205</v>
      </c>
      <c r="AE9" s="301">
        <f>+H9</f>
        <v>84.516999999999996</v>
      </c>
      <c r="AF9" s="317">
        <f t="shared" si="8"/>
        <v>-36.264999999999993</v>
      </c>
      <c r="AG9" s="314">
        <f>+J9</f>
        <v>90.818290804614207</v>
      </c>
      <c r="AH9" s="311">
        <f>+K9</f>
        <v>48.252000000000002</v>
      </c>
      <c r="AI9" s="308">
        <f t="shared" si="9"/>
        <v>-42.566290804614205</v>
      </c>
      <c r="AJ9" s="301">
        <f>+M9</f>
        <v>84.516999999999996</v>
      </c>
      <c r="AK9" s="305">
        <f t="shared" si="10"/>
        <v>-36.264999999999993</v>
      </c>
    </row>
    <row r="10" spans="1:38" ht="21.75" customHeight="1">
      <c r="B10" s="235"/>
      <c r="C10" s="96" t="s">
        <v>2</v>
      </c>
      <c r="D10" s="97" t="s">
        <v>40</v>
      </c>
      <c r="E10" s="404">
        <f>+'[1]1월'!$Z$8/1000</f>
        <v>20815.893082609637</v>
      </c>
      <c r="F10" s="405">
        <f>+'[2]1월'!$Z$8/1000</f>
        <v>17974.392072000002</v>
      </c>
      <c r="G10" s="406">
        <f t="shared" si="11"/>
        <v>-2841.5010106096342</v>
      </c>
      <c r="H10" s="407">
        <f>+'[3]1월'!$Z$8/1000</f>
        <v>27875.645882999997</v>
      </c>
      <c r="I10" s="408">
        <f t="shared" si="12"/>
        <v>-9901.253810999995</v>
      </c>
      <c r="J10" s="404">
        <f t="shared" si="6"/>
        <v>20815.893082609637</v>
      </c>
      <c r="K10" s="405">
        <f t="shared" si="1"/>
        <v>17974.392072000002</v>
      </c>
      <c r="L10" s="406">
        <f t="shared" si="2"/>
        <v>-2841.5010106096342</v>
      </c>
      <c r="M10" s="407">
        <f t="shared" si="3"/>
        <v>27875.645882999997</v>
      </c>
      <c r="N10" s="408">
        <f t="shared" si="4"/>
        <v>-9901.253810999995</v>
      </c>
      <c r="O10" s="87"/>
      <c r="P10" s="90"/>
      <c r="Q10" s="98"/>
      <c r="R10" s="179" t="s">
        <v>17</v>
      </c>
      <c r="S10" s="192">
        <f>+[4]영남권!$T$5/1000</f>
        <v>97</v>
      </c>
      <c r="T10" s="99">
        <f>+[4]영남권!$U$5/1000</f>
        <v>81.123000000000005</v>
      </c>
      <c r="U10" s="379">
        <f t="shared" ref="U10:U20" si="13">+T10-S10</f>
        <v>-15.876999999999995</v>
      </c>
      <c r="V10" s="380">
        <f>+[5]영남권!$T$5/1000</f>
        <v>132.898</v>
      </c>
      <c r="W10" s="381">
        <f t="shared" ref="W10:W20" si="14">+T10-V10</f>
        <v>-51.774999999999991</v>
      </c>
      <c r="X10" s="92"/>
      <c r="Y10" s="235"/>
      <c r="Z10" s="822" t="s">
        <v>126</v>
      </c>
      <c r="AA10" s="362" t="str">
        <f t="shared" si="5"/>
        <v>레미콘</v>
      </c>
      <c r="AB10" s="363">
        <f t="shared" ref="AB10:AC13" si="15">+E10/100</f>
        <v>208.15893082609637</v>
      </c>
      <c r="AC10" s="364">
        <f t="shared" si="15"/>
        <v>179.74392072000003</v>
      </c>
      <c r="AD10" s="365">
        <f t="shared" si="7"/>
        <v>-28.415010106096332</v>
      </c>
      <c r="AE10" s="366">
        <f>+H10/100</f>
        <v>278.75645882999999</v>
      </c>
      <c r="AF10" s="367">
        <f t="shared" si="8"/>
        <v>-99.012538109999952</v>
      </c>
      <c r="AG10" s="368">
        <f t="shared" ref="AG10:AH13" si="16">+J10/100</f>
        <v>208.15893082609637</v>
      </c>
      <c r="AH10" s="364">
        <f t="shared" si="16"/>
        <v>179.74392072000003</v>
      </c>
      <c r="AI10" s="365">
        <f t="shared" si="9"/>
        <v>-28.415010106096332</v>
      </c>
      <c r="AJ10" s="366">
        <f>+M10/100</f>
        <v>278.75645882999999</v>
      </c>
      <c r="AK10" s="363">
        <f t="shared" si="10"/>
        <v>-99.012538109999952</v>
      </c>
    </row>
    <row r="11" spans="1:38" ht="21.75" customHeight="1">
      <c r="B11" s="235"/>
      <c r="C11" s="88"/>
      <c r="D11" s="93" t="s">
        <v>3</v>
      </c>
      <c r="E11" s="402">
        <f>+'[1]1월'!$AA$8/1000</f>
        <v>10731.322812054796</v>
      </c>
      <c r="F11" s="403">
        <f>+'[2]1월'!$AO$8/1000</f>
        <v>7480.1196840000002</v>
      </c>
      <c r="G11" s="379">
        <f>+F11-E11</f>
        <v>-3251.2031280547953</v>
      </c>
      <c r="H11" s="380">
        <f>+'[3]1월'!$AO$8/1000</f>
        <v>7407.9571670000005</v>
      </c>
      <c r="I11" s="381">
        <f>+F11-H11</f>
        <v>72.162516999999752</v>
      </c>
      <c r="J11" s="402">
        <f t="shared" si="6"/>
        <v>10731.322812054796</v>
      </c>
      <c r="K11" s="403">
        <f t="shared" si="1"/>
        <v>7480.1196840000002</v>
      </c>
      <c r="L11" s="379">
        <f t="shared" si="2"/>
        <v>-3251.2031280547953</v>
      </c>
      <c r="M11" s="380">
        <f t="shared" si="3"/>
        <v>7407.9571670000005</v>
      </c>
      <c r="N11" s="381">
        <f t="shared" si="4"/>
        <v>72.162516999999752</v>
      </c>
      <c r="O11" s="87"/>
      <c r="P11" s="90"/>
      <c r="Q11" s="98"/>
      <c r="R11" s="180" t="s">
        <v>106</v>
      </c>
      <c r="S11" s="193">
        <f>+[4]중부권!$T$5/1000</f>
        <v>34</v>
      </c>
      <c r="T11" s="100">
        <f>+[4]중부권!$U$5/1000</f>
        <v>39.828000000000003</v>
      </c>
      <c r="U11" s="382">
        <f t="shared" si="13"/>
        <v>5.828000000000003</v>
      </c>
      <c r="V11" s="383">
        <f>+[5]중부권!$T$5/1000</f>
        <v>43.723500000000001</v>
      </c>
      <c r="W11" s="384">
        <f t="shared" si="14"/>
        <v>-3.8954999999999984</v>
      </c>
      <c r="X11" s="92"/>
      <c r="Y11" s="235"/>
      <c r="Z11" s="822"/>
      <c r="AA11" s="297" t="str">
        <f t="shared" si="5"/>
        <v>건자재</v>
      </c>
      <c r="AB11" s="304">
        <f t="shared" si="15"/>
        <v>107.31322812054796</v>
      </c>
      <c r="AC11" s="310">
        <f t="shared" si="15"/>
        <v>74.801196840000003</v>
      </c>
      <c r="AD11" s="307">
        <f t="shared" si="7"/>
        <v>-32.512031280547959</v>
      </c>
      <c r="AE11" s="300">
        <f>+H11/100</f>
        <v>74.079571670000007</v>
      </c>
      <c r="AF11" s="316">
        <f t="shared" si="8"/>
        <v>0.72162516999999582</v>
      </c>
      <c r="AG11" s="313">
        <f t="shared" si="16"/>
        <v>107.31322812054796</v>
      </c>
      <c r="AH11" s="310">
        <f t="shared" si="16"/>
        <v>74.801196840000003</v>
      </c>
      <c r="AI11" s="307">
        <f t="shared" si="9"/>
        <v>-32.512031280547959</v>
      </c>
      <c r="AJ11" s="300">
        <f>+M11/100</f>
        <v>74.079571670000007</v>
      </c>
      <c r="AK11" s="304">
        <f t="shared" si="10"/>
        <v>0.72162516999999582</v>
      </c>
    </row>
    <row r="12" spans="1:38" ht="21.75" customHeight="1">
      <c r="B12" s="235"/>
      <c r="C12" s="88"/>
      <c r="D12" s="93" t="s">
        <v>1</v>
      </c>
      <c r="E12" s="402">
        <f>+'[1]1월'!$AE$8/1000</f>
        <v>1640.1944413895949</v>
      </c>
      <c r="F12" s="403">
        <f>+'[2]1월'!$AN$8/1000</f>
        <v>1051.748</v>
      </c>
      <c r="G12" s="379">
        <f t="shared" si="11"/>
        <v>-588.44644138959484</v>
      </c>
      <c r="H12" s="380">
        <f>+'[3]1월'!$AN$8/1000</f>
        <v>1719.52</v>
      </c>
      <c r="I12" s="381">
        <f t="shared" si="12"/>
        <v>-667.77199999999993</v>
      </c>
      <c r="J12" s="402">
        <f t="shared" si="6"/>
        <v>1640.1944413895949</v>
      </c>
      <c r="K12" s="403">
        <f t="shared" si="1"/>
        <v>1051.748</v>
      </c>
      <c r="L12" s="379">
        <f t="shared" si="2"/>
        <v>-588.44644138959484</v>
      </c>
      <c r="M12" s="380">
        <f t="shared" si="3"/>
        <v>1719.52</v>
      </c>
      <c r="N12" s="381">
        <f t="shared" si="4"/>
        <v>-667.77199999999993</v>
      </c>
      <c r="O12" s="87"/>
      <c r="P12" s="90"/>
      <c r="Q12" s="101" t="s">
        <v>58</v>
      </c>
      <c r="R12" s="181"/>
      <c r="S12" s="194">
        <f>SUM(S9:S11)</f>
        <v>207</v>
      </c>
      <c r="T12" s="102">
        <f>SUM(T9:T11)</f>
        <v>177.87950000000001</v>
      </c>
      <c r="U12" s="385">
        <f t="shared" si="13"/>
        <v>-29.120499999999993</v>
      </c>
      <c r="V12" s="386">
        <f>SUM(V9:V11)</f>
        <v>278.88549999999998</v>
      </c>
      <c r="W12" s="387">
        <f t="shared" si="14"/>
        <v>-101.00599999999997</v>
      </c>
      <c r="X12" s="92"/>
      <c r="Z12" s="822"/>
      <c r="AA12" s="297" t="str">
        <f t="shared" si="5"/>
        <v>골재</v>
      </c>
      <c r="AB12" s="304">
        <f t="shared" si="15"/>
        <v>16.401944413895947</v>
      </c>
      <c r="AC12" s="310">
        <f t="shared" si="15"/>
        <v>10.517480000000001</v>
      </c>
      <c r="AD12" s="307">
        <f t="shared" si="7"/>
        <v>-5.8844644138959463</v>
      </c>
      <c r="AE12" s="300">
        <f>+H12/100</f>
        <v>17.1952</v>
      </c>
      <c r="AF12" s="316">
        <f t="shared" si="8"/>
        <v>-6.677719999999999</v>
      </c>
      <c r="AG12" s="313">
        <f t="shared" si="16"/>
        <v>16.401944413895947</v>
      </c>
      <c r="AH12" s="310">
        <f t="shared" si="16"/>
        <v>10.517480000000001</v>
      </c>
      <c r="AI12" s="307">
        <f t="shared" si="9"/>
        <v>-5.8844644138959463</v>
      </c>
      <c r="AJ12" s="300">
        <f>+M12/100</f>
        <v>17.1952</v>
      </c>
      <c r="AK12" s="304">
        <f t="shared" si="10"/>
        <v>-6.677719999999999</v>
      </c>
    </row>
    <row r="13" spans="1:38" ht="21.75" customHeight="1">
      <c r="B13" s="235"/>
      <c r="C13" s="88"/>
      <c r="D13" s="103" t="s">
        <v>4</v>
      </c>
      <c r="E13" s="409">
        <f>+'[1]1월'!$E$8/1000-E10-E11-E12</f>
        <v>166.7014999999933</v>
      </c>
      <c r="F13" s="410">
        <f>+'[2]1월'!$F$8/1000-F10-F11-F12</f>
        <v>167.25259899999992</v>
      </c>
      <c r="G13" s="382">
        <f t="shared" si="11"/>
        <v>0.55109900000661582</v>
      </c>
      <c r="H13" s="383">
        <f>+'[3]1월'!$F$8/1000-H10-H11-H12</f>
        <v>164.47551100000101</v>
      </c>
      <c r="I13" s="384">
        <f t="shared" si="12"/>
        <v>2.777087999998912</v>
      </c>
      <c r="J13" s="409">
        <f t="shared" si="6"/>
        <v>166.7014999999933</v>
      </c>
      <c r="K13" s="410">
        <f t="shared" si="1"/>
        <v>167.25259899999992</v>
      </c>
      <c r="L13" s="382">
        <f t="shared" si="2"/>
        <v>0.55109900000661582</v>
      </c>
      <c r="M13" s="383">
        <f t="shared" si="3"/>
        <v>164.47551100000101</v>
      </c>
      <c r="N13" s="384">
        <f t="shared" si="4"/>
        <v>2.777087999998912</v>
      </c>
      <c r="O13" s="87"/>
      <c r="P13" s="90"/>
      <c r="Q13" s="94" t="s">
        <v>59</v>
      </c>
      <c r="R13" s="178" t="s">
        <v>16</v>
      </c>
      <c r="S13" s="191">
        <f>+[4]수도권!$T$61</f>
        <v>97486.591313220357</v>
      </c>
      <c r="T13" s="95">
        <f>+[4]수도권!$U$61</f>
        <v>99000.138823260757</v>
      </c>
      <c r="U13" s="376">
        <f t="shared" si="13"/>
        <v>1513.5475100404001</v>
      </c>
      <c r="V13" s="377">
        <f>+[5]수도권!$Q$85</f>
        <v>97064.272432136422</v>
      </c>
      <c r="W13" s="378">
        <f t="shared" si="14"/>
        <v>1935.8663911243348</v>
      </c>
      <c r="X13" s="92"/>
      <c r="Z13" s="822"/>
      <c r="AA13" s="297" t="str">
        <f t="shared" si="5"/>
        <v>기타</v>
      </c>
      <c r="AB13" s="304">
        <f t="shared" si="15"/>
        <v>1.6670149999999331</v>
      </c>
      <c r="AC13" s="310">
        <f t="shared" si="15"/>
        <v>1.6725259899999991</v>
      </c>
      <c r="AD13" s="307">
        <f t="shared" si="7"/>
        <v>5.5109900000660517E-3</v>
      </c>
      <c r="AE13" s="300">
        <f>+H13/100</f>
        <v>1.64475511000001</v>
      </c>
      <c r="AF13" s="316">
        <f t="shared" si="8"/>
        <v>2.7770879999989173E-2</v>
      </c>
      <c r="AG13" s="313">
        <f t="shared" si="16"/>
        <v>1.6670149999999331</v>
      </c>
      <c r="AH13" s="310">
        <f t="shared" si="16"/>
        <v>1.6725259899999991</v>
      </c>
      <c r="AI13" s="307">
        <f t="shared" si="9"/>
        <v>5.5109900000660517E-3</v>
      </c>
      <c r="AJ13" s="300">
        <f>+M13/100</f>
        <v>1.64475511000001</v>
      </c>
      <c r="AK13" s="304">
        <f t="shared" si="10"/>
        <v>2.7770879999989173E-2</v>
      </c>
    </row>
    <row r="14" spans="1:38" ht="21.75" customHeight="1">
      <c r="A14" s="235">
        <f>+F14/E14</f>
        <v>0.79970686930920909</v>
      </c>
      <c r="B14" s="235">
        <f>+K14/J14</f>
        <v>0.79970686930920909</v>
      </c>
      <c r="C14" s="104" t="s">
        <v>8</v>
      </c>
      <c r="D14" s="105"/>
      <c r="E14" s="409">
        <f>SUM(E10:E13)</f>
        <v>33354.111836054028</v>
      </c>
      <c r="F14" s="410">
        <f>SUM(F10:F13)</f>
        <v>26673.512355000003</v>
      </c>
      <c r="G14" s="382">
        <f t="shared" si="11"/>
        <v>-6680.5994810540251</v>
      </c>
      <c r="H14" s="383">
        <f>SUM(H10:H13)</f>
        <v>37167.598560999999</v>
      </c>
      <c r="I14" s="384">
        <f t="shared" si="12"/>
        <v>-10494.086205999996</v>
      </c>
      <c r="J14" s="409">
        <f>SUM(J10:J13)</f>
        <v>33354.111836054028</v>
      </c>
      <c r="K14" s="410">
        <f>SUM(K10:K13)</f>
        <v>26673.512355000003</v>
      </c>
      <c r="L14" s="382">
        <f t="shared" si="2"/>
        <v>-6680.5994810540251</v>
      </c>
      <c r="M14" s="383">
        <f>SUM(M10:M13)</f>
        <v>37167.598560999999</v>
      </c>
      <c r="N14" s="384">
        <f t="shared" si="4"/>
        <v>-10494.086205999996</v>
      </c>
      <c r="O14" s="87"/>
      <c r="P14" s="90"/>
      <c r="Q14" s="98"/>
      <c r="R14" s="179" t="s">
        <v>17</v>
      </c>
      <c r="S14" s="192">
        <f>+[4]영남권!$T$61</f>
        <v>100500.1554928339</v>
      </c>
      <c r="T14" s="99">
        <f>+[4]영남권!$U$61</f>
        <v>100960.81481298667</v>
      </c>
      <c r="U14" s="379">
        <f t="shared" si="13"/>
        <v>460.65932015277212</v>
      </c>
      <c r="V14" s="380">
        <f>+[5]영남권!$Q$85</f>
        <v>101515.92429601311</v>
      </c>
      <c r="W14" s="381">
        <f t="shared" si="14"/>
        <v>-555.10948302643374</v>
      </c>
      <c r="X14" s="92"/>
      <c r="Y14" s="235"/>
      <c r="Z14" s="325"/>
      <c r="AA14" s="335" t="s">
        <v>128</v>
      </c>
      <c r="AB14" s="336">
        <f>SUM(AB10:AB13)</f>
        <v>333.54111836054017</v>
      </c>
      <c r="AC14" s="353">
        <f t="shared" ref="AC14:AJ14" si="17">SUM(AC10:AC13)</f>
        <v>266.73512355000003</v>
      </c>
      <c r="AD14" s="337">
        <f t="shared" si="7"/>
        <v>-66.805994810540142</v>
      </c>
      <c r="AE14" s="338">
        <f t="shared" si="17"/>
        <v>371.67598561</v>
      </c>
      <c r="AF14" s="339">
        <f t="shared" si="8"/>
        <v>-104.94086205999997</v>
      </c>
      <c r="AG14" s="340">
        <f t="shared" si="17"/>
        <v>333.54111836054017</v>
      </c>
      <c r="AH14" s="353">
        <f t="shared" si="17"/>
        <v>266.73512355000003</v>
      </c>
      <c r="AI14" s="337">
        <f t="shared" si="9"/>
        <v>-66.805994810540142</v>
      </c>
      <c r="AJ14" s="338">
        <f t="shared" si="17"/>
        <v>371.67598561</v>
      </c>
      <c r="AK14" s="336">
        <f t="shared" si="10"/>
        <v>-104.94086205999997</v>
      </c>
    </row>
    <row r="15" spans="1:38" ht="21.75" customHeight="1">
      <c r="C15" s="88" t="s">
        <v>5</v>
      </c>
      <c r="D15" s="97" t="s">
        <v>40</v>
      </c>
      <c r="E15" s="404">
        <f>+('[1]1월'!$Z$10+'[1]1월'!$Z$19)/1000</f>
        <v>19400.689432463987</v>
      </c>
      <c r="F15" s="405">
        <f>+('[2]1월'!$Z$10+'[2]1월'!$Z$19)/1000</f>
        <v>17240.725397000002</v>
      </c>
      <c r="G15" s="406">
        <f t="shared" si="11"/>
        <v>-2159.9640354639851</v>
      </c>
      <c r="H15" s="407">
        <f>+('[3]1월'!$Z$10+'[3]1월'!$Z$19)/1000</f>
        <v>24879.532177999994</v>
      </c>
      <c r="I15" s="408">
        <f t="shared" si="12"/>
        <v>-7638.806780999992</v>
      </c>
      <c r="J15" s="404">
        <f t="shared" ref="J15:J18" si="18">+E15</f>
        <v>19400.689432463987</v>
      </c>
      <c r="K15" s="405">
        <f t="shared" ref="K15:K18" si="19">+F15</f>
        <v>17240.725397000002</v>
      </c>
      <c r="L15" s="406">
        <f t="shared" si="2"/>
        <v>-2159.9640354639851</v>
      </c>
      <c r="M15" s="407">
        <f t="shared" ref="M15:M18" si="20">+H15</f>
        <v>24879.532177999994</v>
      </c>
      <c r="N15" s="408">
        <f t="shared" si="4"/>
        <v>-7638.806780999992</v>
      </c>
      <c r="O15" s="87"/>
      <c r="P15" s="90"/>
      <c r="Q15" s="98"/>
      <c r="R15" s="180" t="s">
        <v>105</v>
      </c>
      <c r="S15" s="193">
        <f>+[4]중부권!$T$61</f>
        <v>107599.91352941176</v>
      </c>
      <c r="T15" s="100">
        <f>+[4]중부권!$U$61</f>
        <v>103685.34203595265</v>
      </c>
      <c r="U15" s="382">
        <f t="shared" si="13"/>
        <v>-3914.5714934591088</v>
      </c>
      <c r="V15" s="383">
        <f>+[5]중부권!$Q$85</f>
        <v>101965.1128340595</v>
      </c>
      <c r="W15" s="384">
        <f t="shared" si="14"/>
        <v>1720.2292018931475</v>
      </c>
      <c r="X15" s="92"/>
      <c r="Z15" s="414" t="s">
        <v>127</v>
      </c>
      <c r="AA15" s="369" t="str">
        <f>+D30</f>
        <v>레미콘</v>
      </c>
      <c r="AB15" s="370">
        <f>+E30/100</f>
        <v>7.4272508714564944</v>
      </c>
      <c r="AC15" s="371">
        <f>+F30/100</f>
        <v>0.23138241000000334</v>
      </c>
      <c r="AD15" s="372">
        <f t="shared" si="7"/>
        <v>-7.1958684614564907</v>
      </c>
      <c r="AE15" s="373">
        <f>+H30/100</f>
        <v>23.245892900000037</v>
      </c>
      <c r="AF15" s="374">
        <f t="shared" si="8"/>
        <v>-23.014510490000035</v>
      </c>
      <c r="AG15" s="375">
        <f>+J30/100</f>
        <v>7.4272508714564944</v>
      </c>
      <c r="AH15" s="371">
        <f>+K30/100</f>
        <v>0.23138241000000334</v>
      </c>
      <c r="AI15" s="372">
        <f t="shared" si="9"/>
        <v>-7.1958684614564907</v>
      </c>
      <c r="AJ15" s="373">
        <f>+M30/100</f>
        <v>23.245892900000037</v>
      </c>
      <c r="AK15" s="370">
        <f t="shared" si="10"/>
        <v>-23.014510490000035</v>
      </c>
    </row>
    <row r="16" spans="1:38" ht="21.75" customHeight="1">
      <c r="C16" s="88"/>
      <c r="D16" s="93" t="s">
        <v>3</v>
      </c>
      <c r="E16" s="402">
        <f>+('[1]1월'!$AA$10+'[1]1월'!$AA$19)/1000</f>
        <v>10441.182304265576</v>
      </c>
      <c r="F16" s="403">
        <f>+('[2]1월'!$AO$10+'[2]1월'!$AO$19)/1000</f>
        <v>7334.2091920000012</v>
      </c>
      <c r="G16" s="379">
        <f>+F16-E16</f>
        <v>-3106.9731122655749</v>
      </c>
      <c r="H16" s="380">
        <f>+('[3]1월'!$AO$10+'[3]1월'!$AO$19)/1000</f>
        <v>7210.5249599999997</v>
      </c>
      <c r="I16" s="381">
        <f>+F16-H16</f>
        <v>123.68423200000143</v>
      </c>
      <c r="J16" s="402">
        <f t="shared" si="18"/>
        <v>10441.182304265576</v>
      </c>
      <c r="K16" s="403">
        <f t="shared" si="19"/>
        <v>7334.2091920000012</v>
      </c>
      <c r="L16" s="379">
        <f t="shared" si="2"/>
        <v>-3106.9731122655749</v>
      </c>
      <c r="M16" s="380">
        <f t="shared" si="20"/>
        <v>7210.5249599999997</v>
      </c>
      <c r="N16" s="381">
        <f t="shared" si="4"/>
        <v>123.68423200000143</v>
      </c>
      <c r="O16" s="87"/>
      <c r="P16" s="90"/>
      <c r="Q16" s="101" t="s">
        <v>58</v>
      </c>
      <c r="R16" s="181"/>
      <c r="S16" s="194">
        <f>+[4]합계!$T$61</f>
        <v>100559.86996429774</v>
      </c>
      <c r="T16" s="102">
        <f>+[4]합계!$U$61</f>
        <v>100932.18102189782</v>
      </c>
      <c r="U16" s="385">
        <f>+T16-S16</f>
        <v>372.31105760007631</v>
      </c>
      <c r="V16" s="386">
        <f>+[5]합계!$Q$85</f>
        <v>99953.912734626982</v>
      </c>
      <c r="W16" s="387">
        <f>+T16-V16</f>
        <v>978.26828727083921</v>
      </c>
      <c r="X16" s="92"/>
      <c r="Z16" s="415"/>
      <c r="AA16" s="327" t="str">
        <f>+D31</f>
        <v>%</v>
      </c>
      <c r="AB16" s="328">
        <f>+E31</f>
        <v>3.5680673617897729E-2</v>
      </c>
      <c r="AC16" s="329">
        <f>+F31</f>
        <v>1.2872892116359491E-3</v>
      </c>
      <c r="AD16" s="330">
        <f t="shared" si="7"/>
        <v>-3.439338440626178E-2</v>
      </c>
      <c r="AE16" s="331">
        <f>+H31</f>
        <v>8.3391405521393056E-2</v>
      </c>
      <c r="AF16" s="332">
        <f t="shared" si="8"/>
        <v>-8.21041163097571E-2</v>
      </c>
      <c r="AG16" s="333">
        <f>+J31</f>
        <v>3.5680673617897729E-2</v>
      </c>
      <c r="AH16" s="329">
        <f>+K31</f>
        <v>1.2872892116359491E-3</v>
      </c>
      <c r="AI16" s="330">
        <f t="shared" si="9"/>
        <v>-3.439338440626178E-2</v>
      </c>
      <c r="AJ16" s="331">
        <f>+M31</f>
        <v>8.3391405521393056E-2</v>
      </c>
      <c r="AK16" s="328">
        <f t="shared" si="10"/>
        <v>-8.21041163097571E-2</v>
      </c>
      <c r="AL16" s="334"/>
    </row>
    <row r="17" spans="2:37" ht="21.75" customHeight="1">
      <c r="C17" s="88"/>
      <c r="D17" s="93" t="s">
        <v>1</v>
      </c>
      <c r="E17" s="402">
        <f>+('[1]1월'!$AE$10+'[1]1월'!$AE$19)/1000</f>
        <v>1515.6029941749932</v>
      </c>
      <c r="F17" s="403">
        <f>+('[2]1월'!$AN$10+'[2]1월'!$AN$19)/1000</f>
        <v>1282.26554201</v>
      </c>
      <c r="G17" s="379">
        <f t="shared" si="11"/>
        <v>-233.33745216499324</v>
      </c>
      <c r="H17" s="380">
        <f>+('[3]1월'!$AN$10+'[3]1월'!$AN$19)/1000</f>
        <v>1493.2746959999999</v>
      </c>
      <c r="I17" s="381">
        <f t="shared" si="12"/>
        <v>-211.00915398999996</v>
      </c>
      <c r="J17" s="402">
        <f t="shared" si="18"/>
        <v>1515.6029941749932</v>
      </c>
      <c r="K17" s="403">
        <f t="shared" si="19"/>
        <v>1282.26554201</v>
      </c>
      <c r="L17" s="379">
        <f t="shared" si="2"/>
        <v>-233.33745216499324</v>
      </c>
      <c r="M17" s="380">
        <f t="shared" si="20"/>
        <v>1493.2746959999999</v>
      </c>
      <c r="N17" s="381">
        <f t="shared" si="4"/>
        <v>-211.00915398999996</v>
      </c>
      <c r="O17" s="87"/>
      <c r="P17" s="90"/>
      <c r="Q17" s="173" t="s">
        <v>60</v>
      </c>
      <c r="R17" s="182" t="s">
        <v>16</v>
      </c>
      <c r="S17" s="195">
        <f>+[4]수도권!$Q$90</f>
        <v>15650.863525178807</v>
      </c>
      <c r="T17" s="106">
        <f>+[4]수도권!$R$90</f>
        <v>13670.14661512668</v>
      </c>
      <c r="U17" s="388">
        <f t="shared" si="13"/>
        <v>-1980.7169100521278</v>
      </c>
      <c r="V17" s="389">
        <f>+[5]수도권!$Q$90</f>
        <v>14738.44825867562</v>
      </c>
      <c r="W17" s="390">
        <f t="shared" si="14"/>
        <v>-1068.3016435489408</v>
      </c>
      <c r="X17" s="92"/>
      <c r="Z17" s="415"/>
      <c r="AA17" s="298" t="str">
        <f>+D32</f>
        <v>건자재</v>
      </c>
      <c r="AB17" s="306">
        <f>+E32/100</f>
        <v>1.6736131978921958</v>
      </c>
      <c r="AC17" s="312">
        <f>+F32/100</f>
        <v>1.6972489999990899E-2</v>
      </c>
      <c r="AD17" s="309">
        <f t="shared" si="7"/>
        <v>-1.656640707892205</v>
      </c>
      <c r="AE17" s="302">
        <f>+H32/100</f>
        <v>0.75267211000000755</v>
      </c>
      <c r="AF17" s="318">
        <f t="shared" si="8"/>
        <v>-0.73569962000001665</v>
      </c>
      <c r="AG17" s="315">
        <f>+J32/100</f>
        <v>1.6736131978921958</v>
      </c>
      <c r="AH17" s="312">
        <f>+K32/100</f>
        <v>1.6972489999990899E-2</v>
      </c>
      <c r="AI17" s="309">
        <f t="shared" si="9"/>
        <v>-1.656640707892205</v>
      </c>
      <c r="AJ17" s="302">
        <f>+M32/100</f>
        <v>0.75267211000000755</v>
      </c>
      <c r="AK17" s="306">
        <f t="shared" si="10"/>
        <v>-0.73569962000001665</v>
      </c>
    </row>
    <row r="18" spans="2:37" ht="21.75" customHeight="1">
      <c r="C18" s="88"/>
      <c r="D18" s="103" t="s">
        <v>4</v>
      </c>
      <c r="E18" s="409">
        <f>+('[1]1월'!$E$10+'[1]1월'!$E$19)/1000-E15-E16-E17</f>
        <v>28.444278999999142</v>
      </c>
      <c r="F18" s="410">
        <f>+('[2]1월'!$F$10+'[2]1월'!$F$19)/1000-F15-F16-F17</f>
        <v>331.19035700000222</v>
      </c>
      <c r="G18" s="382">
        <f t="shared" si="11"/>
        <v>302.74607800000308</v>
      </c>
      <c r="H18" s="383">
        <f>+('[3]1월'!$F$10+'[3]1월'!$F$19)/1000-H15-H16-H17</f>
        <v>28.511818000002222</v>
      </c>
      <c r="I18" s="384">
        <f t="shared" si="12"/>
        <v>302.678539</v>
      </c>
      <c r="J18" s="409">
        <f t="shared" si="18"/>
        <v>28.444278999999142</v>
      </c>
      <c r="K18" s="410">
        <f t="shared" si="19"/>
        <v>331.19035700000222</v>
      </c>
      <c r="L18" s="382">
        <f t="shared" si="2"/>
        <v>302.74607800000308</v>
      </c>
      <c r="M18" s="383">
        <f t="shared" si="20"/>
        <v>28.511818000002222</v>
      </c>
      <c r="N18" s="384">
        <f t="shared" si="4"/>
        <v>302.678539</v>
      </c>
      <c r="O18" s="87"/>
      <c r="P18" s="90"/>
      <c r="Q18" s="174"/>
      <c r="R18" s="183" t="s">
        <v>17</v>
      </c>
      <c r="S18" s="196">
        <f>+[4]영남권!$Q$90</f>
        <v>21016.893653408551</v>
      </c>
      <c r="T18" s="107">
        <f>+[4]영남권!$R$90</f>
        <v>20157.905813537625</v>
      </c>
      <c r="U18" s="391">
        <f t="shared" si="13"/>
        <v>-858.98783987092611</v>
      </c>
      <c r="V18" s="392">
        <f>+[5]영남권!$Q$90</f>
        <v>22138.533446546367</v>
      </c>
      <c r="W18" s="393">
        <f t="shared" si="14"/>
        <v>-1980.6276330087421</v>
      </c>
      <c r="X18" s="92"/>
      <c r="Z18" s="415"/>
      <c r="AA18" s="298" t="str">
        <f>+D33</f>
        <v>골재</v>
      </c>
      <c r="AB18" s="306">
        <f>+E33/100</f>
        <v>0.76977514467638808</v>
      </c>
      <c r="AC18" s="312">
        <f>+F33/100</f>
        <v>-2.8008745596291704</v>
      </c>
      <c r="AD18" s="309">
        <f t="shared" si="7"/>
        <v>-3.5706497043055583</v>
      </c>
      <c r="AE18" s="302">
        <f>+H33/100</f>
        <v>1.84073732241735</v>
      </c>
      <c r="AF18" s="318">
        <f t="shared" si="8"/>
        <v>-4.6416118820465204</v>
      </c>
      <c r="AG18" s="315">
        <f>+J33/100</f>
        <v>0.76977514467638808</v>
      </c>
      <c r="AH18" s="312">
        <f>+K33/100</f>
        <v>-2.8008745596291704</v>
      </c>
      <c r="AI18" s="309">
        <f t="shared" si="9"/>
        <v>-3.5706497043055583</v>
      </c>
      <c r="AJ18" s="302">
        <f>+M33/100</f>
        <v>1.84073732241735</v>
      </c>
      <c r="AK18" s="306">
        <f t="shared" si="10"/>
        <v>-4.6416118820465204</v>
      </c>
    </row>
    <row r="19" spans="2:37" ht="21.75" customHeight="1">
      <c r="C19" s="88" t="s">
        <v>8</v>
      </c>
      <c r="D19" s="108"/>
      <c r="E19" s="402">
        <f>SUM(E15:E18)</f>
        <v>31385.919009904555</v>
      </c>
      <c r="F19" s="403">
        <f>SUM(F15:F18)</f>
        <v>26188.390488010005</v>
      </c>
      <c r="G19" s="379">
        <f t="shared" si="11"/>
        <v>-5197.5285218945501</v>
      </c>
      <c r="H19" s="380">
        <f>SUM(H15:H18)</f>
        <v>33611.843651999989</v>
      </c>
      <c r="I19" s="381">
        <f t="shared" si="12"/>
        <v>-7423.4531639899833</v>
      </c>
      <c r="J19" s="402">
        <f>SUM(J15:J18)</f>
        <v>31385.919009904555</v>
      </c>
      <c r="K19" s="403">
        <f>SUM(K15:K18)</f>
        <v>26188.390488010005</v>
      </c>
      <c r="L19" s="379">
        <f t="shared" si="2"/>
        <v>-5197.5285218945501</v>
      </c>
      <c r="M19" s="380">
        <f>SUM(M15:M18)</f>
        <v>33611.843651999989</v>
      </c>
      <c r="N19" s="381">
        <f t="shared" si="4"/>
        <v>-7423.4531639899833</v>
      </c>
      <c r="O19" s="87"/>
      <c r="P19" s="90"/>
      <c r="Q19" s="174"/>
      <c r="R19" s="184" t="s">
        <v>105</v>
      </c>
      <c r="S19" s="197">
        <f>+[4]중부권!$Q$90</f>
        <v>28185.783760985185</v>
      </c>
      <c r="T19" s="109">
        <f>+[4]중부권!$R$90</f>
        <v>20761.140584418055</v>
      </c>
      <c r="U19" s="394">
        <f t="shared" si="13"/>
        <v>-7424.6431765671296</v>
      </c>
      <c r="V19" s="395">
        <f>+[5]중부권!$Q$90</f>
        <v>22621.21936715956</v>
      </c>
      <c r="W19" s="396">
        <f t="shared" si="14"/>
        <v>-1860.0787827415043</v>
      </c>
      <c r="X19" s="92"/>
      <c r="AA19" s="298" t="s">
        <v>132</v>
      </c>
      <c r="AB19" s="306">
        <f>+'사업장별(당월)'!T35/100</f>
        <v>-17.847167871836124</v>
      </c>
      <c r="AC19" s="312">
        <f>+'사업장별(당월)'!U35/100</f>
        <v>-16.371909851328546</v>
      </c>
      <c r="AD19" s="309">
        <f>+AC19-AB19</f>
        <v>1.475258020507578</v>
      </c>
      <c r="AE19" s="302">
        <f>+'사업장별(당월)'!W35/100</f>
        <v>-15.492991472438964</v>
      </c>
      <c r="AF19" s="318">
        <f t="shared" si="8"/>
        <v>-0.87891837888958158</v>
      </c>
      <c r="AG19" s="315">
        <f>+AB19</f>
        <v>-17.847167871836124</v>
      </c>
      <c r="AH19" s="312">
        <f t="shared" ref="AH19:AH22" si="21">+AC19</f>
        <v>-16.371909851328546</v>
      </c>
      <c r="AI19" s="309">
        <f t="shared" si="9"/>
        <v>1.475258020507578</v>
      </c>
      <c r="AJ19" s="302">
        <f t="shared" ref="AJ19:AJ22" si="22">+AE19</f>
        <v>-15.492991472438964</v>
      </c>
      <c r="AK19" s="306">
        <f t="shared" si="10"/>
        <v>-0.87891837888958158</v>
      </c>
    </row>
    <row r="20" spans="2:37" ht="21.75" customHeight="1">
      <c r="C20" s="96" t="s">
        <v>15</v>
      </c>
      <c r="D20" s="97" t="s">
        <v>40</v>
      </c>
      <c r="E20" s="404">
        <f t="shared" ref="E20:F23" si="23">+E10-E15</f>
        <v>1415.2036501456496</v>
      </c>
      <c r="F20" s="405">
        <f t="shared" si="23"/>
        <v>733.6666750000004</v>
      </c>
      <c r="G20" s="406">
        <f t="shared" si="11"/>
        <v>-681.53697514564919</v>
      </c>
      <c r="H20" s="407">
        <f>+H10-H15</f>
        <v>2996.1137050000034</v>
      </c>
      <c r="I20" s="408">
        <f t="shared" si="12"/>
        <v>-2262.447030000003</v>
      </c>
      <c r="J20" s="404">
        <f t="shared" ref="J20:K23" si="24">+J10-J15</f>
        <v>1415.2036501456496</v>
      </c>
      <c r="K20" s="405">
        <f t="shared" si="24"/>
        <v>733.6666750000004</v>
      </c>
      <c r="L20" s="406">
        <f t="shared" si="2"/>
        <v>-681.53697514564919</v>
      </c>
      <c r="M20" s="407">
        <f>+M10-M15</f>
        <v>2996.1137050000034</v>
      </c>
      <c r="N20" s="408">
        <f t="shared" si="4"/>
        <v>-2262.447030000003</v>
      </c>
      <c r="O20" s="87"/>
      <c r="P20" s="90"/>
      <c r="Q20" s="175" t="s">
        <v>58</v>
      </c>
      <c r="R20" s="185"/>
      <c r="S20" s="198">
        <f>+[4]합계!$Q$90</f>
        <v>20224.25584622084</v>
      </c>
      <c r="T20" s="110">
        <f>+[4]합계!$R$90</f>
        <v>18230.838973264006</v>
      </c>
      <c r="U20" s="397">
        <f t="shared" si="13"/>
        <v>-1993.4168729568337</v>
      </c>
      <c r="V20" s="398">
        <f>+[5]합계!$Q$90</f>
        <v>19500.632714983396</v>
      </c>
      <c r="W20" s="399">
        <f t="shared" si="14"/>
        <v>-1269.7937417193898</v>
      </c>
      <c r="X20" s="92"/>
      <c r="AA20" s="298" t="str">
        <f>+'사업장별(당월)'!I34</f>
        <v>임대</v>
      </c>
      <c r="AB20" s="306">
        <f>+('사업장별(당월)'!T33+'사업장별(당월)'!T34)/100</f>
        <v>1.3648722100000001</v>
      </c>
      <c r="AC20" s="312">
        <f>+('사업장별(당월)'!U33+'사업장별(당월)'!U34)/100</f>
        <v>1.3690626800000001</v>
      </c>
      <c r="AD20" s="309">
        <f>+AC20-AB20</f>
        <v>4.1904699999999462E-3</v>
      </c>
      <c r="AE20" s="302">
        <f>+('사업장별(당월)'!W33+'사업장별(당월)'!W34)/100</f>
        <v>1.3362087399999998</v>
      </c>
      <c r="AF20" s="318">
        <f t="shared" si="8"/>
        <v>3.2853940000000303E-2</v>
      </c>
      <c r="AG20" s="315">
        <f t="shared" ref="AG20:AG22" si="25">+AB20</f>
        <v>1.3648722100000001</v>
      </c>
      <c r="AH20" s="312">
        <f t="shared" si="21"/>
        <v>1.3690626800000001</v>
      </c>
      <c r="AI20" s="309">
        <f t="shared" si="9"/>
        <v>4.1904699999999462E-3</v>
      </c>
      <c r="AJ20" s="302">
        <f t="shared" si="22"/>
        <v>1.3362087399999998</v>
      </c>
      <c r="AK20" s="306">
        <f t="shared" si="10"/>
        <v>3.2853940000000303E-2</v>
      </c>
    </row>
    <row r="21" spans="2:37" ht="21.75" customHeight="1">
      <c r="C21" s="88"/>
      <c r="D21" s="93" t="s">
        <v>3</v>
      </c>
      <c r="E21" s="402">
        <f t="shared" si="23"/>
        <v>290.14050778921955</v>
      </c>
      <c r="F21" s="403">
        <f t="shared" si="23"/>
        <v>145.91049199999907</v>
      </c>
      <c r="G21" s="379">
        <f>+F21-E21</f>
        <v>-144.23001578922049</v>
      </c>
      <c r="H21" s="380">
        <f>+H11-H16</f>
        <v>197.43220700000074</v>
      </c>
      <c r="I21" s="381">
        <f>+F21-H21</f>
        <v>-51.521715000001677</v>
      </c>
      <c r="J21" s="402">
        <f t="shared" si="24"/>
        <v>290.14050778921955</v>
      </c>
      <c r="K21" s="403">
        <f t="shared" si="24"/>
        <v>145.91049199999907</v>
      </c>
      <c r="L21" s="379">
        <f t="shared" si="2"/>
        <v>-144.23001578922049</v>
      </c>
      <c r="M21" s="380">
        <f>+M11-M16</f>
        <v>197.43220700000074</v>
      </c>
      <c r="N21" s="381">
        <f t="shared" si="4"/>
        <v>-51.521715000001677</v>
      </c>
      <c r="O21" s="87"/>
      <c r="P21" s="90"/>
      <c r="Q21" s="144" t="s">
        <v>85</v>
      </c>
      <c r="R21" s="145"/>
      <c r="S21" s="146"/>
      <c r="T21" s="152"/>
      <c r="U21" s="146"/>
      <c r="X21" s="92"/>
      <c r="AA21" s="298" t="str">
        <f>+'사업장별(당월)'!I37</f>
        <v>대손</v>
      </c>
      <c r="AB21" s="306">
        <f>+'사업장별(당월)'!T37/100</f>
        <v>0</v>
      </c>
      <c r="AC21" s="312">
        <f>+'사업장별(당월)'!U37/100</f>
        <v>0</v>
      </c>
      <c r="AD21" s="309">
        <f>+AC21-AB21</f>
        <v>0</v>
      </c>
      <c r="AE21" s="302">
        <f>+'사업장별(당월)'!W37/100</f>
        <v>0</v>
      </c>
      <c r="AF21" s="318">
        <f t="shared" si="8"/>
        <v>0</v>
      </c>
      <c r="AG21" s="315">
        <f t="shared" si="25"/>
        <v>0</v>
      </c>
      <c r="AH21" s="312">
        <f t="shared" si="21"/>
        <v>0</v>
      </c>
      <c r="AI21" s="309">
        <f t="shared" si="9"/>
        <v>0</v>
      </c>
      <c r="AJ21" s="302">
        <f t="shared" si="22"/>
        <v>0</v>
      </c>
      <c r="AK21" s="306">
        <f t="shared" si="10"/>
        <v>0</v>
      </c>
    </row>
    <row r="22" spans="2:37" ht="21.75" customHeight="1">
      <c r="C22" s="88"/>
      <c r="D22" s="93" t="s">
        <v>1</v>
      </c>
      <c r="E22" s="402">
        <f t="shared" si="23"/>
        <v>124.59144721460166</v>
      </c>
      <c r="F22" s="403">
        <f t="shared" si="23"/>
        <v>-230.51754200999994</v>
      </c>
      <c r="G22" s="379">
        <f t="shared" si="11"/>
        <v>-355.1089892246016</v>
      </c>
      <c r="H22" s="380">
        <f>+H12-H17</f>
        <v>226.24530400000003</v>
      </c>
      <c r="I22" s="381">
        <f t="shared" si="12"/>
        <v>-456.76284600999998</v>
      </c>
      <c r="J22" s="402">
        <f t="shared" si="24"/>
        <v>124.59144721460166</v>
      </c>
      <c r="K22" s="403">
        <f t="shared" si="24"/>
        <v>-230.51754200999994</v>
      </c>
      <c r="L22" s="379">
        <f t="shared" si="2"/>
        <v>-355.1089892246016</v>
      </c>
      <c r="M22" s="380">
        <f>+M12-M17</f>
        <v>226.24530400000003</v>
      </c>
      <c r="N22" s="381">
        <f t="shared" si="4"/>
        <v>-456.76284600999998</v>
      </c>
      <c r="O22" s="87"/>
      <c r="P22" s="90"/>
      <c r="Q22" s="221" t="s">
        <v>11</v>
      </c>
      <c r="R22" s="222"/>
      <c r="S22" s="223" t="s">
        <v>12</v>
      </c>
      <c r="T22" s="224" t="s">
        <v>13</v>
      </c>
      <c r="U22" s="225" t="s">
        <v>92</v>
      </c>
      <c r="V22" s="224" t="s">
        <v>14</v>
      </c>
      <c r="W22" s="226" t="s">
        <v>93</v>
      </c>
      <c r="X22" s="92"/>
      <c r="Z22" s="415"/>
      <c r="AA22" s="298" t="str">
        <f>+D34</f>
        <v>기타</v>
      </c>
      <c r="AB22" s="306">
        <f>+AB26-AB19-AB20-AB21</f>
        <v>-0.59307241000003197</v>
      </c>
      <c r="AC22" s="312">
        <f>+AC26-AC19-AC20-AC21</f>
        <v>-8.0842499291000092</v>
      </c>
      <c r="AD22" s="309">
        <f>+AC22-AB22</f>
        <v>-7.4911775190999776</v>
      </c>
      <c r="AE22" s="302">
        <f>+AE26-AE19-AE20-AE21</f>
        <v>-0.5318342300000134</v>
      </c>
      <c r="AF22" s="318">
        <f>+AC22-AE22</f>
        <v>-7.5524156990999955</v>
      </c>
      <c r="AG22" s="315">
        <f t="shared" si="25"/>
        <v>-0.59307241000003197</v>
      </c>
      <c r="AH22" s="312">
        <f t="shared" si="21"/>
        <v>-8.0842499291000092</v>
      </c>
      <c r="AI22" s="309">
        <f t="shared" si="9"/>
        <v>-7.4911775190999776</v>
      </c>
      <c r="AJ22" s="302">
        <f t="shared" si="22"/>
        <v>-0.5318342300000134</v>
      </c>
      <c r="AK22" s="306">
        <f t="shared" si="10"/>
        <v>-7.5524156990999955</v>
      </c>
    </row>
    <row r="23" spans="2:37" ht="21.75" customHeight="1">
      <c r="C23" s="88"/>
      <c r="D23" s="103" t="s">
        <v>4</v>
      </c>
      <c r="E23" s="409">
        <f t="shared" si="23"/>
        <v>138.25722099999416</v>
      </c>
      <c r="F23" s="410">
        <f t="shared" si="23"/>
        <v>-163.9377580000023</v>
      </c>
      <c r="G23" s="382">
        <f t="shared" si="11"/>
        <v>-302.19497899999647</v>
      </c>
      <c r="H23" s="383">
        <f>+H13-H18</f>
        <v>135.96369299999878</v>
      </c>
      <c r="I23" s="384">
        <f t="shared" si="12"/>
        <v>-299.90145100000109</v>
      </c>
      <c r="J23" s="409">
        <f t="shared" si="24"/>
        <v>138.25722099999416</v>
      </c>
      <c r="K23" s="410">
        <f t="shared" si="24"/>
        <v>-163.9377580000023</v>
      </c>
      <c r="L23" s="382">
        <f t="shared" si="2"/>
        <v>-302.19497899999647</v>
      </c>
      <c r="M23" s="383">
        <f>+M13-M18</f>
        <v>135.96369299999878</v>
      </c>
      <c r="N23" s="384">
        <f t="shared" si="4"/>
        <v>-299.90145100000109</v>
      </c>
      <c r="O23" s="87"/>
      <c r="P23" s="90"/>
      <c r="Q23" s="147" t="s">
        <v>86</v>
      </c>
      <c r="R23" s="148"/>
      <c r="S23" s="207">
        <f>+'[6]1월'!$F$10</f>
        <v>872959.18367346935</v>
      </c>
      <c r="T23" s="213">
        <f>+'[6]1월'!$G$10</f>
        <v>756420.01123690419</v>
      </c>
      <c r="U23" s="210">
        <f>+T23-S23</f>
        <v>-116539.17243656516</v>
      </c>
      <c r="V23" s="189">
        <f>+'[6]1월'!$G$10</f>
        <v>756420.01123690419</v>
      </c>
      <c r="W23" s="186">
        <f>+T23-V23</f>
        <v>0</v>
      </c>
      <c r="X23" s="92"/>
      <c r="Z23" s="415"/>
      <c r="AA23" s="341" t="s">
        <v>128</v>
      </c>
      <c r="AB23" s="342">
        <f>SUM(AB15,AB17:AB22)</f>
        <v>-7.2047288578110784</v>
      </c>
      <c r="AC23" s="354">
        <f>SUM(AC15,AC17:AC22)</f>
        <v>-25.639616760057734</v>
      </c>
      <c r="AD23" s="343">
        <f>+AC23-AB23</f>
        <v>-18.434887902246658</v>
      </c>
      <c r="AE23" s="344">
        <f>SUM(AE15,AE17:AE22)</f>
        <v>11.150685369978415</v>
      </c>
      <c r="AF23" s="345">
        <f>+AC23-AE23</f>
        <v>-36.790302130036153</v>
      </c>
      <c r="AG23" s="346">
        <f>SUM(AG15,AG17:AG22)</f>
        <v>-7.2047288578110784</v>
      </c>
      <c r="AH23" s="354">
        <f>SUM(AH15,AH17:AH22)</f>
        <v>-25.639616760057734</v>
      </c>
      <c r="AI23" s="343">
        <f>+AH23-AG23</f>
        <v>-18.434887902246658</v>
      </c>
      <c r="AJ23" s="344">
        <f>SUM(AJ15,AJ17:AJ22)</f>
        <v>11.150685369978415</v>
      </c>
      <c r="AK23" s="342">
        <f>+AH23-AJ23</f>
        <v>-36.790302130036153</v>
      </c>
    </row>
    <row r="24" spans="2:37" ht="21.75" customHeight="1" thickBot="1">
      <c r="C24" s="104" t="s">
        <v>8</v>
      </c>
      <c r="D24" s="105"/>
      <c r="E24" s="409">
        <f>SUM(E20:E23)</f>
        <v>1968.192826149465</v>
      </c>
      <c r="F24" s="410">
        <f>SUM(F20:F23)</f>
        <v>485.12186698999722</v>
      </c>
      <c r="G24" s="382">
        <f t="shared" si="11"/>
        <v>-1483.0709591594677</v>
      </c>
      <c r="H24" s="383">
        <f>SUM(H20:H23)</f>
        <v>3555.754909000003</v>
      </c>
      <c r="I24" s="384">
        <f t="shared" si="12"/>
        <v>-3070.6330420100057</v>
      </c>
      <c r="J24" s="409">
        <f>SUM(J20:J23)</f>
        <v>1968.192826149465</v>
      </c>
      <c r="K24" s="410">
        <f>SUM(K20:K23)</f>
        <v>485.12186698999722</v>
      </c>
      <c r="L24" s="382">
        <f t="shared" si="2"/>
        <v>-1483.0709591594677</v>
      </c>
      <c r="M24" s="383">
        <f>SUM(M20:M23)</f>
        <v>3555.754909000003</v>
      </c>
      <c r="N24" s="384">
        <f t="shared" si="4"/>
        <v>-3070.6330420100057</v>
      </c>
      <c r="O24" s="87"/>
      <c r="P24" s="90"/>
      <c r="Q24" s="149" t="s">
        <v>87</v>
      </c>
      <c r="R24" s="150"/>
      <c r="S24" s="208">
        <f>+'[6]1월'!$F$15</f>
        <v>2.4004383401519579E-2</v>
      </c>
      <c r="T24" s="214">
        <f>+'[6]1월'!$G$15</f>
        <v>1.7727214453804725E-2</v>
      </c>
      <c r="U24" s="211">
        <f>+T24-S24</f>
        <v>-6.2771689477148541E-3</v>
      </c>
      <c r="V24" s="190">
        <f>+'[6]1월'!$G$15</f>
        <v>1.7727214453804725E-2</v>
      </c>
      <c r="W24" s="187">
        <f>+T24-V24</f>
        <v>0</v>
      </c>
      <c r="X24" s="92"/>
      <c r="Z24" s="326"/>
      <c r="AA24" s="347" t="str">
        <f t="shared" ref="AA24:AK24" si="26">+D36</f>
        <v>%</v>
      </c>
      <c r="AB24" s="348">
        <f t="shared" si="26"/>
        <v>-2.1600721653823717E-2</v>
      </c>
      <c r="AC24" s="355">
        <f t="shared" si="26"/>
        <v>-9.6123886568885056E-2</v>
      </c>
      <c r="AD24" s="349">
        <f t="shared" si="26"/>
        <v>-7.4523164915061335E-2</v>
      </c>
      <c r="AE24" s="350">
        <f t="shared" si="26"/>
        <v>3.0001091815705414E-2</v>
      </c>
      <c r="AF24" s="351">
        <f t="shared" si="26"/>
        <v>-0.12612497838459047</v>
      </c>
      <c r="AG24" s="352">
        <f t="shared" si="26"/>
        <v>-2.1600721653823717E-2</v>
      </c>
      <c r="AH24" s="355">
        <f t="shared" si="26"/>
        <v>-9.6123886568885056E-2</v>
      </c>
      <c r="AI24" s="349">
        <f t="shared" si="26"/>
        <v>-7.4523164915061335E-2</v>
      </c>
      <c r="AJ24" s="350">
        <f t="shared" si="26"/>
        <v>3.0001091815705414E-2</v>
      </c>
      <c r="AK24" s="348">
        <f t="shared" si="26"/>
        <v>-0.12612497838459047</v>
      </c>
    </row>
    <row r="25" spans="2:37" ht="21.75" customHeight="1">
      <c r="C25" s="96" t="s">
        <v>6</v>
      </c>
      <c r="D25" s="97" t="s">
        <v>40</v>
      </c>
      <c r="E25" s="404">
        <f>+('[1]1월'!$Z$13+'[1]1월'!$Z$20)/1000</f>
        <v>672.47856300000012</v>
      </c>
      <c r="F25" s="405">
        <f>+('[2]1월'!$Z$13+'[2]1월'!$Z$20)/1000</f>
        <v>710.52843400000006</v>
      </c>
      <c r="G25" s="406">
        <f t="shared" si="11"/>
        <v>38.049870999999939</v>
      </c>
      <c r="H25" s="407">
        <f>+('[3]1월'!$Z$13+'[3]1월'!$Z$20)/1000</f>
        <v>671.52441500000009</v>
      </c>
      <c r="I25" s="408">
        <f t="shared" si="12"/>
        <v>39.004018999999971</v>
      </c>
      <c r="J25" s="404">
        <f t="shared" ref="J25:J28" si="27">+E25</f>
        <v>672.47856300000012</v>
      </c>
      <c r="K25" s="405">
        <f t="shared" ref="K25:K28" si="28">+F25</f>
        <v>710.52843400000006</v>
      </c>
      <c r="L25" s="406">
        <f t="shared" si="2"/>
        <v>38.049870999999939</v>
      </c>
      <c r="M25" s="407">
        <f t="shared" ref="M25:M28" si="29">+H25</f>
        <v>671.52441500000009</v>
      </c>
      <c r="N25" s="408">
        <f t="shared" si="4"/>
        <v>39.004018999999971</v>
      </c>
      <c r="O25" s="87"/>
      <c r="P25" s="90"/>
      <c r="Q25" s="144" t="s">
        <v>88</v>
      </c>
      <c r="R25" s="151"/>
      <c r="S25" s="71"/>
      <c r="T25" s="152"/>
      <c r="U25" s="71"/>
      <c r="X25" s="92"/>
    </row>
    <row r="26" spans="2:37" ht="21.75" customHeight="1">
      <c r="C26" s="88"/>
      <c r="D26" s="93" t="s">
        <v>68</v>
      </c>
      <c r="E26" s="402">
        <f>+('[1]1월'!$AA$13+'[1]1월'!$AA$20)/1000</f>
        <v>122.77918799999999</v>
      </c>
      <c r="F26" s="403">
        <f>+('[2]1월'!$AO$13+'[2]1월'!$AO$20)/1000</f>
        <v>144.21324299999998</v>
      </c>
      <c r="G26" s="379">
        <f>+F26-E26</f>
        <v>21.434054999999987</v>
      </c>
      <c r="H26" s="380">
        <f>+('[3]1월'!$AO$13+'[3]1월'!$AO$20)/1000</f>
        <v>122.16499599999999</v>
      </c>
      <c r="I26" s="381">
        <f>+F26-H26</f>
        <v>22.048246999999989</v>
      </c>
      <c r="J26" s="402">
        <f t="shared" si="27"/>
        <v>122.77918799999999</v>
      </c>
      <c r="K26" s="403">
        <f t="shared" si="28"/>
        <v>144.21324299999998</v>
      </c>
      <c r="L26" s="379">
        <f t="shared" si="2"/>
        <v>21.434054999999987</v>
      </c>
      <c r="M26" s="380">
        <f t="shared" si="29"/>
        <v>122.16499599999999</v>
      </c>
      <c r="N26" s="381">
        <f t="shared" si="4"/>
        <v>22.048246999999989</v>
      </c>
      <c r="O26" s="87"/>
      <c r="P26" s="90"/>
      <c r="Q26" s="221" t="s">
        <v>11</v>
      </c>
      <c r="R26" s="222"/>
      <c r="S26" s="223" t="s">
        <v>12</v>
      </c>
      <c r="T26" s="224" t="s">
        <v>13</v>
      </c>
      <c r="U26" s="225" t="s">
        <v>92</v>
      </c>
      <c r="V26" s="224" t="s">
        <v>14</v>
      </c>
      <c r="W26" s="226" t="s">
        <v>93</v>
      </c>
      <c r="X26" s="92"/>
      <c r="AB26" s="295">
        <f>+'사업장별(당월)'!T41/100</f>
        <v>-17.075368071836156</v>
      </c>
      <c r="AC26" s="295">
        <f>+'사업장별(당월)'!U41/100</f>
        <v>-23.087097100428554</v>
      </c>
      <c r="AD26" s="295">
        <f>+AC26-AB26</f>
        <v>-6.0117290285923985</v>
      </c>
      <c r="AE26" s="295">
        <f>+'사업장별(당월)'!W41/100</f>
        <v>-14.688616962438978</v>
      </c>
      <c r="AF26" s="295">
        <f>+AE26-AD26</f>
        <v>-8.6768879338465794</v>
      </c>
      <c r="AG26" s="295">
        <f>+'사업장별(당월)'!Y41/100</f>
        <v>0</v>
      </c>
      <c r="AH26" s="295">
        <f>+'사업장별(당월)'!Z41/100</f>
        <v>0</v>
      </c>
      <c r="AJ26" s="295">
        <f>+'사업장별(당월)'!AB41/100</f>
        <v>0</v>
      </c>
    </row>
    <row r="27" spans="2:37" ht="21.75" customHeight="1">
      <c r="C27" s="88"/>
      <c r="D27" s="93" t="s">
        <v>1</v>
      </c>
      <c r="E27" s="402">
        <f>+('[1]1월'!$AE$13+'[1]1월'!$AE$20+'[1]1월'!$AE$22)/1000</f>
        <v>47.613932746962845</v>
      </c>
      <c r="F27" s="403">
        <f>+('[2]1월'!$AN$13+'[2]1월'!$AN$20+'[2]1월'!$AN$22)/1000</f>
        <v>49.569913952917098</v>
      </c>
      <c r="G27" s="379">
        <f t="shared" si="11"/>
        <v>1.9559812059542523</v>
      </c>
      <c r="H27" s="380">
        <f>+('[3]1월'!$AN$13+'[3]1월'!$AN$20+'[3]1월'!$AN$22)/1000</f>
        <v>42.171571758265038</v>
      </c>
      <c r="I27" s="381">
        <f t="shared" si="12"/>
        <v>7.3983421946520593</v>
      </c>
      <c r="J27" s="402">
        <f t="shared" si="27"/>
        <v>47.613932746962845</v>
      </c>
      <c r="K27" s="403">
        <f t="shared" si="28"/>
        <v>49.569913952917098</v>
      </c>
      <c r="L27" s="379">
        <f t="shared" si="2"/>
        <v>1.9559812059542523</v>
      </c>
      <c r="M27" s="380">
        <f t="shared" si="29"/>
        <v>42.171571758265038</v>
      </c>
      <c r="N27" s="381">
        <f t="shared" si="4"/>
        <v>7.3983421946520593</v>
      </c>
      <c r="O27" s="87"/>
      <c r="P27" s="90"/>
      <c r="Q27" s="1" t="s">
        <v>89</v>
      </c>
      <c r="R27" s="176" t="s">
        <v>90</v>
      </c>
      <c r="S27" s="207">
        <f>(+'[7]서부산크라샤(당월)'!$N$66+'[7]부산모래장(당월)'!$Q$48+'[7]부산크라샤(당월)'!$N$66)/1000</f>
        <v>46.8182908046142</v>
      </c>
      <c r="T27" s="213">
        <f>(+'[7]서부산크라샤(당월)'!$O$66+'[7]부산모래장(당월)'!$R$48+'[7]부산크라샤(당월)'!$O$66)/1000</f>
        <v>30.26</v>
      </c>
      <c r="U27" s="210">
        <f>+T27-S27</f>
        <v>-16.558290804614199</v>
      </c>
      <c r="V27" s="189">
        <f>+'[7]부산모래장(당월)'!$S$85/1000</f>
        <v>30.26</v>
      </c>
      <c r="W27" s="186">
        <f>+T27-V27</f>
        <v>0</v>
      </c>
      <c r="X27" s="92"/>
    </row>
    <row r="28" spans="2:37" ht="21.75" customHeight="1">
      <c r="B28" s="85"/>
      <c r="C28" s="88"/>
      <c r="D28" s="103" t="s">
        <v>4</v>
      </c>
      <c r="E28" s="409">
        <f>+('[1]1월'!$E$13+'[1]1월'!$E$20)/1000-E25-E26-E27+('[1]1월'!$E$22/1000)</f>
        <v>1845.7940281836122</v>
      </c>
      <c r="F28" s="410">
        <f>+('[2]1월'!$F$13+'[2]1월'!$F$20)/1000-F25-F26-F27+'[2]1월'!$F$22/1000</f>
        <v>2144.7719520428545</v>
      </c>
      <c r="G28" s="382">
        <f t="shared" si="11"/>
        <v>298.97792385924231</v>
      </c>
      <c r="H28" s="383">
        <f>+('[3]1월'!$F$13+'[3]1월'!$F$20)/1000-H25-H26-H27+'[3]1월'!$F$22/1000</f>
        <v>1604.8253892438966</v>
      </c>
      <c r="I28" s="384">
        <f t="shared" si="12"/>
        <v>539.94656279895798</v>
      </c>
      <c r="J28" s="409">
        <f t="shared" si="27"/>
        <v>1845.7940281836122</v>
      </c>
      <c r="K28" s="410">
        <f t="shared" si="28"/>
        <v>2144.7719520428545</v>
      </c>
      <c r="L28" s="382">
        <f t="shared" si="2"/>
        <v>298.97792385924231</v>
      </c>
      <c r="M28" s="383">
        <f t="shared" si="29"/>
        <v>1604.8253892438966</v>
      </c>
      <c r="N28" s="384">
        <f t="shared" si="4"/>
        <v>539.94656279895798</v>
      </c>
      <c r="O28" s="87"/>
      <c r="P28" s="90"/>
      <c r="Q28" s="2"/>
      <c r="R28" s="177" t="s">
        <v>91</v>
      </c>
      <c r="S28" s="209">
        <f>(+'[7]서부산크라샤(당월)'!$N$59+'[7]부산모래장(당월)'!$Q$47+'[7]부산크라샤(당월)'!$N$59)/1000</f>
        <v>44</v>
      </c>
      <c r="T28" s="141">
        <f>(+'[7]서부산크라샤(당월)'!$O$59+'[7]부산모래장(당월)'!$R$47+'[7]부산크라샤(당월)'!$O$59)/1000</f>
        <v>17.992000000000001</v>
      </c>
      <c r="U28" s="212">
        <f>+T28-S28</f>
        <v>-26.007999999999999</v>
      </c>
      <c r="V28" s="70">
        <f>+'[7]부산모래장(당월)'!$S$86/1000</f>
        <v>17.992000000000001</v>
      </c>
      <c r="W28" s="188">
        <f>+T28-V28</f>
        <v>0</v>
      </c>
      <c r="X28" s="92"/>
      <c r="AA28" s="423">
        <f>365/2.3</f>
        <v>158.69565217391306</v>
      </c>
    </row>
    <row r="29" spans="2:37" ht="21.75" customHeight="1">
      <c r="C29" s="104" t="s">
        <v>8</v>
      </c>
      <c r="D29" s="105"/>
      <c r="E29" s="409">
        <f>SUM(E25:E28)</f>
        <v>2688.6657119305751</v>
      </c>
      <c r="F29" s="410">
        <f>SUM(F25:F28)</f>
        <v>3049.0835429957715</v>
      </c>
      <c r="G29" s="382">
        <f t="shared" si="11"/>
        <v>360.41783106519642</v>
      </c>
      <c r="H29" s="383">
        <f>SUM(H25:H28)</f>
        <v>2440.6863720021615</v>
      </c>
      <c r="I29" s="384">
        <f t="shared" si="12"/>
        <v>608.39717099360996</v>
      </c>
      <c r="J29" s="409">
        <f>SUM(J25:J28)</f>
        <v>2688.6657119305751</v>
      </c>
      <c r="K29" s="410">
        <f>SUM(K25:K28)</f>
        <v>3049.0835429957715</v>
      </c>
      <c r="L29" s="382">
        <f t="shared" si="2"/>
        <v>360.41783106519642</v>
      </c>
      <c r="M29" s="383">
        <f>SUM(M25:M28)</f>
        <v>2440.6863720021615</v>
      </c>
      <c r="N29" s="384">
        <f t="shared" si="4"/>
        <v>608.39717099360996</v>
      </c>
      <c r="O29" s="87"/>
      <c r="P29" s="90"/>
      <c r="Q29" s="816" t="s">
        <v>100</v>
      </c>
      <c r="R29" s="817"/>
      <c r="S29" s="209">
        <f>SUM(S27:S28)</f>
        <v>90.818290804614207</v>
      </c>
      <c r="T29" s="141">
        <f>SUM(T27:T28)</f>
        <v>48.252000000000002</v>
      </c>
      <c r="U29" s="212">
        <f>+T29-S29</f>
        <v>-42.566290804614205</v>
      </c>
      <c r="V29" s="70">
        <f>SUM(V27:V28)</f>
        <v>48.252000000000002</v>
      </c>
      <c r="W29" s="188">
        <f>+T29-V29</f>
        <v>0</v>
      </c>
      <c r="X29" s="92"/>
    </row>
    <row r="30" spans="2:37" ht="21.75" customHeight="1">
      <c r="B30" s="235"/>
      <c r="C30" s="88" t="s">
        <v>7</v>
      </c>
      <c r="D30" s="97" t="s">
        <v>40</v>
      </c>
      <c r="E30" s="404">
        <f>+E20-E25</f>
        <v>742.72508714564947</v>
      </c>
      <c r="F30" s="411">
        <f>+F20-F25</f>
        <v>23.138241000000335</v>
      </c>
      <c r="G30" s="406">
        <f t="shared" si="11"/>
        <v>-719.58684614564913</v>
      </c>
      <c r="H30" s="407">
        <f>+H20-H25</f>
        <v>2324.5892900000035</v>
      </c>
      <c r="I30" s="408">
        <f t="shared" si="12"/>
        <v>-2301.451049000003</v>
      </c>
      <c r="J30" s="404">
        <f>+J20-J25</f>
        <v>742.72508714564947</v>
      </c>
      <c r="K30" s="411">
        <f>+K20-K25</f>
        <v>23.138241000000335</v>
      </c>
      <c r="L30" s="406">
        <f t="shared" si="2"/>
        <v>-719.58684614564913</v>
      </c>
      <c r="M30" s="407">
        <f>+M20-M25</f>
        <v>2324.5892900000035</v>
      </c>
      <c r="N30" s="408">
        <f t="shared" si="4"/>
        <v>-2301.451049000003</v>
      </c>
      <c r="O30" s="87"/>
      <c r="P30" s="90"/>
      <c r="Q30" s="144" t="s">
        <v>113</v>
      </c>
      <c r="X30" s="92"/>
      <c r="Z30" s="235"/>
      <c r="AA30" s="235"/>
    </row>
    <row r="31" spans="2:37" ht="21.75" customHeight="1">
      <c r="B31" s="235"/>
      <c r="C31" s="88"/>
      <c r="D31" s="111" t="s">
        <v>10</v>
      </c>
      <c r="E31" s="199">
        <f>+E30/E10</f>
        <v>3.5680673617897729E-2</v>
      </c>
      <c r="F31" s="205">
        <f>+F30/F10</f>
        <v>1.2872892116359491E-3</v>
      </c>
      <c r="G31" s="202">
        <f t="shared" si="11"/>
        <v>-3.439338440626178E-2</v>
      </c>
      <c r="H31" s="112">
        <f>+H30/H10</f>
        <v>8.3391405521393056E-2</v>
      </c>
      <c r="I31" s="113">
        <f t="shared" si="12"/>
        <v>-8.21041163097571E-2</v>
      </c>
      <c r="J31" s="199">
        <f>+J30/J10</f>
        <v>3.5680673617897729E-2</v>
      </c>
      <c r="K31" s="205">
        <f>+K30/K10</f>
        <v>1.2872892116359491E-3</v>
      </c>
      <c r="L31" s="202">
        <f t="shared" si="2"/>
        <v>-3.439338440626178E-2</v>
      </c>
      <c r="M31" s="112">
        <f>+M30/M10</f>
        <v>8.3391405521393056E-2</v>
      </c>
      <c r="N31" s="113">
        <f t="shared" si="4"/>
        <v>-8.21041163097571E-2</v>
      </c>
      <c r="O31" s="87"/>
      <c r="P31" s="90"/>
      <c r="Q31" s="221" t="s">
        <v>11</v>
      </c>
      <c r="R31" s="222"/>
      <c r="S31" s="223" t="s">
        <v>12</v>
      </c>
      <c r="T31" s="224" t="s">
        <v>13</v>
      </c>
      <c r="U31" s="225" t="s">
        <v>92</v>
      </c>
      <c r="V31" s="224" t="s">
        <v>14</v>
      </c>
      <c r="W31" s="226" t="s">
        <v>93</v>
      </c>
      <c r="X31" s="92"/>
    </row>
    <row r="32" spans="2:37" ht="21.75" customHeight="1">
      <c r="B32" s="235"/>
      <c r="C32" s="88"/>
      <c r="D32" s="93" t="s">
        <v>3</v>
      </c>
      <c r="E32" s="402">
        <f t="shared" ref="E32:F34" si="30">+E21-E26</f>
        <v>167.36131978921958</v>
      </c>
      <c r="F32" s="403">
        <f t="shared" si="30"/>
        <v>1.6972489999990898</v>
      </c>
      <c r="G32" s="379">
        <f>+F32-E32</f>
        <v>-165.66407078922049</v>
      </c>
      <c r="H32" s="380">
        <f>+H21-H26</f>
        <v>75.267211000000756</v>
      </c>
      <c r="I32" s="381">
        <f>+F32-H32</f>
        <v>-73.569962000001667</v>
      </c>
      <c r="J32" s="402">
        <f t="shared" ref="J32:K34" si="31">+J21-J26</f>
        <v>167.36131978921958</v>
      </c>
      <c r="K32" s="403">
        <f t="shared" si="31"/>
        <v>1.6972489999990898</v>
      </c>
      <c r="L32" s="379">
        <f t="shared" si="2"/>
        <v>-165.66407078922049</v>
      </c>
      <c r="M32" s="380">
        <f>+M21-M26</f>
        <v>75.267211000000756</v>
      </c>
      <c r="N32" s="381">
        <f t="shared" si="4"/>
        <v>-73.569962000001667</v>
      </c>
      <c r="O32" s="87"/>
      <c r="P32" s="90"/>
      <c r="Q32" s="818" t="s">
        <v>104</v>
      </c>
      <c r="R32" s="819"/>
      <c r="S32" s="240">
        <f>+'사업장별(당월)'!T33</f>
        <v>72.523221000000007</v>
      </c>
      <c r="T32" s="241">
        <f>+'사업장별(당월)'!U33</f>
        <v>72.305274999999995</v>
      </c>
      <c r="U32" s="242">
        <f>+T32-S32</f>
        <v>-0.21794600000001196</v>
      </c>
      <c r="V32" s="243">
        <f>+'사업장별(당월)'!W33</f>
        <v>71.796579999999992</v>
      </c>
      <c r="W32" s="244">
        <f>+T32-V32</f>
        <v>0.50869500000000301</v>
      </c>
      <c r="X32" s="92"/>
      <c r="Z32" s="235"/>
      <c r="AA32" s="235"/>
    </row>
    <row r="33" spans="2:31" ht="21.75" customHeight="1">
      <c r="B33" s="235"/>
      <c r="C33" s="88"/>
      <c r="D33" s="93" t="s">
        <v>1</v>
      </c>
      <c r="E33" s="402">
        <f t="shared" si="30"/>
        <v>76.977514467638812</v>
      </c>
      <c r="F33" s="403">
        <f t="shared" si="30"/>
        <v>-280.08745596291703</v>
      </c>
      <c r="G33" s="379">
        <f t="shared" si="11"/>
        <v>-357.06497043055583</v>
      </c>
      <c r="H33" s="380">
        <f>+H22-H27</f>
        <v>184.073732241735</v>
      </c>
      <c r="I33" s="381">
        <f t="shared" si="12"/>
        <v>-464.16118820465203</v>
      </c>
      <c r="J33" s="402">
        <f t="shared" si="31"/>
        <v>76.977514467638812</v>
      </c>
      <c r="K33" s="403">
        <f t="shared" si="31"/>
        <v>-280.08745596291703</v>
      </c>
      <c r="L33" s="379">
        <f t="shared" si="2"/>
        <v>-357.06497043055583</v>
      </c>
      <c r="M33" s="380">
        <f>+M22-M27</f>
        <v>184.073732241735</v>
      </c>
      <c r="N33" s="381">
        <f t="shared" si="4"/>
        <v>-464.16118820465203</v>
      </c>
      <c r="O33" s="87"/>
      <c r="P33" s="90"/>
      <c r="Q33" s="820" t="s">
        <v>44</v>
      </c>
      <c r="R33" s="821"/>
      <c r="S33" s="169">
        <f>+'사업장별(당월)'!T34</f>
        <v>63.963999999999999</v>
      </c>
      <c r="T33" s="250">
        <f>+'사업장별(당월)'!U34</f>
        <v>64.600993000000003</v>
      </c>
      <c r="U33" s="170">
        <f>+T33-S33</f>
        <v>0.63699300000000392</v>
      </c>
      <c r="V33" s="251">
        <f>+'사업장별(당월)'!W34</f>
        <v>61.824293999999995</v>
      </c>
      <c r="W33" s="172">
        <f>+T33-V33</f>
        <v>2.7766990000000078</v>
      </c>
      <c r="X33" s="92"/>
      <c r="Z33" s="235"/>
      <c r="AA33" s="235"/>
    </row>
    <row r="34" spans="2:31" ht="21.75" customHeight="1">
      <c r="B34" s="235"/>
      <c r="C34" s="88"/>
      <c r="D34" s="103" t="s">
        <v>4</v>
      </c>
      <c r="E34" s="409">
        <f t="shared" si="30"/>
        <v>-1707.5368071836181</v>
      </c>
      <c r="F34" s="410">
        <f t="shared" si="30"/>
        <v>-2308.7097100428568</v>
      </c>
      <c r="G34" s="382">
        <f t="shared" si="11"/>
        <v>-601.17290285923877</v>
      </c>
      <c r="H34" s="383">
        <f>+H23-H28</f>
        <v>-1468.8616962438978</v>
      </c>
      <c r="I34" s="384">
        <f t="shared" si="12"/>
        <v>-839.84801379895907</v>
      </c>
      <c r="J34" s="409">
        <f t="shared" si="31"/>
        <v>-1707.5368071836181</v>
      </c>
      <c r="K34" s="410">
        <f t="shared" si="31"/>
        <v>-2308.7097100428568</v>
      </c>
      <c r="L34" s="382">
        <f t="shared" si="2"/>
        <v>-601.17290285923877</v>
      </c>
      <c r="M34" s="383">
        <f>+M23-M28</f>
        <v>-1468.8616962438978</v>
      </c>
      <c r="N34" s="384">
        <f t="shared" si="4"/>
        <v>-839.84801379895907</v>
      </c>
      <c r="O34" s="87"/>
      <c r="P34" s="90"/>
      <c r="Q34" s="262" t="s">
        <v>29</v>
      </c>
      <c r="R34" s="263"/>
      <c r="S34" s="257">
        <f>+'사업장별(당월)'!T35</f>
        <v>-1784.7167871836125</v>
      </c>
      <c r="T34" s="258">
        <f>+'사업장별(당월)'!U35</f>
        <v>-1637.1909851328546</v>
      </c>
      <c r="U34" s="259">
        <f>+T34-S34</f>
        <v>147.52580205075787</v>
      </c>
      <c r="V34" s="260">
        <f>+'사업장별(당월)'!W35</f>
        <v>-1549.2991472438964</v>
      </c>
      <c r="W34" s="261">
        <f>+T34-V34</f>
        <v>-87.891837888958207</v>
      </c>
      <c r="X34" s="92"/>
      <c r="Z34" s="235"/>
      <c r="AA34" s="235"/>
    </row>
    <row r="35" spans="2:31" ht="21.75" customHeight="1">
      <c r="B35" s="235"/>
      <c r="C35" s="88" t="s">
        <v>8</v>
      </c>
      <c r="D35" s="108"/>
      <c r="E35" s="402">
        <f>SUM(E30,E32:E34)</f>
        <v>-720.47288578111022</v>
      </c>
      <c r="F35" s="412">
        <f>SUM(F30,F32:F34)</f>
        <v>-2563.9616760057743</v>
      </c>
      <c r="G35" s="379">
        <f t="shared" si="11"/>
        <v>-1843.4887902246642</v>
      </c>
      <c r="H35" s="380">
        <f>SUM(H30,H32:H34)</f>
        <v>1115.0685369978414</v>
      </c>
      <c r="I35" s="381">
        <f t="shared" si="12"/>
        <v>-3679.0302130036157</v>
      </c>
      <c r="J35" s="402">
        <f>SUM(J30,J32:J34)</f>
        <v>-720.47288578111022</v>
      </c>
      <c r="K35" s="412">
        <f>SUM(K30,K32:K34)</f>
        <v>-2563.9616760057743</v>
      </c>
      <c r="L35" s="379">
        <f t="shared" si="2"/>
        <v>-1843.4887902246642</v>
      </c>
      <c r="M35" s="380">
        <f>SUM(M30,M32:M34)</f>
        <v>1115.0685369978414</v>
      </c>
      <c r="N35" s="381">
        <f t="shared" si="4"/>
        <v>-3679.0302130036157</v>
      </c>
      <c r="O35" s="87"/>
      <c r="P35" s="90"/>
      <c r="Q35" s="264" t="s">
        <v>103</v>
      </c>
      <c r="R35" s="265"/>
      <c r="S35" s="252">
        <f>+S36-S32-S33-S34</f>
        <v>-59.307241000002932</v>
      </c>
      <c r="T35" s="253">
        <f>+T36-T32-T33-T34</f>
        <v>-808.42499291000104</v>
      </c>
      <c r="U35" s="254">
        <f>+T35-S35</f>
        <v>-749.11775190999811</v>
      </c>
      <c r="V35" s="255">
        <f>+V36-V32-V33-V34</f>
        <v>-53.183423000001312</v>
      </c>
      <c r="W35" s="256">
        <f>+T35-V35</f>
        <v>-755.24156990999973</v>
      </c>
      <c r="X35" s="92"/>
      <c r="Z35" s="235"/>
      <c r="AA35" s="235"/>
      <c r="AD35" s="86"/>
      <c r="AE35" s="235"/>
    </row>
    <row r="36" spans="2:31" ht="21.75" customHeight="1" thickBot="1">
      <c r="C36" s="114"/>
      <c r="D36" s="115" t="s">
        <v>9</v>
      </c>
      <c r="E36" s="200">
        <f>+E35/E14</f>
        <v>-2.1600721653823717E-2</v>
      </c>
      <c r="F36" s="206">
        <f>+F35/F14</f>
        <v>-9.6123886568885056E-2</v>
      </c>
      <c r="G36" s="203">
        <f t="shared" si="11"/>
        <v>-7.4523164915061335E-2</v>
      </c>
      <c r="H36" s="116">
        <f>+H35/H14</f>
        <v>3.0001091815705414E-2</v>
      </c>
      <c r="I36" s="117">
        <f t="shared" si="12"/>
        <v>-0.12612497838459047</v>
      </c>
      <c r="J36" s="200">
        <f>+J35/J14</f>
        <v>-2.1600721653823717E-2</v>
      </c>
      <c r="K36" s="206">
        <f>+K35/K14</f>
        <v>-9.6123886568885056E-2</v>
      </c>
      <c r="L36" s="203">
        <f t="shared" si="2"/>
        <v>-7.4523164915061335E-2</v>
      </c>
      <c r="M36" s="116">
        <f>+M35/M14</f>
        <v>3.0001091815705414E-2</v>
      </c>
      <c r="N36" s="117">
        <f t="shared" si="4"/>
        <v>-0.12612497838459047</v>
      </c>
      <c r="O36" s="87"/>
      <c r="P36" s="118"/>
      <c r="Q36" s="808" t="s">
        <v>102</v>
      </c>
      <c r="R36" s="809"/>
      <c r="S36" s="245">
        <f>+'사업장별(당월)'!T41</f>
        <v>-1707.5368071836156</v>
      </c>
      <c r="T36" s="246">
        <f>+'사업장별(당월)'!U41</f>
        <v>-2308.7097100428555</v>
      </c>
      <c r="U36" s="247">
        <f>+T36-S36</f>
        <v>-601.17290285923991</v>
      </c>
      <c r="V36" s="248">
        <f>+'사업장별(당월)'!W41</f>
        <v>-1468.8616962438978</v>
      </c>
      <c r="W36" s="249">
        <f>+T36-V36</f>
        <v>-839.84801379895771</v>
      </c>
      <c r="X36" s="119"/>
      <c r="AA36" s="235"/>
    </row>
    <row r="37" spans="2:31" ht="20.100000000000001" customHeight="1" thickTop="1">
      <c r="F37" s="235"/>
    </row>
    <row r="38" spans="2:31">
      <c r="E38" s="86">
        <f>+'[1]1월'!$E$26/1000</f>
        <v>-720.4728857811084</v>
      </c>
      <c r="F38" s="227">
        <f>+'[2]1월'!$F$26/1000</f>
        <v>-2563.9616760057729</v>
      </c>
      <c r="H38" s="227">
        <f>+'[3]1월'!$F$26/1000</f>
        <v>1115.0685369978371</v>
      </c>
      <c r="J38" s="237">
        <f t="shared" ref="J38:K38" si="32">+E38</f>
        <v>-720.4728857811084</v>
      </c>
      <c r="K38" s="237">
        <f t="shared" si="32"/>
        <v>-2563.9616760057729</v>
      </c>
      <c r="L38" s="238"/>
      <c r="M38" s="237">
        <f>+H38</f>
        <v>1115.0685369978371</v>
      </c>
      <c r="N38" s="238"/>
      <c r="O38" s="238"/>
    </row>
    <row r="39" spans="2:31">
      <c r="E39" t="b">
        <f>+E35=E38</f>
        <v>0</v>
      </c>
      <c r="F39" t="b">
        <f>+F35=F38</f>
        <v>1</v>
      </c>
      <c r="H39" t="b">
        <f>+H35=H38</f>
        <v>1</v>
      </c>
      <c r="J39" t="b">
        <f>+J35=J38</f>
        <v>0</v>
      </c>
      <c r="K39" t="b">
        <f>+K35=K38</f>
        <v>1</v>
      </c>
      <c r="M39" t="b">
        <f>+M35=M38</f>
        <v>1</v>
      </c>
    </row>
    <row r="40" spans="2:31">
      <c r="E40" s="239">
        <f>+E35-E38</f>
        <v>-1.8189894035458565E-12</v>
      </c>
      <c r="F40" s="239">
        <f>+F35-F38</f>
        <v>0</v>
      </c>
      <c r="G40" s="236"/>
      <c r="H40" s="239">
        <f>+H35-H38</f>
        <v>4.3200998334214091E-12</v>
      </c>
      <c r="I40" s="236"/>
      <c r="J40" s="239">
        <f>+J35-J38</f>
        <v>-1.8189894035458565E-12</v>
      </c>
      <c r="K40" s="239">
        <f>+K35-K38</f>
        <v>0</v>
      </c>
      <c r="L40" s="236"/>
      <c r="M40" s="239">
        <f>+M35-M38</f>
        <v>4.3200998334214091E-12</v>
      </c>
      <c r="N40" s="236"/>
      <c r="O40" s="86"/>
      <c r="P40" s="86"/>
    </row>
    <row r="42" spans="2:31">
      <c r="E42" s="85"/>
      <c r="F42" s="85"/>
      <c r="G42" s="85"/>
    </row>
  </sheetData>
  <mergeCells count="11">
    <mergeCell ref="Z10:Z13"/>
    <mergeCell ref="AB5:AF5"/>
    <mergeCell ref="AG5:AK5"/>
    <mergeCell ref="Z7:Z9"/>
    <mergeCell ref="Z5:AA6"/>
    <mergeCell ref="Q36:R36"/>
    <mergeCell ref="C5:D6"/>
    <mergeCell ref="P5:X6"/>
    <mergeCell ref="Q29:R29"/>
    <mergeCell ref="Q32:R32"/>
    <mergeCell ref="Q33:R33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1" tint="0.249977111117893"/>
    <pageSetUpPr fitToPage="1"/>
  </sheetPr>
  <dimension ref="A1:AL78"/>
  <sheetViews>
    <sheetView showGridLines="0" showZeros="0" tabSelected="1" view="pageBreakPreview" topLeftCell="F22" zoomScale="85" zoomScaleNormal="85" zoomScaleSheetLayoutView="85" workbookViewId="0">
      <selection activeCell="T43" sqref="T43"/>
    </sheetView>
  </sheetViews>
  <sheetFormatPr defaultRowHeight="16.5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1:36" ht="18" customHeight="1">
      <c r="H1" s="4"/>
      <c r="K1" s="6"/>
      <c r="L1" s="6"/>
      <c r="P1" s="6"/>
      <c r="Q1" s="6"/>
    </row>
    <row r="2" spans="1:36" ht="18" customHeight="1">
      <c r="H2" s="7"/>
      <c r="AD2" s="5"/>
      <c r="AG2" s="5"/>
    </row>
    <row r="3" spans="1:36" ht="26.25">
      <c r="H3" s="4" t="s">
        <v>139</v>
      </c>
      <c r="AD3" s="5"/>
      <c r="AG3" s="5"/>
    </row>
    <row r="4" spans="1:36" ht="18" customHeight="1">
      <c r="H4" s="7"/>
      <c r="AD4" s="5"/>
      <c r="AG4" s="5" t="s">
        <v>77</v>
      </c>
    </row>
    <row r="5" spans="1:36" s="8" customFormat="1" ht="19.5" customHeight="1">
      <c r="G5" s="416"/>
      <c r="H5" s="831" t="s">
        <v>35</v>
      </c>
      <c r="I5" s="832"/>
      <c r="J5" s="158" t="s">
        <v>51</v>
      </c>
      <c r="K5" s="159"/>
      <c r="L5" s="159"/>
      <c r="M5" s="159"/>
      <c r="N5" s="160"/>
      <c r="O5" s="158" t="s">
        <v>52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6" s="8" customFormat="1" ht="19.5" customHeight="1">
      <c r="A6" s="8" t="s">
        <v>140</v>
      </c>
      <c r="G6" s="416"/>
      <c r="H6" s="833"/>
      <c r="I6" s="834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6" s="8" customFormat="1" ht="19.5" customHeight="1">
      <c r="B7" s="8" t="s">
        <v>18</v>
      </c>
      <c r="G7" s="417" t="str">
        <f>+I7</f>
        <v>안양</v>
      </c>
      <c r="H7" s="72" t="s">
        <v>40</v>
      </c>
      <c r="I7" s="73" t="s">
        <v>18</v>
      </c>
      <c r="J7" s="35">
        <f>+IFERROR(HLOOKUP($B7,'[1]1월'!$D$6:$BN$259,2,),)/1000</f>
        <v>30</v>
      </c>
      <c r="K7" s="36">
        <f>+IFERROR(HLOOKUP($B7,'[2]1월'!$F$6:$CP$99,2,),)/1000</f>
        <v>27.196999999999999</v>
      </c>
      <c r="L7" s="37">
        <f t="shared" ref="L7:L26" si="0">+K7-J7</f>
        <v>-2.8030000000000008</v>
      </c>
      <c r="M7" s="38">
        <f>+IFERROR(HLOOKUP($B7,'[3]1월'!$F$6:$CC$57,2,),)/1000</f>
        <v>45.761000000000003</v>
      </c>
      <c r="N7" s="39">
        <f>+K7-M7</f>
        <v>-18.564000000000004</v>
      </c>
      <c r="O7" s="35">
        <f>+IFERROR(HLOOKUP($B7,'[1]1월'!$D$6:$BN$259,3,),)/1000</f>
        <v>2946.5739299999991</v>
      </c>
      <c r="P7" s="36">
        <f>+IFERROR(HLOOKUP($B7,'[2]1월'!$F$6:$CP$99,3,),)/1000</f>
        <v>2706.270035</v>
      </c>
      <c r="Q7" s="37">
        <f>+P7-O7</f>
        <v>-240.3038949999991</v>
      </c>
      <c r="R7" s="38">
        <f>+IFERROR(HLOOKUP($B7,'[3]1월'!$F$6:$CC$57,3,),)/1000</f>
        <v>4371.1989000000003</v>
      </c>
      <c r="S7" s="39">
        <f>+P7-R7</f>
        <v>-1664.9288650000003</v>
      </c>
      <c r="T7" s="35">
        <f>+IFERROR(HLOOKUP($B7,'[1]1월'!$D$6:$BN$259,16,),)/1000</f>
        <v>154.13646743029472</v>
      </c>
      <c r="U7" s="36">
        <f>+IFERROR(HLOOKUP($B7,'[2]1월'!$F$6:$CP$99,16,),)/1000</f>
        <v>88.057685000000447</v>
      </c>
      <c r="V7" s="40">
        <f>+U7-T7</f>
        <v>-66.078782430294268</v>
      </c>
      <c r="W7" s="41">
        <f>+IFERROR(HLOOKUP($B7,'[3]1월'!$F$6:$CC$57,16,),)/1000</f>
        <v>337.22639400000014</v>
      </c>
      <c r="X7" s="39">
        <f>+U7-W7</f>
        <v>-249.16870899999969</v>
      </c>
      <c r="Y7" s="35">
        <f>+[4]안양!$Q$85</f>
        <v>98219.130999999979</v>
      </c>
      <c r="Z7" s="36">
        <f>+[4]안양!$R$85</f>
        <v>99506.196823179038</v>
      </c>
      <c r="AA7" s="42">
        <f>+[5]안양!$Q$85</f>
        <v>95522.364021765272</v>
      </c>
      <c r="AB7" s="43">
        <f>+[4]안양!$Q$89</f>
        <v>82566.624014714194</v>
      </c>
      <c r="AC7" s="36">
        <f>+[4]안양!$R$89</f>
        <v>84769.104460050745</v>
      </c>
      <c r="AD7" s="44">
        <f>+[5]안양!$Q$89</f>
        <v>81107.602320145059</v>
      </c>
      <c r="AE7" s="43">
        <f>+Y7-AB7</f>
        <v>15652.506985285785</v>
      </c>
      <c r="AF7" s="36">
        <f>+Z7-AC7</f>
        <v>14737.092363128293</v>
      </c>
      <c r="AG7" s="44">
        <f>+AA7-AD7</f>
        <v>14414.761701620213</v>
      </c>
      <c r="AH7" s="17"/>
      <c r="AI7" s="18"/>
    </row>
    <row r="8" spans="1:36" s="8" customFormat="1" ht="19.5" customHeight="1">
      <c r="B8" s="8" t="s">
        <v>19</v>
      </c>
      <c r="G8" s="418" t="str">
        <f t="shared" ref="G8:G26" si="1">+I8</f>
        <v>인천</v>
      </c>
      <c r="H8" s="74" t="s">
        <v>41</v>
      </c>
      <c r="I8" s="75" t="s">
        <v>19</v>
      </c>
      <c r="J8" s="45">
        <f>+IFERROR(HLOOKUP($B8,'[1]1월'!$D$6:$BN$259,2,),)/1000</f>
        <v>25</v>
      </c>
      <c r="K8" s="46">
        <f>+IFERROR(HLOOKUP($B8,'[2]1월'!$F$6:$CP$99,2,),)/1000</f>
        <v>15.904</v>
      </c>
      <c r="L8" s="47">
        <f t="shared" si="0"/>
        <v>-9.0960000000000001</v>
      </c>
      <c r="M8" s="48">
        <f>+IFERROR(HLOOKUP($B8,'[3]1월'!$F$6:$CC$57,2,),)/1000</f>
        <v>28.34</v>
      </c>
      <c r="N8" s="49">
        <f t="shared" ref="N8:N26" si="2">+K8-M8</f>
        <v>-12.436</v>
      </c>
      <c r="O8" s="45">
        <f>+IFERROR(HLOOKUP($B8,'[1]1월'!$D$6:$BN$259,3,),)/1000</f>
        <v>2433.9883684047491</v>
      </c>
      <c r="P8" s="46">
        <f>+IFERROR(HLOOKUP($B8,'[2]1월'!$F$6:$CP$99,3,),)/1000</f>
        <v>1602.281802</v>
      </c>
      <c r="Q8" s="47">
        <f t="shared" ref="Q8:Q26" si="3">+P8-O8</f>
        <v>-831.70656640474908</v>
      </c>
      <c r="R8" s="48">
        <f>+IFERROR(HLOOKUP($B8,'[3]1월'!$F$6:$CC$57,3,),)/1000</f>
        <v>2766.8113280000002</v>
      </c>
      <c r="S8" s="49">
        <f t="shared" ref="S8:S26" si="4">+P8-R8</f>
        <v>-1164.5295260000003</v>
      </c>
      <c r="T8" s="45">
        <f>+IFERROR(HLOOKUP($B8,'[1]1월'!$D$6:$BN$259,16,),)/1000</f>
        <v>18.630676111497021</v>
      </c>
      <c r="U8" s="46">
        <f>+IFERROR(HLOOKUP($B8,'[2]1월'!$F$6:$CP$99,16,),)/1000</f>
        <v>-127.14974199999995</v>
      </c>
      <c r="V8" s="47">
        <f t="shared" ref="V8:V26" si="5">+U8-T8</f>
        <v>-145.78041811149697</v>
      </c>
      <c r="W8" s="48">
        <f>+IFERROR(HLOOKUP($B8,'[3]1월'!$F$6:$CC$57,16,),)/1000</f>
        <v>102.9246220000005</v>
      </c>
      <c r="X8" s="49">
        <f t="shared" ref="X8:X26" si="6">+U8-W8</f>
        <v>-230.07436400000046</v>
      </c>
      <c r="Y8" s="45">
        <f>+[4]인천!$Q$85</f>
        <v>97359.534736189962</v>
      </c>
      <c r="Z8" s="46">
        <f>+[4]인천!$R$85</f>
        <v>100747.09519617706</v>
      </c>
      <c r="AA8" s="50">
        <f>+[5]인천!$Q$85</f>
        <v>97629.192942836991</v>
      </c>
      <c r="AB8" s="51">
        <f>+[4]인천!$Q$89</f>
        <v>83665.024721053094</v>
      </c>
      <c r="AC8" s="46">
        <f>+[4]인천!$R$89</f>
        <v>88700.836574654953</v>
      </c>
      <c r="AD8" s="52">
        <f>+[5]인천!$Q$89</f>
        <v>84063.445177450078</v>
      </c>
      <c r="AE8" s="51">
        <f t="shared" ref="AE8:AE27" si="7">+Y8-AB8</f>
        <v>13694.510015136868</v>
      </c>
      <c r="AF8" s="46">
        <f t="shared" ref="AF8:AF27" si="8">+Z8-AC8</f>
        <v>12046.258621522109</v>
      </c>
      <c r="AG8" s="52">
        <f t="shared" ref="AG8:AG27" si="9">+AA8-AD8</f>
        <v>13565.747765386914</v>
      </c>
      <c r="AH8" s="17"/>
      <c r="AI8" s="18"/>
      <c r="AJ8" s="84"/>
    </row>
    <row r="9" spans="1:36" s="8" customFormat="1" ht="19.5" customHeight="1">
      <c r="B9" s="8" t="s">
        <v>20</v>
      </c>
      <c r="G9" s="418" t="str">
        <f t="shared" si="1"/>
        <v>파주</v>
      </c>
      <c r="H9" s="74"/>
      <c r="I9" s="75" t="s">
        <v>20</v>
      </c>
      <c r="J9" s="45">
        <f>+IFERROR(HLOOKUP($B9,'[1]1월'!$D$6:$BN$259,2,),)/1000</f>
        <v>14</v>
      </c>
      <c r="K9" s="46">
        <f>+IFERROR(HLOOKUP($B9,'[2]1월'!$F$6:$CP$99,2,),)/1000</f>
        <v>8.4429999999999996</v>
      </c>
      <c r="L9" s="47">
        <f t="shared" si="0"/>
        <v>-5.5570000000000004</v>
      </c>
      <c r="M9" s="48">
        <f>+IFERROR(HLOOKUP($B9,'[3]1월'!$F$6:$CC$57,2,),)/1000</f>
        <v>22.882000000000001</v>
      </c>
      <c r="N9" s="49">
        <f t="shared" si="2"/>
        <v>-14.439000000000002</v>
      </c>
      <c r="O9" s="45">
        <f>+IFERROR(HLOOKUP($B9,'[1]1월'!$D$6:$BN$259,3,),)/1000</f>
        <v>1347.7288414</v>
      </c>
      <c r="P9" s="46">
        <f>+IFERROR(HLOOKUP($B9,'[2]1월'!$F$6:$CP$99,3,),)/1000</f>
        <v>801.17180000000008</v>
      </c>
      <c r="Q9" s="47">
        <f t="shared" si="3"/>
        <v>-546.55704139999989</v>
      </c>
      <c r="R9" s="48">
        <f>+IFERROR(HLOOKUP($B9,'[3]1월'!$F$6:$CC$57,3,),)/1000</f>
        <v>2301.326928</v>
      </c>
      <c r="S9" s="49">
        <f t="shared" si="4"/>
        <v>-1500.1551279999999</v>
      </c>
      <c r="T9" s="45">
        <f>+IFERROR(HLOOKUP($B9,'[1]1월'!$D$6:$BN$259,16,),)/1000</f>
        <v>-13.542758386734153</v>
      </c>
      <c r="U9" s="46">
        <f>+IFERROR(HLOOKUP($B9,'[2]1월'!$F$6:$CP$99,16,),)/1000</f>
        <v>-106.54514699999989</v>
      </c>
      <c r="V9" s="47">
        <f t="shared" si="5"/>
        <v>-93.002388613265737</v>
      </c>
      <c r="W9" s="48">
        <f>+IFERROR(HLOOKUP($B9,'[3]1월'!$F$6:$CC$57,16,),)/1000</f>
        <v>116.27631100000002</v>
      </c>
      <c r="X9" s="49">
        <f t="shared" si="6"/>
        <v>-222.82145799999989</v>
      </c>
      <c r="Y9" s="45">
        <f>+[4]파주!$Q$85</f>
        <v>96266.345814285713</v>
      </c>
      <c r="Z9" s="46">
        <f>+[4]파주!$R$85</f>
        <v>94891.839393580478</v>
      </c>
      <c r="AA9" s="50">
        <f>+[5]파주!$Q$85</f>
        <v>100573.67922384407</v>
      </c>
      <c r="AB9" s="51">
        <f>+[4]파주!$Q$89</f>
        <v>79356.81976663784</v>
      </c>
      <c r="AC9" s="46">
        <f>+[4]파주!$R$89</f>
        <v>79812.611314948517</v>
      </c>
      <c r="AD9" s="52">
        <f>+[5]파주!$Q$89</f>
        <v>84086.773402674589</v>
      </c>
      <c r="AE9" s="51">
        <f t="shared" si="7"/>
        <v>16909.526047647872</v>
      </c>
      <c r="AF9" s="46">
        <f t="shared" si="8"/>
        <v>15079.228078631961</v>
      </c>
      <c r="AG9" s="52">
        <f t="shared" si="9"/>
        <v>16486.905821169479</v>
      </c>
      <c r="AH9" s="17"/>
      <c r="AI9" s="18"/>
      <c r="AJ9" s="84"/>
    </row>
    <row r="10" spans="1:36" s="8" customFormat="1" ht="19.5" customHeight="1">
      <c r="B10" s="8" t="s">
        <v>110</v>
      </c>
      <c r="G10" s="418" t="str">
        <f t="shared" si="1"/>
        <v>김포</v>
      </c>
      <c r="H10" s="74"/>
      <c r="I10" s="75" t="s">
        <v>108</v>
      </c>
      <c r="J10" s="45">
        <f>+IFERROR(HLOOKUP($B10,'[1]1월'!$D$6:$BN$259,2,),)/1000</f>
        <v>7</v>
      </c>
      <c r="K10" s="46">
        <f>+IFERROR(HLOOKUP($B10,'[2]1월'!$F$6:$CP$99,2,),)/1000</f>
        <v>5.3845000000000001</v>
      </c>
      <c r="L10" s="47">
        <f t="shared" si="0"/>
        <v>-1.6154999999999999</v>
      </c>
      <c r="M10" s="48">
        <f>+IFERROR(HLOOKUP($B10,'[3]1월'!$F$6:$CC$57,2,),)/1000</f>
        <v>5.2809999999999997</v>
      </c>
      <c r="N10" s="49">
        <f t="shared" si="2"/>
        <v>0.10350000000000037</v>
      </c>
      <c r="O10" s="45">
        <f>+IFERROR(HLOOKUP($B10,'[1]1월'!$D$6:$BN$259,3,),)/1000</f>
        <v>680.68979999999999</v>
      </c>
      <c r="P10" s="46">
        <f>+IFERROR(HLOOKUP($B10,'[2]1월'!$F$6:$CP$99,3,),)/1000</f>
        <v>526.20576599999993</v>
      </c>
      <c r="Q10" s="47">
        <f t="shared" si="3"/>
        <v>-154.48403400000007</v>
      </c>
      <c r="R10" s="48">
        <f>+IFERROR(HLOOKUP($B10,'[3]1월'!$F$6:$CC$57,3,),)/1000</f>
        <v>486.84360000000004</v>
      </c>
      <c r="S10" s="49">
        <f t="shared" si="4"/>
        <v>39.362165999999888</v>
      </c>
      <c r="T10" s="45">
        <f>+IFERROR(HLOOKUP($B10,'[1]1월'!$D$6:$BN$259,16,),)/1000</f>
        <v>-34.423406134919276</v>
      </c>
      <c r="U10" s="46">
        <f>+IFERROR(HLOOKUP($B10,'[2]1월'!$F$6:$CP$99,16,),)/1000</f>
        <v>-107.3368960000001</v>
      </c>
      <c r="V10" s="47">
        <f t="shared" si="5"/>
        <v>-72.91348986508082</v>
      </c>
      <c r="W10" s="48">
        <f>+IFERROR(HLOOKUP($B10,'[3]1월'!$F$6:$CC$57,16,),)/1000</f>
        <v>-70.351561999999973</v>
      </c>
      <c r="X10" s="49">
        <f t="shared" si="6"/>
        <v>-36.985334000000123</v>
      </c>
      <c r="Y10" s="45">
        <f>+[4]김포!$Q$85</f>
        <v>97241.400000000009</v>
      </c>
      <c r="Z10" s="46">
        <f>+[4]김포!$R$85</f>
        <v>97726.022100473565</v>
      </c>
      <c r="AA10" s="50">
        <f>+[5]김포!$Q$85</f>
        <v>92187.767468282531</v>
      </c>
      <c r="AB10" s="51">
        <f>+[4]김포!$Q$89</f>
        <v>77127.92809863927</v>
      </c>
      <c r="AC10" s="46">
        <f>+[4]김포!$R$89</f>
        <v>86838.29500602241</v>
      </c>
      <c r="AD10" s="52">
        <f>+[5]김포!$Q$89</f>
        <v>75942.492159455884</v>
      </c>
      <c r="AE10" s="51">
        <f t="shared" si="7"/>
        <v>20113.471901360739</v>
      </c>
      <c r="AF10" s="46">
        <f t="shared" si="8"/>
        <v>10887.727094451155</v>
      </c>
      <c r="AG10" s="52">
        <f t="shared" si="9"/>
        <v>16245.275308826647</v>
      </c>
      <c r="AH10" s="17"/>
      <c r="AI10" s="18"/>
      <c r="AJ10" s="84"/>
    </row>
    <row r="11" spans="1:36" s="8" customFormat="1" ht="19.5" customHeight="1">
      <c r="B11" s="8" t="s">
        <v>21</v>
      </c>
      <c r="G11" s="416" t="str">
        <f t="shared" si="1"/>
        <v>부산</v>
      </c>
      <c r="H11" s="74"/>
      <c r="I11" s="76" t="s">
        <v>21</v>
      </c>
      <c r="J11" s="62">
        <f>+IFERROR(HLOOKUP($B11,'[1]1월'!$D$6:$BN$259,2,),)/1000</f>
        <v>17</v>
      </c>
      <c r="K11" s="63">
        <f>+IFERROR(HLOOKUP($B11,'[2]1월'!$F$6:$CP$99,2,),)/1000</f>
        <v>13.731</v>
      </c>
      <c r="L11" s="64">
        <f t="shared" si="0"/>
        <v>-3.2690000000000001</v>
      </c>
      <c r="M11" s="65">
        <f>+IFERROR(HLOOKUP($B11,'[3]1월'!$F$6:$CC$57,2,),)/1000</f>
        <v>23.815000000000001</v>
      </c>
      <c r="N11" s="66">
        <f t="shared" si="2"/>
        <v>-10.084000000000001</v>
      </c>
      <c r="O11" s="62">
        <f>+IFERROR(HLOOKUP($B11,'[1]1월'!$D$6:$BN$259,3,),)/1000</f>
        <v>1830.9043071799999</v>
      </c>
      <c r="P11" s="63">
        <f>+IFERROR(HLOOKUP($B11,'[2]1월'!$F$6:$CP$99,3,),)/1000</f>
        <v>1446.2366000000002</v>
      </c>
      <c r="Q11" s="64">
        <f t="shared" si="3"/>
        <v>-384.66770717999975</v>
      </c>
      <c r="R11" s="65">
        <f>+IFERROR(HLOOKUP($B11,'[3]1월'!$F$6:$CC$57,3,),)/1000</f>
        <v>2518.1608659999997</v>
      </c>
      <c r="S11" s="66">
        <f t="shared" si="4"/>
        <v>-1071.9242659999995</v>
      </c>
      <c r="T11" s="62">
        <f>+IFERROR(HLOOKUP($B11,'[1]1월'!$D$6:$BN$259,16,),)/1000</f>
        <v>91.66857613622939</v>
      </c>
      <c r="U11" s="63">
        <f>+IFERROR(HLOOKUP($B11,'[2]1월'!$F$6:$CP$99,16,),)/1000</f>
        <v>26.931239000000105</v>
      </c>
      <c r="V11" s="64">
        <f t="shared" si="5"/>
        <v>-64.737337136229286</v>
      </c>
      <c r="W11" s="65">
        <f>+IFERROR(HLOOKUP($B11,'[3]1월'!$F$6:$CC$57,16,),)/1000</f>
        <v>298.81115099999994</v>
      </c>
      <c r="X11" s="66">
        <f t="shared" si="6"/>
        <v>-271.87991199999982</v>
      </c>
      <c r="Y11" s="62">
        <f>+[4]부산!$Q$85</f>
        <v>107700.25336352941</v>
      </c>
      <c r="Z11" s="63">
        <f>+[4]부산!$R$85</f>
        <v>105326.38555094313</v>
      </c>
      <c r="AA11" s="67">
        <f>+[5]부산!$Q$85</f>
        <v>105738.43653159773</v>
      </c>
      <c r="AB11" s="68">
        <f>+[4]부산!$Q$89</f>
        <v>84823.952051936794</v>
      </c>
      <c r="AC11" s="63">
        <f>+[4]부산!$R$89</f>
        <v>84695.366347409654</v>
      </c>
      <c r="AD11" s="69">
        <f>+[5]부산!$Q$89</f>
        <v>82993.734485072127</v>
      </c>
      <c r="AE11" s="68">
        <f t="shared" si="7"/>
        <v>22876.301311592615</v>
      </c>
      <c r="AF11" s="63">
        <f t="shared" si="8"/>
        <v>20631.019203533477</v>
      </c>
      <c r="AG11" s="69">
        <f t="shared" si="9"/>
        <v>22744.702046525606</v>
      </c>
      <c r="AH11" s="17"/>
      <c r="AI11" s="18"/>
      <c r="AJ11" s="84"/>
    </row>
    <row r="12" spans="1:36" s="8" customFormat="1" ht="19.5" customHeight="1">
      <c r="B12" s="8" t="s">
        <v>22</v>
      </c>
      <c r="G12" s="416" t="str">
        <f t="shared" si="1"/>
        <v>서부산</v>
      </c>
      <c r="H12" s="74"/>
      <c r="I12" s="75" t="s">
        <v>22</v>
      </c>
      <c r="J12" s="45">
        <f>+IFERROR(HLOOKUP($B12,'[1]1월'!$D$6:$BN$259,2,),)/1000</f>
        <v>15</v>
      </c>
      <c r="K12" s="46">
        <f>+IFERROR(HLOOKUP($B12,'[2]1월'!$F$6:$CP$99,2,),)/1000</f>
        <v>12.446</v>
      </c>
      <c r="L12" s="47">
        <f t="shared" si="0"/>
        <v>-2.5540000000000003</v>
      </c>
      <c r="M12" s="48">
        <f>+IFERROR(HLOOKUP($B12,'[3]1월'!$F$6:$CC$57,2,),)/1000</f>
        <v>23.91</v>
      </c>
      <c r="N12" s="49">
        <f t="shared" si="2"/>
        <v>-11.464</v>
      </c>
      <c r="O12" s="45">
        <f>+IFERROR(HLOOKUP($B12,'[1]1월'!$D$6:$BN$259,3,),)/1000</f>
        <v>1489.5025399999997</v>
      </c>
      <c r="P12" s="46">
        <f>+IFERROR(HLOOKUP($B12,'[2]1월'!$F$6:$CP$99,3,),)/1000</f>
        <v>1219.8291999999999</v>
      </c>
      <c r="Q12" s="47">
        <f t="shared" si="3"/>
        <v>-269.67333999999983</v>
      </c>
      <c r="R12" s="48">
        <f>+IFERROR(HLOOKUP($B12,'[3]1월'!$F$6:$CC$57,3,),)/1000</f>
        <v>2338.4863</v>
      </c>
      <c r="S12" s="49">
        <f t="shared" si="4"/>
        <v>-1118.6571000000001</v>
      </c>
      <c r="T12" s="45">
        <f>+IFERROR(HLOOKUP($B12,'[1]1월'!$D$6:$BN$259,16,),)/1000</f>
        <v>52.179472651721753</v>
      </c>
      <c r="U12" s="46">
        <f>+IFERROR(HLOOKUP($B12,'[2]1월'!$F$6:$CP$99,16,),)/1000</f>
        <v>35.159032999999923</v>
      </c>
      <c r="V12" s="47">
        <f t="shared" si="5"/>
        <v>-17.02043965172183</v>
      </c>
      <c r="W12" s="48">
        <f>+IFERROR(HLOOKUP($B12,'[3]1월'!$F$6:$CC$57,16,),)/1000</f>
        <v>198.08840199999986</v>
      </c>
      <c r="X12" s="49">
        <f t="shared" si="6"/>
        <v>-162.92936899999995</v>
      </c>
      <c r="Y12" s="45">
        <f>+[4]서부산!$Q$85</f>
        <v>99300.16933333331</v>
      </c>
      <c r="Z12" s="46">
        <f>+[4]서부산!$R$85</f>
        <v>98009.738068455714</v>
      </c>
      <c r="AA12" s="50">
        <f>+[5]서부산!$Q$85</f>
        <v>97803.693015474695</v>
      </c>
      <c r="AB12" s="51">
        <f>+[4]서부산!$Q$89</f>
        <v>78874.154215811126</v>
      </c>
      <c r="AC12" s="46">
        <f>+[4]서부산!$R$89</f>
        <v>77288.174797843662</v>
      </c>
      <c r="AD12" s="52">
        <f>+[5]서부산!$Q$89</f>
        <v>79885.068381430363</v>
      </c>
      <c r="AE12" s="51">
        <f t="shared" si="7"/>
        <v>20426.015117522184</v>
      </c>
      <c r="AF12" s="46">
        <f t="shared" si="8"/>
        <v>20721.563270612052</v>
      </c>
      <c r="AG12" s="52">
        <f t="shared" si="9"/>
        <v>17918.624634044332</v>
      </c>
      <c r="AH12" s="17"/>
      <c r="AI12" s="18"/>
      <c r="AJ12" s="84"/>
    </row>
    <row r="13" spans="1:36" s="8" customFormat="1" ht="19.5" customHeight="1">
      <c r="B13" s="8" t="s">
        <v>23</v>
      </c>
      <c r="G13" s="416" t="str">
        <f t="shared" si="1"/>
        <v>김해</v>
      </c>
      <c r="H13" s="74"/>
      <c r="I13" s="75" t="s">
        <v>23</v>
      </c>
      <c r="J13" s="45">
        <f>+IFERROR(HLOOKUP($B13,'[1]1월'!$D$6:$BN$259,2,),)/1000</f>
        <v>12</v>
      </c>
      <c r="K13" s="46">
        <f>+IFERROR(HLOOKUP($B13,'[2]1월'!$F$6:$CP$99,2,),)/1000</f>
        <v>5.2169999999999996</v>
      </c>
      <c r="L13" s="47">
        <f t="shared" si="0"/>
        <v>-6.7830000000000004</v>
      </c>
      <c r="M13" s="48">
        <f>+IFERROR(HLOOKUP($B13,'[3]1월'!$F$6:$CC$57,2,),)/1000</f>
        <v>12.339</v>
      </c>
      <c r="N13" s="49">
        <f t="shared" si="2"/>
        <v>-7.1220000000000008</v>
      </c>
      <c r="O13" s="45">
        <f>+IFERROR(HLOOKUP($B13,'[1]1월'!$D$6:$BN$259,3,),)/1000</f>
        <v>1155.6032999999998</v>
      </c>
      <c r="P13" s="46">
        <f>+IFERROR(HLOOKUP($B13,'[2]1월'!$F$6:$CP$99,3,),)/1000</f>
        <v>492.65690000000001</v>
      </c>
      <c r="Q13" s="47">
        <f t="shared" si="3"/>
        <v>-662.94639999999981</v>
      </c>
      <c r="R13" s="48">
        <f>+IFERROR(HLOOKUP($B13,'[3]1월'!$F$6:$CC$57,3,),)/1000</f>
        <v>1225.7102</v>
      </c>
      <c r="S13" s="49">
        <f t="shared" si="4"/>
        <v>-733.05330000000004</v>
      </c>
      <c r="T13" s="45">
        <f>+IFERROR(HLOOKUP($B13,'[1]1월'!$D$6:$BN$259,16,),)/1000</f>
        <v>56.902461217642539</v>
      </c>
      <c r="U13" s="46">
        <f>+IFERROR(HLOOKUP($B13,'[2]1월'!$F$6:$CP$99,16,),)/1000</f>
        <v>-64.48772100000005</v>
      </c>
      <c r="V13" s="47">
        <f t="shared" si="5"/>
        <v>-121.39018221764259</v>
      </c>
      <c r="W13" s="48">
        <f>+IFERROR(HLOOKUP($B13,'[3]1월'!$F$6:$CC$57,16,),)/1000</f>
        <v>82.439169000000035</v>
      </c>
      <c r="X13" s="49">
        <f t="shared" si="6"/>
        <v>-146.92689000000007</v>
      </c>
      <c r="Y13" s="45">
        <f>+[4]김해!$Q$85</f>
        <v>96300.27499999998</v>
      </c>
      <c r="Z13" s="46">
        <f>+[4]김해!$R$85</f>
        <v>94432.371857337756</v>
      </c>
      <c r="AA13" s="50">
        <f>+[5]김해!$Q$85</f>
        <v>99339.806927881902</v>
      </c>
      <c r="AB13" s="51">
        <f>+[4]김해!$Q$89</f>
        <v>77158.582398529776</v>
      </c>
      <c r="AC13" s="46">
        <f>+[4]김해!$R$89</f>
        <v>76391.454882089267</v>
      </c>
      <c r="AD13" s="52">
        <f>+[5]김해!$Q$89</f>
        <v>80683.798815608025</v>
      </c>
      <c r="AE13" s="51">
        <f t="shared" si="7"/>
        <v>19141.692601470204</v>
      </c>
      <c r="AF13" s="46">
        <f t="shared" si="8"/>
        <v>18040.916975248489</v>
      </c>
      <c r="AG13" s="52">
        <f t="shared" si="9"/>
        <v>18656.008112273877</v>
      </c>
      <c r="AH13" s="17"/>
      <c r="AI13" s="18"/>
      <c r="AJ13" s="84"/>
    </row>
    <row r="14" spans="1:36" s="8" customFormat="1" ht="19.5" customHeight="1">
      <c r="B14" s="8" t="s">
        <v>24</v>
      </c>
      <c r="G14" s="416" t="str">
        <f t="shared" si="1"/>
        <v>정관</v>
      </c>
      <c r="H14" s="74"/>
      <c r="I14" s="75" t="s">
        <v>24</v>
      </c>
      <c r="J14" s="45">
        <f>+IFERROR(HLOOKUP($B14,'[1]1월'!$D$6:$BN$259,2,),)/1000</f>
        <v>18</v>
      </c>
      <c r="K14" s="46">
        <f>+IFERROR(HLOOKUP($B14,'[2]1월'!$F$6:$CP$99,2,),)/1000</f>
        <v>16.167000000000002</v>
      </c>
      <c r="L14" s="47">
        <f t="shared" si="0"/>
        <v>-1.8329999999999984</v>
      </c>
      <c r="M14" s="48">
        <f>+IFERROR(HLOOKUP($B14,'[3]1월'!$F$6:$CC$57,2,),)/1000</f>
        <v>21.517499999999998</v>
      </c>
      <c r="N14" s="49">
        <f t="shared" si="2"/>
        <v>-5.3504999999999967</v>
      </c>
      <c r="O14" s="45">
        <f>+IFERROR(HLOOKUP($B14,'[1]1월'!$D$6:$BN$259,3,),)/1000</f>
        <v>1835.9942988</v>
      </c>
      <c r="P14" s="46">
        <f>+IFERROR(HLOOKUP($B14,'[2]1월'!$F$6:$CP$99,3,),)/1000</f>
        <v>1665.2893000000001</v>
      </c>
      <c r="Q14" s="47">
        <f t="shared" si="3"/>
        <v>-170.70499879999988</v>
      </c>
      <c r="R14" s="48">
        <f>+IFERROR(HLOOKUP($B14,'[3]1월'!$F$6:$CC$57,3,),)/1000</f>
        <v>2218.10565</v>
      </c>
      <c r="S14" s="49">
        <f t="shared" si="4"/>
        <v>-552.81634999999983</v>
      </c>
      <c r="T14" s="45">
        <f>+IFERROR(HLOOKUP($B14,'[1]1월'!$D$6:$BN$259,16,),)/1000</f>
        <v>130.22966713129031</v>
      </c>
      <c r="U14" s="46">
        <f>+IFERROR(HLOOKUP($B14,'[2]1월'!$F$6:$CP$99,16,),)/1000</f>
        <v>94.408489999999901</v>
      </c>
      <c r="V14" s="47">
        <f t="shared" si="5"/>
        <v>-35.821177131290412</v>
      </c>
      <c r="W14" s="48">
        <f>+IFERROR(HLOOKUP($B14,'[3]1월'!$F$6:$CC$57,16,),)/1000</f>
        <v>256.96584100000001</v>
      </c>
      <c r="X14" s="49">
        <f t="shared" si="6"/>
        <v>-162.5573510000001</v>
      </c>
      <c r="Y14" s="45">
        <f>+[4]정관!$Q$85</f>
        <v>101999.68326666666</v>
      </c>
      <c r="Z14" s="46">
        <f>+[4]정관!$R$85</f>
        <v>103005.46174305685</v>
      </c>
      <c r="AA14" s="50">
        <f>+[5]정관!$Q$85</f>
        <v>103083.79923318229</v>
      </c>
      <c r="AB14" s="51">
        <f>+[4]정관!$Q$89</f>
        <v>81923.10148159496</v>
      </c>
      <c r="AC14" s="46">
        <f>+[4]정관!$R$89</f>
        <v>85293.934359354709</v>
      </c>
      <c r="AD14" s="52">
        <f>+[5]정관!$Q$89</f>
        <v>81962.525225789985</v>
      </c>
      <c r="AE14" s="51">
        <f t="shared" si="7"/>
        <v>20076.581785071699</v>
      </c>
      <c r="AF14" s="46">
        <f t="shared" si="8"/>
        <v>17711.527383702138</v>
      </c>
      <c r="AG14" s="52">
        <f t="shared" si="9"/>
        <v>21121.274007392305</v>
      </c>
      <c r="AH14" s="17"/>
      <c r="AI14" s="18"/>
      <c r="AJ14" s="84"/>
    </row>
    <row r="15" spans="1:36" s="8" customFormat="1" ht="19.5" customHeight="1">
      <c r="B15" s="8" t="s">
        <v>25</v>
      </c>
      <c r="G15" s="416" t="str">
        <f t="shared" si="1"/>
        <v>양산</v>
      </c>
      <c r="H15" s="74"/>
      <c r="I15" s="75" t="s">
        <v>25</v>
      </c>
      <c r="J15" s="45">
        <f>+IFERROR(HLOOKUP($B15,'[1]1월'!$D$6:$BN$259,2,),)/1000</f>
        <v>10</v>
      </c>
      <c r="K15" s="46">
        <f>+IFERROR(HLOOKUP($B15,'[2]1월'!$F$6:$CP$99,2,),)/1000</f>
        <v>5.8259999999999996</v>
      </c>
      <c r="L15" s="47">
        <f t="shared" si="0"/>
        <v>-4.1740000000000004</v>
      </c>
      <c r="M15" s="48">
        <f>+IFERROR(HLOOKUP($B15,'[3]1월'!$F$6:$CC$57,2,),)/1000</f>
        <v>13.864000000000001</v>
      </c>
      <c r="N15" s="49">
        <f t="shared" si="2"/>
        <v>-8.0380000000000003</v>
      </c>
      <c r="O15" s="45">
        <f>+IFERROR(HLOOKUP($B15,'[1]1월'!$D$6:$BN$259,3,),)/1000</f>
        <v>944.78750000000002</v>
      </c>
      <c r="P15" s="46">
        <f>+IFERROR(HLOOKUP($B15,'[2]1월'!$F$6:$CP$99,3,),)/1000</f>
        <v>539.41390000000001</v>
      </c>
      <c r="Q15" s="47">
        <f t="shared" si="3"/>
        <v>-405.37360000000001</v>
      </c>
      <c r="R15" s="48">
        <f>+IFERROR(HLOOKUP($B15,'[3]1월'!$F$6:$CC$57,3,),)/1000</f>
        <v>1311.9159</v>
      </c>
      <c r="S15" s="49">
        <f t="shared" si="4"/>
        <v>-772.50199999999995</v>
      </c>
      <c r="T15" s="45">
        <f>+IFERROR(HLOOKUP($B15,'[1]1월'!$D$6:$BN$259,16,),)/1000</f>
        <v>40.014409617566109</v>
      </c>
      <c r="U15" s="46">
        <f>+IFERROR(HLOOKUP($B15,'[2]1월'!$F$6:$CP$99,16,),)/1000</f>
        <v>-50.209251999999921</v>
      </c>
      <c r="V15" s="47">
        <f t="shared" si="5"/>
        <v>-90.223661617566023</v>
      </c>
      <c r="W15" s="48">
        <f>+IFERROR(HLOOKUP($B15,'[3]1월'!$F$6:$CC$57,16,),)/1000</f>
        <v>152.26054899999991</v>
      </c>
      <c r="X15" s="49">
        <f t="shared" si="6"/>
        <v>-202.46980099999985</v>
      </c>
      <c r="Y15" s="45">
        <f>+[4]양산!$Q$85</f>
        <v>94478.75</v>
      </c>
      <c r="Z15" s="46">
        <f>+[4]양산!$R$85</f>
        <v>92587.349811191219</v>
      </c>
      <c r="AA15" s="50">
        <f>+[5]양산!$Q$85</f>
        <v>94627.517311021351</v>
      </c>
      <c r="AB15" s="51">
        <f>+[4]양산!$Q$89</f>
        <v>74478.645338243383</v>
      </c>
      <c r="AC15" s="46">
        <f>+[4]양산!$R$89</f>
        <v>75380.246481290756</v>
      </c>
      <c r="AD15" s="52">
        <f>+[5]양산!$Q$89</f>
        <v>73539.583958453557</v>
      </c>
      <c r="AE15" s="51">
        <f t="shared" si="7"/>
        <v>20000.104661756617</v>
      </c>
      <c r="AF15" s="46">
        <f t="shared" si="8"/>
        <v>17207.103329900463</v>
      </c>
      <c r="AG15" s="52">
        <f t="shared" si="9"/>
        <v>21087.933352567794</v>
      </c>
      <c r="AH15" s="17"/>
      <c r="AI15" s="18"/>
      <c r="AJ15" s="84"/>
    </row>
    <row r="16" spans="1:36" s="8" customFormat="1" ht="19.5" customHeight="1">
      <c r="B16" s="8" t="s">
        <v>26</v>
      </c>
      <c r="G16" s="416" t="str">
        <f t="shared" si="1"/>
        <v>창원</v>
      </c>
      <c r="H16" s="74"/>
      <c r="I16" s="75" t="s">
        <v>26</v>
      </c>
      <c r="J16" s="45">
        <f>+IFERROR(HLOOKUP($B16,'[1]1월'!$D$6:$BN$259,2,),)/1000</f>
        <v>7</v>
      </c>
      <c r="K16" s="46">
        <f>+IFERROR(HLOOKUP($B16,'[2]1월'!$F$6:$CP$99,2,),)/1000</f>
        <v>9.07</v>
      </c>
      <c r="L16" s="47">
        <f t="shared" si="0"/>
        <v>2.0700000000000003</v>
      </c>
      <c r="M16" s="48">
        <f>+IFERROR(HLOOKUP($B16,'[3]1월'!$F$6:$CC$57,2,),)/1000</f>
        <v>17.315000000000001</v>
      </c>
      <c r="N16" s="49">
        <f t="shared" si="2"/>
        <v>-8.245000000000001</v>
      </c>
      <c r="O16" s="45">
        <f>+IFERROR(HLOOKUP($B16,'[1]1월'!$D$6:$BN$259,3,),)/1000</f>
        <v>700.00220193600046</v>
      </c>
      <c r="P16" s="46">
        <f>+IFERROR(HLOOKUP($B16,'[2]1월'!$F$6:$CP$99,3,),)/1000</f>
        <v>915.39465000000007</v>
      </c>
      <c r="Q16" s="47">
        <f t="shared" si="3"/>
        <v>215.39244806399961</v>
      </c>
      <c r="R16" s="48">
        <f>+IFERROR(HLOOKUP($B16,'[3]1월'!$F$6:$CC$57,3,),)/1000</f>
        <v>1843.6711</v>
      </c>
      <c r="S16" s="49">
        <f t="shared" si="4"/>
        <v>-928.27644999999995</v>
      </c>
      <c r="T16" s="45">
        <f>+IFERROR(HLOOKUP($B16,'[1]1월'!$D$6:$BN$259,16,),)/1000</f>
        <v>-17.820640148216206</v>
      </c>
      <c r="U16" s="46">
        <f>+IFERROR(HLOOKUP($B16,'[2]1월'!$F$6:$CP$99,16,),)/1000</f>
        <v>7.2091169999999689</v>
      </c>
      <c r="V16" s="47">
        <f t="shared" si="5"/>
        <v>25.029757148216177</v>
      </c>
      <c r="W16" s="48">
        <f>+IFERROR(HLOOKUP($B16,'[3]1월'!$F$6:$CC$57,16,),)/1000</f>
        <v>299.90022700000003</v>
      </c>
      <c r="X16" s="49">
        <f t="shared" si="6"/>
        <v>-292.69111000000004</v>
      </c>
      <c r="Y16" s="45">
        <f>+[4]창원!$Q$85</f>
        <v>100000.31456228578</v>
      </c>
      <c r="Z16" s="46">
        <f>+[4]창원!$R$85</f>
        <v>100925.54024255788</v>
      </c>
      <c r="AA16" s="50">
        <f>+[5]창원!$Q$85</f>
        <v>106478.26162287036</v>
      </c>
      <c r="AB16" s="51">
        <f>+[4]창원!$Q$89</f>
        <v>75787.339842327347</v>
      </c>
      <c r="AC16" s="46">
        <f>+[4]창원!$R$89</f>
        <v>77749.250937155462</v>
      </c>
      <c r="AD16" s="52">
        <f>+[5]창원!$Q$89</f>
        <v>77287.77022971258</v>
      </c>
      <c r="AE16" s="51">
        <f t="shared" si="7"/>
        <v>24212.974719958438</v>
      </c>
      <c r="AF16" s="46">
        <f t="shared" si="8"/>
        <v>23176.289305402417</v>
      </c>
      <c r="AG16" s="52">
        <f t="shared" si="9"/>
        <v>29190.491393157776</v>
      </c>
      <c r="AH16" s="17"/>
      <c r="AI16" s="18"/>
      <c r="AJ16" s="84"/>
    </row>
    <row r="17" spans="2:38" s="8" customFormat="1" ht="19.5" customHeight="1">
      <c r="B17" s="8" t="s">
        <v>78</v>
      </c>
      <c r="G17" s="416" t="str">
        <f t="shared" si="1"/>
        <v>대구</v>
      </c>
      <c r="H17" s="74"/>
      <c r="I17" s="75" t="s">
        <v>70</v>
      </c>
      <c r="J17" s="45">
        <f>+IFERROR(HLOOKUP($B17,'[1]1월'!$D$6:$BN$259,2,),)/1000</f>
        <v>10</v>
      </c>
      <c r="K17" s="46">
        <f>+IFERROR(HLOOKUP($B17,'[2]1월'!$F$6:$CP$99,2,),)/1000</f>
        <v>9.5329999999999995</v>
      </c>
      <c r="L17" s="47">
        <f t="shared" si="0"/>
        <v>-0.46700000000000053</v>
      </c>
      <c r="M17" s="48">
        <f>+IFERROR(HLOOKUP($B17,'[3]1월'!$F$6:$CC$57,2,),)/1000</f>
        <v>14.7545</v>
      </c>
      <c r="N17" s="49">
        <f t="shared" si="2"/>
        <v>-5.2215000000000007</v>
      </c>
      <c r="O17" s="45">
        <f>+IFERROR(HLOOKUP($B17,'[1]1월'!$D$6:$BN$259,3,),)/1000</f>
        <v>974.65893488888889</v>
      </c>
      <c r="P17" s="46">
        <f>+IFERROR(HLOOKUP($B17,'[2]1월'!$F$6:$CP$99,3,),)/1000</f>
        <v>932.07349999999997</v>
      </c>
      <c r="Q17" s="47">
        <f t="shared" si="3"/>
        <v>-42.585434888888926</v>
      </c>
      <c r="R17" s="48">
        <f>+IFERROR(HLOOKUP($B17,'[3]1월'!$F$6:$CC$57,3,),)/1000</f>
        <v>1474.5358999999999</v>
      </c>
      <c r="S17" s="49">
        <f t="shared" si="4"/>
        <v>-542.46239999999989</v>
      </c>
      <c r="T17" s="45">
        <f>+IFERROR(HLOOKUP($B17,'[1]1월'!$D$6:$BN$259,16,),)/1000</f>
        <v>34.36977815609405</v>
      </c>
      <c r="U17" s="46">
        <f>+IFERROR(HLOOKUP($B17,'[2]1월'!$F$6:$CP$99,16,),)/1000</f>
        <v>22.030701999999991</v>
      </c>
      <c r="V17" s="47">
        <f t="shared" si="5"/>
        <v>-12.339076156094059</v>
      </c>
      <c r="W17" s="48">
        <f>+IFERROR(HLOOKUP($B17,'[3]1월'!$F$6:$CC$57,16,),)/1000</f>
        <v>205.45768099999998</v>
      </c>
      <c r="X17" s="49">
        <f t="shared" si="6"/>
        <v>-183.42697899999999</v>
      </c>
      <c r="Y17" s="45">
        <f>+[4]대구!$Q$85</f>
        <v>97465.893488888876</v>
      </c>
      <c r="Z17" s="46">
        <f>+[4]대구!$R$85</f>
        <v>97773.366201615441</v>
      </c>
      <c r="AA17" s="50">
        <f>+[5]대구!$Q$85</f>
        <v>99938.046019858346</v>
      </c>
      <c r="AB17" s="51">
        <f>+[4]대구!$Q$89</f>
        <v>74770.401296299038</v>
      </c>
      <c r="AC17" s="46">
        <f>+[4]대구!$R$89</f>
        <v>77456.301374173927</v>
      </c>
      <c r="AD17" s="52">
        <f>+[5]대구!$Q$89</f>
        <v>74479.859907146965</v>
      </c>
      <c r="AE17" s="51">
        <f t="shared" si="7"/>
        <v>22695.492192589838</v>
      </c>
      <c r="AF17" s="46">
        <f t="shared" si="8"/>
        <v>20317.064827441514</v>
      </c>
      <c r="AG17" s="52">
        <f t="shared" si="9"/>
        <v>25458.186112711381</v>
      </c>
      <c r="AH17" s="17"/>
      <c r="AI17" s="18"/>
      <c r="AJ17" s="84"/>
    </row>
    <row r="18" spans="2:38" s="8" customFormat="1" ht="19.5" customHeight="1">
      <c r="B18" s="8" t="s">
        <v>79</v>
      </c>
      <c r="G18" s="418" t="str">
        <f t="shared" si="1"/>
        <v>울산</v>
      </c>
      <c r="H18" s="74"/>
      <c r="I18" s="77" t="s">
        <v>71</v>
      </c>
      <c r="J18" s="9">
        <f>+IFERROR(HLOOKUP($B18,'[1]1월'!$D$6:$BN$259,2,),)/1000</f>
        <v>8</v>
      </c>
      <c r="K18" s="10">
        <f>+IFERROR(HLOOKUP($B18,'[2]1월'!$F$6:$CP$99,2,),)/1000</f>
        <v>9.1329999999999991</v>
      </c>
      <c r="L18" s="11">
        <f t="shared" si="0"/>
        <v>1.1329999999999991</v>
      </c>
      <c r="M18" s="12">
        <f>+IFERROR(HLOOKUP($B18,'[3]1월'!$F$6:$CC$57,2,),)/1000</f>
        <v>5.383</v>
      </c>
      <c r="N18" s="13">
        <f t="shared" si="2"/>
        <v>3.7499999999999991</v>
      </c>
      <c r="O18" s="9">
        <f>+IFERROR(HLOOKUP($B18,'[1]1월'!$D$6:$BN$259,3,),)/1000</f>
        <v>817.06200000000001</v>
      </c>
      <c r="P18" s="10">
        <f>+IFERROR(HLOOKUP($B18,'[2]1월'!$F$6:$CP$99,3,),)/1000</f>
        <v>978.79190000000006</v>
      </c>
      <c r="Q18" s="11">
        <f t="shared" si="3"/>
        <v>161.72990000000004</v>
      </c>
      <c r="R18" s="12">
        <f>+IFERROR(HLOOKUP($B18,'[3]1월'!$F$6:$CC$57,3,),)/1000</f>
        <v>560.60759999999993</v>
      </c>
      <c r="S18" s="13">
        <f t="shared" si="4"/>
        <v>418.18430000000012</v>
      </c>
      <c r="T18" s="9">
        <f>+IFERROR(HLOOKUP($B18,'[1]1월'!$D$6:$BN$259,16,),)/1000</f>
        <v>-4.3383707759950099</v>
      </c>
      <c r="U18" s="10">
        <f>+IFERROR(HLOOKUP($B18,'[2]1월'!$F$6:$CP$99,16,),)/1000</f>
        <v>57.724488000000029</v>
      </c>
      <c r="V18" s="11">
        <f t="shared" si="5"/>
        <v>62.062858775995039</v>
      </c>
      <c r="W18" s="12">
        <f>+IFERROR(HLOOKUP($B18,'[3]1월'!$F$6:$CC$57,16,),)/1000</f>
        <v>-2.6878350000000046</v>
      </c>
      <c r="X18" s="13">
        <f t="shared" si="6"/>
        <v>60.412323000000036</v>
      </c>
      <c r="Y18" s="9">
        <f>+[4]울산!$Q$85</f>
        <v>102132.75</v>
      </c>
      <c r="Z18" s="10">
        <f>+[4]울산!$R$85</f>
        <v>107170.90769736121</v>
      </c>
      <c r="AA18" s="14">
        <f>+[5]울산!$Q$85</f>
        <v>104144.08322496749</v>
      </c>
      <c r="AB18" s="15">
        <f>+[4]울산!$Q$89</f>
        <v>82654.529951423101</v>
      </c>
      <c r="AC18" s="10">
        <f>+[4]울산!$R$89</f>
        <v>85147.593233329681</v>
      </c>
      <c r="AD18" s="16">
        <f>+[5]울산!$Q$89</f>
        <v>82948.249396919651</v>
      </c>
      <c r="AE18" s="15">
        <f t="shared" si="7"/>
        <v>19478.220048576899</v>
      </c>
      <c r="AF18" s="10">
        <f t="shared" si="8"/>
        <v>22023.314464031529</v>
      </c>
      <c r="AG18" s="16">
        <f t="shared" si="9"/>
        <v>21195.833828047835</v>
      </c>
      <c r="AH18" s="17"/>
      <c r="AI18" s="18"/>
      <c r="AJ18" s="84"/>
    </row>
    <row r="19" spans="2:38" s="8" customFormat="1" ht="19.5" customHeight="1">
      <c r="B19" s="8" t="s">
        <v>76</v>
      </c>
      <c r="G19" s="418" t="str">
        <f t="shared" si="1"/>
        <v>아산</v>
      </c>
      <c r="H19" s="74"/>
      <c r="I19" s="75" t="s">
        <v>27</v>
      </c>
      <c r="J19" s="45">
        <f>+IFERROR(HLOOKUP($B19,'[1]1월'!$D$6:$BN$259,2,),)/1000</f>
        <v>13</v>
      </c>
      <c r="K19" s="46">
        <f>+IFERROR(HLOOKUP($B19,'[2]1월'!$F$6:$CP$99,2,),)/1000</f>
        <v>16.995999999999999</v>
      </c>
      <c r="L19" s="47">
        <f t="shared" si="0"/>
        <v>3.9959999999999987</v>
      </c>
      <c r="M19" s="48">
        <f>+IFERROR(HLOOKUP($B19,'[3]1월'!$F$6:$CC$57,2,),)/1000</f>
        <v>22.998999999999999</v>
      </c>
      <c r="N19" s="49">
        <f t="shared" si="2"/>
        <v>-6.0030000000000001</v>
      </c>
      <c r="O19" s="45">
        <f>+IFERROR(HLOOKUP($B19,'[1]1월'!$D$6:$BN$259,3,),)/1000</f>
        <v>1339</v>
      </c>
      <c r="P19" s="46">
        <f>+IFERROR(HLOOKUP($B19,'[2]1월'!$F$6:$CP$99,3,),)/1000</f>
        <v>1719.2657369999999</v>
      </c>
      <c r="Q19" s="47">
        <f t="shared" si="3"/>
        <v>380.26573699999994</v>
      </c>
      <c r="R19" s="48">
        <f>+IFERROR(HLOOKUP($B19,'[3]1월'!$F$6:$CC$57,3,),)/1000</f>
        <v>2225.2768960000003</v>
      </c>
      <c r="S19" s="49">
        <f t="shared" si="4"/>
        <v>-506.01115900000036</v>
      </c>
      <c r="T19" s="45">
        <f>+IFERROR(HLOOKUP($B19,'[1]1월'!$D$6:$BN$259,16,),)/1000</f>
        <v>29.853228910361672</v>
      </c>
      <c r="U19" s="46">
        <f>+IFERROR(HLOOKUP($B19,'[2]1월'!$F$6:$CP$99,16,),)/1000</f>
        <v>-30.781557000000067</v>
      </c>
      <c r="V19" s="47">
        <f t="shared" si="5"/>
        <v>-60.634785910361742</v>
      </c>
      <c r="W19" s="48">
        <f>+IFERROR(HLOOKUP($B19,'[3]1월'!$F$6:$CC$57,16,),)/1000</f>
        <v>76.583958000000067</v>
      </c>
      <c r="X19" s="49">
        <f t="shared" si="6"/>
        <v>-107.36551500000013</v>
      </c>
      <c r="Y19" s="45">
        <f>+[4]아산!$Q$85</f>
        <v>103000</v>
      </c>
      <c r="Z19" s="46">
        <f>+[4]아산!$R$85</f>
        <v>101157.08031301483</v>
      </c>
      <c r="AA19" s="50">
        <f>+[5]아산!$Q$85</f>
        <v>96755.376146789</v>
      </c>
      <c r="AB19" s="51">
        <f>+[4]아산!$Q$89</f>
        <v>79215.306567939027</v>
      </c>
      <c r="AC19" s="46">
        <f>+[4]아산!$R$89</f>
        <v>88061.244120413932</v>
      </c>
      <c r="AD19" s="52">
        <f>+[5]아산!$Q$89</f>
        <v>82780.118874733686</v>
      </c>
      <c r="AE19" s="51">
        <f t="shared" si="7"/>
        <v>23784.693432060973</v>
      </c>
      <c r="AF19" s="46">
        <f t="shared" si="8"/>
        <v>13095.836192600895</v>
      </c>
      <c r="AG19" s="52">
        <f t="shared" si="9"/>
        <v>13975.257272055314</v>
      </c>
      <c r="AH19" s="17"/>
      <c r="AI19" s="18"/>
      <c r="AJ19" s="84"/>
    </row>
    <row r="20" spans="2:38" s="8" customFormat="1" ht="19.5" customHeight="1">
      <c r="B20" s="8" t="s">
        <v>72</v>
      </c>
      <c r="G20" s="418" t="str">
        <f t="shared" si="1"/>
        <v>전주</v>
      </c>
      <c r="H20" s="74"/>
      <c r="I20" s="75" t="s">
        <v>72</v>
      </c>
      <c r="J20" s="45">
        <f>+IFERROR(HLOOKUP($B20,'[1]1월'!$D$6:$BN$259,2,),)/1000</f>
        <v>7</v>
      </c>
      <c r="K20" s="46">
        <f>+IFERROR(HLOOKUP($B20,'[2]1월'!$F$6:$CP$99,2,),)/1000</f>
        <v>12.05</v>
      </c>
      <c r="L20" s="47">
        <f t="shared" si="0"/>
        <v>5.0500000000000007</v>
      </c>
      <c r="M20" s="48">
        <f>+IFERROR(HLOOKUP($B20,'[3]1월'!$F$6:$CC$57,2,),)/1000</f>
        <v>6.5670000000000002</v>
      </c>
      <c r="N20" s="49">
        <f t="shared" si="2"/>
        <v>5.4830000000000005</v>
      </c>
      <c r="O20" s="45">
        <f>+IFERROR(HLOOKUP($B20,'[1]1월'!$D$6:$BN$259,3,),)/1000</f>
        <v>678.03831999999989</v>
      </c>
      <c r="P20" s="46">
        <f>+IFERROR(HLOOKUP($B20,'[2]1월'!$F$6:$CP$99,3,),)/1000</f>
        <v>1162.357937</v>
      </c>
      <c r="Q20" s="47">
        <f t="shared" si="3"/>
        <v>484.31961700000011</v>
      </c>
      <c r="R20" s="48">
        <f>+IFERROR(HLOOKUP($B20,'[3]1월'!$F$6:$CC$57,3,),)/1000</f>
        <v>648.20873600000004</v>
      </c>
      <c r="S20" s="49">
        <f t="shared" si="4"/>
        <v>514.14920099999995</v>
      </c>
      <c r="T20" s="45">
        <f>+IFERROR(HLOOKUP($B20,'[1]1월'!$D$6:$BN$259,16,),)/1000</f>
        <v>5.6144256794387841</v>
      </c>
      <c r="U20" s="46">
        <f>+IFERROR(HLOOKUP($B20,'[2]1월'!$F$6:$CP$99,16,),)/1000</f>
        <v>103.70416099999986</v>
      </c>
      <c r="V20" s="47">
        <f t="shared" si="5"/>
        <v>98.089735320561076</v>
      </c>
      <c r="W20" s="48">
        <f>+IFERROR(HLOOKUP($B20,'[3]1월'!$F$6:$CC$57,16,),)/1000</f>
        <v>24.564713999999988</v>
      </c>
      <c r="X20" s="49">
        <f t="shared" si="6"/>
        <v>79.139446999999876</v>
      </c>
      <c r="Y20" s="45">
        <f>+[4]전주!$Q$85</f>
        <v>96862.617142857125</v>
      </c>
      <c r="Z20" s="46">
        <f>+[4]전주!$R$85</f>
        <v>96461.239585062227</v>
      </c>
      <c r="AA20" s="50">
        <f>+[5]전주!$Q$85</f>
        <v>98706.979747220961</v>
      </c>
      <c r="AB20" s="51">
        <f>+[4]전주!$Q$89</f>
        <v>73604.145379127775</v>
      </c>
      <c r="AC20" s="46">
        <f>+[4]전주!$R$89</f>
        <v>74948.095921074448</v>
      </c>
      <c r="AD20" s="52">
        <f>+[5]전주!$Q$89</f>
        <v>74181.954012486662</v>
      </c>
      <c r="AE20" s="51">
        <f t="shared" si="7"/>
        <v>23258.471763729351</v>
      </c>
      <c r="AF20" s="46">
        <f t="shared" si="8"/>
        <v>21513.143663987779</v>
      </c>
      <c r="AG20" s="52">
        <f t="shared" si="9"/>
        <v>24525.025734734299</v>
      </c>
      <c r="AH20" s="17"/>
      <c r="AI20" s="18"/>
      <c r="AJ20" s="84"/>
    </row>
    <row r="21" spans="2:38" s="8" customFormat="1" ht="19.5" customHeight="1">
      <c r="B21" s="8" t="s">
        <v>73</v>
      </c>
      <c r="G21" s="418" t="str">
        <f t="shared" si="1"/>
        <v>군산</v>
      </c>
      <c r="H21" s="74"/>
      <c r="I21" s="75" t="s">
        <v>73</v>
      </c>
      <c r="J21" s="45">
        <f>+IFERROR(HLOOKUP($B21,'[1]1월'!$D$6:$BN$259,2,),)/1000</f>
        <v>5</v>
      </c>
      <c r="K21" s="46">
        <f>+IFERROR(HLOOKUP($B21,'[2]1월'!$F$6:$CP$99,2,),)/1000</f>
        <v>2.6255000000000002</v>
      </c>
      <c r="L21" s="47">
        <f t="shared" si="0"/>
        <v>-2.3744999999999998</v>
      </c>
      <c r="M21" s="48">
        <f>+IFERROR(HLOOKUP($B21,'[3]1월'!$F$6:$CC$57,2,),)/1000</f>
        <v>7.3630000000000004</v>
      </c>
      <c r="N21" s="49">
        <f t="shared" si="2"/>
        <v>-4.7375000000000007</v>
      </c>
      <c r="O21" s="45">
        <f>+IFERROR(HLOOKUP($B21,'[1]1월'!$D$6:$BN$259,3,),)/1000</f>
        <v>557.60123999999996</v>
      </c>
      <c r="P21" s="46">
        <f>+IFERROR(HLOOKUP($B21,'[2]1월'!$F$6:$CP$99,3,),)/1000</f>
        <v>293.559777</v>
      </c>
      <c r="Q21" s="47">
        <f t="shared" si="3"/>
        <v>-264.04146299999996</v>
      </c>
      <c r="R21" s="48">
        <f>+IFERROR(HLOOKUP($B21,'[3]1월'!$F$6:$CC$57,3,),)/1000</f>
        <v>752.76157999999998</v>
      </c>
      <c r="S21" s="49">
        <f t="shared" si="4"/>
        <v>-459.20180299999998</v>
      </c>
      <c r="T21" s="45">
        <f>+IFERROR(HLOOKUP($B21,'[1]1월'!$D$6:$BN$259,16,),)/1000</f>
        <v>99.136846083065407</v>
      </c>
      <c r="U21" s="46">
        <f>+IFERROR(HLOOKUP($B21,'[2]1월'!$F$6:$CP$99,16,),)/1000</f>
        <v>10.057200000000011</v>
      </c>
      <c r="V21" s="47">
        <f t="shared" si="5"/>
        <v>-89.079646083065398</v>
      </c>
      <c r="W21" s="48">
        <f>+IFERROR(HLOOKUP($B21,'[3]1월'!$F$6:$CC$57,16,),)/1000</f>
        <v>157.32963699999999</v>
      </c>
      <c r="X21" s="49">
        <f t="shared" si="6"/>
        <v>-147.27243699999997</v>
      </c>
      <c r="Y21" s="45">
        <f>+[4]군산!$Q$85</f>
        <v>111520.24799999999</v>
      </c>
      <c r="Z21" s="46">
        <f>+[4]군산!$R$85</f>
        <v>111810.99866692058</v>
      </c>
      <c r="AA21" s="50">
        <f>+[5]군산!$Q$85</f>
        <v>102235.71641993751</v>
      </c>
      <c r="AB21" s="51">
        <f>+[4]군산!$Q$89</f>
        <v>73867.306183386914</v>
      </c>
      <c r="AC21" s="46">
        <f>+[4]군산!$R$89</f>
        <v>76532.78461245478</v>
      </c>
      <c r="AD21" s="52">
        <f>+[5]군산!$Q$89</f>
        <v>69601.844221105523</v>
      </c>
      <c r="AE21" s="51">
        <f t="shared" si="7"/>
        <v>37652.941816613078</v>
      </c>
      <c r="AF21" s="46">
        <f t="shared" si="8"/>
        <v>35278.214054465803</v>
      </c>
      <c r="AG21" s="52">
        <f t="shared" si="9"/>
        <v>32633.872198831988</v>
      </c>
      <c r="AH21" s="17"/>
      <c r="AI21" s="18"/>
      <c r="AJ21" s="84"/>
    </row>
    <row r="22" spans="2:38" s="8" customFormat="1" ht="19.5" customHeight="1">
      <c r="B22" s="8" t="s">
        <v>74</v>
      </c>
      <c r="G22" s="418" t="str">
        <f t="shared" si="1"/>
        <v>원주</v>
      </c>
      <c r="H22" s="74"/>
      <c r="I22" s="75" t="s">
        <v>74</v>
      </c>
      <c r="J22" s="45">
        <f>+IFERROR(HLOOKUP($B22,'[1]1월'!$D$6:$BN$259,2,),)/1000</f>
        <v>2</v>
      </c>
      <c r="K22" s="46">
        <f>+IFERROR(HLOOKUP($B22,'[2]1월'!$F$6:$CP$99,2,),)/1000</f>
        <v>2.1779999999999999</v>
      </c>
      <c r="L22" s="47">
        <f t="shared" si="0"/>
        <v>0.17799999999999994</v>
      </c>
      <c r="M22" s="48">
        <f>+IFERROR(HLOOKUP($B22,'[3]1월'!$F$6:$CC$57,2,),)/1000</f>
        <v>3.5329999999999999</v>
      </c>
      <c r="N22" s="49">
        <f t="shared" si="2"/>
        <v>-1.355</v>
      </c>
      <c r="O22" s="45">
        <f>+IFERROR(HLOOKUP($B22,'[1]1월'!$D$6:$BN$259,3,),)/1000</f>
        <v>224</v>
      </c>
      <c r="P22" s="46">
        <f>+IFERROR(HLOOKUP($B22,'[2]1월'!$F$6:$CP$99,3,),)/1000</f>
        <v>248.37279999999998</v>
      </c>
      <c r="Q22" s="47">
        <f t="shared" si="3"/>
        <v>24.372799999999984</v>
      </c>
      <c r="R22" s="48">
        <f>+IFERROR(HLOOKUP($B22,'[3]1월'!$F$6:$CC$57,3,),)/1000</f>
        <v>412.27509999999995</v>
      </c>
      <c r="S22" s="49">
        <f t="shared" si="4"/>
        <v>-163.90229999999997</v>
      </c>
      <c r="T22" s="45">
        <f>+IFERROR(HLOOKUP($B22,'[1]1월'!$D$6:$BN$259,16,),)/1000</f>
        <v>-22.56324787847749</v>
      </c>
      <c r="U22" s="46">
        <f>+IFERROR(HLOOKUP($B22,'[2]1월'!$F$6:$CP$99,16,),)/1000</f>
        <v>-4.0297040000000202</v>
      </c>
      <c r="V22" s="47">
        <f t="shared" si="5"/>
        <v>18.53354387847747</v>
      </c>
      <c r="W22" s="48">
        <f>+IFERROR(HLOOKUP($B22,'[3]1월'!$F$6:$CC$57,16,),)/1000</f>
        <v>53.424534000000008</v>
      </c>
      <c r="X22" s="49">
        <f t="shared" si="6"/>
        <v>-57.454238000000032</v>
      </c>
      <c r="Y22" s="45">
        <f>+[4]원주!$Q$85</f>
        <v>112000</v>
      </c>
      <c r="Z22" s="46">
        <f>+[4]원주!$R$85</f>
        <v>114037.09825528007</v>
      </c>
      <c r="AA22" s="50">
        <f>+[5]원주!$Q$85</f>
        <v>116692.64081517122</v>
      </c>
      <c r="AB22" s="51">
        <f>+[4]원주!$Q$89</f>
        <v>76003.432179743249</v>
      </c>
      <c r="AC22" s="46">
        <f>+[4]원주!$R$89</f>
        <v>75778.686868686869</v>
      </c>
      <c r="AD22" s="52">
        <f>+[5]원주!$Q$89</f>
        <v>76321.153410699117</v>
      </c>
      <c r="AE22" s="51">
        <f t="shared" si="7"/>
        <v>35996.567820256751</v>
      </c>
      <c r="AF22" s="46">
        <f t="shared" si="8"/>
        <v>38258.411386593201</v>
      </c>
      <c r="AG22" s="52">
        <f t="shared" si="9"/>
        <v>40371.487404472107</v>
      </c>
      <c r="AH22" s="17"/>
      <c r="AI22" s="18"/>
      <c r="AJ22" s="84"/>
    </row>
    <row r="23" spans="2:38" s="8" customFormat="1" ht="19.5" customHeight="1">
      <c r="B23" s="8" t="s">
        <v>75</v>
      </c>
      <c r="G23" s="416" t="str">
        <f t="shared" si="1"/>
        <v>제주</v>
      </c>
      <c r="H23" s="74"/>
      <c r="I23" s="75" t="s">
        <v>75</v>
      </c>
      <c r="J23" s="45">
        <f>+IFERROR(HLOOKUP($B23,'[1]1월'!$D$6:$BN$259,2,),)/1000</f>
        <v>7</v>
      </c>
      <c r="K23" s="46">
        <f>+IFERROR(HLOOKUP($B23,'[2]1월'!$F$6:$CP$99,2,),)/1000</f>
        <v>5.9785000000000004</v>
      </c>
      <c r="L23" s="47">
        <f t="shared" si="0"/>
        <v>-1.0214999999999996</v>
      </c>
      <c r="M23" s="48">
        <f>+IFERROR(HLOOKUP($B23,'[3]1월'!$F$6:$CC$57,2,),)/1000</f>
        <v>3.2614999999999998</v>
      </c>
      <c r="N23" s="49">
        <f t="shared" si="2"/>
        <v>2.7170000000000005</v>
      </c>
      <c r="O23" s="45">
        <f>+IFERROR(HLOOKUP($B23,'[1]1월'!$D$6:$BN$259,3,),)/1000</f>
        <v>859.75750000000005</v>
      </c>
      <c r="P23" s="46">
        <f>+IFERROR(HLOOKUP($B23,'[2]1월'!$F$6:$CP$99,3,),)/1000</f>
        <v>725.22046799999998</v>
      </c>
      <c r="Q23" s="47">
        <f t="shared" si="3"/>
        <v>-134.53703200000007</v>
      </c>
      <c r="R23" s="48">
        <f>+IFERROR(HLOOKUP($B23,'[3]1월'!$F$6:$CC$57,3,),)/1000</f>
        <v>419.74929900000001</v>
      </c>
      <c r="S23" s="49">
        <f t="shared" si="4"/>
        <v>305.47116899999997</v>
      </c>
      <c r="T23" s="45">
        <f>+IFERROR(HLOOKUP($B23,'[1]1월'!$D$6:$BN$259,16,),)/1000</f>
        <v>122.67750134478325</v>
      </c>
      <c r="U23" s="46">
        <f>+IFERROR(HLOOKUP($B23,'[2]1월'!$F$6:$CP$99,16,),)/1000</f>
        <v>68.396145000000033</v>
      </c>
      <c r="V23" s="47">
        <f t="shared" si="5"/>
        <v>-54.281356344783219</v>
      </c>
      <c r="W23" s="48">
        <f>+IFERROR(HLOOKUP($B23,'[3]1월'!$F$6:$CC$57,16,),)/1000</f>
        <v>35.375496999999989</v>
      </c>
      <c r="X23" s="49">
        <f t="shared" si="6"/>
        <v>33.020648000000044</v>
      </c>
      <c r="Y23" s="45">
        <f>+[4]제주!$Q$85</f>
        <v>122822.5</v>
      </c>
      <c r="Z23" s="46">
        <f>+[4]제주!$R$85</f>
        <v>120069.69472182597</v>
      </c>
      <c r="AA23" s="50">
        <f>+[5]제주!$Q$85</f>
        <v>128698.23670090448</v>
      </c>
      <c r="AB23" s="51">
        <f>+[4]제주!$Q$89</f>
        <v>90529.859116140055</v>
      </c>
      <c r="AC23" s="46">
        <f>+[4]제주!$R$89</f>
        <v>90756.927817403717</v>
      </c>
      <c r="AD23" s="52">
        <f>+[5]제주!$Q$89</f>
        <v>90773.835965046761</v>
      </c>
      <c r="AE23" s="51">
        <f t="shared" si="7"/>
        <v>32292.640883859945</v>
      </c>
      <c r="AF23" s="46">
        <f t="shared" si="8"/>
        <v>29312.766904422257</v>
      </c>
      <c r="AG23" s="52">
        <f t="shared" si="9"/>
        <v>37924.400735857722</v>
      </c>
      <c r="AH23" s="17"/>
      <c r="AI23" s="18"/>
      <c r="AJ23" s="84"/>
    </row>
    <row r="24" spans="2:38" s="8" customFormat="1" ht="19.5" customHeight="1">
      <c r="G24" s="419" t="str">
        <f t="shared" si="1"/>
        <v>수도권</v>
      </c>
      <c r="H24" s="74"/>
      <c r="I24" s="78" t="s">
        <v>42</v>
      </c>
      <c r="J24" s="22">
        <f>SUM(J7:J10)</f>
        <v>76</v>
      </c>
      <c r="K24" s="19">
        <f>SUM(K7:K10)</f>
        <v>56.9285</v>
      </c>
      <c r="L24" s="20">
        <f t="shared" si="0"/>
        <v>-19.0715</v>
      </c>
      <c r="M24" s="24">
        <f>SUM(M7:M10)</f>
        <v>102.26400000000001</v>
      </c>
      <c r="N24" s="21">
        <f t="shared" si="2"/>
        <v>-45.33550000000001</v>
      </c>
      <c r="O24" s="22">
        <f>SUM(O7:O10)</f>
        <v>7408.9809398047473</v>
      </c>
      <c r="P24" s="19">
        <f>SUM(P7:P10)</f>
        <v>5635.9294030000001</v>
      </c>
      <c r="Q24" s="20">
        <f t="shared" si="3"/>
        <v>-1773.0515368047472</v>
      </c>
      <c r="R24" s="24">
        <f>SUM(R7:R10)</f>
        <v>9926.1807560000016</v>
      </c>
      <c r="S24" s="21">
        <f t="shared" si="4"/>
        <v>-4290.2513530000015</v>
      </c>
      <c r="T24" s="22">
        <f>SUM(T7:T10)</f>
        <v>124.8009790201383</v>
      </c>
      <c r="U24" s="19">
        <f>SUM(U7:U10)</f>
        <v>-252.97409999999945</v>
      </c>
      <c r="V24" s="20">
        <f t="shared" si="5"/>
        <v>-377.77507902013775</v>
      </c>
      <c r="W24" s="24">
        <f>SUM(W7:W10)</f>
        <v>486.07576500000073</v>
      </c>
      <c r="X24" s="21">
        <f t="shared" si="6"/>
        <v>-739.04986500000018</v>
      </c>
      <c r="Y24" s="22">
        <f>+[4]수도권!$Q$85</f>
        <v>97486.591313220357</v>
      </c>
      <c r="Z24" s="19">
        <f>+[4]수도권!$R$85</f>
        <v>99000.138823260757</v>
      </c>
      <c r="AA24" s="23">
        <f>+[5]수도권!$Q$85</f>
        <v>97064.272432136422</v>
      </c>
      <c r="AB24" s="28">
        <f>+[4]수도권!$Q$89</f>
        <v>81835.72778804155</v>
      </c>
      <c r="AC24" s="19">
        <f>+[4]수도권!$R$89</f>
        <v>85329.992208134077</v>
      </c>
      <c r="AD24" s="29">
        <f>+[5]수도권!$Q$89</f>
        <v>82325.824173460802</v>
      </c>
      <c r="AE24" s="28">
        <f t="shared" si="7"/>
        <v>15650.863525178807</v>
      </c>
      <c r="AF24" s="19">
        <f t="shared" si="8"/>
        <v>13670.14661512668</v>
      </c>
      <c r="AG24" s="29">
        <f t="shared" si="9"/>
        <v>14738.44825867562</v>
      </c>
      <c r="AH24" s="17"/>
      <c r="AI24" s="18"/>
      <c r="AJ24" s="84"/>
    </row>
    <row r="25" spans="2:38" s="8" customFormat="1" ht="19.5" customHeight="1">
      <c r="G25" s="416" t="str">
        <f t="shared" si="1"/>
        <v>영남권</v>
      </c>
      <c r="H25" s="74"/>
      <c r="I25" s="78" t="s">
        <v>43</v>
      </c>
      <c r="J25" s="22">
        <f>SUM(J11:J18)</f>
        <v>97</v>
      </c>
      <c r="K25" s="19">
        <f>SUM(K11:K18)</f>
        <v>81.12299999999999</v>
      </c>
      <c r="L25" s="20">
        <f t="shared" si="0"/>
        <v>-15.87700000000001</v>
      </c>
      <c r="M25" s="24">
        <f>SUM(M11:M18)</f>
        <v>132.89800000000002</v>
      </c>
      <c r="N25" s="21">
        <f t="shared" si="2"/>
        <v>-51.775000000000034</v>
      </c>
      <c r="O25" s="22">
        <f>SUM(O11:O18)</f>
        <v>9748.5150828048882</v>
      </c>
      <c r="P25" s="19">
        <f>SUM(P11:P18)</f>
        <v>8189.685950000001</v>
      </c>
      <c r="Q25" s="20">
        <f t="shared" si="3"/>
        <v>-1558.8291328048872</v>
      </c>
      <c r="R25" s="24">
        <f>SUM(R11:R18)</f>
        <v>13491.193515999999</v>
      </c>
      <c r="S25" s="21">
        <f t="shared" si="4"/>
        <v>-5301.5075659999984</v>
      </c>
      <c r="T25" s="22">
        <f>SUM(T11:T18)</f>
        <v>383.20535398633291</v>
      </c>
      <c r="U25" s="19">
        <f>SUM(U11:U18)</f>
        <v>128.76609599999995</v>
      </c>
      <c r="V25" s="20">
        <f t="shared" si="5"/>
        <v>-254.43925798633296</v>
      </c>
      <c r="W25" s="24">
        <f>SUM(W11:W18)</f>
        <v>1491.2351849999998</v>
      </c>
      <c r="X25" s="21">
        <f t="shared" si="6"/>
        <v>-1362.4690889999997</v>
      </c>
      <c r="Y25" s="22">
        <f>+[4]영남권!$Q$85</f>
        <v>100500.1554928339</v>
      </c>
      <c r="Z25" s="19">
        <f>+[4]영남권!$R$85</f>
        <v>100960.81481298667</v>
      </c>
      <c r="AA25" s="23">
        <f>+[5]영남권!$Q$85</f>
        <v>101515.92429601311</v>
      </c>
      <c r="AB25" s="28">
        <f>+[4]영남권!$Q$89</f>
        <v>79483.261839425351</v>
      </c>
      <c r="AC25" s="19">
        <f>+[4]영남권!$R$89</f>
        <v>80802.90899944905</v>
      </c>
      <c r="AD25" s="29">
        <f>+[5]영남권!$Q$89</f>
        <v>79377.390849466741</v>
      </c>
      <c r="AE25" s="28">
        <f t="shared" si="7"/>
        <v>21016.893653408551</v>
      </c>
      <c r="AF25" s="19">
        <f t="shared" si="8"/>
        <v>20157.905813537625</v>
      </c>
      <c r="AG25" s="29">
        <f t="shared" si="9"/>
        <v>22138.533446546367</v>
      </c>
      <c r="AH25" s="17"/>
      <c r="AI25" s="18"/>
      <c r="AJ25" s="84"/>
    </row>
    <row r="26" spans="2:38" s="8" customFormat="1" ht="19.5" customHeight="1">
      <c r="G26" s="416" t="str">
        <f t="shared" si="1"/>
        <v>중부권</v>
      </c>
      <c r="H26" s="74"/>
      <c r="I26" s="78" t="s">
        <v>107</v>
      </c>
      <c r="J26" s="22">
        <f>SUM(J19:J23)</f>
        <v>34</v>
      </c>
      <c r="K26" s="19">
        <f>SUM(K19:K23)</f>
        <v>39.828000000000003</v>
      </c>
      <c r="L26" s="20">
        <f t="shared" si="0"/>
        <v>5.828000000000003</v>
      </c>
      <c r="M26" s="24">
        <f>SUM(M19:M23)</f>
        <v>43.723500000000001</v>
      </c>
      <c r="N26" s="21">
        <f t="shared" si="2"/>
        <v>-3.8954999999999984</v>
      </c>
      <c r="O26" s="22">
        <f>SUM(O19:O23)</f>
        <v>3658.3970599999998</v>
      </c>
      <c r="P26" s="19">
        <f>SUM(P19:P23)</f>
        <v>4148.7767189999995</v>
      </c>
      <c r="Q26" s="20">
        <f t="shared" si="3"/>
        <v>490.37965899999972</v>
      </c>
      <c r="R26" s="24">
        <f>SUM(R19:R23)</f>
        <v>4458.2716110000001</v>
      </c>
      <c r="S26" s="21">
        <f t="shared" si="4"/>
        <v>-309.49489200000062</v>
      </c>
      <c r="T26" s="22">
        <f>SUM(T19:T23)</f>
        <v>234.71875413917164</v>
      </c>
      <c r="U26" s="19">
        <f>SUM(U19:U23)</f>
        <v>147.34624499999981</v>
      </c>
      <c r="V26" s="20">
        <f t="shared" si="5"/>
        <v>-87.372509139171825</v>
      </c>
      <c r="W26" s="24">
        <f>SUM(W19:W23)</f>
        <v>347.27834000000007</v>
      </c>
      <c r="X26" s="21">
        <f t="shared" si="6"/>
        <v>-199.93209500000026</v>
      </c>
      <c r="Y26" s="22">
        <f>+[4]중부권!$Q$85</f>
        <v>107599.91352941176</v>
      </c>
      <c r="Z26" s="19">
        <f>+[4]중부권!$R$85</f>
        <v>103685.34203595265</v>
      </c>
      <c r="AA26" s="23">
        <f>+[5]중부권!$Q$85</f>
        <v>101965.1128340595</v>
      </c>
      <c r="AB26" s="28">
        <f>+[4]중부권!$Q$89</f>
        <v>79414.129768426574</v>
      </c>
      <c r="AC26" s="19">
        <f>+[4]중부권!$R$89</f>
        <v>82924.201451534595</v>
      </c>
      <c r="AD26" s="29">
        <f>+[5]중부권!$Q$89</f>
        <v>79343.893466899943</v>
      </c>
      <c r="AE26" s="28">
        <f t="shared" si="7"/>
        <v>28185.783760985185</v>
      </c>
      <c r="AF26" s="19">
        <f t="shared" si="8"/>
        <v>20761.140584418055</v>
      </c>
      <c r="AG26" s="29">
        <f t="shared" si="9"/>
        <v>22621.21936715956</v>
      </c>
      <c r="AH26" s="17"/>
      <c r="AI26" s="18"/>
      <c r="AJ26" s="84"/>
    </row>
    <row r="27" spans="2:38" s="3" customFormat="1" ht="19.5" customHeight="1">
      <c r="B27" s="25"/>
      <c r="G27" s="418">
        <f>+K27/J27</f>
        <v>0.85932125603864729</v>
      </c>
      <c r="H27" s="267" t="s">
        <v>94</v>
      </c>
      <c r="I27" s="268"/>
      <c r="J27" s="269">
        <f>SUM(J24:J26)</f>
        <v>207</v>
      </c>
      <c r="K27" s="270">
        <f>SUM(K24:K26)</f>
        <v>177.87949999999998</v>
      </c>
      <c r="L27" s="271">
        <f t="shared" ref="L27:L32" si="10">+K27-J27</f>
        <v>-29.120500000000021</v>
      </c>
      <c r="M27" s="272">
        <f>SUM(M24:M26)</f>
        <v>278.88550000000004</v>
      </c>
      <c r="N27" s="273">
        <f t="shared" ref="N27:N32" si="11">+K27-M27</f>
        <v>-101.00600000000006</v>
      </c>
      <c r="O27" s="269">
        <f>SUM(O24:O26)</f>
        <v>20815.893082609637</v>
      </c>
      <c r="P27" s="270">
        <f>SUM(P24:P26)</f>
        <v>17974.392072000002</v>
      </c>
      <c r="Q27" s="271">
        <f t="shared" ref="Q27:Q43" si="12">+P27-O27</f>
        <v>-2841.5010106096342</v>
      </c>
      <c r="R27" s="272">
        <f>SUM(R24:R26)</f>
        <v>27875.645883000001</v>
      </c>
      <c r="S27" s="273">
        <f t="shared" ref="S27:S34" si="13">+P27-R27</f>
        <v>-9901.2538109999987</v>
      </c>
      <c r="T27" s="269">
        <f>SUM(T24:T26)</f>
        <v>742.72508714564287</v>
      </c>
      <c r="U27" s="270">
        <f>SUM(U24:U26)</f>
        <v>23.138241000000306</v>
      </c>
      <c r="V27" s="271">
        <f t="shared" ref="V27:V32" si="14">+U27-T27</f>
        <v>-719.58684614564254</v>
      </c>
      <c r="W27" s="272">
        <f>SUM(W24:W26)</f>
        <v>2324.5892900000008</v>
      </c>
      <c r="X27" s="273">
        <f t="shared" ref="X27:X32" si="15">+U27-W27</f>
        <v>-2301.4510490000007</v>
      </c>
      <c r="Y27" s="269">
        <f>+[4]합계!$Q$85</f>
        <v>100559.86996429774</v>
      </c>
      <c r="Z27" s="270">
        <f>+[4]합계!$R$85</f>
        <v>100932.18102189782</v>
      </c>
      <c r="AA27" s="274">
        <f>+[5]합계!$Q$85</f>
        <v>99953.912734626982</v>
      </c>
      <c r="AB27" s="275">
        <f>+[4]합계!$Q$89</f>
        <v>80335.614118076905</v>
      </c>
      <c r="AC27" s="270">
        <f>+[4]합계!$R$89</f>
        <v>82701.342048633815</v>
      </c>
      <c r="AD27" s="276">
        <f>+[5]합계!$Q$89</f>
        <v>80453.280019643586</v>
      </c>
      <c r="AE27" s="275">
        <f t="shared" si="7"/>
        <v>20224.25584622084</v>
      </c>
      <c r="AF27" s="270">
        <f t="shared" si="8"/>
        <v>18230.838973264006</v>
      </c>
      <c r="AG27" s="276">
        <f t="shared" si="9"/>
        <v>19500.632714983396</v>
      </c>
      <c r="AH27" s="26"/>
      <c r="AI27" s="27"/>
      <c r="AJ27" s="84"/>
      <c r="AL27" s="25"/>
    </row>
    <row r="28" spans="2:38" s="8" customFormat="1" ht="19.5" customHeight="1">
      <c r="B28" s="8" t="s">
        <v>114</v>
      </c>
      <c r="E28" s="8" t="s">
        <v>123</v>
      </c>
      <c r="G28" s="416" t="s">
        <v>3</v>
      </c>
      <c r="H28" s="836" t="s">
        <v>48</v>
      </c>
      <c r="I28" s="837"/>
      <c r="J28" s="153">
        <f>+IFERROR(HLOOKUP($B28,'[1]1월'!$D$6:$BN$259,2,),)</f>
        <v>9800</v>
      </c>
      <c r="K28" s="154">
        <f>+IFERROR(HLOOKUP($E28,'[2]1월'!$F$6:$CP$99,2,),)</f>
        <v>8735.5020000000004</v>
      </c>
      <c r="L28" s="155">
        <f>+K28-J28</f>
        <v>-1064.4979999999996</v>
      </c>
      <c r="M28" s="156">
        <f>+IFERROR(HLOOKUP($E28,'[3]1월'!$F$6:$CC$57,2,),)</f>
        <v>6425.0929999999998</v>
      </c>
      <c r="N28" s="157">
        <f>+K28-M28</f>
        <v>2310.4090000000006</v>
      </c>
      <c r="O28" s="153">
        <f>+IFERROR(HLOOKUP($B28,'[1]1월'!$D$6:$BN$259,3,),)/1000</f>
        <v>10731.322812054796</v>
      </c>
      <c r="P28" s="154">
        <f>+IFERROR(HLOOKUP($E28,'[2]1월'!$F$6:$CP$99,3,),)/1000</f>
        <v>7480.1196840000002</v>
      </c>
      <c r="Q28" s="155">
        <f>+P28-O28</f>
        <v>-3251.2031280547953</v>
      </c>
      <c r="R28" s="156">
        <f>+IFERROR(HLOOKUP($E28,'[3]1월'!$F$6:$CC$57,3,),)/1000</f>
        <v>7407.9571670000005</v>
      </c>
      <c r="S28" s="157">
        <f t="shared" si="13"/>
        <v>72.162516999999752</v>
      </c>
      <c r="T28" s="153">
        <f>+IFERROR(HLOOKUP($B28,'[1]1월'!$D$6:$BN$259,16,),)/1000</f>
        <v>167.36131978922066</v>
      </c>
      <c r="U28" s="154">
        <f>+IFERROR(HLOOKUP($E28,'[2]1월'!$F$6:$CP$99,16,),)/1000</f>
        <v>1.6972489999996232</v>
      </c>
      <c r="V28" s="155">
        <f t="shared" si="14"/>
        <v>-165.66407078922103</v>
      </c>
      <c r="W28" s="156">
        <f>+IFERROR(HLOOKUP($E28,'[3]1월'!$F$6:$CC$57,16,),)/1000</f>
        <v>75.267211000000415</v>
      </c>
      <c r="X28" s="157">
        <f t="shared" si="15"/>
        <v>-73.569962000000785</v>
      </c>
      <c r="Y28" s="287" t="s">
        <v>109</v>
      </c>
      <c r="Z28" s="288"/>
      <c r="AA28" s="288"/>
      <c r="AB28" s="288"/>
      <c r="AC28" s="288"/>
      <c r="AD28" s="288"/>
      <c r="AE28" s="288"/>
      <c r="AF28" s="288"/>
      <c r="AG28" s="289"/>
      <c r="AH28" s="17"/>
      <c r="AI28" s="18"/>
    </row>
    <row r="29" spans="2:38" s="8" customFormat="1" ht="19.5" customHeight="1">
      <c r="B29" s="8" t="s">
        <v>115</v>
      </c>
      <c r="C29" s="73" t="s">
        <v>46</v>
      </c>
      <c r="G29" s="417" t="str">
        <f>+I29</f>
        <v>부산모래장</v>
      </c>
      <c r="H29" s="80" t="s">
        <v>45</v>
      </c>
      <c r="I29" s="75" t="s">
        <v>115</v>
      </c>
      <c r="J29" s="55">
        <f>+IFERROR(HLOOKUP($B29,'[1]1월'!$D$6:$BN$259,2,),)/1000</f>
        <v>19.654135222893775</v>
      </c>
      <c r="K29" s="56">
        <f>+IFERROR(HLOOKUP($C29,'[2]1월'!$F$6:$CP$99,2,),)/1000</f>
        <v>20.58</v>
      </c>
      <c r="L29" s="37">
        <f t="shared" si="10"/>
        <v>0.92586477710622361</v>
      </c>
      <c r="M29" s="37">
        <f>+IFERROR(HLOOKUP($C29,'[3]1월'!$F$6:$CC$57,2,),)/1000</f>
        <v>27.204999999999998</v>
      </c>
      <c r="N29" s="57">
        <f t="shared" si="11"/>
        <v>-6.625</v>
      </c>
      <c r="O29" s="55">
        <f>+IFERROR(HLOOKUP($B29,'[1]1월'!$D$6:$BN$259,3,),)/1000</f>
        <v>532.25661229873469</v>
      </c>
      <c r="P29" s="56">
        <f>+IFERROR(HLOOKUP($C29,'[2]1월'!$F$6:$CP$99,3,),)/1000</f>
        <v>571.86800000000005</v>
      </c>
      <c r="Q29" s="37">
        <f t="shared" si="12"/>
        <v>39.611387701265357</v>
      </c>
      <c r="R29" s="37">
        <f>+IFERROR(HLOOKUP($C29,'[3]1월'!$F$6:$CC$57,3,),)/1000</f>
        <v>780.04600000000005</v>
      </c>
      <c r="S29" s="57">
        <f t="shared" si="13"/>
        <v>-208.178</v>
      </c>
      <c r="T29" s="55">
        <f>+IFERROR(HLOOKUP($B29,'[1]1월'!$D$6:$BN$259,21,),)/1000</f>
        <v>5.8105972735514424</v>
      </c>
      <c r="U29" s="56">
        <f>+IFERROR(HLOOKUP($C29,'[2]1월'!$F$6:$CP$99,21,),)/1000</f>
        <v>-2.778545272872234</v>
      </c>
      <c r="V29" s="37">
        <f t="shared" si="14"/>
        <v>-8.5891425464236768</v>
      </c>
      <c r="W29" s="37">
        <f>+IFERROR(HLOOKUP($C29,'[3]1월'!$F$6:$CC$57,21,),)/1000</f>
        <v>57.434467096316673</v>
      </c>
      <c r="X29" s="57">
        <f t="shared" si="15"/>
        <v>-60.21301236918891</v>
      </c>
      <c r="Y29" s="266"/>
      <c r="Z29" s="229"/>
      <c r="AA29" s="229"/>
      <c r="AB29" s="424"/>
      <c r="AC29" s="229"/>
      <c r="AD29" s="229"/>
      <c r="AE29" s="229"/>
      <c r="AF29" s="229"/>
      <c r="AG29" s="50"/>
      <c r="AH29" s="17"/>
      <c r="AI29" s="18"/>
    </row>
    <row r="30" spans="2:38" s="8" customFormat="1" ht="19.5" customHeight="1">
      <c r="B30" s="8" t="s">
        <v>116</v>
      </c>
      <c r="C30" s="75" t="s">
        <v>47</v>
      </c>
      <c r="G30" s="417" t="str">
        <f>+I30</f>
        <v>서부산CR</v>
      </c>
      <c r="H30" s="79"/>
      <c r="I30" s="75" t="s">
        <v>130</v>
      </c>
      <c r="J30" s="53">
        <f>+IFERROR(HLOOKUP($B30,'[1]1월'!$D$6:$BN$259,2,),)/1000</f>
        <v>36.43786021505376</v>
      </c>
      <c r="K30" s="58">
        <f>+IFERROR(HLOOKUP($C30,'[2]1월'!$F$6:$CP$99,2,),)/1000</f>
        <v>1</v>
      </c>
      <c r="L30" s="47">
        <f t="shared" si="10"/>
        <v>-35.43786021505376</v>
      </c>
      <c r="M30" s="47">
        <f>+IFERROR(HLOOKUP($C30,'[3]1월'!$F$6:$CC$57,2,),)/1000</f>
        <v>27.872</v>
      </c>
      <c r="N30" s="59">
        <f t="shared" si="11"/>
        <v>-26.872</v>
      </c>
      <c r="O30" s="53">
        <f>+IFERROR(HLOOKUP($B30,'[1]1월'!$D$6:$BN$259,3,),)/1000</f>
        <v>527.27896344086014</v>
      </c>
      <c r="P30" s="58">
        <f>+IFERROR(HLOOKUP($C30,'[2]1월'!$F$6:$CP$99,3,),)/1000</f>
        <v>11.5</v>
      </c>
      <c r="Q30" s="47">
        <f t="shared" si="12"/>
        <v>-515.77896344086014</v>
      </c>
      <c r="R30" s="47">
        <f>+IFERROR(HLOOKUP($C30,'[3]1월'!$F$6:$CC$57,3,),)/1000</f>
        <v>373.31200000000001</v>
      </c>
      <c r="S30" s="59">
        <f t="shared" si="13"/>
        <v>-361.81200000000001</v>
      </c>
      <c r="T30" s="53">
        <f>+IFERROR(HLOOKUP($B30,'[1]1월'!$D$6:$BN$259,21,),)/1000</f>
        <v>68.851888279494588</v>
      </c>
      <c r="U30" s="58">
        <f>+IFERROR(HLOOKUP($C30,'[2]1월'!$F$6:$CP$99,21,),)/1000</f>
        <v>-119.39960527004489</v>
      </c>
      <c r="V30" s="47">
        <f t="shared" si="14"/>
        <v>-188.25149354953948</v>
      </c>
      <c r="W30" s="47">
        <f>+IFERROR(HLOOKUP($C30,'[3]1월'!$F$6:$CC$57,21,),)/1000</f>
        <v>54.476101695418166</v>
      </c>
      <c r="X30" s="59">
        <f t="shared" si="15"/>
        <v>-173.87570696546305</v>
      </c>
      <c r="Y30" s="266"/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413"/>
      <c r="AK30" s="86"/>
      <c r="AL30" s="86"/>
    </row>
    <row r="31" spans="2:38" s="8" customFormat="1" ht="19.5" customHeight="1">
      <c r="B31" s="8" t="s">
        <v>111</v>
      </c>
      <c r="C31" s="77" t="s">
        <v>111</v>
      </c>
      <c r="G31" s="417" t="str">
        <f>+I31</f>
        <v>부산CR</v>
      </c>
      <c r="H31" s="79"/>
      <c r="I31" s="77" t="s">
        <v>131</v>
      </c>
      <c r="J31" s="53">
        <f>+IFERROR(HLOOKUP($B31,'[1]1월'!$D$6:$BN$259,2,),)/1000</f>
        <v>34.726295366666662</v>
      </c>
      <c r="K31" s="58">
        <f>+IFERROR(HLOOKUP($C31,'[2]1월'!$F$6:$CP$99,2,),)/1000</f>
        <v>26.672000000000001</v>
      </c>
      <c r="L31" s="47">
        <f t="shared" si="10"/>
        <v>-8.0542953666666612</v>
      </c>
      <c r="M31" s="47">
        <f>+IFERROR(HLOOKUP($C31,'[3]1월'!$F$6:$CC$57,2,),)/1000</f>
        <v>29.44</v>
      </c>
      <c r="N31" s="59">
        <f t="shared" si="11"/>
        <v>-2.7680000000000007</v>
      </c>
      <c r="O31" s="53">
        <f>+IFERROR(HLOOKUP($B31,'[1]1월'!$D$6:$BN$259,3,),)/1000</f>
        <v>580.65886564999994</v>
      </c>
      <c r="P31" s="58">
        <f>+IFERROR(HLOOKUP($C31,'[2]1월'!$F$6:$CP$99,3,),)/1000</f>
        <v>468.38</v>
      </c>
      <c r="Q31" s="47">
        <f t="shared" si="12"/>
        <v>-112.27886564999994</v>
      </c>
      <c r="R31" s="47">
        <f>+IFERROR(HLOOKUP($C31,'[3]1월'!$F$6:$CC$57,3,),)/1000</f>
        <v>566.16200000000003</v>
      </c>
      <c r="S31" s="59">
        <f t="shared" si="13"/>
        <v>-97.782000000000039</v>
      </c>
      <c r="T31" s="53">
        <f>+IFERROR(HLOOKUP($B31,'[1]1월'!$D$6:$BN$259,21,),)/1000</f>
        <v>2.3150289145928511</v>
      </c>
      <c r="U31" s="58">
        <f>+IFERROR(HLOOKUP($C31,'[2]1월'!$F$6:$CP$99,21,),)/1000</f>
        <v>-157.90930541999998</v>
      </c>
      <c r="V31" s="47">
        <f t="shared" si="14"/>
        <v>-160.22433433459284</v>
      </c>
      <c r="W31" s="47">
        <f>+IFERROR(HLOOKUP($C31,'[3]1월'!$F$6:$CC$57,21,),)/1000</f>
        <v>72.163163450000042</v>
      </c>
      <c r="X31" s="59">
        <f t="shared" si="15"/>
        <v>-230.07246887000002</v>
      </c>
      <c r="Y31" s="266"/>
      <c r="Z31" s="229"/>
      <c r="AA31" s="229"/>
      <c r="AB31" s="229"/>
      <c r="AC31" s="229"/>
      <c r="AD31" s="229"/>
      <c r="AE31" s="229"/>
      <c r="AF31" s="229"/>
      <c r="AG31" s="50"/>
      <c r="AH31" s="17"/>
      <c r="AI31" s="18"/>
      <c r="AJ31" s="413"/>
      <c r="AK31" s="86"/>
      <c r="AL31" s="86"/>
    </row>
    <row r="32" spans="2:38" s="3" customFormat="1" ht="19.5" customHeight="1">
      <c r="G32" s="420"/>
      <c r="H32" s="134" t="s">
        <v>33</v>
      </c>
      <c r="I32" s="135"/>
      <c r="J32" s="136">
        <f>SUM(J29:J31)</f>
        <v>90.818290804614193</v>
      </c>
      <c r="K32" s="140">
        <f>SUM(K29:K31)</f>
        <v>48.251999999999995</v>
      </c>
      <c r="L32" s="138">
        <f t="shared" si="10"/>
        <v>-42.566290804614198</v>
      </c>
      <c r="M32" s="138">
        <f>SUM(M29:M31)</f>
        <v>84.516999999999996</v>
      </c>
      <c r="N32" s="139">
        <f t="shared" si="11"/>
        <v>-36.265000000000001</v>
      </c>
      <c r="O32" s="136">
        <f>SUM(O29:O31)</f>
        <v>1640.1944413895949</v>
      </c>
      <c r="P32" s="140">
        <f>SUM(P29:P31)</f>
        <v>1051.748</v>
      </c>
      <c r="Q32" s="138">
        <f t="shared" si="12"/>
        <v>-588.44644138959484</v>
      </c>
      <c r="R32" s="138">
        <f>SUM(R29:R31)</f>
        <v>1719.5200000000002</v>
      </c>
      <c r="S32" s="139">
        <f t="shared" si="13"/>
        <v>-667.77200000000016</v>
      </c>
      <c r="T32" s="136">
        <f>SUM(T29:T31)</f>
        <v>76.977514467638883</v>
      </c>
      <c r="U32" s="140">
        <f>SUM(U29:U31)</f>
        <v>-280.08745596291709</v>
      </c>
      <c r="V32" s="138">
        <f t="shared" si="14"/>
        <v>-357.06497043055595</v>
      </c>
      <c r="W32" s="138">
        <f>SUM(W29:W31)</f>
        <v>184.07373224173489</v>
      </c>
      <c r="X32" s="139">
        <f t="shared" si="15"/>
        <v>-464.16118820465198</v>
      </c>
      <c r="Y32" s="266"/>
      <c r="Z32" s="229"/>
      <c r="AA32" s="229"/>
      <c r="AB32" s="229"/>
      <c r="AC32" s="229"/>
      <c r="AD32" s="229"/>
      <c r="AE32" s="229"/>
      <c r="AF32" s="229"/>
      <c r="AG32" s="50"/>
      <c r="AH32" s="26"/>
      <c r="AI32" s="27"/>
    </row>
    <row r="33" spans="2:38" s="8" customFormat="1" ht="19.5" customHeight="1">
      <c r="B33" s="8" t="s">
        <v>119</v>
      </c>
      <c r="C33" s="8" t="s">
        <v>118</v>
      </c>
      <c r="D33" t="s">
        <v>117</v>
      </c>
      <c r="E33" t="s">
        <v>81</v>
      </c>
      <c r="F33"/>
      <c r="G33" s="416" t="str">
        <f>+I33</f>
        <v>레미콘임대</v>
      </c>
      <c r="H33" s="83" t="s">
        <v>49</v>
      </c>
      <c r="I33" s="82" t="s">
        <v>80</v>
      </c>
      <c r="J33" s="45"/>
      <c r="K33" s="46"/>
      <c r="L33" s="48">
        <f>+K33-J33</f>
        <v>0</v>
      </c>
      <c r="M33" s="47"/>
      <c r="N33" s="59">
        <f>+K33-M33</f>
        <v>0</v>
      </c>
      <c r="O33" s="45">
        <f>(IFERROR(HLOOKUP($B33,'[1]1월'!$D$6:$BN$259,3,),)++IFERROR(HLOOKUP($C33,'[1]1월'!$D$6:$BN$259,3,),)+IFERROR(HLOOKUP($D33,'[1]1월'!$D$6:$BN$259,3,),))/1000</f>
        <v>90.84</v>
      </c>
      <c r="P33" s="46">
        <f>+IFERROR(HLOOKUP($E33,'[2]1월'!$F$6:$CP$99,3,),)/1000</f>
        <v>90.84</v>
      </c>
      <c r="Q33" s="48">
        <f t="shared" si="12"/>
        <v>0</v>
      </c>
      <c r="R33" s="47">
        <f>+IFERROR(HLOOKUP($E33,'[3]1월'!$F$6:$CC$57,3,),)/1000</f>
        <v>90.84</v>
      </c>
      <c r="S33" s="59">
        <f t="shared" si="13"/>
        <v>0</v>
      </c>
      <c r="T33" s="45">
        <f>(IFERROR(HLOOKUP($B33,'[1]1월'!$D$6:$BN$259,21,),)++IFERROR(HLOOKUP($C33,'[1]1월'!$D$6:$BN$259,21,),)+IFERROR(HLOOKUP($D33,'[1]1월'!$D$6:$BN$259,21,),))/1000</f>
        <v>72.523221000000007</v>
      </c>
      <c r="U33" s="46">
        <f>+IFERROR(HLOOKUP($E33,'[2]1월'!$F$6:$CP$99,16,),)/1000</f>
        <v>72.305274999999995</v>
      </c>
      <c r="V33" s="48">
        <f t="shared" ref="V33:V39" si="16">+U33-T33</f>
        <v>-0.21794600000001196</v>
      </c>
      <c r="W33" s="47">
        <f>+IFERROR(HLOOKUP($E33,'[3]1월'!$F$6:$CC$57,16,),)/1000</f>
        <v>71.796579999999992</v>
      </c>
      <c r="X33" s="59">
        <f t="shared" ref="X33:X37" si="17">+U33-W33</f>
        <v>0.50869500000000301</v>
      </c>
      <c r="Y33" s="266"/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</row>
    <row r="34" spans="2:38" s="8" customFormat="1" ht="19.5" customHeight="1">
      <c r="B34" s="8" t="s">
        <v>120</v>
      </c>
      <c r="C34" s="8" t="s">
        <v>121</v>
      </c>
      <c r="D34"/>
      <c r="E34" t="s">
        <v>31</v>
      </c>
      <c r="F34"/>
      <c r="G34" s="416" t="str">
        <f t="shared" ref="G34:G39" si="18">+I34</f>
        <v>임대</v>
      </c>
      <c r="H34" s="83"/>
      <c r="I34" s="82" t="s">
        <v>44</v>
      </c>
      <c r="J34" s="45"/>
      <c r="K34" s="46"/>
      <c r="L34" s="48">
        <f>+K34-J34</f>
        <v>0</v>
      </c>
      <c r="M34" s="47">
        <v>0</v>
      </c>
      <c r="N34" s="59">
        <f t="shared" ref="N34:N41" si="19">+K34-M34</f>
        <v>0</v>
      </c>
      <c r="O34" s="45">
        <f>(+IFERROR(HLOOKUP($B34,'[1]1월'!$D$6:$BN$259,3,),)+IFERROR(HLOOKUP($C34,'[1]1월'!$D$6:$BN$259,3,),))/1000</f>
        <v>74.091499999999996</v>
      </c>
      <c r="P34" s="46">
        <f>+IFERROR(HLOOKUP($E34,'[2]1월'!$F$6:$CP$99,3,),)/1000</f>
        <v>74.732749000000013</v>
      </c>
      <c r="Q34" s="48">
        <f>+P34-O34</f>
        <v>0.64124900000001617</v>
      </c>
      <c r="R34" s="47">
        <f>+IFERROR(HLOOKUP($E34,'[3]1월'!$F$6:$CC$57,3,),)/1000</f>
        <v>71.933111000000011</v>
      </c>
      <c r="S34" s="59">
        <f t="shared" si="13"/>
        <v>2.7996380000000016</v>
      </c>
      <c r="T34" s="45">
        <f>(+IFERROR(HLOOKUP($B34,'[1]1월'!$D$6:$BN$259,21,),)+IFERROR(HLOOKUP($C34,'[1]1월'!$D$6:$BN$259,21,),))/1000</f>
        <v>63.963999999999999</v>
      </c>
      <c r="U34" s="46">
        <f>+IFERROR(HLOOKUP($E34,'[2]1월'!$F$6:$CP$99,16,),)/1000</f>
        <v>64.600993000000003</v>
      </c>
      <c r="V34" s="48">
        <f t="shared" si="16"/>
        <v>0.63699300000000392</v>
      </c>
      <c r="W34" s="47">
        <f>+IFERROR(HLOOKUP($E34,'[3]1월'!$F$6:$CC$57,16,),)/1000</f>
        <v>61.824293999999995</v>
      </c>
      <c r="X34" s="59">
        <f t="shared" si="17"/>
        <v>2.7766990000000078</v>
      </c>
      <c r="Y34" s="266"/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</row>
    <row r="35" spans="2:38" s="8" customFormat="1" ht="19.5" customHeight="1">
      <c r="B35" s="8" t="s">
        <v>122</v>
      </c>
      <c r="D35"/>
      <c r="E35"/>
      <c r="F35"/>
      <c r="G35" s="416" t="str">
        <f t="shared" si="18"/>
        <v>공통비</v>
      </c>
      <c r="H35" s="81"/>
      <c r="I35" s="82" t="s">
        <v>50</v>
      </c>
      <c r="J35" s="45"/>
      <c r="K35" s="46"/>
      <c r="L35" s="48">
        <f>+K35-J35</f>
        <v>0</v>
      </c>
      <c r="M35" s="47"/>
      <c r="N35" s="59">
        <f t="shared" si="19"/>
        <v>0</v>
      </c>
      <c r="O35" s="45"/>
      <c r="P35" s="46"/>
      <c r="Q35" s="48">
        <f t="shared" ref="Q35:Q38" si="20">+P35-O35</f>
        <v>0</v>
      </c>
      <c r="R35" s="47"/>
      <c r="S35" s="59">
        <f t="shared" ref="S35:S38" si="21">+P35-R35</f>
        <v>0</v>
      </c>
      <c r="T35" s="45">
        <f>-'[1]1월'!$Z$22/1000</f>
        <v>-1784.7167871836125</v>
      </c>
      <c r="U35" s="46">
        <f>+-'[2]1월'!$Z$22/1000</f>
        <v>-1637.1909851328546</v>
      </c>
      <c r="V35" s="48">
        <f t="shared" si="16"/>
        <v>147.52580205075787</v>
      </c>
      <c r="W35" s="47">
        <f>+-'[3]1월'!$Z$22/1000</f>
        <v>-1549.2991472438964</v>
      </c>
      <c r="X35" s="59">
        <f t="shared" si="17"/>
        <v>-87.891837888958207</v>
      </c>
      <c r="Y35" s="266"/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K35" s="234"/>
      <c r="AL35" s="86"/>
    </row>
    <row r="36" spans="2:38" s="8" customFormat="1" ht="19.5" customHeight="1">
      <c r="D36"/>
      <c r="E36"/>
      <c r="F36"/>
      <c r="G36" s="416" t="str">
        <f t="shared" si="18"/>
        <v>OPC 소급분</v>
      </c>
      <c r="H36" s="81"/>
      <c r="I36" s="82" t="s">
        <v>95</v>
      </c>
      <c r="J36" s="45"/>
      <c r="K36" s="46"/>
      <c r="L36" s="48"/>
      <c r="M36" s="47"/>
      <c r="N36" s="59">
        <f t="shared" si="19"/>
        <v>0</v>
      </c>
      <c r="O36" s="45"/>
      <c r="P36" s="46"/>
      <c r="Q36" s="48">
        <f t="shared" si="20"/>
        <v>0</v>
      </c>
      <c r="R36" s="47"/>
      <c r="S36" s="59">
        <f t="shared" si="21"/>
        <v>0</v>
      </c>
      <c r="T36" s="45">
        <f>+'[1]1월'!$AS$26/1000</f>
        <v>0</v>
      </c>
      <c r="U36" s="46">
        <f>'[2]1월'!$BD$26/1000</f>
        <v>0</v>
      </c>
      <c r="V36" s="48">
        <f t="shared" si="16"/>
        <v>0</v>
      </c>
      <c r="W36" s="47">
        <f>-'[3]1월'!$BD$26/1000</f>
        <v>0</v>
      </c>
      <c r="X36" s="59">
        <f t="shared" si="17"/>
        <v>0</v>
      </c>
      <c r="Y36" s="266"/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K36" s="86"/>
      <c r="AL36" s="86"/>
    </row>
    <row r="37" spans="2:38" s="8" customFormat="1" ht="19.5" customHeight="1">
      <c r="D37"/>
      <c r="E37"/>
      <c r="F37"/>
      <c r="G37" s="416" t="str">
        <f t="shared" si="18"/>
        <v>대손</v>
      </c>
      <c r="H37" s="81"/>
      <c r="I37" s="82" t="s">
        <v>96</v>
      </c>
      <c r="J37" s="45"/>
      <c r="K37" s="46"/>
      <c r="L37" s="48"/>
      <c r="M37" s="47"/>
      <c r="N37" s="59">
        <f t="shared" si="19"/>
        <v>0</v>
      </c>
      <c r="O37" s="45"/>
      <c r="P37" s="46"/>
      <c r="Q37" s="48">
        <f t="shared" si="20"/>
        <v>0</v>
      </c>
      <c r="R37" s="47"/>
      <c r="S37" s="59">
        <f t="shared" si="21"/>
        <v>0</v>
      </c>
      <c r="T37" s="45"/>
      <c r="U37" s="46">
        <f>'[2]1월'!$BE$26/1000</f>
        <v>0</v>
      </c>
      <c r="V37" s="48">
        <f t="shared" si="16"/>
        <v>0</v>
      </c>
      <c r="W37" s="47">
        <f>'[3]1월'!$BE$26/1000</f>
        <v>0</v>
      </c>
      <c r="X37" s="59">
        <f t="shared" si="17"/>
        <v>0</v>
      </c>
      <c r="Y37" s="228"/>
      <c r="Z37" s="229"/>
      <c r="AA37" s="229"/>
      <c r="AB37" s="229"/>
      <c r="AC37" s="229"/>
      <c r="AD37" s="229"/>
      <c r="AE37" s="229"/>
      <c r="AF37" s="229"/>
      <c r="AG37" s="50"/>
      <c r="AH37" s="17"/>
      <c r="AI37" s="18"/>
      <c r="AJ37" s="84"/>
      <c r="AK37" s="86"/>
      <c r="AL37" s="86"/>
    </row>
    <row r="38" spans="2:38" s="8" customFormat="1" ht="19.5" customHeight="1">
      <c r="D38"/>
      <c r="E38"/>
      <c r="F38"/>
      <c r="G38" s="416" t="str">
        <f t="shared" si="18"/>
        <v>미운영 공장</v>
      </c>
      <c r="H38" s="81"/>
      <c r="I38" s="82" t="s">
        <v>112</v>
      </c>
      <c r="J38" s="45"/>
      <c r="K38" s="46"/>
      <c r="L38" s="48"/>
      <c r="M38" s="47">
        <f>SUM(M54:M59)</f>
        <v>0</v>
      </c>
      <c r="N38" s="59">
        <f t="shared" si="19"/>
        <v>0</v>
      </c>
      <c r="O38" s="45"/>
      <c r="P38" s="46"/>
      <c r="Q38" s="48">
        <f t="shared" si="20"/>
        <v>0</v>
      </c>
      <c r="R38" s="47">
        <f>+IFERROR(HLOOKUP($I$38,'[3]1월'!$F$6:$BJ$50,3,),)/1000</f>
        <v>0</v>
      </c>
      <c r="S38" s="59">
        <f t="shared" si="21"/>
        <v>0</v>
      </c>
      <c r="T38" s="45">
        <f>SUM('[1]1월'!$AM$26:$AQ$26)/1000</f>
        <v>-42.504495999999996</v>
      </c>
      <c r="U38" s="46">
        <f>+'[2]1월'!$BF$26/1000</f>
        <v>-33.071711999999998</v>
      </c>
      <c r="V38" s="48">
        <f t="shared" si="16"/>
        <v>9.4327839999999981</v>
      </c>
      <c r="W38" s="47">
        <f>+'[3]1월'!$BF$26/1000</f>
        <v>-36.069286999999996</v>
      </c>
      <c r="X38" s="59">
        <f>+U38-W38</f>
        <v>2.9975749999999977</v>
      </c>
      <c r="Y38" s="228"/>
      <c r="Z38" s="229"/>
      <c r="AA38" s="229"/>
      <c r="AB38" s="229"/>
      <c r="AC38" s="229"/>
      <c r="AD38" s="229"/>
      <c r="AE38" s="229"/>
      <c r="AF38" s="229"/>
      <c r="AG38" s="50"/>
      <c r="AH38" s="17"/>
      <c r="AI38" s="18"/>
      <c r="AK38" s="86"/>
      <c r="AL38" s="86"/>
    </row>
    <row r="39" spans="2:38" s="8" customFormat="1" ht="19.5" customHeight="1">
      <c r="B39" t="s">
        <v>30</v>
      </c>
      <c r="D39"/>
      <c r="G39" s="416" t="str">
        <f t="shared" si="18"/>
        <v>퇴직금</v>
      </c>
      <c r="H39" s="81"/>
      <c r="I39" s="82" t="s">
        <v>233</v>
      </c>
      <c r="J39" s="45"/>
      <c r="K39" s="46"/>
      <c r="L39" s="48"/>
      <c r="M39" s="47"/>
      <c r="N39" s="59"/>
      <c r="O39" s="45"/>
      <c r="P39" s="46"/>
      <c r="Q39" s="48"/>
      <c r="R39" s="47"/>
      <c r="S39" s="59"/>
      <c r="T39" s="45"/>
      <c r="U39" s="46">
        <f>+'[2]1월'!$BG$26/1000</f>
        <v>-759.34318890999998</v>
      </c>
      <c r="V39" s="48">
        <f t="shared" si="16"/>
        <v>-759.34318890999998</v>
      </c>
      <c r="W39" s="47"/>
      <c r="X39" s="59">
        <f>+U39-W39</f>
        <v>-759.34318890999998</v>
      </c>
      <c r="Y39" s="233"/>
      <c r="Z39" s="229"/>
      <c r="AA39" s="229"/>
      <c r="AB39" s="229"/>
      <c r="AC39" s="229"/>
      <c r="AD39" s="229"/>
      <c r="AE39" s="229"/>
      <c r="AF39" s="229"/>
      <c r="AG39" s="50"/>
      <c r="AH39" s="17"/>
      <c r="AI39" s="18"/>
    </row>
    <row r="40" spans="2:38" s="8" customFormat="1" ht="19.5" customHeight="1">
      <c r="G40" s="416" t="str">
        <f>+I40</f>
        <v>기타</v>
      </c>
      <c r="H40" s="81"/>
      <c r="I40" s="82" t="s">
        <v>4</v>
      </c>
      <c r="J40" s="45"/>
      <c r="K40" s="46"/>
      <c r="L40" s="54">
        <f>+K40-J40</f>
        <v>0</v>
      </c>
      <c r="M40" s="60"/>
      <c r="N40" s="61">
        <f>+K40-M40</f>
        <v>0</v>
      </c>
      <c r="O40" s="45">
        <f>IFERROR(HLOOKUP($B39,'[1]1월'!$D$6:$BN$259,3,),)/1000</f>
        <v>1.77</v>
      </c>
      <c r="P40" s="46">
        <f>+('[2]1월'!$F$8-SUM('[2]1월'!$Z$8,'[2]1월'!$AH$8,'[2]1월'!$AN$8,'[2]1월'!$AO$8,'[2]1월'!$BA$8,'[2]1월'!$BD$8,'[2]1월'!$BE$8,'[2]1월'!$BF$8))/1000</f>
        <v>1.6798500000014902</v>
      </c>
      <c r="Q40" s="54">
        <f>+P40-O40</f>
        <v>-9.0149999998509811E-2</v>
      </c>
      <c r="R40" s="60">
        <f>+('[3]1월'!$F$8-SUM('[3]1월'!$Z$8,'[3]1월'!$AH$8,'[3]1월'!$AN$8,'[3]1월'!$AO$8,'[3]1월'!$BA$8,'[3]1월'!$BD$8,'[3]1월'!$BE$8,'[3]1월'!$BF$8))/1000</f>
        <v>1.70239999999851</v>
      </c>
      <c r="S40" s="61">
        <f>+P40-R40</f>
        <v>-2.2549999997019787E-2</v>
      </c>
      <c r="T40" s="45">
        <f>+('[1]1월'!$E$26-'[1]1월'!$Z$26-'[1]1월'!$AA$26-'[1]1월'!$AE$26-'[1]1월'!$AL$26-'[1]1월'!$AM$26-'[1]1월'!$AN$26-'[1]1월'!$AO$26-'[1]1월'!$AP$26-'[1]1월'!$AQ$26-'[1]1월'!$AS$26)/1000</f>
        <v>-16.802745000003029</v>
      </c>
      <c r="U40" s="46">
        <f>+('[2]1월'!$F$26-SUM('[2]1월'!$Z$26,'[2]1월'!$AH$26,'[2]1월'!$AN$26,'[2]1월'!$AO$26,'[2]1월'!$BA$26,'[2]1월'!$BD$26,'[2]1월'!$BE$26,'[2]1월'!$BF$26))/1000-U39</f>
        <v>-16.010092000000895</v>
      </c>
      <c r="V40" s="48">
        <f>+U40-T40</f>
        <v>0.79265300000213301</v>
      </c>
      <c r="W40" s="60">
        <f>+('[3]1월'!$F$26-SUM('[3]1월'!$Z$26,'[3]1월'!$AH$26,'[3]1월'!$AN$26,'[3]1월'!$AO$26,'[3]1월'!$BA$26,'[3]1월'!$BD$26,'[3]1월'!$BE$26,'[3]1월'!$BF$26))/1000</f>
        <v>-17.114136000001338</v>
      </c>
      <c r="X40" s="59">
        <f>+U40-W40</f>
        <v>1.1040440000004423</v>
      </c>
      <c r="Y40" s="228"/>
      <c r="Z40" s="229"/>
      <c r="AA40" s="229"/>
      <c r="AB40" s="229"/>
      <c r="AC40" s="229"/>
      <c r="AD40" s="229"/>
      <c r="AE40" s="229"/>
      <c r="AF40" s="229"/>
      <c r="AG40" s="50"/>
      <c r="AH40" s="30"/>
    </row>
    <row r="41" spans="2:38" s="3" customFormat="1" ht="19.5" customHeight="1">
      <c r="D41" s="293"/>
      <c r="G41" s="420"/>
      <c r="H41" s="134" t="s">
        <v>97</v>
      </c>
      <c r="I41" s="135"/>
      <c r="J41" s="284">
        <f>SUM(J33:J40)</f>
        <v>0</v>
      </c>
      <c r="K41" s="285">
        <f>SUM(K33:K40)</f>
        <v>0</v>
      </c>
      <c r="L41" s="285">
        <f>+K41-J41</f>
        <v>0</v>
      </c>
      <c r="M41" s="285">
        <f>SUM(M33:M40)</f>
        <v>0</v>
      </c>
      <c r="N41" s="286">
        <f t="shared" si="19"/>
        <v>0</v>
      </c>
      <c r="O41" s="136">
        <f>SUM(O33:O40)</f>
        <v>166.70150000000001</v>
      </c>
      <c r="P41" s="137">
        <f>SUM(P33:P40)</f>
        <v>167.25259900000151</v>
      </c>
      <c r="Q41" s="141">
        <f t="shared" si="12"/>
        <v>0.55109900000149992</v>
      </c>
      <c r="R41" s="142">
        <f>SUM(R33:R40)</f>
        <v>164.47551099999853</v>
      </c>
      <c r="S41" s="143">
        <f>+P41-R41</f>
        <v>2.7770880000029763</v>
      </c>
      <c r="T41" s="136">
        <f>SUM(T33:T40)</f>
        <v>-1707.5368071836156</v>
      </c>
      <c r="U41" s="137">
        <f>SUM(U33:U40)</f>
        <v>-2308.7097100428555</v>
      </c>
      <c r="V41" s="141">
        <f>+U41-T41</f>
        <v>-601.17290285923991</v>
      </c>
      <c r="W41" s="142">
        <f>SUM(W33:W40)</f>
        <v>-1468.8616962438978</v>
      </c>
      <c r="X41" s="143">
        <f>+U41-W41</f>
        <v>-839.84801379895771</v>
      </c>
      <c r="Y41" s="230"/>
      <c r="Z41" s="231"/>
      <c r="AA41" s="231"/>
      <c r="AB41" s="231"/>
      <c r="AC41" s="231"/>
      <c r="AD41" s="231"/>
      <c r="AE41" s="231"/>
      <c r="AF41" s="231"/>
      <c r="AG41" s="232"/>
      <c r="AH41" s="25"/>
    </row>
    <row r="42" spans="2:38" s="8" customFormat="1" ht="19.5" customHeight="1">
      <c r="G42" s="416"/>
      <c r="J42" s="32"/>
      <c r="K42" s="32"/>
      <c r="L42" s="31"/>
      <c r="M42" s="31"/>
      <c r="N42" s="31"/>
      <c r="O42" s="32"/>
      <c r="P42" s="32"/>
      <c r="Q42" s="31"/>
      <c r="R42" s="31"/>
      <c r="S42" s="31"/>
      <c r="T42" s="32"/>
      <c r="U42" s="32">
        <v>19</v>
      </c>
      <c r="V42" s="31">
        <v>12.4</v>
      </c>
      <c r="W42" s="31"/>
      <c r="X42" s="31"/>
      <c r="Y42" s="32"/>
      <c r="Z42" s="32"/>
      <c r="AA42" s="32"/>
      <c r="AB42" s="32"/>
      <c r="AC42" s="32"/>
      <c r="AD42" s="32"/>
      <c r="AE42" s="32"/>
      <c r="AF42" s="32"/>
      <c r="AG42" s="32"/>
      <c r="AH42" s="30"/>
    </row>
    <row r="43" spans="2:38" s="3" customFormat="1" ht="19.5" customHeight="1">
      <c r="G43" s="421">
        <f>+P43/O43</f>
        <v>0.7997068693092092</v>
      </c>
      <c r="H43" s="277" t="s">
        <v>32</v>
      </c>
      <c r="I43" s="278"/>
      <c r="J43" s="290"/>
      <c r="K43" s="291"/>
      <c r="L43" s="291"/>
      <c r="M43" s="291"/>
      <c r="N43" s="292"/>
      <c r="O43" s="279">
        <f>+O27+O32+O28+O41</f>
        <v>33354.111836054028</v>
      </c>
      <c r="P43" s="280">
        <f>+P27+P32+P28+P41</f>
        <v>26673.512355000006</v>
      </c>
      <c r="Q43" s="281">
        <f t="shared" si="12"/>
        <v>-6680.5994810540215</v>
      </c>
      <c r="R43" s="282">
        <f>+R27+R32+R28+R41</f>
        <v>37167.598560999999</v>
      </c>
      <c r="S43" s="283">
        <f>+P43-R43</f>
        <v>-10494.086205999993</v>
      </c>
      <c r="T43" s="279">
        <f>+T27+T32+T28+T41</f>
        <v>-720.47288578111306</v>
      </c>
      <c r="U43" s="280">
        <f>+U27+U32+U28+U41</f>
        <v>-2563.9616760057725</v>
      </c>
      <c r="V43" s="281">
        <f>+U43-T43</f>
        <v>-1843.4887902246594</v>
      </c>
      <c r="W43" s="282">
        <f>+W27+W32+W28+W41</f>
        <v>1115.0685369978382</v>
      </c>
      <c r="X43" s="283">
        <f>+U43-W43</f>
        <v>-3679.0302130036107</v>
      </c>
      <c r="Y43" s="838"/>
      <c r="Z43" s="839"/>
      <c r="AA43" s="839"/>
      <c r="AB43" s="839"/>
      <c r="AC43" s="839"/>
      <c r="AD43" s="839"/>
      <c r="AE43" s="839"/>
      <c r="AF43" s="839"/>
      <c r="AG43" s="840"/>
      <c r="AH43" s="25"/>
    </row>
    <row r="44" spans="2:38" s="33" customFormat="1">
      <c r="G44" s="418">
        <f>+U43/T43</f>
        <v>3.5587205661820422</v>
      </c>
      <c r="P44" s="296">
        <f>+P43/O43</f>
        <v>0.7997068693092092</v>
      </c>
      <c r="T44" s="296">
        <f>+T43/O43</f>
        <v>-2.1600721653823804E-2</v>
      </c>
      <c r="U44" s="296">
        <f>+U43/P43</f>
        <v>-9.6123886568884973E-2</v>
      </c>
      <c r="AC44" s="34"/>
      <c r="AF44" s="34"/>
    </row>
    <row r="45" spans="2:38" s="33" customFormat="1" ht="17.25" thickBot="1">
      <c r="G45" s="422"/>
      <c r="AC45" s="34"/>
      <c r="AF45" s="34"/>
    </row>
    <row r="46" spans="2:38" s="33" customFormat="1">
      <c r="G46" s="422"/>
      <c r="I46" s="835" t="s">
        <v>82</v>
      </c>
      <c r="J46" s="126">
        <f>+'[1]1월'!$Z$7/1000</f>
        <v>207</v>
      </c>
      <c r="K46" s="127">
        <f>+'[2]1월'!$AI$7/1000</f>
        <v>177.87950000000001</v>
      </c>
      <c r="L46" s="127"/>
      <c r="M46" s="127">
        <f>+'[3]1월'!$Z$7/1000</f>
        <v>278.88549999999998</v>
      </c>
      <c r="N46" s="127"/>
      <c r="O46" s="127">
        <f>+'[1]1월'!$E$8/1000</f>
        <v>33354.11183605402</v>
      </c>
      <c r="P46" s="127">
        <f>+'[2]1월'!$F$8/1000</f>
        <v>26673.512355000003</v>
      </c>
      <c r="Q46" s="127"/>
      <c r="R46" s="127">
        <f>+'[3]1월'!$F$8/1000</f>
        <v>37167.598560999999</v>
      </c>
      <c r="S46" s="127"/>
      <c r="T46" s="132">
        <f>+'[1]1월'!$E$26/1000</f>
        <v>-720.4728857811084</v>
      </c>
      <c r="U46" s="127">
        <f>+'[2]1월'!$F$26/1000</f>
        <v>-2563.9616760057729</v>
      </c>
      <c r="V46" s="127"/>
      <c r="W46" s="127">
        <f>+'[3]1월'!$F$26/1000</f>
        <v>1115.0685369978371</v>
      </c>
      <c r="X46" s="128"/>
      <c r="AC46" s="34"/>
      <c r="AF46" s="34"/>
    </row>
    <row r="47" spans="2:38" s="33" customFormat="1" ht="17.25" thickBot="1">
      <c r="G47" s="422"/>
      <c r="I47" s="835"/>
      <c r="J47" s="131">
        <f>+J46-J27</f>
        <v>0</v>
      </c>
      <c r="K47" s="129">
        <f>+K46-K27</f>
        <v>0</v>
      </c>
      <c r="L47" s="129"/>
      <c r="M47" s="129">
        <f>+M46-M27</f>
        <v>0</v>
      </c>
      <c r="N47" s="129"/>
      <c r="O47" s="133">
        <f>+O46-O43</f>
        <v>0</v>
      </c>
      <c r="P47" s="133">
        <f>+P46-P43</f>
        <v>0</v>
      </c>
      <c r="Q47" s="129"/>
      <c r="R47" s="133">
        <f>+R46-R43</f>
        <v>0</v>
      </c>
      <c r="S47" s="129"/>
      <c r="T47" s="133">
        <f>+T46-T43</f>
        <v>4.6611603465862572E-12</v>
      </c>
      <c r="U47" s="133">
        <f>+U46-U43</f>
        <v>0</v>
      </c>
      <c r="V47" s="129"/>
      <c r="W47" s="129">
        <f>+W46-W43</f>
        <v>0</v>
      </c>
      <c r="X47" s="130"/>
      <c r="AC47" s="34"/>
      <c r="AF47" s="34"/>
      <c r="AG47" s="33" t="s">
        <v>83</v>
      </c>
    </row>
    <row r="48" spans="2:38">
      <c r="T48" s="294"/>
      <c r="U48" s="294"/>
      <c r="V48" s="294"/>
    </row>
    <row r="49" spans="10:33">
      <c r="T49" s="294"/>
      <c r="U49" s="294"/>
      <c r="V49" s="294"/>
      <c r="AC49" s="34"/>
      <c r="AD49" s="33"/>
      <c r="AE49" s="33"/>
      <c r="AF49" s="34"/>
    </row>
    <row r="50" spans="10:33">
      <c r="S50" t="s">
        <v>40</v>
      </c>
      <c r="T50" s="236">
        <f>(+T27+T35)/100</f>
        <v>-10.419917000379696</v>
      </c>
      <c r="U50" s="236">
        <f>(+U27+U35)/100</f>
        <v>-16.140527441328544</v>
      </c>
      <c r="V50" s="236">
        <f>+U50-T50</f>
        <v>-5.7206104409488479</v>
      </c>
      <c r="W50" s="235">
        <f>+U50/T50-1</f>
        <v>0.54900729446697061</v>
      </c>
      <c r="AC50" s="34"/>
      <c r="AD50" s="33"/>
      <c r="AE50" s="33"/>
      <c r="AF50" s="34"/>
    </row>
    <row r="51" spans="10:33">
      <c r="S51" t="s">
        <v>3</v>
      </c>
      <c r="T51" s="6">
        <f>+T28/100</f>
        <v>1.6736131978922066</v>
      </c>
      <c r="U51" s="6">
        <f>+U28/100</f>
        <v>1.6972489999996232E-2</v>
      </c>
      <c r="V51" s="236">
        <f t="shared" ref="V51:V56" si="22">+U51-T51</f>
        <v>-1.6566407078922105</v>
      </c>
      <c r="Y51" s="228" t="s">
        <v>141</v>
      </c>
      <c r="AC51" s="34"/>
      <c r="AD51" s="33"/>
      <c r="AE51" s="33"/>
      <c r="AF51" s="34"/>
    </row>
    <row r="52" spans="10:33">
      <c r="S52" t="s">
        <v>1</v>
      </c>
      <c r="T52" s="6">
        <f>+T32/100</f>
        <v>0.76977514467638886</v>
      </c>
      <c r="U52" s="6">
        <f>+U32/100</f>
        <v>-2.8008745596291709</v>
      </c>
      <c r="V52" s="236">
        <f t="shared" si="22"/>
        <v>-3.5706497043055596</v>
      </c>
      <c r="AC52" s="34"/>
      <c r="AD52" s="33"/>
      <c r="AE52" s="33"/>
      <c r="AF52" s="34"/>
    </row>
    <row r="53" spans="10:33">
      <c r="S53" t="s">
        <v>44</v>
      </c>
      <c r="T53" s="6">
        <f>(T33+T34)/100</f>
        <v>1.3648722100000001</v>
      </c>
      <c r="U53" s="6">
        <f>(U33+U34)/100</f>
        <v>1.3690626800000001</v>
      </c>
      <c r="V53" s="236">
        <f t="shared" si="22"/>
        <v>4.1904699999999462E-3</v>
      </c>
      <c r="AC53" s="34"/>
      <c r="AD53" s="33"/>
      <c r="AE53" s="33"/>
      <c r="AF53" s="34"/>
    </row>
    <row r="54" spans="10:33">
      <c r="J54" s="236"/>
      <c r="K54" s="236"/>
      <c r="L54" s="236"/>
      <c r="M54" s="236"/>
      <c r="N54" s="236"/>
      <c r="O54" s="236"/>
      <c r="P54" s="236"/>
      <c r="Q54" s="236"/>
      <c r="R54" s="236"/>
      <c r="S54" s="236" t="s">
        <v>4</v>
      </c>
      <c r="T54" s="236">
        <f>(T46/100)-T50-T51-T52-T53</f>
        <v>-0.59307240999998323</v>
      </c>
      <c r="U54" s="236">
        <f>(U46/100)-U50-U51-U52-U53</f>
        <v>-8.0842499291000127</v>
      </c>
      <c r="V54" s="236">
        <f t="shared" si="22"/>
        <v>-7.4911775191000292</v>
      </c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</row>
    <row r="55" spans="10:33"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>
        <f>SUM(T53:T54)</f>
        <v>0.77179980000001691</v>
      </c>
      <c r="U55" s="236">
        <f>SUM(U53:U54)</f>
        <v>-6.7151872491000129</v>
      </c>
      <c r="V55" s="236">
        <f>SUM(V53:V54)</f>
        <v>-7.486987049100029</v>
      </c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</row>
    <row r="56" spans="10:33"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>
        <f>SUM(T50:T54)</f>
        <v>-7.2047288578110837</v>
      </c>
      <c r="U56" s="236">
        <f>SUM(U50:U54)</f>
        <v>-25.639616760057734</v>
      </c>
      <c r="V56" s="236">
        <f t="shared" si="22"/>
        <v>-18.434887902246651</v>
      </c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</row>
    <row r="57" spans="10:33"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</row>
    <row r="58" spans="10:33">
      <c r="J58" s="236"/>
      <c r="K58" s="236"/>
      <c r="L58" s="236"/>
      <c r="M58" s="236"/>
      <c r="N58" s="236"/>
      <c r="O58" s="236"/>
      <c r="P58" s="236"/>
      <c r="Q58" s="236"/>
      <c r="R58" s="236"/>
      <c r="S58" s="236" t="s">
        <v>44</v>
      </c>
      <c r="T58" s="294">
        <f>+(T33+T34)/100</f>
        <v>1.3648722100000001</v>
      </c>
      <c r="U58" s="294">
        <f>+(U33+U34)/100</f>
        <v>1.3690626800000001</v>
      </c>
      <c r="V58" s="236">
        <f>+U58-T58</f>
        <v>4.1904699999999462E-3</v>
      </c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</row>
    <row r="59" spans="10:33">
      <c r="J59" s="236"/>
      <c r="K59" s="236"/>
      <c r="L59" s="236"/>
      <c r="M59" s="236"/>
      <c r="N59" s="236"/>
      <c r="O59" s="236"/>
      <c r="P59" s="236"/>
      <c r="Q59" s="236"/>
      <c r="R59" s="236"/>
      <c r="S59" s="236" t="str">
        <f>+I36</f>
        <v>OPC 소급분</v>
      </c>
      <c r="T59" s="236">
        <f t="shared" ref="T59:U61" si="23">+T36/100</f>
        <v>0</v>
      </c>
      <c r="U59" s="236">
        <f t="shared" si="23"/>
        <v>0</v>
      </c>
      <c r="V59" s="236">
        <f>+U59-T59</f>
        <v>0</v>
      </c>
      <c r="W59" s="236"/>
      <c r="X59" s="236"/>
      <c r="Y59" s="236"/>
      <c r="Z59" s="236"/>
      <c r="AA59" s="236"/>
      <c r="AB59" s="236"/>
      <c r="AC59" s="236"/>
      <c r="AD59" s="236"/>
      <c r="AE59" s="236"/>
      <c r="AF59" s="236"/>
      <c r="AG59" s="236"/>
    </row>
    <row r="60" spans="10:33">
      <c r="S60" s="236" t="str">
        <f>+I37</f>
        <v>대손</v>
      </c>
      <c r="T60" s="236">
        <f t="shared" si="23"/>
        <v>0</v>
      </c>
      <c r="U60" s="236">
        <f t="shared" si="23"/>
        <v>0</v>
      </c>
      <c r="V60" s="236">
        <f>+U60-T60</f>
        <v>0</v>
      </c>
      <c r="AC60" s="236"/>
      <c r="AD60" s="236"/>
      <c r="AE60" s="236"/>
      <c r="AF60" s="236"/>
    </row>
    <row r="61" spans="10:33">
      <c r="S61" s="236" t="str">
        <f>+I38</f>
        <v>미운영 공장</v>
      </c>
      <c r="T61" s="236">
        <f t="shared" si="23"/>
        <v>-0.42504495999999997</v>
      </c>
      <c r="U61" s="236">
        <f t="shared" si="23"/>
        <v>-0.33071711999999998</v>
      </c>
      <c r="V61" s="236">
        <f>+U61-T61</f>
        <v>9.4327839999999996E-2</v>
      </c>
      <c r="AC61" s="236"/>
      <c r="AD61" s="236"/>
      <c r="AE61" s="236"/>
    </row>
    <row r="62" spans="10:33">
      <c r="S62" s="236" t="str">
        <f>+I40</f>
        <v>기타</v>
      </c>
      <c r="T62" s="236">
        <f>+T40/100</f>
        <v>-0.16802745000003028</v>
      </c>
      <c r="U62" s="236">
        <f>+U40/100</f>
        <v>-0.16010092000000894</v>
      </c>
      <c r="V62" s="236">
        <f>+U62-T62</f>
        <v>7.9265300000213312E-3</v>
      </c>
      <c r="AC62" s="236"/>
      <c r="AD62" s="236"/>
      <c r="AE62" s="236"/>
    </row>
    <row r="63" spans="10:33">
      <c r="T63" s="6">
        <f>SUM(T58:T62)</f>
        <v>0.77179979999996995</v>
      </c>
      <c r="U63" s="6">
        <f>SUM(U58:U62)</f>
        <v>0.87824463999999125</v>
      </c>
      <c r="V63" s="6">
        <f>SUM(V58:V62)</f>
        <v>0.10644484000002127</v>
      </c>
      <c r="AC63" s="236"/>
      <c r="AE63" s="236"/>
    </row>
    <row r="64" spans="10:33">
      <c r="AC64" s="236"/>
      <c r="AE64" s="236"/>
    </row>
    <row r="65" spans="29:31">
      <c r="AC65" s="236"/>
      <c r="AE65" s="236"/>
    </row>
    <row r="66" spans="29:31">
      <c r="AC66" s="236"/>
      <c r="AE66" s="236"/>
    </row>
    <row r="67" spans="29:31">
      <c r="AC67" s="236"/>
      <c r="AE67" s="236"/>
    </row>
    <row r="68" spans="29:31">
      <c r="AC68" s="236"/>
      <c r="AE68" s="236"/>
    </row>
    <row r="69" spans="29:31">
      <c r="AC69" s="236"/>
      <c r="AE69" s="236"/>
    </row>
    <row r="70" spans="29:31">
      <c r="AC70" s="236"/>
      <c r="AE70" s="236"/>
    </row>
    <row r="71" spans="29:31">
      <c r="AC71" s="236"/>
      <c r="AE71" s="236"/>
    </row>
    <row r="72" spans="29:31">
      <c r="AC72" s="236"/>
      <c r="AE72" s="236"/>
    </row>
    <row r="73" spans="29:31">
      <c r="AC73" s="236"/>
      <c r="AE73" s="236"/>
    </row>
    <row r="74" spans="29:31">
      <c r="AC74" s="236"/>
      <c r="AE74" s="236"/>
    </row>
    <row r="75" spans="29:31">
      <c r="AC75" s="236"/>
      <c r="AE75" s="236"/>
    </row>
    <row r="76" spans="29:31">
      <c r="AC76" s="236"/>
      <c r="AE76" s="236"/>
    </row>
    <row r="77" spans="29:31">
      <c r="AC77" s="236"/>
      <c r="AE77" s="236"/>
    </row>
    <row r="78" spans="29:31">
      <c r="AC78" s="236"/>
    </row>
  </sheetData>
  <mergeCells count="4">
    <mergeCell ref="H5:I6"/>
    <mergeCell ref="I46:I47"/>
    <mergeCell ref="H28:I28"/>
    <mergeCell ref="Y43:AG43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D905-614A-44EA-9ACC-3DB31372882A}">
  <sheetPr>
    <tabColor theme="1" tint="0.249977111117893"/>
    <pageSetUpPr fitToPage="1"/>
  </sheetPr>
  <dimension ref="A1:Z52"/>
  <sheetViews>
    <sheetView showGridLines="0" showZeros="0" view="pageBreakPreview" zoomScale="60" zoomScaleNormal="85" workbookViewId="0">
      <pane xSplit="4" ySplit="7" topLeftCell="E8" activePane="bottomRight" state="frozen"/>
      <selection activeCell="C33" sqref="C33"/>
      <selection pane="topRight" activeCell="C33" sqref="C33"/>
      <selection pane="bottomLeft" activeCell="C33" sqref="C33"/>
      <selection pane="bottomRight" activeCell="C33" sqref="C33"/>
    </sheetView>
  </sheetViews>
  <sheetFormatPr defaultRowHeight="16.5"/>
  <cols>
    <col min="1" max="3" width="5.625" style="6" customWidth="1"/>
    <col min="4" max="4" width="9.875" style="6" customWidth="1"/>
    <col min="5" max="7" width="9.625" style="6" customWidth="1"/>
    <col min="8" max="10" width="8.625" style="6" customWidth="1"/>
    <col min="11" max="23" width="9.625" style="6" customWidth="1"/>
    <col min="24" max="16384" width="9" style="6"/>
  </cols>
  <sheetData>
    <row r="1" spans="1:26" ht="9.9499999999999993" customHeight="1"/>
    <row r="2" spans="1:26" ht="9.9499999999999993" hidden="1" customHeight="1"/>
    <row r="3" spans="1:26" ht="9.9499999999999993" customHeight="1"/>
    <row r="4" spans="1:26" ht="31.5">
      <c r="D4" s="481" t="s">
        <v>228</v>
      </c>
      <c r="F4" s="481"/>
      <c r="I4" s="481"/>
      <c r="J4" s="481"/>
    </row>
    <row r="5" spans="1:26" ht="21.95" customHeight="1">
      <c r="W5" s="480" t="s">
        <v>157</v>
      </c>
    </row>
    <row r="6" spans="1:26" ht="24" customHeight="1" thickBot="1">
      <c r="A6" s="6" t="s">
        <v>156</v>
      </c>
      <c r="D6" s="841" t="s">
        <v>11</v>
      </c>
      <c r="E6" s="479" t="s">
        <v>155</v>
      </c>
      <c r="F6" s="478"/>
      <c r="G6" s="477"/>
      <c r="H6" s="479" t="s">
        <v>154</v>
      </c>
      <c r="I6" s="478"/>
      <c r="J6" s="478"/>
      <c r="K6" s="477"/>
      <c r="L6" s="479" t="s">
        <v>153</v>
      </c>
      <c r="M6" s="478"/>
      <c r="N6" s="478"/>
      <c r="O6" s="477"/>
      <c r="P6" s="479" t="s">
        <v>152</v>
      </c>
      <c r="Q6" s="478"/>
      <c r="R6" s="478"/>
      <c r="S6" s="477"/>
      <c r="T6" s="479" t="s">
        <v>151</v>
      </c>
      <c r="U6" s="478"/>
      <c r="V6" s="478"/>
      <c r="W6" s="477"/>
    </row>
    <row r="7" spans="1:26" ht="24" customHeight="1">
      <c r="D7" s="842"/>
      <c r="E7" s="475" t="s">
        <v>36</v>
      </c>
      <c r="F7" s="474" t="s">
        <v>37</v>
      </c>
      <c r="G7" s="476" t="s">
        <v>38</v>
      </c>
      <c r="H7" s="475" t="s">
        <v>12</v>
      </c>
      <c r="I7" s="474" t="s">
        <v>13</v>
      </c>
      <c r="J7" s="473" t="s">
        <v>38</v>
      </c>
      <c r="K7" s="472" t="s">
        <v>150</v>
      </c>
      <c r="L7" s="475" t="s">
        <v>12</v>
      </c>
      <c r="M7" s="474" t="s">
        <v>13</v>
      </c>
      <c r="N7" s="473" t="s">
        <v>38</v>
      </c>
      <c r="O7" s="472" t="s">
        <v>150</v>
      </c>
      <c r="P7" s="475" t="s">
        <v>12</v>
      </c>
      <c r="Q7" s="474" t="s">
        <v>13</v>
      </c>
      <c r="R7" s="473" t="s">
        <v>38</v>
      </c>
      <c r="S7" s="472" t="s">
        <v>150</v>
      </c>
      <c r="T7" s="475" t="s">
        <v>12</v>
      </c>
      <c r="U7" s="474" t="s">
        <v>13</v>
      </c>
      <c r="V7" s="473" t="s">
        <v>38</v>
      </c>
      <c r="W7" s="472" t="s">
        <v>150</v>
      </c>
    </row>
    <row r="8" spans="1:26" ht="24" customHeight="1">
      <c r="D8" s="471" t="s">
        <v>32</v>
      </c>
      <c r="E8" s="469">
        <f>+[4]합계!$H$86/1000</f>
        <v>742.72508714564731</v>
      </c>
      <c r="F8" s="468">
        <f>+[4]합계!$I$86/1000</f>
        <v>23.138241000001084</v>
      </c>
      <c r="G8" s="467">
        <f t="shared" ref="G8:G28" si="0">+F8-E8</f>
        <v>-719.58684614564618</v>
      </c>
      <c r="H8" s="469">
        <f>+[4]합계!$T$5/1000</f>
        <v>207</v>
      </c>
      <c r="I8" s="468">
        <f>+[4]합계!$U$5/1000</f>
        <v>177.87950000000001</v>
      </c>
      <c r="J8" s="467">
        <f t="shared" ref="J8:J28" si="1">+I8-H8</f>
        <v>-29.120499999999993</v>
      </c>
      <c r="K8" s="470">
        <f>+[4]합계!$M$86/1000</f>
        <v>-255.80367107396572</v>
      </c>
      <c r="L8" s="469">
        <f>+[4]합계!$Q$85</f>
        <v>100559.86996429774</v>
      </c>
      <c r="M8" s="468">
        <f>+[4]합계!$R$85</f>
        <v>100932.18102189782</v>
      </c>
      <c r="N8" s="467">
        <f t="shared" ref="N8:N28" si="2">+M8-L8</f>
        <v>372.31105760007631</v>
      </c>
      <c r="O8" s="470">
        <f>+[4]합계!$K$86/1000</f>
        <v>65.926049746889504</v>
      </c>
      <c r="P8" s="469">
        <f>+[4]합계!$Q$50</f>
        <v>91988.450656476009</v>
      </c>
      <c r="Q8" s="468">
        <f>+[4]합계!$R$50</f>
        <v>94581.98327464053</v>
      </c>
      <c r="R8" s="467">
        <f t="shared" ref="R8:R28" si="3">+Q8-P8</f>
        <v>2593.5326181645214</v>
      </c>
      <c r="S8" s="470">
        <f>+[4]합계!$L$56/1000</f>
        <v>-453.29121150202303</v>
      </c>
      <c r="T8" s="469">
        <f>+([4]합계!$H$80+[4]합계!$H$85)/1000</f>
        <v>1027.9587095734569</v>
      </c>
      <c r="U8" s="468">
        <f>+([4]합계!$I$80+[4]합계!$I$85)/1000</f>
        <v>1104.3767228900001</v>
      </c>
      <c r="V8" s="467">
        <f t="shared" ref="V8:V28" si="4">+U8-T8</f>
        <v>76.418013316543238</v>
      </c>
      <c r="W8" s="466">
        <f>+([4]합계!$L$80+[4]합계!$L$85)/1000</f>
        <v>-76.418013316543394</v>
      </c>
      <c r="Y8" s="6">
        <f t="shared" ref="Y8:Y28" si="5">+G8-K8-O8-S8-W8</f>
        <v>-3.5385028240852989E-12</v>
      </c>
      <c r="Z8" s="6">
        <f t="shared" ref="Z8:Z28" si="6">+Y8*1000000</f>
        <v>-3.5385028240852989E-6</v>
      </c>
    </row>
    <row r="9" spans="1:26" ht="24" customHeight="1">
      <c r="D9" s="465" t="s">
        <v>16</v>
      </c>
      <c r="E9" s="464">
        <f>+[4]수도권!$H$86/1000</f>
        <v>124.80097902013713</v>
      </c>
      <c r="F9" s="463">
        <f>+[4]수도권!$I$86/1000</f>
        <v>-252.97409999999959</v>
      </c>
      <c r="G9" s="462">
        <f t="shared" si="0"/>
        <v>-377.77507902013673</v>
      </c>
      <c r="H9" s="464">
        <f>+[4]수도권!$T$5/1000</f>
        <v>76</v>
      </c>
      <c r="I9" s="463">
        <f>+[4]수도권!$U$5/1000</f>
        <v>56.9285</v>
      </c>
      <c r="J9" s="462">
        <f t="shared" si="1"/>
        <v>-19.0715</v>
      </c>
      <c r="K9" s="461">
        <f>+[4]수도권!$M$86/1000</f>
        <v>-111.17822106668027</v>
      </c>
      <c r="L9" s="464">
        <f>+[4]수도권!$Q$85</f>
        <v>97486.591313220357</v>
      </c>
      <c r="M9" s="463">
        <f>+[4]수도권!$R$85</f>
        <v>99000.138823260757</v>
      </c>
      <c r="N9" s="462">
        <f t="shared" si="2"/>
        <v>1513.5475100404001</v>
      </c>
      <c r="O9" s="461">
        <f>+[4]수도권!$K$86/1000</f>
        <v>86.163989425334918</v>
      </c>
      <c r="P9" s="464">
        <f>+[4]수도권!$Q$50</f>
        <v>91609.675081734327</v>
      </c>
      <c r="Q9" s="463">
        <f>+[4]수도권!$R$50</f>
        <v>97530.530039924546</v>
      </c>
      <c r="R9" s="462">
        <f t="shared" si="3"/>
        <v>5920.8549581902189</v>
      </c>
      <c r="S9" s="461">
        <f>+[4]수도권!$L$56/1000</f>
        <v>-333.80223476159108</v>
      </c>
      <c r="T9" s="464">
        <f>+([4]수도권!$H$80+[4]수도권!$H$85)/1000</f>
        <v>318.24465457280002</v>
      </c>
      <c r="U9" s="463">
        <f>+([4]수도권!$I$80+[4]수도권!$I$85)/1000</f>
        <v>337.20326719000002</v>
      </c>
      <c r="V9" s="462">
        <f t="shared" si="4"/>
        <v>18.958612617200004</v>
      </c>
      <c r="W9" s="461">
        <f>+([4]수도권!$L$80+[4]수도권!$L$85)/1000</f>
        <v>-18.958612617199996</v>
      </c>
      <c r="Y9" s="6">
        <f t="shared" si="5"/>
        <v>-3.4816594052244909E-13</v>
      </c>
      <c r="Z9" s="6">
        <f t="shared" si="6"/>
        <v>-3.4816594052244909E-7</v>
      </c>
    </row>
    <row r="10" spans="1:26" ht="24" customHeight="1">
      <c r="D10" s="460" t="s">
        <v>17</v>
      </c>
      <c r="E10" s="459">
        <f>+[4]영남권!$H$86/1000</f>
        <v>383.20535398633285</v>
      </c>
      <c r="F10" s="458">
        <f>+[4]영남권!$I$86/1000</f>
        <v>128.76609600000091</v>
      </c>
      <c r="G10" s="457">
        <f t="shared" si="0"/>
        <v>-254.43925798633194</v>
      </c>
      <c r="H10" s="459">
        <f>+[4]영남권!$T$5/1000</f>
        <v>97</v>
      </c>
      <c r="I10" s="458">
        <f>+[4]영남권!$U$5/1000</f>
        <v>81.123000000000005</v>
      </c>
      <c r="J10" s="457">
        <f t="shared" si="1"/>
        <v>-15.876999999999995</v>
      </c>
      <c r="K10" s="456">
        <f>+[4]영남권!$M$86/1000</f>
        <v>-146.38966322357393</v>
      </c>
      <c r="L10" s="459">
        <f>+[4]영남권!$Q$85</f>
        <v>100500.1554928339</v>
      </c>
      <c r="M10" s="458">
        <f>+[4]영남권!$R$85</f>
        <v>100960.81481298667</v>
      </c>
      <c r="N10" s="457">
        <f t="shared" si="2"/>
        <v>460.65932015277212</v>
      </c>
      <c r="O10" s="456">
        <f>+[4]영남권!$K$86/1000</f>
        <v>37.330449327220194</v>
      </c>
      <c r="P10" s="459">
        <f>+[4]영남권!$Q$50</f>
        <v>91317.253580688674</v>
      </c>
      <c r="Q10" s="458">
        <f>+[4]영남권!$R$50</f>
        <v>92540.674551464763</v>
      </c>
      <c r="R10" s="457">
        <f t="shared" si="3"/>
        <v>1223.4209707760892</v>
      </c>
      <c r="S10" s="456">
        <f>+[4]영남권!$L$56/1000</f>
        <v>-92.046899211731159</v>
      </c>
      <c r="T10" s="459">
        <f>+([4]영남권!$H$80+[4]영남권!$H$85)/1000</f>
        <v>507.53613149175362</v>
      </c>
      <c r="U10" s="458">
        <f>+([4]영남권!$I$80+[4]영남권!$I$85)/1000</f>
        <v>560.86927636999997</v>
      </c>
      <c r="V10" s="457">
        <f t="shared" si="4"/>
        <v>53.333144878246344</v>
      </c>
      <c r="W10" s="456">
        <f>+([4]영남권!$L$80+[4]영남권!$L$85)/1000</f>
        <v>-53.333144878246372</v>
      </c>
      <c r="Y10" s="6">
        <f t="shared" si="5"/>
        <v>-6.5369931689929217E-13</v>
      </c>
      <c r="Z10" s="6">
        <f t="shared" si="6"/>
        <v>-6.5369931689929217E-7</v>
      </c>
    </row>
    <row r="11" spans="1:26" ht="24" customHeight="1">
      <c r="D11" s="455" t="s">
        <v>149</v>
      </c>
      <c r="E11" s="454">
        <f>+[4]중부권!$H$86/1000</f>
        <v>234.71875413917149</v>
      </c>
      <c r="F11" s="453">
        <f>+[4]중부권!$I$86/1000</f>
        <v>147.34624499999981</v>
      </c>
      <c r="G11" s="452">
        <f t="shared" si="0"/>
        <v>-87.372509139171683</v>
      </c>
      <c r="H11" s="454">
        <f>+[4]중부권!$T$5/1000</f>
        <v>34</v>
      </c>
      <c r="I11" s="453">
        <f>+[4]중부권!$U$5/1000</f>
        <v>39.828000000000003</v>
      </c>
      <c r="J11" s="452">
        <f t="shared" si="1"/>
        <v>5.828000000000003</v>
      </c>
      <c r="K11" s="451">
        <f>+[4]중부권!$M$86/1000</f>
        <v>65.624452963197484</v>
      </c>
      <c r="L11" s="454">
        <f>+[4]중부권!$Q$85</f>
        <v>107599.91352941176</v>
      </c>
      <c r="M11" s="453">
        <f>+[4]중부권!$R$85</f>
        <v>103685.34203595265</v>
      </c>
      <c r="N11" s="452">
        <f t="shared" si="2"/>
        <v>-3914.5714934591088</v>
      </c>
      <c r="O11" s="451">
        <f>+[4]중부권!$K$86/1000</f>
        <v>-153.08714739470537</v>
      </c>
      <c r="P11" s="454">
        <f>+[4]중부권!$Q$50</f>
        <v>94750.01124564487</v>
      </c>
      <c r="Q11" s="453">
        <f>+[4]중부권!$R$50</f>
        <v>94643.8642508497</v>
      </c>
      <c r="R11" s="452">
        <f t="shared" si="3"/>
        <v>-106.14699479517003</v>
      </c>
      <c r="S11" s="451">
        <f>+[4]중부권!$L$56/1000</f>
        <v>4.2164411134337172</v>
      </c>
      <c r="T11" s="454">
        <f>+([4]중부권!$H$80+[4]중부권!$H$85)/1000</f>
        <v>202.17792350890298</v>
      </c>
      <c r="U11" s="453">
        <f>+([4]중부권!$I$80+[4]중부권!$I$85)/1000</f>
        <v>206.30417933000001</v>
      </c>
      <c r="V11" s="452">
        <f t="shared" si="4"/>
        <v>4.1262558210970326</v>
      </c>
      <c r="W11" s="451">
        <f>+([4]중부권!$L$80+[4]중부권!$L$85)/1000</f>
        <v>-4.1262558210970361</v>
      </c>
      <c r="Y11" s="6">
        <f t="shared" si="5"/>
        <v>-4.7961634663806763E-13</v>
      </c>
      <c r="Z11" s="6">
        <f t="shared" si="6"/>
        <v>-4.7961634663806763E-7</v>
      </c>
    </row>
    <row r="12" spans="1:26" ht="24" customHeight="1">
      <c r="D12" s="450" t="s">
        <v>18</v>
      </c>
      <c r="E12" s="448">
        <f>+[4]안양!$H$86/1000</f>
        <v>154.13646743029472</v>
      </c>
      <c r="F12" s="447">
        <f>+[4]안양!$I$86/1000</f>
        <v>88.057685000000447</v>
      </c>
      <c r="G12" s="449">
        <f t="shared" si="0"/>
        <v>-66.078782430294268</v>
      </c>
      <c r="H12" s="448">
        <f>+[4]안양!$T$5/1000</f>
        <v>30</v>
      </c>
      <c r="I12" s="447">
        <f>+[4]안양!$U$5/1000</f>
        <v>27.196999999999999</v>
      </c>
      <c r="J12" s="446">
        <f t="shared" si="1"/>
        <v>-2.8030000000000008</v>
      </c>
      <c r="K12" s="445">
        <f>+[4]안양!$M$86/1000</f>
        <v>-23.432965688185387</v>
      </c>
      <c r="L12" s="448">
        <f>+[4]안양!$Q$85</f>
        <v>98219.130999999979</v>
      </c>
      <c r="M12" s="447">
        <f>+[4]안양!$R$85</f>
        <v>99506.196823179038</v>
      </c>
      <c r="N12" s="446">
        <f t="shared" si="2"/>
        <v>1287.0658231790585</v>
      </c>
      <c r="O12" s="445">
        <f>+[4]안양!$K$86/1000</f>
        <v>35.004329193000856</v>
      </c>
      <c r="P12" s="448">
        <f>+[4]안양!$Q$50</f>
        <v>89859.171781953104</v>
      </c>
      <c r="Q12" s="447">
        <f>+[4]안양!$R$50</f>
        <v>92526.295436996734</v>
      </c>
      <c r="R12" s="446">
        <f t="shared" si="3"/>
        <v>2667.1236550436297</v>
      </c>
      <c r="S12" s="445">
        <f>+[4]안양!$L$56/1000</f>
        <v>-72.537750126221198</v>
      </c>
      <c r="T12" s="448">
        <f>+([4]안양!$H$80+[4]안양!$H$85)/1000</f>
        <v>96.662309111111099</v>
      </c>
      <c r="U12" s="447">
        <f>+([4]안양!$I$80+[4]안양!$I$85)/1000</f>
        <v>101.77470492</v>
      </c>
      <c r="V12" s="446">
        <f t="shared" si="4"/>
        <v>5.1123958088889054</v>
      </c>
      <c r="W12" s="445">
        <f>+([4]안양!$L$80+[4]안양!$L$85)/1000</f>
        <v>-5.1123958088888912</v>
      </c>
      <c r="Y12" s="6">
        <f t="shared" si="5"/>
        <v>3.5527136788005009E-13</v>
      </c>
      <c r="Z12" s="6">
        <f t="shared" si="6"/>
        <v>3.5527136788005009E-7</v>
      </c>
    </row>
    <row r="13" spans="1:26" ht="24" customHeight="1">
      <c r="D13" s="437" t="s">
        <v>19</v>
      </c>
      <c r="E13" s="434">
        <f>+[4]인천!$H$86/1000</f>
        <v>18.630676111497021</v>
      </c>
      <c r="F13" s="433">
        <f>+[4]인천!$I$86/1000</f>
        <v>-127.14974199999995</v>
      </c>
      <c r="G13" s="435">
        <f t="shared" si="0"/>
        <v>-145.78041811149697</v>
      </c>
      <c r="H13" s="434">
        <f>+[4]인천!$T$5/1000</f>
        <v>25</v>
      </c>
      <c r="I13" s="433">
        <f>+[4]인천!$U$5/1000</f>
        <v>15.904</v>
      </c>
      <c r="J13" s="152">
        <f t="shared" si="1"/>
        <v>-9.0960000000000001</v>
      </c>
      <c r="K13" s="432">
        <f>+[4]인천!$M$86/1000</f>
        <v>-41.509107692707914</v>
      </c>
      <c r="L13" s="434">
        <f>+[4]인천!$Q$85</f>
        <v>97359.534736189962</v>
      </c>
      <c r="M13" s="433">
        <f>+[4]인천!$R$85</f>
        <v>100747.09519617706</v>
      </c>
      <c r="N13" s="152">
        <f t="shared" si="2"/>
        <v>3387.5604599871003</v>
      </c>
      <c r="O13" s="432">
        <f>+[4]인천!$K$86/1000</f>
        <v>53.875761555634838</v>
      </c>
      <c r="P13" s="434">
        <f>+[4]인천!$Q$50</f>
        <v>92716.088419929176</v>
      </c>
      <c r="Q13" s="433">
        <f>+[4]인천!$R$50</f>
        <v>102157.96116687579</v>
      </c>
      <c r="R13" s="152">
        <f t="shared" si="3"/>
        <v>9441.8727469466103</v>
      </c>
      <c r="S13" s="432">
        <f>+[4]인천!$L$56/1000</f>
        <v>-148.59587945944608</v>
      </c>
      <c r="T13" s="434">
        <f>+([4]인천!$H$80+[4]인천!$H$85)/1000</f>
        <v>95.455481795022237</v>
      </c>
      <c r="U13" s="433">
        <f>+([4]인천!$I$80+[4]인천!$I$85)/1000</f>
        <v>105.00667431000001</v>
      </c>
      <c r="V13" s="152">
        <f t="shared" si="4"/>
        <v>9.551192514977771</v>
      </c>
      <c r="W13" s="432">
        <f>+([4]인천!$L$80+[4]인천!$L$85)/1000</f>
        <v>-9.5511925149777692</v>
      </c>
      <c r="Y13" s="6">
        <f t="shared" si="5"/>
        <v>-5.8619775700208265E-14</v>
      </c>
      <c r="Z13" s="6">
        <f t="shared" si="6"/>
        <v>-5.8619775700208265E-8</v>
      </c>
    </row>
    <row r="14" spans="1:26" ht="24" customHeight="1">
      <c r="D14" s="437" t="s">
        <v>20</v>
      </c>
      <c r="E14" s="434">
        <f>+[4]파주!$H$86/1000</f>
        <v>-13.542758386734153</v>
      </c>
      <c r="F14" s="433">
        <f>+[4]파주!$I$86/1000</f>
        <v>-106.54514699999989</v>
      </c>
      <c r="G14" s="435">
        <f t="shared" si="0"/>
        <v>-93.002388613265737</v>
      </c>
      <c r="H14" s="434">
        <f>+[4]파주!$T$5/1000</f>
        <v>14</v>
      </c>
      <c r="I14" s="433">
        <f>+[4]파주!$U$5/1000</f>
        <v>8.4429999999999996</v>
      </c>
      <c r="J14" s="152">
        <f t="shared" si="1"/>
        <v>-5.5570000000000004</v>
      </c>
      <c r="K14" s="432">
        <f>+[4]파주!$M$86/1000</f>
        <v>-22.968016098414779</v>
      </c>
      <c r="L14" s="434">
        <f>+[4]파주!$Q$85</f>
        <v>96266.345814285713</v>
      </c>
      <c r="M14" s="433">
        <f>+[4]파주!$R$85</f>
        <v>94891.839393580478</v>
      </c>
      <c r="N14" s="152">
        <f t="shared" si="2"/>
        <v>-1374.5064207052346</v>
      </c>
      <c r="O14" s="432">
        <f>+[4]파주!$K$86/1000</f>
        <v>-11.604957710014297</v>
      </c>
      <c r="P14" s="434">
        <f>+[4]파주!$Q$50</f>
        <v>92133.177540322271</v>
      </c>
      <c r="Q14" s="433">
        <f>+[4]파주!$R$50</f>
        <v>98645.5349745532</v>
      </c>
      <c r="R14" s="152">
        <f t="shared" si="3"/>
        <v>6512.3574342309294</v>
      </c>
      <c r="S14" s="432">
        <f>+[4]파주!$L$56/1000</f>
        <v>-55.011837567058883</v>
      </c>
      <c r="T14" s="434">
        <f>+([4]파주!$H$80+[4]파주!$H$85)/1000</f>
        <v>71.407114222222205</v>
      </c>
      <c r="U14" s="433">
        <f>+([4]파주!$I$80+[4]파주!$I$85)/1000</f>
        <v>74.824691459999997</v>
      </c>
      <c r="V14" s="152">
        <f t="shared" si="4"/>
        <v>3.4175772377777918</v>
      </c>
      <c r="W14" s="432">
        <f>+([4]파주!$L$80+[4]파주!$L$85)/1000</f>
        <v>-3.4175772377777802</v>
      </c>
      <c r="Y14" s="6">
        <f t="shared" si="5"/>
        <v>0</v>
      </c>
      <c r="Z14" s="6">
        <f t="shared" si="6"/>
        <v>0</v>
      </c>
    </row>
    <row r="15" spans="1:26" ht="24" customHeight="1">
      <c r="D15" s="437" t="s">
        <v>108</v>
      </c>
      <c r="E15" s="434">
        <f>+[4]김포!$H$86/1000</f>
        <v>-34.423406134919276</v>
      </c>
      <c r="F15" s="433">
        <f>+[4]김포!$I$86/1000</f>
        <v>-107.3368960000001</v>
      </c>
      <c r="G15" s="435">
        <f t="shared" si="0"/>
        <v>-72.91348986508082</v>
      </c>
      <c r="H15" s="434">
        <f>+[4]김포!$T$5/1000</f>
        <v>7</v>
      </c>
      <c r="I15" s="433">
        <f>+[4]김포!$U$5/1000</f>
        <v>5.3845000000000001</v>
      </c>
      <c r="J15" s="152">
        <f t="shared" si="1"/>
        <v>-1.6154999999999999</v>
      </c>
      <c r="K15" s="432">
        <f>+[4]김포!$M$86/1000</f>
        <v>-4.6841060880768053</v>
      </c>
      <c r="L15" s="434">
        <f>+[4]김포!$Q$85</f>
        <v>97241.400000000009</v>
      </c>
      <c r="M15" s="433">
        <f>+[4]김포!$R$85</f>
        <v>97726.022100473565</v>
      </c>
      <c r="N15" s="152">
        <f t="shared" si="2"/>
        <v>484.6221004735562</v>
      </c>
      <c r="O15" s="432">
        <f>+[4]김포!$K$86/1000</f>
        <v>2.6094476999998633</v>
      </c>
      <c r="P15" s="434">
        <f>+[4]김포!$Q$50</f>
        <v>94113.350955782109</v>
      </c>
      <c r="Q15" s="444">
        <f>+[4]김포!$R$50</f>
        <v>107336.55980728249</v>
      </c>
      <c r="R15" s="152">
        <f t="shared" si="3"/>
        <v>13223.208851500385</v>
      </c>
      <c r="S15" s="432">
        <f>+[4]김포!$L$56/1000</f>
        <v>-69.961384421448358</v>
      </c>
      <c r="T15" s="434">
        <f>+([4]김포!$H$80+[4]김포!$H$85)/1000</f>
        <v>54.719749444444446</v>
      </c>
      <c r="U15" s="433">
        <f>+([4]김포!$I$80+[4]김포!$I$85)/1000</f>
        <v>55.597196499999995</v>
      </c>
      <c r="V15" s="152">
        <f t="shared" si="4"/>
        <v>0.87744705555554958</v>
      </c>
      <c r="W15" s="432">
        <f>+([4]김포!$L$80+[4]김포!$L$85)/1000</f>
        <v>-0.87744705555555291</v>
      </c>
      <c r="Y15" s="6">
        <f t="shared" si="5"/>
        <v>3.1752378504279477E-14</v>
      </c>
      <c r="Z15" s="6">
        <f t="shared" si="6"/>
        <v>3.1752378504279477E-8</v>
      </c>
    </row>
    <row r="16" spans="1:26" ht="24" customHeight="1">
      <c r="D16" s="443" t="s">
        <v>21</v>
      </c>
      <c r="E16" s="441">
        <f>+[4]부산!$H$86/1000</f>
        <v>91.66857613622939</v>
      </c>
      <c r="F16" s="440">
        <f>+[4]부산!$I$86/1000</f>
        <v>26.931239000000105</v>
      </c>
      <c r="G16" s="442">
        <f t="shared" si="0"/>
        <v>-64.737337136229286</v>
      </c>
      <c r="H16" s="441">
        <f>+[4]부산!$T$5/1000</f>
        <v>17</v>
      </c>
      <c r="I16" s="440">
        <f>+[4]부산!$U$5/1000</f>
        <v>13.731</v>
      </c>
      <c r="J16" s="439">
        <f t="shared" si="1"/>
        <v>-3.2690000000000001</v>
      </c>
      <c r="K16" s="438">
        <f>+[4]부산!$M$86/1000</f>
        <v>-35.533803610555594</v>
      </c>
      <c r="L16" s="441">
        <f>+[4]부산!$Q$85</f>
        <v>107700.25336352941</v>
      </c>
      <c r="M16" s="440">
        <f>+[4]부산!$R$85</f>
        <v>105326.38555094313</v>
      </c>
      <c r="N16" s="439">
        <f t="shared" si="2"/>
        <v>-2373.8678125862789</v>
      </c>
      <c r="O16" s="438">
        <f>+[4]부산!$K$86/1000</f>
        <v>-32.595578934622196</v>
      </c>
      <c r="P16" s="441">
        <f>+[4]부산!$Q$50</f>
        <v>96830.322616953825</v>
      </c>
      <c r="Q16" s="440">
        <f>+[4]부산!$R$50</f>
        <v>96034.970033376871</v>
      </c>
      <c r="R16" s="439">
        <f t="shared" si="3"/>
        <v>-795.3525835769542</v>
      </c>
      <c r="S16" s="438">
        <f>+[4]부산!$L$56/1000</f>
        <v>40.888096743392992</v>
      </c>
      <c r="T16" s="441">
        <f>+([4]부산!$H$80+[4]부산!$H$85)/1000</f>
        <v>93.120246555555553</v>
      </c>
      <c r="U16" s="440">
        <f>+([4]부산!$I$80+[4]부산!$I$85)/1000</f>
        <v>130.61629789</v>
      </c>
      <c r="V16" s="439">
        <f t="shared" si="4"/>
        <v>37.496051334444445</v>
      </c>
      <c r="W16" s="438">
        <f>+([4]부산!$L$80+[4]부산!$L$85)/1000</f>
        <v>-37.496051334444438</v>
      </c>
      <c r="Y16" s="6">
        <f t="shared" si="5"/>
        <v>0</v>
      </c>
      <c r="Z16" s="6">
        <f t="shared" si="6"/>
        <v>0</v>
      </c>
    </row>
    <row r="17" spans="4:26" ht="24" customHeight="1">
      <c r="D17" s="437" t="s">
        <v>22</v>
      </c>
      <c r="E17" s="434">
        <f>+[4]서부산!$H$86/1000</f>
        <v>52.179472651721753</v>
      </c>
      <c r="F17" s="433">
        <f>+[4]서부산!$I$86/1000</f>
        <v>35.159032999999923</v>
      </c>
      <c r="G17" s="435">
        <f t="shared" si="0"/>
        <v>-17.02043965172183</v>
      </c>
      <c r="H17" s="434">
        <f>+[4]서부산!$T$5/1000</f>
        <v>15</v>
      </c>
      <c r="I17" s="433">
        <f>+[4]서부산!$U$5/1000</f>
        <v>12.446</v>
      </c>
      <c r="J17" s="152">
        <f t="shared" si="1"/>
        <v>-2.5540000000000003</v>
      </c>
      <c r="K17" s="432">
        <f>+[4]서부산!$M$86/1000</f>
        <v>-21.935295199929445</v>
      </c>
      <c r="L17" s="434">
        <f>+[4]서부산!$Q$85</f>
        <v>99300.16933333331</v>
      </c>
      <c r="M17" s="433">
        <f>+[4]서부산!$R$85</f>
        <v>98009.738068455714</v>
      </c>
      <c r="N17" s="152">
        <f t="shared" si="2"/>
        <v>-1290.4312648775958</v>
      </c>
      <c r="O17" s="432">
        <f>+[4]서부산!$K$86/1000</f>
        <v>-16.060707522666558</v>
      </c>
      <c r="P17" s="434">
        <f>+[4]서부산!$Q$50</f>
        <v>90711.565104700014</v>
      </c>
      <c r="Q17" s="433">
        <f>+[4]서부산!$R$50</f>
        <v>86878.523719676537</v>
      </c>
      <c r="R17" s="152">
        <f t="shared" si="3"/>
        <v>-3833.0413850234763</v>
      </c>
      <c r="S17" s="432">
        <f>+[4]서부산!$L$56/1000</f>
        <v>29.454536793096324</v>
      </c>
      <c r="T17" s="434">
        <f>+([4]서부산!$H$80+[4]서부산!$H$85)/1000</f>
        <v>76.649590777777775</v>
      </c>
      <c r="U17" s="433">
        <f>+([4]서부산!$I$80+[4]서부산!$I$85)/1000</f>
        <v>85.128564499999996</v>
      </c>
      <c r="V17" s="152">
        <f t="shared" si="4"/>
        <v>8.4789737222222215</v>
      </c>
      <c r="W17" s="432">
        <f>+([4]서부산!$L$80+[4]서부산!$L$85)/1000</f>
        <v>-8.4789737222222268</v>
      </c>
      <c r="Y17" s="6">
        <f t="shared" si="5"/>
        <v>7.638334409421077E-14</v>
      </c>
      <c r="Z17" s="6">
        <f t="shared" si="6"/>
        <v>7.638334409421077E-8</v>
      </c>
    </row>
    <row r="18" spans="4:26" ht="24" customHeight="1">
      <c r="D18" s="437" t="s">
        <v>23</v>
      </c>
      <c r="E18" s="434">
        <f>+[4]김해!$H$86/1000</f>
        <v>56.902461217642539</v>
      </c>
      <c r="F18" s="433">
        <f>+[4]김해!$I$86/1000</f>
        <v>-64.48772100000005</v>
      </c>
      <c r="G18" s="435">
        <f t="shared" si="0"/>
        <v>-121.39018221764259</v>
      </c>
      <c r="H18" s="434">
        <f>+[4]김해!$T$5/1000</f>
        <v>12</v>
      </c>
      <c r="I18" s="433">
        <f>+[4]김해!$U$5/1000</f>
        <v>5.2169999999999996</v>
      </c>
      <c r="J18" s="152">
        <f t="shared" si="1"/>
        <v>-6.7830000000000004</v>
      </c>
      <c r="K18" s="432">
        <f>+[4]김해!$M$86/1000</f>
        <v>-61.581998670054482</v>
      </c>
      <c r="L18" s="434">
        <f>+[4]김해!$Q$85</f>
        <v>96300.27499999998</v>
      </c>
      <c r="M18" s="433">
        <f>+[4]김해!$R$85</f>
        <v>94432.371857337756</v>
      </c>
      <c r="N18" s="152">
        <f t="shared" si="2"/>
        <v>-1867.9031426622241</v>
      </c>
      <c r="O18" s="432">
        <f>+[4]김해!$K$86/1000</f>
        <v>-9.5842110249998722</v>
      </c>
      <c r="P18" s="434">
        <f>+[4]김해!$Q$50</f>
        <v>87306.389620752001</v>
      </c>
      <c r="Q18" s="433">
        <f>+[4]김해!$R$50</f>
        <v>95642.538881309694</v>
      </c>
      <c r="R18" s="152">
        <f t="shared" si="3"/>
        <v>8336.1492605576932</v>
      </c>
      <c r="S18" s="432">
        <f>+[4]김해!$L$56/1000</f>
        <v>-41.260919395921533</v>
      </c>
      <c r="T18" s="434">
        <f>+([4]김해!$H$80+[4]김해!$H$85)/1000</f>
        <v>51.024163333333327</v>
      </c>
      <c r="U18" s="433">
        <f>+([4]김해!$I$80+[4]김해!$I$85)/1000</f>
        <v>59.987216460000006</v>
      </c>
      <c r="V18" s="152">
        <f t="shared" si="4"/>
        <v>8.9630531266666793</v>
      </c>
      <c r="W18" s="432">
        <f>+([4]김해!$L$80+[4]김해!$L$85)/1000</f>
        <v>-8.9630531266666722</v>
      </c>
      <c r="Y18" s="6">
        <f t="shared" si="5"/>
        <v>-2.8421709430404007E-14</v>
      </c>
      <c r="Z18" s="6">
        <f t="shared" si="6"/>
        <v>-2.8421709430404007E-8</v>
      </c>
    </row>
    <row r="19" spans="4:26" ht="24" customHeight="1">
      <c r="D19" s="437" t="s">
        <v>24</v>
      </c>
      <c r="E19" s="434">
        <f>+[4]정관!$H$86/1000</f>
        <v>130.22966713129031</v>
      </c>
      <c r="F19" s="433">
        <f>+[4]정관!$I$86/1000</f>
        <v>94.408489999999901</v>
      </c>
      <c r="G19" s="435">
        <f t="shared" si="0"/>
        <v>-35.821177131290412</v>
      </c>
      <c r="H19" s="434">
        <f>+[4]정관!$T$5/1000</f>
        <v>18</v>
      </c>
      <c r="I19" s="433">
        <f>+[4]정관!$U$5/1000</f>
        <v>16.167000000000002</v>
      </c>
      <c r="J19" s="152">
        <f t="shared" si="1"/>
        <v>-1.8329999999999984</v>
      </c>
      <c r="K19" s="432">
        <f>+[4]정관!$M$86/1000</f>
        <v>-20.852950582036399</v>
      </c>
      <c r="L19" s="434">
        <f>+[4]정관!$Q$85</f>
        <v>101999.68326666666</v>
      </c>
      <c r="M19" s="433">
        <f>+[4]정관!$R$85</f>
        <v>103005.46174305685</v>
      </c>
      <c r="N19" s="152">
        <f t="shared" si="2"/>
        <v>1005.7784763901873</v>
      </c>
      <c r="O19" s="432">
        <f>+[4]정관!$K$86/1000</f>
        <v>16.260420627800155</v>
      </c>
      <c r="P19" s="434">
        <f>+[4]정관!$Q$50</f>
        <v>90623.278148261641</v>
      </c>
      <c r="Q19" s="433">
        <f>+[4]정관!$R$50</f>
        <v>93424.511341862919</v>
      </c>
      <c r="R19" s="152">
        <f t="shared" si="3"/>
        <v>2801.2331936012779</v>
      </c>
      <c r="S19" s="432">
        <f>+[4]정관!$L$56/1000</f>
        <v>-38.122168837054211</v>
      </c>
      <c r="T19" s="434">
        <f>+([4]정관!$H$80+[4]정관!$H$85)/1000</f>
        <v>74.545625000000001</v>
      </c>
      <c r="U19" s="433">
        <f>+([4]정관!$I$80+[4]정관!$I$85)/1000</f>
        <v>67.652103339999996</v>
      </c>
      <c r="V19" s="152">
        <f t="shared" si="4"/>
        <v>-6.8935216600000047</v>
      </c>
      <c r="W19" s="432">
        <f>+([4]정관!$L$80+[4]정관!$L$85)/1000</f>
        <v>6.8935216600000011</v>
      </c>
      <c r="Y19" s="6">
        <f t="shared" si="5"/>
        <v>4.2632564145606011E-14</v>
      </c>
      <c r="Z19" s="6">
        <f t="shared" si="6"/>
        <v>4.2632564145606011E-8</v>
      </c>
    </row>
    <row r="20" spans="4:26" ht="24" customHeight="1">
      <c r="D20" s="437" t="s">
        <v>25</v>
      </c>
      <c r="E20" s="434">
        <f>+[4]양산!$H$86/1000</f>
        <v>40.014409617566109</v>
      </c>
      <c r="F20" s="433">
        <f>+[4]양산!$I$86/1000</f>
        <v>-50.209251999999921</v>
      </c>
      <c r="G20" s="435">
        <f t="shared" si="0"/>
        <v>-90.223661617566023</v>
      </c>
      <c r="H20" s="434">
        <f>+[4]양산!$T$5/1000</f>
        <v>10</v>
      </c>
      <c r="I20" s="433">
        <f>+[4]양산!$U$5/1000</f>
        <v>5.8259999999999996</v>
      </c>
      <c r="J20" s="152">
        <f t="shared" si="1"/>
        <v>-4.1740000000000004</v>
      </c>
      <c r="K20" s="432">
        <f>+[4]양산!$M$86/1000</f>
        <v>-33.387933112172121</v>
      </c>
      <c r="L20" s="434">
        <f>+[4]양산!$Q$85</f>
        <v>94478.75</v>
      </c>
      <c r="M20" s="433">
        <f>+[4]양산!$R$85</f>
        <v>92587.349811191219</v>
      </c>
      <c r="N20" s="152">
        <f t="shared" si="2"/>
        <v>-1891.4001888087805</v>
      </c>
      <c r="O20" s="432">
        <f>+[4]양산!$K$86/1000</f>
        <v>-11.019297499999954</v>
      </c>
      <c r="P20" s="434">
        <f>+[4]양산!$Q$50</f>
        <v>86479.724338243381</v>
      </c>
      <c r="Q20" s="433">
        <f>+[4]양산!$R$50</f>
        <v>92617.400446275307</v>
      </c>
      <c r="R20" s="152">
        <f t="shared" si="3"/>
        <v>6137.6761080319266</v>
      </c>
      <c r="S20" s="432">
        <f>+[4]양산!$L$56/1000</f>
        <v>-35.689091645393994</v>
      </c>
      <c r="T20" s="434">
        <f>+([4]양산!$H$80+[4]양산!$H$85)/1000</f>
        <v>39.975846999999995</v>
      </c>
      <c r="U20" s="433">
        <f>+([4]양산!$I$80+[4]양산!$I$85)/1000</f>
        <v>50.103186359999995</v>
      </c>
      <c r="V20" s="152">
        <f t="shared" si="4"/>
        <v>10.127339360000001</v>
      </c>
      <c r="W20" s="432">
        <f>+([4]양산!$L$80+[4]양산!$L$85)/1000</f>
        <v>-10.127339360000002</v>
      </c>
      <c r="Y20" s="6">
        <f t="shared" si="5"/>
        <v>4.4408920985006262E-14</v>
      </c>
      <c r="Z20" s="6">
        <f t="shared" si="6"/>
        <v>4.4408920985006262E-8</v>
      </c>
    </row>
    <row r="21" spans="4:26" ht="24" customHeight="1">
      <c r="D21" s="437" t="s">
        <v>26</v>
      </c>
      <c r="E21" s="434">
        <f>+[4]창원!$H$86/1000</f>
        <v>-17.820640148216206</v>
      </c>
      <c r="F21" s="433">
        <f>+[4]창원!$I$86/1000</f>
        <v>7.2091169999999689</v>
      </c>
      <c r="G21" s="435">
        <f t="shared" si="0"/>
        <v>25.029757148216177</v>
      </c>
      <c r="H21" s="434">
        <f>+[4]창원!$T$5/1000</f>
        <v>7</v>
      </c>
      <c r="I21" s="433">
        <f>+[4]창원!$U$5/1000</f>
        <v>9.07</v>
      </c>
      <c r="J21" s="152">
        <f t="shared" si="1"/>
        <v>2.0700000000000003</v>
      </c>
      <c r="K21" s="432">
        <f>+[4]창원!$M$86/1000</f>
        <v>14.712917171884648</v>
      </c>
      <c r="L21" s="434">
        <f>+[4]창원!$Q$85</f>
        <v>100000.31456228578</v>
      </c>
      <c r="M21" s="433">
        <f>+[4]창원!$R$85</f>
        <v>100925.54024255788</v>
      </c>
      <c r="N21" s="152">
        <f t="shared" si="2"/>
        <v>925.22568027209491</v>
      </c>
      <c r="O21" s="432">
        <f>+[4]창원!$K$86/1000</f>
        <v>8.3917969200679003</v>
      </c>
      <c r="P21" s="434">
        <f>+[4]창원!$Q$50</f>
        <v>92892.625107269065</v>
      </c>
      <c r="Q21" s="433">
        <f>+[4]창원!$R$50</f>
        <v>91807.380264608597</v>
      </c>
      <c r="R21" s="152">
        <f t="shared" si="3"/>
        <v>-1085.2448426604678</v>
      </c>
      <c r="S21" s="432">
        <f>+[4]창원!$L$56/1000</f>
        <v>9.8431654729302949</v>
      </c>
      <c r="T21" s="434">
        <f>+([4]창원!$H$80+[4]창원!$H$85)/1000</f>
        <v>67.574466333333334</v>
      </c>
      <c r="U21" s="433">
        <f>+([4]창원!$I$80+[4]창원!$I$85)/1000</f>
        <v>75.492588749999996</v>
      </c>
      <c r="V21" s="152">
        <f t="shared" si="4"/>
        <v>7.9181224166666624</v>
      </c>
      <c r="W21" s="432">
        <f>+([4]창원!$L$80+[4]창원!$L$85)/1000</f>
        <v>-7.9181224166666695</v>
      </c>
      <c r="Y21" s="6">
        <f t="shared" si="5"/>
        <v>0</v>
      </c>
      <c r="Z21" s="6">
        <f t="shared" si="6"/>
        <v>0</v>
      </c>
    </row>
    <row r="22" spans="4:26" ht="24" customHeight="1">
      <c r="D22" s="437" t="s">
        <v>148</v>
      </c>
      <c r="E22" s="434">
        <f>+[4]대구!$H$86/1000</f>
        <v>34.36977815609405</v>
      </c>
      <c r="F22" s="433">
        <f>+[4]대구!$I$86/1000</f>
        <v>22.030701999999991</v>
      </c>
      <c r="G22" s="435">
        <f t="shared" si="0"/>
        <v>-12.339076156094059</v>
      </c>
      <c r="H22" s="434">
        <f>+[4]대구!$T$5/1000</f>
        <v>10</v>
      </c>
      <c r="I22" s="433">
        <f>+[4]대구!$U$5/1000</f>
        <v>9.5329999999999995</v>
      </c>
      <c r="J22" s="152">
        <f t="shared" si="1"/>
        <v>-0.46700000000000053</v>
      </c>
      <c r="K22" s="432">
        <f>+[4]대구!$M$86/1000</f>
        <v>-4.0690054922727796</v>
      </c>
      <c r="L22" s="434">
        <f>+[4]대구!$Q$85</f>
        <v>97465.893488888876</v>
      </c>
      <c r="M22" s="433">
        <f>+[4]대구!$R$85</f>
        <v>97773.366201615441</v>
      </c>
      <c r="N22" s="152">
        <f t="shared" si="2"/>
        <v>307.47271272656508</v>
      </c>
      <c r="O22" s="432">
        <f>+[4]대구!$K$86/1000</f>
        <v>2.9311373704223449</v>
      </c>
      <c r="P22" s="434">
        <f>+[4]대구!$Q$50</f>
        <v>88752.819629632373</v>
      </c>
      <c r="Q22" s="433">
        <f>+[4]대구!$R$50</f>
        <v>90351.894471834676</v>
      </c>
      <c r="R22" s="152">
        <f t="shared" si="3"/>
        <v>1599.0748422023025</v>
      </c>
      <c r="S22" s="432">
        <f>+[4]대구!$L$56/1000</f>
        <v>-15.243990670714487</v>
      </c>
      <c r="T22" s="434">
        <f>+([4]대구!$H$80+[4]대구!$H$85)/1000</f>
        <v>52.760960436470896</v>
      </c>
      <c r="U22" s="433">
        <f>+([4]대구!$I$80+[4]대구!$I$85)/1000</f>
        <v>48.718177800000007</v>
      </c>
      <c r="V22" s="152">
        <f t="shared" si="4"/>
        <v>-4.0427826364708892</v>
      </c>
      <c r="W22" s="432">
        <f>+([4]대구!$L$80+[4]대구!$L$85)/1000</f>
        <v>4.0427826364708892</v>
      </c>
      <c r="Y22" s="6">
        <f t="shared" si="5"/>
        <v>-2.6645352591003757E-14</v>
      </c>
      <c r="Z22" s="6">
        <f t="shared" si="6"/>
        <v>-2.6645352591003757E-8</v>
      </c>
    </row>
    <row r="23" spans="4:26" ht="24" customHeight="1">
      <c r="D23" s="437" t="s">
        <v>147</v>
      </c>
      <c r="E23" s="434">
        <f>+[4]울산!$H$86/1000</f>
        <v>-4.3383707759950099</v>
      </c>
      <c r="F23" s="433">
        <f>+[4]울산!$I$86/1000</f>
        <v>57.724488000000029</v>
      </c>
      <c r="G23" s="435">
        <f t="shared" si="0"/>
        <v>62.062858775995039</v>
      </c>
      <c r="H23" s="434">
        <f>+[4]울산!$T$5/1000</f>
        <v>8</v>
      </c>
      <c r="I23" s="433">
        <f>+[4]울산!$U$5/1000</f>
        <v>9.1329999999999991</v>
      </c>
      <c r="J23" s="152">
        <f t="shared" si="1"/>
        <v>1.1329999999999991</v>
      </c>
      <c r="K23" s="432">
        <f>+[4]울산!$M$86/1000</f>
        <v>6.7338242286791212</v>
      </c>
      <c r="L23" s="434">
        <f>+[4]울산!$Q$85</f>
        <v>102132.75</v>
      </c>
      <c r="M23" s="433">
        <f>+[4]울산!$R$85</f>
        <v>107170.90769736121</v>
      </c>
      <c r="N23" s="152">
        <f t="shared" si="2"/>
        <v>5038.15769736121</v>
      </c>
      <c r="O23" s="432">
        <f>+[4]울산!$K$86/1000</f>
        <v>46.01349424999993</v>
      </c>
      <c r="P23" s="434">
        <f>+[4]울산!$Q$50</f>
        <v>96189.39234008902</v>
      </c>
      <c r="Q23" s="433">
        <f>+[4]울산!$R$50</f>
        <v>96123.537939340851</v>
      </c>
      <c r="R23" s="152">
        <f t="shared" si="3"/>
        <v>-65.8544007481687</v>
      </c>
      <c r="S23" s="432">
        <f>+[4]울산!$L$56/1000</f>
        <v>0.60144951203312647</v>
      </c>
      <c r="T23" s="434">
        <f>+([4]울산!$H$80+[4]울산!$H$85)/1000</f>
        <v>51.885232055282735</v>
      </c>
      <c r="U23" s="433">
        <f>+([4]울산!$I$80+[4]울산!$I$85)/1000</f>
        <v>43.171141270000007</v>
      </c>
      <c r="V23" s="152">
        <f t="shared" si="4"/>
        <v>-8.7140907852827283</v>
      </c>
      <c r="W23" s="432">
        <f>+([4]울산!$L$80+[4]울산!$L$85)/1000</f>
        <v>8.7140907852827301</v>
      </c>
      <c r="Y23" s="6">
        <f t="shared" si="5"/>
        <v>1.3500311979441904E-13</v>
      </c>
      <c r="Z23" s="6">
        <f t="shared" si="6"/>
        <v>1.3500311979441904E-7</v>
      </c>
    </row>
    <row r="24" spans="4:26" ht="24" customHeight="1">
      <c r="D24" s="443" t="s">
        <v>27</v>
      </c>
      <c r="E24" s="441">
        <f>+[4]아산!$H$86/1000</f>
        <v>29.853228910361672</v>
      </c>
      <c r="F24" s="440">
        <f>+[4]아산!$I$86/1000</f>
        <v>-30.781557000000067</v>
      </c>
      <c r="G24" s="442">
        <f t="shared" si="0"/>
        <v>-60.634785910361742</v>
      </c>
      <c r="H24" s="441">
        <f>+[4]아산!$T$5/1000</f>
        <v>13</v>
      </c>
      <c r="I24" s="440">
        <f>+[4]아산!$U$5/1000</f>
        <v>16.995999999999999</v>
      </c>
      <c r="J24" s="439">
        <f t="shared" si="1"/>
        <v>3.9959999999999987</v>
      </c>
      <c r="K24" s="438">
        <f>+[4]아산!$M$86/1000</f>
        <v>34.241787566908108</v>
      </c>
      <c r="L24" s="441">
        <f>+[4]아산!$Q$85</f>
        <v>103000</v>
      </c>
      <c r="M24" s="440">
        <f>+[4]아산!$R$85</f>
        <v>101157.08031301483</v>
      </c>
      <c r="N24" s="439">
        <f t="shared" si="2"/>
        <v>-1842.919686985173</v>
      </c>
      <c r="O24" s="438">
        <f>+[4]아산!$K$86/1000</f>
        <v>-31.322263</v>
      </c>
      <c r="P24" s="441">
        <f>+[4]아산!$Q$50</f>
        <v>94430.984092365354</v>
      </c>
      <c r="Q24" s="440">
        <f>+[4]아산!$R$50</f>
        <v>98099.972130762006</v>
      </c>
      <c r="R24" s="439">
        <f t="shared" si="3"/>
        <v>3668.988038396652</v>
      </c>
      <c r="S24" s="438">
        <f>+[4]아산!$L$56/1000</f>
        <v>-62.352461836158696</v>
      </c>
      <c r="T24" s="441">
        <f>+([4]아산!$H$80+[4]아산!$H$85)/1000</f>
        <v>81.54397788888889</v>
      </c>
      <c r="U24" s="440">
        <f>+([4]아산!$I$80+[4]아산!$I$85)/1000</f>
        <v>82.745826529999988</v>
      </c>
      <c r="V24" s="439">
        <f t="shared" si="4"/>
        <v>1.2018486411110985</v>
      </c>
      <c r="W24" s="438">
        <f>+([4]아산!$L$80+[4]아산!$L$85)/1000</f>
        <v>-1.2018486411111124</v>
      </c>
      <c r="Y24" s="6">
        <f t="shared" si="5"/>
        <v>-4.9960036108132044E-14</v>
      </c>
      <c r="Z24" s="6">
        <f t="shared" si="6"/>
        <v>-4.9960036108132044E-8</v>
      </c>
    </row>
    <row r="25" spans="4:26" ht="24" customHeight="1">
      <c r="D25" s="437" t="s">
        <v>146</v>
      </c>
      <c r="E25" s="434">
        <f>+[4]전주!$H$86/1000</f>
        <v>5.6144256794387841</v>
      </c>
      <c r="F25" s="433">
        <f>+[4]전주!$I$86/1000</f>
        <v>103.70416099999986</v>
      </c>
      <c r="G25" s="435">
        <f t="shared" si="0"/>
        <v>98.089735320561076</v>
      </c>
      <c r="H25" s="434">
        <f>+[4]전주!$T$5/1000</f>
        <v>7</v>
      </c>
      <c r="I25" s="433">
        <f>+[4]전주!$U$5/1000</f>
        <v>12.05</v>
      </c>
      <c r="J25" s="152">
        <f t="shared" si="1"/>
        <v>5.0500000000000007</v>
      </c>
      <c r="K25" s="432">
        <f>+[4]전주!$M$86/1000</f>
        <v>40.972217192547511</v>
      </c>
      <c r="L25" s="434">
        <f>+[4]전주!$Q$85</f>
        <v>96862.617142857125</v>
      </c>
      <c r="M25" s="433">
        <f>+[4]전주!$R$85</f>
        <v>96461.239585062227</v>
      </c>
      <c r="N25" s="152">
        <f t="shared" si="2"/>
        <v>-401.37755779489817</v>
      </c>
      <c r="O25" s="432">
        <f>+[4]전주!$K$86/1000</f>
        <v>-4.8365995714285228</v>
      </c>
      <c r="P25" s="434">
        <f>+[4]전주!$Q$50</f>
        <v>88749.306807699206</v>
      </c>
      <c r="Q25" s="433">
        <f>+[4]전주!$R$50</f>
        <v>83438.858895705518</v>
      </c>
      <c r="R25" s="152">
        <f t="shared" si="3"/>
        <v>-5310.4479119936877</v>
      </c>
      <c r="S25" s="432">
        <f>+[4]전주!$L$56/1000</f>
        <v>64.143580702775466</v>
      </c>
      <c r="T25" s="434">
        <f>+([4]전주!$H$80+[4]전주!$H$85)/1000</f>
        <v>51.178746666666669</v>
      </c>
      <c r="U25" s="433">
        <f>+([4]전주!$I$80+[4]전주!$I$85)/1000</f>
        <v>53.368209670000006</v>
      </c>
      <c r="V25" s="152">
        <f t="shared" si="4"/>
        <v>2.1894630033333371</v>
      </c>
      <c r="W25" s="432">
        <f>+([4]전주!$L$80+[4]전주!$L$85)/1000</f>
        <v>-2.1894630033333371</v>
      </c>
      <c r="Y25" s="6">
        <f t="shared" si="5"/>
        <v>-4.2632564145606011E-14</v>
      </c>
      <c r="Z25" s="6">
        <f t="shared" si="6"/>
        <v>-4.2632564145606011E-8</v>
      </c>
    </row>
    <row r="26" spans="4:26" ht="24" customHeight="1">
      <c r="D26" s="436" t="s">
        <v>145</v>
      </c>
      <c r="E26" s="434">
        <f>+[4]군산!$H$86/1000</f>
        <v>99.136846083065407</v>
      </c>
      <c r="F26" s="433">
        <f>+[4]군산!$I$86/1000</f>
        <v>10.057200000000011</v>
      </c>
      <c r="G26" s="435">
        <f t="shared" si="0"/>
        <v>-89.079646083065398</v>
      </c>
      <c r="H26" s="434">
        <f>+[4]군산!$T$5/1000</f>
        <v>5</v>
      </c>
      <c r="I26" s="433">
        <f>+[4]군산!$U$5/1000</f>
        <v>2.6255000000000002</v>
      </c>
      <c r="J26" s="152">
        <f t="shared" si="1"/>
        <v>-2.3744999999999998</v>
      </c>
      <c r="K26" s="432">
        <f>+[4]군산!$M$86/1000</f>
        <v>-57.833763221547791</v>
      </c>
      <c r="L26" s="434">
        <f>+[4]군산!$Q$85</f>
        <v>111520.24799999999</v>
      </c>
      <c r="M26" s="433">
        <f>+[4]군산!$R$85</f>
        <v>111810.99866692058</v>
      </c>
      <c r="N26" s="152">
        <f t="shared" si="2"/>
        <v>290.75066692059045</v>
      </c>
      <c r="O26" s="432">
        <f>+[4]군산!$K$86/1000</f>
        <v>0.76336587600001016</v>
      </c>
      <c r="P26" s="434">
        <f>+[4]군산!$Q$50</f>
        <v>87164.062183386908</v>
      </c>
      <c r="Q26" s="433">
        <f>+[4]군산!$R$50</f>
        <v>99256.775090458963</v>
      </c>
      <c r="R26" s="152">
        <f t="shared" si="3"/>
        <v>12092.712907072055</v>
      </c>
      <c r="S26" s="432">
        <f>+[4]군산!$L$56/1000</f>
        <v>-31.749423087517645</v>
      </c>
      <c r="T26" s="434">
        <f>+([4]군산!$H$80+[4]군산!$H$85)/1000</f>
        <v>22.644082999999998</v>
      </c>
      <c r="U26" s="433">
        <f>+([4]군산!$I$80+[4]군산!$I$85)/1000</f>
        <v>22.903908649999998</v>
      </c>
      <c r="V26" s="152">
        <f t="shared" si="4"/>
        <v>0.2598256499999998</v>
      </c>
      <c r="W26" s="432">
        <f>+([4]군산!$L$80+[4]군산!$L$85)/1000</f>
        <v>-0.25982564999999913</v>
      </c>
      <c r="Y26" s="6">
        <f t="shared" si="5"/>
        <v>2.7755575615628914E-14</v>
      </c>
      <c r="Z26" s="6">
        <f t="shared" si="6"/>
        <v>2.7755575615628914E-8</v>
      </c>
    </row>
    <row r="27" spans="4:26" ht="24" customHeight="1">
      <c r="D27" s="436" t="s">
        <v>144</v>
      </c>
      <c r="E27" s="434">
        <f>+[4]원주!$H$86/1000</f>
        <v>-22.56324787847749</v>
      </c>
      <c r="F27" s="433">
        <f>+[4]원주!$I$86/1000</f>
        <v>-4.0297040000000202</v>
      </c>
      <c r="G27" s="435">
        <f t="shared" si="0"/>
        <v>18.53354387847747</v>
      </c>
      <c r="H27" s="434">
        <f>+[4]원주!$T$5/1000</f>
        <v>2</v>
      </c>
      <c r="I27" s="433">
        <f>+[4]원주!$U$5/1000</f>
        <v>2.1779999999999999</v>
      </c>
      <c r="J27" s="152">
        <f t="shared" si="1"/>
        <v>0.17799999999999994</v>
      </c>
      <c r="K27" s="432">
        <f>+[4]원주!$M$86/1000</f>
        <v>-0.39249683229560833</v>
      </c>
      <c r="L27" s="434">
        <f>+[4]원주!$Q$85</f>
        <v>112000</v>
      </c>
      <c r="M27" s="433">
        <f>+[4]원주!$R$85</f>
        <v>114037.09825528007</v>
      </c>
      <c r="N27" s="152">
        <f t="shared" si="2"/>
        <v>2037.0982552800706</v>
      </c>
      <c r="O27" s="432">
        <f>+[4]원주!$K$86/1000</f>
        <v>4.4367999999999936</v>
      </c>
      <c r="P27" s="434">
        <f>+[4]원주!$Q$50</f>
        <v>114205.03838368319</v>
      </c>
      <c r="Q27" s="433">
        <f>+[4]원주!$R$50</f>
        <v>108020.44398530762</v>
      </c>
      <c r="R27" s="152">
        <f t="shared" si="3"/>
        <v>-6184.5943983755715</v>
      </c>
      <c r="S27" s="432">
        <f>+[4]원주!$L$56/1000</f>
        <v>13.470051479661965</v>
      </c>
      <c r="T27" s="434">
        <f>+([4]원주!$H$80+[4]원주!$H$85)/1000</f>
        <v>18.15317111111111</v>
      </c>
      <c r="U27" s="433">
        <f>+([4]원주!$I$80+[4]원주!$I$85)/1000</f>
        <v>17.13398188</v>
      </c>
      <c r="V27" s="152">
        <f t="shared" si="4"/>
        <v>-1.0191892311111097</v>
      </c>
      <c r="W27" s="432">
        <f>+([4]원주!$L$80+[4]원주!$L$85)/1000</f>
        <v>1.0191892311111106</v>
      </c>
      <c r="Y27" s="6">
        <f t="shared" si="5"/>
        <v>9.7699626167013776E-15</v>
      </c>
      <c r="Z27" s="6">
        <f t="shared" si="6"/>
        <v>9.7699626167013776E-9</v>
      </c>
    </row>
    <row r="28" spans="4:26" ht="24" customHeight="1" thickBot="1">
      <c r="D28" s="431" t="s">
        <v>143</v>
      </c>
      <c r="E28" s="429">
        <f>+[4]제주!$H$86/1000</f>
        <v>122.67750134478325</v>
      </c>
      <c r="F28" s="428">
        <f>+[4]제주!$I$86/1000</f>
        <v>68.396145000000033</v>
      </c>
      <c r="G28" s="430">
        <f t="shared" si="0"/>
        <v>-54.281356344783219</v>
      </c>
      <c r="H28" s="429">
        <f>+[4]제주!$T$5/1000</f>
        <v>7</v>
      </c>
      <c r="I28" s="428">
        <f>+[4]제주!$U$5/1000</f>
        <v>5.9785000000000004</v>
      </c>
      <c r="J28" s="427">
        <f t="shared" si="1"/>
        <v>-1.0214999999999996</v>
      </c>
      <c r="K28" s="426">
        <f>+[4]제주!$M$86/1000</f>
        <v>-37.671714425840229</v>
      </c>
      <c r="L28" s="429">
        <f>+[4]제주!$Q$85</f>
        <v>122822.5</v>
      </c>
      <c r="M28" s="428">
        <f>+[4]제주!$R$85</f>
        <v>120069.69472182597</v>
      </c>
      <c r="N28" s="427">
        <f t="shared" si="2"/>
        <v>-2752.8052781740262</v>
      </c>
      <c r="O28" s="426">
        <f>+[4]제주!$K$86/1000</f>
        <v>-14.472873749999943</v>
      </c>
      <c r="P28" s="429">
        <f>+[4]제주!$Q$50</f>
        <v>101203.15054471149</v>
      </c>
      <c r="Q28" s="428">
        <f>+[4]제주!$R$50</f>
        <v>101325.34854969093</v>
      </c>
      <c r="R28" s="427">
        <f t="shared" si="3"/>
        <v>122.19800497943652</v>
      </c>
      <c r="S28" s="426">
        <f>+[4]제주!$L$56/1000</f>
        <v>-0.64246041117937158</v>
      </c>
      <c r="T28" s="429">
        <f>+([4]제주!$H$80+[4]제주!$H$85)/1000</f>
        <v>28.657944842236319</v>
      </c>
      <c r="U28" s="428">
        <f>+([4]제주!$I$80+[4]제주!$I$85)/1000</f>
        <v>30.152252600000001</v>
      </c>
      <c r="V28" s="427">
        <f t="shared" si="4"/>
        <v>1.4943077577636821</v>
      </c>
      <c r="W28" s="426">
        <f>+([4]제주!$L$80+[4]제주!$L$85)/1000</f>
        <v>-1.4943077577636823</v>
      </c>
      <c r="Y28" s="6">
        <f t="shared" si="5"/>
        <v>5.9952043329758453E-15</v>
      </c>
      <c r="Z28" s="6">
        <f t="shared" si="6"/>
        <v>5.9952043329758453E-9</v>
      </c>
    </row>
    <row r="29" spans="4:26" ht="24" customHeight="1"/>
    <row r="30" spans="4:26" ht="24" customHeight="1"/>
    <row r="31" spans="4:26" ht="24" customHeight="1"/>
    <row r="32" spans="4:26" ht="21.95" customHeight="1">
      <c r="F32" s="425"/>
    </row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6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9EA2-7FA8-4EF3-8BE8-88EBED6DB771}">
  <sheetPr>
    <tabColor theme="1" tint="0.249977111117893"/>
    <pageSetUpPr fitToPage="1"/>
  </sheetPr>
  <dimension ref="A1:V52"/>
  <sheetViews>
    <sheetView showGridLines="0" showZeros="0" view="pageBreakPreview" zoomScale="60" zoomScaleNormal="85" workbookViewId="0">
      <pane xSplit="4" ySplit="7" topLeftCell="E8" activePane="bottomRight" state="frozen"/>
      <selection activeCell="C33" sqref="C33"/>
      <selection pane="topRight" activeCell="C33" sqref="C33"/>
      <selection pane="bottomLeft" activeCell="C33" sqref="C33"/>
      <selection pane="bottomRight" activeCell="C33" sqref="C33"/>
    </sheetView>
  </sheetViews>
  <sheetFormatPr defaultRowHeight="16.5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/>
    <row r="2" spans="1:22" ht="9.9499999999999993" hidden="1" customHeight="1"/>
    <row r="3" spans="1:22" ht="9.9499999999999993" customHeight="1"/>
    <row r="4" spans="1:22" ht="31.5">
      <c r="D4" s="481" t="s">
        <v>229</v>
      </c>
      <c r="F4" s="481"/>
      <c r="I4" s="481"/>
    </row>
    <row r="5" spans="1:22" ht="21.95" customHeight="1">
      <c r="V5" s="480" t="s">
        <v>163</v>
      </c>
    </row>
    <row r="6" spans="1:22" ht="24" customHeight="1" thickBot="1">
      <c r="A6" s="6" t="s">
        <v>156</v>
      </c>
      <c r="D6" s="841" t="s">
        <v>11</v>
      </c>
      <c r="E6" s="479" t="s">
        <v>53</v>
      </c>
      <c r="F6" s="478"/>
      <c r="G6" s="477"/>
      <c r="H6" s="479" t="s">
        <v>162</v>
      </c>
      <c r="I6" s="478"/>
      <c r="J6" s="477"/>
      <c r="K6" s="479" t="s">
        <v>161</v>
      </c>
      <c r="L6" s="478"/>
      <c r="M6" s="477"/>
      <c r="N6" s="479" t="s">
        <v>160</v>
      </c>
      <c r="O6" s="478"/>
      <c r="P6" s="477"/>
      <c r="Q6" s="479" t="s">
        <v>159</v>
      </c>
      <c r="R6" s="478"/>
      <c r="S6" s="477"/>
      <c r="T6" s="479" t="s">
        <v>54</v>
      </c>
      <c r="U6" s="478"/>
      <c r="V6" s="477"/>
    </row>
    <row r="7" spans="1:22" ht="24" customHeight="1">
      <c r="D7" s="842"/>
      <c r="E7" s="475" t="s">
        <v>36</v>
      </c>
      <c r="F7" s="474" t="s">
        <v>37</v>
      </c>
      <c r="G7" s="476" t="s">
        <v>28</v>
      </c>
      <c r="H7" s="475" t="s">
        <v>12</v>
      </c>
      <c r="I7" s="474" t="s">
        <v>13</v>
      </c>
      <c r="J7" s="476" t="s">
        <v>28</v>
      </c>
      <c r="K7" s="475" t="s">
        <v>12</v>
      </c>
      <c r="L7" s="474" t="s">
        <v>13</v>
      </c>
      <c r="M7" s="476" t="s">
        <v>28</v>
      </c>
      <c r="N7" s="475" t="s">
        <v>12</v>
      </c>
      <c r="O7" s="474" t="s">
        <v>13</v>
      </c>
      <c r="P7" s="476" t="s">
        <v>28</v>
      </c>
      <c r="Q7" s="475" t="s">
        <v>12</v>
      </c>
      <c r="R7" s="474" t="s">
        <v>13</v>
      </c>
      <c r="S7" s="476" t="s">
        <v>28</v>
      </c>
      <c r="T7" s="475" t="s">
        <v>12</v>
      </c>
      <c r="U7" s="474" t="s">
        <v>13</v>
      </c>
      <c r="V7" s="476" t="s">
        <v>28</v>
      </c>
    </row>
    <row r="8" spans="1:22" ht="24" customHeight="1">
      <c r="D8" s="471" t="s">
        <v>158</v>
      </c>
      <c r="E8" s="469">
        <f>+[4]합계!$Q$85</f>
        <v>100559.86996429774</v>
      </c>
      <c r="F8" s="468">
        <f>+[4]합계!$R$85</f>
        <v>100932.18102189782</v>
      </c>
      <c r="G8" s="499">
        <f t="shared" ref="G8:G28" si="0">+F8-E8</f>
        <v>372.31105760007631</v>
      </c>
      <c r="H8" s="469">
        <f>+[4]합계!$Q$20</f>
        <v>61818.793058725038</v>
      </c>
      <c r="I8" s="468">
        <f>+[4]합계!$R$20</f>
        <v>62905.646039280087</v>
      </c>
      <c r="J8" s="499">
        <f t="shared" ref="J8:J28" si="1">+I8-H8</f>
        <v>1086.8529805550497</v>
      </c>
      <c r="K8" s="469">
        <f>+[4]합계!$Q$21</f>
        <v>18143.173716356701</v>
      </c>
      <c r="L8" s="468">
        <f>+[4]합계!$R$21</f>
        <v>19451.975101262473</v>
      </c>
      <c r="M8" s="499">
        <f t="shared" ref="M8:M28" si="2">+L8-K8</f>
        <v>1308.8013849057716</v>
      </c>
      <c r="N8" s="469">
        <f>+[4]합계!$Q$22</f>
        <v>373.64734299516908</v>
      </c>
      <c r="O8" s="468">
        <f>+[4]합계!$R$22</f>
        <v>343.7209080912545</v>
      </c>
      <c r="P8" s="499">
        <f t="shared" ref="P8:P28" si="3">+O8-N8</f>
        <v>-29.926434903914583</v>
      </c>
      <c r="Q8" s="469">
        <f t="shared" ref="Q8:Q28" si="4">H8+K8+N8</f>
        <v>80335.614118076905</v>
      </c>
      <c r="R8" s="468">
        <f t="shared" ref="R8:R28" si="5">I8+L8+O8</f>
        <v>82701.342048633815</v>
      </c>
      <c r="S8" s="499">
        <f t="shared" ref="S8:S28" si="6">+R8-Q8</f>
        <v>2365.72793055691</v>
      </c>
      <c r="T8" s="469">
        <f t="shared" ref="T8:T28" si="7">+E8-Q8</f>
        <v>20224.25584622084</v>
      </c>
      <c r="U8" s="468">
        <f t="shared" ref="U8:U28" si="8">+F8-R8</f>
        <v>18230.838973264006</v>
      </c>
      <c r="V8" s="499">
        <f t="shared" ref="V8:V28" si="9">+U8-T8</f>
        <v>-1993.4168729568337</v>
      </c>
    </row>
    <row r="9" spans="1:22" ht="24" customHeight="1">
      <c r="D9" s="465" t="s">
        <v>16</v>
      </c>
      <c r="E9" s="464">
        <f>+[4]수도권!$Q$85</f>
        <v>97486.591313220357</v>
      </c>
      <c r="F9" s="463">
        <f>+[4]수도권!$R$85</f>
        <v>99000.138823260757</v>
      </c>
      <c r="G9" s="498">
        <f t="shared" si="0"/>
        <v>1513.5475100404001</v>
      </c>
      <c r="H9" s="464">
        <f>+[4]수도권!$Q$20</f>
        <v>63548.575412676604</v>
      </c>
      <c r="I9" s="463">
        <f>+[4]수도권!$R$20</f>
        <v>64936.68547361032</v>
      </c>
      <c r="J9" s="498">
        <f t="shared" si="1"/>
        <v>1388.1100609337154</v>
      </c>
      <c r="K9" s="464">
        <f>+[4]수도권!$Q$21</f>
        <v>17826.560270101789</v>
      </c>
      <c r="L9" s="463">
        <f>+[4]수도권!$R$21</f>
        <v>19904.34077128943</v>
      </c>
      <c r="M9" s="498">
        <f t="shared" si="2"/>
        <v>2077.7805011876408</v>
      </c>
      <c r="N9" s="464">
        <f>+[4]수도권!$Q$22</f>
        <v>460.59210526315792</v>
      </c>
      <c r="O9" s="463">
        <f>+[4]수도권!$R$22</f>
        <v>488.96596323432635</v>
      </c>
      <c r="P9" s="498">
        <f t="shared" si="3"/>
        <v>28.373857971168434</v>
      </c>
      <c r="Q9" s="464">
        <f t="shared" si="4"/>
        <v>81835.72778804155</v>
      </c>
      <c r="R9" s="463">
        <f t="shared" si="5"/>
        <v>85329.992208134077</v>
      </c>
      <c r="S9" s="498">
        <f t="shared" si="6"/>
        <v>3494.2644200925279</v>
      </c>
      <c r="T9" s="464">
        <f t="shared" si="7"/>
        <v>15650.863525178807</v>
      </c>
      <c r="U9" s="463">
        <f t="shared" si="8"/>
        <v>13670.14661512668</v>
      </c>
      <c r="V9" s="498">
        <f t="shared" si="9"/>
        <v>-1980.7169100521278</v>
      </c>
    </row>
    <row r="10" spans="1:22" ht="24" customHeight="1">
      <c r="D10" s="460" t="s">
        <v>17</v>
      </c>
      <c r="E10" s="459">
        <f>+[4]영남권!$Q$85</f>
        <v>100500.1554928339</v>
      </c>
      <c r="F10" s="458">
        <f>+[4]영남권!$R$85</f>
        <v>100960.81481298667</v>
      </c>
      <c r="G10" s="497">
        <f t="shared" si="0"/>
        <v>460.65932015277212</v>
      </c>
      <c r="H10" s="459">
        <f>+[4]영남권!$Q$20</f>
        <v>60409.168708281475</v>
      </c>
      <c r="I10" s="458">
        <f>+[4]영남권!$R$20</f>
        <v>60652.965003473299</v>
      </c>
      <c r="J10" s="497">
        <f t="shared" si="1"/>
        <v>243.79629519182345</v>
      </c>
      <c r="K10" s="459">
        <f>+[4]영남권!$Q$21</f>
        <v>18776.773543515013</v>
      </c>
      <c r="L10" s="458">
        <f>+[4]영남권!$R$21</f>
        <v>19890.95257144226</v>
      </c>
      <c r="M10" s="497">
        <f t="shared" si="2"/>
        <v>1114.1790279272464</v>
      </c>
      <c r="N10" s="459">
        <f>+[4]영남권!$Q$22</f>
        <v>297.31958762886597</v>
      </c>
      <c r="O10" s="458">
        <f>+[4]영남권!$R$22</f>
        <v>258.99142453349936</v>
      </c>
      <c r="P10" s="497">
        <f t="shared" si="3"/>
        <v>-38.328163095366619</v>
      </c>
      <c r="Q10" s="459">
        <f t="shared" si="4"/>
        <v>79483.261839425351</v>
      </c>
      <c r="R10" s="458">
        <f t="shared" si="5"/>
        <v>80802.90899944905</v>
      </c>
      <c r="S10" s="497">
        <f t="shared" si="6"/>
        <v>1319.6471600236982</v>
      </c>
      <c r="T10" s="459">
        <f t="shared" si="7"/>
        <v>21016.893653408551</v>
      </c>
      <c r="U10" s="458">
        <f t="shared" si="8"/>
        <v>20157.905813537625</v>
      </c>
      <c r="V10" s="497">
        <f t="shared" si="9"/>
        <v>-858.98783987092611</v>
      </c>
    </row>
    <row r="11" spans="1:22" ht="24" customHeight="1">
      <c r="D11" s="455" t="s">
        <v>149</v>
      </c>
      <c r="E11" s="454">
        <f>+[4]중부권!$Q$85</f>
        <v>107599.91352941176</v>
      </c>
      <c r="F11" s="453">
        <f>+[4]중부권!$R$85</f>
        <v>103685.34203595265</v>
      </c>
      <c r="G11" s="496">
        <f t="shared" si="0"/>
        <v>-3914.5714934591088</v>
      </c>
      <c r="H11" s="454">
        <f>+[4]중부권!$Q$20</f>
        <v>61973.796090863492</v>
      </c>
      <c r="I11" s="453">
        <f>+[4]중부권!$R$20</f>
        <v>64754.605836804578</v>
      </c>
      <c r="J11" s="496">
        <f t="shared" si="1"/>
        <v>2780.8097459410856</v>
      </c>
      <c r="K11" s="454">
        <f>+[4]중부권!$Q$21</f>
        <v>17043.274854033672</v>
      </c>
      <c r="L11" s="453">
        <f>+[4]중부권!$R$21</f>
        <v>17856.592624773199</v>
      </c>
      <c r="M11" s="496">
        <f t="shared" si="2"/>
        <v>813.31777073952617</v>
      </c>
      <c r="N11" s="454">
        <f>+[4]중부권!$Q$22</f>
        <v>397.05882352941177</v>
      </c>
      <c r="O11" s="453">
        <f>+[4]중부권!$R$22</f>
        <v>313.00298995681169</v>
      </c>
      <c r="P11" s="496">
        <f t="shared" si="3"/>
        <v>-84.055833572600079</v>
      </c>
      <c r="Q11" s="454">
        <f t="shared" si="4"/>
        <v>79414.129768426574</v>
      </c>
      <c r="R11" s="453">
        <f t="shared" si="5"/>
        <v>82924.201451534595</v>
      </c>
      <c r="S11" s="496">
        <f t="shared" si="6"/>
        <v>3510.0716831080208</v>
      </c>
      <c r="T11" s="454">
        <f t="shared" si="7"/>
        <v>28185.783760985185</v>
      </c>
      <c r="U11" s="453">
        <f t="shared" si="8"/>
        <v>20761.140584418055</v>
      </c>
      <c r="V11" s="496">
        <f t="shared" si="9"/>
        <v>-7424.6431765671296</v>
      </c>
    </row>
    <row r="12" spans="1:22" ht="24" customHeight="1">
      <c r="D12" s="495" t="s">
        <v>18</v>
      </c>
      <c r="E12" s="494">
        <f>+[4]안양!$Q$85</f>
        <v>98219.130999999979</v>
      </c>
      <c r="F12" s="493">
        <f>+[4]안양!$R$85</f>
        <v>99506.196823179038</v>
      </c>
      <c r="G12" s="492">
        <f t="shared" si="0"/>
        <v>1287.0658231790585</v>
      </c>
      <c r="H12" s="494">
        <f>+[4]안양!$Q$20</f>
        <v>64731.109032258057</v>
      </c>
      <c r="I12" s="493">
        <f>+[4]안양!$R$20</f>
        <v>65414.954369967279</v>
      </c>
      <c r="J12" s="492">
        <f t="shared" si="1"/>
        <v>683.8453377092228</v>
      </c>
      <c r="K12" s="494">
        <f>+[4]안양!$Q$21</f>
        <v>17452.181649122806</v>
      </c>
      <c r="L12" s="493">
        <f>+[4]안양!$R$21</f>
        <v>19056.941059675697</v>
      </c>
      <c r="M12" s="492">
        <f t="shared" si="2"/>
        <v>1604.7594105528915</v>
      </c>
      <c r="N12" s="494">
        <f>+[4]안양!$Q$22</f>
        <v>383.33333333333337</v>
      </c>
      <c r="O12" s="493">
        <f>+[4]안양!$R$22</f>
        <v>297.20903040776557</v>
      </c>
      <c r="P12" s="492">
        <f t="shared" si="3"/>
        <v>-86.124302925567804</v>
      </c>
      <c r="Q12" s="494">
        <f t="shared" si="4"/>
        <v>82566.624014714194</v>
      </c>
      <c r="R12" s="493">
        <f t="shared" si="5"/>
        <v>84769.104460050745</v>
      </c>
      <c r="S12" s="492">
        <f t="shared" si="6"/>
        <v>2202.4804453365505</v>
      </c>
      <c r="T12" s="494">
        <f t="shared" si="7"/>
        <v>15652.506985285785</v>
      </c>
      <c r="U12" s="493">
        <f t="shared" si="8"/>
        <v>14737.092363128293</v>
      </c>
      <c r="V12" s="492">
        <f t="shared" si="9"/>
        <v>-915.41462215749198</v>
      </c>
    </row>
    <row r="13" spans="1:22" ht="24" customHeight="1">
      <c r="D13" s="436" t="s">
        <v>19</v>
      </c>
      <c r="E13" s="487">
        <f>+[4]인천!$Q$85</f>
        <v>97359.534736189962</v>
      </c>
      <c r="F13" s="486">
        <f>+[4]인천!$R$85</f>
        <v>100747.09519617706</v>
      </c>
      <c r="G13" s="485">
        <f t="shared" si="0"/>
        <v>3387.5604599871003</v>
      </c>
      <c r="H13" s="487">
        <f>+[4]인천!$Q$20</f>
        <v>65311.191868819413</v>
      </c>
      <c r="I13" s="486">
        <f>+[4]인천!$R$20</f>
        <v>66879.048117942279</v>
      </c>
      <c r="J13" s="485">
        <f t="shared" si="1"/>
        <v>1567.8562491228658</v>
      </c>
      <c r="K13" s="487">
        <f>+[4]인천!$Q$21</f>
        <v>17753.832852233678</v>
      </c>
      <c r="L13" s="486">
        <f>+[4]인천!$R$21</f>
        <v>20880.235257214554</v>
      </c>
      <c r="M13" s="485">
        <f t="shared" si="2"/>
        <v>3126.4024049808759</v>
      </c>
      <c r="N13" s="487">
        <f>+[4]인천!$Q$22</f>
        <v>600</v>
      </c>
      <c r="O13" s="486">
        <f>+[4]인천!$R$22</f>
        <v>941.55319949811803</v>
      </c>
      <c r="P13" s="485">
        <f t="shared" si="3"/>
        <v>341.55319949811803</v>
      </c>
      <c r="Q13" s="487">
        <f t="shared" si="4"/>
        <v>83665.024721053094</v>
      </c>
      <c r="R13" s="486">
        <f t="shared" si="5"/>
        <v>88700.836574654953</v>
      </c>
      <c r="S13" s="485">
        <f t="shared" si="6"/>
        <v>5035.8118536018592</v>
      </c>
      <c r="T13" s="487">
        <f t="shared" si="7"/>
        <v>13694.510015136868</v>
      </c>
      <c r="U13" s="486">
        <f t="shared" si="8"/>
        <v>12046.258621522109</v>
      </c>
      <c r="V13" s="485">
        <f t="shared" si="9"/>
        <v>-1648.2513936147589</v>
      </c>
    </row>
    <row r="14" spans="1:22" ht="24" customHeight="1">
      <c r="D14" s="436" t="s">
        <v>20</v>
      </c>
      <c r="E14" s="487">
        <f>+[4]파주!$Q$85</f>
        <v>96266.345814285713</v>
      </c>
      <c r="F14" s="486">
        <f>+[4]파주!$R$85</f>
        <v>94891.839393580478</v>
      </c>
      <c r="G14" s="485">
        <f t="shared" si="0"/>
        <v>-1374.5064207052346</v>
      </c>
      <c r="H14" s="487">
        <f>+[4]파주!$Q$20</f>
        <v>60326.632341013821</v>
      </c>
      <c r="I14" s="486">
        <f>+[4]파주!$R$20</f>
        <v>60548.95159190437</v>
      </c>
      <c r="J14" s="485">
        <f t="shared" si="1"/>
        <v>222.31925089054857</v>
      </c>
      <c r="K14" s="487">
        <f>+[4]파주!$Q$21</f>
        <v>18669.473139909736</v>
      </c>
      <c r="L14" s="486">
        <f>+[4]파주!$R$21</f>
        <v>18983.220144395786</v>
      </c>
      <c r="M14" s="485">
        <f t="shared" si="2"/>
        <v>313.74700448604926</v>
      </c>
      <c r="N14" s="487">
        <f>+[4]파주!$Q$22</f>
        <v>360.71428571428572</v>
      </c>
      <c r="O14" s="486">
        <f>+[4]파주!$R$22</f>
        <v>280.43957864836079</v>
      </c>
      <c r="P14" s="485">
        <f t="shared" si="3"/>
        <v>-80.274707065924929</v>
      </c>
      <c r="Q14" s="487">
        <f t="shared" si="4"/>
        <v>79356.81976663784</v>
      </c>
      <c r="R14" s="486">
        <f t="shared" si="5"/>
        <v>79812.611314948517</v>
      </c>
      <c r="S14" s="485">
        <f t="shared" si="6"/>
        <v>455.79154831067717</v>
      </c>
      <c r="T14" s="487">
        <f t="shared" si="7"/>
        <v>16909.526047647872</v>
      </c>
      <c r="U14" s="486">
        <f t="shared" si="8"/>
        <v>15079.228078631961</v>
      </c>
      <c r="V14" s="485">
        <f t="shared" si="9"/>
        <v>-1830.2979690159118</v>
      </c>
    </row>
    <row r="15" spans="1:22" ht="24" customHeight="1">
      <c r="D15" s="436" t="s">
        <v>108</v>
      </c>
      <c r="E15" s="487">
        <f>+[4]김포!$Q$85</f>
        <v>97241.400000000009</v>
      </c>
      <c r="F15" s="486">
        <f>+[4]김포!$R$85</f>
        <v>97726.022100473565</v>
      </c>
      <c r="G15" s="485">
        <f t="shared" si="0"/>
        <v>484.6221004735562</v>
      </c>
      <c r="H15" s="487">
        <f>+[4]김포!$Q$20</f>
        <v>58629.401557285877</v>
      </c>
      <c r="I15" s="486">
        <f>+[4]김포!$R$20</f>
        <v>63658.676364310202</v>
      </c>
      <c r="J15" s="485">
        <f t="shared" si="1"/>
        <v>5029.2748070243251</v>
      </c>
      <c r="K15" s="487">
        <f>+[4]김포!$Q$21</f>
        <v>18004.955112781954</v>
      </c>
      <c r="L15" s="486">
        <f>+[4]김포!$R$21</f>
        <v>22734.604836468079</v>
      </c>
      <c r="M15" s="485">
        <f t="shared" si="2"/>
        <v>4729.6497236861251</v>
      </c>
      <c r="N15" s="487">
        <f>+[4]김포!$Q$22</f>
        <v>493.57142857142856</v>
      </c>
      <c r="O15" s="486">
        <f>+[4]김포!$R$22</f>
        <v>445.01380524413969</v>
      </c>
      <c r="P15" s="485">
        <f t="shared" si="3"/>
        <v>-48.557623327288866</v>
      </c>
      <c r="Q15" s="487">
        <f t="shared" si="4"/>
        <v>77127.92809863927</v>
      </c>
      <c r="R15" s="486">
        <f t="shared" si="5"/>
        <v>86838.29500602241</v>
      </c>
      <c r="S15" s="485">
        <f t="shared" si="6"/>
        <v>9710.3669073831406</v>
      </c>
      <c r="T15" s="487">
        <f t="shared" si="7"/>
        <v>20113.471901360739</v>
      </c>
      <c r="U15" s="486">
        <f t="shared" si="8"/>
        <v>10887.727094451155</v>
      </c>
      <c r="V15" s="485">
        <f t="shared" si="9"/>
        <v>-9225.7448069095844</v>
      </c>
    </row>
    <row r="16" spans="1:22" ht="24" customHeight="1">
      <c r="D16" s="491" t="s">
        <v>21</v>
      </c>
      <c r="E16" s="490">
        <f>+[4]부산!$Q$85</f>
        <v>107700.25336352941</v>
      </c>
      <c r="F16" s="489">
        <f>+[4]부산!$R$85</f>
        <v>105326.38555094313</v>
      </c>
      <c r="G16" s="488">
        <f t="shared" si="0"/>
        <v>-2373.8678125862789</v>
      </c>
      <c r="H16" s="490">
        <f>+[4]부산!$Q$20</f>
        <v>64338.120058472741</v>
      </c>
      <c r="I16" s="489">
        <f>+[4]부산!$R$20</f>
        <v>63439.443622115803</v>
      </c>
      <c r="J16" s="488">
        <f t="shared" si="1"/>
        <v>-898.67643635693821</v>
      </c>
      <c r="K16" s="490">
        <f>+[4]부산!$Q$21</f>
        <v>20074.067287581704</v>
      </c>
      <c r="L16" s="489">
        <f>+[4]부산!$R$21</f>
        <v>21107.705557974168</v>
      </c>
      <c r="M16" s="488">
        <f t="shared" si="2"/>
        <v>1033.6382703924646</v>
      </c>
      <c r="N16" s="490">
        <f>+[4]부산!$Q$22</f>
        <v>411.76470588235293</v>
      </c>
      <c r="O16" s="489">
        <f>+[4]부산!$R$22</f>
        <v>148.21716731969238</v>
      </c>
      <c r="P16" s="488">
        <f t="shared" si="3"/>
        <v>-263.54753856266052</v>
      </c>
      <c r="Q16" s="490">
        <f t="shared" si="4"/>
        <v>84823.952051936794</v>
      </c>
      <c r="R16" s="489">
        <f t="shared" si="5"/>
        <v>84695.366347409654</v>
      </c>
      <c r="S16" s="488">
        <f t="shared" si="6"/>
        <v>-128.58570452714048</v>
      </c>
      <c r="T16" s="490">
        <f t="shared" si="7"/>
        <v>22876.301311592615</v>
      </c>
      <c r="U16" s="489">
        <f t="shared" si="8"/>
        <v>20631.019203533477</v>
      </c>
      <c r="V16" s="488">
        <f t="shared" si="9"/>
        <v>-2245.2821080591384</v>
      </c>
    </row>
    <row r="17" spans="4:22" ht="24" customHeight="1">
      <c r="D17" s="436" t="s">
        <v>22</v>
      </c>
      <c r="E17" s="487">
        <f>+[4]서부산!$Q$85</f>
        <v>99300.16933333331</v>
      </c>
      <c r="F17" s="486">
        <f>+[4]서부산!$R$85</f>
        <v>98009.738068455714</v>
      </c>
      <c r="G17" s="485">
        <f t="shared" si="0"/>
        <v>-1290.4312648775958</v>
      </c>
      <c r="H17" s="487">
        <f>+[4]서부산!$Q$20</f>
        <v>61580.876441837725</v>
      </c>
      <c r="I17" s="486">
        <f>+[4]서부산!$R$20</f>
        <v>59596.909164420475</v>
      </c>
      <c r="J17" s="485">
        <f t="shared" si="1"/>
        <v>-1983.9672774172504</v>
      </c>
      <c r="K17" s="487">
        <f>+[4]서부산!$Q$21</f>
        <v>17093.277773973401</v>
      </c>
      <c r="L17" s="486">
        <f>+[4]서부산!$R$21</f>
        <v>17402.027897574124</v>
      </c>
      <c r="M17" s="485">
        <f t="shared" si="2"/>
        <v>308.75012360072287</v>
      </c>
      <c r="N17" s="487">
        <f>+[4]서부산!$Q$22</f>
        <v>200</v>
      </c>
      <c r="O17" s="486">
        <f>+[4]서부산!$R$22</f>
        <v>289.23773584905661</v>
      </c>
      <c r="P17" s="485">
        <f t="shared" si="3"/>
        <v>89.237735849056605</v>
      </c>
      <c r="Q17" s="487">
        <f t="shared" si="4"/>
        <v>78874.154215811126</v>
      </c>
      <c r="R17" s="486">
        <f t="shared" si="5"/>
        <v>77288.174797843662</v>
      </c>
      <c r="S17" s="485">
        <f t="shared" si="6"/>
        <v>-1585.9794179674645</v>
      </c>
      <c r="T17" s="487">
        <f t="shared" si="7"/>
        <v>20426.015117522184</v>
      </c>
      <c r="U17" s="486">
        <f t="shared" si="8"/>
        <v>20721.563270612052</v>
      </c>
      <c r="V17" s="485">
        <f t="shared" si="9"/>
        <v>295.54815308986872</v>
      </c>
    </row>
    <row r="18" spans="4:22" ht="24" customHeight="1">
      <c r="D18" s="436" t="s">
        <v>23</v>
      </c>
      <c r="E18" s="487">
        <f>+[4]김해!$Q$85</f>
        <v>96300.27499999998</v>
      </c>
      <c r="F18" s="486">
        <f>+[4]김해!$R$85</f>
        <v>94432.371857337756</v>
      </c>
      <c r="G18" s="485">
        <f t="shared" si="0"/>
        <v>-1867.9031426622241</v>
      </c>
      <c r="H18" s="487">
        <f>+[4]김해!$Q$20</f>
        <v>57004.314430693514</v>
      </c>
      <c r="I18" s="486">
        <f>+[4]김해!$R$20</f>
        <v>58976.957513155336</v>
      </c>
      <c r="J18" s="485">
        <f t="shared" si="1"/>
        <v>1972.6430824618219</v>
      </c>
      <c r="K18" s="487">
        <f>+[4]김해!$Q$21</f>
        <v>19804.267967836262</v>
      </c>
      <c r="L18" s="486">
        <f>+[4]김해!$R$21</f>
        <v>16701.485675306958</v>
      </c>
      <c r="M18" s="485">
        <f t="shared" si="2"/>
        <v>-3102.782292529304</v>
      </c>
      <c r="N18" s="487">
        <f>+[4]김해!$Q$22</f>
        <v>350</v>
      </c>
      <c r="O18" s="486">
        <f>+[4]김해!$R$22</f>
        <v>713.0116936269734</v>
      </c>
      <c r="P18" s="485">
        <f t="shared" si="3"/>
        <v>363.0116936269734</v>
      </c>
      <c r="Q18" s="487">
        <f t="shared" si="4"/>
        <v>77158.582398529776</v>
      </c>
      <c r="R18" s="486">
        <f t="shared" si="5"/>
        <v>76391.454882089267</v>
      </c>
      <c r="S18" s="485">
        <f t="shared" si="6"/>
        <v>-767.12751644050877</v>
      </c>
      <c r="T18" s="487">
        <f t="shared" si="7"/>
        <v>19141.692601470204</v>
      </c>
      <c r="U18" s="486">
        <f t="shared" si="8"/>
        <v>18040.916975248489</v>
      </c>
      <c r="V18" s="485">
        <f t="shared" si="9"/>
        <v>-1100.7756262217154</v>
      </c>
    </row>
    <row r="19" spans="4:22" ht="24" customHeight="1">
      <c r="D19" s="436" t="s">
        <v>24</v>
      </c>
      <c r="E19" s="487">
        <f>+[4]정관!$Q$85</f>
        <v>101999.68326666666</v>
      </c>
      <c r="F19" s="486">
        <f>+[4]정관!$R$85</f>
        <v>103005.46174305685</v>
      </c>
      <c r="G19" s="485">
        <f t="shared" si="0"/>
        <v>1005.7784763901873</v>
      </c>
      <c r="H19" s="487">
        <f>+[4]정관!$Q$20</f>
        <v>62694.134259372746</v>
      </c>
      <c r="I19" s="486">
        <f>+[4]정관!$R$20</f>
        <v>64329.901168180972</v>
      </c>
      <c r="J19" s="485">
        <f t="shared" si="1"/>
        <v>1635.7669088082257</v>
      </c>
      <c r="K19" s="487">
        <f>+[4]정관!$Q$21</f>
        <v>19006.745000000003</v>
      </c>
      <c r="L19" s="486">
        <f>+[4]정관!$R$21</f>
        <v>20659.66178379381</v>
      </c>
      <c r="M19" s="485">
        <f t="shared" si="2"/>
        <v>1652.9167837938076</v>
      </c>
      <c r="N19" s="487">
        <f>+[4]정관!$Q$22</f>
        <v>222.2222222222222</v>
      </c>
      <c r="O19" s="486">
        <f>+[4]정관!$R$22</f>
        <v>304.37140737993695</v>
      </c>
      <c r="P19" s="485">
        <f t="shared" si="3"/>
        <v>82.149185157714754</v>
      </c>
      <c r="Q19" s="487">
        <f t="shared" si="4"/>
        <v>81923.10148159496</v>
      </c>
      <c r="R19" s="486">
        <f t="shared" si="5"/>
        <v>85293.934359354709</v>
      </c>
      <c r="S19" s="485">
        <f t="shared" si="6"/>
        <v>3370.832877759749</v>
      </c>
      <c r="T19" s="487">
        <f t="shared" si="7"/>
        <v>20076.581785071699</v>
      </c>
      <c r="U19" s="486">
        <f t="shared" si="8"/>
        <v>17711.527383702138</v>
      </c>
      <c r="V19" s="485">
        <f t="shared" si="9"/>
        <v>-2365.0544013695617</v>
      </c>
    </row>
    <row r="20" spans="4:22" ht="24" customHeight="1">
      <c r="D20" s="436" t="s">
        <v>25</v>
      </c>
      <c r="E20" s="487">
        <f>+[4]양산!$Q$85</f>
        <v>94478.75</v>
      </c>
      <c r="F20" s="486">
        <f>+[4]양산!$R$85</f>
        <v>92587.349811191219</v>
      </c>
      <c r="G20" s="485">
        <f t="shared" si="0"/>
        <v>-1891.4001888087805</v>
      </c>
      <c r="H20" s="487">
        <f>+[4]양산!$Q$20</f>
        <v>56606.591127717067</v>
      </c>
      <c r="I20" s="486">
        <f>+[4]양산!$R$20</f>
        <v>55459.969790593881</v>
      </c>
      <c r="J20" s="485">
        <f t="shared" si="1"/>
        <v>-1146.6213371231861</v>
      </c>
      <c r="K20" s="487">
        <f>+[4]양산!$Q$21</f>
        <v>17732.054210526319</v>
      </c>
      <c r="L20" s="486">
        <f>+[4]양산!$R$21</f>
        <v>19874.79745966358</v>
      </c>
      <c r="M20" s="485">
        <f t="shared" si="2"/>
        <v>2142.7432491372601</v>
      </c>
      <c r="N20" s="487">
        <f>+[4]양산!$Q$22</f>
        <v>140</v>
      </c>
      <c r="O20" s="486">
        <f>+[4]양산!$R$22</f>
        <v>45.479231033299001</v>
      </c>
      <c r="P20" s="485">
        <f t="shared" si="3"/>
        <v>-94.520768966700999</v>
      </c>
      <c r="Q20" s="487">
        <f t="shared" si="4"/>
        <v>74478.645338243383</v>
      </c>
      <c r="R20" s="486">
        <f t="shared" si="5"/>
        <v>75380.246481290756</v>
      </c>
      <c r="S20" s="485">
        <f t="shared" si="6"/>
        <v>901.60114304737363</v>
      </c>
      <c r="T20" s="487">
        <f t="shared" si="7"/>
        <v>20000.104661756617</v>
      </c>
      <c r="U20" s="486">
        <f t="shared" si="8"/>
        <v>17207.103329900463</v>
      </c>
      <c r="V20" s="485">
        <f t="shared" si="9"/>
        <v>-2793.0013318561541</v>
      </c>
    </row>
    <row r="21" spans="4:22" ht="24" customHeight="1">
      <c r="D21" s="436" t="s">
        <v>26</v>
      </c>
      <c r="E21" s="487">
        <f>+[4]창원!$Q$85</f>
        <v>100000.31456228578</v>
      </c>
      <c r="F21" s="486">
        <f>+[4]창원!$R$85</f>
        <v>100925.54024255788</v>
      </c>
      <c r="G21" s="485">
        <f t="shared" si="0"/>
        <v>925.22568027209491</v>
      </c>
      <c r="H21" s="487">
        <f>+[4]창원!$Q$20</f>
        <v>57730.684538375972</v>
      </c>
      <c r="I21" s="486">
        <f>+[4]창원!$R$20</f>
        <v>57980.180595369355</v>
      </c>
      <c r="J21" s="485">
        <f t="shared" si="1"/>
        <v>249.49605699338281</v>
      </c>
      <c r="K21" s="487">
        <f>+[4]창원!$Q$21</f>
        <v>17628.08387537994</v>
      </c>
      <c r="L21" s="486">
        <f>+[4]창원!$R$21</f>
        <v>19654.773980154354</v>
      </c>
      <c r="M21" s="485">
        <f t="shared" si="2"/>
        <v>2026.6901047744141</v>
      </c>
      <c r="N21" s="487">
        <f>+[4]창원!$Q$22</f>
        <v>428.57142857142856</v>
      </c>
      <c r="O21" s="486">
        <f>+[4]창원!$R$22</f>
        <v>114.29636163175303</v>
      </c>
      <c r="P21" s="485">
        <f t="shared" si="3"/>
        <v>-314.27506693967553</v>
      </c>
      <c r="Q21" s="487">
        <f t="shared" si="4"/>
        <v>75787.339842327347</v>
      </c>
      <c r="R21" s="486">
        <f t="shared" si="5"/>
        <v>77749.250937155462</v>
      </c>
      <c r="S21" s="485">
        <f t="shared" si="6"/>
        <v>1961.9110948281159</v>
      </c>
      <c r="T21" s="487">
        <f t="shared" si="7"/>
        <v>24212.974719958438</v>
      </c>
      <c r="U21" s="486">
        <f t="shared" si="8"/>
        <v>23176.289305402417</v>
      </c>
      <c r="V21" s="485">
        <f t="shared" si="9"/>
        <v>-1036.685414556021</v>
      </c>
    </row>
    <row r="22" spans="4:22" ht="24" customHeight="1">
      <c r="D22" s="436" t="s">
        <v>148</v>
      </c>
      <c r="E22" s="487">
        <f>+[4]대구!$Q$85</f>
        <v>97465.893488888876</v>
      </c>
      <c r="F22" s="486">
        <f>+[4]대구!$R$85</f>
        <v>97773.366201615441</v>
      </c>
      <c r="G22" s="485">
        <f t="shared" si="0"/>
        <v>307.47271272656508</v>
      </c>
      <c r="H22" s="487">
        <f>+[4]대구!$Q$20</f>
        <v>56101.464980509561</v>
      </c>
      <c r="I22" s="486">
        <f>+[4]대구!$R$20</f>
        <v>57238.845379209073</v>
      </c>
      <c r="J22" s="485">
        <f t="shared" si="1"/>
        <v>1137.3803986995117</v>
      </c>
      <c r="K22" s="487">
        <f>+[4]대구!$Q$21</f>
        <v>18268.936315789473</v>
      </c>
      <c r="L22" s="486">
        <f>+[4]대구!$R$21</f>
        <v>19940.298017413199</v>
      </c>
      <c r="M22" s="485">
        <f t="shared" si="2"/>
        <v>1671.3617016237258</v>
      </c>
      <c r="N22" s="487">
        <f>+[4]대구!$Q$22</f>
        <v>400</v>
      </c>
      <c r="O22" s="486">
        <f>+[4]대구!$R$22</f>
        <v>277.15797755166267</v>
      </c>
      <c r="P22" s="485">
        <f t="shared" si="3"/>
        <v>-122.84202244833733</v>
      </c>
      <c r="Q22" s="487">
        <f t="shared" si="4"/>
        <v>74770.401296299038</v>
      </c>
      <c r="R22" s="486">
        <f t="shared" si="5"/>
        <v>77456.301374173927</v>
      </c>
      <c r="S22" s="485">
        <f t="shared" si="6"/>
        <v>2685.9000778748887</v>
      </c>
      <c r="T22" s="487">
        <f t="shared" si="7"/>
        <v>22695.492192589838</v>
      </c>
      <c r="U22" s="486">
        <f t="shared" si="8"/>
        <v>20317.064827441514</v>
      </c>
      <c r="V22" s="485">
        <f t="shared" si="9"/>
        <v>-2378.4273651483236</v>
      </c>
    </row>
    <row r="23" spans="4:22" ht="24" customHeight="1">
      <c r="D23" s="436" t="s">
        <v>147</v>
      </c>
      <c r="E23" s="487">
        <f>+[4]울산!$Q$85</f>
        <v>102132.75</v>
      </c>
      <c r="F23" s="486">
        <f>+[4]울산!$R$85</f>
        <v>107170.90769736121</v>
      </c>
      <c r="G23" s="485">
        <f t="shared" si="0"/>
        <v>5038.15769736121</v>
      </c>
      <c r="H23" s="487">
        <f>+[4]울산!$Q$20</f>
        <v>62310.829299221354</v>
      </c>
      <c r="I23" s="486">
        <f>+[4]울산!$R$20</f>
        <v>62122.625752764703</v>
      </c>
      <c r="J23" s="485">
        <f t="shared" si="1"/>
        <v>-188.20354645665066</v>
      </c>
      <c r="K23" s="487">
        <f>+[4]울산!$Q$21</f>
        <v>20063.700652201744</v>
      </c>
      <c r="L23" s="486">
        <f>+[4]울산!$R$21</f>
        <v>22722.487682032192</v>
      </c>
      <c r="M23" s="485">
        <f t="shared" si="2"/>
        <v>2658.7870298304479</v>
      </c>
      <c r="N23" s="487">
        <f>+[4]울산!$Q$22</f>
        <v>280</v>
      </c>
      <c r="O23" s="486">
        <f>+[4]울산!$R$22</f>
        <v>302.47979853279315</v>
      </c>
      <c r="P23" s="485">
        <f t="shared" si="3"/>
        <v>22.479798532793154</v>
      </c>
      <c r="Q23" s="487">
        <f t="shared" si="4"/>
        <v>82654.529951423101</v>
      </c>
      <c r="R23" s="486">
        <f t="shared" si="5"/>
        <v>85147.593233329681</v>
      </c>
      <c r="S23" s="485">
        <f t="shared" si="6"/>
        <v>2493.0632819065795</v>
      </c>
      <c r="T23" s="487">
        <f t="shared" si="7"/>
        <v>19478.220048576899</v>
      </c>
      <c r="U23" s="486">
        <f t="shared" si="8"/>
        <v>22023.314464031529</v>
      </c>
      <c r="V23" s="485">
        <f t="shared" si="9"/>
        <v>2545.0944154546305</v>
      </c>
    </row>
    <row r="24" spans="4:22" ht="24" customHeight="1">
      <c r="D24" s="491" t="s">
        <v>27</v>
      </c>
      <c r="E24" s="490">
        <f>+[4]아산!$Q$85</f>
        <v>103000</v>
      </c>
      <c r="F24" s="489">
        <f>+[4]아산!$R$85</f>
        <v>101157.08031301483</v>
      </c>
      <c r="G24" s="488">
        <f t="shared" si="0"/>
        <v>-1842.919686985173</v>
      </c>
      <c r="H24" s="490">
        <f>+[4]아산!$Q$20</f>
        <v>59396.996873449134</v>
      </c>
      <c r="I24" s="489">
        <f>+[4]아산!$R$20</f>
        <v>66766.754174506117</v>
      </c>
      <c r="J24" s="488">
        <f t="shared" si="1"/>
        <v>7369.7573010569831</v>
      </c>
      <c r="K24" s="490">
        <f>+[4]아산!$Q$21</f>
        <v>19472.155848336057</v>
      </c>
      <c r="L24" s="489">
        <f>+[4]아산!$R$21</f>
        <v>21044.604127469425</v>
      </c>
      <c r="M24" s="488">
        <f t="shared" si="2"/>
        <v>1572.4482791333685</v>
      </c>
      <c r="N24" s="490">
        <f>+[4]아산!$Q$22</f>
        <v>346.15384615384613</v>
      </c>
      <c r="O24" s="489">
        <f>+[4]아산!$R$22</f>
        <v>249.88581843838193</v>
      </c>
      <c r="P24" s="488">
        <f t="shared" si="3"/>
        <v>-96.2680277154642</v>
      </c>
      <c r="Q24" s="490">
        <f t="shared" si="4"/>
        <v>79215.306567939027</v>
      </c>
      <c r="R24" s="489">
        <f t="shared" si="5"/>
        <v>88061.244120413932</v>
      </c>
      <c r="S24" s="488">
        <f t="shared" si="6"/>
        <v>8845.9375524749048</v>
      </c>
      <c r="T24" s="490">
        <f t="shared" si="7"/>
        <v>23784.693432060973</v>
      </c>
      <c r="U24" s="489">
        <f t="shared" si="8"/>
        <v>13095.836192600895</v>
      </c>
      <c r="V24" s="488">
        <f t="shared" si="9"/>
        <v>-10688.857239460078</v>
      </c>
    </row>
    <row r="25" spans="4:22" ht="24" customHeight="1">
      <c r="D25" s="436" t="s">
        <v>146</v>
      </c>
      <c r="E25" s="487">
        <f>+[4]전주!$Q$85</f>
        <v>96862.617142857125</v>
      </c>
      <c r="F25" s="486">
        <f>+[4]전주!$R$85</f>
        <v>96461.239585062227</v>
      </c>
      <c r="G25" s="485">
        <f t="shared" si="0"/>
        <v>-401.37755779489817</v>
      </c>
      <c r="H25" s="487">
        <f>+[4]전주!$Q$20</f>
        <v>57235.360596959588</v>
      </c>
      <c r="I25" s="486">
        <f>+[4]전주!$R$20</f>
        <v>59026.225087050247</v>
      </c>
      <c r="J25" s="485">
        <f t="shared" si="1"/>
        <v>1790.8644900906584</v>
      </c>
      <c r="K25" s="487">
        <f>+[4]전주!$Q$21</f>
        <v>15940.213353596759</v>
      </c>
      <c r="L25" s="486">
        <f>+[4]전주!$R$21</f>
        <v>15672.885508207593</v>
      </c>
      <c r="M25" s="485">
        <f t="shared" si="2"/>
        <v>-267.3278453891653</v>
      </c>
      <c r="N25" s="487">
        <f>+[4]전주!$Q$22</f>
        <v>428.57142857142856</v>
      </c>
      <c r="O25" s="486">
        <f>+[4]전주!$R$22</f>
        <v>248.98532581661414</v>
      </c>
      <c r="P25" s="485">
        <f t="shared" si="3"/>
        <v>-179.58610275481442</v>
      </c>
      <c r="Q25" s="487">
        <f t="shared" si="4"/>
        <v>73604.145379127775</v>
      </c>
      <c r="R25" s="486">
        <f t="shared" si="5"/>
        <v>74948.095921074448</v>
      </c>
      <c r="S25" s="485">
        <f t="shared" si="6"/>
        <v>1343.9505419466732</v>
      </c>
      <c r="T25" s="487">
        <f t="shared" si="7"/>
        <v>23258.471763729351</v>
      </c>
      <c r="U25" s="486">
        <f t="shared" si="8"/>
        <v>21513.143663987779</v>
      </c>
      <c r="V25" s="485">
        <f t="shared" si="9"/>
        <v>-1745.3280997415714</v>
      </c>
    </row>
    <row r="26" spans="4:22" ht="24" customHeight="1">
      <c r="D26" s="436" t="s">
        <v>145</v>
      </c>
      <c r="E26" s="487">
        <f>+[4]군산!$Q$85</f>
        <v>111520.24799999999</v>
      </c>
      <c r="F26" s="486">
        <f>+[4]군산!$R$85</f>
        <v>111810.99866692058</v>
      </c>
      <c r="G26" s="485">
        <f t="shared" si="0"/>
        <v>290.75066692059045</v>
      </c>
      <c r="H26" s="487">
        <f>+[4]군산!$Q$20</f>
        <v>60158.087419354837</v>
      </c>
      <c r="I26" s="486">
        <f>+[4]군산!$R$20</f>
        <v>62113.996191201681</v>
      </c>
      <c r="J26" s="485">
        <f t="shared" si="1"/>
        <v>1955.9087718468436</v>
      </c>
      <c r="K26" s="487">
        <f>+[4]군산!$Q$21</f>
        <v>13619.218764032072</v>
      </c>
      <c r="L26" s="486">
        <f>+[4]군산!$R$21</f>
        <v>14314.437630927441</v>
      </c>
      <c r="M26" s="485">
        <f t="shared" si="2"/>
        <v>695.2188668953695</v>
      </c>
      <c r="N26" s="487">
        <f>+[4]군산!$Q$22</f>
        <v>90</v>
      </c>
      <c r="O26" s="486">
        <f>+[4]군산!$R$22</f>
        <v>104.35079032565227</v>
      </c>
      <c r="P26" s="485">
        <f t="shared" si="3"/>
        <v>14.35079032565227</v>
      </c>
      <c r="Q26" s="487">
        <f t="shared" si="4"/>
        <v>73867.306183386914</v>
      </c>
      <c r="R26" s="486">
        <f t="shared" si="5"/>
        <v>76532.78461245478</v>
      </c>
      <c r="S26" s="485">
        <f t="shared" si="6"/>
        <v>2665.4784290678654</v>
      </c>
      <c r="T26" s="487">
        <f t="shared" si="7"/>
        <v>37652.941816613078</v>
      </c>
      <c r="U26" s="486">
        <f t="shared" si="8"/>
        <v>35278.214054465803</v>
      </c>
      <c r="V26" s="485">
        <f t="shared" si="9"/>
        <v>-2374.7277621472749</v>
      </c>
    </row>
    <row r="27" spans="4:22" ht="24" customHeight="1">
      <c r="D27" s="436" t="s">
        <v>144</v>
      </c>
      <c r="E27" s="487">
        <f>+[4]원주!$Q$85</f>
        <v>112000</v>
      </c>
      <c r="F27" s="486">
        <f>+[4]원주!$R$85</f>
        <v>114037.09825528007</v>
      </c>
      <c r="G27" s="485">
        <f t="shared" si="0"/>
        <v>2037.0982552800706</v>
      </c>
      <c r="H27" s="487">
        <f>+[4]원주!$Q$20</f>
        <v>59673.633333333339</v>
      </c>
      <c r="I27" s="486">
        <f>+[4]원주!$R$20</f>
        <v>59918.898071625343</v>
      </c>
      <c r="J27" s="485">
        <f t="shared" si="1"/>
        <v>245.26473829200404</v>
      </c>
      <c r="K27" s="487">
        <f>+[4]원주!$Q$21</f>
        <v>14804.798846409913</v>
      </c>
      <c r="L27" s="486">
        <f>+[4]원주!$R$21</f>
        <v>14580.633149678604</v>
      </c>
      <c r="M27" s="485">
        <f t="shared" si="2"/>
        <v>-224.16569673130834</v>
      </c>
      <c r="N27" s="487">
        <f>+[4]원주!$Q$22</f>
        <v>1525</v>
      </c>
      <c r="O27" s="486">
        <f>+[4]원주!$R$22</f>
        <v>1279.1556473829203</v>
      </c>
      <c r="P27" s="485">
        <f t="shared" si="3"/>
        <v>-245.84435261707972</v>
      </c>
      <c r="Q27" s="487">
        <f t="shared" si="4"/>
        <v>76003.432179743249</v>
      </c>
      <c r="R27" s="486">
        <f t="shared" si="5"/>
        <v>75778.686868686869</v>
      </c>
      <c r="S27" s="485">
        <f t="shared" si="6"/>
        <v>-224.74531105638016</v>
      </c>
      <c r="T27" s="487">
        <f t="shared" si="7"/>
        <v>35996.567820256751</v>
      </c>
      <c r="U27" s="486">
        <f t="shared" si="8"/>
        <v>38258.411386593201</v>
      </c>
      <c r="V27" s="485">
        <f t="shared" si="9"/>
        <v>2261.8435663364507</v>
      </c>
    </row>
    <row r="28" spans="4:22" ht="24" customHeight="1">
      <c r="D28" s="431" t="s">
        <v>143</v>
      </c>
      <c r="E28" s="484">
        <f>+[4]제주!$Q$85</f>
        <v>122822.5</v>
      </c>
      <c r="F28" s="483">
        <f>+[4]제주!$R$85</f>
        <v>120069.69472182597</v>
      </c>
      <c r="G28" s="482">
        <f t="shared" si="0"/>
        <v>-2752.8052781740262</v>
      </c>
      <c r="H28" s="484">
        <f>+[4]제주!$Q$20</f>
        <v>73451.839970337402</v>
      </c>
      <c r="I28" s="483">
        <f>+[4]제주!$R$20</f>
        <v>74709.565763195438</v>
      </c>
      <c r="J28" s="482">
        <f t="shared" si="1"/>
        <v>1257.7257928580366</v>
      </c>
      <c r="K28" s="484">
        <f>+[4]제주!$Q$21</f>
        <v>16720.876288659794</v>
      </c>
      <c r="L28" s="483">
        <f>+[4]제주!$R$21</f>
        <v>15679.349310508798</v>
      </c>
      <c r="M28" s="482">
        <f t="shared" si="2"/>
        <v>-1041.526978150996</v>
      </c>
      <c r="N28" s="484">
        <f>+[4]제주!$Q$22</f>
        <v>357.14285714285717</v>
      </c>
      <c r="O28" s="483">
        <f>+[4]제주!$R$22</f>
        <v>368.01274369947697</v>
      </c>
      <c r="P28" s="482">
        <f t="shared" si="3"/>
        <v>10.869886556619804</v>
      </c>
      <c r="Q28" s="484">
        <f t="shared" si="4"/>
        <v>90529.859116140055</v>
      </c>
      <c r="R28" s="483">
        <f t="shared" si="5"/>
        <v>90756.927817403717</v>
      </c>
      <c r="S28" s="482">
        <f t="shared" si="6"/>
        <v>227.06870126366266</v>
      </c>
      <c r="T28" s="484">
        <f t="shared" si="7"/>
        <v>32292.640883859945</v>
      </c>
      <c r="U28" s="483">
        <f t="shared" si="8"/>
        <v>29312.766904422257</v>
      </c>
      <c r="V28" s="482">
        <f t="shared" si="9"/>
        <v>-2979.8739794376888</v>
      </c>
    </row>
    <row r="29" spans="4:22" ht="24" customHeight="1"/>
    <row r="30" spans="4:22" ht="24" customHeight="1"/>
    <row r="31" spans="4:22" ht="24" customHeight="1"/>
    <row r="32" spans="4:22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6C93-3AD1-4759-9437-717A6F22A0F1}">
  <sheetPr>
    <tabColor theme="1" tint="0.249977111117893"/>
    <pageSetUpPr fitToPage="1"/>
  </sheetPr>
  <dimension ref="A1:Y52"/>
  <sheetViews>
    <sheetView showGridLines="0" showZeros="0" view="pageBreakPreview" zoomScale="60" zoomScaleNormal="85" workbookViewId="0">
      <pane xSplit="4" ySplit="7" topLeftCell="E8" activePane="bottomRight" state="frozen"/>
      <selection activeCell="C33" sqref="C33"/>
      <selection pane="topRight" activeCell="C33" sqref="C33"/>
      <selection pane="bottomLeft" activeCell="C33" sqref="C33"/>
      <selection pane="bottomRight" activeCell="C33" sqref="C33"/>
    </sheetView>
  </sheetViews>
  <sheetFormatPr defaultRowHeight="16.5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/>
    <row r="2" spans="1:22" ht="9.9499999999999993" hidden="1" customHeight="1"/>
    <row r="3" spans="1:22" ht="9.9499999999999993" customHeight="1"/>
    <row r="4" spans="1:22" ht="31.5">
      <c r="D4" s="481" t="s">
        <v>230</v>
      </c>
      <c r="F4" s="481"/>
      <c r="I4" s="481"/>
    </row>
    <row r="5" spans="1:22" ht="21.95" customHeight="1"/>
    <row r="6" spans="1:22" ht="24" customHeight="1" thickBot="1">
      <c r="A6" s="6" t="s">
        <v>156</v>
      </c>
      <c r="D6" s="841" t="s">
        <v>11</v>
      </c>
      <c r="E6" s="479" t="s">
        <v>169</v>
      </c>
      <c r="F6" s="478"/>
      <c r="G6" s="477"/>
      <c r="H6" s="479" t="s">
        <v>168</v>
      </c>
      <c r="I6" s="478"/>
      <c r="J6" s="477"/>
      <c r="K6" s="479" t="s">
        <v>167</v>
      </c>
      <c r="L6" s="478"/>
      <c r="M6" s="477"/>
      <c r="N6" s="479" t="s">
        <v>166</v>
      </c>
      <c r="O6" s="478"/>
      <c r="P6" s="477"/>
      <c r="Q6" s="479" t="s">
        <v>165</v>
      </c>
      <c r="R6" s="478"/>
      <c r="S6" s="477"/>
      <c r="T6" s="479" t="s">
        <v>164</v>
      </c>
      <c r="U6" s="478"/>
      <c r="V6" s="477"/>
    </row>
    <row r="7" spans="1:22" ht="24" customHeight="1">
      <c r="D7" s="842"/>
      <c r="E7" s="475" t="s">
        <v>36</v>
      </c>
      <c r="F7" s="474" t="s">
        <v>37</v>
      </c>
      <c r="G7" s="476" t="s">
        <v>28</v>
      </c>
      <c r="H7" s="475" t="s">
        <v>12</v>
      </c>
      <c r="I7" s="474" t="s">
        <v>13</v>
      </c>
      <c r="J7" s="476" t="s">
        <v>28</v>
      </c>
      <c r="K7" s="475" t="s">
        <v>12</v>
      </c>
      <c r="L7" s="474" t="s">
        <v>13</v>
      </c>
      <c r="M7" s="476" t="s">
        <v>28</v>
      </c>
      <c r="N7" s="475" t="s">
        <v>12</v>
      </c>
      <c r="O7" s="474" t="s">
        <v>13</v>
      </c>
      <c r="P7" s="476" t="s">
        <v>28</v>
      </c>
      <c r="Q7" s="475" t="s">
        <v>12</v>
      </c>
      <c r="R7" s="474" t="s">
        <v>13</v>
      </c>
      <c r="S7" s="476" t="s">
        <v>28</v>
      </c>
      <c r="T7" s="475" t="s">
        <v>12</v>
      </c>
      <c r="U7" s="474" t="s">
        <v>13</v>
      </c>
      <c r="V7" s="476" t="s">
        <v>28</v>
      </c>
    </row>
    <row r="8" spans="1:22" ht="24" customHeight="1">
      <c r="D8" s="471" t="s">
        <v>158</v>
      </c>
      <c r="E8" s="524">
        <f>+[4]합계!$G$9</f>
        <v>100717.48744840163</v>
      </c>
      <c r="F8" s="523">
        <f>+[4]합계!$H$9</f>
        <v>100475.79705265554</v>
      </c>
      <c r="G8" s="522">
        <f t="shared" ref="G8:G28" si="0">+F8-E8</f>
        <v>-241.69039574608905</v>
      </c>
      <c r="H8" s="524">
        <f>+[4]합계!$G$10</f>
        <v>92882.768371721177</v>
      </c>
      <c r="I8" s="523">
        <f>+[4]합계!$H$10</f>
        <v>95993.504702437698</v>
      </c>
      <c r="J8" s="522">
        <f t="shared" ref="J8:J28" si="1">+I8-H8</f>
        <v>3110.7363307165215</v>
      </c>
      <c r="K8" s="524">
        <f>+[4]합계!$G$12</f>
        <v>63711.834954982376</v>
      </c>
      <c r="L8" s="523">
        <f>+[4]합계!$H$12</f>
        <v>63255.13281133023</v>
      </c>
      <c r="M8" s="522">
        <f t="shared" ref="M8:M28" si="2">+L8-K8</f>
        <v>-456.70214365214633</v>
      </c>
      <c r="N8" s="524">
        <f>+[4]합계!$G$13</f>
        <v>39952.631529767663</v>
      </c>
      <c r="O8" s="523">
        <f>+[4]합계!$H$13</f>
        <v>36128.08618097099</v>
      </c>
      <c r="P8" s="522">
        <f t="shared" ref="P8:P28" si="3">+O8-N8</f>
        <v>-3824.5453487966734</v>
      </c>
      <c r="Q8" s="524">
        <f>+[4]합계!$G$16</f>
        <v>13246.90942118643</v>
      </c>
      <c r="R8" s="523">
        <f>+[4]합계!$H$16</f>
        <v>12833.660475065786</v>
      </c>
      <c r="S8" s="522">
        <f t="shared" ref="S8:S28" si="4">+R8-Q8</f>
        <v>-413.24894612064418</v>
      </c>
      <c r="T8" s="524">
        <f>+[4]합계!$G$17</f>
        <v>16014.368937442558</v>
      </c>
      <c r="U8" s="523">
        <f>+[4]합계!$H$17</f>
        <v>15932.276908775986</v>
      </c>
      <c r="V8" s="522">
        <f t="shared" ref="V8:V28" si="5">+U8-T8</f>
        <v>-82.092028666571423</v>
      </c>
    </row>
    <row r="9" spans="1:22" ht="24" customHeight="1">
      <c r="D9" s="465" t="s">
        <v>16</v>
      </c>
      <c r="E9" s="521">
        <f>+[4]수도권!$G$9</f>
        <v>100000</v>
      </c>
      <c r="F9" s="520">
        <f>+[4]수도권!$H$9</f>
        <v>99821.116777813979</v>
      </c>
      <c r="G9" s="519">
        <f t="shared" si="0"/>
        <v>-178.88322218602116</v>
      </c>
      <c r="H9" s="521">
        <f>+[4]수도권!$G$10</f>
        <v>98000</v>
      </c>
      <c r="I9" s="520">
        <f>+[4]수도권!$H$10</f>
        <v>102002.90580022598</v>
      </c>
      <c r="J9" s="519">
        <f t="shared" si="1"/>
        <v>4002.9058002259844</v>
      </c>
      <c r="K9" s="521">
        <f>+[4]수도권!$G$12</f>
        <v>64214.52437398133</v>
      </c>
      <c r="L9" s="520">
        <f>+[4]수도권!$H$12</f>
        <v>64236.040972402538</v>
      </c>
      <c r="M9" s="519">
        <f t="shared" si="2"/>
        <v>21.516598421207163</v>
      </c>
      <c r="N9" s="521">
        <f>+[4]수도권!$G$13</f>
        <v>47288.291103169438</v>
      </c>
      <c r="O9" s="520">
        <f>+[4]수도권!$H$13</f>
        <v>41094.850889990506</v>
      </c>
      <c r="P9" s="519">
        <f t="shared" si="3"/>
        <v>-6193.440213178932</v>
      </c>
      <c r="Q9" s="521">
        <f>+[4]수도권!$G$16</f>
        <v>15863.425072532249</v>
      </c>
      <c r="R9" s="520">
        <f>+[4]수도권!$H$16</f>
        <v>15734.506085519592</v>
      </c>
      <c r="S9" s="519">
        <f t="shared" si="4"/>
        <v>-128.91898701265745</v>
      </c>
      <c r="T9" s="521">
        <f>+[4]수도권!$G$17</f>
        <v>14263.953132327637</v>
      </c>
      <c r="U9" s="520">
        <f>+[4]수도권!$H$17</f>
        <v>14233.837697582188</v>
      </c>
      <c r="V9" s="519">
        <f t="shared" si="5"/>
        <v>-30.115434745448511</v>
      </c>
    </row>
    <row r="10" spans="1:22" ht="24" customHeight="1">
      <c r="D10" s="460" t="s">
        <v>17</v>
      </c>
      <c r="E10" s="518">
        <f>+[4]영남권!$G$9</f>
        <v>100000</v>
      </c>
      <c r="F10" s="517">
        <f>+[4]영남권!$H$9</f>
        <v>100006.44093670257</v>
      </c>
      <c r="G10" s="516">
        <f t="shared" si="0"/>
        <v>6.4409367025655229</v>
      </c>
      <c r="H10" s="518">
        <f>+[4]영남권!$G$10</f>
        <v>92426.251256288597</v>
      </c>
      <c r="I10" s="517">
        <f>+[4]영남권!$H$10</f>
        <v>93074.093682693783</v>
      </c>
      <c r="J10" s="516">
        <f t="shared" si="1"/>
        <v>647.84242640518642</v>
      </c>
      <c r="K10" s="518">
        <f>+[4]영남권!$G$12</f>
        <v>62843.757926138001</v>
      </c>
      <c r="L10" s="517">
        <f>+[4]영남권!$H$12</f>
        <v>62461.590678987304</v>
      </c>
      <c r="M10" s="516">
        <f t="shared" si="2"/>
        <v>-382.16724715069722</v>
      </c>
      <c r="N10" s="518">
        <f>+[4]영남권!$G$13</f>
        <v>35546.148282854112</v>
      </c>
      <c r="O10" s="517">
        <f>+[4]영남권!$H$13</f>
        <v>33186.343089234244</v>
      </c>
      <c r="P10" s="516">
        <f t="shared" si="3"/>
        <v>-2359.8051936198681</v>
      </c>
      <c r="Q10" s="518">
        <f>+[4]영남권!$G$16</f>
        <v>10933.987501371219</v>
      </c>
      <c r="R10" s="517">
        <f>+[4]영남권!$H$16</f>
        <v>10660.498534158884</v>
      </c>
      <c r="S10" s="516">
        <f t="shared" si="4"/>
        <v>-273.48896721233541</v>
      </c>
      <c r="T10" s="518">
        <f>+[4]영남권!$G$17</f>
        <v>17690.819627688452</v>
      </c>
      <c r="U10" s="517">
        <f>+[4]영남권!$H$17</f>
        <v>17615.842775070734</v>
      </c>
      <c r="V10" s="516">
        <f t="shared" si="5"/>
        <v>-74.976852617717668</v>
      </c>
    </row>
    <row r="11" spans="1:22" ht="24" customHeight="1">
      <c r="D11" s="455" t="s">
        <v>149</v>
      </c>
      <c r="E11" s="515">
        <f>+[4]중부권!$G$9</f>
        <v>103924.89062288575</v>
      </c>
      <c r="F11" s="514">
        <f>+[4]중부권!$H$9</f>
        <v>102111.90535250182</v>
      </c>
      <c r="G11" s="513">
        <f t="shared" si="0"/>
        <v>-1812.9852703839279</v>
      </c>
      <c r="H11" s="515">
        <f>+[4]중부권!$G$10</f>
        <v>94200</v>
      </c>
      <c r="I11" s="514">
        <f>+[4]중부권!$H$10</f>
        <v>101634.09845458218</v>
      </c>
      <c r="J11" s="513">
        <f t="shared" si="1"/>
        <v>7434.0984545821848</v>
      </c>
      <c r="K11" s="515">
        <f>+[4]중부권!$G$12</f>
        <v>64637.502002785412</v>
      </c>
      <c r="L11" s="514">
        <f>+[4]중부권!$H$12</f>
        <v>64836.913982439146</v>
      </c>
      <c r="M11" s="513">
        <f t="shared" si="2"/>
        <v>199.41197965373431</v>
      </c>
      <c r="N11" s="515">
        <f>+[4]중부권!$G$13</f>
        <v>41196.158033908861</v>
      </c>
      <c r="O11" s="514">
        <f>+[4]중부권!$H$13</f>
        <v>37076.111882519341</v>
      </c>
      <c r="P11" s="513">
        <f t="shared" si="3"/>
        <v>-4120.0461513895207</v>
      </c>
      <c r="Q11" s="515">
        <f>+[4]중부권!$G$16</f>
        <v>13465.151938714454</v>
      </c>
      <c r="R11" s="514">
        <f>+[4]중부권!$H$16</f>
        <v>13105.230701969214</v>
      </c>
      <c r="S11" s="513">
        <f t="shared" si="4"/>
        <v>-359.92123674524009</v>
      </c>
      <c r="T11" s="515">
        <f>+[4]중부권!$G$17</f>
        <v>14951.089955039293</v>
      </c>
      <c r="U11" s="514">
        <f>+[4]중부권!$H$17</f>
        <v>14828.159904457058</v>
      </c>
      <c r="V11" s="513">
        <f t="shared" si="5"/>
        <v>-122.93005058223571</v>
      </c>
    </row>
    <row r="12" spans="1:22" ht="24" customHeight="1">
      <c r="D12" s="495" t="s">
        <v>18</v>
      </c>
      <c r="E12" s="512">
        <f>+[4]안양!$G$9</f>
        <v>100000</v>
      </c>
      <c r="F12" s="511">
        <f>+[4]안양!$H$9</f>
        <v>99706.824381628132</v>
      </c>
      <c r="G12" s="510">
        <f t="shared" si="0"/>
        <v>-293.17561837186804</v>
      </c>
      <c r="H12" s="512">
        <f>+[4]안양!$G$10</f>
        <v>0</v>
      </c>
      <c r="I12" s="511">
        <f>+[4]안양!$H$10</f>
        <v>102199.99156254825</v>
      </c>
      <c r="J12" s="510">
        <f t="shared" si="1"/>
        <v>102199.99156254825</v>
      </c>
      <c r="K12" s="512">
        <f>+[4]안양!$G$12</f>
        <v>64099.999999999993</v>
      </c>
      <c r="L12" s="511">
        <f>+[4]안양!$H$12</f>
        <v>64189.977070409783</v>
      </c>
      <c r="M12" s="510">
        <f t="shared" si="2"/>
        <v>89.977070409790031</v>
      </c>
      <c r="N12" s="512">
        <f>+[4]안양!$G$13</f>
        <v>46100</v>
      </c>
      <c r="O12" s="511">
        <f>+[4]안양!$H$13</f>
        <v>40029.383729108333</v>
      </c>
      <c r="P12" s="510">
        <f t="shared" si="3"/>
        <v>-6070.6162708916672</v>
      </c>
      <c r="Q12" s="512">
        <f>+[4]안양!$G$16</f>
        <v>15800</v>
      </c>
      <c r="R12" s="511">
        <f>+[4]안양!$H$16</f>
        <v>15709.243038277635</v>
      </c>
      <c r="S12" s="510">
        <f t="shared" si="4"/>
        <v>-90.756961722365304</v>
      </c>
      <c r="T12" s="512">
        <f>+[4]안양!$G$17</f>
        <v>15032.258064516131</v>
      </c>
      <c r="U12" s="511">
        <f>+[4]안양!$H$17</f>
        <v>15108.981081401371</v>
      </c>
      <c r="V12" s="510">
        <f t="shared" si="5"/>
        <v>76.723016885240213</v>
      </c>
    </row>
    <row r="13" spans="1:22" ht="24" customHeight="1">
      <c r="D13" s="436" t="s">
        <v>19</v>
      </c>
      <c r="E13" s="505">
        <f>+[4]인천!$G$9</f>
        <v>100000</v>
      </c>
      <c r="F13" s="504">
        <f>+[4]인천!$H$9</f>
        <v>99877.725777189582</v>
      </c>
      <c r="G13" s="503">
        <f t="shared" si="0"/>
        <v>-122.274222810418</v>
      </c>
      <c r="H13" s="505">
        <f>+[4]인천!$G$10</f>
        <v>98000</v>
      </c>
      <c r="I13" s="504">
        <f>+[4]인천!$H$10</f>
        <v>102121.56270550888</v>
      </c>
      <c r="J13" s="503">
        <f t="shared" si="1"/>
        <v>4121.5627055088844</v>
      </c>
      <c r="K13" s="505">
        <f>+[4]인천!$G$12</f>
        <v>64400.000000000007</v>
      </c>
      <c r="L13" s="504">
        <f>+[4]인천!$H$12</f>
        <v>64524.155945720435</v>
      </c>
      <c r="M13" s="503">
        <f t="shared" si="2"/>
        <v>124.15594572042755</v>
      </c>
      <c r="N13" s="505">
        <f>+[4]인천!$G$13</f>
        <v>47600</v>
      </c>
      <c r="O13" s="504">
        <f>+[4]인천!$H$13</f>
        <v>41325.037428621137</v>
      </c>
      <c r="P13" s="503">
        <f t="shared" si="3"/>
        <v>-6274.9625713788628</v>
      </c>
      <c r="Q13" s="505">
        <f>+[4]인천!$G$16</f>
        <v>16000</v>
      </c>
      <c r="R13" s="504">
        <f>+[4]인천!$H$16</f>
        <v>15916.354915886472</v>
      </c>
      <c r="S13" s="503">
        <f t="shared" si="4"/>
        <v>-83.645084113528355</v>
      </c>
      <c r="T13" s="505">
        <f>+[4]인천!$G$17</f>
        <v>14318.131256952171</v>
      </c>
      <c r="U13" s="504">
        <f>+[4]인천!$H$17</f>
        <v>13990.937421969997</v>
      </c>
      <c r="V13" s="503">
        <f t="shared" si="5"/>
        <v>-327.19383498217394</v>
      </c>
    </row>
    <row r="14" spans="1:22" ht="24" customHeight="1">
      <c r="D14" s="436" t="s">
        <v>20</v>
      </c>
      <c r="E14" s="505">
        <f>+[4]파주!$G$9</f>
        <v>100000</v>
      </c>
      <c r="F14" s="504">
        <f>+[4]파주!$H$9</f>
        <v>99999.998668146494</v>
      </c>
      <c r="G14" s="503">
        <f t="shared" si="0"/>
        <v>-1.3318535056896508E-3</v>
      </c>
      <c r="H14" s="505">
        <f>+[4]파주!$G$10</f>
        <v>0</v>
      </c>
      <c r="I14" s="504">
        <f>+[4]파주!$H$10</f>
        <v>101725.04285385122</v>
      </c>
      <c r="J14" s="503">
        <f t="shared" si="1"/>
        <v>101725.04285385122</v>
      </c>
      <c r="K14" s="505">
        <f>+[4]파주!$G$12</f>
        <v>64300</v>
      </c>
      <c r="L14" s="504">
        <f>+[4]파주!$H$12</f>
        <v>64120.019402573264</v>
      </c>
      <c r="M14" s="503">
        <f t="shared" si="2"/>
        <v>-179.98059742673649</v>
      </c>
      <c r="N14" s="505">
        <f>+[4]파주!$G$13</f>
        <v>48199.999999999993</v>
      </c>
      <c r="O14" s="504">
        <f>+[4]파주!$H$13</f>
        <v>43973.346162665737</v>
      </c>
      <c r="P14" s="503">
        <f t="shared" si="3"/>
        <v>-4226.6538373342555</v>
      </c>
      <c r="Q14" s="505">
        <f>+[4]파주!$G$16</f>
        <v>16333.333333333332</v>
      </c>
      <c r="R14" s="504">
        <f>+[4]파주!$H$16</f>
        <v>16178.530514282866</v>
      </c>
      <c r="S14" s="503">
        <f t="shared" si="4"/>
        <v>-154.8028190504665</v>
      </c>
      <c r="T14" s="505">
        <f>+[4]파주!$G$17</f>
        <v>12580.645161290324</v>
      </c>
      <c r="U14" s="504">
        <f>+[4]파주!$H$17</f>
        <v>11990.659178967553</v>
      </c>
      <c r="V14" s="503">
        <f t="shared" si="5"/>
        <v>-589.98598232277072</v>
      </c>
    </row>
    <row r="15" spans="1:22" ht="24" customHeight="1">
      <c r="D15" s="436" t="s">
        <v>108</v>
      </c>
      <c r="E15" s="505">
        <f>+[4]김포!$G$9</f>
        <v>100000</v>
      </c>
      <c r="F15" s="504">
        <f>+[4]김포!$H$9</f>
        <v>99999.998251756406</v>
      </c>
      <c r="G15" s="503">
        <f t="shared" si="0"/>
        <v>-1.7482435941928998E-3</v>
      </c>
      <c r="H15" s="505">
        <f>+[4]김포!$G$10</f>
        <v>0</v>
      </c>
      <c r="I15" s="504">
        <f>+[4]김포!$H$10</f>
        <v>0</v>
      </c>
      <c r="J15" s="503">
        <f t="shared" si="1"/>
        <v>0</v>
      </c>
      <c r="K15" s="505">
        <f>+[4]김포!$G$12</f>
        <v>63800</v>
      </c>
      <c r="L15" s="504">
        <f>+[4]김포!$H$12</f>
        <v>63841.742750299505</v>
      </c>
      <c r="M15" s="503">
        <f t="shared" si="2"/>
        <v>41.742750299505133</v>
      </c>
      <c r="N15" s="505">
        <f>+[4]김포!$G$13</f>
        <v>47600</v>
      </c>
      <c r="O15" s="504">
        <f>+[4]김포!$H$13</f>
        <v>42921.085964227444</v>
      </c>
      <c r="P15" s="503">
        <f t="shared" si="3"/>
        <v>-4678.9140357725555</v>
      </c>
      <c r="Q15" s="505">
        <f>+[4]김포!$G$16</f>
        <v>14600</v>
      </c>
      <c r="R15" s="504">
        <f>+[4]김포!$H$16</f>
        <v>14671.295912883359</v>
      </c>
      <c r="S15" s="503">
        <f t="shared" si="4"/>
        <v>71.295912883359051</v>
      </c>
      <c r="T15" s="505">
        <f>+[4]김포!$G$17</f>
        <v>14148.064457890969</v>
      </c>
      <c r="U15" s="504">
        <f>+[4]김포!$H$17</f>
        <v>14484.000414470718</v>
      </c>
      <c r="V15" s="503">
        <f t="shared" si="5"/>
        <v>335.93595657974947</v>
      </c>
    </row>
    <row r="16" spans="1:22" ht="24" customHeight="1">
      <c r="D16" s="491" t="s">
        <v>21</v>
      </c>
      <c r="E16" s="508">
        <f>+[4]부산!$G$9</f>
        <v>100000.00000000001</v>
      </c>
      <c r="F16" s="507">
        <f>+[4]부산!$H$9</f>
        <v>100000.00255742265</v>
      </c>
      <c r="G16" s="506">
        <f t="shared" si="0"/>
        <v>2.5574226310709491E-3</v>
      </c>
      <c r="H16" s="508">
        <f>+[4]부산!$G$10</f>
        <v>92900</v>
      </c>
      <c r="I16" s="507">
        <f>+[4]부산!$H$10</f>
        <v>93277.355767142668</v>
      </c>
      <c r="J16" s="506">
        <f t="shared" si="1"/>
        <v>377.3557671426679</v>
      </c>
      <c r="K16" s="508">
        <f>+[4]부산!$G$12</f>
        <v>0</v>
      </c>
      <c r="L16" s="507">
        <f>+[4]부산!$H$12</f>
        <v>0</v>
      </c>
      <c r="M16" s="506">
        <f t="shared" si="2"/>
        <v>0</v>
      </c>
      <c r="N16" s="508">
        <f>+[4]부산!$G$13</f>
        <v>36500</v>
      </c>
      <c r="O16" s="507">
        <f>+[4]부산!$H$13</f>
        <v>34633.411650839778</v>
      </c>
      <c r="P16" s="506">
        <f t="shared" si="3"/>
        <v>-1866.5883491602217</v>
      </c>
      <c r="Q16" s="508">
        <f>+[4]부산!$G$16</f>
        <v>11711.806666666664</v>
      </c>
      <c r="R16" s="507">
        <f>+[4]부산!$H$16</f>
        <v>11722.772833534857</v>
      </c>
      <c r="S16" s="506">
        <f t="shared" si="4"/>
        <v>10.966166868192886</v>
      </c>
      <c r="T16" s="508">
        <f>+[4]부산!$G$17</f>
        <v>18098.115365425943</v>
      </c>
      <c r="U16" s="507">
        <f>+[4]부산!$H$17</f>
        <v>18394.531498849756</v>
      </c>
      <c r="V16" s="506">
        <f t="shared" si="5"/>
        <v>296.41613342381243</v>
      </c>
    </row>
    <row r="17" spans="4:25" ht="24" customHeight="1">
      <c r="D17" s="436" t="s">
        <v>22</v>
      </c>
      <c r="E17" s="505">
        <f>+[4]서부산!$G$9</f>
        <v>100000</v>
      </c>
      <c r="F17" s="504">
        <f>+[4]서부산!$H$9</f>
        <v>100025.38534888587</v>
      </c>
      <c r="G17" s="503">
        <f t="shared" si="0"/>
        <v>25.3853488858731</v>
      </c>
      <c r="H17" s="505">
        <f>+[4]서부산!$G$10</f>
        <v>92100</v>
      </c>
      <c r="I17" s="504">
        <f>+[4]서부산!$H$10</f>
        <v>92099.957126245194</v>
      </c>
      <c r="J17" s="503">
        <f t="shared" si="1"/>
        <v>-4.2873754806350917E-2</v>
      </c>
      <c r="K17" s="505">
        <f>+[4]서부산!$G$12</f>
        <v>65000</v>
      </c>
      <c r="L17" s="504">
        <f>+[4]서부산!$H$12</f>
        <v>64006.230234049908</v>
      </c>
      <c r="M17" s="503">
        <f t="shared" si="2"/>
        <v>-993.76976595009182</v>
      </c>
      <c r="N17" s="505">
        <f>+[4]서부산!$G$13</f>
        <v>35300</v>
      </c>
      <c r="O17" s="504">
        <f>+[4]서부산!$H$13</f>
        <v>33860.467234555181</v>
      </c>
      <c r="P17" s="503">
        <f t="shared" si="3"/>
        <v>-1439.5327654448192</v>
      </c>
      <c r="Q17" s="505">
        <f>+[4]서부산!$G$16</f>
        <v>11333.333333333334</v>
      </c>
      <c r="R17" s="504">
        <f>+[4]서부산!$H$16</f>
        <v>8659.2174484829993</v>
      </c>
      <c r="S17" s="503">
        <f t="shared" si="4"/>
        <v>-2674.1158848503346</v>
      </c>
      <c r="T17" s="505">
        <f>+[4]서부산!$G$17</f>
        <v>17717.959459894941</v>
      </c>
      <c r="U17" s="504">
        <f>+[4]서부산!$H$17</f>
        <v>17776.815716246798</v>
      </c>
      <c r="V17" s="503">
        <f t="shared" si="5"/>
        <v>58.856256351857155</v>
      </c>
    </row>
    <row r="18" spans="4:25" ht="24" customHeight="1">
      <c r="D18" s="436" t="s">
        <v>23</v>
      </c>
      <c r="E18" s="505">
        <f>+[4]김해!$G$9</f>
        <v>100000</v>
      </c>
      <c r="F18" s="504">
        <f>+[4]김해!$H$9</f>
        <v>100000.00076510503</v>
      </c>
      <c r="G18" s="503">
        <f t="shared" si="0"/>
        <v>7.6510502549353987E-4</v>
      </c>
      <c r="H18" s="505">
        <f>+[4]김해!$G$10</f>
        <v>92100</v>
      </c>
      <c r="I18" s="504">
        <f>+[4]김해!$H$10</f>
        <v>92099.994107218663</v>
      </c>
      <c r="J18" s="503">
        <f t="shared" si="1"/>
        <v>-5.892781337024644E-3</v>
      </c>
      <c r="K18" s="505">
        <f>+[4]김해!$G$12</f>
        <v>64000</v>
      </c>
      <c r="L18" s="504">
        <f>+[4]김해!$H$12</f>
        <v>0</v>
      </c>
      <c r="M18" s="503">
        <f t="shared" si="2"/>
        <v>-64000</v>
      </c>
      <c r="N18" s="505">
        <f>+[4]김해!$G$13</f>
        <v>35000</v>
      </c>
      <c r="O18" s="504">
        <f>+[4]김해!$H$13</f>
        <v>33328.16195870236</v>
      </c>
      <c r="P18" s="503">
        <f t="shared" si="3"/>
        <v>-1671.8380412976403</v>
      </c>
      <c r="Q18" s="505">
        <f>+[4]김해!$G$16</f>
        <v>9066.6666666666661</v>
      </c>
      <c r="R18" s="504">
        <f>+[4]김해!$H$16</f>
        <v>9209.2236542835471</v>
      </c>
      <c r="S18" s="503">
        <f t="shared" si="4"/>
        <v>142.55698761688109</v>
      </c>
      <c r="T18" s="505">
        <f>+[4]김해!$G$17</f>
        <v>15880.190628800196</v>
      </c>
      <c r="U18" s="504">
        <f>+[4]김해!$H$17</f>
        <v>16142.578550710055</v>
      </c>
      <c r="V18" s="503">
        <f t="shared" si="5"/>
        <v>262.38792190985987</v>
      </c>
    </row>
    <row r="19" spans="4:25" ht="24" customHeight="1">
      <c r="D19" s="436" t="s">
        <v>24</v>
      </c>
      <c r="E19" s="505">
        <f>+[4]정관!$G$9</f>
        <v>100000</v>
      </c>
      <c r="F19" s="504">
        <f>+[4]정관!$H$9</f>
        <v>100024.85236911247</v>
      </c>
      <c r="G19" s="503">
        <f t="shared" si="0"/>
        <v>24.852369112471933</v>
      </c>
      <c r="H19" s="505">
        <f>+[4]정관!$G$10</f>
        <v>92100.000000000015</v>
      </c>
      <c r="I19" s="504">
        <f>+[4]정관!$H$10</f>
        <v>92100.00286267449</v>
      </c>
      <c r="J19" s="503">
        <f t="shared" si="1"/>
        <v>2.8626744751818478E-3</v>
      </c>
      <c r="K19" s="505">
        <f>+[4]정관!$G$12</f>
        <v>61999.999999999993</v>
      </c>
      <c r="L19" s="504">
        <f>+[4]정관!$H$12</f>
        <v>62279.092533071234</v>
      </c>
      <c r="M19" s="503">
        <f t="shared" si="2"/>
        <v>279.09253307124163</v>
      </c>
      <c r="N19" s="505">
        <f>+[4]정관!$G$13</f>
        <v>35500</v>
      </c>
      <c r="O19" s="504">
        <f>+[4]정관!$H$13</f>
        <v>32566.065348700504</v>
      </c>
      <c r="P19" s="503">
        <f t="shared" si="3"/>
        <v>-2933.9346512994962</v>
      </c>
      <c r="Q19" s="505">
        <f>+[4]정관!$G$16</f>
        <v>11362.368837731805</v>
      </c>
      <c r="R19" s="504">
        <f>+[4]정관!$H$16</f>
        <v>11262.610593913429</v>
      </c>
      <c r="S19" s="503">
        <f t="shared" si="4"/>
        <v>-99.758243818376286</v>
      </c>
      <c r="T19" s="505">
        <f>+[4]정관!$G$17</f>
        <v>19374.266925635959</v>
      </c>
      <c r="U19" s="504">
        <f>+[4]정관!$H$17</f>
        <v>19184.862744824601</v>
      </c>
      <c r="V19" s="503">
        <f t="shared" si="5"/>
        <v>-189.40418081135795</v>
      </c>
    </row>
    <row r="20" spans="4:25" ht="24" customHeight="1">
      <c r="D20" s="436" t="s">
        <v>25</v>
      </c>
      <c r="E20" s="505">
        <f>+[4]양산!$G$9</f>
        <v>100000</v>
      </c>
      <c r="F20" s="504">
        <f>+[4]양산!$H$9</f>
        <v>99941.658237873446</v>
      </c>
      <c r="G20" s="503">
        <f t="shared" si="0"/>
        <v>-58.341762126554386</v>
      </c>
      <c r="H20" s="505">
        <f>+[4]양산!$G$10</f>
        <v>0</v>
      </c>
      <c r="I20" s="504">
        <f>+[4]양산!$H$10</f>
        <v>102199.99635722305</v>
      </c>
      <c r="J20" s="503">
        <f t="shared" si="1"/>
        <v>102199.99635722305</v>
      </c>
      <c r="K20" s="505">
        <f>+[4]양산!$G$12</f>
        <v>62199.999999999993</v>
      </c>
      <c r="L20" s="504">
        <f>+[4]양산!$H$12</f>
        <v>62132.457334311919</v>
      </c>
      <c r="M20" s="503">
        <f t="shared" si="2"/>
        <v>-67.542665688073612</v>
      </c>
      <c r="N20" s="505">
        <f>+[4]양산!$G$13</f>
        <v>36000</v>
      </c>
      <c r="O20" s="504">
        <f>+[4]양산!$H$13</f>
        <v>34266.563197023679</v>
      </c>
      <c r="P20" s="503">
        <f t="shared" si="3"/>
        <v>-1733.4368029763209</v>
      </c>
      <c r="Q20" s="505">
        <f>+[4]양산!$G$16</f>
        <v>9600</v>
      </c>
      <c r="R20" s="504">
        <f>+[4]양산!$H$16</f>
        <v>9466.836403797337</v>
      </c>
      <c r="S20" s="503">
        <f t="shared" si="4"/>
        <v>-133.16359620266303</v>
      </c>
      <c r="T20" s="505">
        <f>+[4]양산!$G$17</f>
        <v>18131.294151388658</v>
      </c>
      <c r="U20" s="504">
        <f>+[4]양산!$H$17</f>
        <v>17294.486504742337</v>
      </c>
      <c r="V20" s="503">
        <f t="shared" si="5"/>
        <v>-836.80764664632079</v>
      </c>
    </row>
    <row r="21" spans="4:25" ht="24" customHeight="1">
      <c r="D21" s="436" t="s">
        <v>26</v>
      </c>
      <c r="E21" s="505">
        <f>+[4]창원!$G$9</f>
        <v>100000</v>
      </c>
      <c r="F21" s="504">
        <f>+[4]창원!$H$9</f>
        <v>100000.00084068537</v>
      </c>
      <c r="G21" s="503">
        <f t="shared" si="0"/>
        <v>8.4068537398707122E-4</v>
      </c>
      <c r="H21" s="505">
        <f>+[4]창원!$G$10</f>
        <v>0</v>
      </c>
      <c r="I21" s="504">
        <f>+[4]창원!$H$10</f>
        <v>0</v>
      </c>
      <c r="J21" s="503">
        <f t="shared" si="1"/>
        <v>0</v>
      </c>
      <c r="K21" s="505">
        <f>+[4]창원!$G$12</f>
        <v>64500</v>
      </c>
      <c r="L21" s="504">
        <f>+[4]창원!$H$12</f>
        <v>63991.230029247745</v>
      </c>
      <c r="M21" s="503">
        <f t="shared" si="2"/>
        <v>-508.76997075225518</v>
      </c>
      <c r="N21" s="505">
        <f>+[4]창원!$G$13</f>
        <v>33000</v>
      </c>
      <c r="O21" s="504">
        <f>+[4]창원!$H$13</f>
        <v>31185.104651848</v>
      </c>
      <c r="P21" s="503">
        <f t="shared" si="3"/>
        <v>-1814.8953481520002</v>
      </c>
      <c r="Q21" s="505">
        <f>+[4]창원!$G$16</f>
        <v>11000</v>
      </c>
      <c r="R21" s="504">
        <f>+[4]창원!$H$16</f>
        <v>11254.007968631415</v>
      </c>
      <c r="S21" s="503">
        <f t="shared" si="4"/>
        <v>254.00796863141477</v>
      </c>
      <c r="T21" s="505">
        <f>+[4]창원!$G$17</f>
        <v>17410.058688981204</v>
      </c>
      <c r="U21" s="504">
        <f>+[4]창원!$H$17</f>
        <v>17019.329532123094</v>
      </c>
      <c r="V21" s="503">
        <f t="shared" si="5"/>
        <v>-390.72915685810949</v>
      </c>
      <c r="Y21" s="509"/>
    </row>
    <row r="22" spans="4:25" ht="24" customHeight="1">
      <c r="D22" s="436" t="s">
        <v>148</v>
      </c>
      <c r="E22" s="505">
        <f>+[4]대구!$G$9</f>
        <v>100000</v>
      </c>
      <c r="F22" s="504">
        <f>+[4]대구!$H$9</f>
        <v>99999.999999999985</v>
      </c>
      <c r="G22" s="503">
        <f t="shared" si="0"/>
        <v>0</v>
      </c>
      <c r="H22" s="505">
        <f>+[4]대구!$G$10</f>
        <v>0</v>
      </c>
      <c r="I22" s="504">
        <f>+[4]대구!$H$10</f>
        <v>0</v>
      </c>
      <c r="J22" s="503">
        <f t="shared" si="1"/>
        <v>0</v>
      </c>
      <c r="K22" s="505">
        <f>+[4]대구!$G$12</f>
        <v>61400</v>
      </c>
      <c r="L22" s="504">
        <f>+[4]대구!$H$12</f>
        <v>61055.276976696739</v>
      </c>
      <c r="M22" s="503">
        <f t="shared" si="2"/>
        <v>-344.72302330326056</v>
      </c>
      <c r="N22" s="505">
        <f>+[4]대구!$G$13</f>
        <v>35300.000000000007</v>
      </c>
      <c r="O22" s="504">
        <f>+[4]대구!$H$13</f>
        <v>30839.609189748091</v>
      </c>
      <c r="P22" s="503">
        <f t="shared" si="3"/>
        <v>-4460.3908102519163</v>
      </c>
      <c r="Q22" s="505">
        <f>+[4]대구!$G$16</f>
        <v>11133.333333333334</v>
      </c>
      <c r="R22" s="504">
        <f>+[4]대구!$H$16</f>
        <v>11132.888453532512</v>
      </c>
      <c r="S22" s="503">
        <f t="shared" si="4"/>
        <v>-0.44487980082158174</v>
      </c>
      <c r="T22" s="505">
        <f>+[4]대구!$G$17</f>
        <v>14763.292547274748</v>
      </c>
      <c r="U22" s="504">
        <f>+[4]대구!$H$17</f>
        <v>14165.161014716805</v>
      </c>
      <c r="V22" s="503">
        <f t="shared" si="5"/>
        <v>-598.1315325579435</v>
      </c>
    </row>
    <row r="23" spans="4:25" ht="24" customHeight="1">
      <c r="D23" s="436" t="s">
        <v>147</v>
      </c>
      <c r="E23" s="505">
        <f>+[4]울산!$G$9</f>
        <v>100000</v>
      </c>
      <c r="F23" s="504">
        <f>+[4]울산!$H$9</f>
        <v>100000.00074879277</v>
      </c>
      <c r="G23" s="503">
        <f t="shared" si="0"/>
        <v>7.4879276507999748E-4</v>
      </c>
      <c r="H23" s="505">
        <f>+[4]울산!$G$10</f>
        <v>0</v>
      </c>
      <c r="I23" s="504">
        <f>+[4]울산!$H$10</f>
        <v>0</v>
      </c>
      <c r="J23" s="503">
        <f t="shared" si="1"/>
        <v>0</v>
      </c>
      <c r="K23" s="505">
        <f>+[4]울산!$G$12</f>
        <v>60200</v>
      </c>
      <c r="L23" s="504">
        <f>+[4]울산!$H$12</f>
        <v>60200.16511407667</v>
      </c>
      <c r="M23" s="503">
        <f t="shared" si="2"/>
        <v>0.16511407666985178</v>
      </c>
      <c r="N23" s="505">
        <f>+[4]울산!$G$13</f>
        <v>37000</v>
      </c>
      <c r="O23" s="504">
        <f>+[4]울산!$H$13</f>
        <v>35033.983211007391</v>
      </c>
      <c r="P23" s="503">
        <f t="shared" si="3"/>
        <v>-1966.0167889926088</v>
      </c>
      <c r="Q23" s="505">
        <f>+[4]울산!$G$16</f>
        <v>11533.333333333334</v>
      </c>
      <c r="R23" s="504">
        <f>+[4]울산!$H$16</f>
        <v>11490.642639992988</v>
      </c>
      <c r="S23" s="503">
        <f t="shared" si="4"/>
        <v>-42.690693340346115</v>
      </c>
      <c r="T23" s="505">
        <f>+[4]울산!$G$17</f>
        <v>19459.84427141268</v>
      </c>
      <c r="U23" s="504">
        <f>+[4]울산!$H$17</f>
        <v>19453.501423256555</v>
      </c>
      <c r="V23" s="503">
        <f t="shared" si="5"/>
        <v>-6.3428481561240915</v>
      </c>
    </row>
    <row r="24" spans="4:25" ht="24" customHeight="1">
      <c r="D24" s="491" t="s">
        <v>27</v>
      </c>
      <c r="E24" s="508">
        <f>+[4]아산!$G$9</f>
        <v>100000</v>
      </c>
      <c r="F24" s="507">
        <f>+[4]아산!$H$9</f>
        <v>99959.949116732736</v>
      </c>
      <c r="G24" s="506">
        <f t="shared" si="0"/>
        <v>-40.050883267263998</v>
      </c>
      <c r="H24" s="508">
        <f>+[4]아산!$G$10</f>
        <v>0</v>
      </c>
      <c r="I24" s="507">
        <f>+[4]아산!$H$10</f>
        <v>86600.833333333343</v>
      </c>
      <c r="J24" s="506">
        <f t="shared" si="1"/>
        <v>86600.833333333343</v>
      </c>
      <c r="K24" s="508">
        <f>+[4]아산!$G$12</f>
        <v>64300</v>
      </c>
      <c r="L24" s="507">
        <f>+[4]아산!$H$12</f>
        <v>64503.659852338242</v>
      </c>
      <c r="M24" s="506">
        <f t="shared" si="2"/>
        <v>203.65985233824176</v>
      </c>
      <c r="N24" s="508">
        <f>+[4]아산!$G$13</f>
        <v>42900.000000000007</v>
      </c>
      <c r="O24" s="507">
        <f>+[4]아산!$H$13</f>
        <v>38938.947796179127</v>
      </c>
      <c r="P24" s="506">
        <f t="shared" si="3"/>
        <v>-3961.0522038208801</v>
      </c>
      <c r="Q24" s="508">
        <f>+[4]아산!$G$16</f>
        <v>11400</v>
      </c>
      <c r="R24" s="507">
        <f>+[4]아산!$H$16</f>
        <v>11368.85482202013</v>
      </c>
      <c r="S24" s="506">
        <f t="shared" si="4"/>
        <v>-31.145177979869914</v>
      </c>
      <c r="T24" s="508">
        <f>+[4]아산!$G$17</f>
        <v>13225.806451612903</v>
      </c>
      <c r="U24" s="507">
        <f>+[4]아산!$H$17</f>
        <v>13145.25172272577</v>
      </c>
      <c r="V24" s="506">
        <f t="shared" si="5"/>
        <v>-80.554728887133024</v>
      </c>
    </row>
    <row r="25" spans="4:25" ht="24" customHeight="1">
      <c r="D25" s="436" t="s">
        <v>146</v>
      </c>
      <c r="E25" s="505">
        <f>+[4]전주!$G$9</f>
        <v>100000</v>
      </c>
      <c r="F25" s="504">
        <f>+[4]전주!$H$9</f>
        <v>99910.000755143905</v>
      </c>
      <c r="G25" s="503">
        <f t="shared" si="0"/>
        <v>-89.999244856095174</v>
      </c>
      <c r="H25" s="505">
        <f>+[4]전주!$G$10</f>
        <v>0</v>
      </c>
      <c r="I25" s="504">
        <f>+[4]전주!$H$10</f>
        <v>97477.616195455761</v>
      </c>
      <c r="J25" s="503">
        <f t="shared" si="1"/>
        <v>97477.616195455761</v>
      </c>
      <c r="K25" s="505">
        <f>+[4]전주!$G$12</f>
        <v>65000</v>
      </c>
      <c r="L25" s="504">
        <f>+[4]전주!$H$12</f>
        <v>64999.994552763754</v>
      </c>
      <c r="M25" s="503">
        <f t="shared" si="2"/>
        <v>-5.4472362462547608E-3</v>
      </c>
      <c r="N25" s="505">
        <f>+[4]전주!$G$13</f>
        <v>36000.000000000007</v>
      </c>
      <c r="O25" s="504">
        <f>+[4]전주!$H$13</f>
        <v>34416.825071240055</v>
      </c>
      <c r="P25" s="503">
        <f t="shared" si="3"/>
        <v>-1583.1749287599523</v>
      </c>
      <c r="Q25" s="505">
        <f>+[4]전주!$G$16</f>
        <v>13333.333333333334</v>
      </c>
      <c r="R25" s="504">
        <f>+[4]전주!$H$16</f>
        <v>13312.314221924678</v>
      </c>
      <c r="S25" s="503">
        <f t="shared" si="4"/>
        <v>-21.01911140865559</v>
      </c>
      <c r="T25" s="505">
        <f>+[4]전주!$G$17</f>
        <v>15310.502654704607</v>
      </c>
      <c r="U25" s="504">
        <f>+[4]전주!$H$17</f>
        <v>15470.504707780412</v>
      </c>
      <c r="V25" s="503">
        <f t="shared" si="5"/>
        <v>160.00205307580472</v>
      </c>
    </row>
    <row r="26" spans="4:25" ht="24" customHeight="1">
      <c r="D26" s="436" t="s">
        <v>145</v>
      </c>
      <c r="E26" s="505">
        <f>+[4]군산!$G$9</f>
        <v>100000</v>
      </c>
      <c r="F26" s="504">
        <f>+[4]군산!$H$9</f>
        <v>99999.998880768355</v>
      </c>
      <c r="G26" s="503">
        <f t="shared" si="0"/>
        <v>-1.1192316451342776E-3</v>
      </c>
      <c r="H26" s="505">
        <f>+[4]군산!$G$10</f>
        <v>94200</v>
      </c>
      <c r="I26" s="504">
        <f>+[4]군산!$H$10</f>
        <v>0</v>
      </c>
      <c r="J26" s="503">
        <f t="shared" si="1"/>
        <v>-94200</v>
      </c>
      <c r="K26" s="505">
        <f>+[4]군산!$G$12</f>
        <v>64899.999999999993</v>
      </c>
      <c r="L26" s="504">
        <f>+[4]군산!$H$12</f>
        <v>64894.066670466433</v>
      </c>
      <c r="M26" s="503">
        <f t="shared" si="2"/>
        <v>-5.9333295335600269</v>
      </c>
      <c r="N26" s="505">
        <f>+[4]군산!$G$13</f>
        <v>39300</v>
      </c>
      <c r="O26" s="504">
        <f>+[4]군산!$H$13</f>
        <v>37571.820160369389</v>
      </c>
      <c r="P26" s="503">
        <f t="shared" si="3"/>
        <v>-1728.1798396306112</v>
      </c>
      <c r="Q26" s="505">
        <f>+[4]군산!$G$16</f>
        <v>14200</v>
      </c>
      <c r="R26" s="504">
        <f>+[4]군산!$H$16</f>
        <v>14150.431350871309</v>
      </c>
      <c r="S26" s="503">
        <f t="shared" si="4"/>
        <v>-49.568649128690595</v>
      </c>
      <c r="T26" s="505">
        <f>+[4]군산!$G$17</f>
        <v>15212.903225806451</v>
      </c>
      <c r="U26" s="504">
        <f>+[4]군산!$H$17</f>
        <v>15099.699208101025</v>
      </c>
      <c r="V26" s="503">
        <f t="shared" si="5"/>
        <v>-113.20401770542594</v>
      </c>
    </row>
    <row r="27" spans="4:25" ht="24" customHeight="1">
      <c r="D27" s="436" t="s">
        <v>144</v>
      </c>
      <c r="E27" s="505">
        <f>+[4]원주!$G$9</f>
        <v>100000</v>
      </c>
      <c r="F27" s="504">
        <f>+[4]원주!$H$9</f>
        <v>100000.00145006136</v>
      </c>
      <c r="G27" s="503">
        <f t="shared" si="0"/>
        <v>1.4500613615382463E-3</v>
      </c>
      <c r="H27" s="505">
        <f>+[4]원주!$G$10</f>
        <v>0</v>
      </c>
      <c r="I27" s="504">
        <f>+[4]원주!$H$10</f>
        <v>0</v>
      </c>
      <c r="J27" s="503">
        <f t="shared" si="1"/>
        <v>0</v>
      </c>
      <c r="K27" s="505">
        <f>+[4]원주!$G$12</f>
        <v>64000</v>
      </c>
      <c r="L27" s="504">
        <f>+[4]원주!$H$12</f>
        <v>63999.931655987137</v>
      </c>
      <c r="M27" s="503">
        <f t="shared" si="2"/>
        <v>-6.8344012863235548E-2</v>
      </c>
      <c r="N27" s="505">
        <f>+[4]원주!$G$13</f>
        <v>49000</v>
      </c>
      <c r="O27" s="504">
        <f>+[4]원주!$H$13</f>
        <v>46527.061591694095</v>
      </c>
      <c r="P27" s="503">
        <f t="shared" si="3"/>
        <v>-2472.9384083059049</v>
      </c>
      <c r="Q27" s="505">
        <f>+[4]원주!$G$16</f>
        <v>13666.666666666664</v>
      </c>
      <c r="R27" s="504">
        <f>+[4]원주!$H$16</f>
        <v>13602.20431375419</v>
      </c>
      <c r="S27" s="503">
        <f t="shared" si="4"/>
        <v>-64.462352912474671</v>
      </c>
      <c r="T27" s="505">
        <f>+[4]원주!$G$17</f>
        <v>13806.451612903224</v>
      </c>
      <c r="U27" s="504">
        <f>+[4]원주!$H$17</f>
        <v>13680.4595448164</v>
      </c>
      <c r="V27" s="503">
        <f t="shared" si="5"/>
        <v>-125.99206808682356</v>
      </c>
    </row>
    <row r="28" spans="4:25" ht="24" customHeight="1">
      <c r="D28" s="431" t="s">
        <v>143</v>
      </c>
      <c r="E28" s="502">
        <f>+[4]제주!$G$9</f>
        <v>117000</v>
      </c>
      <c r="F28" s="501">
        <f>+[4]제주!$H$9</f>
        <v>117000.00028946348</v>
      </c>
      <c r="G28" s="500">
        <f t="shared" si="0"/>
        <v>2.8946348174940795E-4</v>
      </c>
      <c r="H28" s="502">
        <f>+[4]제주!$G$10</f>
        <v>0</v>
      </c>
      <c r="I28" s="501">
        <f>+[4]제주!$H$10</f>
        <v>117000.01701924876</v>
      </c>
      <c r="J28" s="500">
        <f t="shared" si="1"/>
        <v>117000.01701924876</v>
      </c>
      <c r="K28" s="502">
        <f>+[4]제주!$G$12</f>
        <v>0</v>
      </c>
      <c r="L28" s="501">
        <f>+[4]제주!$H$12</f>
        <v>0</v>
      </c>
      <c r="M28" s="500">
        <f t="shared" si="2"/>
        <v>0</v>
      </c>
      <c r="N28" s="502">
        <f>+[4]제주!$G$13</f>
        <v>0</v>
      </c>
      <c r="O28" s="501">
        <f>+[4]제주!$H$13</f>
        <v>0</v>
      </c>
      <c r="P28" s="500">
        <f t="shared" si="3"/>
        <v>0</v>
      </c>
      <c r="Q28" s="502">
        <f>+[4]제주!$G$16</f>
        <v>17666.666666666668</v>
      </c>
      <c r="R28" s="501">
        <f>+[4]제주!$H$16</f>
        <v>17751.814728714864</v>
      </c>
      <c r="S28" s="500">
        <f t="shared" si="4"/>
        <v>85.148062048196152</v>
      </c>
      <c r="T28" s="502">
        <f>+[4]제주!$G$17</f>
        <v>17535.712589893774</v>
      </c>
      <c r="U28" s="501">
        <f>+[4]제주!$H$17</f>
        <v>18526.269334455446</v>
      </c>
      <c r="V28" s="500">
        <f t="shared" si="5"/>
        <v>990.55674456167253</v>
      </c>
    </row>
    <row r="29" spans="4:25" ht="24" customHeight="1"/>
    <row r="30" spans="4:25" ht="24" customHeight="1"/>
    <row r="31" spans="4:25" ht="24" customHeight="1"/>
    <row r="32" spans="4:25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EB6A-81D7-4E96-B8DE-9C67D6DAAE69}">
  <sheetPr>
    <tabColor theme="1" tint="0.249977111117893"/>
    <pageSetUpPr fitToPage="1"/>
  </sheetPr>
  <dimension ref="A1:V52"/>
  <sheetViews>
    <sheetView showGridLines="0" showZeros="0" view="pageBreakPreview" zoomScale="60" zoomScaleNormal="85" workbookViewId="0">
      <pane xSplit="4" ySplit="7" topLeftCell="E8" activePane="bottomRight" state="frozen"/>
      <selection activeCell="C33" sqref="C33"/>
      <selection pane="topRight" activeCell="C33" sqref="C33"/>
      <selection pane="bottomLeft" activeCell="C33" sqref="C33"/>
      <selection pane="bottomRight" activeCell="C33" sqref="C33"/>
    </sheetView>
  </sheetViews>
  <sheetFormatPr defaultRowHeight="16.5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/>
    <row r="2" spans="1:22" ht="9.9499999999999993" hidden="1" customHeight="1"/>
    <row r="3" spans="1:22" ht="9.9499999999999993" customHeight="1"/>
    <row r="4" spans="1:22" ht="31.5">
      <c r="D4" s="481" t="s">
        <v>231</v>
      </c>
      <c r="F4" s="481"/>
      <c r="I4" s="481"/>
    </row>
    <row r="5" spans="1:22" ht="21.95" customHeight="1">
      <c r="V5" s="480" t="s">
        <v>176</v>
      </c>
    </row>
    <row r="6" spans="1:22" ht="24" customHeight="1" thickBot="1">
      <c r="A6" s="6" t="s">
        <v>156</v>
      </c>
      <c r="D6" s="841" t="s">
        <v>11</v>
      </c>
      <c r="E6" s="479" t="s">
        <v>175</v>
      </c>
      <c r="F6" s="478"/>
      <c r="G6" s="477"/>
      <c r="H6" s="479" t="s">
        <v>174</v>
      </c>
      <c r="I6" s="478"/>
      <c r="J6" s="477"/>
      <c r="K6" s="479" t="s">
        <v>173</v>
      </c>
      <c r="L6" s="478"/>
      <c r="M6" s="477"/>
      <c r="N6" s="479" t="s">
        <v>172</v>
      </c>
      <c r="O6" s="478"/>
      <c r="P6" s="477"/>
      <c r="Q6" s="479" t="s">
        <v>171</v>
      </c>
      <c r="R6" s="478"/>
      <c r="S6" s="477"/>
      <c r="T6" s="479" t="s">
        <v>170</v>
      </c>
      <c r="U6" s="478"/>
      <c r="V6" s="477"/>
    </row>
    <row r="7" spans="1:22" ht="24" customHeight="1">
      <c r="D7" s="842"/>
      <c r="E7" s="475" t="s">
        <v>36</v>
      </c>
      <c r="F7" s="474" t="s">
        <v>37</v>
      </c>
      <c r="G7" s="476" t="s">
        <v>28</v>
      </c>
      <c r="H7" s="475" t="s">
        <v>12</v>
      </c>
      <c r="I7" s="474" t="s">
        <v>13</v>
      </c>
      <c r="J7" s="476" t="s">
        <v>28</v>
      </c>
      <c r="K7" s="475" t="s">
        <v>12</v>
      </c>
      <c r="L7" s="474" t="s">
        <v>13</v>
      </c>
      <c r="M7" s="476" t="s">
        <v>28</v>
      </c>
      <c r="N7" s="475" t="s">
        <v>12</v>
      </c>
      <c r="O7" s="474" t="s">
        <v>13</v>
      </c>
      <c r="P7" s="476" t="s">
        <v>28</v>
      </c>
      <c r="Q7" s="475" t="s">
        <v>12</v>
      </c>
      <c r="R7" s="474" t="s">
        <v>13</v>
      </c>
      <c r="S7" s="476" t="s">
        <v>28</v>
      </c>
      <c r="T7" s="475" t="s">
        <v>12</v>
      </c>
      <c r="U7" s="474" t="s">
        <v>13</v>
      </c>
      <c r="V7" s="476" t="s">
        <v>28</v>
      </c>
    </row>
    <row r="8" spans="1:22" ht="24" customHeight="1">
      <c r="D8" s="471" t="s">
        <v>158</v>
      </c>
      <c r="E8" s="469">
        <f>+[4]합계!$E$9</f>
        <v>281.23503643885573</v>
      </c>
      <c r="F8" s="468">
        <f>+[4]합계!$F$9</f>
        <v>294.47040858538753</v>
      </c>
      <c r="G8" s="499">
        <f t="shared" ref="G8:G28" si="0">+F8-E8</f>
        <v>13.235372146531802</v>
      </c>
      <c r="H8" s="469">
        <f>+[4]합계!$E$15</f>
        <v>363.41880915598193</v>
      </c>
      <c r="I8" s="468">
        <f>+[4]합계!$F$15</f>
        <v>376.48318032376147</v>
      </c>
      <c r="J8" s="499">
        <f t="shared" ref="J8:J28" si="1">+I8-H8</f>
        <v>13.064371167779541</v>
      </c>
      <c r="K8" s="561">
        <f>+([4]합계!$E$10*0.4+[4]합계!$E$11+[4]합계!$E$12+[4]합계!$E$13+[4]합계!$E$14)/[4]합계!$E$15</f>
        <v>0.17610080590572583</v>
      </c>
      <c r="L8" s="560">
        <f>+([4]합계!$F$10*0.4+[4]합계!$F$11+[4]합계!$F$12+[4]합계!$F$13+[4]합계!$F$14)/[4]합계!$F$15</f>
        <v>0.16951754187650414</v>
      </c>
      <c r="M8" s="559">
        <f t="shared" ref="M8:M28" si="2">+L8-K8</f>
        <v>-6.583264029221686E-3</v>
      </c>
      <c r="N8" s="469">
        <f>+[4]합계!$E$16</f>
        <v>821.53014268303639</v>
      </c>
      <c r="O8" s="468">
        <f>+[4]합계!$F$16</f>
        <v>812.62652378102257</v>
      </c>
      <c r="P8" s="499">
        <f t="shared" ref="P8:P28" si="3">+O8-N8</f>
        <v>-8.9036189020138181</v>
      </c>
      <c r="Q8" s="469">
        <f>+[4]합계!$E$17</f>
        <v>900.887584624336</v>
      </c>
      <c r="R8" s="468">
        <f>+[4]합계!$F$17</f>
        <v>909.13681008309788</v>
      </c>
      <c r="S8" s="499">
        <f t="shared" ref="S8:S28" si="4">+R8-Q8</f>
        <v>8.2492254587618845</v>
      </c>
      <c r="T8" s="469">
        <f>+[4]합계!$E$19</f>
        <v>3.1028121525118371</v>
      </c>
      <c r="U8" s="468">
        <f>+[4]합계!$F$19</f>
        <v>3.174973762231533</v>
      </c>
      <c r="V8" s="499">
        <f t="shared" ref="V8:V28" si="5">+U8-T8</f>
        <v>7.2161609719695985E-2</v>
      </c>
    </row>
    <row r="9" spans="1:22" ht="24" customHeight="1">
      <c r="D9" s="465" t="s">
        <v>16</v>
      </c>
      <c r="E9" s="464">
        <f>+[4]수도권!$E$9</f>
        <v>308.5858552631579</v>
      </c>
      <c r="F9" s="463">
        <f>+[4]수도권!$F$9</f>
        <v>312.80067775194129</v>
      </c>
      <c r="G9" s="498">
        <f t="shared" si="0"/>
        <v>4.2148224887833976</v>
      </c>
      <c r="H9" s="464">
        <f>+[4]수도권!$E$15</f>
        <v>370.06322368421053</v>
      </c>
      <c r="I9" s="463">
        <f>+[4]수도권!$F$15</f>
        <v>384.25439248892195</v>
      </c>
      <c r="J9" s="498">
        <f t="shared" si="1"/>
        <v>14.191168804711424</v>
      </c>
      <c r="K9" s="558">
        <f>+([4]수도권!$E$10*0.4+[4]수도권!$E$11+[4]수도권!$E$12+[4]수도권!$E$13+[4]수도권!$E$14)/[4]수도권!$E$15</f>
        <v>0.1558599250732583</v>
      </c>
      <c r="L9" s="557">
        <f>+([4]수도권!$F$10*0.4+[4]수도권!$F$11+[4]수도권!$F$12+[4]수도권!$F$13+[4]수도권!$F$14)/[4]수도권!$F$15</f>
        <v>0.14432925782335101</v>
      </c>
      <c r="M9" s="556">
        <f t="shared" si="2"/>
        <v>-1.1530667249907284E-2</v>
      </c>
      <c r="N9" s="464">
        <f>+[4]수도권!$E$16</f>
        <v>866.21046609659174</v>
      </c>
      <c r="O9" s="463">
        <f>+[4]수도권!$F$16</f>
        <v>847.92067950686612</v>
      </c>
      <c r="P9" s="498">
        <f t="shared" si="3"/>
        <v>-18.289786589725622</v>
      </c>
      <c r="Q9" s="464">
        <f>+[4]수도권!$E$17</f>
        <v>866.76357295555806</v>
      </c>
      <c r="R9" s="463">
        <f>+[4]수도권!$F$17</f>
        <v>872.23871569341418</v>
      </c>
      <c r="S9" s="498">
        <f t="shared" si="4"/>
        <v>5.4751427378561175</v>
      </c>
      <c r="T9" s="464">
        <f>+[4]수도권!$E$19</f>
        <v>3.2201315789473686</v>
      </c>
      <c r="U9" s="463">
        <f>+[4]수도권!$F$19</f>
        <v>3.1342882463914346</v>
      </c>
      <c r="V9" s="498">
        <f t="shared" si="5"/>
        <v>-8.5843332555934015E-2</v>
      </c>
    </row>
    <row r="10" spans="1:22" ht="24" customHeight="1">
      <c r="D10" s="460" t="s">
        <v>17</v>
      </c>
      <c r="E10" s="459">
        <f>+[4]영남권!$E$9</f>
        <v>248.67059322518699</v>
      </c>
      <c r="F10" s="458">
        <f>+[4]영남권!$F$9</f>
        <v>259.96896878817637</v>
      </c>
      <c r="G10" s="497">
        <f t="shared" si="0"/>
        <v>11.298375562989378</v>
      </c>
      <c r="H10" s="459">
        <f>+[4]영남권!$E$15</f>
        <v>359.83544840503367</v>
      </c>
      <c r="I10" s="458">
        <f>+[4]영남권!$F$15</f>
        <v>368.13604989580091</v>
      </c>
      <c r="J10" s="497">
        <f t="shared" si="1"/>
        <v>8.3006014907672352</v>
      </c>
      <c r="K10" s="555">
        <f>+([4]영남권!$E$10*0.4+[4]영남권!$E$11+[4]영남권!$E$12+[4]영남권!$E$13+[4]영남권!$E$14)/[4]영남권!$E$15</f>
        <v>0.21111761757723027</v>
      </c>
      <c r="L10" s="554">
        <f>+([4]영남권!$F$10*0.4+[4]영남권!$F$11+[4]영남권!$F$12+[4]영남권!$F$13+[4]영남권!$F$14)/[4]영남권!$F$15</f>
        <v>0.22249766590683104</v>
      </c>
      <c r="M10" s="553">
        <f t="shared" si="2"/>
        <v>1.1380048329600767E-2</v>
      </c>
      <c r="N10" s="459">
        <f>+[4]영남권!$E$16</f>
        <v>794.20973311389264</v>
      </c>
      <c r="O10" s="458">
        <f>+[4]영남권!$F$16</f>
        <v>816.54949158023351</v>
      </c>
      <c r="P10" s="497">
        <f t="shared" si="3"/>
        <v>22.339758466340868</v>
      </c>
      <c r="Q10" s="459">
        <f>+[4]영남권!$E$17</f>
        <v>916.44493270737246</v>
      </c>
      <c r="R10" s="458">
        <f>+[4]영남권!$F$17</f>
        <v>901.49821544063082</v>
      </c>
      <c r="S10" s="497">
        <f t="shared" si="4"/>
        <v>-14.946717266741643</v>
      </c>
      <c r="T10" s="459">
        <f>+[4]영남권!$E$19</f>
        <v>3.1551145935046416</v>
      </c>
      <c r="U10" s="458">
        <f>+[4]영남권!$F$19</f>
        <v>3.1791000550937802</v>
      </c>
      <c r="V10" s="497">
        <f t="shared" si="5"/>
        <v>2.3985461589138612E-2</v>
      </c>
    </row>
    <row r="11" spans="1:22" ht="24" customHeight="1">
      <c r="D11" s="455" t="s">
        <v>149</v>
      </c>
      <c r="E11" s="454">
        <f>+[4]중부권!$E$9</f>
        <v>313.00235294117647</v>
      </c>
      <c r="F11" s="453">
        <f>+[4]중부권!$F$9</f>
        <v>341.39378523421328</v>
      </c>
      <c r="G11" s="496">
        <f t="shared" si="0"/>
        <v>28.391432293036814</v>
      </c>
      <c r="H11" s="454">
        <f>+[4]중부권!$E$15</f>
        <v>358.78970588235291</v>
      </c>
      <c r="I11" s="453">
        <f>+[4]중부권!$F$15</f>
        <v>382.97706524239095</v>
      </c>
      <c r="J11" s="496">
        <f t="shared" si="1"/>
        <v>24.187359360038045</v>
      </c>
      <c r="K11" s="552">
        <f>+([4]중부권!$E$10*0.4+[4]중부권!$E$11+[4]중부권!$E$12+[4]중부권!$E$13+[4]중부권!$E$14)/[4]중부권!$E$15</f>
        <v>0.12257466892371001</v>
      </c>
      <c r="L11" s="551">
        <f>+([4]중부권!$F$10*0.4+[4]중부권!$F$11+[4]중부권!$F$12+[4]중부권!$F$13+[4]중부권!$F$14)/[4]중부권!$F$15</f>
        <v>9.765571973461791E-2</v>
      </c>
      <c r="M11" s="550">
        <f t="shared" si="2"/>
        <v>-2.4918949189092099E-2</v>
      </c>
      <c r="N11" s="454">
        <f>+[4]중부권!$E$16</f>
        <v>799.60000000000014</v>
      </c>
      <c r="O11" s="453">
        <f>+[4]중부권!$F$16</f>
        <v>752.8607753443564</v>
      </c>
      <c r="P11" s="496">
        <f t="shared" si="3"/>
        <v>-46.739224655643739</v>
      </c>
      <c r="Q11" s="454">
        <f>+[4]중부권!$E$17</f>
        <v>932.7805882352942</v>
      </c>
      <c r="R11" s="453">
        <f>+[4]중부권!$F$17</f>
        <v>979.1662620428815</v>
      </c>
      <c r="S11" s="496">
        <f t="shared" si="4"/>
        <v>46.385673807587295</v>
      </c>
      <c r="T11" s="454">
        <f>+[4]중부권!$E$19</f>
        <v>2.6913529411764707</v>
      </c>
      <c r="U11" s="453">
        <f>+[4]중부권!$F$19</f>
        <v>3.2254156551072044</v>
      </c>
      <c r="V11" s="496">
        <f t="shared" si="5"/>
        <v>0.53406271393073368</v>
      </c>
    </row>
    <row r="12" spans="1:22" ht="24" customHeight="1">
      <c r="D12" s="495" t="s">
        <v>18</v>
      </c>
      <c r="E12" s="448">
        <f>+[4]안양!$E$9</f>
        <v>320</v>
      </c>
      <c r="F12" s="447">
        <f>+[4]안양!$F$9</f>
        <v>321.48164172519017</v>
      </c>
      <c r="G12" s="449">
        <f t="shared" si="0"/>
        <v>1.4816417251901726</v>
      </c>
      <c r="H12" s="448">
        <f>+[4]안양!$E$15</f>
        <v>372</v>
      </c>
      <c r="I12" s="447">
        <f>+[4]안양!$F$15</f>
        <v>383.8962514247894</v>
      </c>
      <c r="J12" s="449">
        <f t="shared" si="1"/>
        <v>11.896251424789398</v>
      </c>
      <c r="K12" s="549">
        <f>+([4]안양!$E$10*0.4+[4]안양!$E$11+[4]안양!$E$12+[4]안양!$E$13+[4]안양!$E$14)/[4]안양!$E$15</f>
        <v>0.13978494623655913</v>
      </c>
      <c r="L12" s="548">
        <f>+([4]안양!$F$10*0.4+[4]안양!$F$11+[4]안양!$F$12+[4]안양!$F$13+[4]안양!$F$14)/[4]안양!$F$15</f>
        <v>0.14199940543978118</v>
      </c>
      <c r="M12" s="547">
        <f t="shared" si="2"/>
        <v>2.2144592032220523E-3</v>
      </c>
      <c r="N12" s="448">
        <f>+[4]안양!$E$16</f>
        <v>848</v>
      </c>
      <c r="O12" s="447">
        <f>+[4]안양!$F$16</f>
        <v>857.28977460749297</v>
      </c>
      <c r="P12" s="449">
        <f t="shared" si="3"/>
        <v>9.2897746074929728</v>
      </c>
      <c r="Q12" s="448">
        <f>+[4]안양!$E$17</f>
        <v>872</v>
      </c>
      <c r="R12" s="447">
        <f>+[4]안양!$F$17</f>
        <v>854.83012832297572</v>
      </c>
      <c r="S12" s="449">
        <f t="shared" si="4"/>
        <v>-17.169871677024275</v>
      </c>
      <c r="T12" s="546">
        <f>+[4]안양!$E$19</f>
        <v>3.39</v>
      </c>
      <c r="U12" s="545">
        <f>+[4]안양!$F$19</f>
        <v>3.2102272309445867</v>
      </c>
      <c r="V12" s="544">
        <f t="shared" si="5"/>
        <v>-0.1797727690554134</v>
      </c>
    </row>
    <row r="13" spans="1:22" ht="24" customHeight="1">
      <c r="D13" s="436" t="s">
        <v>19</v>
      </c>
      <c r="E13" s="434">
        <f>+[4]인천!$E$9</f>
        <v>308</v>
      </c>
      <c r="F13" s="433">
        <f>+[4]인천!$F$9</f>
        <v>320.72273337515657</v>
      </c>
      <c r="G13" s="435">
        <f t="shared" si="0"/>
        <v>12.722733375156565</v>
      </c>
      <c r="H13" s="434">
        <f>+[4]인천!$E$15</f>
        <v>385</v>
      </c>
      <c r="I13" s="433">
        <f>+[4]인천!$F$15</f>
        <v>404.00258782935987</v>
      </c>
      <c r="J13" s="435">
        <f t="shared" si="1"/>
        <v>19.002587829359868</v>
      </c>
      <c r="K13" s="537">
        <f>+([4]인천!$E$10*0.4+[4]인천!$E$11+[4]인천!$E$12+[4]인천!$E$13+[4]인천!$E$14)/[4]인천!$E$15</f>
        <v>0.17</v>
      </c>
      <c r="L13" s="536">
        <f>+([4]인천!$F$10*0.4+[4]인천!$F$11+[4]인천!$F$12+[4]인천!$F$13+[4]인천!$F$14)/[4]인천!$F$15</f>
        <v>0.14693169078781754</v>
      </c>
      <c r="M13" s="535">
        <f t="shared" si="2"/>
        <v>-2.3068309212182475E-2</v>
      </c>
      <c r="N13" s="434">
        <f>+[4]인천!$E$16</f>
        <v>904.67981693363856</v>
      </c>
      <c r="O13" s="433">
        <f>+[4]인천!$F$16</f>
        <v>877.93789962358801</v>
      </c>
      <c r="P13" s="435">
        <f t="shared" si="3"/>
        <v>-26.741917310050553</v>
      </c>
      <c r="Q13" s="434">
        <f>+[4]인천!$E$17</f>
        <v>835.0890617848969</v>
      </c>
      <c r="R13" s="433">
        <f>+[4]인천!$F$17</f>
        <v>838.08485677540784</v>
      </c>
      <c r="S13" s="435">
        <f t="shared" si="4"/>
        <v>2.9957949905109444</v>
      </c>
      <c r="T13" s="534">
        <f>+[4]인천!$E$19</f>
        <v>3.33</v>
      </c>
      <c r="U13" s="533">
        <f>+[4]인천!$F$19</f>
        <v>3.0904222082810548</v>
      </c>
      <c r="V13" s="532">
        <f t="shared" si="5"/>
        <v>-0.23957779171894522</v>
      </c>
    </row>
    <row r="14" spans="1:22" ht="24" customHeight="1">
      <c r="D14" s="436" t="s">
        <v>20</v>
      </c>
      <c r="E14" s="434">
        <f>+[4]파주!$E$9</f>
        <v>300.96607142857141</v>
      </c>
      <c r="F14" s="433">
        <f>+[4]파주!$F$9</f>
        <v>266.59960113622924</v>
      </c>
      <c r="G14" s="435">
        <f t="shared" si="0"/>
        <v>-34.366470292342171</v>
      </c>
      <c r="H14" s="434">
        <f>+[4]파주!$E$15</f>
        <v>355.77178571428567</v>
      </c>
      <c r="I14" s="433">
        <f>+[4]파주!$F$15</f>
        <v>353.55512013256015</v>
      </c>
      <c r="J14" s="435">
        <f t="shared" si="1"/>
        <v>-2.2166655817255219</v>
      </c>
      <c r="K14" s="537">
        <f>+([4]파주!$E$10*0.4+[4]파주!$E$11+[4]파주!$E$12+[4]파주!$E$13+[4]파주!$E$14)/[4]파주!$E$15</f>
        <v>0.15404738792223349</v>
      </c>
      <c r="L14" s="536">
        <f>+([4]파주!$F$10*0.4+[4]파주!$F$11+[4]파주!$F$12+[4]파주!$F$13+[4]파주!$F$14)/[4]파주!$F$15</f>
        <v>0.14041502541114587</v>
      </c>
      <c r="M14" s="535">
        <f t="shared" si="2"/>
        <v>-1.3632362511087626E-2</v>
      </c>
      <c r="N14" s="434">
        <f>+[4]파주!$E$16</f>
        <v>864.64285714285711</v>
      </c>
      <c r="O14" s="433">
        <f>+[4]파주!$F$16</f>
        <v>765.35447982009794</v>
      </c>
      <c r="P14" s="435">
        <f t="shared" si="3"/>
        <v>-99.288377322759175</v>
      </c>
      <c r="Q14" s="434">
        <f>+[4]파주!$E$17</f>
        <v>867.98607142857145</v>
      </c>
      <c r="R14" s="433">
        <f>+[4]파주!$F$17</f>
        <v>967.27600899514732</v>
      </c>
      <c r="S14" s="435">
        <f t="shared" si="4"/>
        <v>99.289937566575873</v>
      </c>
      <c r="T14" s="534">
        <f>+[4]파주!$E$19</f>
        <v>2.87</v>
      </c>
      <c r="U14" s="533">
        <f>+[4]파주!$F$19</f>
        <v>2.9590129009350208</v>
      </c>
      <c r="V14" s="532">
        <f t="shared" si="5"/>
        <v>8.9012900935020678E-2</v>
      </c>
    </row>
    <row r="15" spans="1:22" ht="24" customHeight="1">
      <c r="D15" s="436" t="s">
        <v>108</v>
      </c>
      <c r="E15" s="434">
        <f>+[4]김포!$E$9</f>
        <v>277</v>
      </c>
      <c r="F15" s="433">
        <f>+[4]김포!$F$9</f>
        <v>317.98536273510615</v>
      </c>
      <c r="G15" s="435">
        <f t="shared" si="0"/>
        <v>40.98536273510615</v>
      </c>
      <c r="H15" s="434">
        <f>+[4]김포!$E$15</f>
        <v>337</v>
      </c>
      <c r="I15" s="433">
        <f>+[4]김포!$F$15</f>
        <v>375.79192254238859</v>
      </c>
      <c r="J15" s="435">
        <f t="shared" si="1"/>
        <v>38.791922542388591</v>
      </c>
      <c r="K15" s="537">
        <f>+([4]김포!$E$10*0.4+[4]김포!$E$11+[4]김포!$E$12+[4]김포!$E$13+[4]김포!$E$14)/[4]김포!$E$15</f>
        <v>0.17804154302670624</v>
      </c>
      <c r="L15" s="536">
        <f>+([4]김포!$F$10*0.4+[4]김포!$F$11+[4]김포!$F$12+[4]김포!$F$13+[4]김포!$F$14)/[4]김포!$F$15</f>
        <v>0.15382597746166835</v>
      </c>
      <c r="M15" s="535">
        <f t="shared" si="2"/>
        <v>-2.42155655650379E-2</v>
      </c>
      <c r="N15" s="434">
        <f>+[4]김포!$E$16</f>
        <v>810</v>
      </c>
      <c r="O15" s="433">
        <f>+[4]김포!$F$16</f>
        <v>841.30825535069039</v>
      </c>
      <c r="P15" s="435">
        <f t="shared" si="3"/>
        <v>31.308255350690388</v>
      </c>
      <c r="Q15" s="434">
        <f>+[4]김포!$E$17</f>
        <v>955</v>
      </c>
      <c r="R15" s="433">
        <f>+[4]김포!$F$17</f>
        <v>912.0615213564347</v>
      </c>
      <c r="S15" s="435">
        <f t="shared" si="4"/>
        <v>-42.938478643565304</v>
      </c>
      <c r="T15" s="534">
        <f>+[4]김포!$E$19</f>
        <v>2.8</v>
      </c>
      <c r="U15" s="533">
        <f>+[4]김포!$F$19</f>
        <v>3.1555637913462435</v>
      </c>
      <c r="V15" s="532">
        <f t="shared" si="5"/>
        <v>0.35556379134624372</v>
      </c>
    </row>
    <row r="16" spans="1:22" ht="24" customHeight="1">
      <c r="D16" s="491" t="s">
        <v>21</v>
      </c>
      <c r="E16" s="441">
        <f>+[4]부산!$E$9</f>
        <v>219.92167058823534</v>
      </c>
      <c r="F16" s="440">
        <f>+[4]부산!$F$9</f>
        <v>198.60184806269049</v>
      </c>
      <c r="G16" s="442">
        <f t="shared" si="0"/>
        <v>-21.319822525544851</v>
      </c>
      <c r="H16" s="441">
        <f>+[4]부산!$E$15</f>
        <v>379.17529411764713</v>
      </c>
      <c r="I16" s="440">
        <f>+[4]부산!$F$15</f>
        <v>374.06785807575102</v>
      </c>
      <c r="J16" s="442">
        <f t="shared" si="1"/>
        <v>-5.1074360418961078</v>
      </c>
      <c r="K16" s="543">
        <f>+([4]부산!$E$10*0.4+[4]부산!$E$11+[4]부산!$E$12+[4]부산!$E$13+[4]부산!$E$14)/[4]부산!$E$15</f>
        <v>0.20399999999999999</v>
      </c>
      <c r="L16" s="542">
        <f>+([4]부산!$F$10*0.4+[4]부산!$F$11+[4]부산!$F$12+[4]부산!$F$13+[4]부산!$F$14)/[4]부산!$F$15</f>
        <v>0.22083762712938676</v>
      </c>
      <c r="M16" s="541">
        <f t="shared" si="2"/>
        <v>1.6837627129386773E-2</v>
      </c>
      <c r="N16" s="441">
        <f>+[4]부산!$E$16</f>
        <v>820</v>
      </c>
      <c r="O16" s="440">
        <f>+[4]부산!$F$16</f>
        <v>900.08707009142427</v>
      </c>
      <c r="P16" s="442">
        <f t="shared" si="3"/>
        <v>80.087070091424266</v>
      </c>
      <c r="Q16" s="441">
        <f>+[4]부산!$E$17</f>
        <v>900.04205882352937</v>
      </c>
      <c r="R16" s="440">
        <f>+[4]부산!$F$17</f>
        <v>820.05514439123522</v>
      </c>
      <c r="S16" s="442">
        <f t="shared" si="4"/>
        <v>-79.986914432294157</v>
      </c>
      <c r="T16" s="540">
        <f>+[4]부산!$E$19</f>
        <v>3.2259863741176473</v>
      </c>
      <c r="U16" s="539">
        <f>+[4]부산!$F$19</f>
        <v>3.0687345813379761</v>
      </c>
      <c r="V16" s="538">
        <f t="shared" si="5"/>
        <v>-0.15725179277967127</v>
      </c>
    </row>
    <row r="17" spans="4:22" ht="24" customHeight="1">
      <c r="D17" s="436" t="s">
        <v>22</v>
      </c>
      <c r="E17" s="434">
        <f>+[4]서부산!$E$9</f>
        <v>251</v>
      </c>
      <c r="F17" s="433">
        <f>+[4]서부산!$F$9</f>
        <v>284.6289150943395</v>
      </c>
      <c r="G17" s="435">
        <f t="shared" si="0"/>
        <v>33.628915094339504</v>
      </c>
      <c r="H17" s="434">
        <f>+[4]서부산!$E$15</f>
        <v>364</v>
      </c>
      <c r="I17" s="433">
        <f>+[4]서부산!$F$15</f>
        <v>367.32721024258751</v>
      </c>
      <c r="J17" s="435">
        <f t="shared" si="1"/>
        <v>3.3272102425875119</v>
      </c>
      <c r="K17" s="537">
        <f>+([4]서부산!$E$10*0.4+[4]서부산!$E$11+[4]서부산!$E$12+[4]서부산!$E$13+[4]서부산!$E$14)/[4]서부산!$E$15</f>
        <v>0.21153846153846154</v>
      </c>
      <c r="L17" s="536">
        <f>+([4]서부산!$F$10*0.4+[4]서부산!$F$11+[4]서부산!$F$12+[4]서부산!$F$13+[4]서부산!$F$14)/[4]서부산!$F$15</f>
        <v>0.20376007950489891</v>
      </c>
      <c r="M17" s="535">
        <f t="shared" si="2"/>
        <v>-7.7783820335626253E-3</v>
      </c>
      <c r="N17" s="434">
        <f>+[4]서부산!$E$16</f>
        <v>820</v>
      </c>
      <c r="O17" s="433">
        <f>+[4]서부산!$F$16</f>
        <v>820.34332884097068</v>
      </c>
      <c r="P17" s="435">
        <f t="shared" si="3"/>
        <v>0.34332884097068472</v>
      </c>
      <c r="Q17" s="434">
        <f>+[4]서부산!$E$17</f>
        <v>910</v>
      </c>
      <c r="R17" s="433">
        <f>+[4]서부산!$F$17</f>
        <v>908.11994609164435</v>
      </c>
      <c r="S17" s="435">
        <f t="shared" si="4"/>
        <v>-1.8800539083556487</v>
      </c>
      <c r="T17" s="534">
        <f>+[4]서부산!$E$19</f>
        <v>3.2</v>
      </c>
      <c r="U17" s="533">
        <f>+[4]서부산!$F$19</f>
        <v>3.6556367924528326</v>
      </c>
      <c r="V17" s="532">
        <f t="shared" si="5"/>
        <v>0.4556367924528324</v>
      </c>
    </row>
    <row r="18" spans="4:22" ht="24" customHeight="1">
      <c r="D18" s="436" t="s">
        <v>23</v>
      </c>
      <c r="E18" s="434">
        <f>+[4]김해!$E$9</f>
        <v>217.6</v>
      </c>
      <c r="F18" s="433">
        <f>+[4]김해!$F$9</f>
        <v>254.72813291755998</v>
      </c>
      <c r="G18" s="435">
        <f t="shared" si="0"/>
        <v>37.128132917559981</v>
      </c>
      <c r="H18" s="434">
        <f>+[4]김해!$E$15</f>
        <v>340</v>
      </c>
      <c r="I18" s="433">
        <f>+[4]김해!$F$15</f>
        <v>358.76049892808425</v>
      </c>
      <c r="J18" s="435">
        <f t="shared" si="1"/>
        <v>18.760498928084246</v>
      </c>
      <c r="K18" s="537">
        <f>+([4]김해!$E$10*0.4+[4]김해!$E$11+[4]김해!$E$12+[4]김해!$E$13+[4]김해!$E$14)/[4]김해!$E$15</f>
        <v>0.18000000000000002</v>
      </c>
      <c r="L18" s="536">
        <f>+([4]김해!$F$10*0.4+[4]김해!$F$11+[4]김해!$F$12+[4]김해!$F$13+[4]김해!$F$14)/[4]김해!$F$15</f>
        <v>0.15025750541563418</v>
      </c>
      <c r="M18" s="535">
        <f t="shared" si="2"/>
        <v>-2.9742494584365842E-2</v>
      </c>
      <c r="N18" s="434">
        <f>+[4]김해!$E$16</f>
        <v>770</v>
      </c>
      <c r="O18" s="433">
        <f>+[4]김해!$F$16</f>
        <v>771.19469888910555</v>
      </c>
      <c r="P18" s="435">
        <f t="shared" si="3"/>
        <v>1.1946988891055526</v>
      </c>
      <c r="Q18" s="434">
        <f>+[4]김해!$E$17</f>
        <v>950</v>
      </c>
      <c r="R18" s="433">
        <f>+[4]김해!$F$17</f>
        <v>929.92399142467366</v>
      </c>
      <c r="S18" s="435">
        <f t="shared" si="4"/>
        <v>-20.076008575326341</v>
      </c>
      <c r="T18" s="534">
        <f>+[4]김해!$E$19</f>
        <v>3.3</v>
      </c>
      <c r="U18" s="533">
        <f>+[4]김해!$F$19</f>
        <v>3.3325667511206394</v>
      </c>
      <c r="V18" s="532">
        <f t="shared" si="5"/>
        <v>3.2566751120639559E-2</v>
      </c>
    </row>
    <row r="19" spans="4:22" ht="24" customHeight="1">
      <c r="D19" s="436" t="s">
        <v>24</v>
      </c>
      <c r="E19" s="434">
        <f>+[4]정관!$E$9</f>
        <v>240.3923987267635</v>
      </c>
      <c r="F19" s="433">
        <f>+[4]정관!$F$9</f>
        <v>270.5661728166142</v>
      </c>
      <c r="G19" s="435">
        <f t="shared" si="0"/>
        <v>30.173774089850696</v>
      </c>
      <c r="H19" s="434">
        <f>+[4]정관!$E$15</f>
        <v>364.23090716176279</v>
      </c>
      <c r="I19" s="433">
        <f>+[4]정관!$F$15</f>
        <v>385.99968601273264</v>
      </c>
      <c r="J19" s="435">
        <f t="shared" si="1"/>
        <v>21.768778850969852</v>
      </c>
      <c r="K19" s="537">
        <f>+([4]정관!$E$10*0.4+[4]정관!$E$11+[4]정관!$E$12+[4]정관!$E$13+[4]정관!$E$14)/[4]정관!$E$15</f>
        <v>0.22599999999999995</v>
      </c>
      <c r="L19" s="536">
        <f>+([4]정관!$F$10*0.4+[4]정관!$F$11+[4]정관!$F$12+[4]정관!$F$13+[4]정관!$F$14)/[4]정관!$F$15</f>
        <v>0.22273206864122599</v>
      </c>
      <c r="M19" s="535">
        <f t="shared" si="2"/>
        <v>-3.2679313587739567E-3</v>
      </c>
      <c r="N19" s="434">
        <f>+[4]정관!$E$16</f>
        <v>791.29788888888891</v>
      </c>
      <c r="O19" s="433">
        <f>+[4]정관!$F$16</f>
        <v>824.4342820940725</v>
      </c>
      <c r="P19" s="435">
        <f t="shared" si="3"/>
        <v>33.136393205183595</v>
      </c>
      <c r="Q19" s="434">
        <f>+[4]정관!$E$17</f>
        <v>914.66307604100564</v>
      </c>
      <c r="R19" s="433">
        <f>+[4]정관!$F$17</f>
        <v>886.4515730267633</v>
      </c>
      <c r="S19" s="435">
        <f t="shared" si="4"/>
        <v>-28.211503014242339</v>
      </c>
      <c r="T19" s="534">
        <f>+[4]정관!$E$19</f>
        <v>3.095962710874983</v>
      </c>
      <c r="U19" s="533">
        <f>+[4]정관!$F$19</f>
        <v>3.0787131466716127</v>
      </c>
      <c r="V19" s="532">
        <f t="shared" si="5"/>
        <v>-1.7249564203370316E-2</v>
      </c>
    </row>
    <row r="20" spans="4:22" ht="24" customHeight="1">
      <c r="D20" s="436" t="s">
        <v>25</v>
      </c>
      <c r="E20" s="434">
        <f>+[4]양산!$E$9</f>
        <v>264.55159657613979</v>
      </c>
      <c r="F20" s="433">
        <f>+[4]양산!$F$9</f>
        <v>224.24889804325417</v>
      </c>
      <c r="G20" s="435">
        <f t="shared" si="0"/>
        <v>-40.302698532885614</v>
      </c>
      <c r="H20" s="434">
        <f>+[4]양산!$E$15</f>
        <v>356.16021663765395</v>
      </c>
      <c r="I20" s="433">
        <f>+[4]양산!$F$15</f>
        <v>353.59144696189469</v>
      </c>
      <c r="J20" s="435">
        <f t="shared" si="1"/>
        <v>-2.5687696757592562</v>
      </c>
      <c r="K20" s="537">
        <f>+([4]양산!$E$10*0.4+[4]양산!$E$11+[4]양산!$E$12+[4]양산!$E$13+[4]양산!$E$14)/[4]양산!$E$15</f>
        <v>0.25721182709947032</v>
      </c>
      <c r="L20" s="536">
        <f>+([4]양산!$F$10*0.4+[4]양산!$F$11+[4]양산!$F$12+[4]양산!$F$13+[4]양산!$F$14)/[4]양산!$F$15</f>
        <v>0.33557355311487508</v>
      </c>
      <c r="M20" s="535">
        <f t="shared" si="2"/>
        <v>7.8361726015404753E-2</v>
      </c>
      <c r="N20" s="434">
        <f>+[4]양산!$E$16</f>
        <v>771.9</v>
      </c>
      <c r="O20" s="433">
        <f>+[4]양산!$F$16</f>
        <v>730.44970820460105</v>
      </c>
      <c r="P20" s="435">
        <f t="shared" si="3"/>
        <v>-41.450291795398925</v>
      </c>
      <c r="Q20" s="434">
        <f>+[4]양산!$E$17</f>
        <v>882.03085600000031</v>
      </c>
      <c r="R20" s="433">
        <f>+[4]양산!$F$17</f>
        <v>914.80432543769302</v>
      </c>
      <c r="S20" s="435">
        <f t="shared" si="4"/>
        <v>32.773469437692711</v>
      </c>
      <c r="T20" s="534">
        <f>+[4]양산!$E$19</f>
        <v>2.9537018414200591</v>
      </c>
      <c r="U20" s="533">
        <f>+[4]양산!$F$19</f>
        <v>2.7850978372811532</v>
      </c>
      <c r="V20" s="532">
        <f t="shared" si="5"/>
        <v>-0.16860400413890586</v>
      </c>
    </row>
    <row r="21" spans="4:22" ht="24" customHeight="1">
      <c r="D21" s="436" t="s">
        <v>26</v>
      </c>
      <c r="E21" s="434">
        <f>+[4]창원!$E$9</f>
        <v>255</v>
      </c>
      <c r="F21" s="433">
        <f>+[4]창원!$F$9</f>
        <v>262.29449062844566</v>
      </c>
      <c r="G21" s="435">
        <f t="shared" si="0"/>
        <v>7.2944906284456579</v>
      </c>
      <c r="H21" s="434">
        <f>+[4]창원!$E$15</f>
        <v>355.7</v>
      </c>
      <c r="I21" s="433">
        <f>+[4]창원!$F$15</f>
        <v>351.20626019845673</v>
      </c>
      <c r="J21" s="435">
        <f t="shared" si="1"/>
        <v>-4.4937398015432564</v>
      </c>
      <c r="K21" s="537">
        <f>+([4]창원!$E$10*0.4+[4]창원!$E$11+[4]창원!$E$12+[4]창원!$E$13+[4]창원!$E$14)/[4]창원!$E$15</f>
        <v>0.28310373910598818</v>
      </c>
      <c r="L21" s="536">
        <f>+([4]창원!$F$10*0.4+[4]창원!$F$11+[4]창원!$F$12+[4]창원!$F$13+[4]창원!$F$14)/[4]창원!$F$15</f>
        <v>0.25316111825503779</v>
      </c>
      <c r="M21" s="535">
        <f t="shared" si="2"/>
        <v>-2.9942620850950397E-2</v>
      </c>
      <c r="N21" s="434">
        <f>+[4]창원!$E$16</f>
        <v>831.19999999999993</v>
      </c>
      <c r="O21" s="433">
        <f>+[4]창원!$F$16</f>
        <v>871.6648291069464</v>
      </c>
      <c r="P21" s="435">
        <f t="shared" si="3"/>
        <v>40.464829106946468</v>
      </c>
      <c r="Q21" s="434">
        <f>+[4]창원!$E$17</f>
        <v>895.2</v>
      </c>
      <c r="R21" s="433">
        <f>+[4]창원!$F$17</f>
        <v>860.38092613009871</v>
      </c>
      <c r="S21" s="435">
        <f t="shared" si="4"/>
        <v>-34.819073869901331</v>
      </c>
      <c r="T21" s="534">
        <f>+[4]창원!$E$19</f>
        <v>3.08</v>
      </c>
      <c r="U21" s="533">
        <f>+[4]창원!$F$19</f>
        <v>2.9208434399117995</v>
      </c>
      <c r="V21" s="532">
        <f t="shared" si="5"/>
        <v>-0.15915656008820056</v>
      </c>
    </row>
    <row r="22" spans="4:22" ht="24" customHeight="1">
      <c r="D22" s="436" t="s">
        <v>148</v>
      </c>
      <c r="E22" s="434">
        <f>+[4]대구!$E$9</f>
        <v>290.7</v>
      </c>
      <c r="F22" s="433">
        <f>+[4]대구!$F$9</f>
        <v>283.633068289101</v>
      </c>
      <c r="G22" s="435">
        <f t="shared" si="0"/>
        <v>-7.0669317108989844</v>
      </c>
      <c r="H22" s="434">
        <f>+[4]대구!$E$15</f>
        <v>342</v>
      </c>
      <c r="I22" s="433">
        <f>+[4]대구!$F$15</f>
        <v>354.57905486205811</v>
      </c>
      <c r="J22" s="435">
        <f t="shared" si="1"/>
        <v>12.579054862058115</v>
      </c>
      <c r="K22" s="537">
        <f>+([4]대구!$E$10*0.4+[4]대구!$E$11+[4]대구!$E$12+[4]대구!$E$13+[4]대구!$E$14)/[4]대구!$E$15</f>
        <v>0.15000000000000002</v>
      </c>
      <c r="L22" s="536">
        <f>+([4]대구!$F$10*0.4+[4]대구!$F$11+[4]대구!$F$12+[4]대구!$F$13+[4]대구!$F$14)/[4]대구!$F$15</f>
        <v>0.20008510260302101</v>
      </c>
      <c r="M22" s="535">
        <f t="shared" si="2"/>
        <v>5.0085102603020987E-2</v>
      </c>
      <c r="N22" s="434">
        <f>+[4]대구!$E$16</f>
        <v>736.71821120475965</v>
      </c>
      <c r="O22" s="433">
        <f>+[4]대구!$F$16</f>
        <v>719.63495227105818</v>
      </c>
      <c r="P22" s="435">
        <f t="shared" si="3"/>
        <v>-17.083258933701472</v>
      </c>
      <c r="Q22" s="434">
        <f>+[4]대구!$E$17</f>
        <v>976.57995438770433</v>
      </c>
      <c r="R22" s="433">
        <f>+[4]대구!$F$17</f>
        <v>1063.2571068918496</v>
      </c>
      <c r="S22" s="435">
        <f t="shared" si="4"/>
        <v>86.677152504145283</v>
      </c>
      <c r="T22" s="534">
        <f>+[4]대구!$E$19</f>
        <v>3.0779999999999998</v>
      </c>
      <c r="U22" s="533">
        <f>+[4]대구!$F$19</f>
        <v>3.2043270743732304</v>
      </c>
      <c r="V22" s="532">
        <f t="shared" si="5"/>
        <v>0.12632707437323054</v>
      </c>
    </row>
    <row r="23" spans="4:22" ht="24" customHeight="1">
      <c r="D23" s="436" t="s">
        <v>147</v>
      </c>
      <c r="E23" s="434">
        <f>+[4]울산!$E$9</f>
        <v>292.7</v>
      </c>
      <c r="F23" s="433">
        <f>+[4]울산!$F$9</f>
        <v>292.45220628490085</v>
      </c>
      <c r="G23" s="435">
        <f t="shared" si="0"/>
        <v>-0.24779371509913517</v>
      </c>
      <c r="H23" s="434">
        <f>+[4]울산!$E$15</f>
        <v>361.3</v>
      </c>
      <c r="I23" s="433">
        <f>+[4]울산!$F$15</f>
        <v>374.36292674915137</v>
      </c>
      <c r="J23" s="435">
        <f t="shared" si="1"/>
        <v>13.062926749151359</v>
      </c>
      <c r="K23" s="537">
        <f>+([4]울산!$E$10*0.4+[4]울산!$E$11+[4]울산!$E$12+[4]울산!$E$13+[4]울산!$E$14)/[4]울산!$E$15</f>
        <v>0.18986991419872679</v>
      </c>
      <c r="L23" s="536">
        <f>+([4]울산!$F$10*0.4+[4]울산!$F$11+[4]울산!$F$12+[4]울산!$F$13+[4]울산!$F$14)/[4]울산!$F$15</f>
        <v>0.21880029941943549</v>
      </c>
      <c r="M23" s="535">
        <f t="shared" si="2"/>
        <v>2.8930385220708704E-2</v>
      </c>
      <c r="N23" s="434">
        <f>+[4]울산!$E$16</f>
        <v>801.3</v>
      </c>
      <c r="O23" s="433">
        <f>+[4]울산!$F$16</f>
        <v>797.18449578451782</v>
      </c>
      <c r="P23" s="435">
        <f t="shared" si="3"/>
        <v>-4.1155042154821331</v>
      </c>
      <c r="Q23" s="434">
        <f>+[4]울산!$E$17</f>
        <v>903.5</v>
      </c>
      <c r="R23" s="433">
        <f>+[4]울산!$F$17</f>
        <v>887.82623453410713</v>
      </c>
      <c r="S23" s="435">
        <f t="shared" si="4"/>
        <v>-15.67376546589287</v>
      </c>
      <c r="T23" s="534">
        <f>+[4]울산!$E$19</f>
        <v>3.25</v>
      </c>
      <c r="U23" s="533">
        <f>+[4]울산!$F$19</f>
        <v>3.1444268038979524</v>
      </c>
      <c r="V23" s="532">
        <f t="shared" si="5"/>
        <v>-0.10557319610204763</v>
      </c>
    </row>
    <row r="24" spans="4:22" ht="24" customHeight="1">
      <c r="D24" s="491" t="s">
        <v>27</v>
      </c>
      <c r="E24" s="441">
        <f>+[4]아산!$E$9</f>
        <v>324.55384615384611</v>
      </c>
      <c r="F24" s="440">
        <f>+[4]아산!$F$9</f>
        <v>404.00747119002824</v>
      </c>
      <c r="G24" s="442">
        <f t="shared" si="0"/>
        <v>79.453625036182132</v>
      </c>
      <c r="H24" s="441">
        <f>+[4]아산!$E$15</f>
        <v>381.93846153846147</v>
      </c>
      <c r="I24" s="440">
        <f>+[4]아산!$F$15</f>
        <v>425.36807737535275</v>
      </c>
      <c r="J24" s="442">
        <f t="shared" si="1"/>
        <v>43.429615836891287</v>
      </c>
      <c r="K24" s="543">
        <f>+([4]아산!$E$10*0.4+[4]아산!$E$11+[4]아산!$E$12+[4]아산!$E$13+[4]아산!$E$14)/[4]아산!$E$15</f>
        <v>0.15024571014259247</v>
      </c>
      <c r="L24" s="542">
        <f>+([4]아산!$F$10*0.4+[4]아산!$F$11+[4]아산!$F$12+[4]아산!$F$13+[4]아산!$F$14)/[4]아산!$F$15</f>
        <v>5.0117237986238218E-2</v>
      </c>
      <c r="M24" s="541">
        <f t="shared" si="2"/>
        <v>-0.10012847215635426</v>
      </c>
      <c r="N24" s="441">
        <f>+[4]아산!$E$16</f>
        <v>871</v>
      </c>
      <c r="O24" s="440">
        <f>+[4]아산!$F$16</f>
        <v>798.05415098777075</v>
      </c>
      <c r="P24" s="442">
        <f t="shared" si="3"/>
        <v>-72.945849012229246</v>
      </c>
      <c r="Q24" s="441">
        <f>+[4]아산!$E$17</f>
        <v>877</v>
      </c>
      <c r="R24" s="440">
        <f>+[4]아산!$F$17</f>
        <v>926.74535512699902</v>
      </c>
      <c r="S24" s="442">
        <f t="shared" si="4"/>
        <v>49.745355126999016</v>
      </c>
      <c r="T24" s="540">
        <f>+[4]아산!$E$19</f>
        <v>2.8</v>
      </c>
      <c r="U24" s="539">
        <f>+[4]아산!$F$19</f>
        <v>3.7067527046095963</v>
      </c>
      <c r="V24" s="538">
        <f t="shared" si="5"/>
        <v>0.90675270460959645</v>
      </c>
    </row>
    <row r="25" spans="4:22" ht="24" customHeight="1">
      <c r="D25" s="436" t="s">
        <v>146</v>
      </c>
      <c r="E25" s="434">
        <f>+[4]전주!$E$9</f>
        <v>274.54000000000002</v>
      </c>
      <c r="F25" s="433">
        <f>+[4]전주!$F$9</f>
        <v>266.27740507378547</v>
      </c>
      <c r="G25" s="435">
        <f t="shared" si="0"/>
        <v>-8.2625949262145468</v>
      </c>
      <c r="H25" s="434">
        <f>+[4]전주!$E$15</f>
        <v>331.85</v>
      </c>
      <c r="I25" s="433">
        <f>+[4]전주!$F$15</f>
        <v>352.5317575858067</v>
      </c>
      <c r="J25" s="435">
        <f t="shared" si="1"/>
        <v>20.681757585806679</v>
      </c>
      <c r="K25" s="537">
        <f>+([4]전주!$E$10*0.4+[4]전주!$E$11+[4]전주!$E$12+[4]전주!$E$13+[4]전주!$E$14)/[4]전주!$E$15</f>
        <v>0.17269850836221184</v>
      </c>
      <c r="L25" s="536">
        <f>+([4]전주!$F$10*0.4+[4]전주!$F$11+[4]전주!$F$12+[4]전주!$F$13+[4]전주!$F$14)/[4]전주!$F$15</f>
        <v>0.21463388952404983</v>
      </c>
      <c r="M25" s="535">
        <f t="shared" si="2"/>
        <v>4.1935381161837981E-2</v>
      </c>
      <c r="N25" s="434">
        <f>+[4]전주!$E$16</f>
        <v>742.54</v>
      </c>
      <c r="O25" s="433">
        <f>+[4]전주!$F$16</f>
        <v>647.04650969988393</v>
      </c>
      <c r="P25" s="435">
        <f t="shared" si="3"/>
        <v>-95.493490300116036</v>
      </c>
      <c r="Q25" s="434">
        <f>+[4]전주!$E$17</f>
        <v>992.06000000000006</v>
      </c>
      <c r="R25" s="433">
        <f>+[4]전주!$F$17</f>
        <v>1067.0465096998839</v>
      </c>
      <c r="S25" s="435">
        <f t="shared" si="4"/>
        <v>74.986509699883868</v>
      </c>
      <c r="T25" s="534">
        <f>+[4]전주!$E$19</f>
        <v>2.2599999999999998</v>
      </c>
      <c r="U25" s="533">
        <f>+[4]전주!$F$19</f>
        <v>2.6367061847123199</v>
      </c>
      <c r="V25" s="532">
        <f t="shared" si="5"/>
        <v>0.37670618471232009</v>
      </c>
    </row>
    <row r="26" spans="4:22" ht="24" customHeight="1">
      <c r="D26" s="436" t="s">
        <v>145</v>
      </c>
      <c r="E26" s="434">
        <f>+[4]군산!$E$9</f>
        <v>280.7</v>
      </c>
      <c r="F26" s="433">
        <f>+[4]군산!$F$9</f>
        <v>340.30472290992174</v>
      </c>
      <c r="G26" s="435">
        <f t="shared" si="0"/>
        <v>59.604722909921747</v>
      </c>
      <c r="H26" s="434">
        <f>+[4]군산!$E$15</f>
        <v>351.09999999999997</v>
      </c>
      <c r="I26" s="433">
        <f>+[4]군산!$F$15</f>
        <v>371.71591696819638</v>
      </c>
      <c r="J26" s="435">
        <f t="shared" si="1"/>
        <v>20.615916968196416</v>
      </c>
      <c r="K26" s="537">
        <f>+([4]군산!$E$10*0.4+[4]군산!$E$11+[4]군산!$E$12+[4]군산!$E$13+[4]군산!$E$14)/[4]군산!$E$15</f>
        <v>0.16547992025064087</v>
      </c>
      <c r="L26" s="536">
        <f>+([4]군산!$F$10*0.4+[4]군산!$F$11+[4]군산!$F$12+[4]군산!$F$13+[4]군산!$F$14)/[4]군산!$F$15</f>
        <v>8.4503225781859981E-2</v>
      </c>
      <c r="M26" s="535">
        <f t="shared" si="2"/>
        <v>-8.0976694468780891E-2</v>
      </c>
      <c r="N26" s="434">
        <f>+[4]군산!$E$16</f>
        <v>810</v>
      </c>
      <c r="O26" s="433">
        <f>+[4]군산!$F$16</f>
        <v>840.60940773186053</v>
      </c>
      <c r="P26" s="435">
        <f t="shared" si="3"/>
        <v>30.609407731860529</v>
      </c>
      <c r="Q26" s="434">
        <f>+[4]군산!$E$17</f>
        <v>905</v>
      </c>
      <c r="R26" s="433">
        <f>+[4]군산!$F$17</f>
        <v>851.55779851456896</v>
      </c>
      <c r="S26" s="435">
        <f t="shared" si="4"/>
        <v>-53.442201485431042</v>
      </c>
      <c r="T26" s="534">
        <f>+[4]군산!$E$19</f>
        <v>2.93</v>
      </c>
      <c r="U26" s="533">
        <f>+[4]군산!$F$19</f>
        <v>1.8481051228337453</v>
      </c>
      <c r="V26" s="532">
        <f t="shared" si="5"/>
        <v>-1.0818948771662549</v>
      </c>
    </row>
    <row r="27" spans="4:22" ht="24" customHeight="1">
      <c r="D27" s="436" t="s">
        <v>144</v>
      </c>
      <c r="E27" s="434">
        <f>+[4]원주!$E$9</f>
        <v>320.3</v>
      </c>
      <c r="F27" s="433">
        <f>+[4]원주!$F$9</f>
        <v>316.63269054178136</v>
      </c>
      <c r="G27" s="435">
        <f t="shared" si="0"/>
        <v>-3.6673094582186536</v>
      </c>
      <c r="H27" s="434">
        <f>+[4]원주!$E$15</f>
        <v>349.1</v>
      </c>
      <c r="I27" s="433">
        <f>+[4]원주!$F$15</f>
        <v>354.40452249770419</v>
      </c>
      <c r="J27" s="435">
        <f t="shared" si="1"/>
        <v>5.3045224977041698</v>
      </c>
      <c r="K27" s="537">
        <f>+([4]원주!$E$10*0.4+[4]원주!$E$11+[4]원주!$E$12+[4]원주!$E$13+[4]원주!$E$14)/[4]원주!$E$15</f>
        <v>8.2497851618447429E-2</v>
      </c>
      <c r="L27" s="536">
        <f>+([4]원주!$F$10*0.4+[4]원주!$F$11+[4]원주!$F$12+[4]원주!$F$13+[4]원주!$F$14)/[4]원주!$F$15</f>
        <v>0.10657830122968463</v>
      </c>
      <c r="M27" s="535">
        <f t="shared" si="2"/>
        <v>2.4080449611237204E-2</v>
      </c>
      <c r="N27" s="434">
        <f>+[4]원주!$E$16</f>
        <v>837.86</v>
      </c>
      <c r="O27" s="433">
        <f>+[4]원주!$F$16</f>
        <v>846.90771349862268</v>
      </c>
      <c r="P27" s="435">
        <f t="shared" si="3"/>
        <v>9.0477134986226702</v>
      </c>
      <c r="Q27" s="434">
        <f>+[4]원주!$E$17</f>
        <v>921.01</v>
      </c>
      <c r="R27" s="433">
        <f>+[4]원주!$F$17</f>
        <v>936.96740128558304</v>
      </c>
      <c r="S27" s="435">
        <f t="shared" si="4"/>
        <v>15.957401285583046</v>
      </c>
      <c r="T27" s="534">
        <f>+[4]원주!$E$19</f>
        <v>2.9380000000000002</v>
      </c>
      <c r="U27" s="533">
        <f>+[4]원주!$F$19</f>
        <v>3.0826905417814503</v>
      </c>
      <c r="V27" s="532">
        <f t="shared" si="5"/>
        <v>0.14469054178145013</v>
      </c>
    </row>
    <row r="28" spans="4:22" ht="24" customHeight="1">
      <c r="D28" s="431" t="s">
        <v>143</v>
      </c>
      <c r="E28" s="429">
        <f>+[4]제주!$E$9</f>
        <v>351</v>
      </c>
      <c r="F28" s="528">
        <f>+[4]제주!$F$9</f>
        <v>321.97565953399896</v>
      </c>
      <c r="G28" s="430">
        <f t="shared" si="0"/>
        <v>-29.024340466001036</v>
      </c>
      <c r="H28" s="429">
        <f>+[4]제주!$E$15</f>
        <v>351</v>
      </c>
      <c r="I28" s="528">
        <f>+[4]제주!$F$15</f>
        <v>333.1515035663337</v>
      </c>
      <c r="J28" s="430">
        <f t="shared" si="1"/>
        <v>-17.848496433666298</v>
      </c>
      <c r="K28" s="531">
        <f>+([4]제주!$E$10*0.4+[4]제주!$E$11+[4]제주!$E$12+[4]제주!$E$13+[4]제주!$E$14)/[4]제주!$E$15</f>
        <v>0</v>
      </c>
      <c r="L28" s="530">
        <f>+([4]제주!$F$10*0.4+[4]제주!$F$11+[4]제주!$F$12+[4]제주!$F$13+[4]제주!$F$14)/[4]제주!$F$15</f>
        <v>1.3418332395560739E-2</v>
      </c>
      <c r="M28" s="529">
        <f t="shared" si="2"/>
        <v>1.3418332395560739E-2</v>
      </c>
      <c r="N28" s="429">
        <f>+[4]제주!$E$16</f>
        <v>705.7</v>
      </c>
      <c r="O28" s="528">
        <f>+[4]제주!$F$16</f>
        <v>766.64384213029018</v>
      </c>
      <c r="P28" s="430">
        <f t="shared" si="3"/>
        <v>60.943842130290136</v>
      </c>
      <c r="Q28" s="429">
        <f>+[4]제주!$E$17</f>
        <v>1000.3</v>
      </c>
      <c r="R28" s="528">
        <f>+[4]제주!$F$17</f>
        <v>1028.335710889206</v>
      </c>
      <c r="S28" s="430">
        <f t="shared" si="4"/>
        <v>28.03571088920603</v>
      </c>
      <c r="T28" s="527">
        <f>+[4]제주!$E$19</f>
        <v>2.68</v>
      </c>
      <c r="U28" s="526">
        <f>+[4]제주!$F$19</f>
        <v>3.7658659058487878</v>
      </c>
      <c r="V28" s="525">
        <f t="shared" si="5"/>
        <v>1.0858659058487876</v>
      </c>
    </row>
    <row r="29" spans="4:22" ht="24" customHeight="1"/>
    <row r="30" spans="4:22" ht="24" customHeight="1"/>
    <row r="31" spans="4:22" ht="24" customHeight="1"/>
    <row r="32" spans="4:22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E0FFE-FB88-4FF5-8C6A-FD4B5458543F}">
  <sheetPr>
    <tabColor theme="1" tint="0.249977111117893"/>
    <pageSetUpPr fitToPage="1"/>
  </sheetPr>
  <dimension ref="D3:AQ55"/>
  <sheetViews>
    <sheetView showGridLines="0" view="pageBreakPreview" topLeftCell="A4" zoomScale="60" zoomScaleNormal="70" workbookViewId="0">
      <pane ySplit="6" topLeftCell="A10" activePane="bottomLeft" state="frozenSplit"/>
      <selection activeCell="C33" sqref="C33"/>
      <selection pane="bottomLeft" activeCell="C33" sqref="C33"/>
    </sheetView>
  </sheetViews>
  <sheetFormatPr defaultRowHeight="16.5"/>
  <cols>
    <col min="1" max="3" width="5.625" style="6" customWidth="1"/>
    <col min="4" max="5" width="13" style="6" customWidth="1"/>
    <col min="6" max="15" width="15.75" style="6" customWidth="1"/>
    <col min="16" max="17" width="3.25" style="562" customWidth="1"/>
    <col min="18" max="18" width="9" style="6"/>
    <col min="19" max="30" width="10.25" style="6" hidden="1" customWidth="1"/>
    <col min="31" max="39" width="10.25" style="6" customWidth="1"/>
    <col min="40" max="16384" width="9" style="6"/>
  </cols>
  <sheetData>
    <row r="3" spans="4:17" ht="9.9499999999999993" customHeight="1"/>
    <row r="5" spans="4:17" ht="9.9499999999999993" customHeight="1"/>
    <row r="6" spans="4:17" ht="31.5">
      <c r="D6" s="481" t="s">
        <v>220</v>
      </c>
      <c r="F6" s="481"/>
      <c r="G6" s="481"/>
      <c r="H6" s="481"/>
      <c r="I6" s="481"/>
      <c r="J6" s="481"/>
      <c r="K6" s="481"/>
      <c r="L6" s="481"/>
      <c r="M6" s="481"/>
    </row>
    <row r="7" spans="4:17" ht="21.95" customHeight="1" thickBot="1">
      <c r="D7" s="563"/>
      <c r="O7" s="480" t="s">
        <v>177</v>
      </c>
    </row>
    <row r="8" spans="4:17" ht="25.5" customHeight="1" thickTop="1">
      <c r="D8" s="843" t="s">
        <v>11</v>
      </c>
      <c r="E8" s="844"/>
      <c r="F8" s="847" t="s">
        <v>187</v>
      </c>
      <c r="G8" s="848"/>
      <c r="H8" s="848"/>
      <c r="I8" s="848"/>
      <c r="J8" s="849"/>
      <c r="K8" s="811" t="s">
        <v>207</v>
      </c>
      <c r="L8" s="811"/>
      <c r="M8" s="811"/>
      <c r="N8" s="811"/>
      <c r="O8" s="814"/>
      <c r="P8" s="564"/>
      <c r="Q8" s="564"/>
    </row>
    <row r="9" spans="4:17" ht="25.5" customHeight="1">
      <c r="D9" s="845"/>
      <c r="E9" s="846"/>
      <c r="F9" s="565" t="s">
        <v>36</v>
      </c>
      <c r="G9" s="566" t="s">
        <v>37</v>
      </c>
      <c r="H9" s="567" t="s">
        <v>56</v>
      </c>
      <c r="I9" s="566" t="s">
        <v>39</v>
      </c>
      <c r="J9" s="568" t="s">
        <v>57</v>
      </c>
      <c r="K9" s="567" t="s">
        <v>36</v>
      </c>
      <c r="L9" s="566" t="s">
        <v>37</v>
      </c>
      <c r="M9" s="567" t="s">
        <v>56</v>
      </c>
      <c r="N9" s="566" t="s">
        <v>39</v>
      </c>
      <c r="O9" s="569" t="s">
        <v>57</v>
      </c>
      <c r="P9" s="564"/>
      <c r="Q9" s="564"/>
    </row>
    <row r="10" spans="4:17" ht="25.5" customHeight="1">
      <c r="D10" s="570" t="s">
        <v>89</v>
      </c>
      <c r="E10" s="571" t="s">
        <v>69</v>
      </c>
      <c r="F10" s="572">
        <f>+IFERROR(HLOOKUP($F$8,[8]손익!$G$5:$AI$63,2,),)</f>
        <v>9800</v>
      </c>
      <c r="G10" s="573">
        <f>+'[6]1월'!$G$8</f>
        <v>8735.5020000000004</v>
      </c>
      <c r="H10" s="574">
        <f>+G10-F10</f>
        <v>-1064.4979999999996</v>
      </c>
      <c r="I10" s="573">
        <f>+IFERROR(HLOOKUP($F$8,[9]월별!$E$2:$T$53,2,),)</f>
        <v>6425.0929999999998</v>
      </c>
      <c r="J10" s="575">
        <f>+G10-I10</f>
        <v>2310.4090000000006</v>
      </c>
      <c r="K10" s="574">
        <f>+F10</f>
        <v>9800</v>
      </c>
      <c r="L10" s="573">
        <f t="shared" ref="L10:L13" si="0">+G10</f>
        <v>8735.5020000000004</v>
      </c>
      <c r="M10" s="574">
        <f>+L10-K10</f>
        <v>-1064.4979999999996</v>
      </c>
      <c r="N10" s="573">
        <f>+I10</f>
        <v>6425.0929999999998</v>
      </c>
      <c r="O10" s="576">
        <f>+L10-N10</f>
        <v>2310.4090000000006</v>
      </c>
      <c r="P10" s="577"/>
      <c r="Q10" s="577"/>
    </row>
    <row r="11" spans="4:17" ht="25.5" customHeight="1">
      <c r="D11" s="578" t="s">
        <v>53</v>
      </c>
      <c r="E11" s="579" t="s">
        <v>178</v>
      </c>
      <c r="F11" s="580">
        <f>+F12/F10*1000</f>
        <v>872959.18367346935</v>
      </c>
      <c r="G11" s="581">
        <f>+G12/G10*1000</f>
        <v>756420.01123690419</v>
      </c>
      <c r="H11" s="582">
        <f t="shared" ref="H11:H28" si="1">+G11-F11</f>
        <v>-116539.17243656516</v>
      </c>
      <c r="I11" s="581">
        <f>+I12/I10*1000</f>
        <v>920730.85338998202</v>
      </c>
      <c r="J11" s="583">
        <f t="shared" ref="J11:J28" si="2">+G11-I11</f>
        <v>-164310.84215307783</v>
      </c>
      <c r="K11" s="582">
        <f t="shared" ref="K11:K13" si="3">+F11</f>
        <v>872959.18367346935</v>
      </c>
      <c r="L11" s="581">
        <f t="shared" si="0"/>
        <v>756420.01123690419</v>
      </c>
      <c r="M11" s="582">
        <f t="shared" ref="M11:M28" si="4">+L11-K11</f>
        <v>-116539.17243656516</v>
      </c>
      <c r="N11" s="581">
        <f t="shared" ref="N11:N13" si="5">+I11</f>
        <v>920730.85338998202</v>
      </c>
      <c r="O11" s="584">
        <f t="shared" ref="O11:O28" si="6">+L11-N11</f>
        <v>-164310.84215307783</v>
      </c>
      <c r="P11" s="577"/>
      <c r="Q11" s="577"/>
    </row>
    <row r="12" spans="4:17" ht="25.5" customHeight="1">
      <c r="D12" s="585" t="s">
        <v>126</v>
      </c>
      <c r="E12" s="586" t="s">
        <v>178</v>
      </c>
      <c r="F12" s="587">
        <f>+IFERROR(HLOOKUP($F$8,[8]손익!$G$5:$AI$63,22,),)</f>
        <v>8555000</v>
      </c>
      <c r="G12" s="588">
        <f>+'[6]1월'!$G$9</f>
        <v>6607708.5209999997</v>
      </c>
      <c r="H12" s="589">
        <f t="shared" si="1"/>
        <v>-1947291.4790000003</v>
      </c>
      <c r="I12" s="588">
        <f>+IFERROR(HLOOKUP($F$8,[9]월별!$E$2:$T$53,5,),)</f>
        <v>5915781.3609999996</v>
      </c>
      <c r="J12" s="590">
        <f t="shared" si="2"/>
        <v>691927.16000000015</v>
      </c>
      <c r="K12" s="589">
        <f t="shared" si="3"/>
        <v>8555000</v>
      </c>
      <c r="L12" s="588">
        <f t="shared" si="0"/>
        <v>6607708.5209999997</v>
      </c>
      <c r="M12" s="589">
        <f t="shared" si="4"/>
        <v>-1947291.4790000003</v>
      </c>
      <c r="N12" s="588">
        <f t="shared" si="5"/>
        <v>5915781.3609999996</v>
      </c>
      <c r="O12" s="591">
        <f t="shared" si="6"/>
        <v>691927.16000000015</v>
      </c>
      <c r="P12" s="577"/>
      <c r="Q12" s="577"/>
    </row>
    <row r="13" spans="4:17" ht="25.5" customHeight="1">
      <c r="D13" s="585"/>
      <c r="E13" s="592" t="s">
        <v>179</v>
      </c>
      <c r="F13" s="593">
        <f>+IFERROR(HLOOKUP($F$8,[8]손익!$G$5:$AI$63,23,),)</f>
        <v>2176322.8120547961</v>
      </c>
      <c r="G13" s="594">
        <f>+'[6]1월'!$J$9</f>
        <v>872411.16300000064</v>
      </c>
      <c r="H13" s="595">
        <f t="shared" si="1"/>
        <v>-1303911.6490547955</v>
      </c>
      <c r="I13" s="594">
        <f>+IFERROR(HLOOKUP($F$8,[9]월별!$E$2:$T$53,6,),)</f>
        <v>1492175.8060000008</v>
      </c>
      <c r="J13" s="596">
        <f t="shared" si="2"/>
        <v>-619764.64300000016</v>
      </c>
      <c r="K13" s="595">
        <f t="shared" si="3"/>
        <v>2176322.8120547961</v>
      </c>
      <c r="L13" s="594">
        <f t="shared" si="0"/>
        <v>872411.16300000064</v>
      </c>
      <c r="M13" s="595">
        <f t="shared" si="4"/>
        <v>-1303911.6490547955</v>
      </c>
      <c r="N13" s="594">
        <f t="shared" si="5"/>
        <v>1492175.8060000008</v>
      </c>
      <c r="O13" s="597">
        <f t="shared" si="6"/>
        <v>-619764.64300000016</v>
      </c>
      <c r="P13" s="577"/>
      <c r="Q13" s="577"/>
    </row>
    <row r="14" spans="4:17" ht="25.5" customHeight="1">
      <c r="D14" s="585"/>
      <c r="E14" s="598" t="s">
        <v>180</v>
      </c>
      <c r="F14" s="599">
        <f>SUM(F12:F13)</f>
        <v>10731322.812054796</v>
      </c>
      <c r="G14" s="600">
        <f>SUM(G12:G13)</f>
        <v>7480119.6840000004</v>
      </c>
      <c r="H14" s="170">
        <f t="shared" si="1"/>
        <v>-3251203.1280547958</v>
      </c>
      <c r="I14" s="600">
        <f>SUM(I12:I13)</f>
        <v>7407957.1670000004</v>
      </c>
      <c r="J14" s="601">
        <f t="shared" si="2"/>
        <v>72162.516999999993</v>
      </c>
      <c r="K14" s="170">
        <f>SUM(K12:K13)</f>
        <v>10731322.812054796</v>
      </c>
      <c r="L14" s="600">
        <f>SUM(L12:L13)</f>
        <v>7480119.6840000004</v>
      </c>
      <c r="M14" s="170">
        <f t="shared" si="4"/>
        <v>-3251203.1280547958</v>
      </c>
      <c r="N14" s="600">
        <f>SUM(N12:N13)</f>
        <v>7407957.1670000004</v>
      </c>
      <c r="O14" s="172">
        <f t="shared" si="6"/>
        <v>72162.516999999993</v>
      </c>
      <c r="P14" s="577"/>
      <c r="Q14" s="577"/>
    </row>
    <row r="15" spans="4:17" ht="25.5" customHeight="1">
      <c r="D15" s="570" t="s">
        <v>5</v>
      </c>
      <c r="E15" s="571" t="s">
        <v>178</v>
      </c>
      <c r="F15" s="572">
        <f>+IFERROR(HLOOKUP($F$8,[8]손익!$G$5:$AI$63,25,),)</f>
        <v>8349642.5</v>
      </c>
      <c r="G15" s="573">
        <f>+'[6]1월'!$G$11</f>
        <v>6490572.2549999999</v>
      </c>
      <c r="H15" s="574">
        <f t="shared" si="1"/>
        <v>-1859070.2450000001</v>
      </c>
      <c r="I15" s="573">
        <f>+IFERROR(HLOOKUP($F$8,[9]월별!$E$2:$T$53,8,),)</f>
        <v>5751185.5190000003</v>
      </c>
      <c r="J15" s="575">
        <f t="shared" si="2"/>
        <v>739386.73599999957</v>
      </c>
      <c r="K15" s="574">
        <f t="shared" ref="K15:K16" si="7">+F15</f>
        <v>8349642.5</v>
      </c>
      <c r="L15" s="573">
        <f t="shared" ref="L15:L16" si="8">+G15</f>
        <v>6490572.2549999999</v>
      </c>
      <c r="M15" s="574">
        <f t="shared" si="4"/>
        <v>-1859070.2450000001</v>
      </c>
      <c r="N15" s="573">
        <f t="shared" ref="N15:N16" si="9">+I15</f>
        <v>5751185.5190000003</v>
      </c>
      <c r="O15" s="576">
        <f t="shared" si="6"/>
        <v>739386.73599999957</v>
      </c>
      <c r="P15" s="577"/>
      <c r="Q15" s="577"/>
    </row>
    <row r="16" spans="4:17" ht="25.5" customHeight="1">
      <c r="D16" s="585"/>
      <c r="E16" s="592" t="s">
        <v>179</v>
      </c>
      <c r="F16" s="593">
        <f>+IFERROR(HLOOKUP($F$8,[8]손익!$G$5:$AI$63,26,),)</f>
        <v>2091539.8042655755</v>
      </c>
      <c r="G16" s="594">
        <f>+'[6]1월'!$J$11</f>
        <v>843636.93700000085</v>
      </c>
      <c r="H16" s="595">
        <f t="shared" si="1"/>
        <v>-1247902.8672655746</v>
      </c>
      <c r="I16" s="594">
        <f>+IFERROR(HLOOKUP($F$8,[9]월별!$E$2:$T$53,9,),)</f>
        <v>1459339.4409999996</v>
      </c>
      <c r="J16" s="596">
        <f t="shared" si="2"/>
        <v>-615702.50399999879</v>
      </c>
      <c r="K16" s="595">
        <f t="shared" si="7"/>
        <v>2091539.8042655755</v>
      </c>
      <c r="L16" s="594">
        <f t="shared" si="8"/>
        <v>843636.93700000085</v>
      </c>
      <c r="M16" s="595">
        <f t="shared" si="4"/>
        <v>-1247902.8672655746</v>
      </c>
      <c r="N16" s="594">
        <f t="shared" si="9"/>
        <v>1459339.4409999996</v>
      </c>
      <c r="O16" s="597">
        <f t="shared" si="6"/>
        <v>-615702.50399999879</v>
      </c>
      <c r="P16" s="577"/>
      <c r="Q16" s="577"/>
    </row>
    <row r="17" spans="4:17" ht="25.5" customHeight="1">
      <c r="D17" s="578"/>
      <c r="E17" s="602" t="s">
        <v>181</v>
      </c>
      <c r="F17" s="603">
        <f>SUM(F15:F16)</f>
        <v>10441182.304265575</v>
      </c>
      <c r="G17" s="604">
        <f>SUM(G15:G16)</f>
        <v>7334209.1920000007</v>
      </c>
      <c r="H17" s="605">
        <f t="shared" si="1"/>
        <v>-3106973.1122655747</v>
      </c>
      <c r="I17" s="604">
        <f>SUM(I15:I16)</f>
        <v>7210524.96</v>
      </c>
      <c r="J17" s="606">
        <f t="shared" si="2"/>
        <v>123684.23200000077</v>
      </c>
      <c r="K17" s="605">
        <f>SUM(K15:K16)</f>
        <v>10441182.304265575</v>
      </c>
      <c r="L17" s="604">
        <f>SUM(L15:L16)</f>
        <v>7334209.1920000007</v>
      </c>
      <c r="M17" s="605">
        <f t="shared" si="4"/>
        <v>-3106973.1122655747</v>
      </c>
      <c r="N17" s="604">
        <f>SUM(N15:N16)</f>
        <v>7210524.96</v>
      </c>
      <c r="O17" s="607">
        <f t="shared" si="6"/>
        <v>123684.23200000077</v>
      </c>
      <c r="P17" s="577"/>
      <c r="Q17" s="577"/>
    </row>
    <row r="18" spans="4:17" ht="25.5" customHeight="1">
      <c r="D18" s="585" t="s">
        <v>15</v>
      </c>
      <c r="E18" s="586" t="s">
        <v>178</v>
      </c>
      <c r="F18" s="587">
        <f>+F12-F15</f>
        <v>205357.5</v>
      </c>
      <c r="G18" s="588">
        <f>+G12-G15</f>
        <v>117136.26599999983</v>
      </c>
      <c r="H18" s="589">
        <f t="shared" si="1"/>
        <v>-88221.234000000171</v>
      </c>
      <c r="I18" s="588">
        <f>+I12-I15</f>
        <v>164595.84199999925</v>
      </c>
      <c r="J18" s="590">
        <f t="shared" si="2"/>
        <v>-47459.575999999419</v>
      </c>
      <c r="K18" s="589">
        <f>+K12-K15</f>
        <v>205357.5</v>
      </c>
      <c r="L18" s="588">
        <f>+L12-L15</f>
        <v>117136.26599999983</v>
      </c>
      <c r="M18" s="589">
        <f t="shared" si="4"/>
        <v>-88221.234000000171</v>
      </c>
      <c r="N18" s="588">
        <f>+N12-N15</f>
        <v>164595.84199999925</v>
      </c>
      <c r="O18" s="591">
        <f t="shared" si="6"/>
        <v>-47459.575999999419</v>
      </c>
      <c r="P18" s="577"/>
      <c r="Q18" s="577"/>
    </row>
    <row r="19" spans="4:17" ht="25.5" customHeight="1">
      <c r="D19" s="585"/>
      <c r="E19" s="608" t="s">
        <v>9</v>
      </c>
      <c r="F19" s="609">
        <f>+F18/F12</f>
        <v>2.4004383401519579E-2</v>
      </c>
      <c r="G19" s="610">
        <f>+G18/G12</f>
        <v>1.7727214453804725E-2</v>
      </c>
      <c r="H19" s="611">
        <f t="shared" si="1"/>
        <v>-6.2771689477148541E-3</v>
      </c>
      <c r="I19" s="610">
        <f>+I18/I12</f>
        <v>2.7823178707229314E-2</v>
      </c>
      <c r="J19" s="612">
        <f t="shared" si="2"/>
        <v>-1.0095964253424589E-2</v>
      </c>
      <c r="K19" s="611">
        <f>+K18/K12</f>
        <v>2.4004383401519579E-2</v>
      </c>
      <c r="L19" s="610">
        <f>+L18/L12</f>
        <v>1.7727214453804725E-2</v>
      </c>
      <c r="M19" s="611">
        <f t="shared" si="4"/>
        <v>-6.2771689477148541E-3</v>
      </c>
      <c r="N19" s="610">
        <f>+N18/N12</f>
        <v>2.7823178707229314E-2</v>
      </c>
      <c r="O19" s="613">
        <f t="shared" si="6"/>
        <v>-1.0095964253424589E-2</v>
      </c>
      <c r="P19" s="577"/>
      <c r="Q19" s="577"/>
    </row>
    <row r="20" spans="4:17" ht="25.5" customHeight="1">
      <c r="D20" s="585"/>
      <c r="E20" s="614" t="s">
        <v>179</v>
      </c>
      <c r="F20" s="599">
        <f>+F13-F16</f>
        <v>84783.007789220661</v>
      </c>
      <c r="G20" s="600">
        <f>+G13-G16</f>
        <v>28774.225999999791</v>
      </c>
      <c r="H20" s="170">
        <f t="shared" si="1"/>
        <v>-56008.78178922087</v>
      </c>
      <c r="I20" s="600">
        <f>+I13-I16</f>
        <v>32836.365000001155</v>
      </c>
      <c r="J20" s="601">
        <f t="shared" si="2"/>
        <v>-4062.1390000013635</v>
      </c>
      <c r="K20" s="170">
        <f>+K13-K16</f>
        <v>84783.007789220661</v>
      </c>
      <c r="L20" s="600">
        <f>+L13-L16</f>
        <v>28774.225999999791</v>
      </c>
      <c r="M20" s="170">
        <f t="shared" si="4"/>
        <v>-56008.78178922087</v>
      </c>
      <c r="N20" s="600">
        <f>+N13-N16</f>
        <v>32836.365000001155</v>
      </c>
      <c r="O20" s="172">
        <f t="shared" si="6"/>
        <v>-4062.1390000013635</v>
      </c>
      <c r="P20" s="577"/>
      <c r="Q20" s="577"/>
    </row>
    <row r="21" spans="4:17" ht="25.5" customHeight="1">
      <c r="D21" s="585"/>
      <c r="E21" s="615" t="s">
        <v>9</v>
      </c>
      <c r="F21" s="616">
        <f>+F20/F13</f>
        <v>3.8957000000000901E-2</v>
      </c>
      <c r="G21" s="617">
        <f>+G20/G13</f>
        <v>3.2982413820855441E-2</v>
      </c>
      <c r="H21" s="618">
        <f t="shared" si="1"/>
        <v>-5.9745861791454594E-3</v>
      </c>
      <c r="I21" s="617">
        <f>+I20/I13</f>
        <v>2.2005694548837322E-2</v>
      </c>
      <c r="J21" s="619">
        <f t="shared" si="2"/>
        <v>1.0976719272018119E-2</v>
      </c>
      <c r="K21" s="618">
        <f>+K20/K13</f>
        <v>3.8957000000000901E-2</v>
      </c>
      <c r="L21" s="617">
        <f>+L20/L13</f>
        <v>3.2982413820855441E-2</v>
      </c>
      <c r="M21" s="618">
        <f t="shared" si="4"/>
        <v>-5.9745861791454594E-3</v>
      </c>
      <c r="N21" s="617">
        <f>+N20/N13</f>
        <v>2.2005694548837322E-2</v>
      </c>
      <c r="O21" s="620">
        <f t="shared" si="6"/>
        <v>1.0976719272018119E-2</v>
      </c>
      <c r="P21" s="577"/>
      <c r="Q21" s="577"/>
    </row>
    <row r="22" spans="4:17" ht="25.5" customHeight="1">
      <c r="D22" s="585"/>
      <c r="E22" s="598" t="s">
        <v>180</v>
      </c>
      <c r="F22" s="599">
        <f>SUM(F18,F20)</f>
        <v>290140.50778922066</v>
      </c>
      <c r="G22" s="600">
        <f>SUM(G18,G20)</f>
        <v>145910.49199999962</v>
      </c>
      <c r="H22" s="170">
        <f t="shared" si="1"/>
        <v>-144230.01578922104</v>
      </c>
      <c r="I22" s="600">
        <f>SUM(I18,I20)</f>
        <v>197432.2070000004</v>
      </c>
      <c r="J22" s="601">
        <f t="shared" si="2"/>
        <v>-51521.715000000782</v>
      </c>
      <c r="K22" s="170">
        <f>+K14-K17</f>
        <v>290140.50778922066</v>
      </c>
      <c r="L22" s="600">
        <f>+L14-L17</f>
        <v>145910.49199999962</v>
      </c>
      <c r="M22" s="170">
        <f t="shared" si="4"/>
        <v>-144230.01578922104</v>
      </c>
      <c r="N22" s="600">
        <f>+N14-N17</f>
        <v>197432.2070000004</v>
      </c>
      <c r="O22" s="172">
        <f t="shared" si="6"/>
        <v>-51521.715000000782</v>
      </c>
      <c r="P22" s="577"/>
      <c r="Q22" s="577"/>
    </row>
    <row r="23" spans="4:17" ht="25.5" customHeight="1">
      <c r="D23" s="585"/>
      <c r="E23" s="621" t="s">
        <v>9</v>
      </c>
      <c r="F23" s="609">
        <f>+F22/F14</f>
        <v>2.7036788741766085E-2</v>
      </c>
      <c r="G23" s="610">
        <f>+G22/G14</f>
        <v>1.9506438153937915E-2</v>
      </c>
      <c r="H23" s="611">
        <f t="shared" si="1"/>
        <v>-7.5303505878281697E-3</v>
      </c>
      <c r="I23" s="610">
        <f>+I22/I14</f>
        <v>2.6651369945751794E-2</v>
      </c>
      <c r="J23" s="612">
        <f t="shared" si="2"/>
        <v>-7.1449317918138786E-3</v>
      </c>
      <c r="K23" s="611">
        <f>+K22/K14</f>
        <v>2.7036788741766085E-2</v>
      </c>
      <c r="L23" s="610">
        <f>+L22/L14</f>
        <v>1.9506438153937915E-2</v>
      </c>
      <c r="M23" s="611">
        <f t="shared" si="4"/>
        <v>-7.5303505878281697E-3</v>
      </c>
      <c r="N23" s="610">
        <f>+N22/N14</f>
        <v>2.6651369945751794E-2</v>
      </c>
      <c r="O23" s="613">
        <f t="shared" si="6"/>
        <v>-7.1449317918138786E-3</v>
      </c>
      <c r="P23" s="577"/>
      <c r="Q23" s="577"/>
    </row>
    <row r="24" spans="4:17" ht="25.5" customHeight="1">
      <c r="D24" s="570" t="s">
        <v>182</v>
      </c>
      <c r="E24" s="571" t="s">
        <v>183</v>
      </c>
      <c r="F24" s="572">
        <f>+IFERROR(HLOOKUP($F$8,[8]판매4!$G$4:$U$50,7,),)</f>
        <v>87502.28</v>
      </c>
      <c r="G24" s="573">
        <f>+'[6]1월'!$M$19</f>
        <v>95383.024999999994</v>
      </c>
      <c r="H24" s="574">
        <f t="shared" si="1"/>
        <v>7880.7449999999953</v>
      </c>
      <c r="I24" s="573">
        <f>+IFERROR(HLOOKUP($F$8,[9]월별!$E$2:$T$53,17,),)</f>
        <v>88392.314999999988</v>
      </c>
      <c r="J24" s="575">
        <f t="shared" si="2"/>
        <v>6990.7100000000064</v>
      </c>
      <c r="K24" s="574">
        <f t="shared" ref="K24:K25" si="10">+F24</f>
        <v>87502.28</v>
      </c>
      <c r="L24" s="573">
        <f t="shared" ref="L24:L25" si="11">+G24</f>
        <v>95383.024999999994</v>
      </c>
      <c r="M24" s="574">
        <f t="shared" si="4"/>
        <v>7880.7449999999953</v>
      </c>
      <c r="N24" s="573">
        <f t="shared" ref="N24:N25" si="12">+I24</f>
        <v>88392.314999999988</v>
      </c>
      <c r="O24" s="576">
        <f t="shared" si="6"/>
        <v>6990.7100000000064</v>
      </c>
      <c r="P24" s="577"/>
      <c r="Q24" s="577"/>
    </row>
    <row r="25" spans="4:17" ht="25.5" customHeight="1">
      <c r="D25" s="585"/>
      <c r="E25" s="592" t="s">
        <v>184</v>
      </c>
      <c r="F25" s="593">
        <f>+IFERROR(HLOOKUP($F$8,[8]판매4!$G$4:$U$50,31,),)+IFERROR(HLOOKUP($F$8,[8]판매4!$G$4:$U$50,34,),)</f>
        <v>35276.907999999996</v>
      </c>
      <c r="G25" s="594">
        <f>+'[6]1월'!$M$37+'[6]1월'!$M$40</f>
        <v>48830.217999999993</v>
      </c>
      <c r="H25" s="595">
        <f t="shared" si="1"/>
        <v>13553.309999999998</v>
      </c>
      <c r="I25" s="594">
        <f>+IFERROR(HLOOKUP($F$8,[9]월별!$E$2:$T$53,35,),)+IFERROR(HLOOKUP($F$8,[9]월별!$E$2:$T$53,38,),)</f>
        <v>33772.680999999997</v>
      </c>
      <c r="J25" s="596">
        <f t="shared" si="2"/>
        <v>15057.536999999997</v>
      </c>
      <c r="K25" s="595">
        <f t="shared" si="10"/>
        <v>35276.907999999996</v>
      </c>
      <c r="L25" s="594">
        <f t="shared" si="11"/>
        <v>48830.217999999993</v>
      </c>
      <c r="M25" s="595">
        <f t="shared" si="4"/>
        <v>13553.309999999998</v>
      </c>
      <c r="N25" s="594">
        <f t="shared" si="12"/>
        <v>33772.680999999997</v>
      </c>
      <c r="O25" s="597">
        <f t="shared" si="6"/>
        <v>15057.536999999997</v>
      </c>
      <c r="P25" s="577"/>
      <c r="Q25" s="577"/>
    </row>
    <row r="26" spans="4:17" ht="25.5" customHeight="1">
      <c r="D26" s="578"/>
      <c r="E26" s="602" t="s">
        <v>180</v>
      </c>
      <c r="F26" s="603">
        <f>SUM(F24:F25)</f>
        <v>122779.18799999999</v>
      </c>
      <c r="G26" s="604">
        <f>SUM(G24:G25)</f>
        <v>144213.24299999999</v>
      </c>
      <c r="H26" s="605">
        <f t="shared" si="1"/>
        <v>21434.054999999993</v>
      </c>
      <c r="I26" s="604">
        <f>SUM(I24:I25)</f>
        <v>122164.99599999998</v>
      </c>
      <c r="J26" s="606">
        <f t="shared" si="2"/>
        <v>22048.247000000003</v>
      </c>
      <c r="K26" s="605">
        <f>SUM(K24:K25)</f>
        <v>122779.18799999999</v>
      </c>
      <c r="L26" s="604">
        <f>SUM(L24:L25)</f>
        <v>144213.24299999999</v>
      </c>
      <c r="M26" s="605">
        <f t="shared" si="4"/>
        <v>21434.054999999993</v>
      </c>
      <c r="N26" s="604">
        <f>SUM(N24:N25)</f>
        <v>122164.99599999998</v>
      </c>
      <c r="O26" s="607">
        <f t="shared" si="6"/>
        <v>22048.247000000003</v>
      </c>
      <c r="P26" s="577"/>
      <c r="Q26" s="577"/>
    </row>
    <row r="27" spans="4:17" ht="25.5" customHeight="1">
      <c r="D27" s="585" t="s">
        <v>7</v>
      </c>
      <c r="E27" s="621"/>
      <c r="F27" s="587">
        <f>+F22-F26</f>
        <v>167361.31978922067</v>
      </c>
      <c r="G27" s="588">
        <f>+G22-G26</f>
        <v>1697.2489999996324</v>
      </c>
      <c r="H27" s="589">
        <f t="shared" si="1"/>
        <v>-165664.07078922103</v>
      </c>
      <c r="I27" s="588">
        <f>+I22-I26</f>
        <v>75267.211000000418</v>
      </c>
      <c r="J27" s="590">
        <f t="shared" si="2"/>
        <v>-73569.962000000785</v>
      </c>
      <c r="K27" s="589">
        <f>+K22-K26</f>
        <v>167361.31978922067</v>
      </c>
      <c r="L27" s="588">
        <f>+L22-L26</f>
        <v>1697.2489999996324</v>
      </c>
      <c r="M27" s="589">
        <f t="shared" si="4"/>
        <v>-165664.07078922103</v>
      </c>
      <c r="N27" s="588">
        <f>+N22-N26</f>
        <v>75267.211000000418</v>
      </c>
      <c r="O27" s="591">
        <f t="shared" si="6"/>
        <v>-73569.962000000785</v>
      </c>
      <c r="P27" s="577"/>
      <c r="Q27" s="577"/>
    </row>
    <row r="28" spans="4:17" ht="25.5" customHeight="1" thickBot="1">
      <c r="D28" s="585"/>
      <c r="E28" s="622" t="s">
        <v>10</v>
      </c>
      <c r="F28" s="623">
        <f>+F27/F14</f>
        <v>1.5595590843769885E-2</v>
      </c>
      <c r="G28" s="624">
        <f>+G27/G14</f>
        <v>2.269013159816217E-4</v>
      </c>
      <c r="H28" s="625">
        <f t="shared" si="1"/>
        <v>-1.5368689527788264E-2</v>
      </c>
      <c r="I28" s="624">
        <f>+I27/I14</f>
        <v>1.0160319411036954E-2</v>
      </c>
      <c r="J28" s="626">
        <f t="shared" si="2"/>
        <v>-9.9334180950553328E-3</v>
      </c>
      <c r="K28" s="627">
        <f>+K27/K14</f>
        <v>1.5595590843769885E-2</v>
      </c>
      <c r="L28" s="628">
        <f>+L27/L14</f>
        <v>2.269013159816217E-4</v>
      </c>
      <c r="M28" s="627">
        <f t="shared" si="4"/>
        <v>-1.5368689527788264E-2</v>
      </c>
      <c r="N28" s="628">
        <f>+N27/N14</f>
        <v>1.0160319411036954E-2</v>
      </c>
      <c r="O28" s="629">
        <f t="shared" si="6"/>
        <v>-9.9334180950553328E-3</v>
      </c>
      <c r="P28" s="577"/>
      <c r="Q28" s="577"/>
    </row>
    <row r="29" spans="4:17" ht="25.5" customHeight="1" thickTop="1">
      <c r="D29" s="850" t="s">
        <v>185</v>
      </c>
      <c r="E29" s="851"/>
      <c r="F29" s="152"/>
      <c r="G29" s="152"/>
      <c r="H29" s="152"/>
      <c r="I29" s="152"/>
      <c r="J29" s="152"/>
      <c r="K29" s="152"/>
      <c r="L29" s="152"/>
      <c r="M29" s="152"/>
      <c r="N29" s="71"/>
      <c r="O29" s="435"/>
      <c r="P29" s="577"/>
      <c r="Q29" s="577"/>
    </row>
    <row r="30" spans="4:17" ht="25.5" customHeight="1">
      <c r="D30" s="852"/>
      <c r="E30" s="853"/>
      <c r="F30" s="152"/>
      <c r="G30" s="152"/>
      <c r="H30" s="152"/>
      <c r="I30" s="152"/>
      <c r="J30" s="152"/>
      <c r="K30" s="152"/>
      <c r="L30" s="152"/>
      <c r="M30" s="152"/>
      <c r="N30" s="71"/>
      <c r="O30" s="435"/>
      <c r="P30" s="577"/>
      <c r="Q30" s="577"/>
    </row>
    <row r="31" spans="4:17" ht="25.5" customHeight="1">
      <c r="D31" s="852"/>
      <c r="E31" s="853"/>
      <c r="F31" s="152"/>
      <c r="G31" s="152"/>
      <c r="H31" s="152"/>
      <c r="I31" s="152"/>
      <c r="J31" s="152"/>
      <c r="K31" s="152"/>
      <c r="L31" s="152"/>
      <c r="M31" s="152"/>
      <c r="N31" s="71"/>
      <c r="O31" s="435"/>
      <c r="P31" s="577"/>
      <c r="Q31" s="577"/>
    </row>
    <row r="32" spans="4:17" ht="25.5" customHeight="1">
      <c r="D32" s="852"/>
      <c r="E32" s="853"/>
      <c r="F32" s="152"/>
      <c r="G32" s="152"/>
      <c r="H32" s="152"/>
      <c r="I32" s="152"/>
      <c r="J32" s="152"/>
      <c r="K32" s="152"/>
      <c r="L32" s="152"/>
      <c r="M32" s="152"/>
      <c r="N32" s="71"/>
      <c r="O32" s="435"/>
      <c r="P32" s="577"/>
      <c r="Q32" s="577"/>
    </row>
    <row r="33" spans="4:43" ht="25.5" customHeight="1">
      <c r="D33" s="852"/>
      <c r="E33" s="853"/>
      <c r="F33" s="152"/>
      <c r="G33" s="152"/>
      <c r="H33" s="152"/>
      <c r="I33" s="152"/>
      <c r="J33" s="152"/>
      <c r="K33" s="152"/>
      <c r="L33" s="152"/>
      <c r="M33" s="152"/>
      <c r="N33" s="71"/>
      <c r="O33" s="435"/>
      <c r="P33" s="577"/>
      <c r="Q33" s="577"/>
    </row>
    <row r="34" spans="4:43" ht="25.5" customHeight="1">
      <c r="D34" s="854"/>
      <c r="E34" s="855"/>
      <c r="F34" s="427"/>
      <c r="G34" s="427"/>
      <c r="H34" s="427"/>
      <c r="I34" s="427"/>
      <c r="J34" s="427"/>
      <c r="K34" s="427"/>
      <c r="L34" s="427"/>
      <c r="M34" s="427"/>
      <c r="N34" s="630"/>
      <c r="O34" s="430"/>
      <c r="R34" s="6" t="s">
        <v>186</v>
      </c>
    </row>
    <row r="35" spans="4:43" ht="21.95" customHeight="1"/>
    <row r="36" spans="4:43" ht="21.95" customHeight="1">
      <c r="F36" s="6">
        <f>+IFERROR(HLOOKUP($F$8,[8]손익!$G$5:$AJ$65,17,),)</f>
        <v>167361.31978922067</v>
      </c>
      <c r="G36" s="6">
        <f>+'[6]1월'!$M$41</f>
        <v>1697.2489999996233</v>
      </c>
      <c r="I36" s="6">
        <f>+IFERROR(HLOOKUP($F$8,[9]월별!$E$2:$T$53,39,),)</f>
        <v>75267.211000000418</v>
      </c>
      <c r="R36" s="631"/>
      <c r="S36" s="632" t="s">
        <v>187</v>
      </c>
      <c r="T36" s="632" t="s">
        <v>188</v>
      </c>
      <c r="U36" s="632" t="s">
        <v>189</v>
      </c>
      <c r="V36" s="632" t="s">
        <v>190</v>
      </c>
      <c r="W36" s="632" t="s">
        <v>191</v>
      </c>
      <c r="X36" s="632" t="s">
        <v>192</v>
      </c>
      <c r="Y36" s="632" t="s">
        <v>193</v>
      </c>
      <c r="Z36" s="632" t="s">
        <v>194</v>
      </c>
      <c r="AA36" s="632" t="s">
        <v>195</v>
      </c>
      <c r="AB36" s="632" t="s">
        <v>196</v>
      </c>
      <c r="AC36" s="632" t="s">
        <v>197</v>
      </c>
      <c r="AD36" s="632" t="s">
        <v>136</v>
      </c>
      <c r="AE36" s="632" t="s">
        <v>187</v>
      </c>
      <c r="AF36" s="632" t="s">
        <v>199</v>
      </c>
      <c r="AG36" s="632" t="s">
        <v>200</v>
      </c>
      <c r="AH36" s="632" t="s">
        <v>201</v>
      </c>
      <c r="AI36" s="632" t="s">
        <v>191</v>
      </c>
      <c r="AJ36" s="632" t="s">
        <v>192</v>
      </c>
      <c r="AK36" s="632" t="s">
        <v>193</v>
      </c>
      <c r="AL36" s="632" t="s">
        <v>202</v>
      </c>
      <c r="AM36" s="632" t="s">
        <v>195</v>
      </c>
      <c r="AN36" s="632" t="s">
        <v>196</v>
      </c>
      <c r="AO36" s="632" t="s">
        <v>203</v>
      </c>
      <c r="AP36" s="632" t="s">
        <v>198</v>
      </c>
      <c r="AQ36" s="632" t="s">
        <v>136</v>
      </c>
    </row>
    <row r="37" spans="4:43" ht="21.95" customHeight="1">
      <c r="F37" s="6" t="b">
        <f>+F27=F36</f>
        <v>1</v>
      </c>
      <c r="G37" s="6" t="b">
        <f>+G27=G36</f>
        <v>0</v>
      </c>
      <c r="I37" s="6" t="b">
        <f>+I27=I36</f>
        <v>1</v>
      </c>
      <c r="R37" s="633" t="s">
        <v>204</v>
      </c>
      <c r="S37" s="634" t="s">
        <v>187</v>
      </c>
      <c r="T37" s="634" t="s">
        <v>188</v>
      </c>
      <c r="U37" s="634">
        <v>3</v>
      </c>
      <c r="V37" s="634" t="s">
        <v>190</v>
      </c>
      <c r="W37" s="634" t="s">
        <v>191</v>
      </c>
      <c r="X37" s="634" t="s">
        <v>192</v>
      </c>
      <c r="Y37" s="634" t="s">
        <v>193</v>
      </c>
      <c r="Z37" s="634" t="str">
        <f t="shared" ref="Z37:AQ37" si="13">+Z36</f>
        <v>8월</v>
      </c>
      <c r="AA37" s="634" t="str">
        <f t="shared" si="13"/>
        <v>9월</v>
      </c>
      <c r="AB37" s="634" t="str">
        <f t="shared" si="13"/>
        <v>10월</v>
      </c>
      <c r="AC37" s="634" t="str">
        <f t="shared" si="13"/>
        <v>11월</v>
      </c>
      <c r="AD37" s="634" t="str">
        <f t="shared" si="13"/>
        <v>1월</v>
      </c>
      <c r="AE37" s="634" t="str">
        <f t="shared" si="13"/>
        <v>1월</v>
      </c>
      <c r="AF37" s="634" t="str">
        <f t="shared" si="13"/>
        <v>2월</v>
      </c>
      <c r="AG37" s="634" t="str">
        <f t="shared" si="13"/>
        <v>3월</v>
      </c>
      <c r="AH37" s="634" t="str">
        <f t="shared" si="13"/>
        <v>4월</v>
      </c>
      <c r="AI37" s="634" t="str">
        <f t="shared" si="13"/>
        <v>5월</v>
      </c>
      <c r="AJ37" s="634" t="str">
        <f t="shared" si="13"/>
        <v>6월</v>
      </c>
      <c r="AK37" s="634" t="str">
        <f t="shared" si="13"/>
        <v>7월</v>
      </c>
      <c r="AL37" s="634" t="str">
        <f t="shared" si="13"/>
        <v>8월</v>
      </c>
      <c r="AM37" s="634" t="str">
        <f t="shared" si="13"/>
        <v>9월</v>
      </c>
      <c r="AN37" s="634" t="str">
        <f t="shared" si="13"/>
        <v>10월</v>
      </c>
      <c r="AO37" s="634" t="str">
        <f t="shared" si="13"/>
        <v>11월</v>
      </c>
      <c r="AP37" s="634" t="str">
        <f t="shared" ref="AP37" si="14">+AP36</f>
        <v>12월</v>
      </c>
      <c r="AQ37" s="634" t="str">
        <f t="shared" si="13"/>
        <v>1월</v>
      </c>
    </row>
    <row r="38" spans="4:43" ht="21.95" customHeight="1">
      <c r="F38" s="635">
        <f>+F27-F36</f>
        <v>0</v>
      </c>
      <c r="G38" s="635">
        <f>+G27-G36</f>
        <v>9.0949470177292824E-12</v>
      </c>
      <c r="I38" s="635">
        <f>+I27-I36</f>
        <v>0</v>
      </c>
      <c r="K38" s="635"/>
      <c r="L38" s="635"/>
      <c r="N38" s="86"/>
      <c r="R38" s="636" t="s">
        <v>205</v>
      </c>
      <c r="S38" s="445">
        <f>+IFERROR(HLOOKUP(S$36,[9]월별!$E$2:$S$67,42,),)</f>
        <v>920730.85338998202</v>
      </c>
      <c r="T38" s="445">
        <f>+IFERROR(HLOOKUP(T$36,[9]월별!$E$2:$S$67,42,),)</f>
        <v>886130.8859870329</v>
      </c>
      <c r="U38" s="445">
        <f>+IFERROR(HLOOKUP(U$36,[9]월별!$E$2:$S$67,42,),)</f>
        <v>873530.5235919673</v>
      </c>
      <c r="V38" s="445">
        <f>+IFERROR(HLOOKUP(V$36,[9]월별!$E$2:$S$67,42,),)</f>
        <v>853042.90795678552</v>
      </c>
      <c r="W38" s="445">
        <f>+IFERROR(HLOOKUP(W$36,[9]월별!$E$2:$S$67,42,),)</f>
        <v>811389.30758305453</v>
      </c>
      <c r="X38" s="445">
        <f>+IFERROR(HLOOKUP(X$36,[9]월별!$E$2:$S$67,42,),)</f>
        <v>785072.67759542307</v>
      </c>
      <c r="Y38" s="445">
        <f>+IFERROR(HLOOKUP(Y$36,[9]월별!$E$2:$S$67,42,),)</f>
        <v>751049.2097042331</v>
      </c>
      <c r="Z38" s="445">
        <f>+IFERROR(HLOOKUP(Z$36,[9]월별!$E$2:$S$67,42,),)</f>
        <v>846014.52770958561</v>
      </c>
      <c r="AA38" s="445">
        <f>+IFERROR(HLOOKUP(AA$36,[9]월별!$E$2:$S$67,42,),)</f>
        <v>879572.42936012533</v>
      </c>
      <c r="AB38" s="445">
        <f>+IFERROR(HLOOKUP(AB$36,[9]월별!$E$2:$S$67,42,),)</f>
        <v>818946.47731031897</v>
      </c>
      <c r="AC38" s="445">
        <f>+IFERROR(HLOOKUP(AC$36,[9]월별!$E$2:$S$67,42,),)</f>
        <v>798803.69146262086</v>
      </c>
      <c r="AD38" s="445">
        <f>+IFERROR(HLOOKUP(AD$36,[9]월별!$E$2:$S$67,42,),)</f>
        <v>920730.85338998202</v>
      </c>
      <c r="AE38" s="445">
        <f>+IFERROR(HLOOKUP(AE$36,[9]월별!$E$2:$S$67,42,),)</f>
        <v>920730.85338998202</v>
      </c>
      <c r="AF38" s="445">
        <f>+IFERROR(HLOOKUP(AF$36,[9]월별!$E$2:$S$67,42,),)</f>
        <v>886130.8859870329</v>
      </c>
      <c r="AG38" s="445">
        <f>+IFERROR(HLOOKUP(AG$36,[9]월별!$E$2:$S$67,42,),)</f>
        <v>873530.5235919673</v>
      </c>
      <c r="AH38" s="445">
        <f>+IFERROR(HLOOKUP(AH$36,[9]월별!$E$2:$S$67,42,),)</f>
        <v>853042.90795678552</v>
      </c>
      <c r="AI38" s="445">
        <f>+IFERROR(HLOOKUP(AI$36,[9]월별!$E$2:$S$67,42,),)</f>
        <v>811389.30758305453</v>
      </c>
      <c r="AJ38" s="445">
        <f>+IFERROR(HLOOKUP(AJ$36,[9]월별!$E$2:$S$67,42,),)</f>
        <v>785072.67759542307</v>
      </c>
      <c r="AK38" s="445">
        <f>+IFERROR(HLOOKUP(AK$36,[9]월별!$E$2:$S$67,42,),)</f>
        <v>751049.2097042331</v>
      </c>
      <c r="AL38" s="445">
        <f>+IFERROR(HLOOKUP(AL$36,[9]월별!$E$2:$S$67,42,),)</f>
        <v>846014.52770958561</v>
      </c>
      <c r="AM38" s="445">
        <f>+IFERROR(HLOOKUP(AM$36,[9]월별!$E$2:$S$67,42,),)</f>
        <v>879572.42936012533</v>
      </c>
      <c r="AN38" s="445">
        <f>+IFERROR(HLOOKUP(AN$36,[9]월별!$E$2:$S$67,42,),)</f>
        <v>818946.47731031897</v>
      </c>
      <c r="AO38" s="445">
        <f>+IFERROR(HLOOKUP(AO$36,[9]월별!$E$2:$S$67,42,),)</f>
        <v>798803.69146262086</v>
      </c>
      <c r="AP38" s="445">
        <f>+IFERROR(HLOOKUP(AP$36,[9]월별!$E$2:$S$67,42,),)</f>
        <v>752238.01942182856</v>
      </c>
      <c r="AQ38" s="445">
        <f>+IFERROR(HLOOKUP(AQ$36,[6]월별!$E$2:$S$67,42,),)</f>
        <v>756420.01123690419</v>
      </c>
    </row>
    <row r="39" spans="4:43" ht="21.95" customHeight="1">
      <c r="R39" s="637" t="s">
        <v>206</v>
      </c>
      <c r="S39" s="638">
        <f>+IFERROR(HLOOKUP(S$36,[9]월별!$E$2:$S$67,43,),)</f>
        <v>0</v>
      </c>
      <c r="T39" s="638">
        <f>+IFERROR(HLOOKUP(T$36,[9]월별!$E$2:$S$67,43,),)</f>
        <v>0</v>
      </c>
      <c r="U39" s="638">
        <f>+IFERROR(HLOOKUP(U$36,[9]월별!$E$2:$S$67,43,),)</f>
        <v>0</v>
      </c>
      <c r="V39" s="638">
        <f>+IFERROR(HLOOKUP(V$36,[9]월별!$E$2:$S$67,43,),)</f>
        <v>0</v>
      </c>
      <c r="W39" s="638">
        <f>+IFERROR(HLOOKUP(W$36,[9]월별!$E$2:$S$67,43,),)</f>
        <v>0</v>
      </c>
      <c r="X39" s="638">
        <f>+IFERROR(HLOOKUP(X$36,[9]월별!$E$2:$S$67,43,),)</f>
        <v>0</v>
      </c>
      <c r="Y39" s="638">
        <f>+IFERROR(HLOOKUP(Y$36,[9]월별!$E$2:$S$67,43,),)</f>
        <v>0</v>
      </c>
      <c r="Z39" s="638">
        <f>+IFERROR(HLOOKUP(Z$36,[9]월별!$E$2:$S$67,43,),)</f>
        <v>0</v>
      </c>
      <c r="AA39" s="638">
        <f>+IFERROR(HLOOKUP(AA$36,[9]월별!$E$2:$S$67,43,),)</f>
        <v>0</v>
      </c>
      <c r="AB39" s="638">
        <f>+IFERROR(HLOOKUP(AB$36,[9]월별!$E$2:$S$67,43,),)</f>
        <v>0</v>
      </c>
      <c r="AC39" s="638">
        <f>+IFERROR(HLOOKUP(AC$36,[9]월별!$E$2:$S$67,43,),)</f>
        <v>0</v>
      </c>
      <c r="AD39" s="638">
        <f>+IFERROR(HLOOKUP(AD$36,[9]월별!$E$2:$S$67,43,),)</f>
        <v>0</v>
      </c>
      <c r="AE39" s="638">
        <f>+IFERROR(HLOOKUP(AE$36,[9]월별!$E$2:$S$67,43,),)</f>
        <v>0</v>
      </c>
      <c r="AF39" s="638">
        <f>+IFERROR(HLOOKUP(AF$36,[9]월별!$E$2:$S$67,43,),)</f>
        <v>0</v>
      </c>
      <c r="AG39" s="638">
        <f>+IFERROR(HLOOKUP(AG$36,[9]월별!$E$2:$S$67,43,),)</f>
        <v>0</v>
      </c>
      <c r="AH39" s="638">
        <f>+IFERROR(HLOOKUP(AH$36,[9]월별!$E$2:$S$67,43,),)</f>
        <v>0</v>
      </c>
      <c r="AI39" s="638">
        <f>+IFERROR(HLOOKUP(AI$36,[9]월별!$E$2:$S$67,43,),)</f>
        <v>0</v>
      </c>
      <c r="AJ39" s="638">
        <f>+IFERROR(HLOOKUP(AJ$36,[9]월별!$E$2:$S$67,43,),)</f>
        <v>0</v>
      </c>
      <c r="AK39" s="638">
        <f>+IFERROR(HLOOKUP(AK$36,[9]월별!$E$2:$S$67,43,),)</f>
        <v>0</v>
      </c>
      <c r="AL39" s="638">
        <f>+IFERROR(HLOOKUP(AL$36,[9]월별!$E$2:$S$67,43,),)</f>
        <v>0</v>
      </c>
      <c r="AM39" s="638">
        <f>+IFERROR(HLOOKUP(AM$36,[9]월별!$E$2:$S$67,43,),)</f>
        <v>0</v>
      </c>
      <c r="AN39" s="638">
        <f>+IFERROR(HLOOKUP(AN$36,[9]월별!$E$2:$S$67,43,),)</f>
        <v>0</v>
      </c>
      <c r="AO39" s="638">
        <f>+IFERROR(HLOOKUP(AO$36,[9]월별!$E$2:$S$67,43,),)</f>
        <v>0</v>
      </c>
      <c r="AP39" s="638">
        <f>+IFERROR(HLOOKUP(AP$36,[9]월별!$E$2:$S$67,43,),)</f>
        <v>0</v>
      </c>
      <c r="AQ39" s="638">
        <f>+IFERROR(HLOOKUP(AQ$36,[6]월별!$E$2:$S$67,43,),)</f>
        <v>0</v>
      </c>
    </row>
    <row r="40" spans="4:43" ht="21.95" customHeight="1"/>
    <row r="41" spans="4:43" ht="21.95" customHeight="1"/>
    <row r="42" spans="4:43" ht="21.95" customHeight="1"/>
    <row r="43" spans="4:43" ht="21.95" customHeight="1"/>
    <row r="44" spans="4:43" ht="21.95" customHeight="1"/>
    <row r="45" spans="4:43" ht="21.95" customHeight="1"/>
    <row r="46" spans="4:43" ht="21.95" customHeight="1"/>
    <row r="47" spans="4:43" ht="21.95" customHeight="1"/>
    <row r="48" spans="4:43" ht="21.95" customHeight="1"/>
    <row r="49" ht="21.95" customHeight="1"/>
    <row r="50" ht="21.95" customHeight="1"/>
    <row r="51" ht="21.95" customHeight="1"/>
    <row r="52" ht="21.95" customHeight="1"/>
    <row r="53" ht="21.95" customHeight="1"/>
    <row r="54" ht="21.95" customHeight="1"/>
    <row r="55" ht="21.95" customHeight="1"/>
  </sheetData>
  <mergeCells count="4">
    <mergeCell ref="D8:E9"/>
    <mergeCell ref="F8:J8"/>
    <mergeCell ref="K8:O8"/>
    <mergeCell ref="D29:E34"/>
  </mergeCells>
  <phoneticPr fontId="1" type="noConversion"/>
  <pageMargins left="0.23622047244094491" right="0.23622047244094491" top="0.39370078740157483" bottom="0.39370078740157483" header="0.31496062992125984" footer="0.31496062992125984"/>
  <pageSetup paperSize="9" scale="71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247E0-05C7-4A89-AA8B-ED579709C73D}">
  <sheetPr>
    <tabColor theme="0" tint="-0.249977111117893"/>
    <pageSetUpPr fitToPage="1"/>
  </sheetPr>
  <dimension ref="A1:AS53"/>
  <sheetViews>
    <sheetView showGridLines="0" showZeros="0" view="pageBreakPreview" zoomScale="60" zoomScaleNormal="70" workbookViewId="0">
      <pane xSplit="6" ySplit="7" topLeftCell="S8" activePane="bottomRight" state="frozen"/>
      <selection activeCell="C33" sqref="C33"/>
      <selection pane="topRight" activeCell="C33" sqref="C33"/>
      <selection pane="bottomLeft" activeCell="C33" sqref="C33"/>
      <selection pane="bottomRight" activeCell="Y31" sqref="Y31"/>
    </sheetView>
  </sheetViews>
  <sheetFormatPr defaultRowHeight="16.5"/>
  <cols>
    <col min="1" max="3" width="5.625" style="6" customWidth="1"/>
    <col min="4" max="4" width="3.125" style="6" customWidth="1"/>
    <col min="5" max="6" width="8.625" style="6" customWidth="1"/>
    <col min="7" max="42" width="10.625" style="6" customWidth="1"/>
    <col min="43" max="43" width="9" style="6"/>
    <col min="44" max="45" width="14.25" style="6" customWidth="1"/>
    <col min="46" max="16384" width="9" style="6"/>
  </cols>
  <sheetData>
    <row r="1" spans="1:45" ht="22.5" customHeight="1">
      <c r="A1" s="639" t="s">
        <v>187</v>
      </c>
      <c r="AH1" s="6" t="s">
        <v>227</v>
      </c>
    </row>
    <row r="2" spans="1:45" ht="9.75" customHeight="1"/>
    <row r="3" spans="1:45" ht="9.9499999999999993" customHeight="1"/>
    <row r="4" spans="1:45" ht="31.5">
      <c r="D4" s="481" t="s">
        <v>232</v>
      </c>
      <c r="F4" s="481"/>
      <c r="I4" s="481"/>
    </row>
    <row r="5" spans="1:45" ht="21.95" customHeight="1" thickBot="1">
      <c r="J5" s="562"/>
      <c r="AE5" s="562"/>
      <c r="AN5" s="562"/>
      <c r="AP5" s="480" t="s">
        <v>208</v>
      </c>
    </row>
    <row r="6" spans="1:45" ht="24" customHeight="1" thickTop="1">
      <c r="D6" s="640" t="s">
        <v>12</v>
      </c>
      <c r="E6" s="856" t="s">
        <v>11</v>
      </c>
      <c r="F6" s="857"/>
      <c r="G6" s="641" t="s">
        <v>209</v>
      </c>
      <c r="H6" s="642"/>
      <c r="I6" s="642"/>
      <c r="J6" s="642" t="s">
        <v>221</v>
      </c>
      <c r="K6" s="642"/>
      <c r="L6" s="643"/>
      <c r="M6" s="642" t="s">
        <v>210</v>
      </c>
      <c r="N6" s="642"/>
      <c r="O6" s="643"/>
      <c r="P6" s="644" t="s">
        <v>211</v>
      </c>
      <c r="Q6" s="645"/>
      <c r="R6" s="646"/>
      <c r="S6" s="641" t="s">
        <v>212</v>
      </c>
      <c r="T6" s="642"/>
      <c r="U6" s="642"/>
      <c r="V6" s="642" t="s">
        <v>222</v>
      </c>
      <c r="W6" s="642"/>
      <c r="X6" s="643"/>
      <c r="Y6" s="642" t="s">
        <v>223</v>
      </c>
      <c r="Z6" s="642"/>
      <c r="AA6" s="643"/>
      <c r="AB6" s="644" t="s">
        <v>213</v>
      </c>
      <c r="AC6" s="645"/>
      <c r="AD6" s="646"/>
      <c r="AE6" s="647" t="s">
        <v>224</v>
      </c>
      <c r="AF6" s="642"/>
      <c r="AG6" s="642"/>
      <c r="AH6" s="647" t="s">
        <v>225</v>
      </c>
      <c r="AI6" s="642"/>
      <c r="AJ6" s="643"/>
      <c r="AK6" s="644" t="s">
        <v>226</v>
      </c>
      <c r="AL6" s="645"/>
      <c r="AM6" s="646"/>
      <c r="AN6" s="644" t="s">
        <v>214</v>
      </c>
      <c r="AO6" s="645"/>
      <c r="AP6" s="646"/>
    </row>
    <row r="7" spans="1:45" ht="24" customHeight="1">
      <c r="D7" s="648"/>
      <c r="E7" s="858"/>
      <c r="F7" s="859"/>
      <c r="G7" s="649" t="s">
        <v>36</v>
      </c>
      <c r="H7" s="650" t="s">
        <v>37</v>
      </c>
      <c r="I7" s="651" t="s">
        <v>28</v>
      </c>
      <c r="J7" s="652" t="s">
        <v>12</v>
      </c>
      <c r="K7" s="650" t="s">
        <v>13</v>
      </c>
      <c r="L7" s="653" t="s">
        <v>28</v>
      </c>
      <c r="M7" s="652" t="s">
        <v>12</v>
      </c>
      <c r="N7" s="650" t="s">
        <v>13</v>
      </c>
      <c r="O7" s="653" t="s">
        <v>28</v>
      </c>
      <c r="P7" s="654" t="s">
        <v>12</v>
      </c>
      <c r="Q7" s="650" t="s">
        <v>13</v>
      </c>
      <c r="R7" s="655" t="s">
        <v>28</v>
      </c>
      <c r="S7" s="649" t="s">
        <v>36</v>
      </c>
      <c r="T7" s="650" t="s">
        <v>37</v>
      </c>
      <c r="U7" s="651" t="s">
        <v>28</v>
      </c>
      <c r="V7" s="652" t="s">
        <v>12</v>
      </c>
      <c r="W7" s="650" t="s">
        <v>13</v>
      </c>
      <c r="X7" s="653" t="s">
        <v>28</v>
      </c>
      <c r="Y7" s="652" t="s">
        <v>12</v>
      </c>
      <c r="Z7" s="650" t="s">
        <v>13</v>
      </c>
      <c r="AA7" s="653" t="s">
        <v>28</v>
      </c>
      <c r="AB7" s="654" t="s">
        <v>12</v>
      </c>
      <c r="AC7" s="650" t="s">
        <v>13</v>
      </c>
      <c r="AD7" s="655" t="s">
        <v>28</v>
      </c>
      <c r="AE7" s="653" t="s">
        <v>12</v>
      </c>
      <c r="AF7" s="650" t="s">
        <v>13</v>
      </c>
      <c r="AG7" s="650" t="s">
        <v>28</v>
      </c>
      <c r="AH7" s="653" t="s">
        <v>12</v>
      </c>
      <c r="AI7" s="650" t="s">
        <v>13</v>
      </c>
      <c r="AJ7" s="653" t="s">
        <v>28</v>
      </c>
      <c r="AK7" s="654" t="s">
        <v>12</v>
      </c>
      <c r="AL7" s="650" t="s">
        <v>13</v>
      </c>
      <c r="AM7" s="655" t="s">
        <v>28</v>
      </c>
      <c r="AN7" s="654" t="s">
        <v>12</v>
      </c>
      <c r="AO7" s="650" t="s">
        <v>13</v>
      </c>
      <c r="AP7" s="655" t="s">
        <v>28</v>
      </c>
    </row>
    <row r="8" spans="1:45" ht="24" customHeight="1">
      <c r="D8" s="577"/>
      <c r="E8" s="656" t="s">
        <v>89</v>
      </c>
      <c r="F8" s="657" t="s">
        <v>215</v>
      </c>
      <c r="G8" s="658">
        <f>+IFERROR(HLOOKUP($A$1,[10]물량!$G$5:$R$83,59,),)</f>
        <v>9819.6666666666661</v>
      </c>
      <c r="H8" s="659">
        <f>+'[7]서부산크라샤(당월)'!$F$66</f>
        <v>0</v>
      </c>
      <c r="I8" s="660">
        <f>H8-G8</f>
        <v>-9819.6666666666661</v>
      </c>
      <c r="J8" s="661">
        <f>+IFERROR(HLOOKUP($A$1,[10]물량!$G$5:$R$83,62,),)</f>
        <v>6618.1935483870966</v>
      </c>
      <c r="K8" s="659">
        <f>+'[7]서부산크라샤(당월)'!$I$66</f>
        <v>0</v>
      </c>
      <c r="L8" s="662">
        <f>K8-J8</f>
        <v>-6618.1935483870966</v>
      </c>
      <c r="M8" s="661">
        <f>+IFERROR(HLOOKUP($A$1,[10]물량!$G$5:$R$83,68,),)</f>
        <v>0</v>
      </c>
      <c r="N8" s="659">
        <f>+'[7]서부산크라샤(당월)'!$L$66</f>
        <v>0</v>
      </c>
      <c r="O8" s="662">
        <f>N8-M8</f>
        <v>0</v>
      </c>
      <c r="P8" s="663">
        <f>+G8+J8+M8</f>
        <v>16437.860215053763</v>
      </c>
      <c r="Q8" s="659">
        <f>+H8+K8+N8</f>
        <v>0</v>
      </c>
      <c r="R8" s="664">
        <f>Q8-P8</f>
        <v>-16437.860215053763</v>
      </c>
      <c r="S8" s="658">
        <f>+IFERROR(HLOOKUP($A$1,[11]물량!$G$5:$R$109,59,),)</f>
        <v>9034.7927999999993</v>
      </c>
      <c r="T8" s="659">
        <f>+'[7]부산크라샤(당월)'!$F$66</f>
        <v>11966</v>
      </c>
      <c r="U8" s="660">
        <f>T8-S8</f>
        <v>2931.2072000000007</v>
      </c>
      <c r="V8" s="661">
        <f>+IFERROR(HLOOKUP($A$1,[11]물량!$G$5:$R$109,62,),)</f>
        <v>6691.5025666666661</v>
      </c>
      <c r="W8" s="659">
        <f>+'[7]부산크라샤(당월)'!$I$66</f>
        <v>8322</v>
      </c>
      <c r="X8" s="662">
        <f>W8-V8</f>
        <v>1630.4974333333339</v>
      </c>
      <c r="Y8" s="661"/>
      <c r="Z8" s="659">
        <f>+'[7]부산크라샤(당월)'!$L$66</f>
        <v>0</v>
      </c>
      <c r="AA8" s="662">
        <f>Z8-Y8</f>
        <v>0</v>
      </c>
      <c r="AB8" s="663">
        <f>+S8+V8+Y8</f>
        <v>15726.295366666665</v>
      </c>
      <c r="AC8" s="659">
        <f>+T8+W8+Z8</f>
        <v>20288</v>
      </c>
      <c r="AD8" s="664">
        <f>AC8-AB8</f>
        <v>4561.7046333333346</v>
      </c>
      <c r="AE8" s="662">
        <f>+IFERROR(HLOOKUP($A$1,[12]판매계획!$G$6:$R$92,7,),)</f>
        <v>213.98601398601397</v>
      </c>
      <c r="AF8" s="659">
        <f>+'[13]부산모래장(손익)'!$E$38</f>
        <v>500</v>
      </c>
      <c r="AG8" s="791">
        <f>AF8-AE8</f>
        <v>286.01398601398603</v>
      </c>
      <c r="AH8" s="662">
        <f>+IFERROR(HLOOKUP($A$1,[12]판매계획!$G$6:$R$92,8,),)</f>
        <v>14440.149208907764</v>
      </c>
      <c r="AI8" s="659">
        <f>SUM('[13]부산모래장(손익)'!$C$38:$D$38)</f>
        <v>9472</v>
      </c>
      <c r="AJ8" s="662">
        <f>AI8-AH8</f>
        <v>-4968.1492089077638</v>
      </c>
      <c r="AK8" s="663">
        <f>AE8+AH8</f>
        <v>14654.135222893778</v>
      </c>
      <c r="AL8" s="659">
        <f>AF8+AI8</f>
        <v>9972</v>
      </c>
      <c r="AM8" s="664">
        <f>AL8-AK8</f>
        <v>-4682.1352228937776</v>
      </c>
      <c r="AN8" s="663">
        <f>+P8+AB8+AK8</f>
        <v>46818.290804614204</v>
      </c>
      <c r="AO8" s="659">
        <f>+Q8+AC8+AL8</f>
        <v>30260</v>
      </c>
      <c r="AP8" s="664">
        <f>AO8-AN8</f>
        <v>-16558.290804614204</v>
      </c>
    </row>
    <row r="9" spans="1:45" ht="24" customHeight="1">
      <c r="D9" s="577"/>
      <c r="E9" s="665"/>
      <c r="F9" s="666" t="s">
        <v>10</v>
      </c>
      <c r="G9" s="667">
        <f>+G8/G$12</f>
        <v>0.55105782001159775</v>
      </c>
      <c r="H9" s="668">
        <f>+H8/H$12</f>
        <v>0</v>
      </c>
      <c r="I9" s="669">
        <f>+H9-G9</f>
        <v>-0.55105782001159775</v>
      </c>
      <c r="J9" s="670">
        <f>+J8/J$12</f>
        <v>0.48598175116779263</v>
      </c>
      <c r="K9" s="668" t="e">
        <f>+K8/K$12</f>
        <v>#DIV/0!</v>
      </c>
      <c r="L9" s="671" t="e">
        <f>+K9-J9</f>
        <v>#DIV/0!</v>
      </c>
      <c r="M9" s="670">
        <f>+M8/M$12</f>
        <v>0</v>
      </c>
      <c r="N9" s="668" t="e">
        <f>+N8/N$12</f>
        <v>#DIV/0!</v>
      </c>
      <c r="O9" s="671" t="e">
        <f>+N9-M9</f>
        <v>#DIV/0!</v>
      </c>
      <c r="P9" s="672">
        <f>+P8/P$12</f>
        <v>0.45112034894581171</v>
      </c>
      <c r="Q9" s="668">
        <f>+Q8/Q$12</f>
        <v>0</v>
      </c>
      <c r="R9" s="673">
        <f>+Q9-P9</f>
        <v>-0.45112034894581171</v>
      </c>
      <c r="S9" s="667">
        <f>+S8/S$12</f>
        <v>0.53037292006275527</v>
      </c>
      <c r="T9" s="668">
        <f>+T8/T$12</f>
        <v>0.93382238176993915</v>
      </c>
      <c r="U9" s="669">
        <f>+T9-S9</f>
        <v>0.40344946170718388</v>
      </c>
      <c r="V9" s="670">
        <f>+V8/V$12</f>
        <v>0.48873398183175298</v>
      </c>
      <c r="W9" s="668">
        <f>+W8/W$12</f>
        <v>0.60051955549141289</v>
      </c>
      <c r="X9" s="671">
        <f>+W9-V9</f>
        <v>0.11178557365965991</v>
      </c>
      <c r="Y9" s="670">
        <f>+Y8/Y$12</f>
        <v>0</v>
      </c>
      <c r="Z9" s="668" t="e">
        <f>+Z8/Z$12</f>
        <v>#DIV/0!</v>
      </c>
      <c r="AA9" s="671" t="e">
        <f>+Z9-Y9</f>
        <v>#DIV/0!</v>
      </c>
      <c r="AB9" s="672">
        <f>+AB8/AB$12</f>
        <v>0.45286418262058953</v>
      </c>
      <c r="AC9" s="668">
        <f>+AC8/AC$12</f>
        <v>0.76064787042591486</v>
      </c>
      <c r="AD9" s="673">
        <f>+AC9-AB9</f>
        <v>0.30778368780532533</v>
      </c>
      <c r="AE9" s="671">
        <f>+AE8/AE$12</f>
        <v>1</v>
      </c>
      <c r="AF9" s="668">
        <f>+AF8/AF$12</f>
        <v>1</v>
      </c>
      <c r="AG9" s="792">
        <f>+AF9-AE9</f>
        <v>0</v>
      </c>
      <c r="AH9" s="671">
        <f>+AH8/AH$12</f>
        <v>0.74280032800834017</v>
      </c>
      <c r="AI9" s="668">
        <f>+AI8/AI$12</f>
        <v>0.47171314741035858</v>
      </c>
      <c r="AJ9" s="671">
        <f>+AI9-AH9</f>
        <v>-0.27108718059798159</v>
      </c>
      <c r="AK9" s="672">
        <f>+AK8/AK$12</f>
        <v>0.74560061059436311</v>
      </c>
      <c r="AL9" s="668">
        <f>+AL8/AL$12</f>
        <v>0.48454810495626821</v>
      </c>
      <c r="AM9" s="673">
        <f>+AL9-AK9</f>
        <v>-0.2610525056380949</v>
      </c>
      <c r="AN9" s="672">
        <f>+AN8/AN$12</f>
        <v>0.51551609692081446</v>
      </c>
      <c r="AO9" s="668">
        <f>+AO8/AO$12</f>
        <v>0.62712426427920087</v>
      </c>
      <c r="AP9" s="673">
        <f>+AO9-AN9</f>
        <v>0.11160816735838641</v>
      </c>
    </row>
    <row r="10" spans="1:45" ht="24" customHeight="1">
      <c r="D10" s="674"/>
      <c r="E10" s="665"/>
      <c r="F10" s="675" t="s">
        <v>216</v>
      </c>
      <c r="G10" s="676">
        <f>+IFERROR(HLOOKUP($A$1,[10]물량!$G$5:$R$83,60,),)</f>
        <v>8000</v>
      </c>
      <c r="H10" s="677">
        <f>+'[7]서부산크라샤(당월)'!$F$59</f>
        <v>1000</v>
      </c>
      <c r="I10" s="678">
        <f>H10-G10</f>
        <v>-7000</v>
      </c>
      <c r="J10" s="679">
        <f>+IFERROR(HLOOKUP($A$1,[10]물량!$G$5:$R$83,63,),)</f>
        <v>7000</v>
      </c>
      <c r="K10" s="677">
        <f>+'[7]서부산크라샤(당월)'!$I$59</f>
        <v>0</v>
      </c>
      <c r="L10" s="680">
        <f>K10-J10</f>
        <v>-7000</v>
      </c>
      <c r="M10" s="679">
        <f>+IFERROR(HLOOKUP($A$1,[10]물량!$G$5:$R$83,69,),)</f>
        <v>5000</v>
      </c>
      <c r="N10" s="677">
        <f>+'[7]서부산크라샤(당월)'!$L$59</f>
        <v>0</v>
      </c>
      <c r="O10" s="680">
        <f>N10-M10</f>
        <v>-5000</v>
      </c>
      <c r="P10" s="681">
        <f>+G10+J10+M10</f>
        <v>20000</v>
      </c>
      <c r="Q10" s="677">
        <f>+H10+K10+N10</f>
        <v>1000</v>
      </c>
      <c r="R10" s="682">
        <f>Q10-P10</f>
        <v>-19000</v>
      </c>
      <c r="S10" s="676">
        <f>+IFERROR(HLOOKUP($A$1,[11]물량!$G$5:$R$109,60,),)</f>
        <v>8000</v>
      </c>
      <c r="T10" s="677">
        <f>+'[7]부산크라샤(당월)'!$F$59</f>
        <v>848</v>
      </c>
      <c r="U10" s="678">
        <f>T10-S10</f>
        <v>-7152</v>
      </c>
      <c r="V10" s="679">
        <f>+IFERROR(HLOOKUP($A$1,[11]물량!$G$5:$R$109,63,),)</f>
        <v>7000</v>
      </c>
      <c r="W10" s="677">
        <f>+'[7]부산크라샤(당월)'!$I$59</f>
        <v>5536</v>
      </c>
      <c r="X10" s="680">
        <f>W10-V10</f>
        <v>-1464</v>
      </c>
      <c r="Y10" s="679">
        <f>+IFERROR(HLOOKUP($A$1,[11]물량!$G$5:$R$109,66,),)</f>
        <v>4000</v>
      </c>
      <c r="Z10" s="677">
        <f>+'[7]부산크라샤(당월)'!$L$59</f>
        <v>0</v>
      </c>
      <c r="AA10" s="680">
        <f>Z10-Y10</f>
        <v>-4000</v>
      </c>
      <c r="AB10" s="681">
        <f>+S10+V10+Y10</f>
        <v>19000</v>
      </c>
      <c r="AC10" s="677">
        <f>+T10+W10+Z10</f>
        <v>6384</v>
      </c>
      <c r="AD10" s="682">
        <f>AC10-AB10</f>
        <v>-12616</v>
      </c>
      <c r="AE10" s="680">
        <f>+IFERROR(HLOOKUP($A$1,[12]판매계획!$G$6:$R$92,2,),)</f>
        <v>0</v>
      </c>
      <c r="AF10" s="677">
        <f>+'[13]부산모래장(손익)'!$E$37</f>
        <v>0</v>
      </c>
      <c r="AG10" s="793">
        <f>AF10-AE10</f>
        <v>0</v>
      </c>
      <c r="AH10" s="680">
        <f>+IFERROR(HLOOKUP($A$1,[12]판매계획!$G$6:$R$92,3,),)</f>
        <v>5000</v>
      </c>
      <c r="AI10" s="677">
        <f>SUM('[13]부산모래장(손익)'!$C$37:$D$37)</f>
        <v>10608</v>
      </c>
      <c r="AJ10" s="680">
        <f>AI10-AH10</f>
        <v>5608</v>
      </c>
      <c r="AK10" s="681">
        <f>AE10+AH10</f>
        <v>5000</v>
      </c>
      <c r="AL10" s="677">
        <f>AF10+AI10</f>
        <v>10608</v>
      </c>
      <c r="AM10" s="682">
        <f>AL10-AK10</f>
        <v>5608</v>
      </c>
      <c r="AN10" s="681">
        <f>+P10+AB10+AK10</f>
        <v>44000</v>
      </c>
      <c r="AO10" s="677">
        <f>+Q10+AC10+AL10</f>
        <v>17992</v>
      </c>
      <c r="AP10" s="682">
        <f>AO10-AN10</f>
        <v>-26008</v>
      </c>
    </row>
    <row r="11" spans="1:45" ht="24" customHeight="1">
      <c r="D11" s="674"/>
      <c r="E11" s="683"/>
      <c r="F11" s="684" t="s">
        <v>10</v>
      </c>
      <c r="G11" s="685">
        <f>+G10/G$12</f>
        <v>0.44894217998840241</v>
      </c>
      <c r="H11" s="686">
        <f>+H10/H$12</f>
        <v>1</v>
      </c>
      <c r="I11" s="687">
        <f>+H11-G11</f>
        <v>0.55105782001159764</v>
      </c>
      <c r="J11" s="688">
        <f>+J10/J$12</f>
        <v>0.51401824883220737</v>
      </c>
      <c r="K11" s="686" t="e">
        <f>+K10/K$12</f>
        <v>#DIV/0!</v>
      </c>
      <c r="L11" s="689" t="e">
        <f>+K11-J11</f>
        <v>#DIV/0!</v>
      </c>
      <c r="M11" s="688">
        <f>+M10/M$12</f>
        <v>1</v>
      </c>
      <c r="N11" s="686" t="e">
        <f>+N10/N$12</f>
        <v>#DIV/0!</v>
      </c>
      <c r="O11" s="689" t="e">
        <f>+N11-M11</f>
        <v>#DIV/0!</v>
      </c>
      <c r="P11" s="690">
        <f>+P10/P$12</f>
        <v>0.54887965105418834</v>
      </c>
      <c r="Q11" s="686">
        <f>+Q10/Q$12</f>
        <v>1</v>
      </c>
      <c r="R11" s="691">
        <f>+Q11-P11</f>
        <v>0.45112034894581166</v>
      </c>
      <c r="S11" s="685">
        <f>+S10/S$12</f>
        <v>0.46962707993724467</v>
      </c>
      <c r="T11" s="686">
        <f>+T10/T$12</f>
        <v>6.6177618230060867E-2</v>
      </c>
      <c r="U11" s="687">
        <f>+T11-S11</f>
        <v>-0.40344946170718382</v>
      </c>
      <c r="V11" s="688">
        <f>+V10/V$12</f>
        <v>0.51126601816824702</v>
      </c>
      <c r="W11" s="686">
        <f>+W10/W$12</f>
        <v>0.39948044450858711</v>
      </c>
      <c r="X11" s="689">
        <f>+W11-V11</f>
        <v>-0.11178557365965991</v>
      </c>
      <c r="Y11" s="688">
        <f>+Y10/Y$12</f>
        <v>1</v>
      </c>
      <c r="Z11" s="686" t="e">
        <f>+Z10/Z$12</f>
        <v>#DIV/0!</v>
      </c>
      <c r="AA11" s="689" t="e">
        <f>+Z11-Y11</f>
        <v>#DIV/0!</v>
      </c>
      <c r="AB11" s="690">
        <f>+AB10/AB$12</f>
        <v>0.54713581737941042</v>
      </c>
      <c r="AC11" s="686">
        <f>+AC10/AC$12</f>
        <v>0.23935212957408519</v>
      </c>
      <c r="AD11" s="691">
        <f>+AC11-AB11</f>
        <v>-0.30778368780532522</v>
      </c>
      <c r="AE11" s="689">
        <f>+AE10/AE$12</f>
        <v>0</v>
      </c>
      <c r="AF11" s="686">
        <f>+AF10/AF$12</f>
        <v>0</v>
      </c>
      <c r="AG11" s="794">
        <f>+AF11-AE11</f>
        <v>0</v>
      </c>
      <c r="AH11" s="689">
        <f>+AH10/AH$12</f>
        <v>0.25719967199165972</v>
      </c>
      <c r="AI11" s="686">
        <f>+AI10/AI$12</f>
        <v>0.52828685258964148</v>
      </c>
      <c r="AJ11" s="689">
        <f>+AI11-AH11</f>
        <v>0.27108718059798176</v>
      </c>
      <c r="AK11" s="690">
        <f>+AK10/AK$12</f>
        <v>0.254399389405637</v>
      </c>
      <c r="AL11" s="686">
        <f>+AL10/AL$12</f>
        <v>0.51545189504373179</v>
      </c>
      <c r="AM11" s="691">
        <f>+AL11-AK11</f>
        <v>0.26105250563809479</v>
      </c>
      <c r="AN11" s="690">
        <f>+AN10/AN$12</f>
        <v>0.48448390307918565</v>
      </c>
      <c r="AO11" s="686">
        <f>+AO10/AO$12</f>
        <v>0.37287573572079913</v>
      </c>
      <c r="AP11" s="691">
        <f>+AO11-AN11</f>
        <v>-0.11160816735838652</v>
      </c>
    </row>
    <row r="12" spans="1:45" ht="24" customHeight="1">
      <c r="D12" s="674"/>
      <c r="E12" s="692"/>
      <c r="F12" s="693" t="s">
        <v>181</v>
      </c>
      <c r="G12" s="694">
        <f>G8+G10</f>
        <v>17819.666666666664</v>
      </c>
      <c r="H12" s="695">
        <f>H8+H10</f>
        <v>1000</v>
      </c>
      <c r="I12" s="696">
        <f t="shared" ref="I12:I32" si="0">H12-G12</f>
        <v>-16819.666666666664</v>
      </c>
      <c r="J12" s="697">
        <f>J8+J10</f>
        <v>13618.193548387097</v>
      </c>
      <c r="K12" s="695">
        <f>K8+K10</f>
        <v>0</v>
      </c>
      <c r="L12" s="698">
        <f t="shared" ref="L12:L32" si="1">K12-J12</f>
        <v>-13618.193548387097</v>
      </c>
      <c r="M12" s="697">
        <f>M8+M10</f>
        <v>5000</v>
      </c>
      <c r="N12" s="695">
        <f>N8+N10</f>
        <v>0</v>
      </c>
      <c r="O12" s="698">
        <f t="shared" ref="O12:O32" si="2">N12-M12</f>
        <v>-5000</v>
      </c>
      <c r="P12" s="699">
        <f>P8+P10</f>
        <v>36437.860215053763</v>
      </c>
      <c r="Q12" s="695">
        <f>Q8+Q10</f>
        <v>1000</v>
      </c>
      <c r="R12" s="700">
        <f t="shared" ref="R12:R32" si="3">Q12-P12</f>
        <v>-35437.860215053763</v>
      </c>
      <c r="S12" s="694">
        <f>S8+S10</f>
        <v>17034.792799999999</v>
      </c>
      <c r="T12" s="695">
        <f>T8+T10</f>
        <v>12814</v>
      </c>
      <c r="U12" s="696">
        <f t="shared" ref="U12:U32" si="4">T12-S12</f>
        <v>-4220.7927999999993</v>
      </c>
      <c r="V12" s="697">
        <f>V8+V10</f>
        <v>13691.502566666666</v>
      </c>
      <c r="W12" s="695">
        <f>W8+W10</f>
        <v>13858</v>
      </c>
      <c r="X12" s="698">
        <f t="shared" ref="X12:X32" si="5">W12-V12</f>
        <v>166.4974333333339</v>
      </c>
      <c r="Y12" s="697">
        <f>Y8+Y10</f>
        <v>4000</v>
      </c>
      <c r="Z12" s="695">
        <f>Z8+Z10</f>
        <v>0</v>
      </c>
      <c r="AA12" s="698">
        <f t="shared" ref="AA12:AA32" si="6">Z12-Y12</f>
        <v>-4000</v>
      </c>
      <c r="AB12" s="699">
        <f>AB8+AB10</f>
        <v>34726.295366666665</v>
      </c>
      <c r="AC12" s="695">
        <f>AC8+AC10</f>
        <v>26672</v>
      </c>
      <c r="AD12" s="700">
        <f t="shared" ref="AD12:AD32" si="7">AC12-AB12</f>
        <v>-8054.2953666666654</v>
      </c>
      <c r="AE12" s="698">
        <f>AE8+AE10</f>
        <v>213.98601398601397</v>
      </c>
      <c r="AF12" s="695">
        <f>AF8+AF10</f>
        <v>500</v>
      </c>
      <c r="AG12" s="795">
        <f t="shared" ref="AG12:AG32" si="8">AF12-AE12</f>
        <v>286.01398601398603</v>
      </c>
      <c r="AH12" s="698">
        <f>AH8+AH10</f>
        <v>19440.149208907766</v>
      </c>
      <c r="AI12" s="695">
        <f>AI8+AI10</f>
        <v>20080</v>
      </c>
      <c r="AJ12" s="698">
        <f t="shared" ref="AJ12:AJ32" si="9">AI12-AH12</f>
        <v>639.85079109223443</v>
      </c>
      <c r="AK12" s="699">
        <f>AK8+AK10</f>
        <v>19654.135222893776</v>
      </c>
      <c r="AL12" s="695">
        <f>AL8+AL10</f>
        <v>20580</v>
      </c>
      <c r="AM12" s="700">
        <f t="shared" ref="AM12:AM32" si="10">AL12-AK12</f>
        <v>925.86477710622421</v>
      </c>
      <c r="AN12" s="699">
        <f>AN8+AN10</f>
        <v>90818.290804614197</v>
      </c>
      <c r="AO12" s="695">
        <f>AO8+AO10</f>
        <v>48252</v>
      </c>
      <c r="AP12" s="700">
        <f t="shared" ref="AP12:AP32" si="11">AO12-AN12</f>
        <v>-42566.290804614197</v>
      </c>
      <c r="AR12" s="6">
        <f>+'사업장별(당월)'!J32*1000</f>
        <v>90818.290804614197</v>
      </c>
      <c r="AS12" s="6">
        <f>+'사업장별(당월)'!K32*1000</f>
        <v>48251.999999999993</v>
      </c>
    </row>
    <row r="13" spans="1:45" ht="24" customHeight="1">
      <c r="D13" s="674"/>
      <c r="E13" s="656" t="s">
        <v>126</v>
      </c>
      <c r="F13" s="657" t="s">
        <v>215</v>
      </c>
      <c r="G13" s="658">
        <f>+IFERROR(HLOOKUP($A$1,[10]매출!$G$5:$R$149,115,),)</f>
        <v>147395.86666666667</v>
      </c>
      <c r="H13" s="659">
        <f>+'[7]서부산크라샤(당월)'!$F$72</f>
        <v>0</v>
      </c>
      <c r="I13" s="660">
        <f t="shared" si="0"/>
        <v>-147395.86666666667</v>
      </c>
      <c r="J13" s="661">
        <f>+IFERROR(HLOOKUP($A$1,[10]매출!$G$5:$R$149,118,),)</f>
        <v>137883.09677419355</v>
      </c>
      <c r="K13" s="659">
        <f>+'[7]서부산크라샤(당월)'!$I$72</f>
        <v>0</v>
      </c>
      <c r="L13" s="662">
        <f t="shared" si="1"/>
        <v>-137883.09677419355</v>
      </c>
      <c r="M13" s="661">
        <f>+IFERROR(HLOOKUP($A$1,[10]매출!$G$5:$R$149,124,),)</f>
        <v>0</v>
      </c>
      <c r="N13" s="659">
        <f>+'[7]서부산크라샤(당월)'!$L$72</f>
        <v>0</v>
      </c>
      <c r="O13" s="662">
        <f t="shared" si="2"/>
        <v>0</v>
      </c>
      <c r="P13" s="663">
        <f>+G13+J13+M13</f>
        <v>285278.96344086021</v>
      </c>
      <c r="Q13" s="659">
        <f>+H13+K13+N13</f>
        <v>0</v>
      </c>
      <c r="R13" s="664">
        <f t="shared" si="3"/>
        <v>-285278.96344086021</v>
      </c>
      <c r="S13" s="658">
        <f>+IFERROR(HLOOKUP($A$1,[11]매출!$G$5:$R$144,115,),)</f>
        <v>158108.87400000001</v>
      </c>
      <c r="T13" s="659">
        <f>+'[7]부산크라샤(당월)'!$F$72</f>
        <v>181421</v>
      </c>
      <c r="U13" s="660">
        <f t="shared" si="4"/>
        <v>23312.125999999989</v>
      </c>
      <c r="V13" s="661">
        <f>+IFERROR(HLOOKUP($A$1,[11]매출!$G$5:$R$144,118,),)</f>
        <v>156549.99164999995</v>
      </c>
      <c r="W13" s="659">
        <f>+'[7]부산크라샤(당월)'!$I$72</f>
        <v>176031</v>
      </c>
      <c r="X13" s="662">
        <f t="shared" si="5"/>
        <v>19481.008350000047</v>
      </c>
      <c r="Y13" s="661"/>
      <c r="Z13" s="659">
        <f>+'[7]부산크라샤(당월)'!$L$72</f>
        <v>0</v>
      </c>
      <c r="AA13" s="662">
        <f t="shared" si="6"/>
        <v>0</v>
      </c>
      <c r="AB13" s="663">
        <f>+S13+V13+Y13</f>
        <v>314658.86564999993</v>
      </c>
      <c r="AC13" s="659">
        <f>+T13+W13+Z13</f>
        <v>357452</v>
      </c>
      <c r="AD13" s="664">
        <f t="shared" si="7"/>
        <v>42793.134350000066</v>
      </c>
      <c r="AE13" s="662">
        <f>+IFERROR(HLOOKUP($A$1,[12]판매계획!$G$6:$R$92,43,),)</f>
        <v>8131.4685314685312</v>
      </c>
      <c r="AF13" s="659">
        <f>+'[13]부산모래장(손익)'!$E$41/1000</f>
        <v>19000</v>
      </c>
      <c r="AG13" s="791">
        <f t="shared" si="8"/>
        <v>10868.53146853147</v>
      </c>
      <c r="AH13" s="804">
        <f>+IFERROR(HLOOKUP($A$1,[12]판매계획!$G$6:$R$92,44,),)</f>
        <v>386625.14376726619</v>
      </c>
      <c r="AI13" s="659">
        <f>SUM('[13]부산모래장(손익)'!$C$41:$D$41)/1000</f>
        <v>271280</v>
      </c>
      <c r="AJ13" s="662">
        <f t="shared" si="9"/>
        <v>-115345.14376726619</v>
      </c>
      <c r="AK13" s="663">
        <f>AE13+AH13</f>
        <v>394756.61229873472</v>
      </c>
      <c r="AL13" s="659">
        <f>AF13+AI13</f>
        <v>290280</v>
      </c>
      <c r="AM13" s="664">
        <f t="shared" si="10"/>
        <v>-104476.61229873472</v>
      </c>
      <c r="AN13" s="663">
        <f>+P13+AB13+AK13</f>
        <v>994694.44138959493</v>
      </c>
      <c r="AO13" s="659">
        <f>+Q13+AC13+AL13</f>
        <v>647732</v>
      </c>
      <c r="AP13" s="664">
        <f t="shared" si="11"/>
        <v>-346962.44138959493</v>
      </c>
      <c r="AR13" s="6" t="b">
        <f>+AR12=AN12</f>
        <v>1</v>
      </c>
      <c r="AS13" s="6" t="b">
        <f>+AS12=AO12</f>
        <v>1</v>
      </c>
    </row>
    <row r="14" spans="1:45" ht="24" customHeight="1">
      <c r="D14" s="674"/>
      <c r="E14" s="683"/>
      <c r="F14" s="701" t="s">
        <v>217</v>
      </c>
      <c r="G14" s="702">
        <f>+G13/G8*1000</f>
        <v>15010.271903323264</v>
      </c>
      <c r="H14" s="703" t="e">
        <f>+H13/H8*1000</f>
        <v>#DIV/0!</v>
      </c>
      <c r="I14" s="704" t="e">
        <f t="shared" si="0"/>
        <v>#DIV/0!</v>
      </c>
      <c r="J14" s="705">
        <f>+J13/J8*1000</f>
        <v>20833.947476165409</v>
      </c>
      <c r="K14" s="703" t="e">
        <f>+K13/K8*1000</f>
        <v>#DIV/0!</v>
      </c>
      <c r="L14" s="706" t="e">
        <f t="shared" si="1"/>
        <v>#DIV/0!</v>
      </c>
      <c r="M14" s="705" t="e">
        <f>+M13/M8*1000</f>
        <v>#DIV/0!</v>
      </c>
      <c r="N14" s="703" t="e">
        <f>+N13/N8*1000</f>
        <v>#DIV/0!</v>
      </c>
      <c r="O14" s="706" t="e">
        <f t="shared" si="2"/>
        <v>#DIV/0!</v>
      </c>
      <c r="P14" s="707">
        <f>+P13/P8*1000</f>
        <v>17354.993880505335</v>
      </c>
      <c r="Q14" s="703" t="e">
        <f>+Q13/Q8*1000</f>
        <v>#DIV/0!</v>
      </c>
      <c r="R14" s="708" t="e">
        <f t="shared" si="3"/>
        <v>#DIV/0!</v>
      </c>
      <c r="S14" s="702">
        <f>+S13/S8*1000</f>
        <v>17500.000000000004</v>
      </c>
      <c r="T14" s="703">
        <f>+T13/T8*1000</f>
        <v>15161.373892695972</v>
      </c>
      <c r="U14" s="704">
        <f t="shared" si="4"/>
        <v>-2338.6261073040314</v>
      </c>
      <c r="V14" s="705">
        <f>+V13/V8*1000</f>
        <v>23395.342091004299</v>
      </c>
      <c r="W14" s="703">
        <f>+W13/W8*1000</f>
        <v>21152.487382840663</v>
      </c>
      <c r="X14" s="706">
        <f t="shared" si="5"/>
        <v>-2242.8547081636352</v>
      </c>
      <c r="Y14" s="705" t="e">
        <f>+Y13/Y8*1000</f>
        <v>#DIV/0!</v>
      </c>
      <c r="Z14" s="703" t="e">
        <f>+Z13/Z8*1000</f>
        <v>#DIV/0!</v>
      </c>
      <c r="AA14" s="706" t="e">
        <f t="shared" si="6"/>
        <v>#DIV/0!</v>
      </c>
      <c r="AB14" s="707">
        <f>+AB13/AB8*1000</f>
        <v>20008.454522413998</v>
      </c>
      <c r="AC14" s="703">
        <f>+AC13/AC8*1000</f>
        <v>17618.888012618296</v>
      </c>
      <c r="AD14" s="708">
        <f t="shared" si="7"/>
        <v>-2389.5665097957026</v>
      </c>
      <c r="AE14" s="706">
        <f>+AE13/AE8*1000</f>
        <v>38000</v>
      </c>
      <c r="AF14" s="703">
        <f>+AF13/AF8*1000</f>
        <v>38000</v>
      </c>
      <c r="AG14" s="796">
        <f t="shared" si="8"/>
        <v>0</v>
      </c>
      <c r="AH14" s="706">
        <f>+AH13/AH8*1000</f>
        <v>26774.317783971848</v>
      </c>
      <c r="AI14" s="703">
        <f>+AI13/AI8*1000</f>
        <v>28640.202702702703</v>
      </c>
      <c r="AJ14" s="706">
        <f t="shared" si="9"/>
        <v>1865.8849187308551</v>
      </c>
      <c r="AK14" s="707">
        <f>+AK13/AK8*1000</f>
        <v>26938.240045855226</v>
      </c>
      <c r="AL14" s="703">
        <f>+AL13/AL8*1000</f>
        <v>29109.50661853189</v>
      </c>
      <c r="AM14" s="708">
        <f t="shared" si="10"/>
        <v>2171.2665726766645</v>
      </c>
      <c r="AN14" s="707">
        <f>+AN13/AN8*1000</f>
        <v>21245.851232389759</v>
      </c>
      <c r="AO14" s="703">
        <f>+AO13/AO8*1000</f>
        <v>21405.551883674816</v>
      </c>
      <c r="AP14" s="708">
        <f t="shared" si="11"/>
        <v>159.70065128505667</v>
      </c>
    </row>
    <row r="15" spans="1:45" ht="24" customHeight="1">
      <c r="D15" s="674"/>
      <c r="E15" s="709"/>
      <c r="F15" s="710" t="s">
        <v>216</v>
      </c>
      <c r="G15" s="711">
        <f>+IFERROR(HLOOKUP($A$1,[10]매출!$G$5:$R$149,116,),)</f>
        <v>92000</v>
      </c>
      <c r="H15" s="712">
        <f>+'[7]서부산크라샤(당월)'!$F$71</f>
        <v>11500</v>
      </c>
      <c r="I15" s="713">
        <f t="shared" si="0"/>
        <v>-80500</v>
      </c>
      <c r="J15" s="714">
        <f>+IFERROR(HLOOKUP($A$1,[10]매출!$G$5:$R$149,119,),)</f>
        <v>105000</v>
      </c>
      <c r="K15" s="712">
        <f>+'[7]서부산크라샤(당월)'!$I$71</f>
        <v>0</v>
      </c>
      <c r="L15" s="715">
        <f t="shared" si="1"/>
        <v>-105000</v>
      </c>
      <c r="M15" s="714">
        <f>+IFERROR(HLOOKUP($A$1,[10]매출!$G$5:$R$149,125,),)</f>
        <v>45000</v>
      </c>
      <c r="N15" s="712">
        <f>+'[7]서부산크라샤(당월)'!$L$71</f>
        <v>0</v>
      </c>
      <c r="O15" s="715">
        <f t="shared" si="2"/>
        <v>-45000</v>
      </c>
      <c r="P15" s="716">
        <f>+G15+J15+M15</f>
        <v>242000</v>
      </c>
      <c r="Q15" s="712">
        <f>+H15+K15+N15</f>
        <v>11500</v>
      </c>
      <c r="R15" s="717">
        <f t="shared" si="3"/>
        <v>-230500</v>
      </c>
      <c r="S15" s="711">
        <f>+IFERROR(HLOOKUP($A$1,[11]매출!$G$5:$R$144,116,),)</f>
        <v>104000</v>
      </c>
      <c r="T15" s="712">
        <f>+'[7]부산크라샤(당월)'!$F$71</f>
        <v>11024</v>
      </c>
      <c r="U15" s="713">
        <f t="shared" si="4"/>
        <v>-92976</v>
      </c>
      <c r="V15" s="714">
        <f>+IFERROR(HLOOKUP($A$1,[11]매출!$G$5:$R$144,119,),)</f>
        <v>126000</v>
      </c>
      <c r="W15" s="712">
        <f>+'[7]부산크라샤(당월)'!$I$71</f>
        <v>99904</v>
      </c>
      <c r="X15" s="715">
        <f t="shared" si="5"/>
        <v>-26096</v>
      </c>
      <c r="Y15" s="714">
        <f>+IFERROR(HLOOKUP($A$1,[11]매출!$G$5:$R$144,122,),)</f>
        <v>36000</v>
      </c>
      <c r="Z15" s="712">
        <f>+'[7]부산크라샤(당월)'!$L$71</f>
        <v>0</v>
      </c>
      <c r="AA15" s="715">
        <f t="shared" si="6"/>
        <v>-36000</v>
      </c>
      <c r="AB15" s="716">
        <f>+S15+V15+Y15</f>
        <v>266000</v>
      </c>
      <c r="AC15" s="712">
        <f>+T15+W15+Z15</f>
        <v>110928</v>
      </c>
      <c r="AD15" s="717">
        <f t="shared" si="7"/>
        <v>-155072</v>
      </c>
      <c r="AE15" s="715">
        <f>+IFERROR(HLOOKUP($A$1,[12]판매계획!$G$6:$R$92,38,),)</f>
        <v>0</v>
      </c>
      <c r="AF15" s="712">
        <f>+'[13]부산모래장(손익)'!$E$40/1000</f>
        <v>0</v>
      </c>
      <c r="AG15" s="797">
        <f t="shared" si="8"/>
        <v>0</v>
      </c>
      <c r="AH15" s="715">
        <f>+IFERROR(HLOOKUP($A$1,[12]판매계획!$G$6:$R$92,39,),)</f>
        <v>137500</v>
      </c>
      <c r="AI15" s="712">
        <f>SUM('[13]부산모래장(손익)'!$C$40:$D$40)/1000</f>
        <v>281588</v>
      </c>
      <c r="AJ15" s="715">
        <f t="shared" si="9"/>
        <v>144088</v>
      </c>
      <c r="AK15" s="716">
        <f>AE15+AH15</f>
        <v>137500</v>
      </c>
      <c r="AL15" s="712">
        <f>AF15+AI15</f>
        <v>281588</v>
      </c>
      <c r="AM15" s="717">
        <f t="shared" si="10"/>
        <v>144088</v>
      </c>
      <c r="AN15" s="716">
        <f>+P15+AB15+AK15</f>
        <v>645500</v>
      </c>
      <c r="AO15" s="712">
        <f>+Q15+AC15+AL15</f>
        <v>404016</v>
      </c>
      <c r="AP15" s="717">
        <f t="shared" si="11"/>
        <v>-241484</v>
      </c>
    </row>
    <row r="16" spans="1:45" ht="24" customHeight="1">
      <c r="D16" s="562"/>
      <c r="E16" s="709"/>
      <c r="F16" s="701" t="s">
        <v>217</v>
      </c>
      <c r="G16" s="702">
        <f>IFERROR(G15/G10,)*1000</f>
        <v>11500</v>
      </c>
      <c r="H16" s="703">
        <f>IFERROR(H15/H10,)*1000</f>
        <v>11500</v>
      </c>
      <c r="I16" s="704">
        <f t="shared" si="0"/>
        <v>0</v>
      </c>
      <c r="J16" s="705">
        <f>IFERROR(J15/J10,)*1000</f>
        <v>15000</v>
      </c>
      <c r="K16" s="703">
        <f>IFERROR(K15/K10,)*1000</f>
        <v>0</v>
      </c>
      <c r="L16" s="706">
        <f t="shared" si="1"/>
        <v>-15000</v>
      </c>
      <c r="M16" s="705">
        <f>IFERROR(M15/M10,)*1000</f>
        <v>9000</v>
      </c>
      <c r="N16" s="703">
        <f>IFERROR(N15/N10,)*1000</f>
        <v>0</v>
      </c>
      <c r="O16" s="706">
        <f t="shared" si="2"/>
        <v>-9000</v>
      </c>
      <c r="P16" s="707">
        <f>IFERROR(P15/P10,)*1000</f>
        <v>12100</v>
      </c>
      <c r="Q16" s="703">
        <f>IFERROR(Q15/Q10,)*1000</f>
        <v>11500</v>
      </c>
      <c r="R16" s="708">
        <f t="shared" si="3"/>
        <v>-600</v>
      </c>
      <c r="S16" s="702">
        <f>IFERROR(S15/S10,)*1000</f>
        <v>13000</v>
      </c>
      <c r="T16" s="703">
        <f>IFERROR(T15/T10,)*1000</f>
        <v>13000</v>
      </c>
      <c r="U16" s="704">
        <f t="shared" si="4"/>
        <v>0</v>
      </c>
      <c r="V16" s="705">
        <f>IFERROR(V15/V10,)*1000</f>
        <v>18000</v>
      </c>
      <c r="W16" s="703">
        <f>IFERROR(W15/W10,)*1000</f>
        <v>18046.242774566472</v>
      </c>
      <c r="X16" s="706">
        <f t="shared" si="5"/>
        <v>46.24277456647178</v>
      </c>
      <c r="Y16" s="705">
        <f>IFERROR(Y15/Y10,)*1000</f>
        <v>9000</v>
      </c>
      <c r="Z16" s="703">
        <f>IFERROR(Z15/Z10,)*1000</f>
        <v>0</v>
      </c>
      <c r="AA16" s="706">
        <f t="shared" si="6"/>
        <v>-9000</v>
      </c>
      <c r="AB16" s="707">
        <f>IFERROR(AB15/AB10,)*1000</f>
        <v>14000</v>
      </c>
      <c r="AC16" s="703">
        <f>IFERROR(AC15/AC10,)*1000</f>
        <v>17375.939849624061</v>
      </c>
      <c r="AD16" s="708">
        <f t="shared" si="7"/>
        <v>3375.939849624061</v>
      </c>
      <c r="AE16" s="706">
        <f>IFERROR(AE15/AE10,)*1000</f>
        <v>0</v>
      </c>
      <c r="AF16" s="703">
        <f>IFERROR(AF15/AF10,)*1000</f>
        <v>0</v>
      </c>
      <c r="AG16" s="796">
        <f t="shared" si="8"/>
        <v>0</v>
      </c>
      <c r="AH16" s="706">
        <f>IFERROR(AH15/AH10,)*1000</f>
        <v>27500</v>
      </c>
      <c r="AI16" s="703">
        <f>IFERROR(AI15/AI10,)*1000</f>
        <v>26544.871794871797</v>
      </c>
      <c r="AJ16" s="706">
        <f t="shared" si="9"/>
        <v>-955.12820512820326</v>
      </c>
      <c r="AK16" s="707">
        <f>IFERROR(AK15/AK10,)*1000</f>
        <v>27500</v>
      </c>
      <c r="AL16" s="703">
        <f>IFERROR(AL15/AL10,)*1000</f>
        <v>26544.871794871797</v>
      </c>
      <c r="AM16" s="708">
        <f t="shared" si="10"/>
        <v>-955.12820512820326</v>
      </c>
      <c r="AN16" s="707">
        <f>IFERROR(AN15/AN10,)*1000</f>
        <v>14670.454545454544</v>
      </c>
      <c r="AO16" s="703">
        <f>IFERROR(AO15/AO10,)*1000</f>
        <v>22455.313472654514</v>
      </c>
      <c r="AP16" s="708">
        <f t="shared" si="11"/>
        <v>7784.8589271999699</v>
      </c>
    </row>
    <row r="17" spans="4:45" ht="24" customHeight="1">
      <c r="D17" s="562"/>
      <c r="E17" s="709"/>
      <c r="F17" s="718" t="s">
        <v>181</v>
      </c>
      <c r="G17" s="711">
        <f>G13+G15</f>
        <v>239395.86666666667</v>
      </c>
      <c r="H17" s="712">
        <f>H13+H15</f>
        <v>11500</v>
      </c>
      <c r="I17" s="713">
        <f t="shared" si="0"/>
        <v>-227895.86666666667</v>
      </c>
      <c r="J17" s="714">
        <f>J13+J15</f>
        <v>242883.09677419355</v>
      </c>
      <c r="K17" s="712">
        <f>K13+K15</f>
        <v>0</v>
      </c>
      <c r="L17" s="715">
        <f t="shared" si="1"/>
        <v>-242883.09677419355</v>
      </c>
      <c r="M17" s="714">
        <f>M13+M15</f>
        <v>45000</v>
      </c>
      <c r="N17" s="712">
        <f>N13+N15</f>
        <v>0</v>
      </c>
      <c r="O17" s="715">
        <f t="shared" si="2"/>
        <v>-45000</v>
      </c>
      <c r="P17" s="716">
        <f>P13+P15</f>
        <v>527278.96344086016</v>
      </c>
      <c r="Q17" s="712">
        <f>Q13+Q15</f>
        <v>11500</v>
      </c>
      <c r="R17" s="717">
        <f t="shared" si="3"/>
        <v>-515778.96344086016</v>
      </c>
      <c r="S17" s="711">
        <f>S13+S15</f>
        <v>262108.87400000001</v>
      </c>
      <c r="T17" s="712">
        <f>T13+T15</f>
        <v>192445</v>
      </c>
      <c r="U17" s="713">
        <f t="shared" si="4"/>
        <v>-69663.874000000011</v>
      </c>
      <c r="V17" s="714">
        <f>V13+V15</f>
        <v>282549.99164999998</v>
      </c>
      <c r="W17" s="712">
        <f>W13+W15</f>
        <v>275935</v>
      </c>
      <c r="X17" s="715">
        <f t="shared" si="5"/>
        <v>-6614.9916499999817</v>
      </c>
      <c r="Y17" s="714">
        <f>Y13+Y15</f>
        <v>36000</v>
      </c>
      <c r="Z17" s="712">
        <f>Z13+Z15</f>
        <v>0</v>
      </c>
      <c r="AA17" s="715">
        <f t="shared" si="6"/>
        <v>-36000</v>
      </c>
      <c r="AB17" s="716">
        <f>AB13+AB15</f>
        <v>580658.86564999993</v>
      </c>
      <c r="AC17" s="712">
        <f>AC13+AC15</f>
        <v>468380</v>
      </c>
      <c r="AD17" s="717">
        <f t="shared" si="7"/>
        <v>-112278.86564999993</v>
      </c>
      <c r="AE17" s="715">
        <f>AE13+AE15</f>
        <v>8131.4685314685312</v>
      </c>
      <c r="AF17" s="712">
        <f>AF13+AF15</f>
        <v>19000</v>
      </c>
      <c r="AG17" s="797">
        <f t="shared" si="8"/>
        <v>10868.53146853147</v>
      </c>
      <c r="AH17" s="715">
        <f>AH13+AH15</f>
        <v>524125.14376726619</v>
      </c>
      <c r="AI17" s="712">
        <f>AI13+AI15</f>
        <v>552868</v>
      </c>
      <c r="AJ17" s="715">
        <f t="shared" si="9"/>
        <v>28742.856232733815</v>
      </c>
      <c r="AK17" s="716">
        <f>AK13+AK15</f>
        <v>532256.61229873472</v>
      </c>
      <c r="AL17" s="712">
        <f>AL13+AL15</f>
        <v>571868</v>
      </c>
      <c r="AM17" s="717">
        <f t="shared" si="10"/>
        <v>39611.387701265281</v>
      </c>
      <c r="AN17" s="716">
        <f>AN13+AN15</f>
        <v>1640194.4413895949</v>
      </c>
      <c r="AO17" s="712">
        <f>AO13+AO15</f>
        <v>1051748</v>
      </c>
      <c r="AP17" s="717">
        <f t="shared" si="11"/>
        <v>-588446.44138959493</v>
      </c>
      <c r="AR17" s="6">
        <f>+'사업장별(당월)'!O32*1000</f>
        <v>1640194.4413895949</v>
      </c>
      <c r="AS17" s="6">
        <f>+'사업장별(당월)'!P32*1000</f>
        <v>1051748</v>
      </c>
    </row>
    <row r="18" spans="4:45" ht="24" customHeight="1">
      <c r="D18" s="562"/>
      <c r="E18" s="719" t="s">
        <v>7</v>
      </c>
      <c r="F18" s="720" t="s">
        <v>218</v>
      </c>
      <c r="G18" s="721">
        <f>+IFERROR(HLOOKUP($A$1,[10]손익!$G$5:$R$132,115,),)</f>
        <v>19246.896705999316</v>
      </c>
      <c r="H18" s="722">
        <f>+'[7]서부산크라샤(당월)'!$F$87</f>
        <v>0</v>
      </c>
      <c r="I18" s="723">
        <f t="shared" si="0"/>
        <v>-19246.896705999316</v>
      </c>
      <c r="J18" s="724">
        <f>+IFERROR(HLOOKUP($A$1,[10]손익!$G$5:$R$132,117,),)</f>
        <v>18004.722799437681</v>
      </c>
      <c r="K18" s="722">
        <f>+'[7]서부산크라샤(당월)'!$I$87</f>
        <v>0</v>
      </c>
      <c r="L18" s="725">
        <f t="shared" si="1"/>
        <v>-18004.722799437681</v>
      </c>
      <c r="M18" s="724">
        <f>+IFERROR(HLOOKUP($A$1,[10]손익!$G$5:$R$132,119,),)</f>
        <v>0</v>
      </c>
      <c r="N18" s="722">
        <f>+'[7]서부산크라샤(당월)'!$L$87</f>
        <v>0</v>
      </c>
      <c r="O18" s="725">
        <f t="shared" si="2"/>
        <v>0</v>
      </c>
      <c r="P18" s="726">
        <f>+G18+J18+M18</f>
        <v>37251.619505436996</v>
      </c>
      <c r="Q18" s="722">
        <f>+H18+K18+N18</f>
        <v>0</v>
      </c>
      <c r="R18" s="727">
        <f t="shared" si="3"/>
        <v>-37251.619505436996</v>
      </c>
      <c r="S18" s="721">
        <f>+IFERROR(HLOOKUP($A$1,[11]손익!$G$5:$R$147,115,),)</f>
        <v>630.36429238703613</v>
      </c>
      <c r="T18" s="722">
        <f>+'[7]부산크라샤(당월)'!$F$87</f>
        <v>-99230.286210428312</v>
      </c>
      <c r="U18" s="723">
        <f t="shared" si="4"/>
        <v>-99860.650502815348</v>
      </c>
      <c r="V18" s="724">
        <f>+IFERROR(HLOOKUP($A$1,[11]손익!$G$5:$R$147,117,),)</f>
        <v>624.14918412263592</v>
      </c>
      <c r="W18" s="722">
        <f>+'[7]부산크라샤(당월)'!$I$87</f>
        <v>-20126.23815919226</v>
      </c>
      <c r="X18" s="725">
        <f t="shared" si="5"/>
        <v>-20750.387343314895</v>
      </c>
      <c r="Y18" s="724">
        <f>+IFERROR(HLOOKUP($A$1,[11]손익!$G$5:$R$147,119,),)</f>
        <v>0</v>
      </c>
      <c r="Z18" s="722">
        <f>+'[7]부산크라샤(당월)'!$L$87</f>
        <v>0</v>
      </c>
      <c r="AA18" s="725">
        <f t="shared" si="6"/>
        <v>0</v>
      </c>
      <c r="AB18" s="726">
        <f>+S18+V18+Y18</f>
        <v>1254.513476509672</v>
      </c>
      <c r="AC18" s="722">
        <f>+T18+W18+Z18</f>
        <v>-119356.52436962057</v>
      </c>
      <c r="AD18" s="727">
        <f t="shared" si="7"/>
        <v>-120611.03784613025</v>
      </c>
      <c r="AE18" s="725">
        <f>+IFERROR(HLOOKUP($A$1,[12]판매계획!$G$42:$S$72,25,),)</f>
        <v>308.07678386270544</v>
      </c>
      <c r="AF18" s="722">
        <f>+'[13]부산모래장(손익)'!$E$55/1000</f>
        <v>3887.2959999999998</v>
      </c>
      <c r="AG18" s="798">
        <f t="shared" si="8"/>
        <v>3579.2192161372946</v>
      </c>
      <c r="AH18" s="725">
        <f>+IFERROR(HLOOKUP($A$1,[12]판매계획!$G$42:$S$72,26,),)</f>
        <v>14648.059005740795</v>
      </c>
      <c r="AI18" s="722">
        <f>+'[13]부산모래장(손익)'!$C$55/1000</f>
        <v>6739.2529999999997</v>
      </c>
      <c r="AJ18" s="725">
        <f t="shared" si="9"/>
        <v>-7908.8060057407956</v>
      </c>
      <c r="AK18" s="726">
        <f>AE18+AH18</f>
        <v>14956.135789603501</v>
      </c>
      <c r="AL18" s="722">
        <f>AF18+AI18</f>
        <v>10626.548999999999</v>
      </c>
      <c r="AM18" s="727">
        <f t="shared" si="10"/>
        <v>-4329.5867896035015</v>
      </c>
      <c r="AN18" s="726">
        <f>+P18+AB18+AK18</f>
        <v>53462.268771550167</v>
      </c>
      <c r="AO18" s="722">
        <f>+Q18+AC18+AL18</f>
        <v>-108729.97536962057</v>
      </c>
      <c r="AP18" s="727">
        <f t="shared" si="11"/>
        <v>-162192.24414117076</v>
      </c>
      <c r="AR18" s="6" t="b">
        <f>+AR17=AN17</f>
        <v>1</v>
      </c>
      <c r="AS18" s="6" t="b">
        <f>+AS17=AO17</f>
        <v>1</v>
      </c>
    </row>
    <row r="19" spans="4:45" ht="24" customHeight="1">
      <c r="D19" s="562"/>
      <c r="E19" s="728"/>
      <c r="F19" s="729" t="s">
        <v>219</v>
      </c>
      <c r="G19" s="730">
        <f>+IFERROR(HLOOKUP($A$1,[10]손익!$G$5:$R$132,116,),)</f>
        <v>12013.325319063246</v>
      </c>
      <c r="H19" s="731">
        <f>+'[7]서부산크라샤(당월)'!$F$86</f>
        <v>-119399.60527004489</v>
      </c>
      <c r="I19" s="732">
        <f t="shared" si="0"/>
        <v>-131412.93058910815</v>
      </c>
      <c r="J19" s="733">
        <f>+IFERROR(HLOOKUP($A$1,[10]손익!$G$5:$R$132,118,),)</f>
        <v>13710.860418496093</v>
      </c>
      <c r="K19" s="731">
        <f>+'[7]서부산크라샤(당월)'!$I$86</f>
        <v>0</v>
      </c>
      <c r="L19" s="734">
        <f t="shared" si="1"/>
        <v>-13710.860418496093</v>
      </c>
      <c r="M19" s="733">
        <f>+IFERROR(HLOOKUP($A$1,[10]손익!$G$5:$R$132,120,),)</f>
        <v>5876.0830364983258</v>
      </c>
      <c r="N19" s="731">
        <f>+'[7]서부산크라샤(당월)'!$L$86</f>
        <v>0</v>
      </c>
      <c r="O19" s="734">
        <f t="shared" si="2"/>
        <v>-5876.0830364983258</v>
      </c>
      <c r="P19" s="735">
        <f>+G19+J19+M19</f>
        <v>31600.268774057666</v>
      </c>
      <c r="Q19" s="731">
        <f>+H19+K19+N19</f>
        <v>-119399.60527004489</v>
      </c>
      <c r="R19" s="736">
        <f t="shared" si="3"/>
        <v>-150999.87404410256</v>
      </c>
      <c r="S19" s="730">
        <f>+IFERROR(HLOOKUP($A$1,[11]손익!$G$5:$R$147,116,),)</f>
        <v>414.63761488967248</v>
      </c>
      <c r="T19" s="731">
        <f>+'[7]부산크라샤(당월)'!$F$86</f>
        <v>-8778.6542346856113</v>
      </c>
      <c r="U19" s="732">
        <f t="shared" si="4"/>
        <v>-9193.2918495752838</v>
      </c>
      <c r="V19" s="733">
        <f>+IFERROR(HLOOKUP($A$1,[11]손익!$G$5:$R$147,118,),)</f>
        <v>502.34941803941092</v>
      </c>
      <c r="W19" s="731">
        <f>+'[7]부산크라샤(당월)'!$I$86</f>
        <v>-29774.12680569385</v>
      </c>
      <c r="X19" s="734">
        <f t="shared" si="5"/>
        <v>-30276.476223733262</v>
      </c>
      <c r="Y19" s="733">
        <f>+IFERROR(HLOOKUP($A$1,[11]손익!$G$5:$R$147,120,),)</f>
        <v>143.52840515411742</v>
      </c>
      <c r="Z19" s="731">
        <f>+'[7]부산크라샤(당월)'!$L$86</f>
        <v>0</v>
      </c>
      <c r="AA19" s="734">
        <f t="shared" si="6"/>
        <v>-143.52840515411742</v>
      </c>
      <c r="AB19" s="735">
        <f>+S19+V19+Y19</f>
        <v>1060.5154380832009</v>
      </c>
      <c r="AC19" s="731">
        <f>+T19+W19+Z19</f>
        <v>-38552.781040379457</v>
      </c>
      <c r="AD19" s="736">
        <f t="shared" si="7"/>
        <v>-39613.29647846266</v>
      </c>
      <c r="AE19" s="734">
        <f>+IFERROR(HLOOKUP($A$1,[12]판매계획!$G$42:$S$72,23,),)</f>
        <v>0</v>
      </c>
      <c r="AF19" s="731">
        <f>+'[13]부산모래장(손익)'!$E$54/1000</f>
        <v>0</v>
      </c>
      <c r="AG19" s="799">
        <f t="shared" si="8"/>
        <v>0</v>
      </c>
      <c r="AH19" s="734">
        <f>+IFERROR(HLOOKUP($A$1,[12]판매계획!$G$42:$S$72,24,),)</f>
        <v>-9145.5385160520436</v>
      </c>
      <c r="AI19" s="731">
        <f>+'[13]부산모래장(손익)'!$D$54/1000</f>
        <v>-13405.094999999999</v>
      </c>
      <c r="AJ19" s="734">
        <f t="shared" si="9"/>
        <v>-4259.5564839479557</v>
      </c>
      <c r="AK19" s="735">
        <f>AE19+AH19</f>
        <v>-9145.5385160520436</v>
      </c>
      <c r="AL19" s="731">
        <f>AF19+AI19</f>
        <v>-13405.094999999999</v>
      </c>
      <c r="AM19" s="736">
        <f t="shared" si="10"/>
        <v>-4259.5564839479557</v>
      </c>
      <c r="AN19" s="735">
        <f>+P19+AB19+AK19</f>
        <v>23515.245696088823</v>
      </c>
      <c r="AO19" s="731">
        <f>+Q19+AC19+AL19</f>
        <v>-171357.48131042437</v>
      </c>
      <c r="AP19" s="736">
        <f t="shared" si="11"/>
        <v>-194872.72700651319</v>
      </c>
    </row>
    <row r="20" spans="4:45" ht="24" customHeight="1">
      <c r="D20" s="562"/>
      <c r="E20" s="737"/>
      <c r="F20" s="738" t="s">
        <v>180</v>
      </c>
      <c r="G20" s="739">
        <f>G18+G19</f>
        <v>31260.222025062561</v>
      </c>
      <c r="H20" s="740">
        <f>H18+H19</f>
        <v>-119399.60527004489</v>
      </c>
      <c r="I20" s="741">
        <f t="shared" si="0"/>
        <v>-150659.82729510745</v>
      </c>
      <c r="J20" s="742">
        <f>J18+J19</f>
        <v>31715.583217933774</v>
      </c>
      <c r="K20" s="740">
        <f>K18+K19</f>
        <v>0</v>
      </c>
      <c r="L20" s="743">
        <f t="shared" si="1"/>
        <v>-31715.583217933774</v>
      </c>
      <c r="M20" s="742">
        <f>M18+M19</f>
        <v>5876.0830364983258</v>
      </c>
      <c r="N20" s="740">
        <f>N18+N19</f>
        <v>0</v>
      </c>
      <c r="O20" s="743">
        <f t="shared" si="2"/>
        <v>-5876.0830364983258</v>
      </c>
      <c r="P20" s="744">
        <f>P18+P19</f>
        <v>68851.888279494655</v>
      </c>
      <c r="Q20" s="740">
        <f>Q18+Q19</f>
        <v>-119399.60527004489</v>
      </c>
      <c r="R20" s="745">
        <f t="shared" si="3"/>
        <v>-188251.49354953953</v>
      </c>
      <c r="S20" s="739">
        <f>S18+S19</f>
        <v>1045.0019072767086</v>
      </c>
      <c r="T20" s="740">
        <f>T18+T19</f>
        <v>-108008.94044511393</v>
      </c>
      <c r="U20" s="741">
        <f t="shared" si="4"/>
        <v>-109053.94235239063</v>
      </c>
      <c r="V20" s="742">
        <f>V18+V19</f>
        <v>1126.4986021620468</v>
      </c>
      <c r="W20" s="740">
        <f>W18+W19</f>
        <v>-49900.36496488611</v>
      </c>
      <c r="X20" s="743">
        <f t="shared" si="5"/>
        <v>-51026.86356704816</v>
      </c>
      <c r="Y20" s="742">
        <f>Y18+Y19</f>
        <v>143.52840515411742</v>
      </c>
      <c r="Z20" s="740">
        <f>Z18+Z19</f>
        <v>0</v>
      </c>
      <c r="AA20" s="743">
        <f t="shared" si="6"/>
        <v>-143.52840515411742</v>
      </c>
      <c r="AB20" s="744">
        <f>AB18+AB19</f>
        <v>2315.0289145928728</v>
      </c>
      <c r="AC20" s="740">
        <f>AC18+AC19</f>
        <v>-157909.30541000003</v>
      </c>
      <c r="AD20" s="745">
        <f t="shared" si="7"/>
        <v>-160224.3343245929</v>
      </c>
      <c r="AE20" s="743">
        <f>AE18+AE19</f>
        <v>308.07678386270544</v>
      </c>
      <c r="AF20" s="740">
        <f>AF18+AF19</f>
        <v>3887.2959999999998</v>
      </c>
      <c r="AG20" s="800">
        <f t="shared" si="8"/>
        <v>3579.2192161372946</v>
      </c>
      <c r="AH20" s="743">
        <f>AH18+AH19</f>
        <v>5502.5204896887517</v>
      </c>
      <c r="AI20" s="740">
        <f>AI18+AI19</f>
        <v>-6665.8419999999996</v>
      </c>
      <c r="AJ20" s="743">
        <f t="shared" si="9"/>
        <v>-12168.362489688752</v>
      </c>
      <c r="AK20" s="744">
        <f>AK18+AK19</f>
        <v>5810.597273551457</v>
      </c>
      <c r="AL20" s="740">
        <f>AL18+AL19</f>
        <v>-2778.5460000000003</v>
      </c>
      <c r="AM20" s="745">
        <f t="shared" si="10"/>
        <v>-8589.1432735514572</v>
      </c>
      <c r="AN20" s="744">
        <f>AN18+AN19</f>
        <v>76977.51446763899</v>
      </c>
      <c r="AO20" s="740">
        <f>AO18+AO19</f>
        <v>-280087.45668004494</v>
      </c>
      <c r="AP20" s="745">
        <f t="shared" si="11"/>
        <v>-357064.97114768391</v>
      </c>
      <c r="AR20" s="6">
        <f>+'사업장별(당월)'!T32*1000</f>
        <v>76977.514467638888</v>
      </c>
      <c r="AS20" s="6">
        <f>'사업장별(당월)'!U32*1000</f>
        <v>-280087.45596291707</v>
      </c>
    </row>
    <row r="21" spans="4:45" ht="24" customHeight="1">
      <c r="D21" s="562"/>
      <c r="E21" s="746" t="s">
        <v>215</v>
      </c>
      <c r="F21" s="747" t="s">
        <v>21</v>
      </c>
      <c r="G21" s="748">
        <f>+IFERROR(HLOOKUP($A$1,[10]물량!$G$5:$R$83,2,),)</f>
        <v>0</v>
      </c>
      <c r="H21" s="722">
        <f>+'[7]서부산크라샤(당월)'!$F$60</f>
        <v>0</v>
      </c>
      <c r="I21" s="723">
        <f t="shared" si="0"/>
        <v>0</v>
      </c>
      <c r="J21" s="724">
        <f>+IFERROR(HLOOKUP($A$1,[10]물량!$G$5:$R$83,10,),)</f>
        <v>0</v>
      </c>
      <c r="K21" s="722">
        <f>+'[7]서부산크라샤(당월)'!$I$60</f>
        <v>0</v>
      </c>
      <c r="L21" s="725">
        <f t="shared" si="1"/>
        <v>0</v>
      </c>
      <c r="M21" s="724"/>
      <c r="N21" s="722">
        <f>+'[7]서부산크라샤(당월)'!$L$60</f>
        <v>0</v>
      </c>
      <c r="O21" s="725">
        <f t="shared" si="2"/>
        <v>0</v>
      </c>
      <c r="P21" s="726">
        <f t="shared" ref="P21:Q26" si="12">+G21+J21+M21</f>
        <v>0</v>
      </c>
      <c r="Q21" s="722">
        <f t="shared" si="12"/>
        <v>0</v>
      </c>
      <c r="R21" s="727">
        <f t="shared" si="3"/>
        <v>0</v>
      </c>
      <c r="S21" s="748">
        <f>+IFERROR(HLOOKUP($A$1,[11]물량!$G$5:$R$97,2,),)</f>
        <v>9034.7927999999993</v>
      </c>
      <c r="T21" s="722">
        <f>+'[7]부산크라샤(당월)'!$F$60</f>
        <v>6878</v>
      </c>
      <c r="U21" s="723">
        <f t="shared" si="4"/>
        <v>-2156.7927999999993</v>
      </c>
      <c r="V21" s="724">
        <f>+IFERROR(HLOOKUP($A$1,[11]물량!$G$5:$R$97,10,),)</f>
        <v>6564.1718999999994</v>
      </c>
      <c r="W21" s="722">
        <f>+'[7]부산크라샤(당월)'!$I$60</f>
        <v>4770</v>
      </c>
      <c r="X21" s="725">
        <f t="shared" si="5"/>
        <v>-1794.1718999999994</v>
      </c>
      <c r="Y21" s="724"/>
      <c r="Z21" s="722">
        <f>+'[7]부산크라샤(당월)'!$L$60</f>
        <v>0</v>
      </c>
      <c r="AA21" s="725">
        <f t="shared" si="6"/>
        <v>0</v>
      </c>
      <c r="AB21" s="726">
        <f t="shared" ref="AB21:AC32" si="13">+S21+V21+Y21</f>
        <v>15598.964699999999</v>
      </c>
      <c r="AC21" s="722">
        <f t="shared" si="13"/>
        <v>11648</v>
      </c>
      <c r="AD21" s="727">
        <f t="shared" si="7"/>
        <v>-3950.9646999999986</v>
      </c>
      <c r="AE21" s="725">
        <f>+IFERROR(HLOOKUP($A$1,[12]이송계획!$G$6:$R$318,2,),)</f>
        <v>213.98601398601397</v>
      </c>
      <c r="AF21" s="722">
        <f>+'[13]부산모래장(손익)'!$O$38</f>
        <v>500</v>
      </c>
      <c r="AG21" s="798">
        <f t="shared" si="8"/>
        <v>286.01398601398603</v>
      </c>
      <c r="AH21" s="725">
        <f>+IFERROR(HLOOKUP($A$1,[12]이송계획!$G$6:$R$318,9,),)</f>
        <v>3530.7692307692309</v>
      </c>
      <c r="AI21" s="722">
        <f>+'[13]부산모래장(손익)'!$N$38</f>
        <v>2400</v>
      </c>
      <c r="AJ21" s="725">
        <f t="shared" si="9"/>
        <v>-1130.7692307692309</v>
      </c>
      <c r="AK21" s="726">
        <f t="shared" ref="AK21:AL26" si="14">AE21+AH21</f>
        <v>3744.7552447552448</v>
      </c>
      <c r="AL21" s="722">
        <f t="shared" si="14"/>
        <v>2900</v>
      </c>
      <c r="AM21" s="727">
        <f t="shared" si="10"/>
        <v>-844.7552447552448</v>
      </c>
      <c r="AN21" s="726">
        <f t="shared" ref="AN21:AN26" si="15">+P21+AB21+AK21</f>
        <v>19343.719944755245</v>
      </c>
      <c r="AO21" s="722">
        <f t="shared" ref="AO21:AO26" si="16">+Q21+AC21+AL21</f>
        <v>14548</v>
      </c>
      <c r="AP21" s="727">
        <f t="shared" si="11"/>
        <v>-4795.7199447552448</v>
      </c>
      <c r="AR21" s="749" t="b">
        <f>+AR20=AN20</f>
        <v>0</v>
      </c>
      <c r="AS21" s="749" t="b">
        <f>+AS20=AO20</f>
        <v>0</v>
      </c>
    </row>
    <row r="22" spans="4:45" ht="24" customHeight="1">
      <c r="D22" s="562"/>
      <c r="E22" s="728" t="s">
        <v>0</v>
      </c>
      <c r="F22" s="750" t="s">
        <v>22</v>
      </c>
      <c r="G22" s="751">
        <f>+IFERROR(HLOOKUP($A$1,[10]물량!$G$5:$R$83,3,),)</f>
        <v>8199.8666666666668</v>
      </c>
      <c r="H22" s="752">
        <f>+'[7]서부산크라샤(당월)'!$F$61</f>
        <v>0</v>
      </c>
      <c r="I22" s="753">
        <f t="shared" si="0"/>
        <v>-8199.8666666666668</v>
      </c>
      <c r="J22" s="754">
        <f>+IFERROR(HLOOKUP($A$1,[10]물량!$G$5:$R$83,11,),)</f>
        <v>5332</v>
      </c>
      <c r="K22" s="752">
        <f>+'[7]서부산크라샤(당월)'!$I$61</f>
        <v>0</v>
      </c>
      <c r="L22" s="755">
        <f t="shared" si="1"/>
        <v>-5332</v>
      </c>
      <c r="M22" s="754"/>
      <c r="N22" s="752">
        <f>+'[7]서부산크라샤(당월)'!$L$61</f>
        <v>0</v>
      </c>
      <c r="O22" s="755">
        <f t="shared" si="2"/>
        <v>0</v>
      </c>
      <c r="P22" s="756">
        <f t="shared" si="12"/>
        <v>13531.866666666667</v>
      </c>
      <c r="Q22" s="752">
        <f t="shared" si="12"/>
        <v>0</v>
      </c>
      <c r="R22" s="757">
        <f t="shared" si="3"/>
        <v>-13531.866666666667</v>
      </c>
      <c r="S22" s="751">
        <f>+IFERROR(HLOOKUP($A$1,[11]물량!$G$5:$R$97,3,),)</f>
        <v>0</v>
      </c>
      <c r="T22" s="752">
        <f>+'[7]부산크라샤(당월)'!$F$61</f>
        <v>5088</v>
      </c>
      <c r="U22" s="753">
        <f t="shared" si="4"/>
        <v>5088</v>
      </c>
      <c r="V22" s="754">
        <f>+IFERROR(HLOOKUP($A$1,[11]물량!$G$5:$R$97,11,),)</f>
        <v>0</v>
      </c>
      <c r="W22" s="752">
        <f>+'[7]부산크라샤(당월)'!$I$61</f>
        <v>2480</v>
      </c>
      <c r="X22" s="755">
        <f t="shared" si="5"/>
        <v>2480</v>
      </c>
      <c r="Y22" s="754"/>
      <c r="Z22" s="752">
        <f>+'[7]부산크라샤(당월)'!$L$61</f>
        <v>0</v>
      </c>
      <c r="AA22" s="755">
        <f t="shared" si="6"/>
        <v>0</v>
      </c>
      <c r="AB22" s="756">
        <f t="shared" si="13"/>
        <v>0</v>
      </c>
      <c r="AC22" s="752">
        <f t="shared" si="13"/>
        <v>7568</v>
      </c>
      <c r="AD22" s="757">
        <f t="shared" si="7"/>
        <v>7568</v>
      </c>
      <c r="AE22" s="755">
        <f>+IFERROR(HLOOKUP($A$1,[12]이송계획!$G$6:$R$318,3,),)</f>
        <v>0</v>
      </c>
      <c r="AF22" s="752">
        <f>+'[13]부산모래장(손익)'!$O$39</f>
        <v>0</v>
      </c>
      <c r="AG22" s="801">
        <f t="shared" si="8"/>
        <v>0</v>
      </c>
      <c r="AH22" s="755">
        <f>+IFERROR(HLOOKUP($A$1,[12]이송계획!$G$6:$R$318,10,),)</f>
        <v>4067.8321678321677</v>
      </c>
      <c r="AI22" s="752">
        <f>+'[13]부산모래장(손익)'!$N$39</f>
        <v>2704</v>
      </c>
      <c r="AJ22" s="755">
        <f t="shared" si="9"/>
        <v>-1363.8321678321677</v>
      </c>
      <c r="AK22" s="756">
        <f t="shared" si="14"/>
        <v>4067.8321678321677</v>
      </c>
      <c r="AL22" s="752">
        <f t="shared" si="14"/>
        <v>2704</v>
      </c>
      <c r="AM22" s="757">
        <f t="shared" si="10"/>
        <v>-1363.8321678321677</v>
      </c>
      <c r="AN22" s="756">
        <f t="shared" si="15"/>
        <v>17599.698834498835</v>
      </c>
      <c r="AO22" s="752">
        <f t="shared" si="16"/>
        <v>10272</v>
      </c>
      <c r="AP22" s="757">
        <f t="shared" si="11"/>
        <v>-7327.6988344988349</v>
      </c>
      <c r="AR22" s="86">
        <f>+AN20-AR20</f>
        <v>0</v>
      </c>
      <c r="AS22" s="86">
        <f>+AO20-AS20</f>
        <v>-7.1712787030264735E-4</v>
      </c>
    </row>
    <row r="23" spans="4:45" ht="24" customHeight="1">
      <c r="D23" s="562"/>
      <c r="E23" s="728"/>
      <c r="F23" s="750" t="s">
        <v>23</v>
      </c>
      <c r="G23" s="751">
        <f>+IFERROR(HLOOKUP($A$1,[10]물량!$G$5:$R$83,4,),)</f>
        <v>1232</v>
      </c>
      <c r="H23" s="752">
        <f>+'[7]서부산크라샤(당월)'!$F$62</f>
        <v>0</v>
      </c>
      <c r="I23" s="753">
        <f t="shared" si="0"/>
        <v>-1232</v>
      </c>
      <c r="J23" s="754">
        <f>+IFERROR(HLOOKUP($A$1,[10]물량!$G$5:$R$83,12,),)</f>
        <v>1064</v>
      </c>
      <c r="K23" s="752">
        <f>+'[7]서부산크라샤(당월)'!$I$62</f>
        <v>0</v>
      </c>
      <c r="L23" s="755">
        <f t="shared" si="1"/>
        <v>-1064</v>
      </c>
      <c r="M23" s="754"/>
      <c r="N23" s="752">
        <f>+'[7]서부산크라샤(당월)'!$L$62</f>
        <v>0</v>
      </c>
      <c r="O23" s="755">
        <f t="shared" si="2"/>
        <v>0</v>
      </c>
      <c r="P23" s="756">
        <f t="shared" si="12"/>
        <v>2296</v>
      </c>
      <c r="Q23" s="752">
        <f t="shared" si="12"/>
        <v>0</v>
      </c>
      <c r="R23" s="757">
        <f t="shared" si="3"/>
        <v>-2296</v>
      </c>
      <c r="S23" s="751">
        <f>+IFERROR(HLOOKUP($A$1,[11]물량!$G$5:$R$97,4,),)</f>
        <v>0</v>
      </c>
      <c r="T23" s="752">
        <f>+'[7]부산크라샤(당월)'!$F$62</f>
        <v>0</v>
      </c>
      <c r="U23" s="753">
        <f t="shared" si="4"/>
        <v>0</v>
      </c>
      <c r="V23" s="754">
        <f>+IFERROR(HLOOKUP($A$1,[11]물량!$G$5:$R$97,12,),)</f>
        <v>0</v>
      </c>
      <c r="W23" s="752">
        <f>+'[7]부산크라샤(당월)'!$I$62</f>
        <v>0</v>
      </c>
      <c r="X23" s="755">
        <f t="shared" si="5"/>
        <v>0</v>
      </c>
      <c r="Y23" s="754"/>
      <c r="Z23" s="752">
        <f>+'[7]부산크라샤(당월)'!$L$62</f>
        <v>0</v>
      </c>
      <c r="AA23" s="755">
        <f t="shared" si="6"/>
        <v>0</v>
      </c>
      <c r="AB23" s="756">
        <f t="shared" si="13"/>
        <v>0</v>
      </c>
      <c r="AC23" s="752">
        <f t="shared" si="13"/>
        <v>0</v>
      </c>
      <c r="AD23" s="757">
        <f t="shared" si="7"/>
        <v>0</v>
      </c>
      <c r="AE23" s="755">
        <f>+IFERROR(HLOOKUP($A$1,[12]이송계획!$G$6:$R$318,4,),)</f>
        <v>0</v>
      </c>
      <c r="AF23" s="752">
        <f>+'[13]부산모래장(손익)'!$O$40</f>
        <v>0</v>
      </c>
      <c r="AG23" s="801">
        <f t="shared" si="8"/>
        <v>0</v>
      </c>
      <c r="AH23" s="755">
        <f>+IFERROR(HLOOKUP($A$1,[12]이송계획!$G$6:$R$318,11,),)</f>
        <v>1913.2867132867134</v>
      </c>
      <c r="AI23" s="752">
        <f>+'[13]부산모래장(손익)'!$N$40</f>
        <v>1488</v>
      </c>
      <c r="AJ23" s="755">
        <f t="shared" si="9"/>
        <v>-425.28671328671339</v>
      </c>
      <c r="AK23" s="756">
        <f t="shared" si="14"/>
        <v>1913.2867132867134</v>
      </c>
      <c r="AL23" s="752">
        <f t="shared" si="14"/>
        <v>1488</v>
      </c>
      <c r="AM23" s="757">
        <f t="shared" si="10"/>
        <v>-425.28671328671339</v>
      </c>
      <c r="AN23" s="756">
        <f t="shared" si="15"/>
        <v>4209.2867132867132</v>
      </c>
      <c r="AO23" s="752">
        <f t="shared" si="16"/>
        <v>1488</v>
      </c>
      <c r="AP23" s="757">
        <f t="shared" si="11"/>
        <v>-2721.2867132867132</v>
      </c>
    </row>
    <row r="24" spans="4:45" ht="24" customHeight="1">
      <c r="D24" s="562"/>
      <c r="E24" s="728"/>
      <c r="F24" s="750" t="s">
        <v>24</v>
      </c>
      <c r="G24" s="751">
        <f>+IFERROR(HLOOKUP($A$1,[10]물량!$G$5:$R$83,5,),)</f>
        <v>0</v>
      </c>
      <c r="H24" s="752">
        <f>+'[7]서부산크라샤(당월)'!$F$63</f>
        <v>0</v>
      </c>
      <c r="I24" s="753">
        <f t="shared" si="0"/>
        <v>0</v>
      </c>
      <c r="J24" s="754">
        <f>+IFERROR(HLOOKUP($A$1,[10]물량!$G$5:$R$83,13,),)</f>
        <v>0</v>
      </c>
      <c r="K24" s="752">
        <f>+'[7]서부산크라샤(당월)'!$I$63</f>
        <v>0</v>
      </c>
      <c r="L24" s="755">
        <f t="shared" si="1"/>
        <v>0</v>
      </c>
      <c r="M24" s="754"/>
      <c r="N24" s="752">
        <f>+'[7]서부산크라샤(당월)'!$L$63</f>
        <v>0</v>
      </c>
      <c r="O24" s="755">
        <f t="shared" si="2"/>
        <v>0</v>
      </c>
      <c r="P24" s="756">
        <f t="shared" si="12"/>
        <v>0</v>
      </c>
      <c r="Q24" s="752">
        <f t="shared" si="12"/>
        <v>0</v>
      </c>
      <c r="R24" s="757">
        <f t="shared" si="3"/>
        <v>0</v>
      </c>
      <c r="S24" s="751">
        <f>+IFERROR(HLOOKUP($A$1,[11]물량!$G$5:$R$97,5,),)</f>
        <v>0</v>
      </c>
      <c r="T24" s="752">
        <f>+'[7]부산크라샤(당월)'!$F$63</f>
        <v>0</v>
      </c>
      <c r="U24" s="753">
        <f t="shared" si="4"/>
        <v>0</v>
      </c>
      <c r="V24" s="754">
        <f>+IFERROR(HLOOKUP($A$1,[11]물량!$G$5:$R$97,13,),)</f>
        <v>127.33066666666667</v>
      </c>
      <c r="W24" s="752">
        <f>+'[7]부산크라샤(당월)'!$I$63</f>
        <v>1072</v>
      </c>
      <c r="X24" s="755">
        <f t="shared" si="5"/>
        <v>944.66933333333327</v>
      </c>
      <c r="Y24" s="754"/>
      <c r="Z24" s="752">
        <f>+'[7]부산크라샤(당월)'!$L$63</f>
        <v>0</v>
      </c>
      <c r="AA24" s="755">
        <f t="shared" si="6"/>
        <v>0</v>
      </c>
      <c r="AB24" s="756">
        <f t="shared" si="13"/>
        <v>127.33066666666667</v>
      </c>
      <c r="AC24" s="752">
        <f t="shared" si="13"/>
        <v>1072</v>
      </c>
      <c r="AD24" s="757">
        <f t="shared" si="7"/>
        <v>944.66933333333327</v>
      </c>
      <c r="AE24" s="755">
        <f>+IFERROR(HLOOKUP($A$1,[12]이송계획!$G$6:$R$318,5,),)</f>
        <v>0</v>
      </c>
      <c r="AF24" s="752">
        <f>+'[13]부산모래장(손익)'!$O$41</f>
        <v>0</v>
      </c>
      <c r="AG24" s="801">
        <f t="shared" si="8"/>
        <v>0</v>
      </c>
      <c r="AH24" s="755">
        <f>+IFERROR(HLOOKUP($A$1,[12]이송계획!$G$6:$R$318,12,),)</f>
        <v>4356.2387193972736</v>
      </c>
      <c r="AI24" s="752">
        <f>+'[13]부산모래장(손익)'!$N$41</f>
        <v>2880</v>
      </c>
      <c r="AJ24" s="755">
        <f t="shared" si="9"/>
        <v>-1476.2387193972736</v>
      </c>
      <c r="AK24" s="756">
        <f t="shared" si="14"/>
        <v>4356.2387193972736</v>
      </c>
      <c r="AL24" s="752">
        <f t="shared" si="14"/>
        <v>2880</v>
      </c>
      <c r="AM24" s="757">
        <f t="shared" si="10"/>
        <v>-1476.2387193972736</v>
      </c>
      <c r="AN24" s="756">
        <f t="shared" si="15"/>
        <v>4483.5693860639403</v>
      </c>
      <c r="AO24" s="752">
        <f t="shared" si="16"/>
        <v>3952</v>
      </c>
      <c r="AP24" s="757">
        <f t="shared" si="11"/>
        <v>-531.56938606394033</v>
      </c>
    </row>
    <row r="25" spans="4:45" ht="24" customHeight="1">
      <c r="D25" s="562"/>
      <c r="E25" s="728"/>
      <c r="F25" s="750" t="s">
        <v>25</v>
      </c>
      <c r="G25" s="751">
        <f>+IFERROR(HLOOKUP($A$1,[10]물량!$G$5:$R$83,6,),)</f>
        <v>0</v>
      </c>
      <c r="H25" s="752">
        <f>+'[7]서부산크라샤(당월)'!$F$64</f>
        <v>0</v>
      </c>
      <c r="I25" s="753">
        <f t="shared" si="0"/>
        <v>0</v>
      </c>
      <c r="J25" s="754">
        <f>+IFERROR(HLOOKUP($A$1,[10]물량!$G$5:$R$83,14,),)</f>
        <v>0</v>
      </c>
      <c r="K25" s="752">
        <f>+'[7]서부산크라샤(당월)'!$I$64</f>
        <v>0</v>
      </c>
      <c r="L25" s="755">
        <f t="shared" si="1"/>
        <v>0</v>
      </c>
      <c r="M25" s="754"/>
      <c r="N25" s="752">
        <f>+'[7]서부산크라샤(당월)'!$L$64</f>
        <v>0</v>
      </c>
      <c r="O25" s="755">
        <f t="shared" si="2"/>
        <v>0</v>
      </c>
      <c r="P25" s="756">
        <f t="shared" si="12"/>
        <v>0</v>
      </c>
      <c r="Q25" s="752">
        <f t="shared" si="12"/>
        <v>0</v>
      </c>
      <c r="R25" s="757">
        <f t="shared" si="3"/>
        <v>0</v>
      </c>
      <c r="S25" s="751">
        <f>+IFERROR(HLOOKUP($A$1,[11]물량!$G$5:$R$97,6,),)</f>
        <v>0</v>
      </c>
      <c r="T25" s="752">
        <f>+'[7]부산크라샤(당월)'!$F$64</f>
        <v>0</v>
      </c>
      <c r="U25" s="753">
        <f t="shared" si="4"/>
        <v>0</v>
      </c>
      <c r="V25" s="754">
        <f>+IFERROR(HLOOKUP($A$1,[11]물량!$G$5:$R$97,14,),)</f>
        <v>0</v>
      </c>
      <c r="W25" s="752">
        <f>+'[7]부산크라샤(당월)'!$I$64</f>
        <v>0</v>
      </c>
      <c r="X25" s="755">
        <f t="shared" si="5"/>
        <v>0</v>
      </c>
      <c r="Y25" s="754"/>
      <c r="Z25" s="752">
        <f>+'[7]부산크라샤(당월)'!$L$64</f>
        <v>0</v>
      </c>
      <c r="AA25" s="755">
        <f t="shared" si="6"/>
        <v>0</v>
      </c>
      <c r="AB25" s="756">
        <f t="shared" si="13"/>
        <v>0</v>
      </c>
      <c r="AC25" s="752">
        <f t="shared" si="13"/>
        <v>0</v>
      </c>
      <c r="AD25" s="757">
        <f t="shared" si="7"/>
        <v>0</v>
      </c>
      <c r="AE25" s="755">
        <f>+IFERROR(HLOOKUP($A$1,[12]이송계획!$G$6:$R$318,6,),)</f>
        <v>0</v>
      </c>
      <c r="AF25" s="752">
        <f>+'[13]부산모래장(손익)'!$O$42</f>
        <v>0</v>
      </c>
      <c r="AG25" s="801">
        <f t="shared" si="8"/>
        <v>0</v>
      </c>
      <c r="AH25" s="755">
        <f>+IFERROR(HLOOKUP($A$1,[12]이송계획!$G$6:$R$318,13,),)</f>
        <v>572.02237762237758</v>
      </c>
      <c r="AI25" s="752">
        <f>+'[13]부산모래장(손익)'!$N$42</f>
        <v>0</v>
      </c>
      <c r="AJ25" s="755">
        <f t="shared" si="9"/>
        <v>-572.02237762237758</v>
      </c>
      <c r="AK25" s="756">
        <f t="shared" si="14"/>
        <v>572.02237762237758</v>
      </c>
      <c r="AL25" s="752">
        <f t="shared" si="14"/>
        <v>0</v>
      </c>
      <c r="AM25" s="757">
        <f t="shared" si="10"/>
        <v>-572.02237762237758</v>
      </c>
      <c r="AN25" s="756">
        <f t="shared" si="15"/>
        <v>572.02237762237758</v>
      </c>
      <c r="AO25" s="752">
        <f t="shared" si="16"/>
        <v>0</v>
      </c>
      <c r="AP25" s="757">
        <f t="shared" si="11"/>
        <v>-572.02237762237758</v>
      </c>
    </row>
    <row r="26" spans="4:45" ht="24" customHeight="1">
      <c r="D26" s="562"/>
      <c r="E26" s="728"/>
      <c r="F26" s="750" t="s">
        <v>26</v>
      </c>
      <c r="G26" s="751">
        <f>+IFERROR(HLOOKUP($A$1,[10]물량!$G$5:$R$83,7,),)</f>
        <v>387.8</v>
      </c>
      <c r="H26" s="752">
        <f>+'[7]서부산크라샤(당월)'!$F$65</f>
        <v>0</v>
      </c>
      <c r="I26" s="753">
        <f t="shared" si="0"/>
        <v>-387.8</v>
      </c>
      <c r="J26" s="754">
        <f>+IFERROR(HLOOKUP($A$1,[10]물량!$G$5:$R$83,15,),)</f>
        <v>222.19354838709677</v>
      </c>
      <c r="K26" s="752">
        <f>+'[7]서부산크라샤(당월)'!$I$65</f>
        <v>0</v>
      </c>
      <c r="L26" s="755">
        <f t="shared" si="1"/>
        <v>-222.19354838709677</v>
      </c>
      <c r="M26" s="754"/>
      <c r="N26" s="752">
        <f>+'[7]서부산크라샤(당월)'!$L$65</f>
        <v>0</v>
      </c>
      <c r="O26" s="755">
        <f t="shared" si="2"/>
        <v>0</v>
      </c>
      <c r="P26" s="756">
        <f t="shared" si="12"/>
        <v>609.99354838709678</v>
      </c>
      <c r="Q26" s="731">
        <f t="shared" si="12"/>
        <v>0</v>
      </c>
      <c r="R26" s="758">
        <f t="shared" si="3"/>
        <v>-609.99354838709678</v>
      </c>
      <c r="S26" s="751">
        <f>+IFERROR(HLOOKUP($A$1,[11]물량!$G$5:$R$97,7,),)</f>
        <v>0</v>
      </c>
      <c r="T26" s="752">
        <f>+'[7]부산크라샤(당월)'!$F$65</f>
        <v>0</v>
      </c>
      <c r="U26" s="753">
        <f t="shared" si="4"/>
        <v>0</v>
      </c>
      <c r="V26" s="754">
        <f>+IFERROR(HLOOKUP($A$1,[11]물량!$G$5:$R$97,15,),)</f>
        <v>0</v>
      </c>
      <c r="W26" s="752">
        <f>+'[7]부산크라샤(당월)'!$I$65</f>
        <v>0</v>
      </c>
      <c r="X26" s="755">
        <f t="shared" si="5"/>
        <v>0</v>
      </c>
      <c r="Y26" s="754"/>
      <c r="Z26" s="752">
        <f>+'[7]부산크라샤(당월)'!$L$65</f>
        <v>0</v>
      </c>
      <c r="AA26" s="755">
        <f t="shared" si="6"/>
        <v>0</v>
      </c>
      <c r="AB26" s="756">
        <f t="shared" si="13"/>
        <v>0</v>
      </c>
      <c r="AC26" s="731">
        <f t="shared" si="13"/>
        <v>0</v>
      </c>
      <c r="AD26" s="758">
        <f t="shared" si="7"/>
        <v>0</v>
      </c>
      <c r="AE26" s="755">
        <f>+IFERROR(HLOOKUP($A$1,[12]이송계획!$G$6:$R$318,7,),)</f>
        <v>0</v>
      </c>
      <c r="AF26" s="752">
        <f>+'[13]부산모래장(손익)'!$O$43</f>
        <v>0</v>
      </c>
      <c r="AG26" s="801">
        <f t="shared" si="8"/>
        <v>0</v>
      </c>
      <c r="AH26" s="755">
        <f>+IFERROR(HLOOKUP($A$1,[12]이송계획!$G$6:$R$318,14,),)</f>
        <v>0</v>
      </c>
      <c r="AI26" s="752">
        <f>+'[13]부산모래장(손익)'!$N$43</f>
        <v>0</v>
      </c>
      <c r="AJ26" s="755">
        <f t="shared" si="9"/>
        <v>0</v>
      </c>
      <c r="AK26" s="756">
        <f t="shared" si="14"/>
        <v>0</v>
      </c>
      <c r="AL26" s="731">
        <f t="shared" si="14"/>
        <v>0</v>
      </c>
      <c r="AM26" s="758">
        <f t="shared" si="10"/>
        <v>0</v>
      </c>
      <c r="AN26" s="756">
        <f t="shared" si="15"/>
        <v>609.99354838709678</v>
      </c>
      <c r="AO26" s="731">
        <f t="shared" si="16"/>
        <v>0</v>
      </c>
      <c r="AP26" s="757">
        <f t="shared" si="11"/>
        <v>-609.99354838709678</v>
      </c>
    </row>
    <row r="27" spans="4:45" ht="24" customHeight="1">
      <c r="D27" s="562"/>
      <c r="E27" s="759" t="s">
        <v>215</v>
      </c>
      <c r="F27" s="710" t="s">
        <v>21</v>
      </c>
      <c r="G27" s="169">
        <f>+IFERROR(HLOOKUP($A$1,[10]매출!$G$5:$R$170,2,),)</f>
        <v>0</v>
      </c>
      <c r="H27" s="760">
        <f t="shared" ref="H27:H32" si="17">IFERROR(H35/H21,)*1000</f>
        <v>0</v>
      </c>
      <c r="I27" s="761">
        <f t="shared" si="0"/>
        <v>0</v>
      </c>
      <c r="J27" s="762">
        <f>+IFERROR(HLOOKUP($A$1,[10]매출!$G$5:$R$170,10,),)</f>
        <v>0</v>
      </c>
      <c r="K27" s="760">
        <f t="shared" ref="K27:K32" si="18">IFERROR(K35/K21,)*1000</f>
        <v>0</v>
      </c>
      <c r="L27" s="170">
        <f t="shared" si="1"/>
        <v>0</v>
      </c>
      <c r="M27" s="762"/>
      <c r="N27" s="760">
        <f t="shared" ref="N27:N32" si="19">IFERROR(N35/N21,)*1000</f>
        <v>0</v>
      </c>
      <c r="O27" s="170">
        <f t="shared" si="2"/>
        <v>0</v>
      </c>
      <c r="P27" s="763">
        <f>+IFERROR(HLOOKUP($A$1,[10]매출!$G$5:$R$170,50,),)</f>
        <v>0</v>
      </c>
      <c r="Q27" s="764">
        <f t="shared" ref="Q27:Q32" si="20">IFERROR(Q35/Q21,)*1000</f>
        <v>0</v>
      </c>
      <c r="R27" s="765">
        <f t="shared" si="3"/>
        <v>0</v>
      </c>
      <c r="S27" s="169">
        <f>+IFERROR(HLOOKUP($A$1,[11]매출!$G$5:$R$164,2,),)</f>
        <v>17500</v>
      </c>
      <c r="T27" s="760">
        <f t="shared" ref="T27:T32" si="21">IFERROR(T35/T21,)*1000</f>
        <v>17500</v>
      </c>
      <c r="U27" s="761">
        <f t="shared" si="4"/>
        <v>0</v>
      </c>
      <c r="V27" s="762">
        <f>+IFERROR(HLOOKUP($A$1,[11]매출!$G$5:$R$164,10,),)</f>
        <v>23500</v>
      </c>
      <c r="W27" s="760">
        <f t="shared" ref="W27:W32" si="22">IFERROR(W35/W21,)*1000</f>
        <v>23500</v>
      </c>
      <c r="X27" s="170">
        <f t="shared" si="5"/>
        <v>0</v>
      </c>
      <c r="Y27" s="762"/>
      <c r="Z27" s="760">
        <f t="shared" ref="Z27:Z32" si="23">IFERROR(Z35/Z21,)*1000</f>
        <v>0</v>
      </c>
      <c r="AA27" s="170">
        <f t="shared" si="6"/>
        <v>0</v>
      </c>
      <c r="AB27" s="763">
        <f>+IFERROR(HLOOKUP($A$1,[11]매출!$G$5:$R$164,50,),)</f>
        <v>20024.849062579135</v>
      </c>
      <c r="AC27" s="764">
        <f t="shared" si="13"/>
        <v>41000</v>
      </c>
      <c r="AD27" s="765">
        <f t="shared" si="7"/>
        <v>20975.150937420865</v>
      </c>
      <c r="AE27" s="170">
        <f>+IFERROR(HLOOKUP($A$1,[12]이송계획!$G$6:$R$318,34,),)</f>
        <v>38000</v>
      </c>
      <c r="AF27" s="760">
        <f>+'[13]부산모래장(손익)'!$O$46</f>
        <v>38000</v>
      </c>
      <c r="AG27" s="251">
        <f t="shared" si="8"/>
        <v>0</v>
      </c>
      <c r="AH27" s="170">
        <f>+IFERROR(HLOOKUP($A$1,[12]이송계획!$G$6:$R$318,41,),)</f>
        <v>30500</v>
      </c>
      <c r="AI27" s="760">
        <f>+'[13]부산모래장(손익)'!$N$46</f>
        <v>32000</v>
      </c>
      <c r="AJ27" s="170">
        <f t="shared" si="9"/>
        <v>1500</v>
      </c>
      <c r="AK27" s="763">
        <f t="shared" ref="AK27:AL32" si="24">IFERROR(AK35/AK21,)*1000</f>
        <v>2171.4285714285711</v>
      </c>
      <c r="AL27" s="764">
        <f t="shared" si="24"/>
        <v>33034.482758620688</v>
      </c>
      <c r="AM27" s="765">
        <f t="shared" si="10"/>
        <v>30863.054187192116</v>
      </c>
      <c r="AN27" s="599">
        <f t="shared" ref="AN27:AO32" si="25">IFERROR(AN35/AN21,)*1000</f>
        <v>16568.601235791091</v>
      </c>
      <c r="AO27" s="760">
        <f t="shared" si="25"/>
        <v>22563.926312895244</v>
      </c>
      <c r="AP27" s="601">
        <f t="shared" si="11"/>
        <v>5995.325077104153</v>
      </c>
    </row>
    <row r="28" spans="4:45" ht="24" customHeight="1">
      <c r="D28" s="562"/>
      <c r="E28" s="728" t="s">
        <v>217</v>
      </c>
      <c r="F28" s="750" t="s">
        <v>22</v>
      </c>
      <c r="G28" s="766">
        <f>+IFERROR(HLOOKUP($A$1,[10]매출!$G$5:$R$170,3,),)</f>
        <v>16000</v>
      </c>
      <c r="H28" s="767">
        <f t="shared" si="17"/>
        <v>0</v>
      </c>
      <c r="I28" s="768">
        <f t="shared" si="0"/>
        <v>-16000</v>
      </c>
      <c r="J28" s="769">
        <f>+IFERROR(HLOOKUP($A$1,[10]매출!$G$5:$R$170,11,),)</f>
        <v>22000</v>
      </c>
      <c r="K28" s="767">
        <f t="shared" si="18"/>
        <v>0</v>
      </c>
      <c r="L28" s="589">
        <f t="shared" si="1"/>
        <v>-22000</v>
      </c>
      <c r="M28" s="769"/>
      <c r="N28" s="767">
        <f t="shared" si="19"/>
        <v>0</v>
      </c>
      <c r="O28" s="589">
        <f t="shared" si="2"/>
        <v>0</v>
      </c>
      <c r="P28" s="770">
        <f>+IFERROR(HLOOKUP($A$1,[10]매출!$G$5:$R$170,51,),)</f>
        <v>18364.197105104984</v>
      </c>
      <c r="Q28" s="771">
        <f t="shared" si="20"/>
        <v>0</v>
      </c>
      <c r="R28" s="772">
        <f t="shared" si="3"/>
        <v>-18364.197105104984</v>
      </c>
      <c r="S28" s="766">
        <f>+IFERROR(HLOOKUP($A$1,[11]매출!$G$5:$R$164,3,),)</f>
        <v>0</v>
      </c>
      <c r="T28" s="767">
        <f t="shared" si="21"/>
        <v>12000</v>
      </c>
      <c r="U28" s="768">
        <f t="shared" si="4"/>
        <v>12000</v>
      </c>
      <c r="V28" s="769">
        <f>+IFERROR(HLOOKUP($A$1,[11]매출!$G$5:$R$164,11,),)</f>
        <v>0</v>
      </c>
      <c r="W28" s="767">
        <f t="shared" si="22"/>
        <v>18000</v>
      </c>
      <c r="X28" s="589">
        <f t="shared" si="5"/>
        <v>18000</v>
      </c>
      <c r="Y28" s="769"/>
      <c r="Z28" s="767">
        <f t="shared" si="23"/>
        <v>0</v>
      </c>
      <c r="AA28" s="589">
        <f t="shared" si="6"/>
        <v>0</v>
      </c>
      <c r="AB28" s="770">
        <f>+IFERROR(HLOOKUP($A$1,[11]매출!$G$5:$R$164,51,),)</f>
        <v>0</v>
      </c>
      <c r="AC28" s="771">
        <f t="shared" si="13"/>
        <v>30000</v>
      </c>
      <c r="AD28" s="772">
        <f t="shared" si="7"/>
        <v>30000</v>
      </c>
      <c r="AE28" s="589">
        <f>+IFERROR(HLOOKUP($A$1,[12]이송계획!$G$6:$R$318,35,),)</f>
        <v>0</v>
      </c>
      <c r="AF28" s="767">
        <f>+'[13]부산모래장(손익)'!$O$47</f>
        <v>0</v>
      </c>
      <c r="AG28" s="802">
        <f t="shared" si="8"/>
        <v>0</v>
      </c>
      <c r="AH28" s="589">
        <f>+IFERROR(HLOOKUP($A$1,[12]이송계획!$G$6:$R$318,42,),)</f>
        <v>26500</v>
      </c>
      <c r="AI28" s="767">
        <f>+'[13]부산모래장(손익)'!$N$47</f>
        <v>27500</v>
      </c>
      <c r="AJ28" s="589">
        <f t="shared" si="9"/>
        <v>1000</v>
      </c>
      <c r="AK28" s="770">
        <f t="shared" si="24"/>
        <v>1998.968540484786</v>
      </c>
      <c r="AL28" s="771">
        <f t="shared" si="24"/>
        <v>27500</v>
      </c>
      <c r="AM28" s="772">
        <f t="shared" si="10"/>
        <v>25501.031459515216</v>
      </c>
      <c r="AN28" s="587">
        <f t="shared" ref="AN28" si="26">IFERROR(AN36/AN22,)*1000</f>
        <v>14581.689017034991</v>
      </c>
      <c r="AO28" s="767">
        <f t="shared" si="25"/>
        <v>17528.816199376946</v>
      </c>
      <c r="AP28" s="590">
        <f t="shared" si="11"/>
        <v>2947.1271823419556</v>
      </c>
    </row>
    <row r="29" spans="4:45" ht="24" customHeight="1">
      <c r="D29" s="562"/>
      <c r="E29" s="728"/>
      <c r="F29" s="750" t="s">
        <v>23</v>
      </c>
      <c r="G29" s="766">
        <f>+IFERROR(HLOOKUP($A$1,[10]매출!$G$5:$R$170,4,),)</f>
        <v>10000</v>
      </c>
      <c r="H29" s="767">
        <f t="shared" si="17"/>
        <v>0</v>
      </c>
      <c r="I29" s="768">
        <f t="shared" si="0"/>
        <v>-10000</v>
      </c>
      <c r="J29" s="769">
        <f>+IFERROR(HLOOKUP($A$1,[10]매출!$G$5:$R$170,12,),)</f>
        <v>16000</v>
      </c>
      <c r="K29" s="767">
        <f t="shared" si="18"/>
        <v>0</v>
      </c>
      <c r="L29" s="589">
        <f t="shared" si="1"/>
        <v>-16000</v>
      </c>
      <c r="M29" s="769"/>
      <c r="N29" s="767">
        <f t="shared" si="19"/>
        <v>0</v>
      </c>
      <c r="O29" s="589">
        <f t="shared" si="2"/>
        <v>0</v>
      </c>
      <c r="P29" s="773">
        <f>+IFERROR(HLOOKUP($A$1,[10]매출!$G$5:$R$170,52,),)</f>
        <v>12780.48780487805</v>
      </c>
      <c r="Q29" s="774">
        <f t="shared" si="20"/>
        <v>0</v>
      </c>
      <c r="R29" s="772">
        <f t="shared" si="3"/>
        <v>-12780.48780487805</v>
      </c>
      <c r="S29" s="766">
        <f>+IFERROR(HLOOKUP($A$1,[11]매출!$G$5:$R$164,4,),)</f>
        <v>0</v>
      </c>
      <c r="T29" s="767">
        <f t="shared" si="21"/>
        <v>0</v>
      </c>
      <c r="U29" s="768">
        <f t="shared" si="4"/>
        <v>0</v>
      </c>
      <c r="V29" s="769">
        <f>+IFERROR(HLOOKUP($A$1,[11]매출!$G$5:$R$164,12,),)</f>
        <v>0</v>
      </c>
      <c r="W29" s="767">
        <f t="shared" si="22"/>
        <v>0</v>
      </c>
      <c r="X29" s="589">
        <f t="shared" si="5"/>
        <v>0</v>
      </c>
      <c r="Y29" s="769"/>
      <c r="Z29" s="767">
        <f t="shared" si="23"/>
        <v>0</v>
      </c>
      <c r="AA29" s="589">
        <f t="shared" si="6"/>
        <v>0</v>
      </c>
      <c r="AB29" s="773">
        <f>+IFERROR(HLOOKUP($A$1,[11]매출!$G$5:$R$164,52,),)</f>
        <v>0</v>
      </c>
      <c r="AC29" s="774">
        <f t="shared" si="13"/>
        <v>0</v>
      </c>
      <c r="AD29" s="772">
        <f t="shared" si="7"/>
        <v>0</v>
      </c>
      <c r="AE29" s="589">
        <f>+IFERROR(HLOOKUP($A$1,[12]이송계획!$G$6:$R$318,36,),)</f>
        <v>0</v>
      </c>
      <c r="AF29" s="767">
        <f>+'[13]부산모래장(손익)'!$O$48</f>
        <v>0</v>
      </c>
      <c r="AG29" s="802">
        <f t="shared" si="8"/>
        <v>0</v>
      </c>
      <c r="AH29" s="589">
        <f>+IFERROR(HLOOKUP($A$1,[12]이송계획!$G$6:$R$318,43,),)</f>
        <v>26000</v>
      </c>
      <c r="AI29" s="767">
        <f>+'[13]부산모래장(손익)'!$N$48</f>
        <v>27500</v>
      </c>
      <c r="AJ29" s="589">
        <f t="shared" si="9"/>
        <v>1500</v>
      </c>
      <c r="AK29" s="773">
        <f t="shared" si="24"/>
        <v>56284.539473684214</v>
      </c>
      <c r="AL29" s="774">
        <f t="shared" si="24"/>
        <v>27500</v>
      </c>
      <c r="AM29" s="772">
        <f t="shared" si="10"/>
        <v>-28784.539473684214</v>
      </c>
      <c r="AN29" s="587">
        <f t="shared" ref="AN29" si="27">IFERROR(AN37/AN23,)*1000</f>
        <v>32554.793928841995</v>
      </c>
      <c r="AO29" s="767">
        <f>IFERROR(AO37/AO23,)*1000</f>
        <v>27500</v>
      </c>
      <c r="AP29" s="590">
        <f t="shared" si="11"/>
        <v>-5054.7939288419948</v>
      </c>
    </row>
    <row r="30" spans="4:45" ht="24" customHeight="1">
      <c r="D30" s="562"/>
      <c r="E30" s="728"/>
      <c r="F30" s="750" t="s">
        <v>24</v>
      </c>
      <c r="G30" s="766">
        <f>+IFERROR(HLOOKUP($A$1,[10]매출!$G$5:$R$170,5,),)</f>
        <v>0</v>
      </c>
      <c r="H30" s="767">
        <f t="shared" si="17"/>
        <v>0</v>
      </c>
      <c r="I30" s="768">
        <f t="shared" si="0"/>
        <v>0</v>
      </c>
      <c r="J30" s="769">
        <f>+IFERROR(HLOOKUP($A$1,[10]매출!$G$5:$R$170,13,),)</f>
        <v>0</v>
      </c>
      <c r="K30" s="767">
        <f t="shared" si="18"/>
        <v>0</v>
      </c>
      <c r="L30" s="589">
        <f t="shared" si="1"/>
        <v>0</v>
      </c>
      <c r="M30" s="769"/>
      <c r="N30" s="767">
        <f t="shared" si="19"/>
        <v>0</v>
      </c>
      <c r="O30" s="589">
        <f t="shared" si="2"/>
        <v>0</v>
      </c>
      <c r="P30" s="773">
        <f>+IFERROR(HLOOKUP($A$1,[10]매출!$G$5:$R$170,53,),)</f>
        <v>0</v>
      </c>
      <c r="Q30" s="54">
        <f t="shared" si="20"/>
        <v>0</v>
      </c>
      <c r="R30" s="775">
        <f t="shared" si="3"/>
        <v>0</v>
      </c>
      <c r="S30" s="766">
        <f>+IFERROR(HLOOKUP($A$1,[11]매출!$G$5:$R$164,5,),)</f>
        <v>0</v>
      </c>
      <c r="T30" s="767">
        <f t="shared" si="21"/>
        <v>0</v>
      </c>
      <c r="U30" s="768">
        <f t="shared" si="4"/>
        <v>0</v>
      </c>
      <c r="V30" s="769">
        <f>+IFERROR(HLOOKUP($A$1,[11]매출!$G$5:$R$164,13,),)</f>
        <v>18000</v>
      </c>
      <c r="W30" s="767">
        <f t="shared" si="22"/>
        <v>18000</v>
      </c>
      <c r="X30" s="589">
        <f t="shared" si="5"/>
        <v>0</v>
      </c>
      <c r="Y30" s="769"/>
      <c r="Z30" s="767">
        <f t="shared" si="23"/>
        <v>0</v>
      </c>
      <c r="AA30" s="589">
        <f t="shared" si="6"/>
        <v>0</v>
      </c>
      <c r="AB30" s="773">
        <f>+IFERROR(HLOOKUP($A$1,[11]매출!$G$5:$R$164,53,),)</f>
        <v>18000</v>
      </c>
      <c r="AC30" s="54">
        <f t="shared" si="13"/>
        <v>18000</v>
      </c>
      <c r="AD30" s="775">
        <f t="shared" si="7"/>
        <v>0</v>
      </c>
      <c r="AE30" s="589">
        <f>+IFERROR(HLOOKUP($A$1,[12]이송계획!$G$6:$R$318,37,),)</f>
        <v>0</v>
      </c>
      <c r="AF30" s="767">
        <f>+'[13]부산모래장(손익)'!$O$49</f>
        <v>0</v>
      </c>
      <c r="AG30" s="802">
        <f t="shared" si="8"/>
        <v>0</v>
      </c>
      <c r="AH30" s="589">
        <f>+IFERROR(HLOOKUP($A$1,[12]이송계획!$G$6:$R$318,44,),)</f>
        <v>26000</v>
      </c>
      <c r="AI30" s="767">
        <f>+'[13]부산모래장(손익)'!$N$49</f>
        <v>27500</v>
      </c>
      <c r="AJ30" s="589">
        <f t="shared" si="9"/>
        <v>1500</v>
      </c>
      <c r="AK30" s="773">
        <f t="shared" si="24"/>
        <v>24745.556750036703</v>
      </c>
      <c r="AL30" s="54">
        <f t="shared" si="24"/>
        <v>27500</v>
      </c>
      <c r="AM30" s="775">
        <f t="shared" si="10"/>
        <v>2754.4432499632967</v>
      </c>
      <c r="AN30" s="587">
        <f t="shared" ref="AN30" si="28">IFERROR(AN38/AN24,)*1000</f>
        <v>24553.987006365569</v>
      </c>
      <c r="AO30" s="767">
        <f t="shared" si="25"/>
        <v>24923.076923076922</v>
      </c>
      <c r="AP30" s="590">
        <f t="shared" si="11"/>
        <v>369.089916711353</v>
      </c>
    </row>
    <row r="31" spans="4:45" ht="24" customHeight="1">
      <c r="D31" s="562"/>
      <c r="E31" s="728"/>
      <c r="F31" s="750" t="s">
        <v>25</v>
      </c>
      <c r="G31" s="766">
        <f>+IFERROR(HLOOKUP($A$1,[10]매출!$G$5:$R$170,6,),)</f>
        <v>0</v>
      </c>
      <c r="H31" s="767">
        <f t="shared" si="17"/>
        <v>0</v>
      </c>
      <c r="I31" s="768">
        <f t="shared" si="0"/>
        <v>0</v>
      </c>
      <c r="J31" s="769">
        <f>+IFERROR(HLOOKUP($A$1,[10]매출!$G$5:$R$170,14,),)</f>
        <v>0</v>
      </c>
      <c r="K31" s="767">
        <f t="shared" si="18"/>
        <v>0</v>
      </c>
      <c r="L31" s="589">
        <f t="shared" si="1"/>
        <v>0</v>
      </c>
      <c r="M31" s="769"/>
      <c r="N31" s="767">
        <f t="shared" si="19"/>
        <v>0</v>
      </c>
      <c r="O31" s="589">
        <f t="shared" si="2"/>
        <v>0</v>
      </c>
      <c r="P31" s="773">
        <f>+IFERROR(HLOOKUP($A$1,[10]매출!$G$5:$R$170,54,),)</f>
        <v>0</v>
      </c>
      <c r="Q31" s="54">
        <f t="shared" si="20"/>
        <v>0</v>
      </c>
      <c r="R31" s="775">
        <f t="shared" si="3"/>
        <v>0</v>
      </c>
      <c r="S31" s="766">
        <f>+IFERROR(HLOOKUP($A$1,[11]매출!$G$5:$R$164,6,),)</f>
        <v>0</v>
      </c>
      <c r="T31" s="767">
        <f t="shared" si="21"/>
        <v>0</v>
      </c>
      <c r="U31" s="768">
        <f t="shared" si="4"/>
        <v>0</v>
      </c>
      <c r="V31" s="769">
        <f>+IFERROR(HLOOKUP($A$1,[11]매출!$G$5:$R$164,14,),)</f>
        <v>0</v>
      </c>
      <c r="W31" s="767">
        <f t="shared" si="22"/>
        <v>0</v>
      </c>
      <c r="X31" s="589">
        <f t="shared" si="5"/>
        <v>0</v>
      </c>
      <c r="Y31" s="769"/>
      <c r="Z31" s="767">
        <f t="shared" si="23"/>
        <v>0</v>
      </c>
      <c r="AA31" s="589">
        <f t="shared" si="6"/>
        <v>0</v>
      </c>
      <c r="AB31" s="773">
        <f>+IFERROR(HLOOKUP($A$1,[11]매출!$G$5:$R$164,54,),)</f>
        <v>0</v>
      </c>
      <c r="AC31" s="54">
        <f t="shared" si="13"/>
        <v>0</v>
      </c>
      <c r="AD31" s="775">
        <f t="shared" si="7"/>
        <v>0</v>
      </c>
      <c r="AE31" s="589">
        <f>+IFERROR(HLOOKUP($A$1,[12]이송계획!$G$6:$R$318,38,),)</f>
        <v>0</v>
      </c>
      <c r="AF31" s="767">
        <f>+'[13]부산모래장(손익)'!$O$50</f>
        <v>0</v>
      </c>
      <c r="AG31" s="802">
        <f t="shared" si="8"/>
        <v>0</v>
      </c>
      <c r="AH31" s="589">
        <f>+IFERROR(HLOOKUP($A$1,[12]이송계획!$G$6:$R$318,45,),)</f>
        <v>26000</v>
      </c>
      <c r="AI31" s="767">
        <f>+'[13]부산모래장(손익)'!$N$50</f>
        <v>0</v>
      </c>
      <c r="AJ31" s="589">
        <f t="shared" si="9"/>
        <v>-26000</v>
      </c>
      <c r="AK31" s="773">
        <f t="shared" si="24"/>
        <v>86964.175688759802</v>
      </c>
      <c r="AL31" s="54">
        <f t="shared" si="24"/>
        <v>0</v>
      </c>
      <c r="AM31" s="775">
        <f t="shared" si="10"/>
        <v>-86964.175688759802</v>
      </c>
      <c r="AN31" s="587">
        <f t="shared" ref="AN31" si="29">IFERROR(AN39/AN25,)*1000</f>
        <v>86964.175688759802</v>
      </c>
      <c r="AO31" s="767">
        <f t="shared" si="25"/>
        <v>0</v>
      </c>
      <c r="AP31" s="590">
        <f t="shared" si="11"/>
        <v>-86964.175688759802</v>
      </c>
    </row>
    <row r="32" spans="4:45" ht="24" customHeight="1" thickBot="1">
      <c r="D32" s="562"/>
      <c r="E32" s="776"/>
      <c r="F32" s="777" t="s">
        <v>26</v>
      </c>
      <c r="G32" s="778">
        <f>+IFERROR(HLOOKUP($A$1,[10]매출!$G$5:$R$170,7,),)</f>
        <v>10000</v>
      </c>
      <c r="H32" s="779">
        <f t="shared" si="17"/>
        <v>0</v>
      </c>
      <c r="I32" s="780">
        <f t="shared" si="0"/>
        <v>-10000</v>
      </c>
      <c r="J32" s="781">
        <f>+IFERROR(HLOOKUP($A$1,[10]매출!$G$5:$R$170,15,),)</f>
        <v>16000</v>
      </c>
      <c r="K32" s="779">
        <f t="shared" si="18"/>
        <v>0</v>
      </c>
      <c r="L32" s="582">
        <f t="shared" si="1"/>
        <v>-16000</v>
      </c>
      <c r="M32" s="781"/>
      <c r="N32" s="779">
        <f t="shared" si="19"/>
        <v>0</v>
      </c>
      <c r="O32" s="582">
        <f t="shared" si="2"/>
        <v>0</v>
      </c>
      <c r="P32" s="782">
        <f>+IFERROR(HLOOKUP($A$1,[10]매출!$G$5:$R$170,55,),)</f>
        <v>12185.533427111866</v>
      </c>
      <c r="Q32" s="783">
        <f t="shared" si="20"/>
        <v>0</v>
      </c>
      <c r="R32" s="784">
        <f t="shared" si="3"/>
        <v>-12185.533427111866</v>
      </c>
      <c r="S32" s="778">
        <f>+IFERROR(HLOOKUP($A$1,[11]매출!$G$5:$R$164,7,),)</f>
        <v>0</v>
      </c>
      <c r="T32" s="779">
        <f t="shared" si="21"/>
        <v>0</v>
      </c>
      <c r="U32" s="780">
        <f t="shared" si="4"/>
        <v>0</v>
      </c>
      <c r="V32" s="781">
        <f>+IFERROR(HLOOKUP($A$1,[11]매출!$G$5:$R$164,15,),)</f>
        <v>0</v>
      </c>
      <c r="W32" s="779">
        <f t="shared" si="22"/>
        <v>0</v>
      </c>
      <c r="X32" s="582">
        <f t="shared" si="5"/>
        <v>0</v>
      </c>
      <c r="Y32" s="781"/>
      <c r="Z32" s="779">
        <f t="shared" si="23"/>
        <v>0</v>
      </c>
      <c r="AA32" s="582">
        <f t="shared" si="6"/>
        <v>0</v>
      </c>
      <c r="AB32" s="782">
        <f>+IFERROR(HLOOKUP($A$1,[11]매출!$G$5:$R$164,55,),)</f>
        <v>0</v>
      </c>
      <c r="AC32" s="783">
        <f t="shared" si="13"/>
        <v>0</v>
      </c>
      <c r="AD32" s="784">
        <f t="shared" si="7"/>
        <v>0</v>
      </c>
      <c r="AE32" s="582">
        <f>+IFERROR(HLOOKUP($A$1,[12]이송계획!$G$6:$R$318,39,),)</f>
        <v>0</v>
      </c>
      <c r="AF32" s="779">
        <f>+'[13]부산모래장(손익)'!$O$51</f>
        <v>0</v>
      </c>
      <c r="AG32" s="803">
        <f t="shared" si="8"/>
        <v>0</v>
      </c>
      <c r="AH32" s="582">
        <f>+IFERROR(HLOOKUP($A$1,[12]이송계획!$G$6:$R$318,46,),)</f>
        <v>0</v>
      </c>
      <c r="AI32" s="779">
        <f>+'[13]부산모래장(손익)'!$N$51</f>
        <v>0</v>
      </c>
      <c r="AJ32" s="582">
        <f t="shared" si="9"/>
        <v>0</v>
      </c>
      <c r="AK32" s="782">
        <f t="shared" si="24"/>
        <v>0</v>
      </c>
      <c r="AL32" s="783">
        <f t="shared" si="24"/>
        <v>0</v>
      </c>
      <c r="AM32" s="784">
        <f t="shared" si="10"/>
        <v>0</v>
      </c>
      <c r="AN32" s="785">
        <f t="shared" ref="AN32" si="30">IFERROR(AN40/AN26,)*1000</f>
        <v>197863.24592720188</v>
      </c>
      <c r="AO32" s="786">
        <f t="shared" si="25"/>
        <v>0</v>
      </c>
      <c r="AP32" s="787">
        <f t="shared" si="11"/>
        <v>-197863.24592720188</v>
      </c>
    </row>
    <row r="33" spans="5:42" ht="21.95" customHeight="1" thickTop="1">
      <c r="G33" s="788"/>
      <c r="H33" s="788"/>
      <c r="I33" s="788"/>
      <c r="J33" s="562"/>
      <c r="M33" s="562"/>
      <c r="S33" s="788"/>
      <c r="T33" s="788"/>
      <c r="U33" s="788"/>
      <c r="V33" s="562"/>
      <c r="AE33" s="562"/>
      <c r="AN33" s="562"/>
    </row>
    <row r="34" spans="5:42" ht="21.95" customHeight="1">
      <c r="J34" s="562"/>
      <c r="M34" s="562"/>
      <c r="V34" s="562"/>
      <c r="AE34" s="562"/>
      <c r="AN34" s="562"/>
    </row>
    <row r="35" spans="5:42" ht="21.95" customHeight="1">
      <c r="E35" s="25" t="s">
        <v>215</v>
      </c>
      <c r="F35" s="789" t="s">
        <v>21</v>
      </c>
      <c r="G35" s="6">
        <f>+IFERROR(HLOOKUP($A$1,[10]매출!$G$5:$R$149,58,),)</f>
        <v>0</v>
      </c>
      <c r="H35" s="6">
        <f>+IFERROR(VLOOKUP($F35,'[14]서부산(손익)'!$L$16:$R$29,4,),)/1000</f>
        <v>0</v>
      </c>
      <c r="I35" s="6">
        <f t="shared" ref="I35:I41" si="31">+H35-G35</f>
        <v>0</v>
      </c>
      <c r="J35" s="6">
        <f>+IFERROR(HLOOKUP($A$1,[10]매출!$G$5:$R$149,66,),)</f>
        <v>0</v>
      </c>
      <c r="K35" s="6">
        <f>+IFERROR(VLOOKUP($F35,'[14]서부산(손익)'!$L$16:$R$29,3,),)/1000</f>
        <v>0</v>
      </c>
      <c r="L35" s="6">
        <f>+K35-J35</f>
        <v>0</v>
      </c>
      <c r="M35" s="562"/>
      <c r="O35" s="6">
        <f>+N35-M35</f>
        <v>0</v>
      </c>
      <c r="P35" s="6">
        <f t="shared" ref="P35:Q41" si="32">SUM(G35,J35,M35)</f>
        <v>0</v>
      </c>
      <c r="Q35" s="6">
        <f t="shared" si="32"/>
        <v>0</v>
      </c>
      <c r="R35" s="6">
        <f t="shared" ref="R35:R41" si="33">+Q35-P35</f>
        <v>0</v>
      </c>
      <c r="S35" s="6">
        <f>+IFERROR(HLOOKUP($A$1,[11]매출!$G$5:$R$170,58,),)</f>
        <v>158108.87400000001</v>
      </c>
      <c r="T35" s="6">
        <f>+IFERROR(VLOOKUP($F35,'[13]부산크라샤(손익)'!$L$16:$R$29,3,),)/1000</f>
        <v>120365</v>
      </c>
      <c r="U35" s="6">
        <f t="shared" ref="U35:U41" si="34">+T35-S35</f>
        <v>-37743.874000000011</v>
      </c>
      <c r="V35" s="562">
        <f>+IFERROR(HLOOKUP($A$1,[11]매출!$G$5:$R$170,66,),)</f>
        <v>154258.03964999996</v>
      </c>
      <c r="W35" s="6">
        <f>+IFERROR(VLOOKUP($F35,'[13]부산크라샤(손익)'!$L$16:$R$29,4,),)/1000</f>
        <v>112095</v>
      </c>
      <c r="X35" s="6">
        <f>+W35-V35</f>
        <v>-42163.039649999962</v>
      </c>
      <c r="AA35" s="6">
        <f>+Z35-Y35</f>
        <v>0</v>
      </c>
      <c r="AB35" s="6">
        <f>SUM(S35,V35)</f>
        <v>312366.91365</v>
      </c>
      <c r="AC35" s="6">
        <f t="shared" ref="AC35:AC41" si="35">SUM(T35,W35)</f>
        <v>232460</v>
      </c>
      <c r="AD35" s="6">
        <f t="shared" ref="AD35:AD41" si="36">+AC35-AB35</f>
        <v>-79906.913650000002</v>
      </c>
      <c r="AE35" s="790">
        <f>+IFERROR(HLOOKUP($A$1,[12]이송계획!$G$70:$R$100,2,),)</f>
        <v>8131.4685314685312</v>
      </c>
      <c r="AF35" s="6">
        <f>+IFERROR(VLOOKUP($F35,'[13]부산모래장(손익)'!$L$16:$P$26,4,),)/1000</f>
        <v>19000</v>
      </c>
      <c r="AH35" s="790">
        <f>+IFERROR(HLOOKUP($A$1,[12]이송계획!$G$70:$R$100,9,),)</f>
        <v>0</v>
      </c>
      <c r="AI35" s="6">
        <f>+IFERROR(VLOOKUP($F35,'[13]부산모래장(손익)'!$L$16:$P$26,3,),)/1000</f>
        <v>76800</v>
      </c>
      <c r="AK35" s="6">
        <f>+AE35+AH35</f>
        <v>8131.4685314685312</v>
      </c>
      <c r="AL35" s="6">
        <f t="shared" ref="AL35:AL41" si="37">+AF35+AI35</f>
        <v>95800</v>
      </c>
      <c r="AN35" s="562">
        <f t="shared" ref="AN35:AN40" si="38">+P35+AB35+AK35</f>
        <v>320498.38218146854</v>
      </c>
      <c r="AO35" s="562">
        <f t="shared" ref="AO35:AO40" si="39">+Q35+AC35+AL35</f>
        <v>328260</v>
      </c>
      <c r="AP35" s="6">
        <f t="shared" ref="AP35:AP41" si="40">+AO35-AN35</f>
        <v>7761.6178185314639</v>
      </c>
    </row>
    <row r="36" spans="5:42" ht="21.95" customHeight="1">
      <c r="E36" s="25" t="s">
        <v>126</v>
      </c>
      <c r="F36" s="789" t="s">
        <v>22</v>
      </c>
      <c r="G36" s="6">
        <f>+IFERROR(HLOOKUP($A$1,[10]매출!$G$5:$R$149,59,),)</f>
        <v>131197.86666666667</v>
      </c>
      <c r="H36" s="6">
        <f>+IFERROR(VLOOKUP($F36,'[14]서부산(손익)'!$L$16:$R$29,4,),)/1000</f>
        <v>0</v>
      </c>
      <c r="I36" s="6">
        <f t="shared" si="31"/>
        <v>-131197.86666666667</v>
      </c>
      <c r="J36" s="6">
        <f>+IFERROR(HLOOKUP($A$1,[10]매출!$G$5:$R$149,67,),)</f>
        <v>117304</v>
      </c>
      <c r="K36" s="6">
        <f>+IFERROR(VLOOKUP($F36,'[14]서부산(손익)'!$L$16:$R$29,3,),)/1000</f>
        <v>0</v>
      </c>
      <c r="L36" s="6">
        <f t="shared" ref="L36:L41" si="41">+K36-J36</f>
        <v>-117304</v>
      </c>
      <c r="O36" s="6">
        <f t="shared" ref="O36:O41" si="42">+N36-M36</f>
        <v>0</v>
      </c>
      <c r="P36" s="6">
        <f t="shared" si="32"/>
        <v>248501.86666666667</v>
      </c>
      <c r="Q36" s="6">
        <f t="shared" si="32"/>
        <v>0</v>
      </c>
      <c r="R36" s="6">
        <f t="shared" si="33"/>
        <v>-248501.86666666667</v>
      </c>
      <c r="S36" s="6">
        <f>+IFERROR(HLOOKUP($A$1,[11]매출!$G$5:$R$170,59,),)</f>
        <v>0</v>
      </c>
      <c r="T36" s="6">
        <f>+IFERROR(VLOOKUP($F36,'[13]부산크라샤(손익)'!$L$16:$R$29,3,),)/1000</f>
        <v>61056</v>
      </c>
      <c r="U36" s="6">
        <f t="shared" si="34"/>
        <v>61056</v>
      </c>
      <c r="V36" s="562">
        <f>+IFERROR(HLOOKUP($A$1,[11]매출!$G$5:$R$170,67,),)</f>
        <v>0</v>
      </c>
      <c r="W36" s="6">
        <f>+IFERROR(VLOOKUP($F36,'[13]부산크라샤(손익)'!$L$16:$R$29,4,),)/1000</f>
        <v>44640</v>
      </c>
      <c r="X36" s="6">
        <f t="shared" ref="X36:X41" si="43">+W36-V36</f>
        <v>44640</v>
      </c>
      <c r="AA36" s="6">
        <f t="shared" ref="AA36:AA41" si="44">+Z36-Y36</f>
        <v>0</v>
      </c>
      <c r="AB36" s="6">
        <f t="shared" ref="AB36:AB41" si="45">SUM(S36,V36)</f>
        <v>0</v>
      </c>
      <c r="AC36" s="6">
        <f t="shared" si="35"/>
        <v>105696</v>
      </c>
      <c r="AD36" s="6">
        <f>+AC36-AB36</f>
        <v>105696</v>
      </c>
      <c r="AE36" s="790">
        <f>+IFERROR(HLOOKUP($A$1,[12]이송계획!$G$70:$R$100,3,),)</f>
        <v>0</v>
      </c>
      <c r="AF36" s="6">
        <f>+IFERROR(VLOOKUP($F36,'[13]부산모래장(손익)'!$L$16:$P$26,4,),)/1000</f>
        <v>0</v>
      </c>
      <c r="AH36" s="790">
        <f>+IFERROR(HLOOKUP($A$1,[12]이송계획!$G$70:$R$100,10,),)</f>
        <v>8131.4685314685312</v>
      </c>
      <c r="AI36" s="6">
        <f>+IFERROR(VLOOKUP($F36,'[13]부산모래장(손익)'!$L$16:$P$26,3,),)/1000</f>
        <v>74360</v>
      </c>
      <c r="AK36" s="6">
        <f t="shared" ref="AK36:AK41" si="46">+AE36+AH36</f>
        <v>8131.4685314685312</v>
      </c>
      <c r="AL36" s="6">
        <f t="shared" si="37"/>
        <v>74360</v>
      </c>
      <c r="AN36" s="6">
        <f t="shared" si="38"/>
        <v>256633.3351981352</v>
      </c>
      <c r="AO36" s="6">
        <f t="shared" si="39"/>
        <v>180056</v>
      </c>
      <c r="AP36" s="6">
        <f t="shared" si="40"/>
        <v>-76577.335198135203</v>
      </c>
    </row>
    <row r="37" spans="5:42" ht="21.95" customHeight="1">
      <c r="F37" s="789" t="s">
        <v>23</v>
      </c>
      <c r="G37" s="6">
        <f>+IFERROR(HLOOKUP($A$1,[10]매출!$G$5:$R$149,60,),)</f>
        <v>12320</v>
      </c>
      <c r="H37" s="6">
        <f>+IFERROR(VLOOKUP($F37,'[14]서부산(손익)'!$L$16:$R$29,4,),)/1000</f>
        <v>0</v>
      </c>
      <c r="I37" s="6">
        <f t="shared" si="31"/>
        <v>-12320</v>
      </c>
      <c r="J37" s="6">
        <f>+IFERROR(HLOOKUP($A$1,[10]매출!$G$5:$R$149,68,),)</f>
        <v>17024</v>
      </c>
      <c r="K37" s="6">
        <f>+IFERROR(VLOOKUP($F37,'[14]서부산(손익)'!$L$16:$R$29,3,),)/1000</f>
        <v>0</v>
      </c>
      <c r="L37" s="6">
        <f t="shared" si="41"/>
        <v>-17024</v>
      </c>
      <c r="O37" s="6">
        <f t="shared" si="42"/>
        <v>0</v>
      </c>
      <c r="P37" s="6">
        <f t="shared" si="32"/>
        <v>29344</v>
      </c>
      <c r="Q37" s="6">
        <f t="shared" si="32"/>
        <v>0</v>
      </c>
      <c r="R37" s="6">
        <f t="shared" si="33"/>
        <v>-29344</v>
      </c>
      <c r="S37" s="6">
        <f>+IFERROR(HLOOKUP($A$1,[11]매출!$G$5:$R$170,60,),)</f>
        <v>0</v>
      </c>
      <c r="T37" s="6">
        <f>+IFERROR(VLOOKUP($F37,'[13]부산크라샤(손익)'!$L$16:$R$29,3,),)/1000</f>
        <v>0</v>
      </c>
      <c r="U37" s="6">
        <f t="shared" si="34"/>
        <v>0</v>
      </c>
      <c r="V37" s="562">
        <f>+IFERROR(HLOOKUP($A$1,[11]매출!$G$5:$R$170,68,),)</f>
        <v>0</v>
      </c>
      <c r="W37" s="6">
        <f>+IFERROR(VLOOKUP($F37,'[13]부산크라샤(손익)'!$L$16:$R$29,4,),)/1000</f>
        <v>0</v>
      </c>
      <c r="X37" s="6">
        <f t="shared" si="43"/>
        <v>0</v>
      </c>
      <c r="AA37" s="6">
        <f t="shared" si="44"/>
        <v>0</v>
      </c>
      <c r="AB37" s="6">
        <f t="shared" si="45"/>
        <v>0</v>
      </c>
      <c r="AC37" s="6">
        <f t="shared" si="35"/>
        <v>0</v>
      </c>
      <c r="AD37" s="6">
        <f t="shared" si="36"/>
        <v>0</v>
      </c>
      <c r="AE37" s="790">
        <f>+IFERROR(HLOOKUP($A$1,[12]이송계획!$G$70:$R$100,4,),)</f>
        <v>0</v>
      </c>
      <c r="AF37" s="6">
        <f>+IFERROR(VLOOKUP($F37,'[13]부산모래장(손익)'!$L$16:$P$26,4,),)/1000</f>
        <v>0</v>
      </c>
      <c r="AH37" s="790">
        <f>+IFERROR(HLOOKUP($A$1,[12]이송계획!$G$70:$R$100,11,),)</f>
        <v>107688.46153846155</v>
      </c>
      <c r="AI37" s="6">
        <f>+IFERROR(VLOOKUP($F37,'[13]부산모래장(손익)'!$L$16:$P$26,3,),)/1000</f>
        <v>40920</v>
      </c>
      <c r="AK37" s="6">
        <f t="shared" si="46"/>
        <v>107688.46153846155</v>
      </c>
      <c r="AL37" s="6">
        <f t="shared" si="37"/>
        <v>40920</v>
      </c>
      <c r="AN37" s="6">
        <f t="shared" si="38"/>
        <v>137032.46153846156</v>
      </c>
      <c r="AO37" s="6">
        <f t="shared" si="39"/>
        <v>40920</v>
      </c>
      <c r="AP37" s="6">
        <f t="shared" si="40"/>
        <v>-96112.461538461561</v>
      </c>
    </row>
    <row r="38" spans="5:42" ht="21.95" customHeight="1">
      <c r="F38" s="789" t="s">
        <v>24</v>
      </c>
      <c r="G38" s="6">
        <f>+IFERROR(HLOOKUP($A$1,[10]매출!$G$5:$R$149,61,),)</f>
        <v>0</v>
      </c>
      <c r="H38" s="6">
        <f>+IFERROR(VLOOKUP($F38,'[14]서부산(손익)'!$L$16:$R$29,4,),)/1000</f>
        <v>0</v>
      </c>
      <c r="I38" s="6">
        <f t="shared" si="31"/>
        <v>0</v>
      </c>
      <c r="J38" s="6">
        <f>+IFERROR(HLOOKUP($A$1,[10]매출!$G$5:$R$149,69,),)</f>
        <v>0</v>
      </c>
      <c r="K38" s="6">
        <f>+IFERROR(VLOOKUP($F38,'[14]서부산(손익)'!$L$16:$R$29,3,),)/1000</f>
        <v>0</v>
      </c>
      <c r="L38" s="6">
        <f t="shared" si="41"/>
        <v>0</v>
      </c>
      <c r="O38" s="6">
        <f t="shared" si="42"/>
        <v>0</v>
      </c>
      <c r="P38" s="6">
        <f t="shared" si="32"/>
        <v>0</v>
      </c>
      <c r="Q38" s="6">
        <f t="shared" si="32"/>
        <v>0</v>
      </c>
      <c r="R38" s="6">
        <f t="shared" si="33"/>
        <v>0</v>
      </c>
      <c r="S38" s="6">
        <f>+IFERROR(HLOOKUP($A$1,[11]매출!$G$5:$R$170,61,),)</f>
        <v>0</v>
      </c>
      <c r="T38" s="6">
        <f>+IFERROR(VLOOKUP($F38,'[13]부산크라샤(손익)'!$L$16:$R$29,3,),)/1000</f>
        <v>0</v>
      </c>
      <c r="U38" s="6">
        <f t="shared" si="34"/>
        <v>0</v>
      </c>
      <c r="V38" s="562">
        <f>+IFERROR(HLOOKUP($A$1,[11]매출!$G$5:$R$170,69,),)</f>
        <v>2291.9520000000002</v>
      </c>
      <c r="W38" s="6">
        <f>+IFERROR(VLOOKUP($F38,'[13]부산크라샤(손익)'!$L$16:$R$29,4,),)/1000</f>
        <v>19296</v>
      </c>
      <c r="X38" s="6">
        <f t="shared" si="43"/>
        <v>17004.047999999999</v>
      </c>
      <c r="AA38" s="6">
        <f t="shared" si="44"/>
        <v>0</v>
      </c>
      <c r="AB38" s="6">
        <f t="shared" si="45"/>
        <v>2291.9520000000002</v>
      </c>
      <c r="AC38" s="6">
        <f t="shared" si="35"/>
        <v>19296</v>
      </c>
      <c r="AD38" s="6">
        <f t="shared" si="36"/>
        <v>17004.047999999999</v>
      </c>
      <c r="AE38" s="790">
        <f>+IFERROR(HLOOKUP($A$1,[12]이송계획!$G$70:$R$100,5,),)</f>
        <v>0</v>
      </c>
      <c r="AF38" s="6">
        <f>+IFERROR(VLOOKUP($F38,'[13]부산모래장(손익)'!$L$16:$P$26,4,),)/1000</f>
        <v>0</v>
      </c>
      <c r="AH38" s="790">
        <f>+IFERROR(HLOOKUP($A$1,[12]이송계획!$G$70:$R$100,12,),)</f>
        <v>107797.55244755244</v>
      </c>
      <c r="AI38" s="6">
        <f>+IFERROR(VLOOKUP($F38,'[13]부산모래장(손익)'!$L$16:$P$26,3,),)/1000</f>
        <v>79200</v>
      </c>
      <c r="AK38" s="6">
        <f t="shared" si="46"/>
        <v>107797.55244755244</v>
      </c>
      <c r="AL38" s="6">
        <f t="shared" si="37"/>
        <v>79200</v>
      </c>
      <c r="AN38" s="6">
        <f t="shared" si="38"/>
        <v>110089.50444755245</v>
      </c>
      <c r="AO38" s="6">
        <f t="shared" si="39"/>
        <v>98496</v>
      </c>
      <c r="AP38" s="6">
        <f t="shared" si="40"/>
        <v>-11593.504447552448</v>
      </c>
    </row>
    <row r="39" spans="5:42" ht="21.95" customHeight="1">
      <c r="F39" s="789" t="s">
        <v>25</v>
      </c>
      <c r="G39" s="6">
        <f>+IFERROR(HLOOKUP($A$1,[10]매출!$G$5:$R$149,62,),)</f>
        <v>0</v>
      </c>
      <c r="H39" s="6">
        <f>+IFERROR(VLOOKUP($F39,'[14]서부산(손익)'!$L$16:$R$29,4,),)/1000</f>
        <v>0</v>
      </c>
      <c r="I39" s="6">
        <f t="shared" si="31"/>
        <v>0</v>
      </c>
      <c r="J39" s="6">
        <f>+IFERROR(HLOOKUP($A$1,[10]매출!$G$5:$R$149,70,),)</f>
        <v>0</v>
      </c>
      <c r="K39" s="6">
        <f>+IFERROR(VLOOKUP($F39,'[14]서부산(손익)'!$L$16:$R$29,3,),)/1000</f>
        <v>0</v>
      </c>
      <c r="L39" s="6">
        <f t="shared" si="41"/>
        <v>0</v>
      </c>
      <c r="O39" s="6">
        <f t="shared" si="42"/>
        <v>0</v>
      </c>
      <c r="P39" s="6">
        <f t="shared" si="32"/>
        <v>0</v>
      </c>
      <c r="Q39" s="6">
        <f t="shared" si="32"/>
        <v>0</v>
      </c>
      <c r="R39" s="6">
        <f t="shared" si="33"/>
        <v>0</v>
      </c>
      <c r="S39" s="6">
        <f>+IFERROR(HLOOKUP($A$1,[11]매출!$G$5:$R$170,62,),)</f>
        <v>0</v>
      </c>
      <c r="T39" s="6">
        <f>+IFERROR(VLOOKUP($F39,'[13]부산크라샤(손익)'!$L$16:$R$29,3,),)/1000</f>
        <v>0</v>
      </c>
      <c r="U39" s="6">
        <f t="shared" si="34"/>
        <v>0</v>
      </c>
      <c r="V39" s="562">
        <f>+IFERROR(HLOOKUP($A$1,[11]매출!$G$5:$R$170,70,),)</f>
        <v>0</v>
      </c>
      <c r="W39" s="6">
        <f>+IFERROR(VLOOKUP($F39,'[13]부산크라샤(손익)'!$L$16:$R$29,4,),)/1000</f>
        <v>0</v>
      </c>
      <c r="X39" s="6">
        <f t="shared" si="43"/>
        <v>0</v>
      </c>
      <c r="AA39" s="6">
        <f t="shared" si="44"/>
        <v>0</v>
      </c>
      <c r="AB39" s="6">
        <f t="shared" si="45"/>
        <v>0</v>
      </c>
      <c r="AC39" s="6">
        <f t="shared" si="35"/>
        <v>0</v>
      </c>
      <c r="AD39" s="6">
        <f t="shared" si="36"/>
        <v>0</v>
      </c>
      <c r="AE39" s="790">
        <f>+IFERROR(HLOOKUP($A$1,[12]이송계획!$G$70:$R$100,6,),)</f>
        <v>0</v>
      </c>
      <c r="AF39" s="6">
        <f>+IFERROR(VLOOKUP($F39,'[13]부산모래장(손익)'!$L$16:$P$26,4,),)/1000</f>
        <v>0</v>
      </c>
      <c r="AH39" s="790">
        <f>+IFERROR(HLOOKUP($A$1,[12]이송계획!$G$70:$R$100,13,),)</f>
        <v>49745.454545454544</v>
      </c>
      <c r="AI39" s="6">
        <f>+IFERROR(VLOOKUP($F39,'[13]부산모래장(손익)'!$L$16:$P$26,3,),)/1000</f>
        <v>0</v>
      </c>
      <c r="AK39" s="6">
        <f t="shared" si="46"/>
        <v>49745.454545454544</v>
      </c>
      <c r="AL39" s="6">
        <f t="shared" si="37"/>
        <v>0</v>
      </c>
      <c r="AN39" s="6">
        <f t="shared" si="38"/>
        <v>49745.454545454544</v>
      </c>
      <c r="AO39" s="6">
        <f t="shared" si="39"/>
        <v>0</v>
      </c>
      <c r="AP39" s="6">
        <f t="shared" si="40"/>
        <v>-49745.454545454544</v>
      </c>
    </row>
    <row r="40" spans="5:42" ht="21.95" customHeight="1">
      <c r="F40" s="789" t="s">
        <v>26</v>
      </c>
      <c r="G40" s="6">
        <f>+IFERROR(HLOOKUP($A$1,[10]매출!$G$5:$R$149,63,),)</f>
        <v>3878</v>
      </c>
      <c r="H40" s="6">
        <f>+IFERROR(VLOOKUP($F40,'[14]서부산(손익)'!$L$16:$R$29,4,),)/1000</f>
        <v>0</v>
      </c>
      <c r="I40" s="6">
        <f t="shared" si="31"/>
        <v>-3878</v>
      </c>
      <c r="J40" s="6">
        <f>+IFERROR(HLOOKUP($A$1,[10]매출!$G$5:$R$149,71,),)</f>
        <v>3555.0967741935483</v>
      </c>
      <c r="K40" s="6">
        <f>+IFERROR(VLOOKUP($F40,'[14]서부산(손익)'!$L$16:$R$29,3,),)/1000</f>
        <v>0</v>
      </c>
      <c r="L40" s="6">
        <f t="shared" si="41"/>
        <v>-3555.0967741935483</v>
      </c>
      <c r="O40" s="6">
        <f t="shared" si="42"/>
        <v>0</v>
      </c>
      <c r="P40" s="6">
        <f t="shared" si="32"/>
        <v>7433.0967741935483</v>
      </c>
      <c r="Q40" s="6">
        <f t="shared" si="32"/>
        <v>0</v>
      </c>
      <c r="R40" s="6">
        <f t="shared" si="33"/>
        <v>-7433.0967741935483</v>
      </c>
      <c r="S40" s="6">
        <f>+IFERROR(HLOOKUP($A$1,[11]매출!$G$5:$R$170,63,),)</f>
        <v>0</v>
      </c>
      <c r="T40" s="6">
        <f>+IFERROR(VLOOKUP($F40,'[13]부산크라샤(손익)'!$L$16:$R$29,3,),)/1000</f>
        <v>0</v>
      </c>
      <c r="U40" s="6">
        <f t="shared" si="34"/>
        <v>0</v>
      </c>
      <c r="V40" s="562">
        <f>+IFERROR(HLOOKUP($A$1,[11]매출!$G$5:$R$170,71,),)</f>
        <v>0</v>
      </c>
      <c r="W40" s="6">
        <f>+IFERROR(VLOOKUP($F40,'[13]부산크라샤(손익)'!$L$16:$R$29,4,),)/1000</f>
        <v>0</v>
      </c>
      <c r="X40" s="6">
        <f t="shared" si="43"/>
        <v>0</v>
      </c>
      <c r="AA40" s="6">
        <f t="shared" si="44"/>
        <v>0</v>
      </c>
      <c r="AB40" s="6">
        <f t="shared" si="45"/>
        <v>0</v>
      </c>
      <c r="AC40" s="6">
        <f t="shared" si="35"/>
        <v>0</v>
      </c>
      <c r="AD40" s="6">
        <f t="shared" si="36"/>
        <v>0</v>
      </c>
      <c r="AE40" s="790">
        <f>+IFERROR(HLOOKUP($A$1,[12]이송계획!$G$70:$R$100,7,),)</f>
        <v>0</v>
      </c>
      <c r="AF40" s="6">
        <f>+IFERROR(VLOOKUP($F40,'[13]부산모래장(손익)'!$L$16:$P$26,4,),)/1000</f>
        <v>0</v>
      </c>
      <c r="AH40" s="790">
        <f>+IFERROR(HLOOKUP($A$1,[12]이송계획!$G$70:$R$100,14,),)</f>
        <v>113262.20670432912</v>
      </c>
      <c r="AI40" s="6">
        <f>+IFERROR(VLOOKUP($F40,'[13]부산모래장(손익)'!$L$16:$P$26,3,),)/1000</f>
        <v>0</v>
      </c>
      <c r="AK40" s="6">
        <f t="shared" si="46"/>
        <v>113262.20670432912</v>
      </c>
      <c r="AL40" s="6">
        <f t="shared" si="37"/>
        <v>0</v>
      </c>
      <c r="AN40" s="6">
        <f t="shared" si="38"/>
        <v>120695.30347852266</v>
      </c>
      <c r="AO40" s="6">
        <f t="shared" si="39"/>
        <v>0</v>
      </c>
      <c r="AP40" s="6">
        <f t="shared" si="40"/>
        <v>-120695.30347852266</v>
      </c>
    </row>
    <row r="41" spans="5:42" ht="21.95" customHeight="1">
      <c r="F41" s="789" t="s">
        <v>8</v>
      </c>
      <c r="G41" s="6">
        <f>SUM(G35:G40)</f>
        <v>147395.86666666667</v>
      </c>
      <c r="H41" s="6">
        <f>SUM(H35:H40)</f>
        <v>0</v>
      </c>
      <c r="I41" s="6">
        <f t="shared" si="31"/>
        <v>-147395.86666666667</v>
      </c>
      <c r="J41" s="6">
        <f>SUM(J35:J40)</f>
        <v>137883.09677419355</v>
      </c>
      <c r="K41" s="562">
        <f>SUM(K35:K40)</f>
        <v>0</v>
      </c>
      <c r="L41" s="6">
        <f t="shared" si="41"/>
        <v>-137883.09677419355</v>
      </c>
      <c r="N41" s="562"/>
      <c r="O41" s="6">
        <f t="shared" si="42"/>
        <v>0</v>
      </c>
      <c r="P41" s="6">
        <f t="shared" si="32"/>
        <v>285278.96344086021</v>
      </c>
      <c r="Q41" s="6">
        <f t="shared" si="32"/>
        <v>0</v>
      </c>
      <c r="R41" s="6">
        <f t="shared" si="33"/>
        <v>-285278.96344086021</v>
      </c>
      <c r="S41" s="6">
        <f>SUM(S35:S40)</f>
        <v>158108.87400000001</v>
      </c>
      <c r="T41" s="6">
        <f>SUM(T35:T40)</f>
        <v>181421</v>
      </c>
      <c r="U41" s="6">
        <f t="shared" si="34"/>
        <v>23312.125999999989</v>
      </c>
      <c r="V41" s="562">
        <f>SUM(V35:V40)</f>
        <v>156549.99164999995</v>
      </c>
      <c r="W41" s="562">
        <f>SUM(W35:W40)</f>
        <v>176031</v>
      </c>
      <c r="X41" s="6">
        <f t="shared" si="43"/>
        <v>19481.008350000047</v>
      </c>
      <c r="Z41" s="562"/>
      <c r="AA41" s="6">
        <f t="shared" si="44"/>
        <v>0</v>
      </c>
      <c r="AB41" s="6">
        <f t="shared" si="45"/>
        <v>314658.86564999993</v>
      </c>
      <c r="AC41" s="6">
        <f t="shared" si="35"/>
        <v>357452</v>
      </c>
      <c r="AD41" s="6">
        <f t="shared" si="36"/>
        <v>42793.134350000066</v>
      </c>
      <c r="AE41" s="6">
        <f>SUM(AE35:AE40)</f>
        <v>8131.4685314685312</v>
      </c>
      <c r="AF41" s="6">
        <f>SUM(AF35:AF40)</f>
        <v>19000</v>
      </c>
      <c r="AH41" s="6">
        <f>SUM(AH35:AH40)</f>
        <v>386625.14376726619</v>
      </c>
      <c r="AI41" s="6">
        <f>SUM(AI35:AI40)</f>
        <v>271280</v>
      </c>
      <c r="AK41" s="6">
        <f t="shared" si="46"/>
        <v>394756.61229873472</v>
      </c>
      <c r="AL41" s="6">
        <f t="shared" si="37"/>
        <v>290280</v>
      </c>
      <c r="AN41" s="6">
        <f>SUM(AN35:AN40)</f>
        <v>994694.44138959504</v>
      </c>
      <c r="AO41" s="6">
        <f>SUM(AO35:AO40)</f>
        <v>647732</v>
      </c>
      <c r="AP41" s="6">
        <f t="shared" si="40"/>
        <v>-346962.44138959504</v>
      </c>
    </row>
    <row r="42" spans="5:42" ht="21.95" customHeight="1">
      <c r="G42" s="6" t="b">
        <f>+G41=G13</f>
        <v>1</v>
      </c>
      <c r="H42" s="6" t="b">
        <f>+H41=H13</f>
        <v>1</v>
      </c>
      <c r="J42" s="6" t="b">
        <f>+J41=J13</f>
        <v>1</v>
      </c>
      <c r="K42" s="6" t="b">
        <f>+K41=K13</f>
        <v>1</v>
      </c>
      <c r="P42" s="6" t="b">
        <f>+P41=P13</f>
        <v>1</v>
      </c>
      <c r="Q42" s="6" t="b">
        <f>+Q41=Q13</f>
        <v>1</v>
      </c>
      <c r="S42" s="6" t="b">
        <f>+S41=S13</f>
        <v>1</v>
      </c>
      <c r="T42" s="6" t="b">
        <f>+T41=T13</f>
        <v>1</v>
      </c>
      <c r="V42" s="6" t="b">
        <f>+V41=V13</f>
        <v>1</v>
      </c>
      <c r="W42" s="6" t="b">
        <f>+W41=W13</f>
        <v>1</v>
      </c>
      <c r="AB42" s="6" t="b">
        <f>+AB41=AB13</f>
        <v>1</v>
      </c>
      <c r="AC42" s="6" t="b">
        <f>+AC41=AC13</f>
        <v>1</v>
      </c>
      <c r="AE42" s="6" t="b">
        <f>+AE41=AE13</f>
        <v>1</v>
      </c>
      <c r="AF42" s="6" t="b">
        <f>+AF41=AF13</f>
        <v>1</v>
      </c>
      <c r="AH42" s="6" t="b">
        <f>+AH41=AH13</f>
        <v>1</v>
      </c>
      <c r="AI42" s="6" t="b">
        <f>+AI41=AI13</f>
        <v>1</v>
      </c>
      <c r="AK42" s="6" t="b">
        <f>+AK41=AK13</f>
        <v>1</v>
      </c>
      <c r="AL42" s="6" t="b">
        <f>+AL41=AL13</f>
        <v>1</v>
      </c>
      <c r="AN42" s="6" t="b">
        <f>+AN41=AN13</f>
        <v>1</v>
      </c>
      <c r="AO42" s="6" t="b">
        <f>+AO41=AO13</f>
        <v>1</v>
      </c>
    </row>
    <row r="43" spans="5:42" ht="21.95" customHeight="1"/>
    <row r="44" spans="5:42" ht="21.95" customHeight="1"/>
    <row r="45" spans="5:42" ht="21.95" customHeight="1"/>
    <row r="46" spans="5:42" ht="21.95" customHeight="1"/>
    <row r="47" spans="5:42" ht="21.95" customHeight="1"/>
    <row r="48" spans="5:42" ht="21.95" customHeight="1"/>
    <row r="49" ht="21.95" customHeight="1"/>
    <row r="50" ht="21.95" customHeight="1"/>
    <row r="51" ht="21.95" customHeight="1"/>
    <row r="52" ht="21.95" customHeight="1"/>
    <row r="53" ht="21.95" customHeight="1"/>
  </sheetData>
  <mergeCells count="1">
    <mergeCell ref="E6:F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3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8</vt:i4>
      </vt:variant>
    </vt:vector>
  </HeadingPairs>
  <TitlesOfParts>
    <vt:vector size="17" baseType="lpstr">
      <vt:lpstr>표지</vt:lpstr>
      <vt:lpstr>손익총괄</vt:lpstr>
      <vt:lpstr>사업장별(당월)</vt:lpstr>
      <vt:lpstr>영업이익</vt:lpstr>
      <vt:lpstr>공헌이익</vt:lpstr>
      <vt:lpstr>재료비단가</vt:lpstr>
      <vt:lpstr>원단위</vt:lpstr>
      <vt:lpstr>건자재</vt:lpstr>
      <vt:lpstr>골재사업소(당월)</vt:lpstr>
      <vt:lpstr>건자재!Print_Area</vt:lpstr>
      <vt:lpstr>'골재사업소(당월)'!Print_Area</vt:lpstr>
      <vt:lpstr>공헌이익!Print_Area</vt:lpstr>
      <vt:lpstr>'사업장별(당월)'!Print_Area</vt:lpstr>
      <vt:lpstr>손익총괄!Print_Area</vt:lpstr>
      <vt:lpstr>영업이익!Print_Area</vt:lpstr>
      <vt:lpstr>원단위!Print_Area</vt:lpstr>
      <vt:lpstr>재료비단가!Print_Area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</dc:creator>
  <cp:lastModifiedBy>tyinc</cp:lastModifiedBy>
  <cp:lastPrinted>2025-02-19T06:52:40Z</cp:lastPrinted>
  <dcterms:created xsi:type="dcterms:W3CDTF">2018-12-20T00:38:36Z</dcterms:created>
  <dcterms:modified xsi:type="dcterms:W3CDTF">2025-07-15T22:34:55Z</dcterms:modified>
</cp:coreProperties>
</file>